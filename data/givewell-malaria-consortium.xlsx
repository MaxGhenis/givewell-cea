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Counterfactual malaria" sheetId="3" r:id="rId6"/>
    <sheet state="visible" name="LeverageFunging" sheetId="4" r:id="rId7"/>
    <sheet state="visible" name="Inputs" sheetId="5" r:id="rId8"/>
    <sheet state="visible" name="GBD estimates" sheetId="6" r:id="rId9"/>
    <sheet state="visible" name="Simple CEA" sheetId="7" r:id="rId10"/>
    <sheet state="visible" name="Confidence intervals" sheetId="8" r:id="rId11"/>
    <sheet state="visible" name="Sensitivity analysi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4">
      <text>
        <t xml:space="preserve">Upstream costs cause downstream costs.</t>
      </text>
    </comment>
    <comment authorId="0" ref="E25">
      <text>
        <t xml:space="preserve">Upstream costs cause downstream costs.</t>
      </text>
    </comment>
    <comment authorId="0" ref="E135">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193">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21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We make the simplifying assumption that deaths are spread evenly across each month from 1 to 11 months old. </t>
      </text>
    </comment>
    <comment authorId="0" ref="E17">
      <text>
        <t xml:space="preserve">We make the simplifying assumption that deaths are spread evenly across each month from 1 to 11 months old. </t>
      </text>
    </comment>
    <comment authorId="0" ref="E26">
      <text>
        <t xml:space="preserve">We make the simplifying assumption that population is spread evenly across monthly age brackets.</t>
      </text>
    </comment>
    <comment authorId="0" ref="E27">
      <text>
        <t xml:space="preserve">We don't know the population size for 3-59 month olds, so we estimate it based on 
the under-5 malaria mortality rate. 
The GBD defines the under-5 malaria mortality rate as the ratio of the number of annual under-5 deaths from malaria to the mid-year under-5 population divided by 100,000. We use this information to back out the the mid-year under-5 population, and then make the simplifying assumption that the population size is equal across monthly age brackets from 0 to 59 months to estimate the population of 3-59 month olds.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4">
      <text>
        <t xml:space="preserve">Upstream costs cause downstream costs.</t>
      </text>
    </comment>
    <comment authorId="0" ref="E25">
      <text>
        <t xml:space="preserve">Upstream costs cause downstream costs.</t>
      </text>
    </commen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8">
      <text>
        <t xml:space="preserve">See Malaria Consortium's proposed budget here:
https://files.givewell.org//files/DWDA%202009/Malaria%20Consortium/Mozambique/Mozambique%20SMC%20Budget%20202526-202627.xlsx</t>
      </text>
    </comment>
    <comment authorId="0" ref="J11">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1">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1">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1">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2">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2">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2">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2">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3">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3">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3">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3">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6">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6">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We also believe that Malaria Consortium's forward-looking budget tend to be slightly conservative based on our cursory review of past data on actual expenditure compared to budget projections. We adjust downwards by 10% to account for this.
https://docs.google.com/spreadsheets/d/1c-ouQp1N9LpcsJGOLLCaNbid0W7dVtKy6ELBrxTDiHE/edit?gid=1064691828#gid=1064691828</t>
      </text>
    </comment>
    <comment authorId="0" ref="L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M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N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O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P16">
      <text>
        <t xml:space="preserve">We assume that Malaria Consortium's projected budget for the 2025/26 and 2026/27 seasons is more reflective of the true future costs of this program than 2023 actual costs, since the early years of program operations tend to be significantly more costly. 
We also believe that Malaria Consortium's forward-looking budgets tend to be slightly conservative based on our cursory review of past data on actual expenditure compared to budget projections. We adjust downwards by 10% to account for this.
https://docs.google.com/spreadsheets/d/1Nd71VQv6Jkhzdil_1kCUA9Rxc1CV5G0z-geE7eqzDI8/edit?gid=1064691828#gid=1064691828</t>
      </text>
    </comment>
    <comment authorId="0" ref="Z16">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https://docs.google.com/spreadsheets/d/1VCF62k4_1B3-pVOs8UfitMBSb7833gmerSd84TQ8MGc/edit?gid=1064691828#gid=1064691828</t>
      </text>
    </comment>
    <comment authorId="0" ref="AB16">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https://docs.google.com/spreadsheets/d/1ChmOSTq5sKZ13EG1zvyIo1NEQwG5BxLV-fq-KJ2B43Y/edit?gid=1533501852#gid=1533501852</t>
      </text>
    </comment>
    <comment authorId="0" ref="K17">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7">
      <text>
        <t xml:space="preserve">At this stage of our investigation, we are not sure whether an implementer of SMC would deliver 4 or 5 cycles per year in DRC. For now, we have assumed that the standard 4-cycle schedule would be implemented.</t>
      </text>
    </comment>
    <comment authorId="0" ref="M17">
      <text>
        <t xml:space="preserve">At this stage of our investigation, we are not sure whether an implementer of SMC would deliver 4 or 5 cycles per year in DRC. For now, we have assumed that the standard 4-cycle schedule would be implemented.</t>
      </text>
    </comment>
    <comment authorId="0" ref="N17">
      <text>
        <t xml:space="preserve">At this stage of our investigation, we are not sure whether an implementer of SMC would deliver 4 or 5 cycles per year in DRC. For now, we have assumed that the standard 4-cycle schedule would be implemented.</t>
      </text>
    </comment>
    <comment authorId="0" ref="O17">
      <text>
        <t xml:space="preserve">At this stage of our investigation, we are not sure whether an implementer of SMC would deliver 4 or 5 cycles per year in DRC. For now, we have assumed that the standard 4-cycle schedule would be implemented.</t>
      </text>
    </comment>
    <comment authorId="0" ref="Z17">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E33">
      <text>
        <t xml:space="preserve">We use data from the Institute of Health Metrics and Evaluation (IHME)'s Global Burden of Disease (GBD) project to inform our estimates of malaria mortality and prevalence rates in each country in our CEA. Our understanding is that IHME's malaria modeling factors the expected impact of past long-lasting insecticide-treated net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downward adjustments to our cost-effectiveness estimates of SMC in Nigeria.</t>
      </text>
    </comment>
    <comment authorId="0" ref="Q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R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S33">
      <text>
        <t xml:space="preserve">We use data from the Institute of Health Metrics and Evaluation (IHME)'s Global Burden of Disease (GBD) project to inform our estimates of malaria mortality and prevalence rates in Nigeria, and we apply additional adjustments to IHME estimates to account for the impact of ITN distributions that are not accounted for in the most recent GBD data (GBD 2019).
We use a larger adjustment for FCT, Nigeria than in other Nigerian states because we think that much of the data on which the GBD 2019 estimates are based is from a period of time during which ITN distributions were not occurring in FCT. Aside from fairly recent distributions, our understanding is that the last ITN distribution to occur in FCT was in 2011. Because distribution campaigns weren't regularly occurring during much of the time period that GBD 2019 estimates are based, and because distribution campaigns have begun occurring in the years since, we expect that the GBD 2019 estimates likely overstate true counterfactual malaria burden in FCT.
The adjustment we use here is equal to our estimate of the decline in malaria prevalence due to AMF's bed net distributions in PMI states in Nigeria. We calculate this value by multiplying our estimated reduction in malaria mortality among children sleeping under bed nets (row 69 of the "Main CEA" sheet) by the proportion of distributed nets that were used in trials on which we base our estimates of the mortality reduction achieved by net distributions (row 35 of the "Main CEA" sheet). See our CEA for LLIN distributions here: https://docs.google.com/spreadsheets/d/1VEtie59TgRvZSEVjfG7qcKBKcQyJn8zO91Lau9YNqXc/edit?usp=sharing</t>
      </text>
    </comment>
    <comment authorId="0" ref="T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U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V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X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Y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Z33">
      <text>
        <t xml:space="preserve">We created subnational malaria burden estimates specific to Northern Bahr El Ghazal, but we are choosing to ignore these estimates in favor of national-level data from IHME based on:
-a) Our understanding is that MAP is geospatially smoothing burden data, which in this case could bias estimates of malaria burden in Northern Bahr El Ghazal state downward due to the lower malaria burden in bordering regions of Sudan.
-b) MAP's data implies a population estimate for Northern Bahr El Ghazal state that are ~60% lower than the census-based estimate. We are unsure what could be causing this large discrepancy, but it reduces our confidence in the accuracy of MAP's estimates.
-c) Malaria Consortium has told us that malaria burden in South Sudan could be much higher than what is reported in available data sources due to underreporting by health facilities and high prevalence of malaria outbreaks not captured in available data. We have not investigated these claims, though they seem intuitively plausible to us. 
See our supplemental spreadsheet for subnational burden calculations here: https://docs.google.com/spreadsheets/d/1Eet9pIrYpjl6l_6NQz7jYKcupPKr6xiwIGDzmkeyLf0/edit?gid=1305688725#gid=1305688725</t>
      </text>
    </comment>
    <comment authorId="0" ref="E39">
      <text>
        <t xml:space="preserve">We use incidence estimates for children under 5 from the Global Burden of Disease Project as a proxy for incidence in children 3-59 months old.</t>
      </text>
    </comment>
    <comment authorId="0" ref="E45">
      <text>
        <t xml:space="preserve">The default value of 75% comes from a meta-analysis performed by GiveWell that found a rate ratio of 0.25. This meta-analysis was a modified version of an analysis in Meremikwu et al. 2012, which had a rate ratio of 0.26.
A forest plot from GiveWell's meta-analysis is available at https://drive.google.com/file/d/19C_kTGKeFN3Sn5GIKhpLhwcoLt6sHDSN/view
More details can be found at https://www.givewell.org/international/technical/programs/seasonal-malaria-chemoprevention#Evidence_from_randomized_controlled_trials</t>
      </text>
    </comment>
    <comment authorId="0" ref="E47">
      <text>
        <t xml:space="preserve">This adjustment is used to account for the possibility that the effect of SMC found in academic research may not have been the true effect SMC had on the populations being studied.
It's GiveWell's best guess that these trials captured something close to the true effect of SMC in the study settings. Although we don't have specific, serious concerns about internal validity, we use a default value below 0% based on our expectation that published studies are more likely to overstate an intervention's efficacy than understate it. 
Additional details about the research assessing SMC efficacy is available at https://www.givewell.org/international/technical/programs/seasonal-malaria-chemoprevention#What_impact_does_SMC_have
</t>
      </text>
    </comment>
    <comment authorId="0" ref="E48">
      <text>
        <t xml:space="preserve">This adjustment is used to account for external validity issues not accounted for elsewhere in the CEA. By default, this parameter is set to 0% because we currently do not have serious external validity concerns that are not accounted for elsewhere in the CEA. Additional discussion related to external validity is available at https://www.givewell.org/international/technical/programs/seasonal-malaria-chemoprevention#How_does_the_Malaria_Consortium_SMC_program_compare_to_the_programs_addressed_in_these_studies
</t>
      </text>
    </comment>
    <comment authorId="0" ref="E49">
      <text>
        <t xml:space="preserve">We expect SMC to be less effective in the countries we've investigated that are located outside the Sahel region (DRC, Mozambique, and Uganda), primarily because resistance to sulfadoxine-pyrimethamine, one of the drugs delivered as part of SMC, appears to be higher in those countries.
See https://docs.google.com/document/d/1xqxzz91s0qIqnLMZmlm3fkWXdVOdOI5PK1xUqNt-Ou4/edit?tab=t.0#heading=h.hqxk4jmcd9ek</t>
      </text>
    </comment>
    <comment authorId="0" ref="K49">
      <text>
        <t xml:space="preserve">Our preliminary guess is that lower effectiveness shouldn't be a major concern for Côte d'Ivoire.</t>
      </text>
    </comment>
    <comment authorId="0" ref="L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M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N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O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P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Z49">
      <text>
        <t xml:space="preserve">While South Sudan is outside of the Sahel, we do not believe we should adjust our estimate of SMC effectiveness here, based on a shallow literature search and conversations with Malaria Consortium and Khan et al 2024, a recent quasi-experimental study which found very high effectiveness of SMC at reducing malaria. 
https://pmc.ncbi.nlm.nih.gov/articles/PMC10810022/</t>
      </text>
    </comment>
    <comment authorId="0" ref="AB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E50">
      <text>
        <t xml:space="preserve">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E52">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53">
      <text>
        <t xml:space="preserve">SMC is recommended for deployment in areas...where more than 60% of the annual incidence of malaria occurs within 4 months" Pg. 7, World Health Organization, "Seasonal Malaria Chemoprevention: A Field Guide"; "In sites considered suitable for SMC, the median fraction of incidence occurring in the 4 consecutive months of peak transmission was 77% and the mean 75.7% (Supplementary Table S1,2). We therefore assumed that, on average, 75% of the annual burden occurred in the SMC period, but also explored the impact of SMC, if 60% and 90% of annual incidence occurred in the period when SMC was given." Pg. 9, Cairns et al. 2012. See Supplementary Tables S1 and S2 in Cairns et al. 2012 supplements. Note that we have not vetted the methodology of this study, and most of the data that it is relying on seems to be 10+ years old.
For the Sahel region, we assume that 70% of malaria mortalities occur within the high transmission season; we have not done substantial research to inform this input.</t>
      </text>
    </comment>
    <comment authorId="0" ref="K53">
      <text>
        <t xml:space="preserve">While Côte d'Ivoire is not in the Sahel region, we use the Sahel estimate as a rough best guess based on its close proximity.</t>
      </text>
    </comment>
    <comment authorId="0" ref="L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M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N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O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P53">
      <text>
        <t xml:space="preserve">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AB53">
      <text>
        <t xml:space="preserve">Because Uganda is also outside the Sahel, we start with the same rough malaria seasonality estimate we calculated for Mozambique (52%) and add an additional 10% to account for mortalities occurring during the additional, fifth month of SMC delivered in Uganda.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
Our 52% malaria seasonality estimate for Mozambique implies that an average of 13% (52% / 4) of annual malaria mortalities occurs during each month of the four-month SMC season. Because 5 cycles of SMC are delivered in Uganda, we assume malaria transmission is somewhat less seasonal in Uganda compared to other non-Sahel countries, and we have chosen to apply a slightly smaller 10% upward adjustment to account for the 5th month of the SMC season in Uganda.</t>
      </text>
    </comment>
    <comment authorId="0" ref="C55">
      <text>
        <t xml:space="preserve">There may be positive externalities that benefit untreated individuals in communities where SMC treatment is delivered. Since SMC is delivered only to young children, untreated individuals will make up a large proportion of populations targeted with SMC. 
We are aware of one trial, Cisse et al. 2016, that assessed how SMC affected untreated individuals in treated communities. This trial found significant benefits for the untreated population. However, we are not confident these benefits will occur in other settings where SMC is delivered. In Cisse et al. 2016, many children between 5 and 10 years old received SMC. ACCESS-SMC primarily targets children under 5.
(Link to Cisse et al. 2016: http://journals.plos.org/plosmedicine/article?id=10.1371/journal.pmed.1002175)
For more information, see the section of our SMC intervention report on the indirect effects of SMC on the untreated population: https://www.givewell.org/international/technical/programs/seasonal-malaria-chemoprevention#Impact_of_SMC_on_the_untreated_population</t>
      </text>
    </comment>
    <comment authorId="0" ref="E56">
      <text>
        <t xml:space="preserve">"A reduction of 60% (95% CI 54%–64%, p &lt; 0.001) in the incidence of malaria cases confirmed by a rapid diagnostic test (RDT) and a reduction of 69% (95% CI 65%–72%, p &lt; 0.001) in the number of treatments for malaria (confirmed and unconfirmed) was observed in children." 
Cisse et al. 2016 http://journals.plos.org/plosmedicine/article?id=10.1371/journal.pmed.1002175</t>
      </text>
    </comment>
    <comment authorId="0" ref="E57">
      <text>
        <t xml:space="preserve">"In areas where SMC was implemented, incidence of confirmed malaria in adults and in children too old to receive SMC was reduced by 26% (95% CI 18%–33%, p &lt; 0.001) and the total number of treatments for malaria (confirmed and unconfirmed) in these older age groups was reduced by 29% (95% CI 21%–35%, p &lt; 0.001)" Cisse et al. 2016 http://journals.plos.org/plosmedicine/article?id=10.1371/journal.pmed.1002175</t>
      </text>
    </comment>
    <comment authorId="0" ref="E58">
      <text>
        <t xml:space="preserve">We apply a downward adjustment to account for (i) Cisse et al. 2016 covering a higher proportion of the population than the typical Malaria Consortium program, and (ii) The lower levels of transmission in Cisse et al. 2016 relative to the typical Malaria Consortium program (our understanding from speaking with a malaria modeler is indirect effects are likely to be smaller as a proportion of total benefits in areas of high transmission).
The calculations for this adjustment are here: https://docs.google.com/spreadsheets/d/1lWE_IQzlX8QfAeUgK1OpcHTxJ7H6uOxRciSK215k9sI
For more details, see the section on indirect effects in our intervention report on seasonal malaria chemoprevention (https://www.givewell.org/international/technical/programs/seasonal-malaria-chemoprevention#Reduced_mortality_for_older_children_and_adults).</t>
      </text>
    </comment>
    <comment authorId="0" ref="AD61">
      <text>
        <t xml:space="preserve">See GBD estimates tab</t>
      </text>
    </comment>
    <comment authorId="0" ref="AD62">
      <text>
        <t xml:space="preserve">See GBD estimates tab</t>
      </text>
    </comment>
    <comment authorId="0" ref="E6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6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SMC averts more malaria cases in children under 5 (~70%) than in children ages 5-14. There are ~15 years between program implementation and starting work for children under-5, and ~7 years for children ages 5-14. Taking a weighted average implies an average gap of ~12.5 years before income benefits begin.</t>
      </text>
    </comment>
    <comment authorId="0" ref="E6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E6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E82">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C86">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E88">
      <text>
        <t xml:space="preserve">Scenario: The program is delivered to people who don't benefit or minimally benefit because they have received the program from another source.
Intuitively seems unlikely that children are getting preventative treatment from another source.</t>
      </text>
    </comment>
    <comment authorId="0" ref="E89">
      <text>
        <t xml:space="preserve">Scenario: Pills, ITNs, etc. are poorly made, counterfeit, or otherwise largely or fully ineffective at achieving the expected outcome. 
Drugs are purchased from World Health Organization-qualified manufacturers.</t>
      </text>
    </comment>
    <comment authorId="0" ref="E90">
      <text>
        <t xml:space="preserve">Not applicable. Our cost/child-treated estimate uses total costs and estimates of children reached.</t>
      </text>
    </comment>
    <comment authorId="0" ref="E92">
      <text>
        <t xml:space="preserve">Scenario:  If we've received monitoring results for some program years and locations but not others, program coverage could be worse (systematically or coincidentally) in the years/locations for which we have not seen monitoring results.
We've received coverage survey results from all locations and all years. Malaria Consortium has two types of coverage surveys: post cycle, which are conducted after a cycle of SMC, and post-round, which are conducted after all cycles of SMC are distributed. We have seen either a post-cycle or post-round survey for all locations, but not always both. See here for our review of monitoring results: 
https://docs.google.com/spreadsheets/d/1WqNL0PEA4cT470ALp0nItEEU8gM_IlhVNIJK1GqnFVE/edit#gid=1817130439</t>
      </text>
    </comment>
    <comment authorId="0" ref="E93">
      <text>
        <t xml:space="preserve">Scenario: The monitoring results we've received could be biased in ways we're unaware of, leading us to believe program coverage was higher than it really was.
We have conducted a relatively thorough review of Malaria Consortium's coverage surveys from recent years; we thus believe we have identified most major risks of bias. We have limited visibility into the quality of survey implementation due to data collectors' involvement in respondent selection and limited auditing data. In 2021, new auditing procedures were introduced in Nigeria post-cycle and post-round surveys and Mozambique and Uganda post-round surveys. We consider this an improvement in methodology; however, limited visibility into the auditing results led us to not change this adjustment. In some cases, results from post-cycle and post-round surveys for the same campaigns have been substantially different. See here for our review of monitoring results:
https://docs.google.com/spreadsheets/d/1WqNL0PEA4cT470ALp0nItEEU8gM_IlhVNIJK1GqnFVE/edit#gid=1817130439 </t>
      </text>
    </comment>
    <comment authorId="0" ref="E9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In 2017, Malaria Consortium used ~half of funding to supplement UNITAID project in ways we didn't expect (primarily supplemental monitoring) but were broadly in-line with our priorities. 
Malaria Consortium has also used some funding it received that was very likely a result of GiveWell's recommendation (but had been sent without being earmarked for SMC) on non-SMC-related projects; this was a very small amount of the total SMC budget.
2022 update: 2017 funding is now a very small portion of total spending and nothing similar has happened since then. There have been several examples of Malaria Consortium explicitly checking in with GiveWell to get our feedback on opportunities to redirect funding to a different purpose or on decisions it is making on how to use its discretionary research budget.</t>
      </text>
    </comment>
    <comment authorId="0" ref="E9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E97">
      <text>
        <t xml:space="preserve">Scenario: Charity runs multiple programs and shifts funds from non-GiveWell sources or fundraising effort out of the program that we want to fund as a result of receiving GiveWell-directed funding.
Malaria Consortium has limited unrestricted funding relative to the size of this program. Fundraising efforts may be redirected to other programs as a result of more funding being available for this program. We know of one example where Malaria Consortium had the option of applying for funding for SMC and choose to apply for a different program because SMC is relatively well funded.</t>
      </text>
    </comment>
    <comment authorId="0" ref="C9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L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M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N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O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P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AB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I109">
      <text>
        <t xml:space="preserve">GiveWell-funded work by Malaria Consortium made up roughly 50% of total SMC funding in Burkina Faso in 2021, targeting 2 million children out of a total target population of 4.2 million. See https://files.givewell.org/files/DWDA%202009/Malaria%20Consortium/Malaria_Consortium_seasonal_malaria_chemoprevention_program_Philanthropy_report_2021.pdf, page 18. 
This implies that there would be significant scope to prioritize some areas over others in the absence of GiveWell-directed funding. There appears to be moderate variation in malaria rates across Burkina Faso: https://malariaatlas.org/explorer/#/</t>
      </text>
    </comment>
    <comment authorId="0" ref="J109">
      <text>
        <t xml:space="preserve">GiveWell-funded work by Malaria Consortium made up roughly 50% of total SMC funding in Chad, targeting 1.1 million children out of a total target population of 2.2 million in 2021. See https://files.givewell.org/files/DWDA%202009/Malaria%20Consortium/Malaria_Consortium_seasonal_malaria_chemoprevention_program_Philanthropy_report_2021.pdf, page 21. 
This implies that there would be significant scope to prioritize some areas over others in the absence of GiveWell-directed funding. There appears to be fairly low variation in malaria rates in the populated areas of Chad: https://malariaatlas.org/explorer/#/</t>
      </text>
    </comment>
    <comment authorId="0" ref="K109">
      <text>
        <t xml:space="preserve">Rough guess. There is substantial subnational variation in malaria burden across the SMC-eligible areas in Côte d'Ivoire, and our best guess is that other funders are likely to fill the higher-burden gaps first.
https://docs.google.com/spreadsheets/d/1Eet9pIrYpjl6l_6NQz7jYKcupPKr6xiwIGDzmkeyLf0/edit?gid=1053826375#gid=1053826375</t>
      </text>
    </comment>
    <comment authorId="0" ref="L109">
      <text>
        <t xml:space="preserve">This column estimates cost-effectiveness in a specific province, so an additional adjustment for marginal funding going to lower-priority areas within a country is not necessary.</t>
      </text>
    </comment>
    <comment authorId="0" ref="M109">
      <text>
        <t xml:space="preserve">This column estimates cost-effectiveness in a specific province, so an additional adjustment for marginal funding going to lower-priority areas within a country is not necessary.</t>
      </text>
    </comment>
    <comment authorId="0" ref="N109">
      <text>
        <t xml:space="preserve">This column estimates cost-effectiveness in a specific province, so an additional adjustment for marginal funding going to lower-priority areas within a country is not necessary.</t>
      </text>
    </comment>
    <comment authorId="0" ref="O109">
      <text>
        <t xml:space="preserve">This column estimates cost-effectiveness in a specific province, so an additional adjustment for marginal funding going to lower-priority areas within a country is not necessary.</t>
      </text>
    </comment>
    <comment authorId="0" ref="P109">
      <text>
        <t xml:space="preserve">This column estimates cost-effectiveness in a specific state, so an additional adjustment for marginal funding going to lower-priority areas within a country is not necessary.</t>
      </text>
    </comment>
    <comment authorId="0" ref="Q109">
      <text>
        <t xml:space="preserve">GiveWell is the only major funder of SMC in this state. See map on P. 48 here:
 https://www.malariaconsortium.org/media-download-file/202305040928/2022smcphilanthropyreport.pdf</t>
      </text>
    </comment>
    <comment authorId="0" ref="R109">
      <text>
        <t xml:space="preserve">GiveWell is the only major funder of SMC in this state. See map on P. 48 here:
 https://www.malariaconsortium.org/media-download-file/202305040928/2022smcphilanthropyreport.pdf</t>
      </text>
    </comment>
    <comment authorId="0" ref="S109">
      <text>
        <t xml:space="preserve">GiveWell is the only major funder of SMC in this state. See map on P. 48 here:
 https://www.malariaconsortium.org/media-download-file/202305040928/2022smcphilanthropyreport.pdf</t>
      </text>
    </comment>
    <comment authorId="0" ref="T109">
      <text>
        <t xml:space="preserve">GiveWell is the only major funder of SMC in this state. See map on P. 48 here:
 https://www.malariaconsortium.org/media-download-file/202305040928/2022smcphilanthropyreport.pdf</t>
      </text>
    </comment>
    <comment authorId="0" ref="U109">
      <text>
        <t xml:space="preserve">GiveWell is the only major funder of SMC in this state. See map on P. 48 here:
 https://www.malariaconsortium.org/media-download-file/202305040928/2022smcphilanthropyreport.pdf</t>
      </text>
    </comment>
    <comment authorId="0" ref="V109">
      <text>
        <t xml:space="preserve">GiveWell is the only major funder of SMC in this state. See map on P. 48 here:
 https://www.malariaconsortium.org/media-download-file/202305040928/2022smcphilanthropyreport.pdf</t>
      </text>
    </comment>
    <comment authorId="0" ref="W109">
      <text>
        <t xml:space="preserve">GiveWell is the only major funder of SMC in this state. See map on P. 48 here:
 https://www.malariaconsortium.org/media-download-file/202305040928/2022smcphilanthropyreport.pdf</t>
      </text>
    </comment>
    <comment authorId="0" ref="X109">
      <text>
        <t xml:space="preserve">GiveWell is the only major funder of SMC in this state. See map on P. 48 here:
 https://www.malariaconsortium.org/media-download-file/202305040928/2022smcphilanthropyreport.pdf</t>
      </text>
    </comment>
    <comment authorId="0" ref="Y109">
      <text>
        <t xml:space="preserve">GiveWell is the only major funder of SMC in this state. See map on P. 48 here:
 https://www.malariaconsortium.org/media-download-file/202305040928/2022smcphilanthropyreport.pdf</t>
      </text>
    </comment>
    <comment authorId="0" ref="Z109">
      <text>
        <t xml:space="preserve">GiveWell is the only major funder of SMC in this state. See map on P. 48 here:
 https://www.malariaconsortium.org/media-download-file/202305040928/2022smcphilanthropyreport.pdf</t>
      </text>
    </comment>
    <comment authorId="0" ref="AA109">
      <text>
        <t xml:space="preserve">While SMC in Togo was fully funded in 2020 and 2021, the national malaria program in Togo has a history of choosing to implement fewer SMC cycles across all eligible areas rather than prioritizing higher-risk areas when faced with underfunding. See https://files.givewell.org/files/DWDA%202009/Malaria%20Consortium/Malaria_Consortium_seasonal_malaria_chemoprevention_program_Philanthropy_report_2021.pdf, page 36. This leads us to believe that the national malaria program in Togo would likely do something similar if SMC were underfunded again in the future. In addition, there appears to be relatively little variation in malaria rates across the regions in Togo where SMC is delivered: https://malariaatlas.org/explorer/#/</t>
      </text>
    </comment>
    <comment authorId="0" ref="AB109">
      <text>
        <t xml:space="preserve">This column estimates cost-effectiveness in a specific state, so an additional adjustment for marginal funding going to lower-priority areas within a country is not necessary.</t>
      </text>
    </comment>
    <comment authorId="0" ref="E114">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Note: In the above document, we reference assigning a value of 5% to the likelihood that domestic governments would replace grantee costs in Nigeria. Since we published that document in 2020, we have not seen indications that the Nigerian government has the capacity to fund SMC, and we now think the probability of government funding is similarly negligible in Nigeria as in other countries. We have accordingly revised this value to 0% for all Nigerian states.</t>
      </text>
    </comment>
    <comment authorId="0" ref="E115">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J115">
      <text>
        <t xml:space="preserve">This is our rough best guess, updated from our 2022 guess. We think there is a reasonably low likelihood that absent our funding, other funders would support SMC in Chad. However, we have not explicitly confirmed our understanding with other funders and think it's still plausible that other funders could allocate more money to SMC in the next few years.</t>
      </text>
    </comment>
    <comment authorId="0" ref="K115">
      <text>
        <t xml:space="preserve">This is our rough best guess. 
Our early impression is that the funding landscape for SMC in Côte d'Ivoire is highly dynamic and uncertain. Additionally, our expectation is that Global Fund will know the total budget for its eighth replenishment cycle (2027-2029) by the end of 2025, and it's possible that it raises enough funding to fund a significant portion of the funding gap for SMC in Côte d'Ivoire. </t>
      </text>
    </comment>
    <comment authorId="0" ref="L115">
      <text>
        <t xml:space="preserve">This is our rough best guess based on the probabilities we assign to other countries and how the funding landscape in DRC compares to the funding landscapes in those countries.</t>
      </text>
    </comment>
    <comment authorId="0" ref="M115">
      <text>
        <t xml:space="preserve">This is our rough best guess based on the probabilities we assign to other countries and how the funding landscape in DRC compares to the funding landscapes in those countries.</t>
      </text>
    </comment>
    <comment authorId="0" ref="N115">
      <text>
        <t xml:space="preserve">This is our rough best guess based on the probabilities we assign to other countries and how the funding landscape in DRC compares to the funding landscapes in those countries.</t>
      </text>
    </comment>
    <comment authorId="0" ref="O115">
      <text>
        <t xml:space="preserve">This is our rough best guess based on the probabilities we assign to other countries and how the funding landscape in DRC compares to the funding landscapes in those countries.</t>
      </text>
    </comment>
    <comment authorId="0" ref="P115">
      <text>
        <t xml:space="preserve">The Global Fund currently supports SMC in Niassa province in Mozambique, but our understanding from conversations with stakeholders is that the government sees Nampula—as a high-burden province and Mozambique's largest—as the highest priority for SMC. We think that if we had decided not to fund Nampula, the Global Fund would likely have moved its Niassa funding to cover SMC in part of Nampula instead. We don’t think the Global Fund would have covered the full program in Nampula (which has around three times the target population of Niassa); our best guess is that they would have supported about 40% of it with the funding currently allocated to Niassa.</t>
      </text>
    </comment>
    <comment authorId="0" ref="Z115">
      <text>
        <t xml:space="preserve">We have spent very little time investigating the funding landscape for SMC in South Sudan, and we continue to use our estimate of the chance our support is crowding out other funders from our 2022 model.</t>
      </text>
    </comment>
    <comment authorId="0" ref="AB115">
      <text>
        <t xml:space="preserve">This is our rough best guess based on the probabilities we assign to other countries and how the funding landscape in Uganda compares to the funding landscapes in those countries.</t>
      </text>
    </comment>
    <comment authorId="0" ref="E116">
      <text>
        <t xml:space="preserve">The government would continue funding the program at the same level as it currently does. Government financial costs are neither leveraged nor "funged".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E125">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40">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We plan to add sensitivity analyses for DRC locations once we have more information about specific funding opportunities.</t>
      </text>
    </commen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X2">
      <text>
        <t xml:space="preserve">We plan to add sensitivity analyses for DRC locations once we have more information about specific funding opportunities.</t>
      </text>
    </comment>
    <comment authorId="0" ref="A23">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https://www.givewell.org/international/technical/programs/seasonal-malaria-chemoprevention#How_GiveWell_estimates_cost-effectiveness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We plan to add sensitivity analyses for DRC locations once we have more information about specific funding opportunities.</t>
      </text>
    </commen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X2">
      <text>
        <t xml:space="preserve">We plan to add sensitivity analyses for DRC locations once we have more information about specific funding opportunities.</t>
      </text>
    </commen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A27">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https://www.givewell.org/international/technical/programs/seasonal-malaria-chemoprevention#How_GiveWell_estimates_cost-effectiveness</t>
      </text>
    </comment>
  </commentList>
</comments>
</file>

<file path=xl/sharedStrings.xml><?xml version="1.0" encoding="utf-8"?>
<sst xmlns="http://schemas.openxmlformats.org/spreadsheetml/2006/main" count="18917" uniqueCount="583">
  <si>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</si>
  <si>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</si>
  <si>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</si>
  <si>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</si>
  <si>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Counterfactual malaria</t>
  </si>
  <si>
    <t>This sheet contains our calculations of how high malaria mortality and prevalence rates would be in the absence of SMC campaigns.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</si>
  <si>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</si>
  <si>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</si>
  <si>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</si>
  <si>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</si>
  <si>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</si>
  <si>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</si>
  <si>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</si>
  <si>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</si>
  <si>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</si>
  <si>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</si>
  <si>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</si>
  <si>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</si>
  <si>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</si>
  <si>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</si>
  <si>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SMC season</t>
  </si>
  <si>
    <t xml:space="preserve">The part of the year when SMC is delivered because malaria transmission is highest. In locations where GiveWell currently supports SMC, this is either four or five months each year. </t>
  </si>
  <si>
    <t>SMC cycle</t>
  </si>
  <si>
    <t>Refers to a monthly SMC treatment cycle, which consists of a three-day treatment regimen of SMC medication that provides protection from malaria for one month.</t>
  </si>
  <si>
    <t>SMC round</t>
  </si>
  <si>
    <t>Refers to a year's worth of SMC cycles, which are typically delievered over a period of four to five consecutive months during the rainy season.</t>
  </si>
  <si>
    <t>Sahel</t>
  </si>
  <si>
    <t>A subregion of Africa where malaria transmission tends to be highly seasonal. Historically, SMC was only delivered at large scale within the Sahel. Since 2020-21, SMC is now being piloted in locations outside the Sahel.</t>
  </si>
  <si>
    <t>Malaria-attributable mortality</t>
  </si>
  <si>
    <t>Deaths that could be averted by SMC, either directly (because they are malaria deaths) or indirectly (because malaria indirectly increases the risk of death from other causes).</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</si>
  <si>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</si>
  <si>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</si>
  <si>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</si>
  <si>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</si>
  <si>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</si>
  <si>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</si>
  <si>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</si>
  <si>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</si>
  <si>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</si>
  <si>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</si>
  <si>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</si>
  <si>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</si>
  <si>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</si>
  <si>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</si>
  <si>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</si>
  <si>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</si>
  <si>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</si>
  <si>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</si>
  <si>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</si>
  <si>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</si>
  <si>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</si>
  <si>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</si>
  <si>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</si>
  <si>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</si>
  <si>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</si>
  <si>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</si>
  <si>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</si>
  <si>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</si>
  <si>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</si>
  <si>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</si>
  <si>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</si>
  <si>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</si>
  <si>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</si>
  <si>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</si>
  <si>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</si>
  <si>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</si>
  <si>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</si>
  <si>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</si>
  <si>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</si>
  <si>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</si>
  <si>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</si>
  <si>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</si>
  <si>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</si>
  <si>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</si>
  <si>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</si>
  <si>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fom the "Main CEA" sheet</t>
  </si>
  <si>
    <t>feed</t>
  </si>
  <si>
    <t>A value pulled from an earlier section within the same sheet</t>
  </si>
  <si>
    <t>GiveWell analyses informing this model</t>
  </si>
  <si>
    <t>Analyses specific to this CEA</t>
  </si>
  <si>
    <t>GW's analysis of Malaria Consortium's cost per SMC cycle administered</t>
  </si>
  <si>
    <t>GW's analysis of the number of SMC cycles delivered per year</t>
  </si>
  <si>
    <t>GW's analysis of the indirect effects of Malaria Consortium's SMC programs relative to Cisse et al. 2016</t>
  </si>
  <si>
    <t>GW's analysis of SMC coverage in trials</t>
  </si>
  <si>
    <t>GW's analysis of malaria income effect size</t>
  </si>
  <si>
    <t>GW's analysis of subnational mortality rates for SMC</t>
  </si>
  <si>
    <t>GW's analysis of leverage and funging risk for SMC</t>
  </si>
  <si>
    <t>GW's analysis of malaria mortality averted due to vaccine rollout</t>
  </si>
  <si>
    <t>GW's analysis of SMC outside the Sahel</t>
  </si>
  <si>
    <t>Analyses referenced across GiveWell's CEAs</t>
  </si>
  <si>
    <t>GW's moral weights and discount rate</t>
  </si>
  <si>
    <t>GW's analysis on estimating multiplier for benefits experienced by other household members</t>
  </si>
  <si>
    <t>GW's supplemental intervention-level adjustments</t>
  </si>
  <si>
    <t>GiveWell's CEA for GiveDirectly's unconditional cash transfers</t>
  </si>
  <si>
    <t>GW's analysis of the counterfactual value of other actors' spending</t>
  </si>
  <si>
    <t>GW's analysis of the counterfactual value of Global Fund spending</t>
  </si>
  <si>
    <t>Malaria Consortium</t>
  </si>
  <si>
    <t>Burkina Faso</t>
  </si>
  <si>
    <t>Chad</t>
  </si>
  <si>
    <t>Côte d'Ivoire</t>
  </si>
  <si>
    <t>DRC</t>
  </si>
  <si>
    <t>Mozambique</t>
  </si>
  <si>
    <t>Nigeria</t>
  </si>
  <si>
    <t>South Sudan</t>
  </si>
  <si>
    <t>Togo</t>
  </si>
  <si>
    <t>Uganda</t>
  </si>
  <si>
    <t>Main calculations</t>
  </si>
  <si>
    <t>unit</t>
  </si>
  <si>
    <t>type</t>
  </si>
  <si>
    <t>Overall</t>
  </si>
  <si>
    <t>Haut-Katanga</t>
  </si>
  <si>
    <t>Haut-Lomami</t>
  </si>
  <si>
    <t>Lualaba</t>
  </si>
  <si>
    <t>Tanganyika</t>
  </si>
  <si>
    <t>Nampula</t>
  </si>
  <si>
    <t>Bauchi</t>
  </si>
  <si>
    <t>Borno</t>
  </si>
  <si>
    <t>FCT (Abuja)</t>
  </si>
  <si>
    <t>Kebbi</t>
  </si>
  <si>
    <t>Kogi</t>
  </si>
  <si>
    <t>Nasarawa</t>
  </si>
  <si>
    <t>Oyo</t>
  </si>
  <si>
    <t>Plateau</t>
  </si>
  <si>
    <t>Sokoto</t>
  </si>
  <si>
    <t xml:space="preserve">Northern Bahr El Ghazal </t>
  </si>
  <si>
    <t>Karamoja</t>
  </si>
  <si>
    <t>Final cost-effectiveness estimate (pulled from below for visibility)</t>
  </si>
  <si>
    <t>Costs</t>
  </si>
  <si>
    <t>GiveWell costs</t>
  </si>
  <si>
    <t>Cost breakdown</t>
  </si>
  <si>
    <t>Total costs</t>
  </si>
  <si>
    <t>Total spending by all contributors</t>
  </si>
  <si>
    <t>-</t>
  </si>
  <si>
    <t>Total spending attributable to different actors</t>
  </si>
  <si>
    <t>Total spending contributed by grantee</t>
  </si>
  <si>
    <t>Total spending contributed by other philanthropic actors</t>
  </si>
  <si>
    <t xml:space="preserve">Total spending contributed by domestic governments </t>
  </si>
  <si>
    <t>Upstream / downstream spending</t>
  </si>
  <si>
    <t>Total spending causally upstream of donations to grantee</t>
  </si>
  <si>
    <t>Total spending causally downstream of donations to grantee</t>
  </si>
  <si>
    <t>Cost per child covered</t>
  </si>
  <si>
    <t>Total cost per child treated with all cycles of SMC in a year</t>
  </si>
  <si>
    <t>Upstream costs per child treated with all cycles of SMC in a year</t>
  </si>
  <si>
    <t>Outputs</t>
  </si>
  <si>
    <t>Total children covered</t>
  </si>
  <si>
    <t>Total people under age 5 receiving a year of SMC</t>
  </si>
  <si>
    <t>Outcomes</t>
  </si>
  <si>
    <t>Mortality reduction among people under age 5 (treated population)</t>
  </si>
  <si>
    <t>Implied reduction in malaria incidence among children under age 5 receiving SMC</t>
  </si>
  <si>
    <t>Expected reduction in malaria incidence among children under age 5 receiving SMC</t>
  </si>
  <si>
    <t>Expected reduction in malaria mortality among children under age 5 receiving SMC</t>
  </si>
  <si>
    <t>Total malaria-attributable mortality rate (including direct and indirect malaria deaths)</t>
  </si>
  <si>
    <t>Total malaria-attributable mortality rate (including direct and indirect malaria deaths and adjustment for malaria vaccine rollout)</t>
  </si>
  <si>
    <t>Expected number of annual malaria-attributable mortalities among the target population in the absence of SMC</t>
  </si>
  <si>
    <t>Expected number of malaria-attributable mortalities among the target population during the SMC season in the absence of SMC</t>
  </si>
  <si>
    <t>Total deaths averted among people under age 5</t>
  </si>
  <si>
    <t>Mortality reduction among people age 5 and older (untreated population)</t>
  </si>
  <si>
    <t>Implied proportion of the protective effect of SMC received by the population too old to be eligible for SMC</t>
  </si>
  <si>
    <t>Expected proportion of the protective effect of SMC received by the population too old to be eligible for SMC</t>
  </si>
  <si>
    <t>Expected reduction in malaria incidence among people age 5 and older</t>
  </si>
  <si>
    <t>Expected reduction in malaria mortality among people age 5 and older</t>
  </si>
  <si>
    <t>Total deaths averted among people age 5 and older</t>
  </si>
  <si>
    <t>Malaria incidence reduction among people under age 15</t>
  </si>
  <si>
    <t>Expected reduction in malaria incidence among people under 5</t>
  </si>
  <si>
    <t>Expected reduction in malaria incidence among people age 5 to 14</t>
  </si>
  <si>
    <t>Number of 5-14-year-olds exposed to spillover effects per person targeted to receive SMC</t>
  </si>
  <si>
    <t>Total 5-14-year-olds exposed to spillover effects from SMC</t>
  </si>
  <si>
    <t>Malaria cases averted among people under age 5</t>
  </si>
  <si>
    <t>Malaria cases averted among people age 5 to 14</t>
  </si>
  <si>
    <t>Long-term income increases for people under age 15</t>
  </si>
  <si>
    <t>Adjusted increase in ln(income) per malaria case averted among people under age 15</t>
  </si>
  <si>
    <t>Discounted increase in ln(income) per malaria case averted among people under age 15</t>
  </si>
  <si>
    <t>Present value of individual lifetime benefits per malaria case averted among people under age 15</t>
  </si>
  <si>
    <t>Present value of total lifetime benefits per malaria case averted among people under age 15</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</si>
  <si>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</si>
  <si>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</si>
  <si>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</si>
  <si>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Value of outcomes</t>
  </si>
  <si>
    <t>Units of value from mortality reduction among people under age 5</t>
  </si>
  <si>
    <t>Units of value from under-5 deaths averted (before accounting for leverage and funging)</t>
  </si>
  <si>
    <t>Units of value from mortality reduction among people age 5 and older</t>
  </si>
  <si>
    <t>Units of value from 5-and-over deaths averted (before accounting for leverage and funging)</t>
  </si>
  <si>
    <t>Units of value from long-term income increases for people under age 15</t>
  </si>
  <si>
    <t>Units of value from long-term income increases (before accounting for leverage and funging)</t>
  </si>
  <si>
    <t>Units of value generated from long-term income increases per year of SMC treatment</t>
  </si>
  <si>
    <t>Summary of outcomes and initial cost-effectiveness (before final adjustments)</t>
  </si>
  <si>
    <t>Summary of outcomes</t>
  </si>
  <si>
    <t>Total malaria cases averted among people under age 15</t>
  </si>
  <si>
    <t>Value of individual outcomes</t>
  </si>
  <si>
    <t>Value of increased income through averting a case of malaria in a person under age 15</t>
  </si>
  <si>
    <t>Total value of outcomes</t>
  </si>
  <si>
    <t>Units of value from under-5 deaths averted (before final adjustments)</t>
  </si>
  <si>
    <t>Units of value from over-5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</si>
  <si>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</si>
  <si>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</si>
  <si>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</si>
  <si>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(before final adjustments)</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</si>
  <si>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</si>
  <si>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</si>
  <si>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</si>
  <si>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t>
  </si>
  <si>
    <t>Cost per life saved (before final adjustments)</t>
  </si>
  <si>
    <t>Total lives saved (before final adjustments)</t>
  </si>
  <si>
    <t>Adjustments</t>
  </si>
  <si>
    <t>Supplemental grantee-level adjustments</t>
  </si>
  <si>
    <t>Risk of wastage</t>
  </si>
  <si>
    <t>Quality of monitoring and evaluation</t>
  </si>
  <si>
    <t>Confidence in funds being used for intended purpose</t>
  </si>
  <si>
    <t>Total supplemental grantee-level adjustment</t>
  </si>
  <si>
    <t>Supplemental intervention-level adjustments</t>
  </si>
  <si>
    <t>Adjustments not affecting cost per life saved</t>
  </si>
  <si>
    <t>Adjustments affecting cost per life saved</t>
  </si>
  <si>
    <t>Total supplemental intervention-level adjustment</t>
  </si>
  <si>
    <t>Leverage and funging adjustment</t>
  </si>
  <si>
    <t>Overall adjustment for leverage and funging</t>
  </si>
  <si>
    <t>Cost-effectiveness (after final adustments)</t>
  </si>
  <si>
    <t>Cost-effectiveness after all adjustments</t>
  </si>
  <si>
    <t>Units of value generated per dollar spent by the grantee, after accounting for all adjustments</t>
  </si>
  <si>
    <t>Cost-effectiveness in terms of multiples of GiveDirectly's unconditional cash transfer program, after all adjustments</t>
  </si>
  <si>
    <t>Counterfactual impact</t>
  </si>
  <si>
    <t>Adjustments affecting program outputs (people covered)</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</si>
  <si>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</si>
  <si>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</si>
  <si>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</si>
  <si>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</si>
  <si>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</si>
  <si>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receiving SMC who wouldn't have received it otherwise</t>
  </si>
  <si>
    <t>Cost per person counterfactually receiving SMC</t>
  </si>
  <si>
    <t>Counterfactual program outcomes</t>
  </si>
  <si>
    <t>Total lives saved that wouldn't have been saved otherwise</t>
  </si>
  <si>
    <t>Cost per life counterfactually saved</t>
  </si>
  <si>
    <t>Supplemental calculations for counterfactual malaria mortality and incidence rates</t>
  </si>
  <si>
    <t>Final cost-effectiveness estimate (pulled from "Main calcs" sheet for visibility)</t>
  </si>
  <si>
    <t>Malaria mortality among the SMC-eligible population</t>
  </si>
  <si>
    <t>Malaria mortalities per year among people under age 5</t>
  </si>
  <si>
    <t>Estimated malaria mortalities per year among the SMC-eligible population</t>
  </si>
  <si>
    <t>Proportion of post-neonatal malaria mortalities that are among 1-2-month-olds</t>
  </si>
  <si>
    <t>Estimated malaria mortalities per year among 1-2-month-olds</t>
  </si>
  <si>
    <t>Total malaria mortalities per year among 3-59-month-olds</t>
  </si>
  <si>
    <t>Proportion of malaria mortalities among people under age 5 that occur among 3-59-month-olds</t>
  </si>
  <si>
    <t>Annual malaria mortality rate among the SMC-eligible population</t>
  </si>
  <si>
    <t>Implied population of people under age 5</t>
  </si>
  <si>
    <t>Proportion of people under age 5 who are 3-59-month-olds</t>
  </si>
  <si>
    <t>Estimated population of 3-59-month olds</t>
  </si>
  <si>
    <t>Unadjusted annual malaria mortality rate among 3-59-month-olds</t>
  </si>
  <si>
    <t>Annual malaria mortality rate among 3-59-month-olds</t>
  </si>
  <si>
    <t>Proportion of malaria mortalities that are among the SMC-eligible population</t>
  </si>
  <si>
    <t>Malaria mortalities per year among people age 5 and older</t>
  </si>
  <si>
    <t>Malaria mortalities among people age 5 and older per malaria mortality among 3-59-month-olds</t>
  </si>
  <si>
    <t>Malaria incidence among the SMC-eligible population</t>
  </si>
  <si>
    <t>Malaria incidence among people under age 15</t>
  </si>
  <si>
    <t>Adjusted malaria incidence among people under 5</t>
  </si>
  <si>
    <t>Adjusted malaria incidence among people age 5 to 14</t>
  </si>
  <si>
    <t>Supplemental calculations for the leverage/funging adjustment</t>
  </si>
  <si>
    <t>Counterfactual funding scenarios</t>
  </si>
  <si>
    <t>Probability of scenarios in the absence of philanthropic funding</t>
  </si>
  <si>
    <t>Scenario 4: Distributions would go unfunded</t>
  </si>
  <si>
    <t>Proportion of the program that would still occur in each scenario</t>
  </si>
  <si>
    <t>Scenario 3: Other actors' upstream costs would stay the same (downstream costs would shrink in proportion to the total size of the program)</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</si>
  <si>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</si>
  <si>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</si>
  <si>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</si>
  <si>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</si>
  <si>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</si>
  <si>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</si>
  <si>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</si>
  <si>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</si>
  <si>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</si>
  <si>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</si>
  <si>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</si>
  <si>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</si>
  <si>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</si>
  <si>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</si>
  <si>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</si>
  <si>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</si>
  <si>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Global Fund and/or PMI would replace philanthropic spending</t>
  </si>
  <si>
    <t>Hypothetical impact of shifting Global Fund and/or PMI spending</t>
  </si>
  <si>
    <t>Amount of spending Global Fund and/or PMI would shift to the grantee program</t>
  </si>
  <si>
    <t>Value generated by shifting Global Fund and/or PMI spending to the grantee program</t>
  </si>
  <si>
    <t>Value lost by shifting spending away from programs the Global Fund and/or PMI would otherwise have funded</t>
  </si>
  <si>
    <t>Net value generated by shifting Global Fund and/or PMI spending to the grantee program</t>
  </si>
  <si>
    <t>Scenario 3: The government would spend the same amount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</si>
  <si>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</si>
  <si>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</si>
  <si>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</si>
  <si>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</si>
  <si>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Expected change in value generated by the program</t>
  </si>
  <si>
    <t>Scenario 4: The grantee program would go unfunded</t>
  </si>
  <si>
    <t>Value generated by shifting spending to programs domestic governments would otherwise have funded</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</si>
  <si>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</si>
  <si>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</si>
  <si>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</si>
  <si>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</si>
  <si>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</si>
  <si>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</si>
  <si>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Total value generated by grantee spending after adjusting for leverage and funging</t>
  </si>
  <si>
    <t>UOV</t>
  </si>
  <si>
    <t>Adjustment for the possibility of crowding funding into the program (leverage)</t>
  </si>
  <si>
    <t>Adjustment for the possibility of crowding funding out of the program (funging)</t>
  </si>
  <si>
    <t>Adjustment for leverage and funging</t>
  </si>
  <si>
    <t>Leverage and funging adjustment for counterfactual impact estimates</t>
  </si>
  <si>
    <t>Source</t>
  </si>
  <si>
    <t>GW analysis and discussion</t>
  </si>
  <si>
    <t>Grant size</t>
  </si>
  <si>
    <t>Arbitrary value</t>
  </si>
  <si>
    <t>Percentage of total costs covered by the grantee</t>
  </si>
  <si>
    <t>GW analysis</t>
  </si>
  <si>
    <t>GW's analysis of Malaria Consortium's cost per SMC cycle administration</t>
  </si>
  <si>
    <t>Percentage of total costs covered by other philanthropic actors</t>
  </si>
  <si>
    <t>Percentage of total costs covered by domestic governments</t>
  </si>
  <si>
    <t>Cost per seasonal malaria chemoprevention (SMC) cycle administered</t>
  </si>
  <si>
    <t>Number of SMC cycles per year</t>
  </si>
  <si>
    <t>Malaria mortalities among the SMC-eligible population</t>
  </si>
  <si>
    <t>GW's analysis of malaria burden in SMC-eligible countries</t>
  </si>
  <si>
    <t>Early neonatal malaria mortalities per year (babies under 7 days old)</t>
  </si>
  <si>
    <t>Late neonatal malaria mortalities per year (babies between 7 and 27 days old)</t>
  </si>
  <si>
    <t>Post-neonatal malaria mortalities per year (babies between 28 and 364 days old)</t>
  </si>
  <si>
    <t>Number of post-neonatal months of life in which children are under 1 year old</t>
  </si>
  <si>
    <t>Number of post-neonatal months of life in which children are under 3 months old</t>
  </si>
  <si>
    <t>Malaria mortality rate among the SMC-eligible population</t>
  </si>
  <si>
    <t>Annual malaria mortality rate among people under age 5</t>
  </si>
  <si>
    <t>Total number of months of life in which children are under 5 years old</t>
  </si>
  <si>
    <t>Number of months of life in which children are under 3 months old</t>
  </si>
  <si>
    <t>Adjustment for malaria averted by ITN distributions not accounted for in GBD 2019</t>
  </si>
  <si>
    <t>GW guesstimate</t>
  </si>
  <si>
    <t>Total malaria mortalities per year</t>
  </si>
  <si>
    <t>Malaria incidence among people under 5</t>
  </si>
  <si>
    <t>Malaria incidence among people age 5 to 14</t>
  </si>
  <si>
    <t>Mortality reduction among people under age 5</t>
  </si>
  <si>
    <t>Reduction in malaria incidence for children under age 5 targeted for SMC found in GiveWell's adjusted version of the Meremikwu et al. 2012 meta-analysis</t>
  </si>
  <si>
    <t>GW's report on seasonal malaria chemoprevention (SMC)</t>
  </si>
  <si>
    <t>Estimated proportion of children targeted for SMC in trials that received SMC</t>
  </si>
  <si>
    <t>Internal validity adjustment</t>
  </si>
  <si>
    <t>External validity adjustment</t>
  </si>
  <si>
    <t>Adjustment for lower effectiveness outside the Sahel region of Africa</t>
  </si>
  <si>
    <t>Ratio of the reduction in malaria mortality to the reduction in malaria incidence</t>
  </si>
  <si>
    <t>Relative reduction in mortality rate due to vaccine rollout</t>
  </si>
  <si>
    <t>Indirect malaria deaths per direct malaria death</t>
  </si>
  <si>
    <t>Proportion of annual malaria mortality that occurs during the SMC season</t>
  </si>
  <si>
    <t>Mortality reduction among people over age 5</t>
  </si>
  <si>
    <t>Reduction in malaria incidence among the SMC-eligible population found in Cisse et al. 2016</t>
  </si>
  <si>
    <t>Cisse et al. 2016</t>
  </si>
  <si>
    <t>Reduction in malaria incidence among the population too old to be eligible for SMC found in Cisse et al. 2016</t>
  </si>
  <si>
    <t>Adjustment for differences in program coverage and transmission intensity in the populations studied by the Cisse et al. 2016 trial and the populations targeted by grantee programs</t>
  </si>
  <si>
    <t>Malaria prevalence reduction among people under age 15</t>
  </si>
  <si>
    <t>National population under 5</t>
  </si>
  <si>
    <t>GBD 2021</t>
  </si>
  <si>
    <t>National population age 5 to 14</t>
  </si>
  <si>
    <t>Increase in annual income per malaria case averted among people under age 15</t>
  </si>
  <si>
    <t>Average number of years between receiving SMC and the beginning of long-term benefits</t>
  </si>
  <si>
    <t>Discount rate for future benefits</t>
  </si>
  <si>
    <t>Expected number of years the long-term benefits of receiving SMC will last</t>
  </si>
  <si>
    <t>Multiplier for resource sharing within households</t>
  </si>
  <si>
    <t>Value assigned to averting a malaria-attributable death of a person under age 5</t>
  </si>
  <si>
    <t>GW value judgment</t>
  </si>
  <si>
    <t>Value assigned to averting a malaria-attributable death of a person age 5 or older</t>
  </si>
  <si>
    <t>Value assigned to doubling consumption for one person for one year</t>
  </si>
  <si>
    <t>Value assigned to increasing ln(consumption) by one unit for one person for one year</t>
  </si>
  <si>
    <t>Cost-effectiveness of GiveDirectly</t>
  </si>
  <si>
    <t>Value generated per dollar donated to GiveDirectly's unconditional cash transfer program</t>
  </si>
  <si>
    <t>GW's CEA for GiveDirectly's unconditional cash transfers</t>
  </si>
  <si>
    <t>Double treatment</t>
  </si>
  <si>
    <t>Ineffective goods</t>
  </si>
  <si>
    <t>Goods purchased and left in storage until they expire / cash doesn't receive recipients or is taken back from them inappropriately</t>
  </si>
  <si>
    <t>Incomplete or unrepresentative monitoring results</t>
  </si>
  <si>
    <t>Biased monitoring results</t>
  </si>
  <si>
    <t>Change of priorities</t>
  </si>
  <si>
    <t>Non-funding bottlenecks</t>
  </si>
  <si>
    <t>Within-org fungibility</t>
  </si>
  <si>
    <t>Malaria morbidity</t>
  </si>
  <si>
    <t>Short-term anemia effects</t>
  </si>
  <si>
    <t>Investment of income increases</t>
  </si>
  <si>
    <t>Treatment costs averted from prevention</t>
  </si>
  <si>
    <t>GW's write-up on treatment costs averted by health-improving interventions</t>
  </si>
  <si>
    <t>Serious adverse events due to side effects of treatment</t>
  </si>
  <si>
    <t>Failure to ingest first day of treatment of SMC</t>
  </si>
  <si>
    <t>Rebound effects / decreased immunity development</t>
  </si>
  <si>
    <t>Drug resistance</t>
  </si>
  <si>
    <t>Subnational adjustments</t>
  </si>
  <si>
    <t>Marginal funding goes to lower priority areas</t>
  </si>
  <si>
    <t>Scenario 1: Domestic governments would replace the grantee's costs</t>
  </si>
  <si>
    <t>Scenario 2: Global Fund and/or PMI would replace the grantee's costs</t>
  </si>
  <si>
    <t>Counterfactual value per dollar spent by domestic governments on malaria programs</t>
  </si>
  <si>
    <t>Counterfactual value per dollar spent by the Global Fund or PMI</t>
  </si>
  <si>
    <t>GBD 2021 Results Tool: Population estimates (2021)</t>
  </si>
  <si>
    <t>GBD 2021 Results Tool: Malaria mortalities (2021)</t>
  </si>
  <si>
    <t>GBD 2021 Results Tool: Malaria mortality rate among people under age 5</t>
  </si>
  <si>
    <t>GBD 2021 Results Tool: Malaria incidence (2021)</t>
  </si>
  <si>
    <t>GBD 2021: Malaria mortalities among people under age 5 (Nigerian states)</t>
  </si>
  <si>
    <t>GBD 2021: Malaria mortality rate among people under age 5 (Nigerian states)</t>
  </si>
  <si>
    <t>GBD 2021: Malaria incidence rate among people under age 5 (Nigerian states)</t>
  </si>
  <si>
    <t>Location</t>
  </si>
  <si>
    <t>Sex</t>
  </si>
  <si>
    <t>Age group</t>
  </si>
  <si>
    <t>Year</t>
  </si>
  <si>
    <t>Measure</t>
  </si>
  <si>
    <t>Metric</t>
  </si>
  <si>
    <t>val</t>
  </si>
  <si>
    <t>upper</t>
  </si>
  <si>
    <t>lower</t>
  </si>
  <si>
    <t>measure</t>
  </si>
  <si>
    <t>location</t>
  </si>
  <si>
    <t>sex</t>
  </si>
  <si>
    <t>age</t>
  </si>
  <si>
    <t>cause</t>
  </si>
  <si>
    <t>metric</t>
  </si>
  <si>
    <t>year</t>
  </si>
  <si>
    <t>Condition</t>
  </si>
  <si>
    <t>Age</t>
  </si>
  <si>
    <t>Unit</t>
  </si>
  <si>
    <t>Forecast Scenario</t>
  </si>
  <si>
    <t>Value</t>
  </si>
  <si>
    <t>Lower</t>
  </si>
  <si>
    <t>Upper</t>
  </si>
  <si>
    <t>Data Suite</t>
  </si>
  <si>
    <t>Angola</t>
  </si>
  <si>
    <t>both</t>
  </si>
  <si>
    <t>&lt;1 year</t>
  </si>
  <si>
    <t>Population</t>
  </si>
  <si>
    <t>Deaths</t>
  </si>
  <si>
    <t>Both</t>
  </si>
  <si>
    <t>&lt;5 years</t>
  </si>
  <si>
    <t>Malaria</t>
  </si>
  <si>
    <t>Rate</t>
  </si>
  <si>
    <t>Incidence</t>
  </si>
  <si>
    <t>Under 5</t>
  </si>
  <si>
    <t>Abia</t>
  </si>
  <si>
    <t>Past estimate</t>
  </si>
  <si>
    <t>2021</t>
  </si>
  <si>
    <t>GBD</t>
  </si>
  <si>
    <t>Rate (per 100,000)</t>
  </si>
  <si>
    <t>&lt;20 years</t>
  </si>
  <si>
    <t>0-6 days</t>
  </si>
  <si>
    <t>Bangladesh</t>
  </si>
  <si>
    <t>5-14 years</t>
  </si>
  <si>
    <t>7 to 27 days (late neonatal)</t>
  </si>
  <si>
    <t>Adamawa</t>
  </si>
  <si>
    <t>5 to 14</t>
  </si>
  <si>
    <t>&lt;28 days</t>
  </si>
  <si>
    <t>7-27 days</t>
  </si>
  <si>
    <t>Benin</t>
  </si>
  <si>
    <t>28 to 364 days (post neonatal)</t>
  </si>
  <si>
    <t>Akwa Ibom</t>
  </si>
  <si>
    <t>All ages</t>
  </si>
  <si>
    <t>Bhutan</t>
  </si>
  <si>
    <t>All Ages</t>
  </si>
  <si>
    <t>Anambra</t>
  </si>
  <si>
    <t>0-14 years</t>
  </si>
  <si>
    <t>Botswana</t>
  </si>
  <si>
    <t>Bayelsa</t>
  </si>
  <si>
    <t>10-14 years</t>
  </si>
  <si>
    <t>Burundi</t>
  </si>
  <si>
    <t>Benue</t>
  </si>
  <si>
    <t>10-19 years</t>
  </si>
  <si>
    <t>10-24 years</t>
  </si>
  <si>
    <t>Cabo Verde</t>
  </si>
  <si>
    <t>Cross River</t>
  </si>
  <si>
    <t>12-23 months</t>
  </si>
  <si>
    <t>Cameroon</t>
  </si>
  <si>
    <t>Delta</t>
  </si>
  <si>
    <t>1-5 months</t>
  </si>
  <si>
    <t>Central African Republic</t>
  </si>
  <si>
    <t>Ebonyi</t>
  </si>
  <si>
    <t>15-19 years</t>
  </si>
  <si>
    <t>Edo</t>
  </si>
  <si>
    <t>15-49 years</t>
  </si>
  <si>
    <t>Comoros</t>
  </si>
  <si>
    <t>Ekiti</t>
  </si>
  <si>
    <t>20-24 years</t>
  </si>
  <si>
    <t>Congo</t>
  </si>
  <si>
    <t>Enugu</t>
  </si>
  <si>
    <t>2-4 years</t>
  </si>
  <si>
    <t>Democratic Republic of the Congo</t>
  </si>
  <si>
    <t>25+ years</t>
  </si>
  <si>
    <t>Djibouti</t>
  </si>
  <si>
    <t>Gombe</t>
  </si>
  <si>
    <t>25-29 years</t>
  </si>
  <si>
    <t>Equatorial Guinea</t>
  </si>
  <si>
    <t>Imo</t>
  </si>
  <si>
    <t>30-34 years</t>
  </si>
  <si>
    <t>Eritrea</t>
  </si>
  <si>
    <t>Jigawa</t>
  </si>
  <si>
    <t>35-39 years</t>
  </si>
  <si>
    <t>Eswatini</t>
  </si>
  <si>
    <t>Kaduna</t>
  </si>
  <si>
    <t>40-44 years</t>
  </si>
  <si>
    <t>Ethiopia</t>
  </si>
  <si>
    <t>Kano</t>
  </si>
  <si>
    <t>45-49 years</t>
  </si>
  <si>
    <t>Gabon</t>
  </si>
  <si>
    <t>Katsina</t>
  </si>
  <si>
    <t>50-54 years</t>
  </si>
  <si>
    <t>Gambia</t>
  </si>
  <si>
    <t>50-69 years</t>
  </si>
  <si>
    <t>Ghana</t>
  </si>
  <si>
    <t>Guinea</t>
  </si>
  <si>
    <t>Kwara</t>
  </si>
  <si>
    <t>55-59 years</t>
  </si>
  <si>
    <t>Guinea-Bissau</t>
  </si>
  <si>
    <t>Lagos</t>
  </si>
  <si>
    <t>5-9 years</t>
  </si>
  <si>
    <t>India</t>
  </si>
  <si>
    <t>60-64 years</t>
  </si>
  <si>
    <t>Kenya</t>
  </si>
  <si>
    <t>Niger</t>
  </si>
  <si>
    <t>6-11 months</t>
  </si>
  <si>
    <t>Lesotho</t>
  </si>
  <si>
    <t>Ogun</t>
  </si>
  <si>
    <t>65-69 years</t>
  </si>
  <si>
    <t>Liberia</t>
  </si>
  <si>
    <t>Ondo</t>
  </si>
  <si>
    <t>70+ years</t>
  </si>
  <si>
    <t>Madagascar</t>
  </si>
  <si>
    <t>Osun</t>
  </si>
  <si>
    <t>70-74 years</t>
  </si>
  <si>
    <t>Malawi</t>
  </si>
  <si>
    <t>Mali</t>
  </si>
  <si>
    <t>75-79 years</t>
  </si>
  <si>
    <t>Mauritania</t>
  </si>
  <si>
    <t>Rivers</t>
  </si>
  <si>
    <t>80+ years</t>
  </si>
  <si>
    <t>80-84 years</t>
  </si>
  <si>
    <t>Namibia</t>
  </si>
  <si>
    <t>Taraba</t>
  </si>
  <si>
    <t>85-89 years</t>
  </si>
  <si>
    <t>Nepal</t>
  </si>
  <si>
    <t>Yobe</t>
  </si>
  <si>
    <t>90-94 years</t>
  </si>
  <si>
    <t>Zamfara</t>
  </si>
  <si>
    <t>95+ years</t>
  </si>
  <si>
    <t>Pakistan</t>
  </si>
  <si>
    <t>Rwanda</t>
  </si>
  <si>
    <t>Sao Tome and Principe</t>
  </si>
  <si>
    <t>Senegal</t>
  </si>
  <si>
    <t>Sierra Leone</t>
  </si>
  <si>
    <t>Somalia</t>
  </si>
  <si>
    <t>South Africa</t>
  </si>
  <si>
    <t>United Republic of Tanzania</t>
  </si>
  <si>
    <t>Zambia</t>
  </si>
  <si>
    <t>Zimbabwe</t>
  </si>
  <si>
    <t>CÃ´te d'Ivoire</t>
  </si>
  <si>
    <t>Grant</t>
  </si>
  <si>
    <t>Under-five mortality benefits</t>
  </si>
  <si>
    <t>Cost per person under age five reached</t>
  </si>
  <si>
    <t>Number of people under age five reached</t>
  </si>
  <si>
    <t>Proportion of reached children who would have received SMC in the absence of the program</t>
  </si>
  <si>
    <t>Number of additional children receiving SMC as a result of the program</t>
  </si>
  <si>
    <t>Malaria-attributable mortality rate among people under age five</t>
  </si>
  <si>
    <t>Proportion of malaria mortality occurring during the SMC season</t>
  </si>
  <si>
    <t>Effect of SMC on under-five deaths related to malaria</t>
  </si>
  <si>
    <t>Number of deaths averted among people under age five</t>
  </si>
  <si>
    <t>Initial cost-effectiveness estimate</t>
  </si>
  <si>
    <t>Cost per under-five death averted (before adjustments)</t>
  </si>
  <si>
    <t>Moral value of averting the death of a person under age five</t>
  </si>
  <si>
    <t>Initial cost-effectiveness in terms of multiples of GiveDirectly's unconditional cash transfer program</t>
  </si>
  <si>
    <t>Adjustments for other benefits</t>
  </si>
  <si>
    <t>Adjustment to account for mortalities averted among people age 5 and older</t>
  </si>
  <si>
    <t>Adjustment to account for developmental benefits (long-term income increases)</t>
  </si>
  <si>
    <t>Percentage of program impact coming from different benefits</t>
  </si>
  <si>
    <t>Mortalities averted for people under age five</t>
  </si>
  <si>
    <t>Mortalities averted for people over age five</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</si>
  <si>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</si>
  <si>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</si>
  <si>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</si>
  <si>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</si>
  <si>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</si>
  <si>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</si>
  <si>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</si>
  <si>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GiveDirectly's unconditional cash transfer program</t>
  </si>
  <si>
    <t>Final cost per life saved</t>
  </si>
  <si>
    <t>25th</t>
  </si>
  <si>
    <t>Best guess</t>
  </si>
  <si>
    <t>75th</t>
  </si>
  <si>
    <t>Final cost-effectiveness estimate (pulled from "Main calcs" sheet)</t>
  </si>
  <si>
    <t>Uncertainty level about each input</t>
  </si>
  <si>
    <t>Malaria-attributable mortality rate among people under five</t>
  </si>
  <si>
    <t>GiveWell's 25th and 75th percentile values for key inputs</t>
  </si>
  <si>
    <t>Northern Bahr El Ghazal</t>
  </si>
  <si>
    <t>Sensitivity analysis results</t>
  </si>
  <si>
    <t>Cost-effectiveness estimate for the 25th and 75th percentile value</t>
  </si>
  <si>
    <t>Monte Carlo sheet URL</t>
  </si>
  <si>
    <t>1YP9iW6IqYcPv5T-ZePW4J6vXLmgjZv21c3qDQkLqoBk</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</si>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</sst>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66">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color theme="1"/>
      <name val="Arial"/>
    </font>
    <font>
      <u/>
      <color rgb="FF1155CC"/>
      <name val="Arial"/>
    </font>
    <font>
      <u/>
      <color rgb="FF0000FF"/>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rgb="FF000000"/>
      <name val="Calibri"/>
    </font>
    <font>
      <u/>
      <sz val="11.0"/>
      <color theme="1"/>
      <name val="Calibri"/>
    </font>
    <font>
      <u/>
      <sz val="11.0"/>
      <color theme="1"/>
      <name val="Calibri"/>
    </font>
    <font>
      <u/>
      <sz val="11.0"/>
      <color theme="1"/>
      <name val="Calibri"/>
    </font>
    <font>
      <u/>
      <sz val="11.0"/>
      <color rgb="FF000000"/>
      <name val="Calibri"/>
    </font>
    <font>
      <i/>
      <sz val="11.0"/>
      <color rgb="FF000000"/>
      <name val="Calibri"/>
    </font>
    <font>
      <color theme="1"/>
      <name val="Arial"/>
      <scheme val="minor"/>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color rgb="FF000000"/>
      <name val="Arial"/>
    </font>
    <font>
      <b/>
      <u/>
      <color rgb="FF000000"/>
      <name val="Arial"/>
    </font>
    <font>
      <b/>
      <u/>
      <color rgb="FF000000"/>
      <name val="Arial"/>
    </font>
    <font>
      <color rgb="FF000000"/>
      <name val="Arial"/>
      <scheme val="minor"/>
    </font>
    <font>
      <b/>
      <u/>
      <color rgb="FF000000"/>
      <name val="Arial"/>
    </font>
    <font>
      <b/>
      <u/>
      <color rgb="FF000000"/>
      <name val="Arial"/>
    </font>
    <font>
      <b/>
      <color theme="1"/>
      <name val="Arial"/>
    </font>
    <font>
      <u/>
      <sz val="11.0"/>
      <color theme="1"/>
      <name val="Calibri"/>
    </font>
    <font>
      <i/>
      <sz val="11.0"/>
      <color theme="1"/>
      <name val="Calibri"/>
    </font>
    <font>
      <sz val="11.0"/>
      <color rgb="FF666666"/>
      <name val="Calibri"/>
    </font>
  </fonts>
  <fills count="36">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FFFBEF"/>
        <bgColor rgb="FFFFFBEF"/>
      </patternFill>
    </fill>
    <fill>
      <patternFill patternType="solid">
        <fgColor rgb="FFFFFCF0"/>
        <bgColor rgb="FFFFFCF0"/>
      </patternFill>
    </fill>
    <fill>
      <patternFill patternType="solid">
        <fgColor rgb="FFFFF7E0"/>
        <bgColor rgb="FFFFF7E0"/>
      </patternFill>
    </fill>
    <fill>
      <patternFill patternType="solid">
        <fgColor rgb="FFFFF8E1"/>
        <bgColor rgb="FFFFF8E1"/>
      </patternFill>
    </fill>
    <fill>
      <patternFill patternType="solid">
        <fgColor rgb="FFFFEFC1"/>
        <bgColor rgb="FFFFEFC1"/>
      </patternFill>
    </fill>
    <fill>
      <patternFill patternType="solid">
        <fgColor rgb="FFFFF0C2"/>
        <bgColor rgb="FFFFF0C2"/>
      </patternFill>
    </fill>
    <fill>
      <patternFill patternType="solid">
        <fgColor rgb="FFFFF3D1"/>
        <bgColor rgb="FFFFF3D1"/>
      </patternFill>
    </fill>
    <fill>
      <patternFill patternType="solid">
        <fgColor rgb="FFFFF4D2"/>
        <bgColor rgb="FFFFF4D2"/>
      </patternFill>
    </fill>
    <fill>
      <patternFill patternType="solid">
        <fgColor rgb="FFFFF5D8"/>
        <bgColor rgb="FFFFF5D8"/>
      </patternFill>
    </fill>
    <fill>
      <patternFill patternType="solid">
        <fgColor rgb="FFFFF6D9"/>
        <bgColor rgb="FFFFF6D9"/>
      </patternFill>
    </fill>
    <fill>
      <patternFill patternType="solid">
        <fgColor rgb="FFFFF1C9"/>
        <bgColor rgb="FFFFF1C9"/>
      </patternFill>
    </fill>
    <fill>
      <patternFill patternType="solid">
        <fgColor rgb="FFFFF2CA"/>
        <bgColor rgb="FFFFF2CA"/>
      </patternFill>
    </fill>
    <fill>
      <patternFill patternType="solid">
        <fgColor rgb="FFFFECB2"/>
        <bgColor rgb="FFFFECB2"/>
      </patternFill>
    </fill>
    <fill>
      <patternFill patternType="solid">
        <fgColor rgb="FFFFECB3"/>
        <bgColor rgb="FFFFECB3"/>
      </patternFill>
    </fill>
    <fill>
      <patternFill patternType="solid">
        <fgColor rgb="FFFFE493"/>
        <bgColor rgb="FFFFE493"/>
      </patternFill>
    </fill>
    <fill>
      <patternFill patternType="solid">
        <fgColor rgb="FFFFE594"/>
        <bgColor rgb="FFFFE594"/>
      </patternFill>
    </fill>
    <fill>
      <patternFill patternType="solid">
        <fgColor rgb="FFFFE8A3"/>
        <bgColor rgb="FFFFE8A3"/>
      </patternFill>
    </fill>
    <fill>
      <patternFill patternType="solid">
        <fgColor rgb="FFFFE9A4"/>
        <bgColor rgb="FFFFE9A4"/>
      </patternFill>
    </fill>
    <fill>
      <patternFill patternType="solid">
        <fgColor rgb="FFFFE69B"/>
        <bgColor rgb="FFFFE69B"/>
      </patternFill>
    </fill>
    <fill>
      <patternFill patternType="solid">
        <fgColor rgb="FFFFE79C"/>
        <bgColor rgb="FFFFE79C"/>
      </patternFill>
    </fill>
    <fill>
      <patternFill patternType="solid">
        <fgColor rgb="FFFFE28C"/>
        <bgColor rgb="FFFFE28C"/>
      </patternFill>
    </fill>
    <fill>
      <patternFill patternType="solid">
        <fgColor rgb="FFFFE38D"/>
        <bgColor rgb="FFFFE38D"/>
      </patternFill>
    </fill>
    <fill>
      <patternFill patternType="solid">
        <fgColor rgb="FFFFEDBA"/>
        <bgColor rgb="FFFFEDBA"/>
      </patternFill>
    </fill>
    <fill>
      <patternFill patternType="solid">
        <fgColor rgb="FFFFEEBB"/>
        <bgColor rgb="FFFFEEBB"/>
      </patternFill>
    </fill>
    <fill>
      <patternFill patternType="solid">
        <fgColor rgb="FFFFEAAA"/>
        <bgColor rgb="FFFFEAAA"/>
      </patternFill>
    </fill>
    <fill>
      <patternFill patternType="solid">
        <fgColor rgb="FFFFEBAB"/>
        <bgColor rgb="FFFFEBAB"/>
      </patternFill>
    </fill>
    <fill>
      <patternFill patternType="solid">
        <fgColor rgb="FFFFDE7C"/>
        <bgColor rgb="FFFFDE7C"/>
      </patternFill>
    </fill>
    <fill>
      <patternFill patternType="solid">
        <fgColor rgb="FFFFDF7D"/>
        <bgColor rgb="FFFFDF7D"/>
      </patternFill>
    </fill>
    <fill>
      <patternFill patternType="solid">
        <fgColor rgb="FFFFE185"/>
        <bgColor rgb="FFFFE185"/>
      </patternFill>
    </fill>
    <fill>
      <patternFill patternType="solid">
        <fgColor rgb="FFFFE084"/>
        <bgColor rgb="FFFFE084"/>
      </patternFill>
    </fill>
    <fill>
      <patternFill patternType="solid">
        <fgColor rgb="FFFFD966"/>
        <bgColor rgb="FFFFD966"/>
      </patternFill>
    </fill>
  </fills>
  <borders count="48">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right style="thin">
        <color rgb="FF999999"/>
      </right>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right style="thin">
        <color rgb="FF000000"/>
      </right>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999999"/>
      </right>
      <bottom style="thin">
        <color rgb="FF000000"/>
      </bottom>
    </border>
    <border>
      <right style="thin">
        <color rgb="FF000000"/>
      </right>
      <bottom style="thin">
        <color rgb="FF000000"/>
      </bottom>
    </border>
    <border>
      <left style="thin">
        <color rgb="FF999999"/>
      </left>
      <top style="thin">
        <color rgb="FFCCCCCC"/>
      </top>
    </border>
  </borders>
  <cellStyleXfs count="1">
    <xf borderId="0" fillId="0" fontId="0" numFmtId="0" applyAlignment="1" applyFont="1"/>
  </cellStyleXfs>
  <cellXfs count="97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1" numFmtId="0" xfId="0" applyAlignment="1" applyBorder="1" applyFont="1">
      <alignment horizontal="left" readingOrder="0" shrinkToFit="0" wrapText="0"/>
    </xf>
    <xf borderId="8" fillId="0" fontId="4" numFmtId="0" xfId="0" applyAlignment="1" applyBorder="1" applyFont="1">
      <alignment horizontal="left" readingOrder="0" shrinkToFit="0" wrapText="0"/>
    </xf>
    <xf borderId="8" fillId="0" fontId="3" numFmtId="0" xfId="0" applyAlignment="1" applyBorder="1" applyFont="1">
      <alignment horizontal="left" readingOrder="0" shrinkToFit="0" wrapText="0"/>
    </xf>
    <xf borderId="8" fillId="0" fontId="3" numFmtId="0" xfId="0" applyBorder="1" applyFont="1"/>
    <xf borderId="9" fillId="0" fontId="3" numFmtId="0" xfId="0" applyBorder="1" applyFont="1"/>
    <xf borderId="10" fillId="0" fontId="5"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0" fillId="0" fontId="3" numFmtId="0" xfId="0" applyBorder="1" applyFont="1"/>
    <xf borderId="11" fillId="0" fontId="3" numFmtId="0" xfId="0" applyBorder="1" applyFont="1"/>
    <xf borderId="12" fillId="0" fontId="6"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12" fillId="0" fontId="3" numFmtId="0" xfId="0" applyBorder="1" applyFont="1"/>
    <xf borderId="13" fillId="0" fontId="3" numFmtId="0" xfId="0" applyBorder="1" applyFont="1"/>
    <xf borderId="14" fillId="0" fontId="3" numFmtId="0" xfId="0" applyBorder="1" applyFont="1"/>
    <xf borderId="7"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7" numFmtId="0" xfId="0" applyAlignment="1" applyFont="1">
      <alignment horizontal="left" readingOrder="0" shrinkToFit="0" wrapText="0"/>
    </xf>
    <xf borderId="8" fillId="0" fontId="1" numFmtId="0" xfId="0" applyAlignment="1" applyBorder="1" applyFont="1">
      <alignment horizontal="left" readingOrder="0" shrinkToFit="0" wrapText="0"/>
    </xf>
    <xf borderId="8" fillId="0" fontId="3" numFmtId="0" xfId="0" applyAlignment="1" applyBorder="1" applyFont="1">
      <alignment horizontal="left" readingOrder="0" shrinkToFit="0" wrapText="1"/>
    </xf>
    <xf borderId="8" fillId="0" fontId="2" numFmtId="0" xfId="0" applyBorder="1" applyFont="1"/>
    <xf borderId="10" fillId="0" fontId="1" numFmtId="0" xfId="0" applyAlignment="1" applyBorder="1" applyFont="1">
      <alignment horizontal="left" readingOrder="0" shrinkToFit="0" wrapText="0"/>
    </xf>
    <xf borderId="10" fillId="0" fontId="3" numFmtId="0" xfId="0" applyAlignment="1" applyBorder="1" applyFont="1">
      <alignment horizontal="left" readingOrder="0" shrinkToFit="0" wrapText="1"/>
    </xf>
    <xf borderId="10" fillId="0" fontId="2" numFmtId="0" xfId="0" applyBorder="1" applyFont="1"/>
    <xf borderId="8" fillId="0" fontId="1" numFmtId="0" xfId="0" applyAlignment="1" applyBorder="1" applyFont="1">
      <alignment horizontal="left" readingOrder="0" shrinkToFit="0" wrapText="1"/>
    </xf>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8" numFmtId="0" xfId="0" applyAlignment="1" applyFont="1">
      <alignment readingOrder="0"/>
    </xf>
    <xf borderId="8" fillId="0" fontId="1" numFmtId="0" xfId="0" applyAlignment="1" applyBorder="1" applyFont="1">
      <alignment readingOrder="0"/>
    </xf>
    <xf borderId="8" fillId="0" fontId="3" numFmtId="0" xfId="0" applyAlignment="1" applyBorder="1" applyFont="1">
      <alignment readingOrder="0"/>
    </xf>
    <xf borderId="10" fillId="0" fontId="1" numFmtId="0" xfId="0" applyAlignment="1" applyBorder="1" applyFont="1">
      <alignment readingOrder="0"/>
    </xf>
    <xf borderId="10" fillId="0" fontId="3" numFmtId="0" xfId="0" applyAlignment="1" applyBorder="1" applyFont="1">
      <alignment readingOrder="0"/>
    </xf>
    <xf borderId="12" fillId="0" fontId="1" numFmtId="0" xfId="0" applyAlignment="1" applyBorder="1" applyFont="1">
      <alignment readingOrder="0"/>
    </xf>
    <xf borderId="12" fillId="0" fontId="3" numFmtId="0" xfId="0" applyAlignment="1" applyBorder="1" applyFont="1">
      <alignment readingOrder="0"/>
    </xf>
    <xf borderId="7" fillId="0" fontId="9"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readingOrder="0"/>
    </xf>
    <xf borderId="8" fillId="0" fontId="11" numFmtId="0" xfId="0" applyAlignment="1" applyBorder="1" applyFont="1">
      <alignment vertical="bottom"/>
    </xf>
    <xf borderId="7" fillId="0" fontId="12" numFmtId="1" xfId="0" applyAlignment="1" applyBorder="1" applyFont="1" applyNumberFormat="1">
      <alignment horizontal="left" readingOrder="0" shrinkToFit="0" vertical="bottom" wrapText="0"/>
    </xf>
    <xf borderId="10" fillId="0" fontId="13" numFmtId="1" xfId="0" applyAlignment="1" applyBorder="1" applyFont="1" applyNumberFormat="1">
      <alignment vertical="bottom"/>
    </xf>
    <xf borderId="7" fillId="0" fontId="3" numFmtId="0" xfId="0" applyBorder="1" applyFont="1"/>
    <xf borderId="9" fillId="0" fontId="14" numFmtId="0" xfId="0" applyAlignment="1" applyBorder="1" applyFont="1">
      <alignment vertical="bottom"/>
    </xf>
    <xf borderId="16" fillId="0" fontId="15" numFmtId="0" xfId="0" applyAlignment="1" applyBorder="1" applyFont="1">
      <alignment vertical="bottom"/>
    </xf>
    <xf borderId="11" fillId="0" fontId="16" numFmtId="1" xfId="0" applyAlignment="1" applyBorder="1" applyFont="1" applyNumberFormat="1">
      <alignment vertical="bottom"/>
    </xf>
    <xf borderId="0" fillId="0" fontId="3" numFmtId="0" xfId="0" applyAlignment="1" applyFont="1">
      <alignment readingOrder="0"/>
    </xf>
    <xf borderId="7" fillId="0" fontId="17" numFmtId="0" xfId="0" applyAlignment="1" applyBorder="1" applyFont="1">
      <alignment horizontal="left" readingOrder="0" shrinkToFit="0" wrapText="0"/>
    </xf>
    <xf borderId="8" fillId="0" fontId="18" numFmtId="0" xfId="0" applyAlignment="1" applyBorder="1" applyFont="1">
      <alignment horizontal="left" readingOrder="0" shrinkToFit="0" wrapText="0"/>
    </xf>
    <xf borderId="10" fillId="0" fontId="19" numFmtId="0" xfId="0" applyAlignment="1" applyBorder="1" applyFont="1">
      <alignment horizontal="left" readingOrder="0" shrinkToFit="0" wrapText="0"/>
    </xf>
    <xf borderId="17" fillId="0" fontId="3" numFmtId="0" xfId="0" applyBorder="1" applyFont="1"/>
    <xf borderId="18" fillId="0" fontId="3" numFmtId="0" xfId="0" applyBorder="1" applyFont="1"/>
    <xf borderId="7" fillId="0" fontId="20" numFmtId="0" xfId="0" applyAlignment="1" applyBorder="1" applyFont="1">
      <alignment vertical="bottom"/>
    </xf>
    <xf borderId="0" fillId="0" fontId="20" numFmtId="0" xfId="0" applyAlignment="1" applyFont="1">
      <alignment vertical="bottom"/>
    </xf>
    <xf borderId="8" fillId="0" fontId="21" numFmtId="0" xfId="0" applyAlignment="1" applyBorder="1" applyFont="1">
      <alignment shrinkToFit="0" vertical="bottom" wrapText="0"/>
    </xf>
    <xf borderId="8" fillId="0" fontId="20" numFmtId="0" xfId="0" applyAlignment="1" applyBorder="1" applyFont="1">
      <alignment vertical="bottom"/>
    </xf>
    <xf borderId="14" fillId="0" fontId="20" numFmtId="0" xfId="0" applyAlignment="1" applyBorder="1" applyFont="1">
      <alignment vertical="bottom"/>
    </xf>
    <xf borderId="9" fillId="0" fontId="22" numFmtId="0" xfId="0" applyAlignment="1" applyBorder="1" applyFont="1">
      <alignment readingOrder="0"/>
    </xf>
    <xf borderId="12" fillId="0" fontId="23" numFmtId="0" xfId="0" applyAlignment="1" applyBorder="1" applyFont="1">
      <alignment horizontal="left" readingOrder="0" shrinkToFit="0" wrapText="0"/>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4"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4" numFmtId="0" xfId="0" applyAlignment="1" applyBorder="1" applyFont="1">
      <alignment horizontal="right" readingOrder="0"/>
    </xf>
    <xf borderId="15" fillId="2" fontId="24" numFmtId="0" xfId="0" applyAlignment="1" applyBorder="1" applyFont="1">
      <alignment horizontal="center" readingOrder="0"/>
    </xf>
    <xf borderId="5" fillId="2" fontId="24" numFmtId="0" xfId="0" applyAlignment="1" applyBorder="1" applyFont="1">
      <alignment horizontal="center" readingOrder="0"/>
    </xf>
    <xf borderId="20" fillId="2" fontId="1" numFmtId="0" xfId="0" applyAlignment="1" applyBorder="1" applyFont="1">
      <alignment horizontal="center" vertical="bottom"/>
    </xf>
    <xf borderId="7" fillId="2" fontId="1" numFmtId="0" xfId="0" applyAlignment="1" applyBorder="1" applyFont="1">
      <alignment readingOrder="0" vertical="bottom"/>
    </xf>
    <xf borderId="0" fillId="2" fontId="1" numFmtId="0" xfId="0" applyAlignment="1" applyFont="1">
      <alignment vertical="bottom"/>
    </xf>
    <xf borderId="0" fillId="2" fontId="24" numFmtId="0" xfId="0" applyAlignment="1" applyFont="1">
      <alignment shrinkToFit="0" vertical="bottom" wrapText="1"/>
    </xf>
    <xf borderId="0" fillId="2" fontId="1" numFmtId="0" xfId="0" applyAlignment="1" applyFont="1">
      <alignment horizontal="right" readingOrder="0" shrinkToFit="0" vertical="bottom" wrapText="1"/>
    </xf>
    <xf borderId="14" fillId="2" fontId="1" numFmtId="0" xfId="0" applyAlignment="1" applyBorder="1" applyFont="1">
      <alignment horizontal="right" readingOrder="0" shrinkToFit="0" vertical="bottom" wrapText="1"/>
    </xf>
    <xf borderId="21" fillId="2" fontId="24" numFmtId="0" xfId="0" applyAlignment="1" applyBorder="1" applyFont="1">
      <alignment horizontal="right" readingOrder="0"/>
    </xf>
    <xf borderId="0" fillId="2" fontId="24" numFmtId="0" xfId="0" applyAlignment="1" applyFont="1">
      <alignment horizontal="center" readingOrder="0"/>
    </xf>
    <xf borderId="0" fillId="2" fontId="24" numFmtId="0" xfId="0" applyAlignment="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4" numFmtId="0" xfId="0" applyAlignment="1" applyBorder="1" applyFont="1">
      <alignment horizontal="center" readingOrder="0"/>
    </xf>
    <xf borderId="15" fillId="2" fontId="24"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4"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5" numFmtId="164" xfId="0" applyAlignment="1" applyBorder="1" applyFont="1" applyNumberFormat="1">
      <alignment horizontal="right" vertical="bottom"/>
    </xf>
    <xf borderId="15" fillId="3" fontId="24" numFmtId="164" xfId="0" applyAlignment="1" applyBorder="1" applyFont="1" applyNumberFormat="1">
      <alignment horizontal="right" vertical="bottom"/>
    </xf>
    <xf borderId="16"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3" fillId="3" fontId="25" numFmtId="0" xfId="0" applyAlignment="1" applyBorder="1" applyFont="1">
      <alignment horizontal="right" vertical="bottom"/>
    </xf>
    <xf borderId="5" fillId="3" fontId="25" numFmtId="164" xfId="0" applyAlignment="1" applyBorder="1" applyFont="1" applyNumberFormat="1">
      <alignment horizontal="right" vertical="bottom"/>
    </xf>
    <xf borderId="6" fillId="3" fontId="3" numFmtId="0" xfId="0" applyAlignment="1" applyBorder="1" applyFont="1">
      <alignment horizontal="center" vertical="bottom"/>
    </xf>
    <xf borderId="7" fillId="0" fontId="3" numFmtId="0" xfId="0" applyAlignment="1" applyBorder="1" applyFont="1">
      <alignment vertical="bottom"/>
    </xf>
    <xf borderId="0" fillId="0" fontId="3" numFmtId="0" xfId="0" applyAlignment="1" applyFont="1">
      <alignment vertical="bottom"/>
    </xf>
    <xf borderId="0" fillId="0" fontId="25" numFmtId="0" xfId="0" applyAlignment="1" applyFont="1">
      <alignment shrinkToFit="0" vertical="bottom" wrapText="1"/>
    </xf>
    <xf borderId="0" fillId="0" fontId="3" numFmtId="0" xfId="0" applyAlignment="1" applyFont="1">
      <alignment horizontal="right" vertical="bottom"/>
    </xf>
    <xf borderId="14" fillId="0" fontId="3" numFmtId="0" xfId="0" applyAlignment="1" applyBorder="1" applyFont="1">
      <alignment horizontal="right" vertical="bottom"/>
    </xf>
    <xf borderId="21" fillId="0" fontId="25" numFmtId="0" xfId="0" applyAlignment="1" applyBorder="1" applyFont="1">
      <alignment horizontal="right"/>
    </xf>
    <xf borderId="0" fillId="0" fontId="25" numFmtId="165" xfId="0" applyAlignment="1" applyFont="1" applyNumberFormat="1">
      <alignment horizontal="right"/>
    </xf>
    <xf borderId="14" fillId="0" fontId="3" numFmtId="0" xfId="0" applyAlignment="1" applyBorder="1" applyFont="1">
      <alignment horizontal="center"/>
    </xf>
    <xf borderId="0" fillId="0" fontId="26" numFmtId="0" xfId="0" applyAlignment="1" applyFont="1">
      <alignment readingOrder="0" shrinkToFit="0" vertical="bottom" wrapText="0"/>
    </xf>
    <xf borderId="14" fillId="0" fontId="3" numFmtId="1" xfId="0" applyAlignment="1" applyBorder="1" applyFont="1" applyNumberFormat="1">
      <alignment horizontal="right" vertical="bottom"/>
    </xf>
    <xf borderId="0" fillId="0" fontId="25" numFmtId="0" xfId="0" applyAlignment="1" applyFont="1">
      <alignment horizontal="right"/>
    </xf>
    <xf borderId="15" fillId="0" fontId="25" numFmtId="0" xfId="0" applyAlignment="1" applyBorder="1" applyFont="1">
      <alignment readingOrder="0" shrinkToFit="0" vertical="bottom" wrapText="1"/>
    </xf>
    <xf borderId="15" fillId="0" fontId="3" numFmtId="0" xfId="0" applyAlignment="1" applyBorder="1" applyFont="1">
      <alignment horizontal="right" readingOrder="0" vertical="bottom"/>
    </xf>
    <xf borderId="16" fillId="0" fontId="25" numFmtId="1" xfId="0" applyAlignment="1" applyBorder="1" applyFont="1" applyNumberFormat="1">
      <alignment horizontal="right" vertical="bottom"/>
    </xf>
    <xf borderId="22" fillId="0" fontId="25" numFmtId="166" xfId="0" applyAlignment="1" applyBorder="1" applyFont="1" applyNumberFormat="1">
      <alignment horizontal="right" readingOrder="0"/>
    </xf>
    <xf borderId="15" fillId="0" fontId="25" numFmtId="166" xfId="0" applyAlignment="1" applyBorder="1" applyFont="1" applyNumberFormat="1">
      <alignment horizontal="right" readingOrder="0"/>
    </xf>
    <xf borderId="16" fillId="0" fontId="3" numFmtId="0" xfId="0" applyAlignment="1" applyBorder="1" applyFont="1">
      <alignment horizontal="center" readingOrder="0"/>
    </xf>
    <xf borderId="0" fillId="0" fontId="25" numFmtId="0" xfId="0" applyAlignment="1" applyFont="1">
      <alignment readingOrder="0" shrinkToFit="0" vertical="bottom" wrapText="1"/>
    </xf>
    <xf borderId="0" fillId="0" fontId="3" numFmtId="0" xfId="0" applyAlignment="1" applyFont="1">
      <alignment horizontal="right" readingOrder="0" vertical="bottom"/>
    </xf>
    <xf borderId="14" fillId="0" fontId="3" numFmtId="1" xfId="0" applyAlignment="1" applyBorder="1" applyFont="1" applyNumberFormat="1">
      <alignment horizontal="right" readingOrder="0" vertical="bottom"/>
    </xf>
    <xf borderId="0" fillId="0" fontId="3" numFmtId="0" xfId="0" applyAlignment="1" applyFont="1">
      <alignment horizontal="right" readingOrder="0"/>
    </xf>
    <xf borderId="14" fillId="0" fontId="3" numFmtId="0" xfId="0" applyAlignment="1" applyBorder="1" applyFont="1">
      <alignment horizontal="right"/>
    </xf>
    <xf borderId="8" fillId="0" fontId="25" numFmtId="0" xfId="0" applyAlignment="1" applyBorder="1" applyFont="1">
      <alignment readingOrder="0" shrinkToFit="0" wrapText="1"/>
    </xf>
    <xf borderId="8" fillId="0" fontId="3" numFmtId="0" xfId="0" applyAlignment="1" applyBorder="1" applyFont="1">
      <alignment horizontal="right" readingOrder="0"/>
    </xf>
    <xf borderId="9" fillId="0" fontId="3" numFmtId="0" xfId="0" applyAlignment="1" applyBorder="1" applyFont="1">
      <alignment horizontal="right" readingOrder="0"/>
    </xf>
    <xf borderId="24" fillId="0" fontId="25" numFmtId="0" xfId="0" applyAlignment="1" applyBorder="1" applyFont="1">
      <alignment horizontal="right"/>
    </xf>
    <xf borderId="8" fillId="0" fontId="25" numFmtId="9" xfId="0" applyAlignment="1" applyBorder="1" applyFont="1" applyNumberFormat="1">
      <alignment horizontal="right"/>
    </xf>
    <xf borderId="9" fillId="0" fontId="3" numFmtId="0" xfId="0" applyAlignment="1" applyBorder="1" applyFont="1">
      <alignment horizontal="center" readingOrder="0"/>
    </xf>
    <xf borderId="10" fillId="0" fontId="25" numFmtId="0" xfId="0" applyAlignment="1" applyBorder="1" applyFont="1">
      <alignment readingOrder="0" shrinkToFit="0" wrapText="1"/>
    </xf>
    <xf borderId="10" fillId="0" fontId="3" numFmtId="0" xfId="0" applyAlignment="1" applyBorder="1" applyFont="1">
      <alignment horizontal="right" readingOrder="0"/>
    </xf>
    <xf borderId="11" fillId="0" fontId="3" numFmtId="0" xfId="0" applyAlignment="1" applyBorder="1" applyFont="1">
      <alignment horizontal="right" readingOrder="0"/>
    </xf>
    <xf borderId="25" fillId="0" fontId="25" numFmtId="0" xfId="0" applyAlignment="1" applyBorder="1" applyFont="1">
      <alignment horizontal="right"/>
    </xf>
    <xf borderId="10" fillId="0" fontId="25" numFmtId="9" xfId="0" applyAlignment="1" applyBorder="1" applyFont="1" applyNumberFormat="1">
      <alignment horizontal="right"/>
    </xf>
    <xf borderId="11" fillId="0" fontId="3" numFmtId="0" xfId="0" applyAlignment="1" applyBorder="1" applyFont="1">
      <alignment horizontal="center" readingOrder="0"/>
    </xf>
    <xf borderId="12" fillId="0" fontId="25" numFmtId="0" xfId="0" applyAlignment="1" applyBorder="1" applyFont="1">
      <alignment readingOrder="0" shrinkToFit="0" wrapText="1"/>
    </xf>
    <xf borderId="12" fillId="0" fontId="3" numFmtId="0" xfId="0" applyAlignment="1" applyBorder="1" applyFont="1">
      <alignment horizontal="right" readingOrder="0"/>
    </xf>
    <xf borderId="13" fillId="0" fontId="3" numFmtId="0" xfId="0" applyAlignment="1" applyBorder="1" applyFont="1">
      <alignment horizontal="right" readingOrder="0"/>
    </xf>
    <xf borderId="26" fillId="0" fontId="25" numFmtId="0" xfId="0" applyAlignment="1" applyBorder="1" applyFont="1">
      <alignment horizontal="right"/>
    </xf>
    <xf borderId="12" fillId="0" fontId="25" numFmtId="9" xfId="0" applyAlignment="1" applyBorder="1" applyFont="1" applyNumberFormat="1">
      <alignment horizontal="right"/>
    </xf>
    <xf borderId="13" fillId="0" fontId="3" numFmtId="0" xfId="0" applyAlignment="1" applyBorder="1" applyFont="1">
      <alignment horizontal="center" readingOrder="0"/>
    </xf>
    <xf borderId="0" fillId="0" fontId="27" numFmtId="0" xfId="0" applyAlignment="1" applyFont="1">
      <alignment readingOrder="0" shrinkToFit="0" vertical="bottom" wrapText="0"/>
    </xf>
    <xf borderId="14" fillId="0" fontId="3" numFmtId="0" xfId="0" applyAlignment="1" applyBorder="1" applyFont="1">
      <alignment horizontal="right" readingOrder="0" vertical="bottom"/>
    </xf>
    <xf borderId="16" fillId="0" fontId="3" numFmtId="0" xfId="0" applyAlignment="1" applyBorder="1" applyFont="1">
      <alignment horizontal="right" readingOrder="0" vertical="bottom"/>
    </xf>
    <xf borderId="22" fillId="0" fontId="25" numFmtId="0" xfId="0" applyAlignment="1" applyBorder="1" applyFont="1">
      <alignment horizontal="right" readingOrder="0"/>
    </xf>
    <xf borderId="15" fillId="0" fontId="25" numFmtId="166" xfId="0" applyAlignment="1" applyBorder="1" applyFont="1" applyNumberFormat="1">
      <alignment horizontal="right"/>
    </xf>
    <xf borderId="0" fillId="0" fontId="28" numFmtId="0" xfId="0" applyAlignment="1" applyFont="1">
      <alignment readingOrder="0" vertical="bottom"/>
    </xf>
    <xf borderId="8" fillId="0" fontId="25" numFmtId="0" xfId="0" applyAlignment="1" applyBorder="1" applyFont="1">
      <alignment readingOrder="0" shrinkToFit="0" vertical="bottom" wrapText="1"/>
    </xf>
    <xf borderId="8" fillId="0" fontId="3" numFmtId="0" xfId="0" applyAlignment="1" applyBorder="1" applyFont="1">
      <alignment horizontal="right" readingOrder="0" vertical="bottom"/>
    </xf>
    <xf borderId="9" fillId="0" fontId="3" numFmtId="1" xfId="0" applyAlignment="1" applyBorder="1" applyFont="1" applyNumberFormat="1">
      <alignment horizontal="right" readingOrder="0" vertical="bottom"/>
    </xf>
    <xf borderId="24" fillId="0" fontId="25" numFmtId="0" xfId="0" applyAlignment="1" applyBorder="1" applyFont="1">
      <alignment horizontal="right" readingOrder="0"/>
    </xf>
    <xf borderId="8" fillId="0" fontId="25" numFmtId="166" xfId="0" applyAlignment="1" applyBorder="1" applyFont="1" applyNumberFormat="1">
      <alignment horizontal="right" readingOrder="0"/>
    </xf>
    <xf borderId="10" fillId="0" fontId="25" numFmtId="0" xfId="0" applyAlignment="1" applyBorder="1" applyFont="1">
      <alignment readingOrder="0" shrinkToFit="0" vertical="bottom" wrapText="1"/>
    </xf>
    <xf borderId="10" fillId="0" fontId="3" numFmtId="0" xfId="0" applyAlignment="1" applyBorder="1" applyFont="1">
      <alignment horizontal="right" readingOrder="0" vertical="bottom"/>
    </xf>
    <xf borderId="11" fillId="0" fontId="25" numFmtId="1" xfId="0" applyAlignment="1" applyBorder="1" applyFont="1" applyNumberFormat="1">
      <alignment horizontal="right" readingOrder="0" vertical="bottom"/>
    </xf>
    <xf borderId="25" fillId="0" fontId="25" numFmtId="164" xfId="0" applyAlignment="1" applyBorder="1" applyFont="1" applyNumberFormat="1">
      <alignment horizontal="right" readingOrder="0"/>
    </xf>
    <xf borderId="10" fillId="0" fontId="25" numFmtId="166" xfId="0" applyAlignment="1" applyBorder="1" applyFont="1" applyNumberFormat="1">
      <alignment horizontal="right" readingOrder="0"/>
    </xf>
    <xf borderId="12" fillId="0" fontId="25" numFmtId="0" xfId="0" applyAlignment="1" applyBorder="1" applyFont="1">
      <alignment readingOrder="0" shrinkToFit="0" vertical="bottom" wrapText="1"/>
    </xf>
    <xf borderId="12" fillId="0" fontId="3" numFmtId="0" xfId="0" applyAlignment="1" applyBorder="1" applyFont="1">
      <alignment horizontal="right" readingOrder="0" vertical="bottom"/>
    </xf>
    <xf borderId="13" fillId="0" fontId="25" numFmtId="1" xfId="0" applyAlignment="1" applyBorder="1" applyFont="1" applyNumberFormat="1">
      <alignment horizontal="right" readingOrder="0" vertical="bottom"/>
    </xf>
    <xf borderId="26" fillId="0" fontId="25" numFmtId="164" xfId="0" applyAlignment="1" applyBorder="1" applyFont="1" applyNumberFormat="1">
      <alignment horizontal="right" readingOrder="0"/>
    </xf>
    <xf borderId="12" fillId="0" fontId="25" numFmtId="166" xfId="0" applyAlignment="1" applyBorder="1" applyFont="1" applyNumberFormat="1">
      <alignment horizontal="right" readingOrder="0"/>
    </xf>
    <xf borderId="0" fillId="0" fontId="25" numFmtId="0" xfId="0" applyAlignment="1" applyFont="1">
      <alignment readingOrder="0" shrinkToFit="0" vertical="bottom" wrapText="1"/>
    </xf>
    <xf borderId="14" fillId="0" fontId="25" numFmtId="1" xfId="0" applyAlignment="1" applyBorder="1" applyFont="1" applyNumberFormat="1">
      <alignment horizontal="right" readingOrder="0" vertical="bottom"/>
    </xf>
    <xf borderId="9" fillId="0" fontId="25" numFmtId="1" xfId="0" applyAlignment="1" applyBorder="1" applyFont="1" applyNumberFormat="1">
      <alignment horizontal="right" readingOrder="0" vertical="bottom"/>
    </xf>
    <xf borderId="24" fillId="0" fontId="25" numFmtId="166" xfId="0" applyAlignment="1" applyBorder="1" applyFont="1" applyNumberFormat="1">
      <alignment horizontal="right" readingOrder="0"/>
    </xf>
    <xf borderId="15" fillId="0" fontId="25" numFmtId="0" xfId="0" applyAlignment="1" applyBorder="1" applyFont="1">
      <alignment readingOrder="0" shrinkToFit="0" vertical="bottom" wrapText="1"/>
    </xf>
    <xf borderId="16" fillId="0" fontId="25" numFmtId="1" xfId="0" applyAlignment="1" applyBorder="1" applyFont="1" applyNumberFormat="1">
      <alignment horizontal="right" readingOrder="0" vertical="bottom"/>
    </xf>
    <xf borderId="0" fillId="0" fontId="3" numFmtId="0" xfId="0" applyAlignment="1" applyFont="1">
      <alignment horizontal="right" vertical="bottom"/>
    </xf>
    <xf borderId="14" fillId="0" fontId="3" numFmtId="0" xfId="0" applyAlignment="1" applyBorder="1" applyFont="1">
      <alignment horizontal="right" vertical="bottom"/>
    </xf>
    <xf borderId="0" fillId="0" fontId="29" numFmtId="0" xfId="0" applyAlignment="1" applyFont="1">
      <alignment shrinkToFit="0" vertical="bottom" wrapText="0"/>
    </xf>
    <xf borderId="0" fillId="0" fontId="3" numFmtId="0" xfId="0" applyAlignment="1" applyFont="1">
      <alignment readingOrder="0" vertical="bottom"/>
    </xf>
    <xf borderId="8" fillId="0" fontId="25" numFmtId="0" xfId="0" applyAlignment="1" applyBorder="1" applyFont="1">
      <alignment readingOrder="0" shrinkToFit="0" vertical="bottom" wrapText="1"/>
    </xf>
    <xf borderId="9" fillId="0" fontId="3" numFmtId="0" xfId="0" applyAlignment="1" applyBorder="1" applyFont="1">
      <alignment horizontal="right" readingOrder="0" vertical="bottom"/>
    </xf>
    <xf borderId="8" fillId="0" fontId="25" numFmtId="167" xfId="0" applyAlignment="1" applyBorder="1" applyFont="1" applyNumberFormat="1">
      <alignment horizontal="right"/>
    </xf>
    <xf borderId="8" fillId="0" fontId="25" numFmtId="164" xfId="0" applyAlignment="1" applyBorder="1" applyFont="1" applyNumberFormat="1">
      <alignment horizontal="right"/>
    </xf>
    <xf borderId="15" fillId="0" fontId="25" numFmtId="167" xfId="0" applyAlignment="1" applyBorder="1" applyFont="1" applyNumberFormat="1">
      <alignment horizontal="right"/>
    </xf>
    <xf borderId="23" fillId="3" fontId="25" numFmtId="1" xfId="0" applyAlignment="1" applyBorder="1" applyFont="1" applyNumberFormat="1">
      <alignment horizontal="right" vertical="bottom"/>
    </xf>
    <xf borderId="5" fillId="3" fontId="25" numFmtId="1" xfId="0" applyAlignment="1" applyBorder="1" applyFont="1" applyNumberFormat="1">
      <alignment horizontal="right" vertical="bottom"/>
    </xf>
    <xf borderId="6" fillId="3" fontId="3" numFmtId="1" xfId="0" applyAlignment="1" applyBorder="1" applyFont="1" applyNumberFormat="1">
      <alignment horizontal="center" vertical="bottom"/>
    </xf>
    <xf borderId="14" fillId="0" fontId="3" numFmtId="168" xfId="0" applyAlignment="1" applyBorder="1" applyFont="1" applyNumberFormat="1">
      <alignment horizontal="right" vertical="bottom"/>
    </xf>
    <xf borderId="0" fillId="0" fontId="25" numFmtId="169" xfId="0" applyAlignment="1" applyFont="1" applyNumberFormat="1">
      <alignment horizontal="right"/>
    </xf>
    <xf borderId="21" fillId="0" fontId="25" numFmtId="166" xfId="0" applyAlignment="1" applyBorder="1" applyFont="1" applyNumberFormat="1">
      <alignment horizontal="right" readingOrder="0"/>
    </xf>
    <xf borderId="0" fillId="0" fontId="25" numFmtId="166" xfId="0" applyAlignment="1" applyFont="1" applyNumberFormat="1">
      <alignment horizontal="right" readingOrder="0"/>
    </xf>
    <xf borderId="0" fillId="0" fontId="30" numFmtId="0" xfId="0" applyAlignment="1" applyFont="1">
      <alignment vertical="bottom"/>
    </xf>
    <xf borderId="16" fillId="0" fontId="3" numFmtId="1" xfId="0" applyAlignment="1" applyBorder="1" applyFont="1" applyNumberFormat="1">
      <alignment horizontal="right" readingOrder="0" vertical="bottom"/>
    </xf>
    <xf borderId="15" fillId="0" fontId="25" numFmtId="3" xfId="0" applyAlignment="1" applyBorder="1" applyFont="1" applyNumberFormat="1">
      <alignment horizontal="right" readingOrder="0"/>
    </xf>
    <xf borderId="0" fillId="0" fontId="31" numFmtId="0" xfId="0" applyAlignment="1" applyFont="1">
      <alignment readingOrder="0" vertical="bottom"/>
    </xf>
    <xf borderId="0" fillId="0" fontId="32" numFmtId="0" xfId="0" applyAlignment="1" applyFont="1">
      <alignment readingOrder="0" vertical="bottom"/>
    </xf>
    <xf borderId="24" fillId="0" fontId="25" numFmtId="9" xfId="0" applyAlignment="1" applyBorder="1" applyFont="1" applyNumberFormat="1">
      <alignment horizontal="right" readingOrder="0"/>
    </xf>
    <xf borderId="8" fillId="0" fontId="25" numFmtId="0" xfId="0" applyAlignment="1" applyBorder="1" applyFont="1">
      <alignment horizontal="right"/>
    </xf>
    <xf borderId="24" fillId="0" fontId="25" numFmtId="9" xfId="0" applyAlignment="1" applyBorder="1" applyFont="1" applyNumberFormat="1">
      <alignment horizontal="right"/>
    </xf>
    <xf borderId="8" fillId="0" fontId="25" numFmtId="0" xfId="0" applyAlignment="1" applyBorder="1" applyFont="1">
      <alignment horizontal="right" readingOrder="0"/>
    </xf>
    <xf borderId="21" fillId="0" fontId="25" numFmtId="9" xfId="0" applyAlignment="1" applyBorder="1" applyFont="1" applyNumberFormat="1">
      <alignment horizontal="right"/>
    </xf>
    <xf borderId="14" fillId="0" fontId="3" numFmtId="0" xfId="0" applyAlignment="1" applyBorder="1" applyFont="1">
      <alignment horizontal="center" readingOrder="0"/>
    </xf>
    <xf borderId="10" fillId="0" fontId="25" numFmtId="0" xfId="0" applyAlignment="1" applyBorder="1" applyFont="1">
      <alignment readingOrder="0" shrinkToFit="0" vertical="bottom" wrapText="1"/>
    </xf>
    <xf borderId="11" fillId="0" fontId="3" numFmtId="3" xfId="0" applyAlignment="1" applyBorder="1" applyFont="1" applyNumberFormat="1">
      <alignment horizontal="right" readingOrder="0" vertical="bottom"/>
    </xf>
    <xf borderId="25" fillId="0" fontId="25" numFmtId="9" xfId="0" applyAlignment="1" applyBorder="1" applyFont="1" applyNumberFormat="1">
      <alignment horizontal="right" readingOrder="0"/>
    </xf>
    <xf borderId="8" fillId="0" fontId="25" numFmtId="9" xfId="0" applyAlignment="1" applyBorder="1" applyFont="1" applyNumberFormat="1">
      <alignment horizontal="right" readingOrder="0"/>
    </xf>
    <xf borderId="9" fillId="0" fontId="3" numFmtId="0" xfId="0" applyAlignment="1" applyBorder="1" applyFont="1">
      <alignment horizontal="center" readingOrder="0"/>
    </xf>
    <xf borderId="10" fillId="0" fontId="25" numFmtId="9" xfId="0" applyAlignment="1" applyBorder="1" applyFont="1" applyNumberFormat="1">
      <alignment horizontal="right" readingOrder="0"/>
    </xf>
    <xf borderId="10" fillId="0" fontId="25" numFmtId="10" xfId="0" applyAlignment="1" applyBorder="1" applyFont="1" applyNumberFormat="1">
      <alignment horizontal="right" readingOrder="0"/>
    </xf>
    <xf borderId="10" fillId="0" fontId="25" numFmtId="0" xfId="0" applyAlignment="1" applyBorder="1" applyFont="1">
      <alignment horizontal="right" readingOrder="0"/>
    </xf>
    <xf borderId="10" fillId="0" fontId="25" numFmtId="3" xfId="0" applyAlignment="1" applyBorder="1" applyFont="1" applyNumberFormat="1">
      <alignment horizontal="right" readingOrder="0"/>
    </xf>
    <xf borderId="15" fillId="0" fontId="25" numFmtId="3" xfId="0" applyAlignment="1" applyBorder="1" applyFont="1" applyNumberFormat="1">
      <alignment horizontal="right"/>
    </xf>
    <xf borderId="9" fillId="0" fontId="3" numFmtId="0" xfId="0" applyAlignment="1" applyBorder="1" applyFont="1">
      <alignment horizontal="center"/>
    </xf>
    <xf borderId="11" fillId="0" fontId="3" numFmtId="0" xfId="0" applyAlignment="1" applyBorder="1" applyFont="1">
      <alignment horizontal="right" readingOrder="0" vertical="bottom"/>
    </xf>
    <xf borderId="25" fillId="0" fontId="25" numFmtId="9" xfId="0" applyAlignment="1" applyBorder="1" applyFont="1" applyNumberFormat="1">
      <alignment horizontal="right"/>
    </xf>
    <xf borderId="10" fillId="0" fontId="25" numFmtId="0" xfId="0" applyAlignment="1" applyBorder="1" applyFont="1">
      <alignment horizontal="right"/>
    </xf>
    <xf borderId="11" fillId="0" fontId="3" numFmtId="0" xfId="0" applyAlignment="1" applyBorder="1" applyFont="1">
      <alignment horizontal="center"/>
    </xf>
    <xf borderId="25" fillId="0" fontId="25" numFmtId="0" xfId="0" applyAlignment="1" applyBorder="1" applyFont="1">
      <alignment horizontal="right" readingOrder="0"/>
    </xf>
    <xf borderId="10" fillId="0" fontId="25" numFmtId="164" xfId="0" applyAlignment="1" applyBorder="1" applyFont="1" applyNumberFormat="1">
      <alignment horizontal="right" readingOrder="0"/>
    </xf>
    <xf borderId="10" fillId="0" fontId="25" numFmtId="3" xfId="0" applyAlignment="1" applyBorder="1" applyFont="1" applyNumberFormat="1">
      <alignment horizontal="right"/>
    </xf>
    <xf borderId="13" fillId="0" fontId="3" numFmtId="0" xfId="0" applyAlignment="1" applyBorder="1" applyFont="1">
      <alignment horizontal="right" readingOrder="0" vertical="bottom"/>
    </xf>
    <xf borderId="26" fillId="0" fontId="25" numFmtId="0" xfId="0" applyAlignment="1" applyBorder="1" applyFont="1">
      <alignment horizontal="right" readingOrder="0"/>
    </xf>
    <xf borderId="12" fillId="0" fontId="25" numFmtId="3" xfId="0" applyAlignment="1" applyBorder="1" applyFont="1" applyNumberFormat="1">
      <alignment horizontal="right"/>
    </xf>
    <xf borderId="13" fillId="0" fontId="3" numFmtId="0" xfId="0" applyAlignment="1" applyBorder="1" applyFont="1">
      <alignment horizontal="center"/>
    </xf>
    <xf borderId="0" fillId="0" fontId="33" numFmtId="0" xfId="0" applyAlignment="1" applyFont="1">
      <alignment readingOrder="0" shrinkToFit="0" vertical="bottom" wrapText="1"/>
    </xf>
    <xf borderId="0" fillId="0" fontId="34" numFmtId="0" xfId="0" applyAlignment="1" applyFont="1">
      <alignment vertical="bottom"/>
    </xf>
    <xf borderId="24" fillId="0" fontId="25" numFmtId="2" xfId="0" applyAlignment="1" applyBorder="1" applyFont="1" applyNumberFormat="1">
      <alignment horizontal="right"/>
    </xf>
    <xf borderId="25" fillId="0" fontId="25" numFmtId="3" xfId="0" applyAlignment="1" applyBorder="1" applyFont="1" applyNumberFormat="1">
      <alignment horizontal="right"/>
    </xf>
    <xf borderId="17" fillId="0" fontId="25"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7" fillId="0" fontId="25" numFmtId="0" xfId="0" applyAlignment="1" applyBorder="1" applyFont="1">
      <alignment horizontal="right" readingOrder="0"/>
    </xf>
    <xf borderId="17" fillId="0" fontId="25" numFmtId="9" xfId="0" applyAlignment="1" applyBorder="1" applyFont="1" applyNumberFormat="1">
      <alignment horizontal="right" readingOrder="0"/>
    </xf>
    <xf borderId="18" fillId="0" fontId="3" numFmtId="0" xfId="0" applyAlignment="1" applyBorder="1" applyFont="1">
      <alignment horizontal="center" readingOrder="0"/>
    </xf>
    <xf borderId="27" fillId="0" fontId="25" numFmtId="2" xfId="0" applyAlignment="1" applyBorder="1" applyFont="1" applyNumberFormat="1">
      <alignment horizontal="right" readingOrder="0"/>
    </xf>
    <xf borderId="27" fillId="0" fontId="25" numFmtId="3" xfId="0" applyAlignment="1" applyBorder="1" applyFont="1" applyNumberFormat="1">
      <alignment horizontal="right" readingOrder="0"/>
    </xf>
    <xf borderId="17" fillId="0" fontId="25" numFmtId="3" xfId="0" applyAlignment="1" applyBorder="1" applyFont="1" applyNumberFormat="1">
      <alignment horizontal="right" readingOrder="0"/>
    </xf>
    <xf borderId="17" fillId="0" fontId="25" numFmtId="164" xfId="0" applyAlignment="1" applyBorder="1" applyFont="1" applyNumberFormat="1">
      <alignment horizontal="right" readingOrder="0"/>
    </xf>
    <xf borderId="7" fillId="0" fontId="3" numFmtId="3" xfId="0" applyAlignment="1" applyBorder="1" applyFont="1" applyNumberFormat="1">
      <alignment vertical="bottom"/>
    </xf>
    <xf borderId="0" fillId="0" fontId="3" numFmtId="3" xfId="0" applyAlignment="1" applyFont="1" applyNumberFormat="1">
      <alignment vertical="bottom"/>
    </xf>
    <xf borderId="0" fillId="0" fontId="35" numFmtId="3" xfId="0" applyAlignment="1" applyFont="1" applyNumberFormat="1">
      <alignment vertical="bottom"/>
    </xf>
    <xf borderId="17" fillId="0" fontId="25" numFmtId="3" xfId="0" applyAlignment="1" applyBorder="1" applyFont="1" applyNumberFormat="1">
      <alignment readingOrder="0" shrinkToFit="0" vertical="bottom" wrapText="1"/>
    </xf>
    <xf borderId="17" fillId="0" fontId="3" numFmtId="3"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18" fillId="0" fontId="3" numFmtId="3" xfId="0" applyAlignment="1" applyBorder="1" applyFont="1" applyNumberFormat="1">
      <alignment horizontal="center" readingOrder="0"/>
    </xf>
    <xf borderId="12" fillId="0" fontId="25" numFmtId="3" xfId="0" applyAlignment="1" applyBorder="1" applyFont="1" applyNumberFormat="1">
      <alignment readingOrder="0" shrinkToFit="0" vertical="bottom" wrapText="1"/>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26" fillId="0" fontId="25" numFmtId="3" xfId="0" applyAlignment="1" applyBorder="1" applyFont="1" applyNumberFormat="1">
      <alignment horizontal="right" readingOrder="0"/>
    </xf>
    <xf borderId="12" fillId="0" fontId="25" numFmtId="3" xfId="0" applyAlignment="1" applyBorder="1" applyFont="1" applyNumberFormat="1">
      <alignment horizontal="right" readingOrder="0"/>
    </xf>
    <xf borderId="13" fillId="0" fontId="3" numFmtId="3" xfId="0" applyAlignment="1" applyBorder="1" applyFont="1" applyNumberFormat="1">
      <alignment horizontal="center" readingOrder="0"/>
    </xf>
    <xf borderId="21" fillId="0" fontId="25" numFmtId="2" xfId="0" applyAlignment="1" applyBorder="1" applyFont="1" applyNumberFormat="1">
      <alignment horizontal="right" readingOrder="0"/>
    </xf>
    <xf borderId="0" fillId="0" fontId="25" numFmtId="9" xfId="0" applyAlignment="1" applyFont="1" applyNumberFormat="1">
      <alignment horizontal="right" readingOrder="0"/>
    </xf>
    <xf borderId="24" fillId="0" fontId="25" numFmtId="165" xfId="0" applyAlignment="1" applyBorder="1" applyFont="1" applyNumberFormat="1">
      <alignment horizontal="right" readingOrder="0"/>
    </xf>
    <xf borderId="25" fillId="0" fontId="25" numFmtId="170" xfId="0" applyAlignment="1" applyBorder="1" applyFont="1" applyNumberFormat="1">
      <alignment horizontal="right"/>
    </xf>
    <xf borderId="25" fillId="0" fontId="25" numFmtId="169" xfId="0" applyAlignment="1" applyBorder="1" applyFont="1" applyNumberFormat="1">
      <alignment horizontal="right" readingOrder="0"/>
    </xf>
    <xf borderId="25" fillId="0" fontId="25" numFmtId="165" xfId="0" applyAlignment="1" applyBorder="1" applyFont="1" applyNumberFormat="1">
      <alignment horizontal="right" readingOrder="0"/>
    </xf>
    <xf borderId="25" fillId="0" fontId="25" numFmtId="1" xfId="0" applyAlignment="1" applyBorder="1" applyFont="1" applyNumberFormat="1">
      <alignment horizontal="right" readingOrder="0"/>
    </xf>
    <xf borderId="25" fillId="0" fontId="25" numFmtId="4" xfId="0" applyAlignment="1" applyBorder="1" applyFont="1" applyNumberFormat="1">
      <alignment horizontal="right"/>
    </xf>
    <xf borderId="24" fillId="0" fontId="3" numFmtId="2" xfId="0" applyAlignment="1" applyBorder="1" applyFont="1" applyNumberFormat="1">
      <alignment horizontal="right" vertical="bottom"/>
    </xf>
    <xf borderId="25" fillId="0" fontId="3" numFmtId="2" xfId="0" applyAlignment="1" applyBorder="1" applyFont="1" applyNumberFormat="1">
      <alignment horizontal="right" vertical="bottom"/>
    </xf>
    <xf borderId="12" fillId="0" fontId="25" numFmtId="0" xfId="0" applyAlignment="1" applyBorder="1" applyFont="1">
      <alignment readingOrder="0" shrinkToFit="0" vertical="bottom" wrapText="1"/>
    </xf>
    <xf borderId="26" fillId="0" fontId="3" numFmtId="2" xfId="0" applyAlignment="1" applyBorder="1" applyFont="1" applyNumberFormat="1">
      <alignment horizontal="right" vertical="bottom"/>
    </xf>
    <xf borderId="0" fillId="0" fontId="25" numFmtId="0" xfId="0" applyAlignment="1" applyFont="1">
      <alignment shrinkToFit="0" wrapText="1"/>
    </xf>
    <xf borderId="0" fillId="0" fontId="3" numFmtId="0" xfId="0" applyAlignment="1" applyFont="1">
      <alignment horizontal="right"/>
    </xf>
    <xf borderId="5" fillId="3" fontId="25" numFmtId="0" xfId="0" applyAlignment="1" applyBorder="1" applyFont="1">
      <alignment horizontal="right" vertical="bottom"/>
    </xf>
    <xf borderId="24" fillId="0" fontId="25" numFmtId="1" xfId="0" applyAlignment="1" applyBorder="1" applyFont="1" applyNumberFormat="1">
      <alignment horizontal="right"/>
    </xf>
    <xf borderId="26" fillId="0" fontId="25" numFmtId="1" xfId="0" applyAlignment="1" applyBorder="1" applyFont="1" applyNumberFormat="1">
      <alignment horizontal="right" readingOrder="0"/>
    </xf>
    <xf borderId="13" fillId="0" fontId="3" numFmtId="0" xfId="0" applyAlignment="1" applyBorder="1" applyFont="1">
      <alignment horizontal="center" readingOrder="0"/>
    </xf>
    <xf borderId="21" fillId="0" fontId="25" numFmtId="2" xfId="0" applyAlignment="1" applyBorder="1" applyFont="1" applyNumberFormat="1">
      <alignment horizontal="right"/>
    </xf>
    <xf borderId="0" fillId="0" fontId="25" numFmtId="2" xfId="0" applyAlignment="1" applyFont="1" applyNumberFormat="1">
      <alignment horizontal="right"/>
    </xf>
    <xf borderId="0" fillId="0" fontId="36" numFmtId="0" xfId="0" applyAlignment="1" applyFont="1">
      <alignment vertical="bottom"/>
    </xf>
    <xf borderId="21" fillId="0" fontId="25" numFmtId="1" xfId="0" applyAlignment="1" applyBorder="1" applyFont="1" applyNumberFormat="1">
      <alignment horizontal="right"/>
    </xf>
    <xf borderId="0" fillId="0" fontId="25" numFmtId="1" xfId="0" applyAlignment="1" applyFont="1" applyNumberFormat="1">
      <alignment horizontal="right"/>
    </xf>
    <xf borderId="0" fillId="0" fontId="37" numFmtId="0" xfId="0" applyAlignment="1" applyFont="1">
      <alignment readingOrder="0" vertical="bottom"/>
    </xf>
    <xf borderId="24" fillId="0" fontId="25" numFmtId="169" xfId="0" applyAlignment="1" applyBorder="1" applyFont="1" applyNumberFormat="1">
      <alignment horizontal="right" readingOrder="0"/>
    </xf>
    <xf borderId="8" fillId="0" fontId="25" numFmtId="3" xfId="0" applyAlignment="1" applyBorder="1" applyFont="1" applyNumberFormat="1">
      <alignment horizontal="right" readingOrder="0"/>
    </xf>
    <xf borderId="15" fillId="0" fontId="25" numFmtId="4" xfId="0" applyAlignment="1" applyBorder="1" applyFont="1" applyNumberFormat="1">
      <alignment horizontal="right" readingOrder="0"/>
    </xf>
    <xf borderId="8" fillId="0" fontId="25" numFmtId="3" xfId="0" applyAlignment="1" applyBorder="1" applyFont="1" applyNumberFormat="1">
      <alignment horizontal="right"/>
    </xf>
    <xf borderId="21" fillId="0" fontId="25" numFmtId="0" xfId="0" applyAlignment="1" applyBorder="1" applyFont="1">
      <alignment horizontal="right" readingOrder="0"/>
    </xf>
    <xf borderId="0" fillId="0" fontId="25" numFmtId="3" xfId="0" applyAlignment="1" applyFont="1" applyNumberFormat="1">
      <alignment horizontal="right"/>
    </xf>
    <xf borderId="14" fillId="0" fontId="3" numFmtId="0" xfId="0" applyAlignment="1" applyBorder="1" applyFont="1">
      <alignment horizontal="center" readingOrder="0"/>
    </xf>
    <xf borderId="24" fillId="0" fontId="25" numFmtId="1" xfId="0" applyAlignment="1" applyBorder="1" applyFont="1" applyNumberFormat="1">
      <alignment horizontal="right" readingOrder="0"/>
    </xf>
    <xf borderId="21" fillId="0" fontId="25" numFmtId="1" xfId="0" applyAlignment="1" applyBorder="1" applyFont="1" applyNumberFormat="1">
      <alignment horizontal="right" readingOrder="0"/>
    </xf>
    <xf borderId="0" fillId="0" fontId="25" numFmtId="0" xfId="0" applyAlignment="1" applyFont="1">
      <alignment horizontal="right" readingOrder="0"/>
    </xf>
    <xf borderId="26" fillId="0" fontId="25" numFmtId="2" xfId="0" applyAlignment="1" applyBorder="1" applyFont="1" applyNumberFormat="1">
      <alignment horizontal="right" readingOrder="0"/>
    </xf>
    <xf borderId="8" fillId="0" fontId="25" numFmtId="166" xfId="0" applyAlignment="1" applyBorder="1" applyFont="1" applyNumberFormat="1">
      <alignment horizontal="right"/>
    </xf>
    <xf borderId="11" fillId="0" fontId="3" numFmtId="0" xfId="0" applyAlignment="1" applyBorder="1" applyFont="1">
      <alignment horizontal="center" readingOrder="0"/>
    </xf>
    <xf borderId="17" fillId="0" fontId="25" numFmtId="171" xfId="0" applyAlignment="1" applyBorder="1" applyFont="1" applyNumberFormat="1">
      <alignment horizontal="right"/>
    </xf>
    <xf borderId="27" fillId="0" fontId="25" numFmtId="170" xfId="0" applyAlignment="1" applyBorder="1" applyFont="1" applyNumberFormat="1">
      <alignment horizontal="right"/>
    </xf>
    <xf borderId="17" fillId="0" fontId="25" numFmtId="169" xfId="0" applyAlignment="1" applyBorder="1" applyFont="1" applyNumberFormat="1">
      <alignment horizontal="right"/>
    </xf>
    <xf borderId="12" fillId="0" fontId="25" numFmtId="169" xfId="0" applyAlignment="1" applyBorder="1" applyFont="1" applyNumberFormat="1">
      <alignment horizontal="right"/>
    </xf>
    <xf borderId="0" fillId="0" fontId="25" numFmtId="9" xfId="0" applyAlignment="1" applyFont="1" applyNumberFormat="1">
      <alignment horizontal="right"/>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12" fillId="0" fontId="25" numFmtId="166" xfId="0" applyAlignment="1" applyBorder="1" applyFont="1" applyNumberFormat="1">
      <alignment horizontal="right"/>
    </xf>
    <xf borderId="8" fillId="0" fontId="3" numFmtId="0" xfId="0" applyAlignment="1" applyBorder="1" applyFont="1">
      <alignment readingOrder="0" vertical="bottom"/>
    </xf>
    <xf borderId="8" fillId="0" fontId="3" numFmtId="0" xfId="0" applyAlignment="1" applyBorder="1" applyFont="1">
      <alignment horizontal="right"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1" fillId="0" fontId="3" numFmtId="0" xfId="0" applyAlignment="1" applyBorder="1" applyFont="1">
      <alignment horizontal="right" vertical="bottom"/>
    </xf>
    <xf borderId="0" fillId="0" fontId="3" numFmtId="0" xfId="0" applyAlignment="1" applyFont="1">
      <alignment readingOrder="0" vertical="bottom"/>
    </xf>
    <xf borderId="15" fillId="0" fontId="3" numFmtId="0" xfId="0" applyAlignment="1" applyBorder="1" applyFont="1">
      <alignment readingOrder="0" vertical="bottom"/>
    </xf>
    <xf borderId="22" fillId="0" fontId="25" numFmtId="9" xfId="0" applyAlignment="1" applyBorder="1" applyFont="1" applyNumberFormat="1">
      <alignment horizontal="right" readingOrder="0"/>
    </xf>
    <xf borderId="15" fillId="0" fontId="25" numFmtId="0" xfId="0" applyAlignment="1" applyBorder="1" applyFont="1">
      <alignment horizontal="right" readingOrder="0"/>
    </xf>
    <xf borderId="15" fillId="0" fontId="25" numFmtId="9" xfId="0" applyAlignment="1" applyBorder="1" applyFont="1" applyNumberFormat="1">
      <alignment horizontal="right"/>
    </xf>
    <xf borderId="0" fillId="0" fontId="3" numFmtId="10" xfId="0" applyAlignment="1" applyFont="1" applyNumberFormat="1">
      <alignment horizontal="right" vertical="bottom"/>
    </xf>
    <xf borderId="22" fillId="0" fontId="25" numFmtId="0" xfId="0" applyAlignment="1" applyBorder="1" applyFont="1">
      <alignment horizontal="right"/>
    </xf>
    <xf borderId="16" fillId="0" fontId="3" numFmtId="0" xfId="0" applyAlignment="1" applyBorder="1" applyFont="1">
      <alignment horizontal="center"/>
    </xf>
    <xf borderId="14" fillId="0" fontId="3" numFmtId="169" xfId="0" applyAlignment="1" applyBorder="1" applyFont="1" applyNumberFormat="1">
      <alignment horizontal="right" readingOrder="0" vertical="bottom"/>
    </xf>
    <xf borderId="9" fillId="0" fontId="3" numFmtId="169" xfId="0" applyAlignment="1" applyBorder="1" applyFont="1" applyNumberFormat="1">
      <alignment horizontal="right" readingOrder="0" vertical="bottom"/>
    </xf>
    <xf borderId="24" fillId="0" fontId="25" numFmtId="3" xfId="0" applyAlignment="1" applyBorder="1" applyFont="1" applyNumberFormat="1">
      <alignment horizontal="right" readingOrder="0"/>
    </xf>
    <xf borderId="25" fillId="0" fontId="25" numFmtId="171" xfId="0" applyAlignment="1" applyBorder="1" applyFont="1" applyNumberFormat="1">
      <alignment horizontal="right" readingOrder="0"/>
    </xf>
    <xf borderId="10" fillId="0" fontId="25" numFmtId="171" xfId="0" applyAlignment="1" applyBorder="1" applyFont="1" applyNumberFormat="1">
      <alignment horizontal="right"/>
    </xf>
    <xf borderId="12" fillId="0" fontId="24" numFmtId="0" xfId="0" applyAlignment="1" applyBorder="1" applyFont="1">
      <alignment readingOrder="0" shrinkToFit="0" vertical="bottom" wrapText="1"/>
    </xf>
    <xf borderId="12" fillId="0" fontId="1" numFmtId="0" xfId="0" applyAlignment="1" applyBorder="1" applyFont="1">
      <alignment horizontal="right" readingOrder="0" vertical="bottom"/>
    </xf>
    <xf borderId="13" fillId="0" fontId="1" numFmtId="0" xfId="0" applyAlignment="1" applyBorder="1" applyFont="1">
      <alignment horizontal="right" readingOrder="0" vertical="bottom"/>
    </xf>
    <xf borderId="26" fillId="0" fontId="24" numFmtId="164" xfId="0" applyAlignment="1" applyBorder="1" applyFont="1" applyNumberFormat="1">
      <alignment horizontal="right" readingOrder="0"/>
    </xf>
    <xf borderId="12" fillId="0" fontId="24" numFmtId="164" xfId="0" applyAlignment="1" applyBorder="1" applyFont="1" applyNumberFormat="1">
      <alignment horizontal="right"/>
    </xf>
    <xf borderId="0" fillId="0" fontId="38" numFmtId="0" xfId="0" applyAlignment="1" applyFont="1">
      <alignment readingOrder="0" shrinkToFit="0" vertical="bottom" wrapText="1"/>
    </xf>
    <xf borderId="0" fillId="0" fontId="1" numFmtId="0" xfId="0" applyAlignment="1" applyFont="1">
      <alignment horizontal="right" readingOrder="0" vertical="bottom"/>
    </xf>
    <xf borderId="14" fillId="0" fontId="1" numFmtId="0" xfId="0" applyAlignment="1" applyBorder="1" applyFont="1">
      <alignment horizontal="right" readingOrder="0" vertical="bottom"/>
    </xf>
    <xf borderId="21" fillId="0" fontId="24" numFmtId="164" xfId="0" applyAlignment="1" applyBorder="1" applyFont="1" applyNumberFormat="1">
      <alignment horizontal="right" readingOrder="0"/>
    </xf>
    <xf borderId="0" fillId="0" fontId="38" numFmtId="164" xfId="0" applyAlignment="1" applyFont="1" applyNumberFormat="1">
      <alignment horizontal="right" readingOrder="0"/>
    </xf>
    <xf borderId="10" fillId="0" fontId="25" numFmtId="0" xfId="0" applyAlignment="1" applyBorder="1" applyFont="1">
      <alignment readingOrder="0" shrinkToFit="0" vertical="bottom" wrapText="1"/>
    </xf>
    <xf borderId="19" fillId="0" fontId="3" numFmtId="0" xfId="0" applyAlignment="1" applyBorder="1" applyFont="1">
      <alignment vertical="bottom"/>
    </xf>
    <xf borderId="15" fillId="0" fontId="3" numFmtId="0" xfId="0" applyAlignment="1" applyBorder="1" applyFont="1">
      <alignment vertical="bottom"/>
    </xf>
    <xf borderId="15" fillId="0" fontId="25"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25" numFmtId="0" xfId="0" applyAlignment="1" applyBorder="1" applyFont="1">
      <alignment horizontal="right"/>
    </xf>
    <xf borderId="20" fillId="2" fontId="24" numFmtId="0" xfId="0" applyAlignment="1" applyBorder="1" applyFont="1">
      <alignment horizontal="center" readingOrder="0"/>
    </xf>
    <xf borderId="20" fillId="2" fontId="1" numFmtId="0" xfId="0" applyAlignment="1" applyBorder="1" applyFont="1">
      <alignment vertical="bottom"/>
    </xf>
    <xf borderId="21" fillId="2" fontId="24" numFmtId="0" xfId="0" applyAlignment="1" applyBorder="1" applyFont="1">
      <alignment horizontal="center" readingOrder="0"/>
    </xf>
    <xf borderId="21" fillId="2" fontId="1" numFmtId="0" xfId="0" applyAlignment="1" applyBorder="1" applyFont="1">
      <alignment vertical="bottom"/>
    </xf>
    <xf borderId="19" fillId="2" fontId="1" numFmtId="0" xfId="0" applyAlignment="1" applyBorder="1" applyFont="1">
      <alignment vertical="bottom"/>
    </xf>
    <xf borderId="22" fillId="2" fontId="1" numFmtId="0" xfId="0" applyAlignment="1" applyBorder="1" applyFont="1">
      <alignment vertical="bottom"/>
    </xf>
    <xf borderId="16" fillId="3" fontId="3" numFmtId="0" xfId="0" applyAlignment="1" applyBorder="1" applyFont="1">
      <alignment vertical="bottom"/>
    </xf>
    <xf borderId="6" fillId="3" fontId="3" numFmtId="0" xfId="0" applyAlignment="1" applyBorder="1" applyFont="1">
      <alignment vertical="bottom"/>
    </xf>
    <xf borderId="0" fillId="0" fontId="3" numFmtId="1" xfId="0" applyAlignment="1" applyFont="1" applyNumberFormat="1">
      <alignment horizontal="right" vertical="bottom"/>
    </xf>
    <xf borderId="25" fillId="0" fontId="25" numFmtId="1" xfId="0" applyAlignment="1" applyBorder="1" applyFont="1" applyNumberFormat="1">
      <alignment horizontal="right"/>
    </xf>
    <xf borderId="10"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6" fillId="0" fontId="25" numFmtId="1" xfId="0" applyAlignment="1" applyBorder="1" applyFont="1" applyNumberFormat="1">
      <alignment horizontal="right"/>
    </xf>
    <xf borderId="8" fillId="0" fontId="25" numFmtId="1" xfId="0" applyAlignment="1" applyBorder="1" applyFont="1" applyNumberFormat="1">
      <alignment horizontal="right" readingOrder="0" vertical="bottom"/>
    </xf>
    <xf borderId="10" fillId="0" fontId="25" numFmtId="1" xfId="0" applyAlignment="1" applyBorder="1" applyFont="1" applyNumberFormat="1">
      <alignment horizontal="right"/>
    </xf>
    <xf borderId="12" fillId="0" fontId="3" numFmtId="1" xfId="0" applyAlignment="1" applyBorder="1" applyFont="1" applyNumberFormat="1">
      <alignment horizontal="right" readingOrder="0" vertical="bottom"/>
    </xf>
    <xf borderId="12" fillId="0" fontId="25"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1" fillId="0" fontId="25" numFmtId="165" xfId="0" applyAlignment="1" applyBorder="1" applyFont="1" applyNumberFormat="1">
      <alignment horizontal="right"/>
    </xf>
    <xf borderId="8" fillId="0" fontId="3" numFmtId="1" xfId="0" applyAlignment="1" applyBorder="1" applyFont="1" applyNumberFormat="1">
      <alignment horizontal="right" readingOrder="0" vertical="bottom"/>
    </xf>
    <xf borderId="24" fillId="0" fontId="25" numFmtId="165" xfId="0" applyAlignment="1" applyBorder="1" applyFont="1" applyNumberFormat="1">
      <alignment horizontal="right"/>
    </xf>
    <xf borderId="8" fillId="0" fontId="25" numFmtId="1" xfId="0" applyAlignment="1" applyBorder="1" applyFont="1" applyNumberFormat="1">
      <alignment horizontal="right"/>
    </xf>
    <xf borderId="10" fillId="0" fontId="3" numFmtId="1" xfId="0" applyAlignment="1" applyBorder="1" applyFont="1" applyNumberFormat="1">
      <alignment horizontal="right" readingOrder="0" vertical="bottom"/>
    </xf>
    <xf borderId="10" fillId="0" fontId="25" numFmtId="10" xfId="0" applyAlignment="1" applyBorder="1" applyFont="1" applyNumberFormat="1">
      <alignment horizontal="right"/>
    </xf>
    <xf borderId="24" fillId="0" fontId="25" numFmtId="2" xfId="0" applyAlignment="1" applyBorder="1" applyFont="1" applyNumberFormat="1">
      <alignment horizontal="right" readingOrder="0"/>
    </xf>
    <xf borderId="15" fillId="0" fontId="3" numFmtId="1" xfId="0" applyAlignment="1" applyBorder="1" applyFont="1" applyNumberFormat="1">
      <alignment horizontal="right" readingOrder="0" vertical="bottom"/>
    </xf>
    <xf borderId="15" fillId="0" fontId="25" numFmtId="10" xfId="0" applyAlignment="1" applyBorder="1" applyFont="1" applyNumberFormat="1">
      <alignment horizontal="right"/>
    </xf>
    <xf borderId="12" fillId="0" fontId="25" numFmtId="164" xfId="0" applyAlignment="1" applyBorder="1" applyFont="1" applyNumberFormat="1">
      <alignment horizontal="right"/>
    </xf>
    <xf borderId="0" fillId="0" fontId="3" numFmtId="0" xfId="0" applyAlignment="1" applyFont="1">
      <alignment shrinkToFit="0" vertical="bottom" wrapText="0"/>
    </xf>
    <xf borderId="10" fillId="0" fontId="25" numFmtId="1" xfId="0" applyAlignment="1" applyBorder="1" applyFont="1" applyNumberFormat="1">
      <alignment horizontal="right" readingOrder="0" vertical="bottom"/>
    </xf>
    <xf borderId="25" fillId="0" fontId="25" numFmtId="166" xfId="0" applyAlignment="1" applyBorder="1" applyFont="1" applyNumberFormat="1">
      <alignment horizontal="right" readingOrder="0"/>
    </xf>
    <xf borderId="12" fillId="0" fontId="25" numFmtId="1" xfId="0" applyAlignment="1" applyBorder="1" applyFont="1" applyNumberFormat="1">
      <alignment horizontal="right" readingOrder="0" vertical="bottom"/>
    </xf>
    <xf borderId="15" fillId="0" fontId="25" numFmtId="0" xfId="0" applyAlignment="1" applyBorder="1" applyFont="1">
      <alignment shrinkToFit="0" wrapText="1"/>
    </xf>
    <xf borderId="2" fillId="2" fontId="24" numFmtId="0" xfId="0" applyAlignment="1" applyBorder="1" applyFont="1">
      <alignment shrinkToFit="0" vertical="bottom" wrapText="1"/>
    </xf>
    <xf borderId="1" fillId="2" fontId="24" numFmtId="0" xfId="0" applyAlignment="1" applyBorder="1" applyFont="1">
      <alignment horizontal="center" readingOrder="0"/>
    </xf>
    <xf borderId="0" fillId="2" fontId="24" numFmtId="0" xfId="0" applyAlignment="1" applyFont="1">
      <alignment shrinkToFit="0" vertical="bottom" wrapText="1"/>
    </xf>
    <xf borderId="7" fillId="2" fontId="24" numFmtId="0" xfId="0" applyAlignment="1" applyBorder="1" applyFont="1">
      <alignment horizontal="center" readingOrder="0"/>
    </xf>
    <xf borderId="19" fillId="2" fontId="24" numFmtId="0" xfId="0" applyAlignment="1" applyBorder="1" applyFont="1">
      <alignment horizontal="center" readingOrder="0"/>
    </xf>
    <xf borderId="15" fillId="3" fontId="24" numFmtId="0" xfId="0" applyAlignment="1" applyBorder="1" applyFont="1">
      <alignment readingOrder="0" shrinkToFit="0" vertical="bottom" wrapText="1"/>
    </xf>
    <xf borderId="19" fillId="3" fontId="25" numFmtId="164" xfId="0" applyAlignment="1" applyBorder="1" applyFont="1" applyNumberFormat="1">
      <alignment horizontal="right" vertical="bottom"/>
    </xf>
    <xf borderId="6" fillId="0" fontId="2" numFmtId="0" xfId="0" applyBorder="1" applyFont="1"/>
    <xf borderId="4" fillId="3" fontId="25" numFmtId="0" xfId="0" applyAlignment="1" applyBorder="1" applyFont="1">
      <alignment horizontal="right" vertical="bottom"/>
    </xf>
    <xf borderId="0" fillId="0" fontId="25" numFmtId="0" xfId="0" applyAlignment="1" applyFont="1">
      <alignment shrinkToFit="0" vertical="bottom" wrapText="1"/>
    </xf>
    <xf borderId="7" fillId="0" fontId="25" numFmtId="0" xfId="0" applyAlignment="1" applyBorder="1" applyFont="1">
      <alignment horizontal="right"/>
    </xf>
    <xf borderId="19" fillId="0" fontId="25" numFmtId="166" xfId="0" applyAlignment="1" applyBorder="1" applyFont="1" applyNumberFormat="1">
      <alignment horizontal="right"/>
    </xf>
    <xf borderId="0" fillId="0" fontId="25" numFmtId="0" xfId="0" applyAlignment="1" applyFont="1">
      <alignment readingOrder="0" shrinkToFit="0" wrapText="1"/>
    </xf>
    <xf borderId="8" fillId="0" fontId="25" numFmtId="0" xfId="0" applyAlignment="1" applyBorder="1" applyFont="1">
      <alignment readingOrder="0" shrinkToFit="0" wrapText="1"/>
    </xf>
    <xf borderId="28" fillId="0" fontId="25" numFmtId="0" xfId="0" applyAlignment="1" applyBorder="1" applyFont="1">
      <alignment horizontal="right" readingOrder="0"/>
    </xf>
    <xf borderId="10" fillId="0" fontId="25" numFmtId="0" xfId="0" applyAlignment="1" applyBorder="1" applyFont="1">
      <alignment readingOrder="0" shrinkToFit="0" wrapText="1"/>
    </xf>
    <xf borderId="29" fillId="0" fontId="25" numFmtId="0" xfId="0" applyAlignment="1" applyBorder="1" applyFont="1">
      <alignment horizontal="right" readingOrder="0"/>
    </xf>
    <xf borderId="12" fillId="0" fontId="25" numFmtId="0" xfId="0" applyAlignment="1" applyBorder="1" applyFont="1">
      <alignment readingOrder="0" shrinkToFit="0" wrapText="1"/>
    </xf>
    <xf borderId="13" fillId="0" fontId="3" numFmtId="0" xfId="0" applyAlignment="1" applyBorder="1" applyFont="1">
      <alignment horizontal="right" readingOrder="0"/>
    </xf>
    <xf borderId="30" fillId="0" fontId="25" numFmtId="0" xfId="0" applyAlignment="1" applyBorder="1" applyFont="1">
      <alignment horizontal="right" readingOrder="0"/>
    </xf>
    <xf borderId="7" fillId="0" fontId="25" numFmtId="3" xfId="0" applyAlignment="1" applyBorder="1" applyFont="1" applyNumberFormat="1">
      <alignment horizontal="right" readingOrder="0"/>
    </xf>
    <xf borderId="0" fillId="0" fontId="25" numFmtId="3" xfId="0" applyAlignment="1" applyFont="1" applyNumberFormat="1">
      <alignment horizontal="right" readingOrder="0"/>
    </xf>
    <xf borderId="7" fillId="0" fontId="25" numFmtId="164" xfId="0" applyAlignment="1" applyBorder="1" applyFont="1" applyNumberFormat="1">
      <alignment horizontal="right" readingOrder="0"/>
    </xf>
    <xf borderId="0" fillId="0" fontId="25" numFmtId="164" xfId="0" applyAlignment="1" applyFont="1" applyNumberFormat="1">
      <alignment horizontal="right" readingOrder="0"/>
    </xf>
    <xf borderId="19" fillId="0" fontId="25" numFmtId="164" xfId="0" applyAlignment="1" applyBorder="1" applyFont="1" applyNumberFormat="1">
      <alignment horizontal="right" readingOrder="0"/>
    </xf>
    <xf borderId="29" fillId="0" fontId="25" numFmtId="164" xfId="0" applyAlignment="1" applyBorder="1" applyFont="1" applyNumberFormat="1">
      <alignment horizontal="right" readingOrder="0"/>
    </xf>
    <xf borderId="30" fillId="0" fontId="25" numFmtId="164" xfId="0" applyAlignment="1" applyBorder="1" applyFont="1" applyNumberFormat="1">
      <alignment horizontal="right" readingOrder="0"/>
    </xf>
    <xf borderId="7" fillId="0" fontId="25" numFmtId="166" xfId="0" applyAlignment="1" applyBorder="1" applyFont="1" applyNumberFormat="1">
      <alignment horizontal="right" readingOrder="0"/>
    </xf>
    <xf borderId="28" fillId="0" fontId="25" numFmtId="166" xfId="0" applyAlignment="1" applyBorder="1" applyFont="1" applyNumberFormat="1">
      <alignment horizontal="right" readingOrder="0"/>
    </xf>
    <xf borderId="19" fillId="0" fontId="25" numFmtId="166" xfId="0" applyAlignment="1" applyBorder="1" applyFont="1" applyNumberFormat="1">
      <alignment horizontal="right" readingOrder="0"/>
    </xf>
    <xf borderId="4" fillId="3" fontId="25" numFmtId="1" xfId="0" applyAlignment="1" applyBorder="1" applyFont="1" applyNumberFormat="1">
      <alignment horizontal="right" vertical="bottom"/>
    </xf>
    <xf borderId="6" fillId="3" fontId="3" numFmtId="1" xfId="0" applyAlignment="1" applyBorder="1" applyFont="1" applyNumberFormat="1">
      <alignment horizontal="right" vertical="bottom"/>
    </xf>
    <xf borderId="7" fillId="0" fontId="3" numFmtId="1" xfId="0" applyAlignment="1" applyBorder="1" applyFont="1" applyNumberFormat="1">
      <alignment horizontal="right" vertical="bottom"/>
    </xf>
    <xf borderId="28" fillId="0" fontId="25" numFmtId="9" xfId="0" applyAlignment="1" applyBorder="1" applyFont="1" applyNumberFormat="1">
      <alignment horizontal="right"/>
    </xf>
    <xf borderId="11" fillId="0" fontId="3" numFmtId="1" xfId="0" applyAlignment="1" applyBorder="1" applyFont="1" applyNumberFormat="1">
      <alignment horizontal="right" readingOrder="0" vertical="bottom"/>
    </xf>
    <xf borderId="29" fillId="0" fontId="25" numFmtId="9" xfId="0" applyAlignment="1" applyBorder="1" applyFont="1" applyNumberFormat="1">
      <alignment horizontal="right"/>
    </xf>
    <xf borderId="0" fillId="0" fontId="25" numFmtId="0" xfId="0" applyAlignment="1" applyFont="1">
      <alignment shrinkToFit="0" wrapText="1"/>
    </xf>
    <xf borderId="8" fillId="0" fontId="3" numFmtId="0" xfId="0" applyAlignment="1" applyBorder="1" applyFont="1">
      <alignment horizontal="right" readingOrder="0"/>
    </xf>
    <xf borderId="10" fillId="0" fontId="25" numFmtId="0" xfId="0" applyAlignment="1" applyBorder="1" applyFont="1">
      <alignment readingOrder="0" shrinkToFit="0" wrapText="1"/>
    </xf>
    <xf borderId="10" fillId="0" fontId="3" numFmtId="0" xfId="0" applyAlignment="1" applyBorder="1" applyFont="1">
      <alignment horizontal="right" readingOrder="0"/>
    </xf>
    <xf borderId="11" fillId="0" fontId="3" numFmtId="0" xfId="0" applyAlignment="1" applyBorder="1" applyFont="1">
      <alignment horizontal="right" readingOrder="0"/>
    </xf>
    <xf borderId="12" fillId="0" fontId="25" numFmtId="0" xfId="0" applyAlignment="1" applyBorder="1" applyFont="1">
      <alignment readingOrder="0" shrinkToFit="0" wrapText="1"/>
    </xf>
    <xf borderId="12" fillId="0" fontId="3" numFmtId="0" xfId="0" applyAlignment="1" applyBorder="1" applyFont="1">
      <alignment horizontal="right" readingOrder="0"/>
    </xf>
    <xf borderId="30" fillId="0" fontId="25" numFmtId="9" xfId="0" applyAlignment="1" applyBorder="1" applyFont="1" applyNumberFormat="1">
      <alignment horizontal="right"/>
    </xf>
    <xf borderId="12" fillId="0" fontId="25" numFmtId="0" xfId="0" applyAlignment="1" applyBorder="1" applyFont="1">
      <alignment horizontal="right"/>
    </xf>
    <xf borderId="6" fillId="3" fontId="3" numFmtId="0" xfId="0" applyAlignment="1" applyBorder="1" applyFont="1">
      <alignment horizontal="right" vertical="bottom"/>
    </xf>
    <xf borderId="7" fillId="0" fontId="1" numFmtId="0" xfId="0" applyAlignment="1" applyBorder="1" applyFont="1">
      <alignment readingOrder="0" shrinkToFit="0" vertical="bottom" wrapText="0"/>
    </xf>
    <xf borderId="7" fillId="0" fontId="25" numFmtId="0" xfId="0" applyAlignment="1" applyBorder="1" applyFont="1">
      <alignment horizontal="right" vertical="bottom"/>
    </xf>
    <xf borderId="0" fillId="0" fontId="25" numFmtId="0" xfId="0" applyAlignment="1" applyFont="1">
      <alignment horizontal="right" vertical="bottom"/>
    </xf>
    <xf borderId="28" fillId="0" fontId="25" numFmtId="0" xfId="0" applyAlignment="1" applyBorder="1" applyFont="1">
      <alignment horizontal="right" readingOrder="0" vertical="bottom"/>
    </xf>
    <xf borderId="8" fillId="0" fontId="25" numFmtId="170" xfId="0" applyAlignment="1" applyBorder="1" applyFont="1" applyNumberFormat="1">
      <alignment horizontal="right" vertical="bottom"/>
    </xf>
    <xf borderId="29" fillId="0" fontId="25" numFmtId="9" xfId="0" applyAlignment="1" applyBorder="1" applyFont="1" applyNumberFormat="1">
      <alignment horizontal="right" readingOrder="0" vertical="bottom"/>
    </xf>
    <xf borderId="10" fillId="0" fontId="25" numFmtId="9" xfId="0" applyAlignment="1" applyBorder="1" applyFont="1" applyNumberFormat="1">
      <alignment horizontal="right" vertical="bottom"/>
    </xf>
    <xf borderId="29" fillId="0" fontId="25" numFmtId="0" xfId="0" applyAlignment="1" applyBorder="1" applyFont="1">
      <alignment horizontal="right" readingOrder="0" vertical="bottom"/>
    </xf>
    <xf borderId="30" fillId="0" fontId="25" numFmtId="0" xfId="0" applyAlignment="1" applyBorder="1" applyFont="1">
      <alignment horizontal="right" readingOrder="0" vertical="bottom"/>
    </xf>
    <xf borderId="12" fillId="0" fontId="25" numFmtId="171" xfId="0" applyAlignment="1" applyBorder="1" applyFont="1" applyNumberFormat="1">
      <alignment horizontal="right" vertical="bottom"/>
    </xf>
    <xf borderId="13" fillId="0" fontId="3" numFmtId="0" xfId="0" applyAlignment="1" applyBorder="1" applyFont="1">
      <alignment horizontal="right" vertical="bottom"/>
    </xf>
    <xf borderId="0" fillId="0" fontId="20" numFmtId="0" xfId="0" applyAlignment="1" applyFont="1">
      <alignment vertical="bottom"/>
    </xf>
    <xf borderId="8" fillId="0" fontId="25" numFmtId="0" xfId="0" applyAlignment="1" applyBorder="1" applyFont="1">
      <alignment shrinkToFit="0" vertical="bottom" wrapText="1"/>
    </xf>
    <xf borderId="28" fillId="0" fontId="25" numFmtId="0" xfId="0" applyAlignment="1" applyBorder="1" applyFont="1">
      <alignment horizontal="right" vertical="bottom"/>
    </xf>
    <xf borderId="8" fillId="0" fontId="25" numFmtId="3" xfId="0" applyAlignment="1" applyBorder="1" applyFont="1" applyNumberFormat="1">
      <alignment horizontal="right" vertical="bottom"/>
    </xf>
    <xf borderId="10" fillId="0" fontId="25" numFmtId="0" xfId="0" applyAlignment="1" applyBorder="1" applyFont="1">
      <alignment shrinkToFit="0" vertical="bottom" wrapText="1"/>
    </xf>
    <xf borderId="29" fillId="0" fontId="25" numFmtId="9" xfId="0" applyAlignment="1" applyBorder="1" applyFont="1" applyNumberFormat="1">
      <alignment horizontal="right" vertical="bottom"/>
    </xf>
    <xf borderId="10" fillId="0" fontId="25" numFmtId="0" xfId="0" applyAlignment="1" applyBorder="1" applyFont="1">
      <alignment horizontal="right" vertical="bottom"/>
    </xf>
    <xf borderId="29" fillId="0" fontId="25" numFmtId="0" xfId="0" applyAlignment="1" applyBorder="1" applyFont="1">
      <alignment horizontal="right" vertical="bottom"/>
    </xf>
    <xf borderId="12" fillId="0" fontId="3" numFmtId="0" xfId="0" applyAlignment="1" applyBorder="1" applyFont="1">
      <alignment shrinkToFit="0" vertical="bottom" wrapText="1"/>
    </xf>
    <xf borderId="12" fillId="0" fontId="25" numFmtId="1" xfId="0" applyAlignment="1" applyBorder="1" applyFont="1" applyNumberFormat="1">
      <alignment horizontal="right" vertical="bottom"/>
    </xf>
    <xf borderId="28" fillId="0" fontId="25" numFmtId="170" xfId="0" applyAlignment="1" applyBorder="1" applyFont="1" applyNumberFormat="1">
      <alignment horizontal="right" vertical="bottom"/>
    </xf>
    <xf borderId="8" fillId="0" fontId="25" numFmtId="0" xfId="0" applyAlignment="1" applyBorder="1" applyFont="1">
      <alignment horizontal="right" vertical="bottom"/>
    </xf>
    <xf borderId="19" fillId="0" fontId="25" numFmtId="170" xfId="0" applyAlignment="1" applyBorder="1" applyFont="1" applyNumberFormat="1">
      <alignment horizontal="right" vertical="bottom"/>
    </xf>
    <xf borderId="15" fillId="0" fontId="25" numFmtId="170" xfId="0" applyAlignment="1" applyBorder="1" applyFont="1" applyNumberFormat="1">
      <alignment horizontal="right" vertical="bottom"/>
    </xf>
    <xf borderId="7"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14" fillId="0" fontId="3" numFmtId="0" xfId="0" applyAlignment="1" applyBorder="1" applyFont="1">
      <alignment horizontal="right" readingOrder="0" vertical="bottom"/>
    </xf>
    <xf borderId="7" fillId="0" fontId="25" numFmtId="0" xfId="0" applyAlignment="1" applyBorder="1" applyFont="1">
      <alignment horizontal="right" readingOrder="0"/>
    </xf>
    <xf borderId="14" fillId="0" fontId="3" numFmtId="0" xfId="0" applyBorder="1" applyFont="1"/>
    <xf borderId="8" fillId="0" fontId="3" numFmtId="0" xfId="0" applyAlignment="1" applyBorder="1" applyFont="1">
      <alignment readingOrder="0" vertical="bottom"/>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9" fillId="0" fontId="3" numFmtId="0" xfId="0" applyBorder="1" applyFont="1"/>
    <xf borderId="11" fillId="0" fontId="3" numFmtId="0" xfId="0" applyAlignment="1" applyBorder="1" applyFont="1">
      <alignment horizontal="right" readingOrder="0" vertical="bottom"/>
    </xf>
    <xf borderId="11" fillId="0" fontId="3" numFmtId="0" xfId="0" applyBorder="1" applyFont="1"/>
    <xf borderId="29" fillId="0" fontId="25" numFmtId="9" xfId="0" applyAlignment="1" applyBorder="1" applyFont="1" applyNumberFormat="1">
      <alignment horizontal="right" readingOrder="0"/>
    </xf>
    <xf borderId="13" fillId="0" fontId="3" numFmtId="0" xfId="0" applyAlignment="1" applyBorder="1" applyFont="1">
      <alignment horizontal="right" readingOrder="0" vertical="bottom"/>
    </xf>
    <xf borderId="13" fillId="0" fontId="3" numFmtId="0" xfId="0" applyBorder="1" applyFont="1"/>
    <xf borderId="29" fillId="0" fontId="25" numFmtId="0" xfId="0" applyAlignment="1" applyBorder="1" applyFont="1">
      <alignment horizontal="right" readingOrder="0"/>
    </xf>
    <xf borderId="4" fillId="3" fontId="1" numFmtId="0" xfId="0" applyAlignment="1" applyBorder="1" applyFont="1">
      <alignment readingOrder="0" vertical="bottom"/>
    </xf>
    <xf borderId="4" fillId="3" fontId="25" numFmtId="0" xfId="0" applyAlignment="1" applyBorder="1" applyFont="1">
      <alignment horizontal="right" readingOrder="0"/>
    </xf>
    <xf borderId="5" fillId="3" fontId="25" numFmtId="3" xfId="0" applyAlignment="1" applyBorder="1" applyFont="1" applyNumberFormat="1">
      <alignment horizontal="right"/>
    </xf>
    <xf borderId="6" fillId="3" fontId="3" numFmtId="0" xfId="0" applyBorder="1" applyFont="1"/>
    <xf borderId="0" fillId="0" fontId="25" numFmtId="4" xfId="0" applyAlignment="1" applyFont="1" applyNumberFormat="1">
      <alignment horizontal="right"/>
    </xf>
    <xf borderId="15" fillId="0" fontId="3" numFmtId="0" xfId="0" applyAlignment="1" applyBorder="1" applyFont="1">
      <alignment horizontal="right" readingOrder="0" vertical="bottom"/>
    </xf>
    <xf borderId="19" fillId="0" fontId="25" numFmtId="0" xfId="0" applyAlignment="1" applyBorder="1" applyFont="1">
      <alignment horizontal="right" readingOrder="0"/>
    </xf>
    <xf borderId="16" fillId="0" fontId="3" numFmtId="0" xfId="0" applyBorder="1" applyFont="1"/>
    <xf borderId="7" fillId="0" fontId="25" numFmtId="0" xfId="0" applyAlignment="1" applyBorder="1" applyFont="1">
      <alignment horizontal="right" readingOrder="0"/>
    </xf>
    <xf borderId="14" fillId="0" fontId="39" numFmtId="0" xfId="0" applyBorder="1" applyFont="1"/>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19" fillId="0" fontId="25" numFmtId="0" xfId="0" applyAlignment="1" applyBorder="1" applyFont="1">
      <alignment horizontal="right" readingOrder="0"/>
    </xf>
    <xf borderId="2" fillId="2" fontId="1" numFmtId="0" xfId="0" applyAlignment="1" applyBorder="1" applyFont="1">
      <alignment shrinkToFit="0" vertical="bottom" wrapText="1"/>
    </xf>
    <xf borderId="1" fillId="2" fontId="1" numFmtId="0" xfId="0" applyAlignment="1" applyBorder="1" applyFont="1">
      <alignment vertical="bottom"/>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shrinkToFit="0" vertical="bottom" wrapText="1"/>
    </xf>
    <xf borderId="7" fillId="2" fontId="1" numFmtId="0" xfId="0" applyAlignment="1" applyBorder="1" applyFont="1">
      <alignment vertical="bottom"/>
    </xf>
    <xf borderId="0" fillId="2" fontId="1" numFmtId="0" xfId="0" applyAlignment="1" applyFont="1">
      <alignment horizontal="left" shrinkToFit="0" vertical="bottom" wrapText="0"/>
    </xf>
    <xf borderId="14"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5" fillId="3" fontId="1" numFmtId="0" xfId="0" applyAlignment="1" applyBorder="1" applyFont="1">
      <alignment readingOrder="0" shrinkToFit="0" vertical="bottom" wrapText="1"/>
    </xf>
    <xf borderId="19" fillId="3" fontId="3" numFmtId="0" xfId="0" applyAlignment="1" applyBorder="1" applyFont="1">
      <alignment vertical="bottom"/>
    </xf>
    <xf borderId="15" fillId="3" fontId="3" numFmtId="0" xfId="0" applyAlignment="1" applyBorder="1" applyFont="1">
      <alignment horizontal="left" shrinkToFit="0" vertical="bottom" wrapText="0"/>
    </xf>
    <xf borderId="14" fillId="3" fontId="3" numFmtId="0" xfId="0" applyAlignment="1" applyBorder="1" applyFon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4" fillId="3" fontId="3" numFmtId="0" xfId="0" applyAlignment="1" applyBorder="1" applyFont="1">
      <alignment vertical="bottom"/>
    </xf>
    <xf borderId="6" fillId="3" fontId="3" numFmtId="0" xfId="0" applyAlignment="1" applyBorder="1" applyFont="1">
      <alignment horizontal="left" shrinkToFit="0" vertical="bottom" wrapText="0"/>
    </xf>
    <xf borderId="0" fillId="0" fontId="3" numFmtId="0" xfId="0" applyAlignment="1" applyFont="1">
      <alignment shrinkToFit="0" vertical="bottom" wrapText="1"/>
    </xf>
    <xf borderId="21" fillId="0" fontId="3" numFmtId="0" xfId="0" applyAlignment="1" applyBorder="1" applyFont="1">
      <alignment horizontal="right"/>
    </xf>
    <xf borderId="0" fillId="0" fontId="3" numFmtId="0" xfId="0" applyAlignment="1" applyFont="1">
      <alignment horizontal="left" shrinkToFit="0" wrapText="0"/>
    </xf>
    <xf borderId="14" fillId="0" fontId="3" numFmtId="0" xfId="0" applyAlignment="1" applyBorder="1" applyFont="1">
      <alignment horizontal="left" shrinkToFit="0" wrapText="0"/>
    </xf>
    <xf borderId="22"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shrinkToFit="0" wrapText="1"/>
    </xf>
    <xf borderId="21" fillId="0" fontId="3" numFmtId="0" xfId="0" applyAlignment="1" applyBorder="1" applyFont="1">
      <alignment horizontal="right" readingOrder="0"/>
    </xf>
    <xf borderId="8" fillId="0" fontId="3" numFmtId="0" xfId="0" applyAlignment="1" applyBorder="1" applyFont="1">
      <alignment readingOrder="0" shrinkToFit="0" wrapText="1"/>
    </xf>
    <xf borderId="24" fillId="0" fontId="3" numFmtId="0" xfId="0" applyAlignment="1" applyBorder="1" applyFont="1">
      <alignment horizontal="right" readingOrder="0"/>
    </xf>
    <xf borderId="8" fillId="0" fontId="3" numFmtId="9" xfId="0" applyAlignment="1" applyBorder="1" applyFont="1" applyNumberFormat="1">
      <alignment horizontal="right" readingOrder="0"/>
    </xf>
    <xf borderId="8" fillId="0" fontId="3" numFmtId="9" xfId="0" applyAlignment="1" applyBorder="1" applyFont="1" applyNumberFormat="1">
      <alignment horizontal="right" vertical="bottom"/>
    </xf>
    <xf borderId="28" fillId="0" fontId="3" numFmtId="0" xfId="0" applyBorder="1" applyFont="1"/>
    <xf borderId="8" fillId="0" fontId="3" numFmtId="0" xfId="0" applyAlignment="1" applyBorder="1" applyFont="1">
      <alignment horizontal="left" readingOrder="0" shrinkToFit="0" wrapText="0"/>
    </xf>
    <xf borderId="9" fillId="0" fontId="40" numFmtId="0" xfId="0" applyAlignment="1" applyBorder="1" applyFont="1">
      <alignment horizontal="left" readingOrder="0" shrinkToFit="0" wrapText="0"/>
    </xf>
    <xf borderId="10" fillId="0" fontId="3" numFmtId="0" xfId="0" applyAlignment="1" applyBorder="1" applyFont="1">
      <alignment readingOrder="0" shrinkToFit="0" wrapText="1"/>
    </xf>
    <xf borderId="25" fillId="0" fontId="3" numFmtId="0" xfId="0" applyAlignment="1" applyBorder="1" applyFont="1">
      <alignment horizontal="right" readingOrder="0"/>
    </xf>
    <xf borderId="10" fillId="0" fontId="3" numFmtId="9" xfId="0" applyAlignment="1" applyBorder="1" applyFont="1" applyNumberFormat="1">
      <alignment horizontal="right" readingOrder="0"/>
    </xf>
    <xf borderId="10" fillId="0" fontId="3" numFmtId="9" xfId="0" applyAlignment="1" applyBorder="1" applyFont="1" applyNumberFormat="1">
      <alignment horizontal="right" vertical="bottom"/>
    </xf>
    <xf borderId="29" fillId="0" fontId="3" numFmtId="0" xfId="0" applyBorder="1" applyFont="1"/>
    <xf borderId="10" fillId="0" fontId="3" numFmtId="0" xfId="0" applyAlignment="1" applyBorder="1" applyFont="1">
      <alignment horizontal="left" readingOrder="0" shrinkToFit="0" wrapText="0"/>
    </xf>
    <xf borderId="12" fillId="0" fontId="3" numFmtId="0" xfId="0" applyAlignment="1" applyBorder="1" applyFont="1">
      <alignment readingOrder="0" shrinkToFit="0" wrapText="1"/>
    </xf>
    <xf borderId="26" fillId="0" fontId="3" numFmtId="0" xfId="0" applyAlignment="1" applyBorder="1" applyFont="1">
      <alignment horizontal="right" readingOrder="0"/>
    </xf>
    <xf borderId="12" fillId="0" fontId="3" numFmtId="9" xfId="0" applyAlignment="1" applyBorder="1" applyFont="1" applyNumberFormat="1">
      <alignment horizontal="right" readingOrder="0"/>
    </xf>
    <xf borderId="12" fillId="0" fontId="3" numFmtId="9" xfId="0" applyAlignment="1" applyBorder="1" applyFont="1" applyNumberFormat="1">
      <alignment horizontal="right" vertical="bottom"/>
    </xf>
    <xf borderId="30" fillId="0" fontId="3" numFmtId="0" xfId="0" applyBorder="1" applyFont="1"/>
    <xf borderId="12" fillId="0" fontId="3" numFmtId="0" xfId="0" applyAlignment="1" applyBorder="1" applyFont="1">
      <alignment horizontal="left" readingOrder="0" shrinkToFit="0" wrapText="0"/>
    </xf>
    <xf borderId="0" fillId="0" fontId="3" numFmtId="0" xfId="0" applyAlignment="1" applyFont="1">
      <alignment readingOrder="0" shrinkToFit="0" vertical="bottom" wrapText="0"/>
    </xf>
    <xf borderId="8" fillId="0" fontId="3" numFmtId="0" xfId="0" applyAlignment="1" applyBorder="1" applyFont="1">
      <alignment readingOrder="0" shrinkToFit="0" vertical="bottom" wrapText="1"/>
    </xf>
    <xf borderId="8" fillId="0" fontId="3" numFmtId="167" xfId="0" applyAlignment="1" applyBorder="1" applyFont="1" applyNumberFormat="1">
      <alignment horizontal="right" readingOrder="0"/>
    </xf>
    <xf borderId="8" fillId="0" fontId="3" numFmtId="0" xfId="0" applyAlignment="1" applyBorder="1" applyFont="1">
      <alignment horizontal="left" readingOrder="0" shrinkToFit="0" wrapText="0"/>
    </xf>
    <xf borderId="15" fillId="0" fontId="3" numFmtId="0" xfId="0" applyAlignment="1" applyBorder="1" applyFont="1">
      <alignment readingOrder="0" shrinkToFit="0" vertical="bottom" wrapText="1"/>
    </xf>
    <xf borderId="22" fillId="0" fontId="3" numFmtId="0" xfId="0" applyAlignment="1" applyBorder="1" applyFont="1">
      <alignment horizontal="right" readingOrder="0"/>
    </xf>
    <xf borderId="15" fillId="0" fontId="3" numFmtId="164" xfId="0" applyAlignment="1" applyBorder="1" applyFont="1" applyNumberFormat="1">
      <alignment horizontal="right" readingOrder="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14" fillId="0" fontId="1" numFmtId="0" xfId="0" applyAlignment="1" applyBorder="1" applyFont="1">
      <alignment readingOrder="0" shrinkToFit="0" vertical="bottom" wrapText="0"/>
    </xf>
    <xf borderId="21"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0" fillId="0" fontId="1" numFmtId="0" xfId="0" applyAlignment="1" applyFont="1">
      <alignment horizontal="right" readingOrder="0" shrinkToFit="0" vertical="bottom" wrapText="0"/>
    </xf>
    <xf borderId="14" fillId="0" fontId="1" numFmtId="0" xfId="0" applyAlignment="1" applyBorder="1" applyFont="1">
      <alignment horizontal="right" readingOrder="0" shrinkToFit="0" vertical="bottom" wrapText="0"/>
    </xf>
    <xf borderId="7" fillId="0" fontId="3" numFmtId="0" xfId="0" applyAlignment="1" applyBorder="1" applyFont="1">
      <alignment readingOrder="0" shrinkToFit="0" vertical="bottom" wrapText="0"/>
    </xf>
    <xf borderId="8" fillId="0" fontId="3" numFmtId="0" xfId="0" applyAlignment="1" applyBorder="1" applyFont="1">
      <alignment readingOrder="0" shrinkToFit="0" vertical="bottom" wrapText="0"/>
    </xf>
    <xf borderId="8" fillId="0" fontId="3" numFmtId="0" xfId="0" applyAlignment="1" applyBorder="1" applyFont="1">
      <alignment horizontal="right" readingOrder="0" shrinkToFit="0" vertical="bottom" wrapText="0"/>
    </xf>
    <xf borderId="9" fillId="0" fontId="3" numFmtId="0" xfId="0" applyAlignment="1" applyBorder="1" applyFont="1">
      <alignment horizontal="right" readingOrder="0" shrinkToFit="0" vertical="bottom" wrapText="0"/>
    </xf>
    <xf borderId="24" fillId="0" fontId="3" numFmtId="1" xfId="0" applyAlignment="1" applyBorder="1" applyFont="1" applyNumberFormat="1">
      <alignment horizontal="right" readingOrder="0" vertical="bottom"/>
    </xf>
    <xf borderId="8" fillId="0" fontId="3" numFmtId="3" xfId="0" applyAlignment="1" applyBorder="1" applyFont="1" applyNumberFormat="1">
      <alignment horizontal="right" readingOrder="0" vertical="bottom"/>
    </xf>
    <xf borderId="8" fillId="0" fontId="3" numFmtId="3" xfId="0" applyAlignment="1" applyBorder="1" applyFont="1" applyNumberFormat="1">
      <alignment horizontal="right" vertical="bottom"/>
    </xf>
    <xf borderId="28" fillId="0" fontId="3" numFmtId="1" xfId="0" applyAlignment="1" applyBorder="1" applyFont="1" applyNumberFormat="1">
      <alignment horizontal="right" vertical="bottom"/>
    </xf>
    <xf borderId="9" fillId="0" fontId="41" numFmtId="1" xfId="0" applyAlignment="1" applyBorder="1" applyFont="1" applyNumberFormat="1">
      <alignment horizontal="left" readingOrder="0" shrinkToFit="0" vertical="bottom" wrapText="0"/>
    </xf>
    <xf borderId="10" fillId="0" fontId="3" numFmtId="0" xfId="0" applyAlignment="1" applyBorder="1" applyFont="1">
      <alignment readingOrder="0" shrinkToFit="0" vertical="bottom" wrapText="0"/>
    </xf>
    <xf borderId="10" fillId="0" fontId="3"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25" fillId="0" fontId="3" numFmtId="1" xfId="0" applyAlignment="1" applyBorder="1" applyFont="1" applyNumberFormat="1">
      <alignment horizontal="right" readingOrder="0" vertical="bottom"/>
    </xf>
    <xf borderId="10" fillId="0" fontId="3" numFmtId="3" xfId="0" applyAlignment="1" applyBorder="1" applyFont="1" applyNumberFormat="1">
      <alignment horizontal="right" readingOrder="0" vertical="bottom"/>
    </xf>
    <xf borderId="10" fillId="0" fontId="3" numFmtId="3" xfId="0" applyAlignment="1" applyBorder="1" applyFont="1" applyNumberFormat="1">
      <alignment horizontal="right" vertical="bottom"/>
    </xf>
    <xf borderId="29" fillId="0" fontId="3" numFmtId="1" xfId="0" applyAlignment="1" applyBorder="1" applyFont="1" applyNumberFormat="1">
      <alignment horizontal="right" vertical="bottom"/>
    </xf>
    <xf borderId="10" fillId="0" fontId="3" numFmtId="1" xfId="0" applyAlignment="1" applyBorder="1" applyFont="1" applyNumberFormat="1">
      <alignment horizontal="left" shrinkToFit="0" vertical="bottom" wrapText="0"/>
    </xf>
    <xf borderId="11" fillId="0" fontId="3" numFmtId="1" xfId="0" applyAlignment="1" applyBorder="1" applyFont="1" applyNumberFormat="1">
      <alignment horizontal="left" shrinkToFit="0" vertical="bottom" wrapText="0"/>
    </xf>
    <xf borderId="12" fillId="0" fontId="3" numFmtId="0" xfId="0" applyAlignment="1" applyBorder="1" applyFont="1">
      <alignment readingOrder="0" shrinkToFit="0" vertical="bottom" wrapText="0"/>
    </xf>
    <xf borderId="12" fillId="0" fontId="3" numFmtId="0" xfId="0" applyAlignment="1" applyBorder="1" applyFont="1">
      <alignment horizontal="right" readingOrder="0" shrinkToFit="0" vertical="bottom" wrapText="0"/>
    </xf>
    <xf borderId="13" fillId="0" fontId="3" numFmtId="0" xfId="0" applyAlignment="1" applyBorder="1" applyFont="1">
      <alignment horizontal="right" readingOrder="0" shrinkToFit="0" vertical="bottom" wrapText="0"/>
    </xf>
    <xf borderId="26" fillId="0" fontId="3" numFmtId="1" xfId="0" applyAlignment="1" applyBorder="1" applyFont="1" applyNumberFormat="1">
      <alignment horizontal="right" readingOrder="0" vertical="bottom"/>
    </xf>
    <xf borderId="30" fillId="0" fontId="3" numFmtId="1" xfId="0" applyAlignment="1" applyBorder="1" applyFont="1" applyNumberFormat="1">
      <alignment horizontal="right" vertical="bottom"/>
    </xf>
    <xf borderId="12" fillId="0" fontId="3" numFmtId="1" xfId="0" applyAlignment="1" applyBorder="1" applyFont="1" applyNumberFormat="1">
      <alignment horizontal="left" shrinkToFit="0" vertical="bottom" wrapText="0"/>
    </xf>
    <xf borderId="13" fillId="0" fontId="3" numFmtId="1" xfId="0" applyAlignment="1" applyBorder="1" applyFont="1" applyNumberFormat="1">
      <alignment horizontal="left" shrinkToFit="0" vertical="bottom" wrapText="0"/>
    </xf>
    <xf borderId="0" fillId="0" fontId="3" numFmtId="0" xfId="0" applyAlignment="1" applyFont="1">
      <alignment horizontal="right" readingOrder="0" shrinkToFit="0" vertical="bottom" wrapText="0"/>
    </xf>
    <xf borderId="14" fillId="0" fontId="3" numFmtId="0" xfId="0" applyAlignment="1" applyBorder="1" applyFont="1">
      <alignment horizontal="right" readingOrder="0" shrinkToFit="0" vertical="bottom" wrapText="0"/>
    </xf>
    <xf borderId="8" fillId="0" fontId="3" numFmtId="1" xfId="0" applyAlignment="1" applyBorder="1" applyFont="1" applyNumberFormat="1">
      <alignment horizontal="right" vertical="bottom"/>
    </xf>
    <xf borderId="10" fillId="0" fontId="3" numFmtId="1" xfId="0" applyAlignment="1" applyBorder="1" applyFont="1" applyNumberFormat="1">
      <alignment horizontal="right" vertical="bottom"/>
    </xf>
    <xf borderId="10" fillId="0" fontId="3" numFmtId="1" xfId="0" applyAlignment="1" applyBorder="1" applyFont="1" applyNumberFormat="1">
      <alignment horizontal="left" readingOrder="0" shrinkToFit="0" vertical="bottom" wrapText="0"/>
    </xf>
    <xf borderId="12" fillId="0" fontId="3" numFmtId="0" xfId="0" applyAlignment="1" applyBorder="1" applyFont="1">
      <alignment readingOrder="0" shrinkToFit="0" vertical="bottom" wrapText="1"/>
    </xf>
    <xf borderId="26" fillId="0" fontId="3" numFmtId="2"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0" fillId="0" fontId="20" numFmtId="1" xfId="0" applyAlignment="1" applyFont="1" applyNumberFormat="1">
      <alignment vertical="bottom"/>
    </xf>
    <xf borderId="15" fillId="0" fontId="3" numFmtId="0" xfId="0" applyAlignment="1" applyBorder="1" applyFont="1">
      <alignment readingOrder="0" shrinkToFit="0" vertical="bottom" wrapText="0"/>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22" fillId="0" fontId="3" numFmtId="1"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5" fillId="0" fontId="3" numFmtId="3" xfId="0" applyAlignment="1" applyBorder="1" applyFont="1" applyNumberFormat="1">
      <alignment horizontal="right" vertical="bottom"/>
    </xf>
    <xf borderId="19" fillId="0" fontId="3" numFmtId="1" xfId="0" applyAlignment="1" applyBorder="1" applyFont="1" applyNumberFormat="1">
      <alignment horizontal="right" vertical="bottom"/>
    </xf>
    <xf borderId="0" fillId="0" fontId="3" numFmtId="0" xfId="0" applyAlignment="1" applyFont="1">
      <alignment readingOrder="0" shrinkToFit="0" vertical="bottom" wrapText="0"/>
    </xf>
    <xf borderId="9" fillId="0" fontId="3" numFmtId="1" xfId="0" applyAlignment="1" applyBorder="1" applyFont="1" applyNumberFormat="1">
      <alignment horizontal="right" readingOrder="0" shrinkToFit="0" vertical="bottom" wrapText="0"/>
    </xf>
    <xf borderId="24" fillId="0" fontId="3" numFmtId="0" xfId="0" applyAlignment="1" applyBorder="1" applyFont="1">
      <alignment horizontal="right" readingOrder="0" vertical="bottom"/>
    </xf>
    <xf borderId="13" fillId="0" fontId="3" numFmtId="1" xfId="0" applyAlignment="1" applyBorder="1" applyFont="1" applyNumberFormat="1">
      <alignment horizontal="right" readingOrder="0" shrinkToFit="0" vertical="bottom" wrapText="0"/>
    </xf>
    <xf borderId="26" fillId="0" fontId="3" numFmtId="0" xfId="0" applyAlignment="1" applyBorder="1" applyFont="1">
      <alignment horizontal="right" readingOrder="0" vertical="bottom"/>
    </xf>
    <xf borderId="12" fillId="0" fontId="3" numFmtId="3" xfId="0" applyAlignment="1" applyBorder="1" applyFont="1" applyNumberFormat="1">
      <alignment horizontal="right" vertical="bottom"/>
    </xf>
    <xf borderId="0" fillId="0" fontId="3" numFmtId="172" xfId="0" applyAlignment="1" applyFont="1" applyNumberFormat="1">
      <alignment horizontal="right"/>
    </xf>
    <xf borderId="24" fillId="0" fontId="3" numFmtId="9" xfId="0" applyAlignment="1" applyBorder="1" applyFont="1" applyNumberFormat="1">
      <alignment horizontal="right" readingOrder="0"/>
    </xf>
    <xf borderId="8" fillId="0" fontId="3" numFmtId="0" xfId="0" applyAlignment="1" applyBorder="1" applyFont="1">
      <alignment horizontal="left" readingOrder="0" shrinkToFit="0" wrapText="0"/>
    </xf>
    <xf borderId="9" fillId="0" fontId="42" numFmtId="0" xfId="0" applyAlignment="1" applyBorder="1" applyFont="1">
      <alignment horizontal="left" readingOrder="0" shrinkToFit="0" wrapText="0"/>
    </xf>
    <xf borderId="10" fillId="0" fontId="3" numFmtId="0" xfId="0" applyAlignment="1" applyBorder="1" applyFont="1">
      <alignment readingOrder="0" shrinkToFit="0" vertical="bottom" wrapText="1"/>
    </xf>
    <xf borderId="25" fillId="0" fontId="3" numFmtId="9" xfId="0" applyAlignment="1" applyBorder="1" applyFont="1" applyNumberFormat="1">
      <alignment horizontal="right" readingOrder="0"/>
    </xf>
    <xf borderId="10" fillId="0" fontId="3" numFmtId="0" xfId="0" applyAlignment="1" applyBorder="1" applyFont="1">
      <alignment horizontal="left" readingOrder="0" shrinkToFit="0" wrapText="0"/>
    </xf>
    <xf borderId="11" fillId="0" fontId="43"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1" fillId="0" fontId="3" numFmtId="1" xfId="0" applyAlignment="1" applyBorder="1" applyFont="1" applyNumberFormat="1">
      <alignment horizontal="left" readingOrder="0" shrinkToFit="0" vertical="bottom" wrapText="0"/>
    </xf>
    <xf borderId="10" fillId="0" fontId="3" numFmtId="0" xfId="0" applyAlignment="1" applyBorder="1" applyFont="1">
      <alignment shrinkToFit="0" vertical="bottom" wrapText="1"/>
    </xf>
    <xf borderId="10" fillId="0" fontId="3" numFmtId="0" xfId="0" applyAlignment="1" applyBorder="1" applyFont="1">
      <alignment horizontal="right" vertical="bottom"/>
    </xf>
    <xf borderId="11" fillId="0" fontId="3" numFmtId="0" xfId="0" applyAlignment="1" applyBorder="1" applyFont="1">
      <alignment horizontal="right" vertical="bottom"/>
    </xf>
    <xf borderId="25" fillId="0" fontId="3" numFmtId="9" xfId="0" applyAlignment="1" applyBorder="1" applyFont="1" applyNumberFormat="1">
      <alignment horizontal="right" vertical="bottom"/>
    </xf>
    <xf borderId="11" fillId="0" fontId="44" numFmtId="1" xfId="0" applyAlignment="1" applyBorder="1" applyFont="1" applyNumberFormat="1">
      <alignment horizontal="left" readingOrder="0" shrinkToFit="0" vertical="bottom" wrapText="0"/>
    </xf>
    <xf borderId="13" fillId="0" fontId="3" numFmtId="1" xfId="0" applyAlignment="1" applyBorder="1" applyFont="1" applyNumberFormat="1">
      <alignment horizontal="left" readingOrder="0" shrinkToFit="0" vertical="bottom" wrapText="0"/>
    </xf>
    <xf borderId="8" fillId="0" fontId="45" numFmtId="0" xfId="0" applyAlignment="1" applyBorder="1" applyFont="1">
      <alignment horizontal="left" readingOrder="0" shrinkToFit="0" wrapText="0"/>
    </xf>
    <xf borderId="9" fillId="0" fontId="3" numFmtId="0" xfId="0" applyAlignment="1" applyBorder="1" applyFont="1">
      <alignment horizontal="left" shrinkToFit="0" wrapText="0"/>
    </xf>
    <xf borderId="10" fillId="0" fontId="46" numFmtId="0" xfId="0" applyAlignment="1" applyBorder="1" applyFont="1">
      <alignment horizontal="left" readingOrder="0" shrinkToFit="0" wrapText="0"/>
    </xf>
    <xf borderId="11" fillId="0" fontId="3" numFmtId="0" xfId="0" applyAlignment="1" applyBorder="1" applyFont="1">
      <alignment horizontal="left" shrinkToFit="0" wrapText="0"/>
    </xf>
    <xf borderId="26" fillId="0" fontId="3" numFmtId="9" xfId="0" applyAlignment="1" applyBorder="1" applyFont="1" applyNumberFormat="1">
      <alignment horizontal="right" readingOrder="0"/>
    </xf>
    <xf borderId="13" fillId="0" fontId="47" numFmtId="0" xfId="0" applyAlignment="1" applyBorder="1" applyFont="1">
      <alignment readingOrder="0"/>
    </xf>
    <xf borderId="0" fillId="0" fontId="3" numFmtId="3" xfId="0" applyAlignment="1" applyFont="1" applyNumberFormat="1">
      <alignment horizontal="right"/>
    </xf>
    <xf borderId="24" fillId="0" fontId="3" numFmtId="2" xfId="0" applyAlignment="1" applyBorder="1" applyFont="1" applyNumberFormat="1">
      <alignment horizontal="right" readingOrder="0"/>
    </xf>
    <xf borderId="8" fillId="0" fontId="3" numFmtId="3" xfId="0" applyAlignment="1" applyBorder="1" applyFont="1" applyNumberFormat="1">
      <alignment horizontal="right" readingOrder="0"/>
    </xf>
    <xf borderId="22" fillId="0" fontId="3" numFmtId="2" xfId="0" applyAlignment="1" applyBorder="1" applyFont="1" applyNumberFormat="1">
      <alignment horizontal="right" readingOrder="0"/>
    </xf>
    <xf borderId="15" fillId="0" fontId="3" numFmtId="3" xfId="0" applyAlignment="1" applyBorder="1" applyFont="1" applyNumberFormat="1">
      <alignment horizontal="right" readingOrder="0"/>
    </xf>
    <xf borderId="16" fillId="0" fontId="3" numFmtId="0" xfId="0" applyAlignment="1" applyBorder="1" applyFont="1">
      <alignment horizontal="left" shrinkToFit="0" wrapText="0"/>
    </xf>
    <xf borderId="0" fillId="0" fontId="3" numFmtId="0" xfId="0" applyAlignment="1" applyFont="1">
      <alignment readingOrder="0" shrinkToFit="0" vertical="bottom" wrapText="1"/>
    </xf>
    <xf borderId="21" fillId="0" fontId="3" numFmtId="2" xfId="0" applyAlignment="1" applyBorder="1" applyFont="1" applyNumberFormat="1">
      <alignment horizontal="right" readingOrder="0"/>
    </xf>
    <xf borderId="0" fillId="0" fontId="3" numFmtId="3" xfId="0" applyAlignment="1" applyFont="1" applyNumberFormat="1">
      <alignment horizontal="right" readingOrder="0"/>
    </xf>
    <xf borderId="0" fillId="0" fontId="3" numFmtId="0" xfId="0" applyAlignment="1" applyFont="1">
      <alignment horizontal="left" readingOrder="0" shrinkToFit="0" wrapText="0"/>
    </xf>
    <xf borderId="8" fillId="0" fontId="3" numFmtId="0" xfId="0" applyAlignment="1" applyBorder="1" applyFont="1">
      <alignment horizontal="right" vertical="bottom"/>
    </xf>
    <xf borderId="9" fillId="0" fontId="3" numFmtId="0" xfId="0" applyAlignment="1" applyBorder="1" applyFont="1">
      <alignment horizontal="right" vertical="bottom"/>
    </xf>
    <xf borderId="9" fillId="0" fontId="3" numFmtId="165" xfId="0" applyAlignment="1" applyBorder="1" applyFont="1" applyNumberFormat="1">
      <alignment horizontal="right" readingOrder="0" vertical="bottom"/>
    </xf>
    <xf borderId="8" fillId="0" fontId="3" numFmtId="0" xfId="0" applyAlignment="1" applyBorder="1" applyFont="1">
      <alignment vertical="bottom"/>
    </xf>
    <xf borderId="9" fillId="0" fontId="48" numFmtId="0" xfId="0" applyAlignment="1" applyBorder="1" applyFont="1">
      <alignment readingOrder="0" vertical="bottom"/>
    </xf>
    <xf borderId="10" fillId="0" fontId="3" numFmtId="1" xfId="0" applyAlignment="1" applyBorder="1" applyFont="1" applyNumberFormat="1">
      <alignment readingOrder="0" shrinkToFit="0" vertical="bottom" wrapText="1"/>
    </xf>
    <xf borderId="11" fillId="0" fontId="3" numFmtId="169" xfId="0" applyAlignment="1" applyBorder="1" applyFont="1" applyNumberFormat="1">
      <alignment horizontal="right" readingOrder="0" vertical="bottom"/>
    </xf>
    <xf borderId="10" fillId="0" fontId="3" numFmtId="3" xfId="0" applyAlignment="1" applyBorder="1" applyFont="1" applyNumberFormat="1">
      <alignment horizontal="right" readingOrder="0"/>
    </xf>
    <xf borderId="10" fillId="0" fontId="3" numFmtId="0" xfId="0" applyAlignment="1" applyBorder="1" applyFont="1">
      <alignment vertical="bottom"/>
    </xf>
    <xf borderId="11" fillId="0" fontId="20" numFmtId="0" xfId="0" applyAlignment="1" applyBorder="1" applyFont="1">
      <alignment vertical="bottom"/>
    </xf>
    <xf borderId="11" fillId="0" fontId="3" numFmtId="165" xfId="0" applyAlignment="1" applyBorder="1" applyFont="1" applyNumberFormat="1">
      <alignment horizontal="right" vertical="bottom"/>
    </xf>
    <xf borderId="11" fillId="0" fontId="49" numFmtId="0" xfId="0" applyAlignment="1" applyBorder="1" applyFont="1">
      <alignment vertical="bottom"/>
    </xf>
    <xf borderId="11" fillId="0" fontId="3" numFmtId="1" xfId="0" applyAlignment="1" applyBorder="1" applyFont="1" applyNumberFormat="1">
      <alignment horizontal="right" vertical="bottom"/>
    </xf>
    <xf borderId="12" fillId="0" fontId="3" numFmtId="0" xfId="0" applyAlignment="1" applyBorder="1" applyFont="1">
      <alignment shrinkToFit="0" vertical="bottom" wrapText="1"/>
    </xf>
    <xf borderId="12" fillId="0" fontId="3" numFmtId="0" xfId="0" applyAlignment="1" applyBorder="1" applyFont="1">
      <alignment horizontal="right" vertical="bottom"/>
    </xf>
    <xf borderId="13" fillId="0" fontId="3" numFmtId="0" xfId="0" applyAlignment="1" applyBorder="1" applyFont="1">
      <alignment horizontal="right" vertical="bottom"/>
    </xf>
    <xf borderId="13" fillId="0" fontId="3" numFmtId="3" xfId="0" applyAlignment="1" applyBorder="1" applyFont="1" applyNumberFormat="1">
      <alignment horizontal="right" vertical="bottom"/>
    </xf>
    <xf borderId="12" fillId="0" fontId="3" numFmtId="3" xfId="0" applyAlignment="1" applyBorder="1" applyFont="1" applyNumberFormat="1">
      <alignment horizontal="right" readingOrder="0"/>
    </xf>
    <xf borderId="12" fillId="0" fontId="3" numFmtId="0" xfId="0" applyAlignment="1" applyBorder="1" applyFont="1">
      <alignment vertical="bottom"/>
    </xf>
    <xf borderId="13" fillId="0" fontId="50" numFmtId="0" xfId="0" applyAlignment="1" applyBorder="1" applyFont="1">
      <alignment vertical="bottom"/>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24" fillId="0" fontId="3" numFmtId="1" xfId="0" applyAlignment="1" applyBorder="1" applyFont="1" applyNumberFormat="1">
      <alignment horizontal="right" readingOrder="0"/>
    </xf>
    <xf borderId="28" fillId="0" fontId="3" numFmtId="0" xfId="0" applyAlignment="1" applyBorder="1" applyFont="1">
      <alignment horizontal="left" readingOrder="0" shrinkToFit="0" wrapText="0"/>
    </xf>
    <xf borderId="9" fillId="0" fontId="51" numFmtId="0" xfId="0" applyAlignment="1" applyBorder="1" applyFont="1">
      <alignment horizontal="left" readingOrder="0" shrinkToFit="0" wrapText="0"/>
    </xf>
    <xf borderId="0" fillId="0" fontId="3" numFmtId="0" xfId="0" applyAlignment="1" applyFont="1">
      <alignment shrinkToFit="0" vertical="bottom" wrapText="1"/>
    </xf>
    <xf borderId="24" fillId="0" fontId="3" numFmtId="169" xfId="0" applyAlignment="1" applyBorder="1" applyFont="1" applyNumberFormat="1">
      <alignment horizontal="right" readingOrder="0"/>
    </xf>
    <xf borderId="26" fillId="0" fontId="3" numFmtId="169" xfId="0" applyAlignment="1" applyBorder="1" applyFont="1" applyNumberFormat="1">
      <alignment horizontal="right" readingOrder="0"/>
    </xf>
    <xf borderId="16" fillId="0" fontId="52" numFmtId="0" xfId="0" applyAlignment="1" applyBorder="1" applyFont="1">
      <alignment horizontal="left" readingOrder="0" shrinkToFit="0" wrapText="0"/>
    </xf>
    <xf borderId="21" fillId="0" fontId="3" numFmtId="169" xfId="0" applyAlignment="1" applyBorder="1" applyFont="1" applyNumberFormat="1">
      <alignment horizontal="right" readingOrder="0"/>
    </xf>
    <xf borderId="0" fillId="0" fontId="3" numFmtId="169" xfId="0" applyAlignment="1" applyFont="1" applyNumberFormat="1">
      <alignment horizontal="right" readingOrder="0"/>
    </xf>
    <xf borderId="14" fillId="0" fontId="53" numFmtId="0" xfId="0" applyAlignment="1" applyBorder="1" applyFont="1">
      <alignment horizontal="left" readingOrder="0" shrinkToFit="0" wrapText="0"/>
    </xf>
    <xf borderId="21" fillId="0" fontId="3" numFmtId="166" xfId="0" applyAlignment="1" applyBorder="1" applyFont="1" applyNumberFormat="1">
      <alignment horizontal="right" readingOrder="0"/>
    </xf>
    <xf borderId="22" fillId="0" fontId="3" numFmtId="170" xfId="0" applyAlignment="1" applyBorder="1" applyFont="1" applyNumberFormat="1">
      <alignment horizontal="right" readingOrder="0"/>
    </xf>
    <xf borderId="15" fillId="0" fontId="3" numFmtId="169" xfId="0" applyAlignment="1" applyBorder="1" applyFont="1" applyNumberFormat="1">
      <alignment horizontal="right" readingOrder="0"/>
    </xf>
    <xf borderId="16" fillId="0" fontId="54" numFmtId="0" xfId="0" applyAlignment="1" applyBorder="1" applyFont="1">
      <alignment horizontal="left" readingOrder="0" shrinkToFit="0" wrapText="0"/>
    </xf>
    <xf borderId="8" fillId="0" fontId="3" numFmtId="0" xfId="0" applyAlignment="1" applyBorder="1" applyFont="1">
      <alignment horizontal="left" shrinkToFit="0" wrapText="0"/>
    </xf>
    <xf borderId="9" fillId="0" fontId="3" numFmtId="0" xfId="0" applyAlignment="1" applyBorder="1" applyFont="1">
      <alignment readingOrder="0"/>
    </xf>
    <xf borderId="11" fillId="0" fontId="3" numFmtId="0" xfId="0" applyAlignment="1" applyBorder="1" applyFont="1">
      <alignment horizontal="left" readingOrder="0" shrinkToFit="0" wrapText="0"/>
    </xf>
    <xf borderId="25" fillId="0" fontId="3" numFmtId="9" xfId="0" applyAlignment="1" applyBorder="1" applyFont="1" applyNumberFormat="1">
      <alignment horizontal="right"/>
    </xf>
    <xf borderId="10" fillId="0" fontId="3" numFmtId="9" xfId="0" applyAlignment="1" applyBorder="1" applyFont="1" applyNumberFormat="1">
      <alignment horizontal="right"/>
    </xf>
    <xf borderId="10" fillId="0" fontId="3" numFmtId="0" xfId="0" applyAlignment="1" applyBorder="1" applyFont="1">
      <alignment horizontal="left" shrinkToFit="0" wrapText="0"/>
    </xf>
    <xf borderId="13" fillId="0" fontId="3" numFmtId="0" xfId="0" applyAlignment="1" applyBorder="1" applyFont="1">
      <alignment horizontal="left" readingOrder="0" shrinkToFit="0" wrapText="0"/>
    </xf>
    <xf borderId="0" fillId="0" fontId="3" numFmtId="165" xfId="0" applyAlignment="1" applyFont="1" applyNumberFormat="1">
      <alignment horizontal="right"/>
    </xf>
    <xf borderId="22" fillId="0" fontId="3" numFmtId="9" xfId="0" applyAlignment="1" applyBorder="1" applyFont="1" applyNumberFormat="1">
      <alignment horizontal="right" readingOrder="0"/>
    </xf>
    <xf borderId="15" fillId="0" fontId="3" numFmtId="9" xfId="0" applyAlignment="1" applyBorder="1" applyFont="1" applyNumberFormat="1">
      <alignment horizontal="right" readingOrder="0"/>
    </xf>
    <xf borderId="16" fillId="0" fontId="55" numFmtId="0" xfId="0" applyAlignment="1" applyBorder="1" applyFont="1">
      <alignment horizontal="left" readingOrder="0" shrinkToFit="0" wrapText="0"/>
    </xf>
    <xf borderId="7" fillId="0" fontId="39" numFmtId="0" xfId="0" applyBorder="1" applyFont="1"/>
    <xf borderId="0" fillId="0" fontId="39" numFmtId="0" xfId="0" applyAlignment="1" applyFont="1">
      <alignment shrinkToFit="0" wrapText="1"/>
    </xf>
    <xf borderId="21" fillId="0" fontId="39" numFmtId="0" xfId="0" applyBorder="1" applyFont="1"/>
    <xf borderId="21" fillId="0" fontId="3" numFmtId="170" xfId="0" applyAlignment="1" applyBorder="1" applyFont="1" applyNumberFormat="1">
      <alignment horizontal="right"/>
    </xf>
    <xf borderId="8" fillId="4" fontId="3" numFmtId="9" xfId="0" applyAlignment="1" applyBorder="1" applyFill="1" applyFont="1" applyNumberFormat="1">
      <alignment horizontal="right" readingOrder="0"/>
    </xf>
    <xf borderId="12" fillId="0" fontId="3" numFmtId="0" xfId="0" applyAlignment="1" applyBorder="1" applyFont="1">
      <alignment readingOrder="0" shrinkToFit="0" wrapText="1"/>
    </xf>
    <xf borderId="13" fillId="0" fontId="3" numFmtId="0" xfId="0" applyAlignment="1" applyBorder="1" applyFont="1">
      <alignment horizontal="left" shrinkToFit="0" wrapText="0"/>
    </xf>
    <xf borderId="24" fillId="0" fontId="3" numFmtId="170" xfId="0" applyAlignment="1" applyBorder="1" applyFont="1" applyNumberFormat="1">
      <alignment horizontal="right" readingOrder="0"/>
    </xf>
    <xf borderId="15" fillId="0" fontId="3" numFmtId="170" xfId="0" applyAlignment="1" applyBorder="1" applyFont="1" applyNumberFormat="1">
      <alignment horizontal="right" readingOrder="0"/>
    </xf>
    <xf borderId="15" fillId="0" fontId="3" numFmtId="0" xfId="0" applyAlignment="1" applyBorder="1" applyFont="1">
      <alignment shrinkToFit="0" vertical="bottom" wrapText="1"/>
    </xf>
    <xf borderId="22" fillId="0" fontId="3" numFmtId="9" xfId="0" applyAlignment="1" applyBorder="1" applyFont="1" applyNumberFormat="1">
      <alignment horizontal="right"/>
    </xf>
    <xf borderId="15" fillId="0" fontId="3" numFmtId="0" xfId="0" applyAlignment="1" applyBorder="1" applyFont="1">
      <alignment horizontal="right"/>
    </xf>
    <xf borderId="15" fillId="0" fontId="3" numFmtId="0" xfId="0" applyAlignment="1" applyBorder="1" applyFont="1">
      <alignment horizontal="left" shrinkToFit="0" wrapText="0"/>
    </xf>
    <xf borderId="1" fillId="0" fontId="20" numFmtId="0" xfId="0" applyAlignment="1" applyBorder="1" applyFont="1">
      <alignment vertical="bottom"/>
    </xf>
    <xf borderId="31" fillId="0" fontId="20" numFmtId="0" xfId="0" applyAlignment="1" applyBorder="1" applyFont="1">
      <alignment vertical="bottom"/>
    </xf>
    <xf borderId="31" fillId="0" fontId="20" numFmtId="3" xfId="0" applyAlignment="1" applyBorder="1" applyFont="1" applyNumberFormat="1">
      <alignment vertical="bottom"/>
    </xf>
    <xf borderId="2" fillId="0" fontId="20" numFmtId="0" xfId="0" applyAlignment="1" applyBorder="1" applyFont="1">
      <alignment vertical="bottom"/>
    </xf>
    <xf borderId="2" fillId="0" fontId="39" numFmtId="0" xfId="0" applyBorder="1" applyFont="1"/>
    <xf borderId="31" fillId="0" fontId="20" numFmtId="49" xfId="0" applyAlignment="1" applyBorder="1" applyFont="1" applyNumberFormat="1">
      <alignment vertical="bottom"/>
    </xf>
    <xf borderId="3" fillId="0" fontId="39" numFmtId="0" xfId="0" applyBorder="1" applyFont="1"/>
    <xf borderId="32" fillId="0" fontId="56" numFmtId="0" xfId="0" applyAlignment="1" applyBorder="1" applyFont="1">
      <alignment vertical="bottom"/>
    </xf>
    <xf borderId="15" fillId="3" fontId="57" numFmtId="0" xfId="0" applyAlignment="1" applyBorder="1" applyFont="1">
      <alignment horizontal="center" vertical="bottom"/>
    </xf>
    <xf borderId="33" fillId="0" fontId="2" numFmtId="0" xfId="0" applyBorder="1" applyFont="1"/>
    <xf borderId="34" fillId="0" fontId="56" numFmtId="0" xfId="0" applyAlignment="1" applyBorder="1" applyFont="1">
      <alignment vertical="bottom"/>
    </xf>
    <xf borderId="35" fillId="3" fontId="58" numFmtId="0" xfId="0" applyAlignment="1" applyBorder="1" applyFont="1">
      <alignment horizontal="center" readingOrder="0" vertical="bottom"/>
    </xf>
    <xf borderId="0" fillId="0" fontId="59" numFmtId="0" xfId="0" applyFont="1"/>
    <xf borderId="36" fillId="3" fontId="60" numFmtId="0" xfId="0" applyAlignment="1" applyBorder="1" applyFont="1">
      <alignment horizontal="center" readingOrder="0" vertical="bottom"/>
    </xf>
    <xf borderId="37" fillId="0" fontId="2" numFmtId="0" xfId="0" applyBorder="1" applyFont="1"/>
    <xf borderId="38" fillId="0" fontId="2" numFmtId="0" xfId="0" applyBorder="1" applyFont="1"/>
    <xf borderId="36" fillId="3" fontId="61" numFmtId="0" xfId="0" applyAlignment="1" applyBorder="1" applyFont="1">
      <alignment horizontal="center" readingOrder="0" vertical="bottom"/>
    </xf>
    <xf borderId="14" fillId="0" fontId="59" numFmtId="0" xfId="0" applyBorder="1" applyFont="1"/>
    <xf borderId="32" fillId="0" fontId="20" numFmtId="0" xfId="0" applyAlignment="1" applyBorder="1" applyFont="1">
      <alignment vertical="bottom"/>
    </xf>
    <xf borderId="39" fillId="2" fontId="62" numFmtId="0" xfId="0" applyAlignment="1" applyBorder="1" applyFont="1">
      <alignment vertical="bottom"/>
    </xf>
    <xf borderId="16" fillId="2" fontId="62" numFmtId="0" xfId="0" applyAlignment="1" applyBorder="1" applyFont="1">
      <alignment vertical="bottom"/>
    </xf>
    <xf borderId="16" fillId="2" fontId="62" numFmtId="3" xfId="0" applyAlignment="1" applyBorder="1" applyFont="1" applyNumberFormat="1">
      <alignment vertical="bottom"/>
    </xf>
    <xf borderId="33" fillId="2" fontId="62" numFmtId="3" xfId="0" applyAlignment="1" applyBorder="1" applyFont="1" applyNumberFormat="1">
      <alignment vertical="bottom"/>
    </xf>
    <xf borderId="34" fillId="0" fontId="20" numFmtId="0" xfId="0" applyAlignment="1" applyBorder="1" applyFont="1">
      <alignment vertical="bottom"/>
    </xf>
    <xf borderId="39" fillId="2" fontId="62" numFmtId="0" xfId="0" applyAlignment="1" applyBorder="1" applyFont="1">
      <alignment readingOrder="0" vertical="bottom"/>
    </xf>
    <xf borderId="22" fillId="2" fontId="62" numFmtId="0" xfId="0" applyAlignment="1" applyBorder="1" applyFont="1">
      <alignment readingOrder="0" vertical="bottom"/>
    </xf>
    <xf borderId="22" fillId="2" fontId="62" numFmtId="3" xfId="0" applyAlignment="1" applyBorder="1" applyFont="1" applyNumberFormat="1">
      <alignment readingOrder="0" vertical="bottom"/>
    </xf>
    <xf borderId="40" fillId="2" fontId="62" numFmtId="3" xfId="0" applyAlignment="1" applyBorder="1" applyFont="1" applyNumberFormat="1">
      <alignment readingOrder="0" vertical="bottom"/>
    </xf>
    <xf borderId="22" fillId="2" fontId="62" numFmtId="49" xfId="0" applyAlignment="1" applyBorder="1" applyFont="1" applyNumberFormat="1">
      <alignment readingOrder="0" vertical="bottom"/>
    </xf>
    <xf borderId="41" fillId="4" fontId="20" numFmtId="0" xfId="0" applyAlignment="1" applyBorder="1" applyFont="1">
      <alignment readingOrder="0" vertical="bottom"/>
    </xf>
    <xf borderId="14" fillId="4" fontId="20" numFmtId="0" xfId="0" applyAlignment="1" applyBorder="1" applyFont="1">
      <alignment vertical="bottom"/>
    </xf>
    <xf borderId="14" fillId="4" fontId="20" numFmtId="0" xfId="0" applyAlignment="1" applyBorder="1" applyFont="1">
      <alignment readingOrder="0" vertical="bottom"/>
    </xf>
    <xf borderId="14" fillId="4" fontId="20" numFmtId="0" xfId="0" applyAlignment="1" applyBorder="1" applyFont="1">
      <alignment horizontal="right" readingOrder="0" vertical="bottom"/>
    </xf>
    <xf borderId="14" fillId="4" fontId="20" numFmtId="3" xfId="0" applyAlignment="1" applyBorder="1" applyFont="1" applyNumberFormat="1">
      <alignment horizontal="right" readingOrder="0" vertical="bottom"/>
    </xf>
    <xf borderId="34" fillId="4" fontId="20" numFmtId="3" xfId="0" applyAlignment="1" applyBorder="1" applyFont="1" applyNumberFormat="1">
      <alignment horizontal="right" readingOrder="0" vertical="bottom"/>
    </xf>
    <xf borderId="41" fillId="0" fontId="39" numFmtId="0" xfId="0" applyAlignment="1" applyBorder="1" applyFont="1">
      <alignment readingOrder="0"/>
    </xf>
    <xf borderId="21" fillId="0" fontId="39" numFmtId="0" xfId="0" applyAlignment="1" applyBorder="1" applyFont="1">
      <alignment readingOrder="0"/>
    </xf>
    <xf borderId="21" fillId="0" fontId="39" numFmtId="3" xfId="0" applyAlignment="1" applyBorder="1" applyFont="1" applyNumberFormat="1">
      <alignment readingOrder="0"/>
    </xf>
    <xf borderId="32" fillId="0" fontId="39" numFmtId="3" xfId="0" applyAlignment="1" applyBorder="1" applyFont="1" applyNumberFormat="1">
      <alignment readingOrder="0"/>
    </xf>
    <xf borderId="21" fillId="4" fontId="20" numFmtId="49" xfId="0" applyAlignment="1" applyBorder="1" applyFont="1" applyNumberFormat="1">
      <alignment horizontal="left" readingOrder="0" vertical="bottom"/>
    </xf>
    <xf borderId="41" fillId="3" fontId="20" numFmtId="0" xfId="0" applyAlignment="1" applyBorder="1" applyFont="1">
      <alignment readingOrder="0" vertical="bottom"/>
    </xf>
    <xf borderId="14" fillId="3" fontId="20" numFmtId="0" xfId="0" applyAlignment="1" applyBorder="1" applyFont="1">
      <alignment vertical="bottom"/>
    </xf>
    <xf borderId="14" fillId="3" fontId="20" numFmtId="0" xfId="0" applyAlignment="1" applyBorder="1" applyFont="1">
      <alignment readingOrder="0" vertical="bottom"/>
    </xf>
    <xf borderId="14" fillId="3" fontId="20" numFmtId="0" xfId="0" applyAlignment="1" applyBorder="1" applyFont="1">
      <alignment horizontal="right" readingOrder="0" vertical="bottom"/>
    </xf>
    <xf borderId="14" fillId="3" fontId="20" numFmtId="3" xfId="0" applyAlignment="1" applyBorder="1" applyFont="1" applyNumberFormat="1">
      <alignment horizontal="right" readingOrder="0" vertical="bottom"/>
    </xf>
    <xf borderId="34" fillId="3" fontId="20" numFmtId="3" xfId="0" applyAlignment="1" applyBorder="1" applyFont="1" applyNumberFormat="1">
      <alignment horizontal="right" readingOrder="0" vertical="bottom"/>
    </xf>
    <xf borderId="41" fillId="4" fontId="20" numFmtId="0" xfId="0" applyAlignment="1" applyBorder="1" applyFont="1">
      <alignment readingOrder="0" vertical="bottom"/>
    </xf>
    <xf borderId="21" fillId="4" fontId="20" numFmtId="0" xfId="0" applyAlignment="1" applyBorder="1" applyFont="1">
      <alignment readingOrder="0" vertical="bottom"/>
    </xf>
    <xf borderId="21" fillId="4" fontId="20" numFmtId="0" xfId="0" applyAlignment="1" applyBorder="1" applyFont="1">
      <alignment horizontal="right" readingOrder="0" vertical="bottom"/>
    </xf>
    <xf borderId="21" fillId="4" fontId="20" numFmtId="3" xfId="0" applyAlignment="1" applyBorder="1" applyFont="1" applyNumberFormat="1">
      <alignment horizontal="right" readingOrder="0" vertical="bottom"/>
    </xf>
    <xf borderId="32" fillId="4" fontId="20" numFmtId="3" xfId="0" applyAlignment="1" applyBorder="1" applyFont="1" applyNumberFormat="1">
      <alignment horizontal="right" readingOrder="0" vertical="bottom"/>
    </xf>
    <xf borderId="41" fillId="3" fontId="20" numFmtId="0" xfId="0" applyAlignment="1" applyBorder="1" applyFont="1">
      <alignment readingOrder="0" vertical="bottom"/>
    </xf>
    <xf borderId="21" fillId="3" fontId="20" numFmtId="0" xfId="0" applyAlignment="1" applyBorder="1" applyFont="1">
      <alignment readingOrder="0" vertical="bottom"/>
    </xf>
    <xf borderId="21" fillId="3" fontId="20" numFmtId="0" xfId="0" applyAlignment="1" applyBorder="1" applyFont="1">
      <alignment horizontal="right" readingOrder="0" vertical="bottom"/>
    </xf>
    <xf borderId="21" fillId="3" fontId="20" numFmtId="3" xfId="0" applyAlignment="1" applyBorder="1" applyFont="1" applyNumberFormat="1">
      <alignment horizontal="right" readingOrder="0" vertical="bottom"/>
    </xf>
    <xf borderId="32" fillId="3" fontId="20" numFmtId="3" xfId="0" applyAlignment="1" applyBorder="1" applyFont="1" applyNumberFormat="1">
      <alignment horizontal="right" readingOrder="0" vertical="bottom"/>
    </xf>
    <xf borderId="42" fillId="0" fontId="39" numFmtId="0" xfId="0" applyAlignment="1" applyBorder="1" applyFont="1">
      <alignment readingOrder="0"/>
    </xf>
    <xf borderId="43" fillId="0" fontId="39" numFmtId="0" xfId="0" applyAlignment="1" applyBorder="1" applyFont="1">
      <alignment readingOrder="0"/>
    </xf>
    <xf borderId="43" fillId="4" fontId="20" numFmtId="49" xfId="0" applyAlignment="1" applyBorder="1" applyFont="1" applyNumberFormat="1">
      <alignment horizontal="left" readingOrder="0" vertical="bottom"/>
    </xf>
    <xf borderId="43" fillId="0" fontId="39" numFmtId="3" xfId="0" applyAlignment="1" applyBorder="1" applyFont="1" applyNumberFormat="1">
      <alignment readingOrder="0"/>
    </xf>
    <xf borderId="44" fillId="0" fontId="39" numFmtId="3" xfId="0" applyAlignment="1" applyBorder="1" applyFont="1" applyNumberFormat="1">
      <alignment readingOrder="0"/>
    </xf>
    <xf borderId="42" fillId="3" fontId="20" numFmtId="0" xfId="0" applyAlignment="1" applyBorder="1" applyFont="1">
      <alignment readingOrder="0" vertical="bottom"/>
    </xf>
    <xf borderId="45" fillId="3" fontId="20" numFmtId="0" xfId="0" applyAlignment="1" applyBorder="1" applyFont="1">
      <alignment readingOrder="0" vertical="bottom"/>
    </xf>
    <xf borderId="45" fillId="3" fontId="20" numFmtId="0" xfId="0" applyAlignment="1" applyBorder="1" applyFont="1">
      <alignment horizontal="right" readingOrder="0" vertical="bottom"/>
    </xf>
    <xf borderId="45" fillId="3" fontId="20" numFmtId="3" xfId="0" applyAlignment="1" applyBorder="1" applyFont="1" applyNumberFormat="1">
      <alignment horizontal="right" readingOrder="0" vertical="bottom"/>
    </xf>
    <xf borderId="46" fillId="3" fontId="20" numFmtId="3" xfId="0" applyAlignment="1" applyBorder="1" applyFont="1" applyNumberFormat="1">
      <alignment horizontal="right" readingOrder="0" vertical="bottom"/>
    </xf>
    <xf borderId="41" fillId="0" fontId="20" numFmtId="0" xfId="0" applyAlignment="1" applyBorder="1" applyFont="1">
      <alignment readingOrder="0" vertical="bottom"/>
    </xf>
    <xf borderId="21" fillId="0" fontId="20" numFmtId="0" xfId="0" applyAlignment="1" applyBorder="1" applyFont="1">
      <alignment readingOrder="0" vertical="bottom"/>
    </xf>
    <xf borderId="21" fillId="0" fontId="20" numFmtId="3" xfId="0" applyAlignment="1" applyBorder="1" applyFont="1" applyNumberFormat="1">
      <alignment readingOrder="0" vertical="bottom"/>
    </xf>
    <xf borderId="32" fillId="0" fontId="20" numFmtId="3" xfId="0" applyAlignment="1" applyBorder="1" applyFont="1" applyNumberFormat="1">
      <alignment readingOrder="0" vertical="bottom"/>
    </xf>
    <xf borderId="14" fillId="3" fontId="20" numFmtId="0" xfId="0" applyAlignment="1" applyBorder="1" applyFont="1">
      <alignment vertical="bottom"/>
    </xf>
    <xf borderId="14" fillId="4" fontId="20" numFmtId="0" xfId="0" applyAlignment="1" applyBorder="1" applyFont="1">
      <alignment vertical="bottom"/>
    </xf>
    <xf borderId="42" fillId="4" fontId="20" numFmtId="0" xfId="0" applyAlignment="1" applyBorder="1" applyFont="1">
      <alignment readingOrder="0" vertical="bottom"/>
    </xf>
    <xf borderId="43" fillId="4" fontId="20" numFmtId="0" xfId="0" applyAlignment="1" applyBorder="1" applyFont="1">
      <alignment readingOrder="0" vertical="bottom"/>
    </xf>
    <xf borderId="43" fillId="4" fontId="20" numFmtId="0" xfId="0" applyAlignment="1" applyBorder="1" applyFont="1">
      <alignment horizontal="right" readingOrder="0" vertical="bottom"/>
    </xf>
    <xf borderId="43" fillId="4" fontId="20" numFmtId="3" xfId="0" applyAlignment="1" applyBorder="1" applyFont="1" applyNumberFormat="1">
      <alignment horizontal="right" readingOrder="0" vertical="bottom"/>
    </xf>
    <xf borderId="44" fillId="4" fontId="20" numFmtId="3" xfId="0" applyAlignment="1" applyBorder="1" applyFont="1" applyNumberFormat="1">
      <alignment horizontal="right" readingOrder="0" vertical="bottom"/>
    </xf>
    <xf borderId="19" fillId="0" fontId="20" numFmtId="0" xfId="0" applyAlignment="1" applyBorder="1" applyFont="1">
      <alignment vertical="bottom"/>
    </xf>
    <xf borderId="15" fillId="0" fontId="39" numFmtId="0" xfId="0" applyBorder="1" applyFont="1"/>
    <xf borderId="16" fillId="0" fontId="39" numFmtId="0" xfId="0" applyBorder="1" applyFont="1"/>
    <xf borderId="42" fillId="4" fontId="20" numFmtId="0" xfId="0" applyAlignment="1" applyBorder="1" applyFont="1">
      <alignment readingOrder="0" vertical="bottom"/>
    </xf>
    <xf borderId="45" fillId="4" fontId="20" numFmtId="0" xfId="0" applyAlignment="1" applyBorder="1" applyFont="1">
      <alignment vertical="bottom"/>
    </xf>
    <xf borderId="45" fillId="4" fontId="20" numFmtId="0" xfId="0" applyAlignment="1" applyBorder="1" applyFont="1">
      <alignment readingOrder="0" vertical="bottom"/>
    </xf>
    <xf borderId="45" fillId="4" fontId="20" numFmtId="0" xfId="0" applyAlignment="1" applyBorder="1" applyFont="1">
      <alignment horizontal="right" readingOrder="0" vertical="bottom"/>
    </xf>
    <xf borderId="45" fillId="4" fontId="20" numFmtId="3" xfId="0" applyAlignment="1" applyBorder="1" applyFont="1" applyNumberFormat="1">
      <alignment horizontal="right" readingOrder="0" vertical="bottom"/>
    </xf>
    <xf borderId="46" fillId="4" fontId="20" numFmtId="3" xfId="0" applyAlignment="1" applyBorder="1" applyFont="1" applyNumberFormat="1">
      <alignment horizontal="right" readingOrder="0" vertical="bottom"/>
    </xf>
    <xf borderId="15" fillId="0" fontId="20" numFmtId="0" xfId="0" applyAlignment="1" applyBorder="1" applyFont="1">
      <alignment vertical="bottom"/>
    </xf>
    <xf borderId="15" fillId="0" fontId="20" numFmtId="3" xfId="0" applyAlignment="1" applyBorder="1" applyFont="1" applyNumberFormat="1">
      <alignment vertical="bottom"/>
    </xf>
    <xf borderId="5" fillId="3" fontId="25" numFmtId="0" xfId="0" applyAlignment="1" applyBorder="1" applyFont="1">
      <alignment horizontal="right" shrinkToFit="0" vertical="bottom" wrapText="1"/>
    </xf>
    <xf borderId="6" fillId="3" fontId="3" numFmtId="0" xfId="0" applyAlignment="1" applyBorder="1" applyFont="1">
      <alignment shrinkToFit="0" vertical="bottom" wrapText="1"/>
    </xf>
    <xf borderId="0" fillId="0" fontId="25" numFmtId="0" xfId="0" applyAlignment="1" applyFont="1">
      <alignment horizontal="right" shrinkToFit="0" wrapText="1"/>
    </xf>
    <xf borderId="14" fillId="0" fontId="3" numFmtId="0" xfId="0" applyAlignment="1" applyBorder="1" applyFont="1">
      <alignment shrinkToFit="0" wrapText="1"/>
    </xf>
    <xf borderId="15" fillId="0" fontId="25" numFmtId="1" xfId="0" applyAlignment="1" applyBorder="1" applyFont="1" applyNumberFormat="1">
      <alignment horizontal="right" readingOrder="0" vertical="bottom"/>
    </xf>
    <xf borderId="16" fillId="0" fontId="3" numFmtId="0" xfId="0" applyAlignment="1" applyBorder="1" applyFont="1">
      <alignment shrinkToFit="0" wrapText="1"/>
    </xf>
    <xf borderId="8" fillId="0" fontId="25" numFmtId="167" xfId="0" applyAlignment="1" applyBorder="1" applyFont="1" applyNumberFormat="1">
      <alignment horizontal="right"/>
    </xf>
    <xf borderId="9" fillId="0" fontId="3" numFmtId="0" xfId="0" applyAlignment="1" applyBorder="1" applyFont="1">
      <alignment shrinkToFit="0" wrapText="1"/>
    </xf>
    <xf borderId="11" fillId="0" fontId="3" numFmtId="0" xfId="0" applyAlignment="1" applyBorder="1" applyFont="1">
      <alignment shrinkToFit="0" wrapText="1"/>
    </xf>
    <xf borderId="13" fillId="0" fontId="3" numFmtId="0" xfId="0" applyAlignment="1" applyBorder="1" applyFont="1">
      <alignment shrinkToFit="0" wrapText="1"/>
    </xf>
    <xf borderId="12" fillId="0" fontId="1" numFmtId="0" xfId="0" applyAlignment="1" applyBorder="1" applyFont="1">
      <alignment readingOrder="0" shrinkToFit="0" vertical="bottom" wrapText="1"/>
    </xf>
    <xf borderId="26" fillId="0" fontId="24" numFmtId="0" xfId="0" applyAlignment="1" applyBorder="1" applyFont="1">
      <alignment horizontal="right" readingOrder="0"/>
    </xf>
    <xf borderId="0" fillId="0" fontId="3" numFmtId="0" xfId="0" applyAlignment="1" applyFont="1">
      <alignment vertical="bottom"/>
    </xf>
    <xf borderId="14" fillId="0" fontId="3" numFmtId="0" xfId="0" applyAlignment="1" applyBorder="1" applyFont="1">
      <alignment vertical="bottom"/>
    </xf>
    <xf borderId="14" fillId="0" fontId="3" numFmtId="0" xfId="0" applyAlignment="1" applyBorder="1" applyFont="1">
      <alignment vertical="bottom"/>
    </xf>
    <xf borderId="8" fillId="0" fontId="3" numFmtId="0" xfId="0" applyAlignment="1" applyBorder="1" applyFont="1">
      <alignment shrinkToFit="0" vertical="bottom" wrapText="1"/>
    </xf>
    <xf borderId="8" fillId="0" fontId="3" numFmtId="0" xfId="0" applyAlignment="1" applyBorder="1" applyFont="1">
      <alignment horizontal="right" shrinkToFit="0" vertical="bottom" wrapText="1"/>
    </xf>
    <xf borderId="8" fillId="0" fontId="25" numFmtId="9" xfId="0" applyAlignment="1" applyBorder="1" applyFont="1" applyNumberFormat="1">
      <alignment horizontal="right" shrinkToFit="0" wrapText="1"/>
    </xf>
    <xf borderId="15" fillId="0" fontId="3" numFmtId="0" xfId="0" applyAlignment="1" applyBorder="1" applyFont="1">
      <alignment shrinkToFit="0" vertical="bottom" wrapText="1"/>
    </xf>
    <xf borderId="15" fillId="0" fontId="3" numFmtId="0" xfId="0" applyAlignment="1" applyBorder="1" applyFont="1">
      <alignment horizontal="right" shrinkToFit="0" vertical="bottom" wrapText="1"/>
    </xf>
    <xf borderId="16" fillId="0" fontId="3" numFmtId="0" xfId="0" applyAlignment="1" applyBorder="1" applyFont="1">
      <alignment horizontal="right" vertical="bottom"/>
    </xf>
    <xf borderId="15" fillId="0" fontId="25" numFmtId="9" xfId="0" applyAlignment="1" applyBorder="1" applyFont="1" applyNumberFormat="1">
      <alignment horizontal="right" shrinkToFit="0" wrapText="1"/>
    </xf>
    <xf borderId="28" fillId="0" fontId="3" numFmtId="9" xfId="0" applyAlignment="1" applyBorder="1" applyFont="1" applyNumberFormat="1">
      <alignment horizontal="right" vertical="bottom"/>
    </xf>
    <xf borderId="19" fillId="0" fontId="3" numFmtId="9" xfId="0" applyAlignment="1" applyBorder="1" applyFont="1" applyNumberFormat="1">
      <alignment horizontal="right" vertical="bottom"/>
    </xf>
    <xf borderId="21" fillId="0" fontId="24" numFmtId="0" xfId="0" applyAlignment="1" applyBorder="1" applyFont="1">
      <alignment horizontal="right"/>
    </xf>
    <xf borderId="0" fillId="0" fontId="24" numFmtId="164" xfId="0" applyAlignment="1" applyFont="1" applyNumberFormat="1">
      <alignment horizontal="right"/>
    </xf>
    <xf borderId="8" fillId="0" fontId="1" numFmtId="0" xfId="0" applyAlignment="1" applyBorder="1" applyFont="1">
      <alignment readingOrder="0" shrinkToFit="0" vertical="bottom" wrapText="1"/>
    </xf>
    <xf borderId="8" fillId="0" fontId="1" numFmtId="0" xfId="0" applyAlignment="1" applyBorder="1" applyFont="1">
      <alignment horizontal="right" readingOrder="0" vertical="bottom"/>
    </xf>
    <xf borderId="24" fillId="0" fontId="24" numFmtId="0" xfId="0" applyAlignment="1" applyBorder="1" applyFont="1">
      <alignment horizontal="right" readingOrder="0"/>
    </xf>
    <xf borderId="8" fillId="0" fontId="24" numFmtId="164" xfId="0" applyAlignment="1" applyBorder="1" applyFont="1" applyNumberFormat="1">
      <alignment horizontal="right"/>
    </xf>
    <xf borderId="15" fillId="0" fontId="63" numFmtId="0" xfId="0" applyAlignment="1" applyBorder="1" applyFont="1">
      <alignment readingOrder="0" shrinkToFit="0" vertical="bottom" wrapText="0"/>
    </xf>
    <xf borderId="15" fillId="0" fontId="64" numFmtId="0" xfId="0" applyAlignment="1" applyBorder="1" applyFont="1">
      <alignment readingOrder="0" shrinkToFit="0" vertical="bottom" wrapText="1"/>
    </xf>
    <xf borderId="15" fillId="0" fontId="25" numFmtId="165" xfId="0" applyAlignment="1" applyBorder="1" applyFont="1" applyNumberFormat="1">
      <alignment horizontal="right"/>
    </xf>
    <xf borderId="1" fillId="2" fontId="20" numFmtId="0" xfId="0" applyAlignment="1" applyBorder="1" applyFont="1">
      <alignment vertical="bottom"/>
    </xf>
    <xf borderId="2" fillId="2" fontId="20" numFmtId="0" xfId="0" applyAlignment="1" applyBorder="1" applyFont="1">
      <alignment vertical="bottom"/>
    </xf>
    <xf borderId="4" fillId="2" fontId="1" numFmtId="0" xfId="0" applyAlignment="1" applyBorder="1" applyFont="1">
      <alignment horizontal="center" vertical="bottom"/>
    </xf>
    <xf borderId="20" fillId="2" fontId="20" numFmtId="0" xfId="0" applyAlignment="1" applyBorder="1" applyFont="1">
      <alignment vertical="bottom"/>
    </xf>
    <xf borderId="7" fillId="2" fontId="20" numFmtId="0" xfId="0" applyAlignment="1" applyBorder="1" applyFont="1">
      <alignment vertical="bottom"/>
    </xf>
    <xf borderId="0" fillId="2" fontId="20" numFmtId="0" xfId="0" applyAlignment="1" applyFont="1">
      <alignment vertical="bottom"/>
    </xf>
    <xf borderId="7" fillId="2" fontId="1" numFmtId="0" xfId="0" applyAlignment="1" applyBorder="1" applyFont="1">
      <alignment horizontal="center" vertical="bottom"/>
    </xf>
    <xf borderId="14" fillId="0" fontId="2" numFmtId="0" xfId="0" applyBorder="1" applyFont="1"/>
    <xf borderId="0" fillId="2" fontId="1" numFmtId="0" xfId="0" applyAlignment="1" applyFont="1">
      <alignment horizontal="center" vertical="bottom"/>
    </xf>
    <xf borderId="0" fillId="2" fontId="1" numFmtId="0" xfId="0" applyAlignment="1" applyFont="1">
      <alignment horizontal="center" shrinkToFit="0" vertical="bottom" wrapText="1"/>
    </xf>
    <xf borderId="14" fillId="2" fontId="20" numFmtId="0" xfId="0" applyAlignment="1" applyBorder="1" applyFont="1">
      <alignment vertical="bottom"/>
    </xf>
    <xf borderId="7" fillId="2" fontId="1" numFmtId="0" xfId="0" applyAlignment="1" applyBorder="1" applyFont="1">
      <alignment vertical="bottom"/>
    </xf>
    <xf borderId="0" fillId="2" fontId="62" numFmtId="0" xfId="0" applyAlignment="1" applyFont="1">
      <alignment horizontal="center" vertical="bottom"/>
    </xf>
    <xf borderId="0" fillId="2" fontId="20" numFmtId="0" xfId="0" applyAlignment="1" applyFont="1">
      <alignment vertical="bottom"/>
    </xf>
    <xf borderId="19" fillId="2" fontId="1" numFmtId="0" xfId="0" applyAlignment="1" applyBorder="1" applyFont="1">
      <alignment horizontal="center" vertical="bottom"/>
    </xf>
    <xf borderId="15" fillId="2" fontId="1" numFmtId="0" xfId="0" applyAlignment="1" applyBorder="1" applyFont="1">
      <alignment horizontal="center" shrinkToFit="0" vertical="bottom" wrapText="1"/>
    </xf>
    <xf borderId="16" fillId="2" fontId="1" numFmtId="0" xfId="0" applyAlignment="1" applyBorder="1" applyFont="1">
      <alignment horizontal="center" vertical="bottom"/>
    </xf>
    <xf borderId="15" fillId="2" fontId="1" numFmtId="0" xfId="0" applyAlignment="1" applyBorder="1" applyFont="1">
      <alignment horizontal="center" vertical="bottom"/>
    </xf>
    <xf borderId="16" fillId="2" fontId="1" numFmtId="0" xfId="0" applyAlignment="1" applyBorder="1" applyFont="1">
      <alignment horizontal="center" shrinkToFit="0" vertical="bottom" wrapText="1"/>
    </xf>
    <xf borderId="16" fillId="2" fontId="20" numFmtId="0" xfId="0" applyAlignment="1" applyBorder="1" applyFont="1">
      <alignment vertical="bottom"/>
    </xf>
    <xf borderId="1" fillId="3" fontId="1" numFmtId="0" xfId="0" applyAlignment="1" applyBorder="1" applyFont="1">
      <alignment vertical="bottom"/>
    </xf>
    <xf borderId="19" fillId="3" fontId="1" numFmtId="164" xfId="0" applyAlignment="1" applyBorder="1" applyFont="1" applyNumberFormat="1">
      <alignment horizontal="center" vertical="bottom"/>
    </xf>
    <xf borderId="16" fillId="0" fontId="2" numFmtId="0" xfId="0" applyBorder="1" applyFont="1"/>
    <xf borderId="16" fillId="3" fontId="20" numFmtId="0" xfId="0" applyAlignment="1" applyBorder="1" applyFont="1">
      <alignment vertical="bottom"/>
    </xf>
    <xf borderId="4" fillId="3" fontId="1" numFmtId="0" xfId="0" applyAlignment="1" applyBorder="1" applyFont="1">
      <alignment vertical="bottom"/>
    </xf>
    <xf borderId="4" fillId="3" fontId="20" numFmtId="0" xfId="0" applyAlignment="1" applyBorder="1" applyFont="1">
      <alignment vertical="bottom"/>
    </xf>
    <xf borderId="5" fillId="3" fontId="20" numFmtId="0" xfId="0" applyAlignment="1" applyBorder="1" applyFont="1">
      <alignment vertical="bottom"/>
    </xf>
    <xf borderId="6" fillId="3" fontId="20" numFmtId="0" xfId="0" applyAlignment="1" applyBorder="1" applyFont="1">
      <alignment vertical="bottom"/>
    </xf>
    <xf borderId="15" fillId="3" fontId="20" numFmtId="0" xfId="0" applyAlignment="1" applyBorder="1" applyFont="1">
      <alignment vertical="bottom"/>
    </xf>
    <xf borderId="7" fillId="0" fontId="20" numFmtId="3" xfId="0" applyAlignment="1" applyBorder="1" applyFont="1" applyNumberFormat="1">
      <alignment vertical="bottom"/>
    </xf>
    <xf borderId="0" fillId="0" fontId="20" numFmtId="3" xfId="0" applyAlignment="1" applyFont="1" applyNumberFormat="1">
      <alignment vertical="bottom"/>
    </xf>
    <xf borderId="14" fillId="0" fontId="20" numFmtId="3" xfId="0" applyAlignment="1" applyBorder="1" applyFont="1" applyNumberFormat="1">
      <alignment vertical="bottom"/>
    </xf>
    <xf borderId="28" fillId="5" fontId="3" numFmtId="9" xfId="0" applyAlignment="1" applyBorder="1" applyFill="1" applyFont="1" applyNumberFormat="1">
      <alignment horizontal="center" vertical="bottom"/>
    </xf>
    <xf borderId="8" fillId="0" fontId="65" numFmtId="164" xfId="0" applyAlignment="1" applyBorder="1" applyFont="1" applyNumberFormat="1">
      <alignment horizontal="center" vertical="bottom"/>
    </xf>
    <xf borderId="9" fillId="6" fontId="3" numFmtId="9" xfId="0" applyAlignment="1" applyBorder="1" applyFill="1" applyFont="1" applyNumberFormat="1">
      <alignment horizontal="center" vertical="bottom"/>
    </xf>
    <xf borderId="28" fillId="7" fontId="3" numFmtId="9" xfId="0" applyAlignment="1" applyBorder="1" applyFill="1" applyFont="1" applyNumberFormat="1">
      <alignment horizontal="center" vertical="bottom"/>
    </xf>
    <xf borderId="9" fillId="8" fontId="3" numFmtId="9" xfId="0" applyAlignment="1" applyBorder="1" applyFill="1" applyFont="1" applyNumberFormat="1">
      <alignment horizontal="center" vertical="bottom"/>
    </xf>
    <xf borderId="8" fillId="9" fontId="3" numFmtId="9" xfId="0" applyAlignment="1" applyBorder="1" applyFill="1" applyFont="1" applyNumberFormat="1">
      <alignment horizontal="center" vertical="bottom"/>
    </xf>
    <xf borderId="8" fillId="10" fontId="3" numFmtId="9" xfId="0" applyAlignment="1" applyBorder="1" applyFill="1" applyFont="1" applyNumberFormat="1">
      <alignment horizontal="center" vertical="bottom"/>
    </xf>
    <xf borderId="28" fillId="0" fontId="3" numFmtId="9" xfId="0" applyAlignment="1" applyBorder="1" applyFont="1" applyNumberFormat="1">
      <alignment horizontal="center" vertical="bottom"/>
    </xf>
    <xf borderId="8" fillId="0" fontId="65" numFmtId="9" xfId="0" applyAlignment="1" applyBorder="1" applyFont="1" applyNumberFormat="1">
      <alignment horizontal="center" vertical="bottom"/>
    </xf>
    <xf borderId="9" fillId="0" fontId="3" numFmtId="9" xfId="0" applyAlignment="1" applyBorder="1" applyFont="1" applyNumberFormat="1">
      <alignment horizontal="center" vertical="bottom"/>
    </xf>
    <xf borderId="28" fillId="11" fontId="3" numFmtId="9" xfId="0" applyAlignment="1" applyBorder="1" applyFill="1" applyFont="1" applyNumberFormat="1">
      <alignment horizontal="center" vertical="bottom"/>
    </xf>
    <xf borderId="9" fillId="12" fontId="3" numFmtId="9" xfId="0" applyAlignment="1" applyBorder="1" applyFill="1" applyFont="1" applyNumberFormat="1">
      <alignment horizontal="center" vertical="bottom"/>
    </xf>
    <xf borderId="8" fillId="13" fontId="3" numFmtId="9" xfId="0" applyAlignment="1" applyBorder="1" applyFill="1" applyFont="1" applyNumberFormat="1">
      <alignment horizontal="center" vertical="bottom"/>
    </xf>
    <xf borderId="8" fillId="14" fontId="3" numFmtId="9" xfId="0" applyAlignment="1" applyBorder="1" applyFill="1" applyFont="1" applyNumberFormat="1">
      <alignment horizontal="center" vertical="bottom"/>
    </xf>
    <xf borderId="28" fillId="15" fontId="3" numFmtId="9" xfId="0" applyAlignment="1" applyBorder="1" applyFill="1" applyFont="1" applyNumberFormat="1">
      <alignment horizontal="center" vertical="bottom"/>
    </xf>
    <xf borderId="9" fillId="16" fontId="3" numFmtId="9" xfId="0" applyAlignment="1" applyBorder="1" applyFill="1" applyFont="1" applyNumberFormat="1">
      <alignment horizontal="center" vertical="bottom"/>
    </xf>
    <xf borderId="9" fillId="0" fontId="20" numFmtId="0" xfId="0" applyAlignment="1" applyBorder="1" applyFont="1">
      <alignment vertical="bottom"/>
    </xf>
    <xf borderId="29" fillId="17" fontId="3" numFmtId="9" xfId="0" applyAlignment="1" applyBorder="1" applyFill="1" applyFont="1" applyNumberFormat="1">
      <alignment horizontal="center" vertical="bottom"/>
    </xf>
    <xf borderId="10" fillId="0" fontId="65" numFmtId="164" xfId="0" applyAlignment="1" applyBorder="1" applyFont="1" applyNumberFormat="1">
      <alignment horizontal="center" vertical="bottom"/>
    </xf>
    <xf borderId="11" fillId="18" fontId="3" numFmtId="9" xfId="0" applyAlignment="1" applyBorder="1" applyFill="1" applyFont="1" applyNumberFormat="1">
      <alignment horizontal="center" vertical="bottom"/>
    </xf>
    <xf borderId="29" fillId="19" fontId="3" numFmtId="9" xfId="0" applyAlignment="1" applyBorder="1" applyFill="1" applyFont="1" applyNumberFormat="1">
      <alignment horizontal="center" vertical="bottom"/>
    </xf>
    <xf borderId="11" fillId="20" fontId="3" numFmtId="9" xfId="0" applyAlignment="1" applyBorder="1" applyFill="1" applyFont="1" applyNumberFormat="1">
      <alignment horizontal="center" vertical="bottom"/>
    </xf>
    <xf borderId="10" fillId="21" fontId="3" numFmtId="9" xfId="0" applyAlignment="1" applyBorder="1" applyFill="1" applyFont="1" applyNumberFormat="1">
      <alignment horizontal="center" vertical="bottom"/>
    </xf>
    <xf borderId="10" fillId="22" fontId="3" numFmtId="9" xfId="0" applyAlignment="1" applyBorder="1" applyFill="1" applyFont="1" applyNumberFormat="1">
      <alignment horizontal="center" vertical="bottom"/>
    </xf>
    <xf borderId="29" fillId="0" fontId="3" numFmtId="9" xfId="0" applyAlignment="1" applyBorder="1" applyFont="1" applyNumberFormat="1">
      <alignment horizontal="center" vertical="bottom"/>
    </xf>
    <xf borderId="10" fillId="0" fontId="65" numFmtId="9" xfId="0" applyAlignment="1" applyBorder="1" applyFont="1" applyNumberFormat="1">
      <alignment horizontal="center" vertical="bottom"/>
    </xf>
    <xf borderId="11" fillId="0" fontId="3" numFmtId="9" xfId="0" applyAlignment="1" applyBorder="1" applyFont="1" applyNumberFormat="1">
      <alignment horizontal="center" vertical="bottom"/>
    </xf>
    <xf borderId="29" fillId="23" fontId="3" numFmtId="9" xfId="0" applyAlignment="1" applyBorder="1" applyFill="1" applyFont="1" applyNumberFormat="1">
      <alignment horizontal="center" vertical="bottom"/>
    </xf>
    <xf borderId="11" fillId="24" fontId="3" numFmtId="9" xfId="0" applyAlignment="1" applyBorder="1" applyFill="1" applyFont="1" applyNumberFormat="1">
      <alignment horizontal="center" vertical="bottom"/>
    </xf>
    <xf borderId="29" fillId="25" fontId="3" numFmtId="9" xfId="0" applyAlignment="1" applyBorder="1" applyFill="1" applyFont="1" applyNumberFormat="1">
      <alignment horizontal="center" vertical="bottom"/>
    </xf>
    <xf borderId="11" fillId="26" fontId="3" numFmtId="9" xfId="0" applyAlignment="1" applyBorder="1" applyFill="1" applyFont="1" applyNumberFormat="1">
      <alignment horizontal="center" vertical="bottom"/>
    </xf>
    <xf borderId="29" fillId="21" fontId="3" numFmtId="9" xfId="0" applyAlignment="1" applyBorder="1" applyFont="1" applyNumberFormat="1">
      <alignment horizontal="center" vertical="bottom"/>
    </xf>
    <xf borderId="11" fillId="22" fontId="3" numFmtId="9" xfId="0" applyAlignment="1" applyBorder="1" applyFont="1" applyNumberFormat="1">
      <alignment horizontal="center" vertical="bottom"/>
    </xf>
    <xf borderId="29" fillId="5" fontId="3" numFmtId="9" xfId="0" applyAlignment="1" applyBorder="1" applyFont="1" applyNumberFormat="1">
      <alignment horizontal="center" vertical="bottom"/>
    </xf>
    <xf borderId="11" fillId="6" fontId="3" numFmtId="9" xfId="0" applyAlignment="1" applyBorder="1" applyFont="1" applyNumberFormat="1">
      <alignment horizontal="center" vertical="bottom"/>
    </xf>
    <xf borderId="29" fillId="7" fontId="3" numFmtId="9" xfId="0" applyAlignment="1" applyBorder="1" applyFont="1" applyNumberFormat="1">
      <alignment horizontal="center" vertical="bottom"/>
    </xf>
    <xf borderId="11" fillId="8" fontId="3" numFmtId="9" xfId="0" applyAlignment="1" applyBorder="1" applyFont="1" applyNumberFormat="1">
      <alignment horizontal="center" vertical="bottom"/>
    </xf>
    <xf borderId="30" fillId="5" fontId="3" numFmtId="9" xfId="0" applyAlignment="1" applyBorder="1" applyFont="1" applyNumberFormat="1">
      <alignment horizontal="center" vertical="bottom"/>
    </xf>
    <xf borderId="12" fillId="0" fontId="65" numFmtId="164" xfId="0" applyAlignment="1" applyBorder="1" applyFont="1" applyNumberFormat="1">
      <alignment horizontal="center" vertical="bottom"/>
    </xf>
    <xf borderId="13" fillId="6" fontId="3" numFmtId="9" xfId="0" applyAlignment="1" applyBorder="1" applyFont="1" applyNumberFormat="1">
      <alignment horizontal="center" vertical="bottom"/>
    </xf>
    <xf borderId="30" fillId="5" fontId="3" numFmtId="9" xfId="0" applyAlignment="1" applyBorder="1" applyFont="1" applyNumberFormat="1">
      <alignment horizontal="center" shrinkToFit="0" vertical="bottom" wrapText="1"/>
    </xf>
    <xf borderId="13" fillId="6" fontId="3" numFmtId="9" xfId="0" applyAlignment="1" applyBorder="1" applyFont="1" applyNumberFormat="1">
      <alignment horizontal="center" shrinkToFit="0" vertical="bottom" wrapText="1"/>
    </xf>
    <xf borderId="30" fillId="0" fontId="3" numFmtId="9" xfId="0" applyAlignment="1" applyBorder="1" applyFont="1" applyNumberFormat="1">
      <alignment horizontal="center" shrinkToFit="0" vertical="bottom" wrapText="1"/>
    </xf>
    <xf borderId="12" fillId="0" fontId="65" numFmtId="9" xfId="0" applyAlignment="1" applyBorder="1" applyFont="1" applyNumberFormat="1">
      <alignment horizontal="center" vertical="bottom"/>
    </xf>
    <xf borderId="13" fillId="0" fontId="3" numFmtId="9" xfId="0" applyAlignment="1" applyBorder="1" applyFont="1" applyNumberFormat="1">
      <alignment horizontal="center" shrinkToFit="0" vertical="bottom" wrapText="1"/>
    </xf>
    <xf borderId="30" fillId="11" fontId="3" numFmtId="9" xfId="0" applyAlignment="1" applyBorder="1" applyFont="1" applyNumberFormat="1">
      <alignment horizontal="center" shrinkToFit="0" vertical="bottom" wrapText="1"/>
    </xf>
    <xf borderId="13" fillId="12" fontId="3" numFmtId="9" xfId="0" applyAlignment="1" applyBorder="1" applyFont="1" applyNumberFormat="1">
      <alignment horizontal="center" shrinkToFit="0" vertical="bottom" wrapText="1"/>
    </xf>
    <xf borderId="30" fillId="7" fontId="3" numFmtId="9" xfId="0" applyAlignment="1" applyBorder="1" applyFont="1" applyNumberFormat="1">
      <alignment horizontal="center" shrinkToFit="0" vertical="bottom" wrapText="1"/>
    </xf>
    <xf borderId="13" fillId="8" fontId="3" numFmtId="9" xfId="0" applyAlignment="1" applyBorder="1" applyFont="1" applyNumberFormat="1">
      <alignment horizontal="center" shrinkToFit="0" vertical="bottom" wrapText="1"/>
    </xf>
    <xf borderId="13" fillId="0" fontId="20" numFmtId="0" xfId="0" applyAlignment="1" applyBorder="1" applyFont="1">
      <alignment vertical="bottom"/>
    </xf>
    <xf borderId="0" fillId="0" fontId="20" numFmtId="164" xfId="0" applyAlignment="1" applyFont="1" applyNumberFormat="1">
      <alignment vertical="bottom"/>
    </xf>
    <xf borderId="28" fillId="21" fontId="3" numFmtId="9" xfId="0" applyAlignment="1" applyBorder="1" applyFont="1" applyNumberFormat="1">
      <alignment horizontal="center" vertical="bottom"/>
    </xf>
    <xf borderId="9" fillId="22" fontId="3" numFmtId="9" xfId="0" applyAlignment="1" applyBorder="1" applyFont="1" applyNumberFormat="1">
      <alignment horizontal="center" vertical="bottom"/>
    </xf>
    <xf borderId="30" fillId="27" fontId="3" numFmtId="9" xfId="0" applyAlignment="1" applyBorder="1" applyFill="1" applyFont="1" applyNumberFormat="1">
      <alignment horizontal="center" vertical="bottom"/>
    </xf>
    <xf borderId="13" fillId="28" fontId="3" numFmtId="9" xfId="0" applyAlignment="1" applyBorder="1" applyFill="1" applyFont="1" applyNumberFormat="1">
      <alignment horizontal="center" vertical="bottom"/>
    </xf>
    <xf borderId="30" fillId="0" fontId="3" numFmtId="9" xfId="0" applyAlignment="1" applyBorder="1" applyFont="1" applyNumberFormat="1">
      <alignment horizontal="center" vertical="bottom"/>
    </xf>
    <xf borderId="13" fillId="0" fontId="3" numFmtId="9" xfId="0" applyAlignment="1" applyBorder="1" applyFont="1" applyNumberFormat="1">
      <alignment horizontal="center" vertical="bottom"/>
    </xf>
    <xf borderId="28" fillId="25" fontId="3" numFmtId="9" xfId="0" applyAlignment="1" applyBorder="1" applyFont="1" applyNumberFormat="1">
      <alignment horizontal="center" vertical="bottom"/>
    </xf>
    <xf borderId="9" fillId="26" fontId="3" numFmtId="9" xfId="0" applyAlignment="1" applyBorder="1" applyFont="1" applyNumberFormat="1">
      <alignment horizontal="center" vertical="bottom"/>
    </xf>
    <xf borderId="28" fillId="29" fontId="3" numFmtId="9" xfId="0" applyAlignment="1" applyBorder="1" applyFill="1" applyFont="1" applyNumberFormat="1">
      <alignment horizontal="center" vertical="bottom"/>
    </xf>
    <xf borderId="9" fillId="30" fontId="3" numFmtId="9" xfId="0" applyAlignment="1" applyBorder="1" applyFill="1" applyFont="1" applyNumberFormat="1">
      <alignment horizontal="center" vertical="bottom"/>
    </xf>
    <xf borderId="28" fillId="31" fontId="3" numFmtId="9" xfId="0" applyAlignment="1" applyBorder="1" applyFill="1" applyFont="1" applyNumberFormat="1">
      <alignment horizontal="center" vertical="bottom"/>
    </xf>
    <xf borderId="9" fillId="32" fontId="3" numFmtId="9" xfId="0" applyAlignment="1" applyBorder="1" applyFill="1" applyFont="1" applyNumberFormat="1">
      <alignment horizontal="center" vertical="bottom"/>
    </xf>
    <xf borderId="28" fillId="9" fontId="3" numFmtId="9" xfId="0" applyAlignment="1" applyBorder="1" applyFont="1" applyNumberFormat="1">
      <alignment horizontal="center" vertical="bottom"/>
    </xf>
    <xf borderId="9" fillId="10" fontId="3" numFmtId="9" xfId="0" applyAlignment="1" applyBorder="1" applyFont="1" applyNumberFormat="1">
      <alignment horizontal="center" vertical="bottom"/>
    </xf>
    <xf borderId="28" fillId="27" fontId="3" numFmtId="9" xfId="0" applyAlignment="1" applyBorder="1" applyFont="1" applyNumberFormat="1">
      <alignment horizontal="center" vertical="bottom"/>
    </xf>
    <xf borderId="9" fillId="28" fontId="3" numFmtId="9" xfId="0" applyAlignment="1" applyBorder="1" applyFont="1" applyNumberFormat="1">
      <alignment horizontal="center" vertical="bottom"/>
    </xf>
    <xf borderId="29" fillId="33" fontId="3" numFmtId="9" xfId="0" applyAlignment="1" applyBorder="1" applyFill="1" applyFont="1" applyNumberFormat="1">
      <alignment horizontal="center" vertical="bottom"/>
    </xf>
    <xf borderId="11" fillId="34" fontId="3" numFmtId="9" xfId="0" applyAlignment="1" applyBorder="1" applyFill="1" applyFont="1" applyNumberFormat="1">
      <alignment horizontal="center" vertical="bottom"/>
    </xf>
    <xf borderId="30" fillId="18" fontId="3" numFmtId="9" xfId="0" applyAlignment="1" applyBorder="1" applyFont="1" applyNumberFormat="1">
      <alignment horizontal="center" vertical="bottom"/>
    </xf>
    <xf borderId="13" fillId="17" fontId="3" numFmtId="9" xfId="0" applyAlignment="1" applyBorder="1" applyFont="1" applyNumberFormat="1">
      <alignment horizontal="center" vertical="bottom"/>
    </xf>
    <xf borderId="30" fillId="22" fontId="3" numFmtId="9" xfId="0" applyAlignment="1" applyBorder="1" applyFont="1" applyNumberFormat="1">
      <alignment horizontal="center" shrinkToFit="0" vertical="bottom" wrapText="1"/>
    </xf>
    <xf borderId="13" fillId="21" fontId="3" numFmtId="9" xfId="0" applyAlignment="1" applyBorder="1" applyFont="1" applyNumberFormat="1">
      <alignment horizontal="center" shrinkToFit="0" vertical="bottom" wrapText="1"/>
    </xf>
    <xf borderId="30" fillId="20" fontId="3" numFmtId="9" xfId="0" applyAlignment="1" applyBorder="1" applyFont="1" applyNumberFormat="1">
      <alignment horizontal="center" shrinkToFit="0" vertical="bottom" wrapText="1"/>
    </xf>
    <xf borderId="13" fillId="19" fontId="3" numFmtId="9" xfId="0" applyAlignment="1" applyBorder="1" applyFont="1" applyNumberFormat="1">
      <alignment horizontal="center" shrinkToFit="0" vertical="bottom" wrapText="1"/>
    </xf>
    <xf borderId="30" fillId="35" fontId="3" numFmtId="9" xfId="0" applyAlignment="1" applyBorder="1" applyFill="1" applyFont="1" applyNumberFormat="1">
      <alignment horizontal="center" shrinkToFit="0" vertical="bottom" wrapText="1"/>
    </xf>
    <xf borderId="13" fillId="35" fontId="3" numFmtId="9" xfId="0" applyAlignment="1" applyBorder="1" applyFont="1" applyNumberFormat="1">
      <alignment horizontal="center" shrinkToFit="0" vertical="bottom" wrapText="1"/>
    </xf>
    <xf borderId="30" fillId="26" fontId="3" numFmtId="9" xfId="0" applyAlignment="1" applyBorder="1" applyFont="1" applyNumberFormat="1">
      <alignment horizontal="center" shrinkToFit="0" vertical="bottom" wrapText="1"/>
    </xf>
    <xf borderId="13" fillId="25" fontId="3" numFmtId="9" xfId="0" applyAlignment="1" applyBorder="1" applyFont="1" applyNumberFormat="1">
      <alignment horizontal="center" shrinkToFit="0" vertical="bottom" wrapText="1"/>
    </xf>
    <xf borderId="30" fillId="33" fontId="3" numFmtId="9" xfId="0" applyAlignment="1" applyBorder="1" applyFont="1" applyNumberFormat="1">
      <alignment horizontal="center" shrinkToFit="0" vertical="bottom" wrapText="1"/>
    </xf>
    <xf borderId="13" fillId="34" fontId="3" numFmtId="9" xfId="0" applyAlignment="1" applyBorder="1" applyFont="1" applyNumberFormat="1">
      <alignment horizontal="center" shrinkToFit="0" vertical="bottom" wrapText="1"/>
    </xf>
    <xf borderId="30" fillId="18" fontId="3" numFmtId="9" xfId="0" applyAlignment="1" applyBorder="1" applyFont="1" applyNumberFormat="1">
      <alignment horizontal="center" shrinkToFit="0" vertical="bottom" wrapText="1"/>
    </xf>
    <xf borderId="13" fillId="17" fontId="3" numFmtId="9" xfId="0" applyAlignment="1" applyBorder="1" applyFont="1" applyNumberFormat="1">
      <alignment horizontal="center" shrinkToFit="0" vertical="bottom" wrapText="1"/>
    </xf>
    <xf borderId="28" fillId="0" fontId="3" numFmtId="167" xfId="0" applyAlignment="1" applyBorder="1" applyFont="1" applyNumberFormat="1">
      <alignment horizontal="center" vertical="bottom"/>
    </xf>
    <xf borderId="8" fillId="0" fontId="65" numFmtId="167" xfId="0" applyAlignment="1" applyBorder="1" applyFont="1" applyNumberFormat="1">
      <alignment horizontal="center" vertical="bottom"/>
    </xf>
    <xf borderId="9" fillId="0" fontId="3" numFmtId="167" xfId="0" applyAlignment="1" applyBorder="1" applyFont="1" applyNumberFormat="1">
      <alignment horizontal="center" vertical="bottom"/>
    </xf>
    <xf borderId="29" fillId="0" fontId="3" numFmtId="10" xfId="0" applyAlignment="1" applyBorder="1" applyFont="1" applyNumberFormat="1">
      <alignment horizontal="center" vertical="bottom"/>
    </xf>
    <xf borderId="10" fillId="0" fontId="65" numFmtId="10" xfId="0" applyAlignment="1" applyBorder="1" applyFont="1" applyNumberFormat="1">
      <alignment horizontal="center" vertical="bottom"/>
    </xf>
    <xf borderId="11" fillId="0" fontId="3" numFmtId="10" xfId="0" applyAlignment="1" applyBorder="1" applyFont="1" applyNumberFormat="1">
      <alignment horizontal="center" vertical="bottom"/>
    </xf>
    <xf borderId="29" fillId="0" fontId="3" numFmtId="167" xfId="0" applyAlignment="1" applyBorder="1" applyFont="1" applyNumberFormat="1">
      <alignment horizontal="center" vertical="bottom"/>
    </xf>
    <xf borderId="11" fillId="0" fontId="3" numFmtId="167" xfId="0" applyAlignment="1" applyBorder="1" applyFont="1" applyNumberFormat="1">
      <alignment horizontal="center" vertical="bottom"/>
    </xf>
    <xf borderId="30" fillId="0" fontId="3" numFmtId="167" xfId="0" applyAlignment="1" applyBorder="1" applyFont="1" applyNumberFormat="1">
      <alignment horizontal="center" shrinkToFit="0" vertical="bottom" wrapText="1"/>
    </xf>
    <xf borderId="13" fillId="0" fontId="3" numFmtId="167" xfId="0" applyAlignment="1" applyBorder="1" applyFont="1" applyNumberFormat="1">
      <alignment horizontal="center" shrinkToFit="0" vertical="bottom" wrapText="1"/>
    </xf>
    <xf borderId="30" fillId="0" fontId="3" numFmtId="167" xfId="0" applyAlignment="1" applyBorder="1" applyFont="1" applyNumberFormat="1">
      <alignment horizontal="center" vertical="bottom"/>
    </xf>
    <xf borderId="13" fillId="0" fontId="3" numFmtId="167" xfId="0" applyAlignment="1" applyBorder="1" applyFont="1" applyNumberFormat="1">
      <alignment horizontal="center" vertical="bottom"/>
    </xf>
    <xf borderId="17" fillId="0" fontId="3" numFmtId="0" xfId="0" applyAlignment="1" applyBorder="1" applyFont="1">
      <alignment shrinkToFit="0" vertical="bottom" wrapText="1"/>
    </xf>
    <xf borderId="47" fillId="0" fontId="20" numFmtId="9" xfId="0" applyAlignment="1" applyBorder="1" applyFont="1" applyNumberFormat="1">
      <alignment vertical="bottom"/>
    </xf>
    <xf borderId="17" fillId="0" fontId="65" numFmtId="9" xfId="0" applyAlignment="1" applyBorder="1" applyFont="1" applyNumberFormat="1">
      <alignment horizontal="center" vertical="bottom"/>
    </xf>
    <xf borderId="18" fillId="0" fontId="20" numFmtId="9" xfId="0" applyAlignment="1" applyBorder="1" applyFont="1" applyNumberFormat="1">
      <alignment vertical="bottom"/>
    </xf>
    <xf borderId="47" fillId="0" fontId="20" numFmtId="167" xfId="0" applyAlignment="1" applyBorder="1" applyFont="1" applyNumberFormat="1">
      <alignment vertical="bottom"/>
    </xf>
    <xf borderId="17" fillId="0" fontId="20" numFmtId="164" xfId="0" applyAlignment="1" applyBorder="1" applyFont="1" applyNumberFormat="1">
      <alignment vertical="bottom"/>
    </xf>
    <xf borderId="18" fillId="0" fontId="20" numFmtId="167" xfId="0" applyAlignment="1" applyBorder="1" applyFont="1" applyNumberFormat="1">
      <alignment vertical="bottom"/>
    </xf>
    <xf borderId="18" fillId="0" fontId="20" numFmtId="0" xfId="0" applyAlignment="1" applyBorder="1" applyFont="1">
      <alignment vertical="bottom"/>
    </xf>
    <xf borderId="7" fillId="0" fontId="20" numFmtId="0" xfId="0" applyAlignment="1" applyBorder="1" applyFont="1">
      <alignment vertical="bottom"/>
    </xf>
    <xf borderId="7" fillId="0" fontId="20" numFmtId="165" xfId="0" applyAlignment="1" applyBorder="1" applyFont="1" applyNumberFormat="1">
      <alignment vertical="bottom"/>
    </xf>
    <xf borderId="0" fillId="0" fontId="20" numFmtId="165" xfId="0" applyAlignment="1" applyFont="1" applyNumberFormat="1">
      <alignment vertical="bottom"/>
    </xf>
    <xf borderId="14" fillId="0" fontId="20" numFmtId="165" xfId="0" applyAlignment="1" applyBorder="1" applyFont="1" applyNumberFormat="1">
      <alignment vertical="bottom"/>
    </xf>
    <xf borderId="0" fillId="2" fontId="62" numFmtId="0" xfId="0" applyAlignment="1" applyFont="1">
      <alignment horizontal="center" readingOrder="0" vertical="bottom"/>
    </xf>
    <xf borderId="4" fillId="3" fontId="1" numFmtId="0" xfId="0" applyAlignment="1" applyBorder="1" applyFont="1">
      <alignment vertical="bottom"/>
    </xf>
    <xf borderId="4" fillId="3" fontId="20" numFmtId="9" xfId="0" applyAlignment="1" applyBorder="1" applyFont="1" applyNumberFormat="1">
      <alignment vertical="bottom"/>
    </xf>
    <xf borderId="5" fillId="3" fontId="20" numFmtId="9" xfId="0" applyAlignment="1" applyBorder="1" applyFont="1" applyNumberFormat="1">
      <alignment vertical="bottom"/>
    </xf>
    <xf borderId="6" fillId="3" fontId="20" numFmtId="9" xfId="0" applyAlignment="1" applyBorder="1" applyFont="1" applyNumberFormat="1">
      <alignment vertical="bottom"/>
    </xf>
    <xf borderId="4" fillId="3" fontId="20" numFmtId="167" xfId="0" applyAlignment="1" applyBorder="1" applyFont="1" applyNumberFormat="1">
      <alignment vertical="bottom"/>
    </xf>
    <xf borderId="5" fillId="3" fontId="20" numFmtId="164" xfId="0" applyAlignment="1" applyBorder="1" applyFont="1" applyNumberFormat="1">
      <alignment vertical="bottom"/>
    </xf>
    <xf borderId="6" fillId="3" fontId="20" numFmtId="167" xfId="0" applyAlignment="1" applyBorder="1" applyFont="1" applyNumberFormat="1">
      <alignment vertical="bottom"/>
    </xf>
    <xf borderId="0" fillId="0" fontId="3" numFmtId="0" xfId="0" applyAlignment="1" applyFont="1">
      <alignment horizontal="center" readingOrder="0" vertical="bottom"/>
    </xf>
    <xf borderId="0" fillId="0" fontId="20" numFmtId="9" xfId="0" applyAlignment="1" applyFont="1" applyNumberFormat="1">
      <alignment vertical="bottom"/>
    </xf>
    <xf borderId="0" fillId="0" fontId="3" numFmtId="0" xfId="0" applyAlignment="1" applyFont="1">
      <alignment horizontal="center" vertical="bottom"/>
    </xf>
    <xf borderId="0" fillId="0" fontId="3" numFmtId="166" xfId="0" applyAlignment="1" applyFont="1" applyNumberFormat="1">
      <alignment shrinkToFit="0" vertical="bottom" wrapText="1"/>
    </xf>
    <xf borderId="29" fillId="0" fontId="3" numFmtId="3" xfId="0" applyAlignment="1" applyBorder="1" applyFont="1" applyNumberFormat="1">
      <alignment horizontal="center" vertical="bottom"/>
    </xf>
    <xf borderId="0" fillId="0" fontId="3" numFmtId="3" xfId="0" applyAlignment="1" applyFont="1" applyNumberFormat="1">
      <alignment horizontal="center" vertical="bottom"/>
    </xf>
    <xf borderId="11" fillId="0" fontId="3" numFmtId="3" xfId="0" applyAlignment="1" applyBorder="1" applyFont="1" applyNumberFormat="1">
      <alignment horizontal="center" vertical="bottom"/>
    </xf>
    <xf borderId="29"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11" fillId="0" fontId="3" numFmtId="164" xfId="0" applyAlignment="1" applyBorder="1" applyFont="1" applyNumberFormat="1">
      <alignment horizontal="center" vertical="bottom"/>
    </xf>
    <xf borderId="10" fillId="0" fontId="3" numFmtId="3" xfId="0" applyAlignment="1" applyBorder="1" applyFont="1" applyNumberFormat="1">
      <alignment horizontal="center" vertical="bottom"/>
    </xf>
    <xf borderId="10" fillId="0" fontId="3" numFmtId="164" xfId="0" applyAlignment="1" applyBorder="1" applyFont="1" applyNumberFormat="1">
      <alignment horizontal="center" vertical="bottom"/>
    </xf>
    <xf borderId="10" fillId="0" fontId="20" numFmtId="3" xfId="0" applyAlignment="1" applyBorder="1" applyFont="1" applyNumberFormat="1">
      <alignment vertical="bottom"/>
    </xf>
    <xf borderId="4" fillId="3" fontId="1" numFmtId="0" xfId="0" applyAlignment="1" applyBorder="1" applyFont="1">
      <alignment readingOrder="0" vertical="bottom"/>
    </xf>
    <xf borderId="4" fillId="3" fontId="20" numFmtId="164" xfId="0" applyAlignment="1" applyBorder="1" applyFont="1" applyNumberFormat="1">
      <alignment vertical="bottom"/>
    </xf>
    <xf borderId="6" fillId="3" fontId="20" numFmtId="164" xfId="0" applyAlignment="1" applyBorder="1" applyFont="1" applyNumberFormat="1">
      <alignment vertical="bottom"/>
    </xf>
    <xf borderId="0" fillId="0" fontId="20" numFmtId="0" xfId="0" applyAlignment="1" applyFont="1">
      <alignment readingOrder="0" vertical="bottom"/>
    </xf>
    <xf borderId="0" fillId="0" fontId="20" numFmtId="164" xfId="0" applyAlignment="1" applyFont="1" applyNumberFormat="1">
      <alignment readingOrder="0" vertical="bottom"/>
    </xf>
    <xf borderId="7" fillId="0" fontId="20" numFmtId="166" xfId="0" applyAlignment="1" applyBorder="1" applyFont="1" applyNumberFormat="1">
      <alignment vertical="bottom"/>
    </xf>
    <xf borderId="0" fillId="0" fontId="20" numFmtId="166" xfId="0" applyAlignment="1" applyFont="1" applyNumberFormat="1">
      <alignment vertical="bottom"/>
    </xf>
    <xf borderId="8" fillId="0" fontId="3" numFmtId="166" xfId="0" applyAlignment="1" applyBorder="1" applyFont="1" applyNumberFormat="1">
      <alignment shrinkToFit="0" vertical="bottom" wrapText="1"/>
    </xf>
    <xf borderId="28" fillId="0" fontId="3" numFmtId="166" xfId="0" applyAlignment="1" applyBorder="1" applyFont="1" applyNumberFormat="1">
      <alignment horizontal="center" vertical="bottom"/>
    </xf>
    <xf borderId="8" fillId="0" fontId="65" numFmtId="166" xfId="0" applyAlignment="1" applyBorder="1" applyFont="1" applyNumberFormat="1">
      <alignment horizontal="center" vertical="bottom"/>
    </xf>
    <xf borderId="9" fillId="0" fontId="3" numFmtId="166" xfId="0" applyAlignment="1" applyBorder="1" applyFont="1" applyNumberFormat="1">
      <alignment horizontal="center" vertical="bottom"/>
    </xf>
    <xf borderId="28" fillId="0" fontId="20" numFmtId="166" xfId="0" applyAlignment="1" applyBorder="1" applyFont="1" applyNumberFormat="1">
      <alignment vertical="bottom"/>
    </xf>
    <xf borderId="8" fillId="0" fontId="20" numFmtId="166" xfId="0" applyAlignment="1" applyBorder="1" applyFont="1" applyNumberFormat="1">
      <alignment vertical="bottom"/>
    </xf>
    <xf borderId="9" fillId="0" fontId="20" numFmtId="166" xfId="0" applyAlignment="1" applyBorder="1" applyFont="1" applyNumberFormat="1">
      <alignment vertical="bottom"/>
    </xf>
    <xf borderId="8" fillId="0" fontId="20" numFmtId="9" xfId="0" applyAlignment="1" applyBorder="1" applyFont="1" applyNumberFormat="1">
      <alignment vertical="bottom"/>
    </xf>
    <xf borderId="28" fillId="0" fontId="3" numFmtId="10" xfId="0" applyAlignment="1" applyBorder="1" applyFont="1" applyNumberFormat="1">
      <alignment horizontal="center" vertical="bottom"/>
    </xf>
    <xf borderId="8" fillId="0" fontId="65" numFmtId="10" xfId="0" applyAlignment="1" applyBorder="1" applyFont="1" applyNumberFormat="1">
      <alignment horizontal="center" vertical="bottom"/>
    </xf>
    <xf borderId="9" fillId="0" fontId="3" numFmtId="10" xfId="0" applyAlignment="1" applyBorder="1" applyFont="1" applyNumberFormat="1">
      <alignment horizontal="center" vertical="bottom"/>
    </xf>
    <xf borderId="8" fillId="0" fontId="65" numFmtId="3" xfId="0" applyAlignment="1" applyBorder="1" applyFont="1" applyNumberFormat="1">
      <alignment horizontal="center" vertical="bottom"/>
    </xf>
    <xf borderId="8" fillId="0" fontId="20" numFmtId="3" xfId="0" applyAlignment="1" applyBorder="1" applyFont="1" applyNumberFormat="1">
      <alignment vertical="bottom"/>
    </xf>
    <xf borderId="8" fillId="0" fontId="65" numFmtId="170" xfId="0" applyAlignment="1" applyBorder="1" applyFont="1" applyNumberFormat="1">
      <alignment horizontal="center" vertical="bottom"/>
    </xf>
    <xf borderId="8" fillId="0" fontId="20" numFmtId="170" xfId="0" applyAlignment="1" applyBorder="1" applyFont="1" applyNumberFormat="1">
      <alignment vertical="bottom"/>
    </xf>
    <xf borderId="7" fillId="0" fontId="20" numFmtId="9" xfId="0" applyAlignment="1" applyBorder="1" applyFont="1" applyNumberFormat="1">
      <alignment vertical="bottom"/>
    </xf>
    <xf borderId="14" fillId="0" fontId="20"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7">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J258" displayName="Table_1" name="Table_1" id="1">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2.xml><?xml version="1.0" encoding="utf-8"?>
<table xmlns="http://schemas.openxmlformats.org/spreadsheetml/2006/main" ref="L3:U309"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ref="W3:AF54" displayName="Table_3" name="Table_3" id="3">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4.xml><?xml version="1.0" encoding="utf-8"?>
<table xmlns="http://schemas.openxmlformats.org/spreadsheetml/2006/main" ref="AH3:AQ156" displayName="Table_4" name="Table_4" id="4">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5.xml><?xml version="1.0" encoding="utf-8"?>
<table xmlns="http://schemas.openxmlformats.org/spreadsheetml/2006/main" ref="AS3:BD151" displayName="Table_5" name="Table_5" id="5">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5" showColumnStripes="0" showFirstColumn="1" showLastColumn="1" showRowStripes="1"/>
</table>
</file>

<file path=xl/tables/table6.xml><?xml version="1.0" encoding="utf-8"?>
<table xmlns="http://schemas.openxmlformats.org/spreadsheetml/2006/main" ref="BF3:BQ40" displayName="Table_6" name="Table_6" id="6">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6" showColumnStripes="0" showFirstColumn="1" showLastColumn="1" showRowStripes="1"/>
</table>
</file>

<file path=xl/tables/table7.xml><?xml version="1.0" encoding="utf-8"?>
<table xmlns="http://schemas.openxmlformats.org/spreadsheetml/2006/main" ref="BS3:CD77" displayName="Table_7" name="Table_7" id="7">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12uuyYt6QLRZuJojwz6fHv4JQ-GHNeIpiT-SauY3kmM/edit" TargetMode="External"/><Relationship Id="rId10" Type="http://schemas.openxmlformats.org/officeDocument/2006/relationships/hyperlink" Target="https://docs.google.com/spreadsheets/d/1GAcGQSyBQxcB6oGJFGGWCYqwY-jW7oahJJK-cTZOkMc/edit" TargetMode="External"/><Relationship Id="rId13" Type="http://schemas.openxmlformats.org/officeDocument/2006/relationships/hyperlink" Target="https://docs.google.com/spreadsheets/d/1ZWoQhJwsSkM01rvnDPrKd0wSG7aayK5RMiHdNAAKoL4/edit?usp=sharing" TargetMode="External"/><Relationship Id="rId12" Type="http://schemas.openxmlformats.org/officeDocument/2006/relationships/hyperlink" Target="https://docs.google.com/spreadsheets/d/1YgMgML21RLKFHb0QlHphR-KwfJiukMdlIJ7Oub_TyQE/edit?usp=sharing" TargetMode="External"/><Relationship Id="rId1" Type="http://schemas.openxmlformats.org/officeDocument/2006/relationships/hyperlink" Target="https://docs.google.com/spreadsheets/d/1EpzJgI3mJMU23aVB1sV_bVAIHZnE8IwUNS7Mps1YCw0/edit?gid=211647678" TargetMode="External"/><Relationship Id="rId2" Type="http://schemas.openxmlformats.org/officeDocument/2006/relationships/hyperlink" Target="https://docs.google.com/spreadsheets/d/1RouC2tjslAYJjB8Y4iLKAiU_9Zbu6ziZr8hFgAjDZ4k/edit?usp=sharing" TargetMode="External"/><Relationship Id="rId3" Type="http://schemas.openxmlformats.org/officeDocument/2006/relationships/hyperlink" Target="https://docs.google.com/spreadsheets/d/1y0xZlu9CFNOgDSlARiXAByw3lyjl4gexGISLn_Df7eA/edit?usp=sharing" TargetMode="External"/><Relationship Id="rId4" Type="http://schemas.openxmlformats.org/officeDocument/2006/relationships/hyperlink" Target="https://docs.google.com/spreadsheets/d/1ejSZi2yXY180qnKXbslvdSTd_tWtrqB1u-P38Q7sHg8/edit?usp=sharing" TargetMode="External"/><Relationship Id="rId9" Type="http://schemas.openxmlformats.org/officeDocument/2006/relationships/hyperlink" Target="https://docs.google.com/document/d/1xqxzz91s0qIqnLMZmlm3fkWXdVOdOI5PK1xUqNt-Ou4/edit?tab=t.0" TargetMode="External"/><Relationship Id="rId15" Type="http://schemas.openxmlformats.org/officeDocument/2006/relationships/hyperlink" Target="https://docs.google.com/spreadsheets/d/1W-_XtJPo2OYKyCdJ2Iyih_n2nCcQC5WSpEKNzfC2cwo/edit?usp=sharing" TargetMode="External"/><Relationship Id="rId14" Type="http://schemas.openxmlformats.org/officeDocument/2006/relationships/hyperlink" Target="https://docs.google.com/spreadsheets/d/1zl2r2tHhzkWBSTZJwfinBWaEBnfBn5EsKAIK_gsDMmg/edit?usp=sharing" TargetMode="External"/><Relationship Id="rId16" Type="http://schemas.openxmlformats.org/officeDocument/2006/relationships/drawing" Target="../drawings/drawing1.xml"/><Relationship Id="rId5" Type="http://schemas.openxmlformats.org/officeDocument/2006/relationships/hyperlink" Target="https://docs.google.com/spreadsheets/d/1zeVV1nDmM6CnvPK36fRGpujYxIMvPJUHruHwNA_KnXQ/edit" TargetMode="External"/><Relationship Id="rId6" Type="http://schemas.openxmlformats.org/officeDocument/2006/relationships/hyperlink" Target="https://docs.google.com/spreadsheets/d/1Eet9pIrYpjl6l_6NQz7jYKcupPKr6xiwIGDzmkeyLf0/edit?gid=1089031537" TargetMode="External"/><Relationship Id="rId7" Type="http://schemas.openxmlformats.org/officeDocument/2006/relationships/hyperlink" Target="https://docs.google.com/spreadsheets/d/15o_-wl_wkqioHpWufcnfBFAZaKswrHOSAt5YB6ec4DM/edit" TargetMode="External"/><Relationship Id="rId8" Type="http://schemas.openxmlformats.org/officeDocument/2006/relationships/hyperlink" Target="https://docs.google.com/spreadsheets/d/1dNqYgIXoPCtiNOJpCTaX1vlnd6LHIxdU2uxXpFsavbQ/edit?gid=150854372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5o_-wl_wkqioHpWufcnfBFAZaKswrHOSAt5YB6ec4DM/edit" TargetMode="External"/><Relationship Id="rId20" Type="http://schemas.openxmlformats.org/officeDocument/2006/relationships/hyperlink" Target="https://docs.google.com/spreadsheets/d/1y0xZlu9CFNOgDSlARiXAByw3lyjl4gexGISLn_Df7eA/edit?usp=sharing" TargetMode="External"/><Relationship Id="rId42" Type="http://schemas.openxmlformats.org/officeDocument/2006/relationships/hyperlink" Target="https://docs.google.com/spreadsheets/d/1zl2r2tHhzkWBSTZJwfinBWaEBnfBn5EsKAIK_gsDMmg/edit?usp=sharing" TargetMode="External"/><Relationship Id="rId41" Type="http://schemas.openxmlformats.org/officeDocument/2006/relationships/hyperlink" Target="https://docs.google.com/spreadsheets/d/15o_-wl_wkqioHpWufcnfBFAZaKswrHOSAt5YB6ec4DM/edit" TargetMode="External"/><Relationship Id="rId22" Type="http://schemas.openxmlformats.org/officeDocument/2006/relationships/hyperlink" Target="https://docs.google.com/spreadsheets/d/1GAcGQSyBQxcB6oGJFGGWCYqwY-jW7oahJJK-cTZOkMc/edit" TargetMode="External"/><Relationship Id="rId44" Type="http://schemas.openxmlformats.org/officeDocument/2006/relationships/drawing" Target="../drawings/drawing5.xml"/><Relationship Id="rId21" Type="http://schemas.openxmlformats.org/officeDocument/2006/relationships/hyperlink" Target="https://docs.google.com/spreadsheets/d/1zeVV1nDmM6CnvPK36fRGpujYxIMvPJUHruHwNA_KnXQ/edit?usp=sharing" TargetMode="External"/><Relationship Id="rId43" Type="http://schemas.openxmlformats.org/officeDocument/2006/relationships/hyperlink" Target="https://docs.google.com/spreadsheets/d/1W-_XtJPo2OYKyCdJ2Iyih_n2nCcQC5WSpEKNzfC2cwo/edit?usp=sharing" TargetMode="External"/><Relationship Id="rId24" Type="http://schemas.openxmlformats.org/officeDocument/2006/relationships/hyperlink" Target="https://docs.google.com/spreadsheets/d/1GAcGQSyBQxcB6oGJFGGWCYqwY-jW7oahJJK-cTZOkMc/edit" TargetMode="External"/><Relationship Id="rId23" Type="http://schemas.openxmlformats.org/officeDocument/2006/relationships/hyperlink" Target="https://docs.google.com/spreadsheets/d/112uuyYt6QLRZuJojwz6fHv4JQ-GHNeIpiT-SauY3kmM/edit" TargetMode="External"/><Relationship Id="rId45"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https://docs.google.com/spreadsheets/d/1EpzJgI3mJMU23aVB1sV_bVAIHZnE8IwUNS7Mps1YCw0/edit?gid=211647678" TargetMode="External"/><Relationship Id="rId3" Type="http://schemas.openxmlformats.org/officeDocument/2006/relationships/hyperlink" Target="https://docs.google.com/spreadsheets/d/1EpzJgI3mJMU23aVB1sV_bVAIHZnE8IwUNS7Mps1YCw0/edit?gid=211647678" TargetMode="External"/><Relationship Id="rId4" Type="http://schemas.openxmlformats.org/officeDocument/2006/relationships/hyperlink" Target="https://docs.google.com/spreadsheets/d/1EpzJgI3mJMU23aVB1sV_bVAIHZnE8IwUNS7Mps1YCw0/edit?gid=211647678" TargetMode="External"/><Relationship Id="rId9" Type="http://schemas.openxmlformats.org/officeDocument/2006/relationships/hyperlink" Target="https://docs.google.com/spreadsheets/d/1I4zeyYAAZkMLQrub47STGn-bfTwkwRi2WDBiZOtEVAE/edit?gid=845459846" TargetMode="External"/><Relationship Id="rId26" Type="http://schemas.openxmlformats.org/officeDocument/2006/relationships/hyperlink" Target="https://docs.google.com/spreadsheets/d/1GAcGQSyBQxcB6oGJFGGWCYqwY-jW7oahJJK-cTZOkMc/edit" TargetMode="External"/><Relationship Id="rId25" Type="http://schemas.openxmlformats.org/officeDocument/2006/relationships/hyperlink" Target="https://docs.google.com/spreadsheets/d/1GAcGQSyBQxcB6oGJFGGWCYqwY-jW7oahJJK-cTZOkMc/edit" TargetMode="External"/><Relationship Id="rId28" Type="http://schemas.openxmlformats.org/officeDocument/2006/relationships/hyperlink" Target="https://docs.google.com/spreadsheets/d/1ZWoQhJwsSkM01rvnDPrKd0wSG7aayK5RMiHdNAAKoL4/edit" TargetMode="External"/><Relationship Id="rId27" Type="http://schemas.openxmlformats.org/officeDocument/2006/relationships/hyperlink" Target="https://docs.google.com/spreadsheets/d/1GAcGQSyBQxcB6oGJFGGWCYqwY-jW7oahJJK-cTZOkMc/edit" TargetMode="External"/><Relationship Id="rId5" Type="http://schemas.openxmlformats.org/officeDocument/2006/relationships/hyperlink" Target="https://docs.google.com/spreadsheets/d/1EpzJgI3mJMU23aVB1sV_bVAIHZnE8IwUNS7Mps1YCw0/edit?gid=211647678" TargetMode="External"/><Relationship Id="rId6" Type="http://schemas.openxmlformats.org/officeDocument/2006/relationships/hyperlink" Target="https://docs.google.com/spreadsheets/d/1EpzJgI3mJMU23aVB1sV_bVAIHZnE8IwUNS7Mps1YCw0/edit?gid=211647678" TargetMode="External"/><Relationship Id="rId29" Type="http://schemas.openxmlformats.org/officeDocument/2006/relationships/hyperlink" Target="https://docs.google.com/spreadsheets/d/1YgMgML21RLKFHb0QlHphR-KwfJiukMdlIJ7Oub_TyQE/edit?usp=sharing" TargetMode="External"/><Relationship Id="rId7" Type="http://schemas.openxmlformats.org/officeDocument/2006/relationships/hyperlink" Target="https://docs.google.com/spreadsheets/d/1I4zeyYAAZkMLQrub47STGn-bfTwkwRi2WDBiZOtEVAE/edit?gid=845459846" TargetMode="External"/><Relationship Id="rId8" Type="http://schemas.openxmlformats.org/officeDocument/2006/relationships/hyperlink" Target="https://docs.google.com/spreadsheets/d/1I4zeyYAAZkMLQrub47STGn-bfTwkwRi2WDBiZOtEVAE/edit?gid=845459846" TargetMode="External"/><Relationship Id="rId31" Type="http://schemas.openxmlformats.org/officeDocument/2006/relationships/hyperlink" Target="https://docs.google.com/spreadsheets/d/1YgMgML21RLKFHb0QlHphR-KwfJiukMdlIJ7Oub_TyQE/edit?usp=sharing" TargetMode="External"/><Relationship Id="rId30" Type="http://schemas.openxmlformats.org/officeDocument/2006/relationships/hyperlink" Target="https://docs.google.com/spreadsheets/d/1YgMgML21RLKFHb0QlHphR-KwfJiukMdlIJ7Oub_TyQE/edit?usp=sharing" TargetMode="External"/><Relationship Id="rId11" Type="http://schemas.openxmlformats.org/officeDocument/2006/relationships/hyperlink" Target="https://docs.google.com/spreadsheets/d/1I4zeyYAAZkMLQrub47STGn-bfTwkwRi2WDBiZOtEVAE/edit?gid=845459846" TargetMode="External"/><Relationship Id="rId33" Type="http://schemas.openxmlformats.org/officeDocument/2006/relationships/hyperlink" Target="https://docs.google.com/spreadsheets/d/1YgMgML21RLKFHb0QlHphR-KwfJiukMdlIJ7Oub_TyQE/edit?usp=sharing" TargetMode="External"/><Relationship Id="rId10" Type="http://schemas.openxmlformats.org/officeDocument/2006/relationships/hyperlink" Target="https://docs.google.com/spreadsheets/d/1I4zeyYAAZkMLQrub47STGn-bfTwkwRi2WDBiZOtEVAE/edit?gid=845459846" TargetMode="External"/><Relationship Id="rId32" Type="http://schemas.openxmlformats.org/officeDocument/2006/relationships/hyperlink" Target="https://docs.google.com/document/d/1frwDp_odHXDK5pIl2q6zUdI07P1bQ0O1mW4IGTouqBA/edit?tab=t.0" TargetMode="External"/><Relationship Id="rId13" Type="http://schemas.openxmlformats.org/officeDocument/2006/relationships/hyperlink" Target="https://docs.google.com/spreadsheets/d/1I4zeyYAAZkMLQrub47STGn-bfTwkwRi2WDBiZOtEVAE/edit?gid=845459846" TargetMode="External"/><Relationship Id="rId35"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I4zeyYAAZkMLQrub47STGn-bfTwkwRi2WDBiZOtEVAE/edit?gid=845459846" TargetMode="External"/><Relationship Id="rId34" Type="http://schemas.openxmlformats.org/officeDocument/2006/relationships/hyperlink" Target="https://docs.google.com/spreadsheets/d/1YgMgML21RLKFHb0QlHphR-KwfJiukMdlIJ7Oub_TyQE/edit?usp=sharing" TargetMode="External"/><Relationship Id="rId15" Type="http://schemas.openxmlformats.org/officeDocument/2006/relationships/hyperlink" Target="https://www.givewell.org/international/technical/programs/seasonal-malaria-chemoprevention" TargetMode="External"/><Relationship Id="rId37" Type="http://schemas.openxmlformats.org/officeDocument/2006/relationships/hyperlink" Target="https://docs.google.com/spreadsheets/d/1YgMgML21RLKFHb0QlHphR-KwfJiukMdlIJ7Oub_TyQE/edit?usp=sharing" TargetMode="External"/><Relationship Id="rId14" Type="http://schemas.openxmlformats.org/officeDocument/2006/relationships/hyperlink" Target="https://docs.google.com/spreadsheets/d/1I4zeyYAAZkMLQrub47STGn-bfTwkwRi2WDBiZOtEVAE/edit?gid=845459846" TargetMode="External"/><Relationship Id="rId36" Type="http://schemas.openxmlformats.org/officeDocument/2006/relationships/hyperlink" Target="https://docs.google.com/spreadsheets/d/1YgMgML21RLKFHb0QlHphR-KwfJiukMdlIJ7Oub_TyQE/edit?usp=sharing" TargetMode="External"/><Relationship Id="rId17" Type="http://schemas.openxmlformats.org/officeDocument/2006/relationships/hyperlink" Target="https://docs.google.com/spreadsheets/d/1dNqYgIXoPCtiNOJpCTaX1vlnd6LHIxdU2uxXpFsavbQ/edit?gid=1508543722" TargetMode="External"/><Relationship Id="rId39" Type="http://schemas.openxmlformats.org/officeDocument/2006/relationships/hyperlink" Target="https://docs.google.com/spreadsheets/d/15o_-wl_wkqioHpWufcnfBFAZaKswrHOSAt5YB6ec4DM/edit" TargetMode="External"/><Relationship Id="rId16" Type="http://schemas.openxmlformats.org/officeDocument/2006/relationships/hyperlink" Target="https://docs.google.com/spreadsheets/d/1ejSZi2yXY180qnKXbslvdSTd_tWtrqB1u-P38Q7sHg8/edit?usp=sharing" TargetMode="External"/><Relationship Id="rId38" Type="http://schemas.openxmlformats.org/officeDocument/2006/relationships/hyperlink" Target="https://docs.google.com/spreadsheets/d/1YgMgML21RLKFHb0QlHphR-KwfJiukMdlIJ7Oub_TyQE/edit?usp=sharing" TargetMode="External"/><Relationship Id="rId19" Type="http://schemas.openxmlformats.org/officeDocument/2006/relationships/hyperlink" Target="http://journals.plos.org/plosmedicine/article?id=10.1371/journal.pmed.1002175" TargetMode="External"/><Relationship Id="rId18" Type="http://schemas.openxmlformats.org/officeDocument/2006/relationships/hyperlink" Target="http://journals.plos.org/plosmedicine/article?id=10.1371/journal.pmed.1002175" TargetMode="External"/></Relationships>
</file>

<file path=xl/worksheets/_rels/sheet6.xml.rels><?xml version="1.0" encoding="UTF-8" standalone="yes"?><Relationships xmlns="http://schemas.openxmlformats.org/package/2006/relationships"><Relationship Id="rId20" Type="http://schemas.openxmlformats.org/officeDocument/2006/relationships/table" Target="../tables/table6.xml"/><Relationship Id="rId21" Type="http://schemas.openxmlformats.org/officeDocument/2006/relationships/table" Target="../tables/table7.xml"/><Relationship Id="rId1" Type="http://schemas.openxmlformats.org/officeDocument/2006/relationships/comments" Target="../comments5.xml"/><Relationship Id="rId2" Type="http://schemas.openxmlformats.org/officeDocument/2006/relationships/hyperlink" Target="https://vizhub.healthdata.org/gbd-results?params=gbd-api-2021-permalink/02eb19e9adb5df63c4cf30032f2e690f" TargetMode="External"/><Relationship Id="rId3" Type="http://schemas.openxmlformats.org/officeDocument/2006/relationships/hyperlink" Target="https://vizhub.healthdata.org/gbd-results?params=gbd-api-2021-permalink/7a98b7b22f5987702e5c71f9091b5dec" TargetMode="External"/><Relationship Id="rId4" Type="http://schemas.openxmlformats.org/officeDocument/2006/relationships/hyperlink" Target="https://vizhub.healthdata.org/gbd-results?params=gbd-api-2021-permalink/d89c4f01a72b53373f4a823df9d9abb1" TargetMode="External"/><Relationship Id="rId5" Type="http://schemas.openxmlformats.org/officeDocument/2006/relationships/hyperlink" Target="https://vizhub.healthdata.org/gbd-results?params=gbd-api-2021-permalink/7a98b7b22f5987702e5c71f9091b5dec" TargetMode="External"/><Relationship Id="rId6" Type="http://schemas.openxmlformats.org/officeDocument/2006/relationships/drawing" Target="../drawings/drawing6.xml"/><Relationship Id="rId7" Type="http://schemas.openxmlformats.org/officeDocument/2006/relationships/vmlDrawing" Target="../drawings/vmlDrawing5.vml"/><Relationship Id="rId15" Type="http://schemas.openxmlformats.org/officeDocument/2006/relationships/table" Target="../tables/table1.xml"/><Relationship Id="rId17" Type="http://schemas.openxmlformats.org/officeDocument/2006/relationships/table" Target="../tables/table3.xml"/><Relationship Id="rId16" Type="http://schemas.openxmlformats.org/officeDocument/2006/relationships/table" Target="../tables/table2.xml"/><Relationship Id="rId19" Type="http://schemas.openxmlformats.org/officeDocument/2006/relationships/table" Target="../tables/table5.xml"/><Relationship Id="rId1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0"/>
    </row>
    <row r="4">
      <c r="A4" s="11"/>
      <c r="B4" s="9"/>
      <c r="C4" s="9"/>
      <c r="D4" s="9"/>
      <c r="E4" s="12" t="s">
        <v>2</v>
      </c>
      <c r="F4" s="13" t="s">
        <v>3</v>
      </c>
      <c r="G4" s="13"/>
      <c r="H4" s="14"/>
      <c r="I4" s="14"/>
      <c r="J4" s="14"/>
      <c r="K4" s="14"/>
      <c r="L4" s="14"/>
      <c r="M4" s="14"/>
      <c r="N4" s="14"/>
      <c r="O4" s="14"/>
      <c r="P4" s="14"/>
      <c r="Q4" s="14"/>
      <c r="R4" s="14"/>
      <c r="S4" s="14"/>
      <c r="T4" s="14"/>
      <c r="U4" s="14"/>
      <c r="V4" s="15"/>
    </row>
    <row r="5">
      <c r="A5" s="11"/>
      <c r="B5" s="9"/>
      <c r="C5" s="9"/>
      <c r="D5" s="9"/>
      <c r="E5" s="16" t="s">
        <v>4</v>
      </c>
      <c r="F5" s="17" t="s">
        <v>5</v>
      </c>
      <c r="G5" s="17"/>
      <c r="H5" s="18"/>
      <c r="I5" s="18"/>
      <c r="J5" s="18"/>
      <c r="K5" s="18"/>
      <c r="L5" s="18"/>
      <c r="M5" s="18"/>
      <c r="N5" s="18"/>
      <c r="O5" s="18"/>
      <c r="P5" s="18"/>
      <c r="Q5" s="18"/>
      <c r="R5" s="18"/>
      <c r="S5" s="18"/>
      <c r="T5" s="18"/>
      <c r="U5" s="18"/>
      <c r="V5" s="19"/>
    </row>
    <row r="6">
      <c r="A6" s="11"/>
      <c r="B6" s="9"/>
      <c r="C6" s="9"/>
      <c r="D6" s="9"/>
      <c r="E6" s="16" t="s">
        <v>6</v>
      </c>
      <c r="F6" s="17" t="s">
        <v>7</v>
      </c>
      <c r="G6" s="17"/>
      <c r="H6" s="18"/>
      <c r="I6" s="18"/>
      <c r="J6" s="18"/>
      <c r="K6" s="18"/>
      <c r="L6" s="18"/>
      <c r="M6" s="18"/>
      <c r="N6" s="18"/>
      <c r="O6" s="18"/>
      <c r="P6" s="18"/>
      <c r="Q6" s="18"/>
      <c r="R6" s="18"/>
      <c r="S6" s="18"/>
      <c r="T6" s="18"/>
      <c r="U6" s="18"/>
      <c r="V6" s="19"/>
    </row>
    <row r="7">
      <c r="A7" s="11"/>
      <c r="B7" s="9"/>
      <c r="C7" s="9"/>
      <c r="D7" s="9"/>
      <c r="E7" s="16" t="s">
        <v>8</v>
      </c>
      <c r="F7" s="17" t="s">
        <v>9</v>
      </c>
      <c r="G7" s="17"/>
      <c r="H7" s="18"/>
      <c r="I7" s="18"/>
      <c r="J7" s="18"/>
      <c r="K7" s="18"/>
      <c r="L7" s="18"/>
      <c r="M7" s="18"/>
      <c r="N7" s="18"/>
      <c r="O7" s="18"/>
      <c r="P7" s="18"/>
      <c r="Q7" s="18"/>
      <c r="R7" s="18"/>
      <c r="S7" s="18"/>
      <c r="T7" s="18"/>
      <c r="U7" s="18"/>
      <c r="V7" s="19"/>
    </row>
    <row r="8">
      <c r="A8" s="11"/>
      <c r="B8" s="9"/>
      <c r="C8" s="9"/>
      <c r="D8" s="9"/>
      <c r="E8" s="16" t="s">
        <v>10</v>
      </c>
      <c r="F8" s="17" t="s">
        <v>11</v>
      </c>
      <c r="G8" s="17"/>
      <c r="H8" s="18"/>
      <c r="I8" s="18"/>
      <c r="J8" s="18"/>
      <c r="K8" s="18"/>
      <c r="L8" s="18"/>
      <c r="M8" s="18"/>
      <c r="N8" s="18"/>
      <c r="O8" s="18"/>
      <c r="P8" s="18"/>
      <c r="Q8" s="18"/>
      <c r="R8" s="18"/>
      <c r="S8" s="18"/>
      <c r="T8" s="18"/>
      <c r="U8" s="18"/>
      <c r="V8" s="19"/>
    </row>
    <row r="9">
      <c r="A9" s="11"/>
      <c r="B9" s="9"/>
      <c r="C9" s="9"/>
      <c r="D9" s="9"/>
      <c r="E9" s="12" t="s">
        <v>12</v>
      </c>
      <c r="F9" s="13" t="s">
        <v>13</v>
      </c>
      <c r="G9" s="13"/>
      <c r="H9" s="14"/>
      <c r="I9" s="14"/>
      <c r="J9" s="14"/>
      <c r="K9" s="14"/>
      <c r="L9" s="14"/>
      <c r="M9" s="14"/>
      <c r="N9" s="14"/>
      <c r="O9" s="14"/>
      <c r="P9" s="14"/>
      <c r="Q9" s="14"/>
      <c r="R9" s="14"/>
      <c r="S9" s="14"/>
      <c r="T9" s="14"/>
      <c r="U9" s="14"/>
      <c r="V9" s="15"/>
    </row>
    <row r="10">
      <c r="A10" s="11"/>
      <c r="B10" s="9"/>
      <c r="C10" s="9"/>
      <c r="D10" s="9"/>
      <c r="E10" s="20" t="s">
        <v>14</v>
      </c>
      <c r="F10" s="13" t="s">
        <v>15</v>
      </c>
      <c r="G10" s="13"/>
      <c r="H10" s="14"/>
      <c r="I10" s="14"/>
      <c r="J10" s="14"/>
      <c r="K10" s="14"/>
      <c r="L10" s="14"/>
      <c r="M10" s="14"/>
      <c r="N10" s="14"/>
      <c r="O10" s="14"/>
      <c r="P10" s="14"/>
      <c r="Q10" s="14"/>
      <c r="R10" s="14"/>
      <c r="S10" s="14"/>
      <c r="T10" s="14"/>
      <c r="U10" s="14"/>
      <c r="V10" s="15"/>
    </row>
    <row r="11">
      <c r="A11" s="11"/>
      <c r="B11" s="9"/>
      <c r="C11" s="9"/>
      <c r="D11" s="9"/>
      <c r="E11" s="20" t="s">
        <v>16</v>
      </c>
      <c r="F11" s="21" t="s">
        <v>17</v>
      </c>
      <c r="G11" s="21"/>
      <c r="H11" s="22"/>
      <c r="I11" s="22"/>
      <c r="J11" s="22"/>
      <c r="K11" s="22"/>
      <c r="L11" s="22"/>
      <c r="M11" s="22"/>
      <c r="N11" s="22"/>
      <c r="O11" s="22"/>
      <c r="P11" s="22"/>
      <c r="Q11" s="22"/>
      <c r="R11" s="22"/>
      <c r="S11" s="22"/>
      <c r="T11" s="22"/>
      <c r="U11" s="22"/>
      <c r="V11" s="23"/>
    </row>
    <row r="12">
      <c r="A12" s="11"/>
      <c r="B12" s="9"/>
      <c r="C12" s="9"/>
      <c r="D12" s="9"/>
      <c r="E12" s="9"/>
      <c r="F12" s="9"/>
      <c r="G12" s="9"/>
      <c r="H12" s="10"/>
      <c r="I12" s="10"/>
      <c r="J12" s="10"/>
      <c r="K12" s="10"/>
      <c r="L12" s="10"/>
      <c r="M12" s="10"/>
      <c r="N12" s="10"/>
      <c r="O12" s="10"/>
      <c r="P12" s="10"/>
      <c r="Q12" s="10"/>
      <c r="R12" s="10"/>
      <c r="S12" s="10"/>
      <c r="T12" s="10"/>
      <c r="U12" s="10"/>
      <c r="V12" s="24"/>
    </row>
    <row r="13">
      <c r="A13" s="5" t="s">
        <v>18</v>
      </c>
      <c r="B13" s="6"/>
      <c r="C13" s="6"/>
      <c r="D13" s="6"/>
      <c r="E13" s="6"/>
      <c r="F13" s="6"/>
      <c r="G13" s="6"/>
      <c r="H13" s="7"/>
      <c r="I13" s="7"/>
      <c r="J13" s="7"/>
      <c r="K13" s="7"/>
      <c r="L13" s="7"/>
      <c r="M13" s="7"/>
      <c r="N13" s="7"/>
      <c r="O13" s="7"/>
      <c r="P13" s="7"/>
      <c r="Q13" s="7"/>
      <c r="R13" s="7"/>
      <c r="S13" s="7"/>
      <c r="T13" s="7"/>
      <c r="U13" s="7"/>
      <c r="V13" s="8"/>
    </row>
    <row r="14">
      <c r="A14" s="25"/>
      <c r="B14" s="26"/>
      <c r="C14" s="26"/>
      <c r="D14" s="26"/>
      <c r="E14" s="26"/>
      <c r="F14" s="26"/>
      <c r="G14" s="26"/>
      <c r="H14" s="10"/>
      <c r="I14" s="10"/>
      <c r="J14" s="10"/>
      <c r="K14" s="10"/>
      <c r="L14" s="10"/>
      <c r="M14" s="10"/>
      <c r="N14" s="10"/>
      <c r="O14" s="10"/>
      <c r="P14" s="10"/>
      <c r="Q14" s="10"/>
      <c r="R14" s="10"/>
      <c r="S14" s="10"/>
      <c r="T14" s="10"/>
      <c r="U14" s="10"/>
      <c r="V14" s="24"/>
    </row>
    <row r="15">
      <c r="A15" s="25"/>
      <c r="B15" s="26"/>
      <c r="C15" s="27" t="s">
        <v>19</v>
      </c>
      <c r="G15" s="26"/>
      <c r="H15" s="10"/>
      <c r="I15" s="10"/>
      <c r="J15" s="10"/>
      <c r="K15" s="10"/>
      <c r="L15" s="10"/>
      <c r="M15" s="10"/>
      <c r="N15" s="10"/>
      <c r="O15" s="10"/>
      <c r="P15" s="10"/>
      <c r="Q15" s="10"/>
      <c r="R15" s="10"/>
      <c r="S15" s="10"/>
      <c r="T15" s="10"/>
      <c r="U15" s="10"/>
      <c r="V15" s="24"/>
    </row>
    <row r="16">
      <c r="A16" s="25"/>
      <c r="B16" s="26"/>
      <c r="C16" s="26"/>
      <c r="D16" s="26"/>
      <c r="E16" s="28" t="s">
        <v>20</v>
      </c>
      <c r="F16" s="29" t="s">
        <v>21</v>
      </c>
      <c r="G16" s="30"/>
      <c r="H16" s="30"/>
      <c r="I16" s="30"/>
      <c r="J16" s="30"/>
      <c r="K16" s="30"/>
      <c r="L16" s="30"/>
      <c r="M16" s="30"/>
      <c r="N16" s="30"/>
      <c r="O16" s="30"/>
      <c r="P16" s="30"/>
      <c r="Q16" s="30"/>
      <c r="R16" s="30"/>
      <c r="S16" s="30"/>
      <c r="T16" s="14"/>
      <c r="U16" s="14"/>
      <c r="V16" s="15"/>
    </row>
    <row r="17">
      <c r="A17" s="25"/>
      <c r="B17" s="26"/>
      <c r="C17" s="26"/>
      <c r="D17" s="26"/>
      <c r="E17" s="28" t="s">
        <v>22</v>
      </c>
      <c r="F17" s="29" t="s">
        <v>23</v>
      </c>
      <c r="G17" s="30"/>
      <c r="H17" s="30"/>
      <c r="I17" s="30"/>
      <c r="J17" s="30"/>
      <c r="K17" s="30"/>
      <c r="L17" s="30"/>
      <c r="M17" s="30"/>
      <c r="N17" s="30"/>
      <c r="O17" s="30"/>
      <c r="P17" s="30"/>
      <c r="Q17" s="30"/>
      <c r="R17" s="30"/>
      <c r="S17" s="30"/>
      <c r="T17" s="14"/>
      <c r="U17" s="14"/>
      <c r="V17" s="15"/>
    </row>
    <row r="18">
      <c r="A18" s="25"/>
      <c r="B18" s="26"/>
      <c r="C18" s="26"/>
      <c r="D18" s="26"/>
      <c r="E18" s="31" t="s">
        <v>24</v>
      </c>
      <c r="F18" s="32" t="s">
        <v>25</v>
      </c>
      <c r="G18" s="33"/>
      <c r="H18" s="33"/>
      <c r="I18" s="33"/>
      <c r="J18" s="33"/>
      <c r="K18" s="33"/>
      <c r="L18" s="33"/>
      <c r="M18" s="33"/>
      <c r="N18" s="33"/>
      <c r="O18" s="33"/>
      <c r="P18" s="33"/>
      <c r="Q18" s="33"/>
      <c r="R18" s="33"/>
      <c r="S18" s="33"/>
      <c r="T18" s="18"/>
      <c r="U18" s="18"/>
      <c r="V18" s="19"/>
    </row>
    <row r="19">
      <c r="A19" s="25"/>
      <c r="B19" s="26"/>
      <c r="C19" s="26"/>
      <c r="D19" s="26"/>
      <c r="E19" s="28" t="s">
        <v>26</v>
      </c>
      <c r="F19" s="29" t="s">
        <v>27</v>
      </c>
      <c r="G19" s="30"/>
      <c r="H19" s="30"/>
      <c r="I19" s="30"/>
      <c r="J19" s="30"/>
      <c r="K19" s="30"/>
      <c r="L19" s="30"/>
      <c r="M19" s="30"/>
      <c r="N19" s="30"/>
      <c r="O19" s="30"/>
      <c r="P19" s="30"/>
      <c r="Q19" s="30"/>
      <c r="R19" s="30"/>
      <c r="S19" s="30"/>
      <c r="T19" s="14"/>
      <c r="U19" s="14"/>
      <c r="V19" s="15"/>
    </row>
    <row r="20">
      <c r="A20" s="25"/>
      <c r="B20" s="26"/>
      <c r="C20" s="26"/>
      <c r="D20" s="26"/>
      <c r="E20" s="34" t="s">
        <v>28</v>
      </c>
      <c r="F20" s="29" t="s">
        <v>29</v>
      </c>
      <c r="G20" s="30"/>
      <c r="H20" s="30"/>
      <c r="I20" s="30"/>
      <c r="J20" s="30"/>
      <c r="K20" s="30"/>
      <c r="L20" s="30"/>
      <c r="M20" s="30"/>
      <c r="N20" s="30"/>
      <c r="O20" s="30"/>
      <c r="P20" s="30"/>
      <c r="Q20" s="30"/>
      <c r="R20" s="30"/>
      <c r="S20" s="30"/>
      <c r="T20" s="14"/>
      <c r="U20" s="14"/>
      <c r="V20" s="15"/>
    </row>
    <row r="21">
      <c r="A21" s="25"/>
      <c r="B21" s="26"/>
      <c r="C21" s="26"/>
      <c r="D21" s="26"/>
      <c r="E21" s="35" t="s">
        <v>30</v>
      </c>
      <c r="F21" s="36" t="s">
        <v>31</v>
      </c>
      <c r="G21" s="37"/>
      <c r="H21" s="37"/>
      <c r="I21" s="37"/>
      <c r="J21" s="37"/>
      <c r="K21" s="37"/>
      <c r="L21" s="37"/>
      <c r="M21" s="37"/>
      <c r="N21" s="37"/>
      <c r="O21" s="37"/>
      <c r="P21" s="37"/>
      <c r="Q21" s="37"/>
      <c r="R21" s="37"/>
      <c r="S21" s="37"/>
      <c r="T21" s="38"/>
      <c r="U21" s="38"/>
      <c r="V21" s="39"/>
    </row>
    <row r="22">
      <c r="A22" s="25"/>
      <c r="B22" s="26"/>
      <c r="C22" s="26"/>
      <c r="D22" s="26"/>
      <c r="E22" s="9"/>
      <c r="F22" s="26"/>
      <c r="G22" s="26"/>
      <c r="H22" s="10"/>
      <c r="I22" s="10"/>
      <c r="J22" s="10"/>
      <c r="K22" s="10"/>
      <c r="L22" s="10"/>
      <c r="M22" s="10"/>
      <c r="N22" s="10"/>
      <c r="O22" s="10"/>
      <c r="P22" s="10"/>
      <c r="Q22" s="10"/>
      <c r="R22" s="10"/>
      <c r="S22" s="10"/>
      <c r="T22" s="10"/>
      <c r="U22" s="10"/>
      <c r="V22" s="24"/>
    </row>
    <row r="23">
      <c r="A23" s="25"/>
      <c r="B23" s="26"/>
      <c r="C23" s="27" t="s">
        <v>32</v>
      </c>
      <c r="G23" s="26"/>
      <c r="H23" s="10"/>
      <c r="I23" s="10"/>
      <c r="J23" s="10"/>
      <c r="K23" s="10"/>
      <c r="L23" s="10"/>
      <c r="M23" s="10"/>
      <c r="N23" s="10"/>
      <c r="O23" s="10"/>
      <c r="P23" s="10"/>
      <c r="Q23" s="10"/>
      <c r="R23" s="10"/>
      <c r="S23" s="10"/>
      <c r="T23" s="10"/>
      <c r="U23" s="10"/>
      <c r="V23" s="24"/>
    </row>
    <row r="24">
      <c r="A24" s="25"/>
      <c r="B24" s="26"/>
      <c r="C24" s="26"/>
      <c r="D24" s="26"/>
      <c r="E24" s="28" t="s">
        <v>33</v>
      </c>
      <c r="F24" s="29" t="s">
        <v>34</v>
      </c>
      <c r="G24" s="30"/>
      <c r="H24" s="30"/>
      <c r="I24" s="30"/>
      <c r="J24" s="30"/>
      <c r="K24" s="30"/>
      <c r="L24" s="30"/>
      <c r="M24" s="30"/>
      <c r="N24" s="30"/>
      <c r="O24" s="30"/>
      <c r="P24" s="30"/>
      <c r="Q24" s="30"/>
      <c r="R24" s="30"/>
      <c r="S24" s="30"/>
      <c r="T24" s="14"/>
      <c r="U24" s="14"/>
      <c r="V24" s="15"/>
    </row>
    <row r="25">
      <c r="A25" s="25"/>
      <c r="B25" s="26"/>
      <c r="C25" s="26"/>
      <c r="D25" s="26"/>
      <c r="E25" s="31" t="s">
        <v>35</v>
      </c>
      <c r="F25" s="32" t="s">
        <v>36</v>
      </c>
      <c r="G25" s="33"/>
      <c r="H25" s="33"/>
      <c r="I25" s="33"/>
      <c r="J25" s="33"/>
      <c r="K25" s="33"/>
      <c r="L25" s="33"/>
      <c r="M25" s="33"/>
      <c r="N25" s="33"/>
      <c r="O25" s="33"/>
      <c r="P25" s="33"/>
      <c r="Q25" s="33"/>
      <c r="R25" s="33"/>
      <c r="S25" s="33"/>
      <c r="T25" s="18"/>
      <c r="U25" s="18"/>
      <c r="V25" s="19"/>
    </row>
    <row r="26">
      <c r="A26" s="25"/>
      <c r="B26" s="26"/>
      <c r="C26" s="26"/>
      <c r="D26" s="26"/>
      <c r="E26" s="28" t="s">
        <v>37</v>
      </c>
      <c r="F26" s="29" t="s">
        <v>38</v>
      </c>
      <c r="G26" s="30"/>
      <c r="H26" s="30"/>
      <c r="I26" s="30"/>
      <c r="J26" s="30"/>
      <c r="K26" s="30"/>
      <c r="L26" s="30"/>
      <c r="M26" s="30"/>
      <c r="N26" s="30"/>
      <c r="O26" s="30"/>
      <c r="P26" s="30"/>
      <c r="Q26" s="30"/>
      <c r="R26" s="30"/>
      <c r="S26" s="30"/>
      <c r="T26" s="14"/>
      <c r="U26" s="14"/>
      <c r="V26" s="15"/>
    </row>
    <row r="27">
      <c r="A27" s="25"/>
      <c r="B27" s="26"/>
      <c r="C27" s="26"/>
      <c r="D27" s="26"/>
      <c r="E27" s="31" t="s">
        <v>39</v>
      </c>
      <c r="F27" s="32" t="s">
        <v>40</v>
      </c>
      <c r="G27" s="33"/>
      <c r="H27" s="33"/>
      <c r="I27" s="33"/>
      <c r="J27" s="33"/>
      <c r="K27" s="33"/>
      <c r="L27" s="33"/>
      <c r="M27" s="33"/>
      <c r="N27" s="33"/>
      <c r="O27" s="33"/>
      <c r="P27" s="33"/>
      <c r="Q27" s="33"/>
      <c r="R27" s="33"/>
      <c r="S27" s="33"/>
      <c r="T27" s="18"/>
      <c r="U27" s="18"/>
      <c r="V27" s="19"/>
    </row>
    <row r="28">
      <c r="A28" s="25"/>
      <c r="B28" s="26"/>
      <c r="C28" s="26"/>
      <c r="D28" s="26"/>
      <c r="E28" s="31" t="s">
        <v>41</v>
      </c>
      <c r="F28" s="32" t="s">
        <v>42</v>
      </c>
      <c r="G28" s="33"/>
      <c r="H28" s="33"/>
      <c r="I28" s="33"/>
      <c r="J28" s="33"/>
      <c r="K28" s="33"/>
      <c r="L28" s="33"/>
      <c r="M28" s="33"/>
      <c r="N28" s="33"/>
      <c r="O28" s="33"/>
      <c r="P28" s="33"/>
      <c r="Q28" s="33"/>
      <c r="R28" s="33"/>
      <c r="S28" s="33"/>
      <c r="T28" s="18"/>
      <c r="U28" s="18"/>
      <c r="V28" s="19"/>
    </row>
    <row r="29">
      <c r="A29" s="25"/>
      <c r="B29" s="26"/>
      <c r="C29" s="26"/>
      <c r="D29" s="26"/>
      <c r="E29" s="28" t="s">
        <v>43</v>
      </c>
      <c r="F29" s="29" t="s">
        <v>44</v>
      </c>
      <c r="G29" s="30"/>
      <c r="H29" s="30"/>
      <c r="I29" s="30"/>
      <c r="J29" s="30"/>
      <c r="K29" s="30"/>
      <c r="L29" s="30"/>
      <c r="M29" s="30"/>
      <c r="N29" s="30"/>
      <c r="O29" s="30"/>
      <c r="P29" s="30"/>
      <c r="Q29" s="30"/>
      <c r="R29" s="30"/>
      <c r="S29" s="30"/>
      <c r="T29" s="14"/>
      <c r="U29" s="14"/>
      <c r="V29" s="15"/>
    </row>
    <row r="30">
      <c r="A30" s="25"/>
      <c r="B30" s="26"/>
      <c r="C30" s="26"/>
      <c r="D30" s="26"/>
      <c r="E30" s="35" t="s">
        <v>45</v>
      </c>
      <c r="F30" s="36" t="s">
        <v>46</v>
      </c>
      <c r="G30" s="37"/>
      <c r="H30" s="37"/>
      <c r="I30" s="37"/>
      <c r="J30" s="37"/>
      <c r="K30" s="37"/>
      <c r="L30" s="37"/>
      <c r="M30" s="37"/>
      <c r="N30" s="37"/>
      <c r="O30" s="37"/>
      <c r="P30" s="37"/>
      <c r="Q30" s="37"/>
      <c r="R30" s="37"/>
      <c r="S30" s="37"/>
      <c r="T30" s="38"/>
      <c r="U30" s="38"/>
      <c r="V30" s="39"/>
    </row>
    <row r="31">
      <c r="A31" s="25"/>
      <c r="B31" s="26"/>
      <c r="C31" s="26"/>
      <c r="D31" s="26"/>
      <c r="E31" s="26"/>
      <c r="F31" s="26"/>
      <c r="G31" s="26"/>
      <c r="H31" s="10"/>
      <c r="I31" s="10"/>
      <c r="J31" s="10"/>
      <c r="K31" s="10"/>
      <c r="L31" s="10"/>
      <c r="M31" s="10"/>
      <c r="N31" s="10"/>
      <c r="O31" s="10"/>
      <c r="P31" s="10"/>
      <c r="Q31" s="10"/>
      <c r="R31" s="10"/>
      <c r="S31" s="10"/>
      <c r="T31" s="10"/>
      <c r="U31" s="10"/>
      <c r="V31" s="24"/>
    </row>
    <row r="32">
      <c r="A32" s="5" t="s">
        <v>47</v>
      </c>
      <c r="B32" s="6"/>
      <c r="C32" s="6"/>
      <c r="D32" s="6"/>
      <c r="E32" s="6"/>
      <c r="F32" s="6"/>
      <c r="G32" s="6"/>
      <c r="H32" s="7"/>
      <c r="I32" s="7"/>
      <c r="J32" s="7"/>
      <c r="K32" s="7"/>
      <c r="L32" s="7"/>
      <c r="M32" s="7"/>
      <c r="N32" s="7"/>
      <c r="O32" s="7"/>
      <c r="P32" s="7"/>
      <c r="Q32" s="7"/>
      <c r="R32" s="7"/>
      <c r="S32" s="7"/>
      <c r="T32" s="7"/>
      <c r="U32" s="7"/>
      <c r="V32" s="8"/>
    </row>
    <row r="33">
      <c r="A33" s="11"/>
      <c r="B33" s="10"/>
      <c r="C33" s="10"/>
      <c r="D33" s="10"/>
      <c r="E33" s="10"/>
      <c r="F33" s="10"/>
      <c r="G33" s="10"/>
      <c r="H33" s="10"/>
      <c r="I33" s="10"/>
      <c r="J33" s="10"/>
      <c r="K33" s="10"/>
      <c r="L33" s="10"/>
      <c r="M33" s="10"/>
      <c r="N33" s="10"/>
      <c r="O33" s="10"/>
      <c r="P33" s="10"/>
      <c r="Q33" s="10"/>
      <c r="R33" s="10"/>
      <c r="S33" s="10"/>
      <c r="T33" s="10"/>
      <c r="U33" s="10"/>
      <c r="V33" s="24"/>
    </row>
    <row r="34">
      <c r="A34" s="11"/>
      <c r="B34" s="10"/>
      <c r="C34" s="40" t="s">
        <v>48</v>
      </c>
      <c r="F34" s="10"/>
      <c r="G34" s="10"/>
      <c r="H34" s="10"/>
      <c r="I34" s="10"/>
      <c r="J34" s="10"/>
      <c r="K34" s="10"/>
      <c r="L34" s="10"/>
      <c r="M34" s="10"/>
      <c r="N34" s="10"/>
      <c r="O34" s="10"/>
      <c r="P34" s="10"/>
      <c r="Q34" s="10"/>
      <c r="R34" s="10"/>
      <c r="S34" s="10"/>
      <c r="T34" s="10"/>
      <c r="U34" s="10"/>
      <c r="V34" s="24"/>
    </row>
    <row r="35">
      <c r="A35" s="11"/>
      <c r="B35" s="10"/>
      <c r="C35" s="10"/>
      <c r="D35" s="10"/>
      <c r="E35" s="41" t="s">
        <v>49</v>
      </c>
      <c r="F35" s="42" t="s">
        <v>50</v>
      </c>
      <c r="G35" s="14"/>
      <c r="H35" s="14"/>
      <c r="I35" s="14"/>
      <c r="J35" s="14"/>
      <c r="K35" s="14"/>
      <c r="L35" s="14"/>
      <c r="M35" s="14"/>
      <c r="N35" s="14"/>
      <c r="O35" s="14"/>
      <c r="P35" s="14"/>
      <c r="Q35" s="14"/>
      <c r="R35" s="14"/>
      <c r="S35" s="14"/>
      <c r="T35" s="14"/>
      <c r="U35" s="14"/>
      <c r="V35" s="15"/>
    </row>
    <row r="36">
      <c r="A36" s="11"/>
      <c r="B36" s="10"/>
      <c r="C36" s="10"/>
      <c r="D36" s="10"/>
      <c r="E36" s="43" t="s">
        <v>51</v>
      </c>
      <c r="F36" s="44" t="s">
        <v>52</v>
      </c>
      <c r="G36" s="18"/>
      <c r="H36" s="18"/>
      <c r="I36" s="18"/>
      <c r="J36" s="18"/>
      <c r="K36" s="18"/>
      <c r="L36" s="18"/>
      <c r="M36" s="18"/>
      <c r="N36" s="18"/>
      <c r="O36" s="18"/>
      <c r="P36" s="18"/>
      <c r="Q36" s="18"/>
      <c r="R36" s="18"/>
      <c r="S36" s="18"/>
      <c r="T36" s="18"/>
      <c r="U36" s="18"/>
      <c r="V36" s="19"/>
    </row>
    <row r="37">
      <c r="A37" s="11"/>
      <c r="B37" s="10"/>
      <c r="C37" s="10"/>
      <c r="D37" s="10"/>
      <c r="E37" s="43" t="s">
        <v>53</v>
      </c>
      <c r="F37" s="44" t="s">
        <v>54</v>
      </c>
      <c r="G37" s="18"/>
      <c r="H37" s="18"/>
      <c r="I37" s="18"/>
      <c r="J37" s="18"/>
      <c r="K37" s="18"/>
      <c r="L37" s="18"/>
      <c r="M37" s="18"/>
      <c r="N37" s="18"/>
      <c r="O37" s="18"/>
      <c r="P37" s="18"/>
      <c r="Q37" s="18"/>
      <c r="R37" s="18"/>
      <c r="S37" s="18"/>
      <c r="T37" s="18"/>
      <c r="U37" s="18"/>
      <c r="V37" s="19"/>
    </row>
    <row r="38">
      <c r="A38" s="11"/>
      <c r="B38" s="10"/>
      <c r="C38" s="10"/>
      <c r="D38" s="10"/>
      <c r="E38" s="43" t="s">
        <v>55</v>
      </c>
      <c r="F38" s="44" t="s">
        <v>56</v>
      </c>
      <c r="G38" s="18"/>
      <c r="H38" s="18"/>
      <c r="I38" s="18"/>
      <c r="J38" s="18"/>
      <c r="K38" s="18"/>
      <c r="L38" s="18"/>
      <c r="M38" s="18"/>
      <c r="N38" s="18"/>
      <c r="O38" s="18"/>
      <c r="P38" s="18"/>
      <c r="Q38" s="18"/>
      <c r="R38" s="18"/>
      <c r="S38" s="18"/>
      <c r="T38" s="18"/>
      <c r="U38" s="18"/>
      <c r="V38" s="19"/>
    </row>
    <row r="39">
      <c r="A39" s="11"/>
      <c r="B39" s="10"/>
      <c r="C39" s="10"/>
      <c r="D39" s="10"/>
      <c r="E39" s="43" t="s">
        <v>57</v>
      </c>
      <c r="F39" s="44" t="s">
        <v>58</v>
      </c>
      <c r="G39" s="18"/>
      <c r="H39" s="18"/>
      <c r="I39" s="18"/>
      <c r="J39" s="18"/>
      <c r="K39" s="18"/>
      <c r="L39" s="18"/>
      <c r="M39" s="18"/>
      <c r="N39" s="18"/>
      <c r="O39" s="18"/>
      <c r="P39" s="18"/>
      <c r="Q39" s="18"/>
      <c r="R39" s="18"/>
      <c r="S39" s="18"/>
      <c r="T39" s="18"/>
      <c r="U39" s="18"/>
      <c r="V39" s="19"/>
    </row>
    <row r="40">
      <c r="A40" s="11"/>
      <c r="B40" s="10"/>
      <c r="C40" s="10"/>
      <c r="D40" s="10"/>
      <c r="E40" s="43" t="s">
        <v>59</v>
      </c>
      <c r="F40" s="44" t="s">
        <v>60</v>
      </c>
      <c r="G40" s="18"/>
      <c r="H40" s="18"/>
      <c r="I40" s="18"/>
      <c r="J40" s="18"/>
      <c r="K40" s="18"/>
      <c r="L40" s="18"/>
      <c r="M40" s="18"/>
      <c r="N40" s="18"/>
      <c r="O40" s="18"/>
      <c r="P40" s="18"/>
      <c r="Q40" s="18"/>
      <c r="R40" s="18"/>
      <c r="S40" s="18"/>
      <c r="T40" s="18"/>
      <c r="U40" s="18"/>
      <c r="V40" s="19"/>
    </row>
    <row r="41">
      <c r="A41" s="11"/>
      <c r="B41" s="10"/>
      <c r="C41" s="10"/>
      <c r="D41" s="10"/>
      <c r="E41" s="43" t="s">
        <v>61</v>
      </c>
      <c r="F41" s="44" t="s">
        <v>62</v>
      </c>
      <c r="G41" s="18"/>
      <c r="H41" s="18"/>
      <c r="I41" s="18"/>
      <c r="J41" s="18"/>
      <c r="K41" s="18"/>
      <c r="L41" s="18"/>
      <c r="M41" s="18"/>
      <c r="N41" s="18"/>
      <c r="O41" s="18"/>
      <c r="P41" s="18"/>
      <c r="Q41" s="18"/>
      <c r="R41" s="18"/>
      <c r="S41" s="18"/>
      <c r="T41" s="18"/>
      <c r="U41" s="18"/>
      <c r="V41" s="19"/>
    </row>
    <row r="42">
      <c r="A42" s="11"/>
      <c r="B42" s="10"/>
      <c r="C42" s="10"/>
      <c r="D42" s="10"/>
      <c r="E42" s="43" t="s">
        <v>63</v>
      </c>
      <c r="F42" s="44" t="s">
        <v>64</v>
      </c>
      <c r="G42" s="18"/>
      <c r="H42" s="18"/>
      <c r="I42" s="18"/>
      <c r="J42" s="18"/>
      <c r="K42" s="18"/>
      <c r="L42" s="18"/>
      <c r="M42" s="18"/>
      <c r="N42" s="18"/>
      <c r="O42" s="18"/>
      <c r="P42" s="18"/>
      <c r="Q42" s="18"/>
      <c r="R42" s="18"/>
      <c r="S42" s="18"/>
      <c r="T42" s="18"/>
      <c r="U42" s="18"/>
      <c r="V42" s="19"/>
    </row>
    <row r="43">
      <c r="A43" s="11"/>
      <c r="B43" s="10"/>
      <c r="C43" s="10"/>
      <c r="D43" s="10"/>
      <c r="E43" s="45" t="s">
        <v>65</v>
      </c>
      <c r="F43" s="46" t="s">
        <v>66</v>
      </c>
      <c r="G43" s="22"/>
      <c r="H43" s="22"/>
      <c r="I43" s="22"/>
      <c r="J43" s="22"/>
      <c r="K43" s="22"/>
      <c r="L43" s="22"/>
      <c r="M43" s="22"/>
      <c r="N43" s="22"/>
      <c r="O43" s="22"/>
      <c r="P43" s="22"/>
      <c r="Q43" s="22"/>
      <c r="R43" s="22"/>
      <c r="S43" s="22"/>
      <c r="T43" s="22"/>
      <c r="U43" s="22"/>
      <c r="V43" s="23"/>
    </row>
    <row r="44">
      <c r="A44" s="11"/>
      <c r="B44" s="10"/>
      <c r="C44" s="10"/>
      <c r="D44" s="10"/>
      <c r="E44" s="10"/>
      <c r="F44" s="10"/>
      <c r="G44" s="10"/>
      <c r="H44" s="10"/>
      <c r="I44" s="10"/>
      <c r="J44" s="10"/>
      <c r="K44" s="10"/>
      <c r="L44" s="10"/>
      <c r="M44" s="10"/>
      <c r="N44" s="10"/>
      <c r="O44" s="10"/>
      <c r="P44" s="10"/>
      <c r="Q44" s="10"/>
      <c r="R44" s="10"/>
      <c r="S44" s="10"/>
      <c r="T44" s="10"/>
      <c r="U44" s="10"/>
      <c r="V44" s="24"/>
    </row>
    <row r="45">
      <c r="A45" s="11"/>
      <c r="B45" s="10"/>
      <c r="C45" s="40" t="s">
        <v>67</v>
      </c>
      <c r="F45" s="10"/>
      <c r="G45" s="10"/>
      <c r="H45" s="10"/>
      <c r="I45" s="10"/>
      <c r="J45" s="10"/>
      <c r="K45" s="10"/>
      <c r="L45" s="10"/>
      <c r="M45" s="10"/>
      <c r="N45" s="10"/>
      <c r="O45" s="10"/>
      <c r="P45" s="10"/>
      <c r="Q45" s="10"/>
      <c r="R45" s="10"/>
      <c r="S45" s="10"/>
      <c r="T45" s="10"/>
      <c r="U45" s="10"/>
      <c r="V45" s="24"/>
    </row>
    <row r="46">
      <c r="A46" s="11"/>
      <c r="B46" s="10"/>
      <c r="C46" s="10"/>
      <c r="D46" s="10"/>
      <c r="E46" s="10"/>
      <c r="F46" s="10"/>
      <c r="G46" s="10"/>
      <c r="H46" s="10"/>
      <c r="I46" s="10"/>
      <c r="J46" s="10"/>
      <c r="K46" s="10"/>
      <c r="L46" s="10"/>
      <c r="M46" s="10"/>
      <c r="N46" s="10"/>
      <c r="O46" s="10"/>
      <c r="P46" s="10"/>
      <c r="Q46" s="10"/>
      <c r="R46" s="10"/>
      <c r="S46" s="10"/>
      <c r="T46" s="10"/>
      <c r="U46" s="10"/>
      <c r="V46" s="24"/>
    </row>
    <row r="47">
      <c r="A47" s="11"/>
      <c r="B47" s="10"/>
      <c r="C47" s="10"/>
      <c r="D47" s="10"/>
      <c r="E47" s="41" t="s">
        <v>68</v>
      </c>
      <c r="F47" s="42" t="s">
        <v>69</v>
      </c>
      <c r="G47" s="14"/>
      <c r="H47" s="14"/>
      <c r="I47" s="14"/>
      <c r="J47" s="14"/>
      <c r="K47" s="14"/>
      <c r="L47" s="14"/>
      <c r="M47" s="14"/>
      <c r="N47" s="14"/>
      <c r="O47" s="14"/>
      <c r="P47" s="14"/>
      <c r="Q47" s="14"/>
      <c r="R47" s="14"/>
      <c r="S47" s="14"/>
      <c r="T47" s="14"/>
      <c r="U47" s="14"/>
      <c r="V47" s="15"/>
    </row>
    <row r="48">
      <c r="A48" s="11"/>
      <c r="B48" s="10"/>
      <c r="C48" s="10"/>
      <c r="D48" s="10"/>
      <c r="E48" s="43" t="s">
        <v>70</v>
      </c>
      <c r="F48" s="44" t="s">
        <v>71</v>
      </c>
      <c r="G48" s="18"/>
      <c r="H48" s="18"/>
      <c r="I48" s="18"/>
      <c r="J48" s="18"/>
      <c r="K48" s="18"/>
      <c r="L48" s="18"/>
      <c r="M48" s="18"/>
      <c r="N48" s="18"/>
      <c r="O48" s="18"/>
      <c r="P48" s="18"/>
      <c r="Q48" s="18"/>
      <c r="R48" s="18"/>
      <c r="S48" s="18"/>
      <c r="T48" s="18"/>
      <c r="U48" s="18"/>
      <c r="V48" s="19"/>
    </row>
    <row r="49">
      <c r="A49" s="11"/>
      <c r="B49" s="10"/>
      <c r="C49" s="10"/>
      <c r="D49" s="10"/>
      <c r="E49" s="43" t="s">
        <v>72</v>
      </c>
      <c r="F49" s="44" t="s">
        <v>73</v>
      </c>
      <c r="G49" s="18"/>
      <c r="H49" s="18"/>
      <c r="I49" s="18"/>
      <c r="J49" s="18"/>
      <c r="K49" s="18"/>
      <c r="L49" s="18"/>
      <c r="M49" s="18"/>
      <c r="N49" s="18"/>
      <c r="O49" s="18"/>
      <c r="P49" s="18"/>
      <c r="Q49" s="18"/>
      <c r="R49" s="18"/>
      <c r="S49" s="18"/>
      <c r="T49" s="18"/>
      <c r="U49" s="18"/>
      <c r="V49" s="19"/>
    </row>
    <row r="50">
      <c r="A50" s="11"/>
      <c r="B50" s="10"/>
      <c r="C50" s="10"/>
      <c r="D50" s="10"/>
      <c r="E50" s="43" t="s">
        <v>74</v>
      </c>
      <c r="F50" s="44" t="s">
        <v>75</v>
      </c>
      <c r="G50" s="18"/>
      <c r="H50" s="18"/>
      <c r="I50" s="18"/>
      <c r="J50" s="18"/>
      <c r="K50" s="18"/>
      <c r="L50" s="18"/>
      <c r="M50" s="18"/>
      <c r="N50" s="18"/>
      <c r="O50" s="18"/>
      <c r="P50" s="18"/>
      <c r="Q50" s="18"/>
      <c r="R50" s="18"/>
      <c r="S50" s="18"/>
      <c r="T50" s="18"/>
      <c r="U50" s="18"/>
      <c r="V50" s="19"/>
    </row>
    <row r="51">
      <c r="A51" s="11"/>
      <c r="B51" s="10"/>
      <c r="C51" s="10"/>
      <c r="D51" s="10"/>
      <c r="E51" s="45" t="s">
        <v>76</v>
      </c>
      <c r="F51" s="46" t="s">
        <v>77</v>
      </c>
      <c r="G51" s="22"/>
      <c r="H51" s="22"/>
      <c r="I51" s="22"/>
      <c r="J51" s="22"/>
      <c r="K51" s="22"/>
      <c r="L51" s="22"/>
      <c r="M51" s="22"/>
      <c r="N51" s="22"/>
      <c r="O51" s="22"/>
      <c r="P51" s="22"/>
      <c r="Q51" s="22"/>
      <c r="R51" s="22"/>
      <c r="S51" s="22"/>
      <c r="T51" s="22"/>
      <c r="U51" s="22"/>
      <c r="V51" s="23"/>
    </row>
    <row r="52">
      <c r="A52" s="11"/>
      <c r="B52" s="10"/>
      <c r="C52" s="10"/>
      <c r="D52" s="10"/>
      <c r="E52" s="10"/>
      <c r="F52" s="10"/>
      <c r="G52" s="10"/>
      <c r="H52" s="10"/>
      <c r="I52" s="10"/>
      <c r="J52" s="10"/>
      <c r="K52" s="10"/>
      <c r="L52" s="10"/>
      <c r="M52" s="10"/>
      <c r="N52" s="10"/>
      <c r="O52" s="10"/>
      <c r="P52" s="10"/>
      <c r="Q52" s="10"/>
      <c r="R52" s="10"/>
      <c r="S52" s="10"/>
      <c r="T52" s="10"/>
      <c r="U52" s="10"/>
      <c r="V52" s="24"/>
    </row>
    <row r="53">
      <c r="A53" s="5" t="s">
        <v>78</v>
      </c>
      <c r="B53" s="6"/>
      <c r="C53" s="6"/>
      <c r="D53" s="6"/>
      <c r="E53" s="6"/>
      <c r="F53" s="6"/>
      <c r="G53" s="6"/>
      <c r="H53" s="7"/>
      <c r="I53" s="7"/>
      <c r="J53" s="7"/>
      <c r="K53" s="7"/>
      <c r="L53" s="7"/>
      <c r="M53" s="7"/>
      <c r="N53" s="7"/>
      <c r="O53" s="7"/>
      <c r="P53" s="7"/>
      <c r="Q53" s="7"/>
      <c r="R53" s="7"/>
      <c r="S53" s="7"/>
      <c r="T53" s="7"/>
      <c r="U53" s="7"/>
      <c r="V53" s="8"/>
    </row>
    <row r="54">
      <c r="A54" s="47"/>
      <c r="B54" s="10"/>
      <c r="D54" s="10"/>
      <c r="E54" s="48"/>
      <c r="F54" s="10"/>
      <c r="G54" s="10"/>
      <c r="H54" s="10"/>
      <c r="I54" s="10"/>
      <c r="J54" s="10"/>
      <c r="K54" s="10"/>
      <c r="L54" s="10"/>
      <c r="M54" s="10"/>
      <c r="N54" s="10"/>
      <c r="O54" s="10"/>
      <c r="P54" s="10"/>
      <c r="Q54" s="10"/>
      <c r="R54" s="10"/>
      <c r="S54" s="10"/>
      <c r="T54" s="10"/>
      <c r="U54" s="10"/>
      <c r="V54" s="24"/>
    </row>
    <row r="55">
      <c r="A55" s="47"/>
      <c r="B55" s="10"/>
      <c r="C55" s="49" t="s">
        <v>79</v>
      </c>
      <c r="G55" s="10"/>
      <c r="H55" s="10"/>
      <c r="I55" s="10"/>
      <c r="J55" s="10"/>
      <c r="K55" s="10"/>
      <c r="L55" s="10"/>
      <c r="M55" s="10"/>
      <c r="N55" s="10"/>
      <c r="O55" s="10"/>
      <c r="P55" s="10"/>
      <c r="Q55" s="10"/>
      <c r="R55" s="10"/>
      <c r="S55" s="10"/>
      <c r="T55" s="10"/>
      <c r="U55" s="10"/>
      <c r="V55" s="24"/>
    </row>
    <row r="56">
      <c r="A56" s="47"/>
      <c r="B56" s="10"/>
      <c r="D56" s="10"/>
      <c r="E56" s="50" t="s">
        <v>80</v>
      </c>
      <c r="F56" s="14"/>
      <c r="G56" s="14"/>
      <c r="H56" s="14"/>
      <c r="I56" s="14"/>
      <c r="J56" s="14"/>
      <c r="K56" s="14"/>
      <c r="L56" s="14"/>
      <c r="M56" s="14"/>
      <c r="N56" s="14"/>
      <c r="O56" s="14"/>
      <c r="P56" s="14"/>
      <c r="Q56" s="14"/>
      <c r="R56" s="14"/>
      <c r="S56" s="14"/>
      <c r="T56" s="14"/>
      <c r="U56" s="14"/>
      <c r="V56" s="15"/>
    </row>
    <row r="57">
      <c r="A57" s="51"/>
      <c r="B57" s="10"/>
      <c r="D57" s="10"/>
      <c r="E57" s="52" t="s">
        <v>81</v>
      </c>
      <c r="F57" s="18"/>
      <c r="G57" s="18"/>
      <c r="H57" s="18"/>
      <c r="I57" s="18"/>
      <c r="J57" s="18"/>
      <c r="K57" s="18"/>
      <c r="L57" s="18"/>
      <c r="M57" s="18"/>
      <c r="N57" s="18"/>
      <c r="O57" s="18"/>
      <c r="P57" s="18"/>
      <c r="Q57" s="18"/>
      <c r="R57" s="18"/>
      <c r="S57" s="18"/>
      <c r="T57" s="18"/>
      <c r="U57" s="18"/>
      <c r="V57" s="19"/>
    </row>
    <row r="58">
      <c r="A58" s="53"/>
      <c r="B58" s="10"/>
      <c r="D58" s="10"/>
      <c r="E58" s="50" t="s">
        <v>82</v>
      </c>
      <c r="F58" s="14"/>
      <c r="G58" s="14"/>
      <c r="H58" s="14"/>
      <c r="I58" s="14"/>
      <c r="J58" s="14"/>
      <c r="K58" s="14"/>
      <c r="L58" s="14"/>
      <c r="M58" s="14"/>
      <c r="N58" s="14"/>
      <c r="O58" s="14"/>
      <c r="P58" s="14"/>
      <c r="Q58" s="14"/>
      <c r="R58" s="14"/>
      <c r="S58" s="14"/>
      <c r="T58" s="14"/>
      <c r="U58" s="14"/>
      <c r="V58" s="15"/>
    </row>
    <row r="59">
      <c r="A59" s="53"/>
      <c r="B59" s="10"/>
      <c r="D59" s="10"/>
      <c r="E59" s="54" t="s">
        <v>83</v>
      </c>
      <c r="F59" s="14"/>
      <c r="G59" s="14"/>
      <c r="H59" s="14"/>
      <c r="I59" s="14"/>
      <c r="J59" s="14"/>
      <c r="K59" s="14"/>
      <c r="L59" s="14"/>
      <c r="M59" s="14"/>
      <c r="N59" s="14"/>
      <c r="O59" s="14"/>
      <c r="P59" s="14"/>
      <c r="Q59" s="14"/>
      <c r="R59" s="14"/>
      <c r="S59" s="14"/>
      <c r="T59" s="14"/>
      <c r="U59" s="14"/>
      <c r="V59" s="15"/>
    </row>
    <row r="60">
      <c r="A60" s="53"/>
      <c r="B60" s="10"/>
      <c r="D60" s="10"/>
      <c r="E60" s="50" t="s">
        <v>84</v>
      </c>
      <c r="F60" s="14"/>
      <c r="G60" s="14"/>
      <c r="H60" s="14"/>
      <c r="I60" s="14"/>
      <c r="J60" s="14"/>
      <c r="K60" s="14"/>
      <c r="L60" s="14"/>
      <c r="M60" s="14"/>
      <c r="N60" s="14"/>
      <c r="O60" s="14"/>
      <c r="P60" s="14"/>
      <c r="Q60" s="14"/>
      <c r="R60" s="14"/>
      <c r="S60" s="14"/>
      <c r="T60" s="14"/>
      <c r="U60" s="14"/>
      <c r="V60" s="15"/>
    </row>
    <row r="61">
      <c r="A61" s="53"/>
      <c r="B61" s="10"/>
      <c r="D61" s="10"/>
      <c r="E61" s="50" t="s">
        <v>85</v>
      </c>
      <c r="F61" s="14"/>
      <c r="G61" s="14"/>
      <c r="H61" s="14"/>
      <c r="I61" s="14"/>
      <c r="J61" s="14"/>
      <c r="K61" s="14"/>
      <c r="L61" s="14"/>
      <c r="M61" s="14"/>
      <c r="N61" s="14"/>
      <c r="O61" s="14"/>
      <c r="P61" s="14"/>
      <c r="Q61" s="14"/>
      <c r="R61" s="14"/>
      <c r="S61" s="14"/>
      <c r="T61" s="14"/>
      <c r="U61" s="14"/>
      <c r="V61" s="15"/>
    </row>
    <row r="62">
      <c r="A62" s="53"/>
      <c r="B62" s="10"/>
      <c r="D62" s="10"/>
      <c r="E62" s="55" t="s">
        <v>86</v>
      </c>
      <c r="F62" s="38"/>
      <c r="G62" s="38"/>
      <c r="H62" s="38"/>
      <c r="I62" s="38"/>
      <c r="J62" s="38"/>
      <c r="K62" s="38"/>
      <c r="L62" s="38"/>
      <c r="M62" s="38"/>
      <c r="N62" s="38"/>
      <c r="O62" s="38"/>
      <c r="P62" s="38"/>
      <c r="Q62" s="38"/>
      <c r="R62" s="38"/>
      <c r="S62" s="38"/>
      <c r="T62" s="38"/>
      <c r="U62" s="38"/>
      <c r="V62" s="39"/>
    </row>
    <row r="63">
      <c r="A63" s="53"/>
      <c r="B63" s="10"/>
      <c r="D63" s="10"/>
      <c r="E63" s="56" t="s">
        <v>87</v>
      </c>
      <c r="F63" s="10"/>
      <c r="G63" s="10"/>
      <c r="H63" s="10"/>
      <c r="I63" s="10"/>
      <c r="J63" s="10"/>
      <c r="K63" s="10"/>
      <c r="L63" s="10"/>
      <c r="M63" s="10"/>
      <c r="N63" s="10"/>
      <c r="O63" s="10"/>
      <c r="P63" s="10"/>
      <c r="Q63" s="10"/>
      <c r="R63" s="10"/>
      <c r="S63" s="10"/>
      <c r="T63" s="10"/>
      <c r="U63" s="10"/>
      <c r="V63" s="24"/>
    </row>
    <row r="64">
      <c r="A64" s="53"/>
      <c r="B64" s="10"/>
      <c r="D64" s="10"/>
      <c r="E64" s="56" t="s">
        <v>88</v>
      </c>
      <c r="F64" s="10"/>
      <c r="G64" s="10"/>
      <c r="H64" s="10"/>
      <c r="I64" s="10"/>
      <c r="J64" s="10"/>
      <c r="K64" s="10"/>
      <c r="L64" s="10"/>
      <c r="M64" s="10"/>
      <c r="N64" s="10"/>
      <c r="O64" s="10"/>
      <c r="P64" s="10"/>
      <c r="Q64" s="10"/>
      <c r="R64" s="10"/>
      <c r="S64" s="10"/>
      <c r="T64" s="10"/>
      <c r="U64" s="10"/>
      <c r="V64" s="24"/>
    </row>
    <row r="65">
      <c r="A65" s="53"/>
      <c r="B65" s="10"/>
      <c r="D65" s="10"/>
      <c r="E65" s="57"/>
      <c r="F65" s="10"/>
      <c r="G65" s="10"/>
      <c r="H65" s="10"/>
      <c r="I65" s="10"/>
      <c r="J65" s="10"/>
      <c r="K65" s="10"/>
      <c r="L65" s="10"/>
      <c r="M65" s="10"/>
      <c r="N65" s="10"/>
      <c r="O65" s="10"/>
      <c r="P65" s="10"/>
      <c r="Q65" s="10"/>
      <c r="R65" s="10"/>
      <c r="S65" s="10"/>
      <c r="T65" s="10"/>
      <c r="U65" s="10"/>
      <c r="V65" s="24"/>
    </row>
    <row r="66">
      <c r="A66" s="53"/>
      <c r="B66" s="10"/>
      <c r="C66" s="49" t="s">
        <v>89</v>
      </c>
      <c r="G66" s="10"/>
      <c r="H66" s="10"/>
      <c r="I66" s="10"/>
      <c r="J66" s="10"/>
      <c r="K66" s="10"/>
      <c r="L66" s="10"/>
      <c r="M66" s="10"/>
      <c r="N66" s="10"/>
      <c r="O66" s="10"/>
      <c r="P66" s="10"/>
      <c r="Q66" s="10"/>
      <c r="R66" s="10"/>
      <c r="S66" s="10"/>
      <c r="T66" s="10"/>
      <c r="U66" s="10"/>
      <c r="V66" s="24"/>
    </row>
    <row r="67">
      <c r="A67" s="58"/>
      <c r="B67" s="10"/>
      <c r="D67" s="10"/>
      <c r="E67" s="59" t="s">
        <v>90</v>
      </c>
      <c r="F67" s="14"/>
      <c r="G67" s="14"/>
      <c r="H67" s="14"/>
      <c r="I67" s="14"/>
      <c r="J67" s="14"/>
      <c r="K67" s="14"/>
      <c r="L67" s="14"/>
      <c r="M67" s="14"/>
      <c r="N67" s="14"/>
      <c r="O67" s="14"/>
      <c r="P67" s="14"/>
      <c r="Q67" s="14"/>
      <c r="R67" s="14"/>
      <c r="S67" s="14"/>
      <c r="T67" s="14"/>
      <c r="U67" s="14"/>
      <c r="V67" s="15"/>
    </row>
    <row r="68">
      <c r="A68" s="53"/>
      <c r="B68" s="10"/>
      <c r="D68" s="10"/>
      <c r="E68" s="60" t="s">
        <v>91</v>
      </c>
      <c r="F68" s="18"/>
      <c r="G68" s="18"/>
      <c r="H68" s="18"/>
      <c r="I68" s="61"/>
      <c r="J68" s="61"/>
      <c r="K68" s="61"/>
      <c r="L68" s="61"/>
      <c r="M68" s="61"/>
      <c r="N68" s="61"/>
      <c r="O68" s="61"/>
      <c r="P68" s="61"/>
      <c r="Q68" s="61"/>
      <c r="R68" s="61"/>
      <c r="S68" s="61"/>
      <c r="T68" s="61"/>
      <c r="U68" s="61"/>
      <c r="V68" s="62"/>
    </row>
    <row r="69">
      <c r="A69" s="53"/>
      <c r="B69" s="10"/>
      <c r="D69" s="10"/>
      <c r="E69" s="60" t="s">
        <v>92</v>
      </c>
      <c r="F69" s="18"/>
      <c r="G69" s="18"/>
      <c r="H69" s="18"/>
      <c r="I69" s="18"/>
      <c r="J69" s="18"/>
      <c r="K69" s="18"/>
      <c r="L69" s="18"/>
      <c r="M69" s="18"/>
      <c r="N69" s="18"/>
      <c r="O69" s="18"/>
      <c r="P69" s="18"/>
      <c r="Q69" s="18"/>
      <c r="R69" s="18"/>
      <c r="S69" s="18"/>
      <c r="T69" s="18"/>
      <c r="U69" s="18"/>
      <c r="V69" s="19"/>
    </row>
    <row r="70">
      <c r="A70" s="63"/>
      <c r="B70" s="64"/>
      <c r="C70" s="64"/>
      <c r="D70" s="64"/>
      <c r="E70" s="65" t="s">
        <v>93</v>
      </c>
      <c r="F70" s="66"/>
      <c r="G70" s="64"/>
      <c r="H70" s="64"/>
      <c r="I70" s="64"/>
      <c r="J70" s="64"/>
      <c r="K70" s="64"/>
      <c r="L70" s="64"/>
      <c r="M70" s="64"/>
      <c r="N70" s="64"/>
      <c r="O70" s="64"/>
      <c r="P70" s="64"/>
      <c r="Q70" s="64"/>
      <c r="R70" s="64"/>
      <c r="S70" s="64"/>
      <c r="T70" s="64"/>
      <c r="U70" s="64"/>
      <c r="V70" s="67"/>
    </row>
    <row r="71">
      <c r="A71" s="53"/>
      <c r="B71" s="10"/>
      <c r="C71" s="10"/>
      <c r="D71" s="10"/>
      <c r="E71" s="68" t="s">
        <v>94</v>
      </c>
      <c r="F71" s="61"/>
      <c r="G71" s="61"/>
      <c r="H71" s="61"/>
      <c r="I71" s="61"/>
      <c r="J71" s="61"/>
      <c r="K71" s="61"/>
      <c r="L71" s="61"/>
      <c r="M71" s="61"/>
      <c r="N71" s="61"/>
      <c r="O71" s="61"/>
      <c r="P71" s="61"/>
      <c r="Q71" s="61"/>
      <c r="R71" s="61"/>
      <c r="S71" s="61"/>
      <c r="T71" s="61"/>
      <c r="U71" s="61"/>
      <c r="V71" s="62"/>
    </row>
    <row r="72">
      <c r="A72" s="53"/>
      <c r="B72" s="10"/>
      <c r="C72" s="10"/>
      <c r="D72" s="10"/>
      <c r="E72" s="69" t="s">
        <v>95</v>
      </c>
      <c r="F72" s="22"/>
      <c r="G72" s="22"/>
      <c r="H72" s="22"/>
      <c r="I72" s="22"/>
      <c r="J72" s="22"/>
      <c r="K72" s="22"/>
      <c r="L72" s="22"/>
      <c r="M72" s="22"/>
      <c r="N72" s="22"/>
      <c r="O72" s="22"/>
      <c r="P72" s="22"/>
      <c r="Q72" s="22"/>
      <c r="R72" s="22"/>
      <c r="S72" s="22"/>
      <c r="T72" s="22"/>
      <c r="U72" s="22"/>
      <c r="V72" s="23"/>
    </row>
    <row r="73">
      <c r="A73" s="70"/>
      <c r="B73" s="38"/>
      <c r="C73" s="38"/>
      <c r="D73" s="38"/>
      <c r="E73" s="38"/>
      <c r="F73" s="38"/>
      <c r="G73" s="38"/>
      <c r="H73" s="38"/>
      <c r="I73" s="38"/>
      <c r="J73" s="38"/>
      <c r="K73" s="38"/>
      <c r="L73" s="38"/>
      <c r="M73" s="38"/>
      <c r="N73" s="38"/>
      <c r="O73" s="38"/>
      <c r="P73" s="38"/>
      <c r="Q73" s="38"/>
      <c r="R73" s="38"/>
      <c r="S73" s="38"/>
      <c r="T73" s="38"/>
      <c r="U73" s="38"/>
      <c r="V73" s="39"/>
    </row>
  </sheetData>
  <mergeCells count="24">
    <mergeCell ref="A1:G1"/>
    <mergeCell ref="A2:G2"/>
    <mergeCell ref="A13:G13"/>
    <mergeCell ref="C15:F15"/>
    <mergeCell ref="F16:S16"/>
    <mergeCell ref="F17:S17"/>
    <mergeCell ref="F18:S18"/>
    <mergeCell ref="F19:S19"/>
    <mergeCell ref="F20:S20"/>
    <mergeCell ref="F21:S21"/>
    <mergeCell ref="C23:F23"/>
    <mergeCell ref="F24:S24"/>
    <mergeCell ref="F25:S25"/>
    <mergeCell ref="F26:S26"/>
    <mergeCell ref="A53:G53"/>
    <mergeCell ref="C55:F55"/>
    <mergeCell ref="C66:F66"/>
    <mergeCell ref="F27:S27"/>
    <mergeCell ref="F28:S28"/>
    <mergeCell ref="F29:S29"/>
    <mergeCell ref="F30:S30"/>
    <mergeCell ref="A32:G32"/>
    <mergeCell ref="C34:E34"/>
    <mergeCell ref="C45:E45"/>
  </mergeCells>
  <hyperlinks>
    <hyperlink display="Main CEA" location="'Main CEA'!A1" ref="E4"/>
    <hyperlink display="Counterfactual malaria" location="'Counterfactual malaria'!A1" ref="E5"/>
    <hyperlink display="Leverage/Funging" location="LeverageFunging!A1" ref="E6"/>
    <hyperlink display="Inputs" location="Inputs!A1" ref="E7"/>
    <hyperlink display="GBD estimates" location="'GBD estimates'!A1" ref="E8"/>
    <hyperlink display="Simple CEA" location="'Simple CEA'!A1" ref="E9"/>
    <hyperlink display="Confidence intervals" location="'Confidence intervals'!A1" ref="E10"/>
    <hyperlink display="Sensitivity analysis" location="'Sensitivity analysis'!A1" ref="E11"/>
    <hyperlink r:id="rId1" location="gid=211647678" ref="E56"/>
    <hyperlink r:id="rId2" ref="E57"/>
    <hyperlink r:id="rId3" ref="E58"/>
    <hyperlink r:id="rId4" ref="E59"/>
    <hyperlink r:id="rId5" location="gid=0" ref="E60"/>
    <hyperlink r:id="rId6" location="gid=1089031537" ref="E61"/>
    <hyperlink r:id="rId7" location="gid=0" ref="E62"/>
    <hyperlink r:id="rId8" location="gid=1508543722" ref="E63"/>
    <hyperlink r:id="rId9" location="heading=h.hqxk4jmcd9ek" ref="E64"/>
    <hyperlink r:id="rId10" location="gid=1087538420" ref="E67"/>
    <hyperlink r:id="rId11" location="gid=0" ref="E68"/>
    <hyperlink r:id="rId12" ref="E69"/>
    <hyperlink r:id="rId13" ref="E70"/>
    <hyperlink r:id="rId14" ref="E71"/>
    <hyperlink r:id="rId15" ref="E72"/>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73"/>
      <c r="F1" s="74"/>
      <c r="G1" s="75"/>
      <c r="H1" s="76"/>
      <c r="I1" s="77" t="s">
        <v>96</v>
      </c>
      <c r="J1" s="37"/>
      <c r="K1" s="37"/>
      <c r="L1" s="37"/>
      <c r="M1" s="37"/>
      <c r="N1" s="37"/>
      <c r="O1" s="37"/>
      <c r="P1" s="37"/>
      <c r="Q1" s="37"/>
      <c r="R1" s="37"/>
      <c r="S1" s="78" t="s">
        <v>96</v>
      </c>
      <c r="T1" s="6"/>
      <c r="U1" s="6"/>
      <c r="V1" s="6"/>
      <c r="W1" s="6"/>
      <c r="X1" s="6"/>
      <c r="Y1" s="6"/>
      <c r="Z1" s="6"/>
      <c r="AA1" s="6"/>
      <c r="AB1" s="6"/>
      <c r="AC1" s="79"/>
    </row>
    <row r="2">
      <c r="A2" s="80"/>
      <c r="B2" s="81"/>
      <c r="C2" s="81"/>
      <c r="D2" s="81"/>
      <c r="E2" s="82"/>
      <c r="F2" s="83"/>
      <c r="G2" s="84"/>
      <c r="H2" s="85"/>
      <c r="I2" s="86"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88"/>
    </row>
    <row r="3">
      <c r="A3" s="89" t="s">
        <v>106</v>
      </c>
      <c r="B3" s="37"/>
      <c r="C3" s="37"/>
      <c r="D3" s="37"/>
      <c r="E3" s="37"/>
      <c r="F3" s="90" t="s">
        <v>107</v>
      </c>
      <c r="G3" s="91" t="s">
        <v>108</v>
      </c>
      <c r="H3" s="92" t="s">
        <v>109</v>
      </c>
      <c r="I3" s="77"/>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94"/>
    </row>
    <row r="4">
      <c r="A4" s="95"/>
      <c r="B4" s="96"/>
      <c r="C4" s="96"/>
      <c r="D4" s="96"/>
      <c r="E4" s="97" t="s">
        <v>126</v>
      </c>
      <c r="F4" s="98" t="str">
        <f>F193</f>
        <v>xcash</v>
      </c>
      <c r="G4" s="99" t="s">
        <v>76</v>
      </c>
      <c r="H4" s="100" t="str">
        <f t="shared" ref="H4:AB4" si="1">H193</f>
        <v>-</v>
      </c>
      <c r="I4" s="101">
        <f t="shared" si="1"/>
        <v>13.31086766</v>
      </c>
      <c r="J4" s="101">
        <f t="shared" si="1"/>
        <v>14.65302985</v>
      </c>
      <c r="K4" s="101">
        <f t="shared" si="1"/>
        <v>8.518485599</v>
      </c>
      <c r="L4" s="101">
        <f t="shared" si="1"/>
        <v>10.22702529</v>
      </c>
      <c r="M4" s="101">
        <f t="shared" si="1"/>
        <v>11.22452985</v>
      </c>
      <c r="N4" s="101">
        <f t="shared" si="1"/>
        <v>12.20027136</v>
      </c>
      <c r="O4" s="101">
        <f t="shared" si="1"/>
        <v>12.82122216</v>
      </c>
      <c r="P4" s="101">
        <f t="shared" si="1"/>
        <v>8.764840478</v>
      </c>
      <c r="Q4" s="101">
        <f t="shared" si="1"/>
        <v>49.5320273</v>
      </c>
      <c r="R4" s="101">
        <f t="shared" si="1"/>
        <v>55.53456784</v>
      </c>
      <c r="S4" s="101">
        <f t="shared" si="1"/>
        <v>14.61278558</v>
      </c>
      <c r="T4" s="101">
        <f t="shared" si="1"/>
        <v>61.52736635</v>
      </c>
      <c r="U4" s="101">
        <f t="shared" si="1"/>
        <v>27.73213049</v>
      </c>
      <c r="V4" s="101">
        <f t="shared" si="1"/>
        <v>26.60101901</v>
      </c>
      <c r="W4" s="101">
        <f t="shared" si="1"/>
        <v>16.51671098</v>
      </c>
      <c r="X4" s="101">
        <f t="shared" si="1"/>
        <v>25.17766224</v>
      </c>
      <c r="Y4" s="101">
        <f t="shared" si="1"/>
        <v>55.98446773</v>
      </c>
      <c r="Z4" s="101">
        <f t="shared" si="1"/>
        <v>5.230381871</v>
      </c>
      <c r="AA4" s="101">
        <f t="shared" si="1"/>
        <v>8.013238575</v>
      </c>
      <c r="AB4" s="101">
        <f t="shared" si="1"/>
        <v>6.778067282</v>
      </c>
      <c r="AC4" s="102"/>
    </row>
    <row r="5">
      <c r="A5" s="103" t="s">
        <v>127</v>
      </c>
      <c r="B5" s="6"/>
      <c r="C5" s="6"/>
      <c r="D5" s="6"/>
      <c r="E5" s="6"/>
      <c r="F5" s="6"/>
      <c r="G5" s="6"/>
      <c r="H5" s="104"/>
      <c r="I5" s="105"/>
      <c r="J5" s="105"/>
      <c r="K5" s="105"/>
      <c r="L5" s="105"/>
      <c r="M5" s="105"/>
      <c r="N5" s="105"/>
      <c r="O5" s="105"/>
      <c r="P5" s="105"/>
      <c r="Q5" s="105"/>
      <c r="R5" s="105"/>
      <c r="S5" s="105"/>
      <c r="T5" s="105"/>
      <c r="U5" s="105"/>
      <c r="V5" s="105"/>
      <c r="W5" s="105"/>
      <c r="X5" s="105"/>
      <c r="Y5" s="105"/>
      <c r="Z5" s="105"/>
      <c r="AA5" s="105"/>
      <c r="AB5" s="105"/>
      <c r="AC5" s="106"/>
    </row>
    <row r="6">
      <c r="A6" s="107"/>
      <c r="B6" s="108"/>
      <c r="C6" s="108"/>
      <c r="D6" s="108"/>
      <c r="E6" s="109"/>
      <c r="F6" s="110"/>
      <c r="G6" s="111"/>
      <c r="H6" s="112"/>
      <c r="I6" s="113"/>
      <c r="J6" s="113"/>
      <c r="K6" s="113"/>
      <c r="L6" s="113"/>
      <c r="M6" s="113"/>
      <c r="N6" s="113"/>
      <c r="O6" s="113"/>
      <c r="P6" s="113"/>
      <c r="Q6" s="113"/>
      <c r="R6" s="113"/>
      <c r="S6" s="113"/>
      <c r="T6" s="113"/>
      <c r="U6" s="113"/>
      <c r="V6" s="113"/>
      <c r="W6" s="113"/>
      <c r="X6" s="113"/>
      <c r="Y6" s="113"/>
      <c r="Z6" s="113"/>
      <c r="AA6" s="113"/>
      <c r="AB6" s="113"/>
      <c r="AC6" s="114"/>
    </row>
    <row r="7">
      <c r="A7" s="107"/>
      <c r="B7" s="108"/>
      <c r="C7" s="115" t="s">
        <v>128</v>
      </c>
      <c r="F7" s="110"/>
      <c r="G7" s="116"/>
      <c r="H7" s="112"/>
      <c r="I7" s="117"/>
      <c r="J7" s="117"/>
      <c r="K7" s="117"/>
      <c r="L7" s="117"/>
      <c r="M7" s="117"/>
      <c r="N7" s="117"/>
      <c r="O7" s="117"/>
      <c r="P7" s="117"/>
      <c r="Q7" s="117"/>
      <c r="R7" s="117"/>
      <c r="S7" s="117"/>
      <c r="T7" s="117"/>
      <c r="U7" s="117"/>
      <c r="V7" s="117"/>
      <c r="W7" s="117"/>
      <c r="X7" s="117"/>
      <c r="Y7" s="117"/>
      <c r="Z7" s="117"/>
      <c r="AA7" s="117"/>
      <c r="AB7" s="117"/>
      <c r="AC7" s="114"/>
    </row>
    <row r="8">
      <c r="A8" s="107"/>
      <c r="B8" s="108"/>
      <c r="C8" s="108"/>
      <c r="D8" s="108"/>
      <c r="E8" s="118" t="str">
        <f>HYPERLINK(buildUrl(CELL("address", Inputs!E8)), Inputs!E8)</f>
        <v>Grant size</v>
      </c>
      <c r="F8" s="119" t="str">
        <f>Inputs!F8</f>
        <v>$</v>
      </c>
      <c r="G8" s="120" t="str">
        <f>Inputs!G8</f>
        <v>input</v>
      </c>
      <c r="H8" s="121" t="str">
        <f>Inputs!H8</f>
        <v>-</v>
      </c>
      <c r="I8" s="122">
        <f>Inputs!I8</f>
        <v>0.01</v>
      </c>
      <c r="J8" s="122">
        <f>Inputs!J8</f>
        <v>0.01</v>
      </c>
      <c r="K8" s="122">
        <f>Inputs!K8</f>
        <v>0.01</v>
      </c>
      <c r="L8" s="122">
        <f>Inputs!L8</f>
        <v>0.01</v>
      </c>
      <c r="M8" s="122">
        <f>Inputs!M8</f>
        <v>0.01</v>
      </c>
      <c r="N8" s="122">
        <f>Inputs!N8</f>
        <v>0.01</v>
      </c>
      <c r="O8" s="122">
        <f>Inputs!O8</f>
        <v>0.01</v>
      </c>
      <c r="P8" s="122">
        <f>Inputs!P8</f>
        <v>17456907.13</v>
      </c>
      <c r="Q8" s="122">
        <f>Inputs!Q8</f>
        <v>0.01</v>
      </c>
      <c r="R8" s="122">
        <f>Inputs!R8</f>
        <v>0.01</v>
      </c>
      <c r="S8" s="122">
        <f>Inputs!S8</f>
        <v>0.01</v>
      </c>
      <c r="T8" s="122">
        <f>Inputs!T8</f>
        <v>0.01</v>
      </c>
      <c r="U8" s="122">
        <f>Inputs!U8</f>
        <v>0.01</v>
      </c>
      <c r="V8" s="122">
        <f>Inputs!V8</f>
        <v>0.01</v>
      </c>
      <c r="W8" s="122">
        <f>Inputs!W8</f>
        <v>0.01</v>
      </c>
      <c r="X8" s="122">
        <f>Inputs!X8</f>
        <v>0.01</v>
      </c>
      <c r="Y8" s="122">
        <f>Inputs!Y8</f>
        <v>0.01</v>
      </c>
      <c r="Z8" s="122">
        <f>Inputs!Z8</f>
        <v>0.01</v>
      </c>
      <c r="AA8" s="122">
        <f>Inputs!AA8</f>
        <v>0.01</v>
      </c>
      <c r="AB8" s="122">
        <f>Inputs!AB8</f>
        <v>0.01</v>
      </c>
      <c r="AC8" s="123"/>
    </row>
    <row r="9">
      <c r="A9" s="107"/>
      <c r="B9" s="108"/>
      <c r="C9" s="108"/>
      <c r="D9" s="108"/>
      <c r="E9" s="124"/>
      <c r="F9" s="125"/>
      <c r="G9" s="126"/>
      <c r="H9" s="112"/>
      <c r="I9" s="117"/>
      <c r="J9" s="117"/>
      <c r="K9" s="117"/>
      <c r="L9" s="117"/>
      <c r="M9" s="117"/>
      <c r="N9" s="117"/>
      <c r="O9" s="117"/>
      <c r="P9" s="117"/>
      <c r="Q9" s="117"/>
      <c r="R9" s="117"/>
      <c r="S9" s="117"/>
      <c r="T9" s="117"/>
      <c r="U9" s="117"/>
      <c r="V9" s="117"/>
      <c r="W9" s="117"/>
      <c r="X9" s="117"/>
      <c r="Y9" s="117"/>
      <c r="Z9" s="117"/>
      <c r="AA9" s="117"/>
      <c r="AB9" s="117"/>
      <c r="AC9" s="114"/>
    </row>
    <row r="10">
      <c r="A10" s="107"/>
      <c r="B10" s="108"/>
      <c r="C10" s="40" t="s">
        <v>129</v>
      </c>
      <c r="F10" s="127"/>
      <c r="G10" s="128"/>
      <c r="H10" s="112"/>
      <c r="I10" s="117"/>
      <c r="J10" s="117"/>
      <c r="K10" s="117"/>
      <c r="L10" s="117"/>
      <c r="M10" s="117"/>
      <c r="N10" s="117"/>
      <c r="O10" s="117"/>
      <c r="P10" s="117"/>
      <c r="Q10" s="117"/>
      <c r="R10" s="117"/>
      <c r="S10" s="117"/>
      <c r="T10" s="117"/>
      <c r="U10" s="117"/>
      <c r="V10" s="117"/>
      <c r="W10" s="117"/>
      <c r="X10" s="117"/>
      <c r="Y10" s="117"/>
      <c r="Z10" s="117"/>
      <c r="AA10" s="117"/>
      <c r="AB10" s="117"/>
      <c r="AC10" s="114"/>
    </row>
    <row r="11">
      <c r="A11" s="107"/>
      <c r="B11" s="108"/>
      <c r="C11" s="10"/>
      <c r="D11" s="10"/>
      <c r="E11" s="129" t="str">
        <f>HYPERLINK(buildUrl(CELL("address", Inputs!E11)), Inputs!E11)</f>
        <v>Percentage of total costs covered by the grantee</v>
      </c>
      <c r="F11" s="130" t="str">
        <f>Inputs!F11</f>
        <v>%</v>
      </c>
      <c r="G11" s="131" t="str">
        <f>Inputs!G11</f>
        <v>input</v>
      </c>
      <c r="H11" s="132" t="str">
        <f>Inputs!H11</f>
        <v>-</v>
      </c>
      <c r="I11" s="133">
        <f>Inputs!I11</f>
        <v>0.8944838</v>
      </c>
      <c r="J11" s="133">
        <f>Inputs!J11</f>
        <v>0.90224903</v>
      </c>
      <c r="K11" s="133">
        <f>Inputs!K11</f>
        <v>0.906659</v>
      </c>
      <c r="L11" s="133">
        <f>Inputs!L11</f>
        <v>0.5014996177</v>
      </c>
      <c r="M11" s="133">
        <f>Inputs!M11</f>
        <v>0.5014996177</v>
      </c>
      <c r="N11" s="133">
        <f>Inputs!N11</f>
        <v>0.5014996177</v>
      </c>
      <c r="O11" s="133">
        <f>Inputs!O11</f>
        <v>0.5014996177</v>
      </c>
      <c r="P11" s="133">
        <f>Inputs!P11</f>
        <v>0.8944838</v>
      </c>
      <c r="Q11" s="133">
        <f>Inputs!Q11</f>
        <v>0.81586554</v>
      </c>
      <c r="R11" s="133">
        <f>Inputs!R11</f>
        <v>0.8944838</v>
      </c>
      <c r="S11" s="133">
        <f>Inputs!S11</f>
        <v>0.8944838</v>
      </c>
      <c r="T11" s="133">
        <f>Inputs!T11</f>
        <v>0.8944838</v>
      </c>
      <c r="U11" s="133">
        <f>Inputs!U11</f>
        <v>0.8944838</v>
      </c>
      <c r="V11" s="133">
        <f>Inputs!V11</f>
        <v>0.8944838</v>
      </c>
      <c r="W11" s="133">
        <f>Inputs!W11</f>
        <v>0.8944838</v>
      </c>
      <c r="X11" s="133">
        <f>Inputs!X11</f>
        <v>0.8944838</v>
      </c>
      <c r="Y11" s="133">
        <f>Inputs!Y11</f>
        <v>0.8944838</v>
      </c>
      <c r="Z11" s="133">
        <f>Inputs!Z11</f>
        <v>0.91399685</v>
      </c>
      <c r="AA11" s="133">
        <f>Inputs!AA11</f>
        <v>0.5014996177</v>
      </c>
      <c r="AB11" s="133">
        <f>Inputs!AB11</f>
        <v>0.89331272</v>
      </c>
      <c r="AC11" s="134"/>
    </row>
    <row r="12">
      <c r="A12" s="107"/>
      <c r="B12" s="108"/>
      <c r="C12" s="10"/>
      <c r="D12" s="10"/>
      <c r="E12" s="135" t="str">
        <f>HYPERLINK(buildUrl(CELL("address", Inputs!E12)), Inputs!E12)</f>
        <v>Percentage of total costs covered by other philanthropic actors</v>
      </c>
      <c r="F12" s="136" t="str">
        <f>Inputs!F12</f>
        <v>%</v>
      </c>
      <c r="G12" s="137" t="str">
        <f>Inputs!G12</f>
        <v>input</v>
      </c>
      <c r="H12" s="138" t="str">
        <f>Inputs!H12</f>
        <v>-</v>
      </c>
      <c r="I12" s="139">
        <f>Inputs!I12</f>
        <v>0</v>
      </c>
      <c r="J12" s="139">
        <f>Inputs!J12</f>
        <v>0</v>
      </c>
      <c r="K12" s="139">
        <f>Inputs!K12</f>
        <v>0</v>
      </c>
      <c r="L12" s="139">
        <f>Inputs!L12</f>
        <v>0.439374142</v>
      </c>
      <c r="M12" s="139">
        <f>Inputs!M12</f>
        <v>0.439374142</v>
      </c>
      <c r="N12" s="139">
        <f>Inputs!N12</f>
        <v>0.439374142</v>
      </c>
      <c r="O12" s="139">
        <f>Inputs!O12</f>
        <v>0.439374142</v>
      </c>
      <c r="P12" s="139">
        <f>Inputs!P12</f>
        <v>0</v>
      </c>
      <c r="Q12" s="139">
        <f>Inputs!Q12</f>
        <v>0.08789232</v>
      </c>
      <c r="R12" s="139">
        <f>Inputs!R12</f>
        <v>0</v>
      </c>
      <c r="S12" s="139">
        <f>Inputs!S12</f>
        <v>0</v>
      </c>
      <c r="T12" s="139">
        <f>Inputs!T12</f>
        <v>0</v>
      </c>
      <c r="U12" s="139">
        <f>Inputs!U12</f>
        <v>0</v>
      </c>
      <c r="V12" s="139">
        <f>Inputs!V12</f>
        <v>0</v>
      </c>
      <c r="W12" s="139">
        <f>Inputs!W12</f>
        <v>0</v>
      </c>
      <c r="X12" s="139">
        <f>Inputs!X12</f>
        <v>0</v>
      </c>
      <c r="Y12" s="139">
        <f>Inputs!Y12</f>
        <v>0</v>
      </c>
      <c r="Z12" s="139">
        <f>Inputs!Z12</f>
        <v>0</v>
      </c>
      <c r="AA12" s="139">
        <f>Inputs!AA12</f>
        <v>0.439374142</v>
      </c>
      <c r="AB12" s="139">
        <f>Inputs!AB12</f>
        <v>0</v>
      </c>
      <c r="AC12" s="140"/>
    </row>
    <row r="13">
      <c r="A13" s="107"/>
      <c r="B13" s="108"/>
      <c r="C13" s="10"/>
      <c r="D13" s="10"/>
      <c r="E13" s="141" t="str">
        <f>HYPERLINK(buildUrl(CELL("address", Inputs!E13)), Inputs!E13)</f>
        <v>Percentage of total costs covered by domestic governments</v>
      </c>
      <c r="F13" s="142" t="str">
        <f>Inputs!F13</f>
        <v>%</v>
      </c>
      <c r="G13" s="143" t="str">
        <f>Inputs!G13</f>
        <v>input</v>
      </c>
      <c r="H13" s="144" t="str">
        <f>Inputs!H13</f>
        <v>-</v>
      </c>
      <c r="I13" s="145">
        <f>Inputs!I13</f>
        <v>0.1055162</v>
      </c>
      <c r="J13" s="145">
        <f>Inputs!J13</f>
        <v>0.09775097</v>
      </c>
      <c r="K13" s="145">
        <f>Inputs!K13</f>
        <v>0.093341</v>
      </c>
      <c r="L13" s="145">
        <f>Inputs!L13</f>
        <v>0.0591262403</v>
      </c>
      <c r="M13" s="145">
        <f>Inputs!M13</f>
        <v>0.0591262403</v>
      </c>
      <c r="N13" s="145">
        <f>Inputs!N13</f>
        <v>0.0591262403</v>
      </c>
      <c r="O13" s="145">
        <f>Inputs!O13</f>
        <v>0.0591262403</v>
      </c>
      <c r="P13" s="145">
        <f>Inputs!P13</f>
        <v>0.1055162</v>
      </c>
      <c r="Q13" s="145">
        <f>Inputs!Q13</f>
        <v>0.09624214</v>
      </c>
      <c r="R13" s="145">
        <f>Inputs!R13</f>
        <v>0.1055162</v>
      </c>
      <c r="S13" s="145">
        <f>Inputs!S13</f>
        <v>0.1055162</v>
      </c>
      <c r="T13" s="145">
        <f>Inputs!T13</f>
        <v>0.1055162</v>
      </c>
      <c r="U13" s="145">
        <f>Inputs!U13</f>
        <v>0.1055162</v>
      </c>
      <c r="V13" s="145">
        <f>Inputs!V13</f>
        <v>0.1055162</v>
      </c>
      <c r="W13" s="145">
        <f>Inputs!W13</f>
        <v>0.1055162</v>
      </c>
      <c r="X13" s="145">
        <f>Inputs!X13</f>
        <v>0.1055162</v>
      </c>
      <c r="Y13" s="145">
        <f>Inputs!Y13</f>
        <v>0.1055162</v>
      </c>
      <c r="Z13" s="145">
        <f>Inputs!Z13</f>
        <v>0.08600315</v>
      </c>
      <c r="AA13" s="145">
        <f>Inputs!AA13</f>
        <v>0.0591262403</v>
      </c>
      <c r="AB13" s="145">
        <f>Inputs!AB13</f>
        <v>0.10668728</v>
      </c>
      <c r="AC13" s="146"/>
    </row>
    <row r="14">
      <c r="A14" s="107"/>
      <c r="B14" s="108"/>
      <c r="C14" s="147"/>
      <c r="D14" s="108"/>
      <c r="E14" s="124"/>
      <c r="F14" s="125"/>
      <c r="G14" s="148"/>
      <c r="H14" s="112"/>
      <c r="I14" s="117"/>
      <c r="J14" s="117"/>
      <c r="K14" s="117"/>
      <c r="L14" s="117"/>
      <c r="M14" s="117"/>
      <c r="N14" s="117"/>
      <c r="O14" s="117"/>
      <c r="P14" s="117"/>
      <c r="Q14" s="117"/>
      <c r="R14" s="117"/>
      <c r="S14" s="117"/>
      <c r="T14" s="117"/>
      <c r="U14" s="117"/>
      <c r="V14" s="117"/>
      <c r="W14" s="117"/>
      <c r="X14" s="117"/>
      <c r="Y14" s="117"/>
      <c r="Z14" s="117"/>
      <c r="AA14" s="117"/>
      <c r="AB14" s="117"/>
      <c r="AC14" s="114"/>
    </row>
    <row r="15">
      <c r="A15" s="107"/>
      <c r="B15" s="108"/>
      <c r="C15" s="147" t="s">
        <v>130</v>
      </c>
      <c r="F15" s="125"/>
      <c r="G15" s="148"/>
      <c r="H15" s="112"/>
      <c r="I15" s="117"/>
      <c r="J15" s="117"/>
      <c r="K15" s="117"/>
      <c r="L15" s="117"/>
      <c r="M15" s="117"/>
      <c r="N15" s="117"/>
      <c r="O15" s="117"/>
      <c r="P15" s="117"/>
      <c r="Q15" s="117"/>
      <c r="R15" s="117"/>
      <c r="S15" s="117"/>
      <c r="T15" s="117"/>
      <c r="U15" s="117"/>
      <c r="V15" s="117"/>
      <c r="W15" s="117"/>
      <c r="X15" s="117"/>
      <c r="Y15" s="117"/>
      <c r="Z15" s="117"/>
      <c r="AA15" s="117"/>
      <c r="AB15" s="117"/>
      <c r="AC15" s="114"/>
    </row>
    <row r="16">
      <c r="A16" s="107"/>
      <c r="B16" s="108"/>
      <c r="C16" s="147"/>
      <c r="D16" s="108"/>
      <c r="E16" s="118" t="s">
        <v>131</v>
      </c>
      <c r="F16" s="119" t="s">
        <v>55</v>
      </c>
      <c r="G16" s="149" t="s">
        <v>70</v>
      </c>
      <c r="H16" s="150" t="s">
        <v>132</v>
      </c>
      <c r="I16" s="151">
        <f t="shared" ref="I16:AB16" si="2">IF(I8="-",$H8/I11,I8/I11)</f>
        <v>0.01117963232</v>
      </c>
      <c r="J16" s="151">
        <f t="shared" si="2"/>
        <v>0.01108341452</v>
      </c>
      <c r="K16" s="151">
        <f t="shared" si="2"/>
        <v>0.01102950503</v>
      </c>
      <c r="L16" s="151">
        <f t="shared" si="2"/>
        <v>0.01994019466</v>
      </c>
      <c r="M16" s="151">
        <f t="shared" si="2"/>
        <v>0.01994019466</v>
      </c>
      <c r="N16" s="151">
        <f t="shared" si="2"/>
        <v>0.01994019466</v>
      </c>
      <c r="O16" s="151">
        <f t="shared" si="2"/>
        <v>0.01994019466</v>
      </c>
      <c r="P16" s="151">
        <f t="shared" si="2"/>
        <v>19516180.32</v>
      </c>
      <c r="Q16" s="151">
        <f t="shared" si="2"/>
        <v>0.01225692165</v>
      </c>
      <c r="R16" s="151">
        <f t="shared" si="2"/>
        <v>0.01117963232</v>
      </c>
      <c r="S16" s="151">
        <f t="shared" si="2"/>
        <v>0.01117963232</v>
      </c>
      <c r="T16" s="151">
        <f t="shared" si="2"/>
        <v>0.01117963232</v>
      </c>
      <c r="U16" s="151">
        <f t="shared" si="2"/>
        <v>0.01117963232</v>
      </c>
      <c r="V16" s="151">
        <f t="shared" si="2"/>
        <v>0.01117963232</v>
      </c>
      <c r="W16" s="151">
        <f t="shared" si="2"/>
        <v>0.01117963232</v>
      </c>
      <c r="X16" s="151">
        <f t="shared" si="2"/>
        <v>0.01117963232</v>
      </c>
      <c r="Y16" s="151">
        <f t="shared" si="2"/>
        <v>0.01117963232</v>
      </c>
      <c r="Z16" s="151">
        <f t="shared" si="2"/>
        <v>0.01094095674</v>
      </c>
      <c r="AA16" s="151">
        <f t="shared" si="2"/>
        <v>0.01994019466</v>
      </c>
      <c r="AB16" s="151">
        <f t="shared" si="2"/>
        <v>0.01119428815</v>
      </c>
      <c r="AC16" s="123"/>
    </row>
    <row r="17">
      <c r="A17" s="107"/>
      <c r="B17" s="108"/>
      <c r="C17" s="147"/>
      <c r="D17" s="108"/>
      <c r="E17" s="124"/>
      <c r="F17" s="125"/>
      <c r="G17" s="148"/>
      <c r="H17" s="112"/>
      <c r="I17" s="117"/>
      <c r="J17" s="117"/>
      <c r="K17" s="117"/>
      <c r="L17" s="117"/>
      <c r="M17" s="117"/>
      <c r="N17" s="117"/>
      <c r="O17" s="117"/>
      <c r="P17" s="117"/>
      <c r="Q17" s="117"/>
      <c r="R17" s="117"/>
      <c r="S17" s="117"/>
      <c r="T17" s="117"/>
      <c r="U17" s="117"/>
      <c r="V17" s="117"/>
      <c r="W17" s="117"/>
      <c r="X17" s="117"/>
      <c r="Y17" s="117"/>
      <c r="Z17" s="117"/>
      <c r="AA17" s="117"/>
      <c r="AB17" s="117"/>
      <c r="AC17" s="114"/>
    </row>
    <row r="18">
      <c r="A18" s="107"/>
      <c r="B18" s="108"/>
      <c r="C18" s="152" t="s">
        <v>133</v>
      </c>
      <c r="F18" s="110"/>
      <c r="G18" s="116"/>
      <c r="H18" s="112"/>
      <c r="I18" s="117"/>
      <c r="J18" s="117"/>
      <c r="K18" s="117"/>
      <c r="L18" s="117"/>
      <c r="M18" s="117"/>
      <c r="N18" s="117"/>
      <c r="O18" s="117"/>
      <c r="P18" s="117"/>
      <c r="Q18" s="117"/>
      <c r="R18" s="117"/>
      <c r="S18" s="117"/>
      <c r="T18" s="117"/>
      <c r="U18" s="117"/>
      <c r="V18" s="117"/>
      <c r="W18" s="117"/>
      <c r="X18" s="117"/>
      <c r="Y18" s="117"/>
      <c r="Z18" s="117"/>
      <c r="AA18" s="117"/>
      <c r="AB18" s="117"/>
      <c r="AC18" s="114"/>
    </row>
    <row r="19">
      <c r="A19" s="107"/>
      <c r="B19" s="108"/>
      <c r="C19" s="108"/>
      <c r="D19" s="108"/>
      <c r="E19" s="153" t="s">
        <v>134</v>
      </c>
      <c r="F19" s="154" t="s">
        <v>55</v>
      </c>
      <c r="G19" s="155" t="s">
        <v>70</v>
      </c>
      <c r="H19" s="156" t="s">
        <v>132</v>
      </c>
      <c r="I19" s="157">
        <f t="shared" ref="I19:AB19" si="3">I$16*I11</f>
        <v>0.01</v>
      </c>
      <c r="J19" s="157">
        <f t="shared" si="3"/>
        <v>0.01</v>
      </c>
      <c r="K19" s="157">
        <f t="shared" si="3"/>
        <v>0.01</v>
      </c>
      <c r="L19" s="157">
        <f t="shared" si="3"/>
        <v>0.01</v>
      </c>
      <c r="M19" s="157">
        <f t="shared" si="3"/>
        <v>0.01</v>
      </c>
      <c r="N19" s="157">
        <f t="shared" si="3"/>
        <v>0.01</v>
      </c>
      <c r="O19" s="157">
        <f t="shared" si="3"/>
        <v>0.01</v>
      </c>
      <c r="P19" s="157">
        <f t="shared" si="3"/>
        <v>17456907.13</v>
      </c>
      <c r="Q19" s="157">
        <f t="shared" si="3"/>
        <v>0.01</v>
      </c>
      <c r="R19" s="157">
        <f t="shared" si="3"/>
        <v>0.01</v>
      </c>
      <c r="S19" s="157">
        <f t="shared" si="3"/>
        <v>0.01</v>
      </c>
      <c r="T19" s="157">
        <f t="shared" si="3"/>
        <v>0.01</v>
      </c>
      <c r="U19" s="157">
        <f t="shared" si="3"/>
        <v>0.01</v>
      </c>
      <c r="V19" s="157">
        <f t="shared" si="3"/>
        <v>0.01</v>
      </c>
      <c r="W19" s="157">
        <f t="shared" si="3"/>
        <v>0.01</v>
      </c>
      <c r="X19" s="157">
        <f t="shared" si="3"/>
        <v>0.01</v>
      </c>
      <c r="Y19" s="157">
        <f t="shared" si="3"/>
        <v>0.01</v>
      </c>
      <c r="Z19" s="157">
        <f t="shared" si="3"/>
        <v>0.01</v>
      </c>
      <c r="AA19" s="157">
        <f t="shared" si="3"/>
        <v>0.01</v>
      </c>
      <c r="AB19" s="157">
        <f t="shared" si="3"/>
        <v>0.01</v>
      </c>
      <c r="AC19" s="15"/>
    </row>
    <row r="20">
      <c r="A20" s="107"/>
      <c r="B20" s="108"/>
      <c r="C20" s="152"/>
      <c r="D20" s="108"/>
      <c r="E20" s="158" t="s">
        <v>135</v>
      </c>
      <c r="F20" s="159" t="s">
        <v>55</v>
      </c>
      <c r="G20" s="160" t="s">
        <v>70</v>
      </c>
      <c r="H20" s="161" t="s">
        <v>132</v>
      </c>
      <c r="I20" s="162">
        <f t="shared" ref="I20:AB20" si="4">I$16*I12</f>
        <v>0</v>
      </c>
      <c r="J20" s="162">
        <f t="shared" si="4"/>
        <v>0</v>
      </c>
      <c r="K20" s="162">
        <f t="shared" si="4"/>
        <v>0</v>
      </c>
      <c r="L20" s="162">
        <f t="shared" si="4"/>
        <v>0.008761205921</v>
      </c>
      <c r="M20" s="162">
        <f t="shared" si="4"/>
        <v>0.008761205921</v>
      </c>
      <c r="N20" s="162">
        <f t="shared" si="4"/>
        <v>0.008761205921</v>
      </c>
      <c r="O20" s="162">
        <f t="shared" si="4"/>
        <v>0.008761205921</v>
      </c>
      <c r="P20" s="162">
        <f t="shared" si="4"/>
        <v>0</v>
      </c>
      <c r="Q20" s="162">
        <f t="shared" si="4"/>
        <v>0.00107728928</v>
      </c>
      <c r="R20" s="162">
        <f t="shared" si="4"/>
        <v>0</v>
      </c>
      <c r="S20" s="162">
        <f t="shared" si="4"/>
        <v>0</v>
      </c>
      <c r="T20" s="162">
        <f t="shared" si="4"/>
        <v>0</v>
      </c>
      <c r="U20" s="162">
        <f t="shared" si="4"/>
        <v>0</v>
      </c>
      <c r="V20" s="162">
        <f t="shared" si="4"/>
        <v>0</v>
      </c>
      <c r="W20" s="162">
        <f t="shared" si="4"/>
        <v>0</v>
      </c>
      <c r="X20" s="162">
        <f t="shared" si="4"/>
        <v>0</v>
      </c>
      <c r="Y20" s="162">
        <f t="shared" si="4"/>
        <v>0</v>
      </c>
      <c r="Z20" s="162">
        <f t="shared" si="4"/>
        <v>0</v>
      </c>
      <c r="AA20" s="162">
        <f t="shared" si="4"/>
        <v>0.008761205921</v>
      </c>
      <c r="AB20" s="162">
        <f t="shared" si="4"/>
        <v>0</v>
      </c>
      <c r="AC20" s="19"/>
    </row>
    <row r="21">
      <c r="A21" s="107"/>
      <c r="B21" s="108"/>
      <c r="C21" s="152"/>
      <c r="D21" s="108"/>
      <c r="E21" s="163" t="s">
        <v>136</v>
      </c>
      <c r="F21" s="164" t="s">
        <v>55</v>
      </c>
      <c r="G21" s="165" t="s">
        <v>70</v>
      </c>
      <c r="H21" s="166" t="s">
        <v>132</v>
      </c>
      <c r="I21" s="167">
        <f t="shared" ref="I21:AB21" si="5">I$16*I13</f>
        <v>0.00117963232</v>
      </c>
      <c r="J21" s="167">
        <f t="shared" si="5"/>
        <v>0.00108341452</v>
      </c>
      <c r="K21" s="167">
        <f t="shared" si="5"/>
        <v>0.001029505029</v>
      </c>
      <c r="L21" s="167">
        <f t="shared" si="5"/>
        <v>0.001178988741</v>
      </c>
      <c r="M21" s="167">
        <f t="shared" si="5"/>
        <v>0.001178988741</v>
      </c>
      <c r="N21" s="167">
        <f t="shared" si="5"/>
        <v>0.001178988741</v>
      </c>
      <c r="O21" s="167">
        <f t="shared" si="5"/>
        <v>0.001178988741</v>
      </c>
      <c r="P21" s="167">
        <f t="shared" si="5"/>
        <v>2059273.185</v>
      </c>
      <c r="Q21" s="167">
        <f t="shared" si="5"/>
        <v>0.001179632369</v>
      </c>
      <c r="R21" s="167">
        <f t="shared" si="5"/>
        <v>0.00117963232</v>
      </c>
      <c r="S21" s="167">
        <f t="shared" si="5"/>
        <v>0.00117963232</v>
      </c>
      <c r="T21" s="167">
        <f t="shared" si="5"/>
        <v>0.00117963232</v>
      </c>
      <c r="U21" s="167">
        <f t="shared" si="5"/>
        <v>0.00117963232</v>
      </c>
      <c r="V21" s="167">
        <f t="shared" si="5"/>
        <v>0.00117963232</v>
      </c>
      <c r="W21" s="167">
        <f t="shared" si="5"/>
        <v>0.00117963232</v>
      </c>
      <c r="X21" s="167">
        <f t="shared" si="5"/>
        <v>0.00117963232</v>
      </c>
      <c r="Y21" s="167">
        <f t="shared" si="5"/>
        <v>0.00117963232</v>
      </c>
      <c r="Z21" s="167">
        <f t="shared" si="5"/>
        <v>0.000940956744</v>
      </c>
      <c r="AA21" s="167">
        <f t="shared" si="5"/>
        <v>0.001178988741</v>
      </c>
      <c r="AB21" s="167">
        <f t="shared" si="5"/>
        <v>0.001194288155</v>
      </c>
      <c r="AC21" s="23"/>
    </row>
    <row r="22">
      <c r="A22" s="107"/>
      <c r="B22" s="108"/>
      <c r="C22" s="152"/>
      <c r="D22" s="152"/>
      <c r="E22" s="168"/>
      <c r="F22" s="125"/>
      <c r="G22" s="169"/>
      <c r="H22" s="112"/>
      <c r="I22" s="117"/>
      <c r="J22" s="117"/>
      <c r="K22" s="117"/>
      <c r="L22" s="117"/>
      <c r="M22" s="117"/>
      <c r="N22" s="117"/>
      <c r="O22" s="117"/>
      <c r="P22" s="117"/>
      <c r="Q22" s="117"/>
      <c r="R22" s="117"/>
      <c r="S22" s="117"/>
      <c r="T22" s="117"/>
      <c r="U22" s="117"/>
      <c r="V22" s="117"/>
      <c r="W22" s="117"/>
      <c r="X22" s="117"/>
      <c r="Y22" s="117"/>
      <c r="Z22" s="117"/>
      <c r="AA22" s="117"/>
      <c r="AB22" s="117"/>
      <c r="AC22" s="114"/>
    </row>
    <row r="23">
      <c r="A23" s="107"/>
      <c r="B23" s="108"/>
      <c r="C23" s="152" t="s">
        <v>137</v>
      </c>
      <c r="F23" s="125"/>
      <c r="G23" s="169"/>
      <c r="H23" s="112"/>
      <c r="I23" s="117"/>
      <c r="J23" s="117"/>
      <c r="K23" s="117"/>
      <c r="L23" s="117"/>
      <c r="M23" s="117"/>
      <c r="N23" s="117"/>
      <c r="O23" s="117"/>
      <c r="P23" s="117"/>
      <c r="Q23" s="117"/>
      <c r="R23" s="117"/>
      <c r="S23" s="117"/>
      <c r="T23" s="117"/>
      <c r="U23" s="117"/>
      <c r="V23" s="117"/>
      <c r="W23" s="117"/>
      <c r="X23" s="117"/>
      <c r="Y23" s="117"/>
      <c r="Z23" s="117"/>
      <c r="AA23" s="117"/>
      <c r="AB23" s="117"/>
      <c r="AC23" s="114"/>
    </row>
    <row r="24">
      <c r="A24" s="107"/>
      <c r="B24" s="108"/>
      <c r="C24" s="108"/>
      <c r="D24" s="108"/>
      <c r="E24" s="153" t="s">
        <v>138</v>
      </c>
      <c r="F24" s="154" t="s">
        <v>55</v>
      </c>
      <c r="G24" s="170" t="s">
        <v>70</v>
      </c>
      <c r="H24" s="171" t="s">
        <v>132</v>
      </c>
      <c r="I24" s="157">
        <f t="shared" ref="I24:AB24" si="6">SUM(I19:I20)</f>
        <v>0.01</v>
      </c>
      <c r="J24" s="157">
        <f t="shared" si="6"/>
        <v>0.01</v>
      </c>
      <c r="K24" s="157">
        <f t="shared" si="6"/>
        <v>0.01</v>
      </c>
      <c r="L24" s="157">
        <f t="shared" si="6"/>
        <v>0.01876120592</v>
      </c>
      <c r="M24" s="157">
        <f t="shared" si="6"/>
        <v>0.01876120592</v>
      </c>
      <c r="N24" s="157">
        <f t="shared" si="6"/>
        <v>0.01876120592</v>
      </c>
      <c r="O24" s="157">
        <f t="shared" si="6"/>
        <v>0.01876120592</v>
      </c>
      <c r="P24" s="157">
        <f t="shared" si="6"/>
        <v>17456907.13</v>
      </c>
      <c r="Q24" s="157">
        <f t="shared" si="6"/>
        <v>0.01107728928</v>
      </c>
      <c r="R24" s="157">
        <f t="shared" si="6"/>
        <v>0.01</v>
      </c>
      <c r="S24" s="157">
        <f t="shared" si="6"/>
        <v>0.01</v>
      </c>
      <c r="T24" s="157">
        <f t="shared" si="6"/>
        <v>0.01</v>
      </c>
      <c r="U24" s="157">
        <f t="shared" si="6"/>
        <v>0.01</v>
      </c>
      <c r="V24" s="157">
        <f t="shared" si="6"/>
        <v>0.01</v>
      </c>
      <c r="W24" s="157">
        <f t="shared" si="6"/>
        <v>0.01</v>
      </c>
      <c r="X24" s="157">
        <f t="shared" si="6"/>
        <v>0.01</v>
      </c>
      <c r="Y24" s="157">
        <f t="shared" si="6"/>
        <v>0.01</v>
      </c>
      <c r="Z24" s="157">
        <f t="shared" si="6"/>
        <v>0.01</v>
      </c>
      <c r="AA24" s="157">
        <f t="shared" si="6"/>
        <v>0.01876120592</v>
      </c>
      <c r="AB24" s="157">
        <f t="shared" si="6"/>
        <v>0.01</v>
      </c>
      <c r="AC24" s="15"/>
    </row>
    <row r="25">
      <c r="A25" s="107"/>
      <c r="B25" s="108"/>
      <c r="C25" s="108"/>
      <c r="D25" s="108"/>
      <c r="E25" s="172" t="s">
        <v>139</v>
      </c>
      <c r="F25" s="119" t="s">
        <v>55</v>
      </c>
      <c r="G25" s="173" t="s">
        <v>70</v>
      </c>
      <c r="H25" s="121" t="s">
        <v>132</v>
      </c>
      <c r="I25" s="122">
        <f t="shared" ref="I25:AB25" si="7">I21</f>
        <v>0.00117963232</v>
      </c>
      <c r="J25" s="122">
        <f t="shared" si="7"/>
        <v>0.00108341452</v>
      </c>
      <c r="K25" s="122">
        <f t="shared" si="7"/>
        <v>0.001029505029</v>
      </c>
      <c r="L25" s="122">
        <f t="shared" si="7"/>
        <v>0.001178988741</v>
      </c>
      <c r="M25" s="122">
        <f t="shared" si="7"/>
        <v>0.001178988741</v>
      </c>
      <c r="N25" s="122">
        <f t="shared" si="7"/>
        <v>0.001178988741</v>
      </c>
      <c r="O25" s="122">
        <f t="shared" si="7"/>
        <v>0.001178988741</v>
      </c>
      <c r="P25" s="122">
        <f t="shared" si="7"/>
        <v>2059273.185</v>
      </c>
      <c r="Q25" s="122">
        <f t="shared" si="7"/>
        <v>0.001179632369</v>
      </c>
      <c r="R25" s="122">
        <f t="shared" si="7"/>
        <v>0.00117963232</v>
      </c>
      <c r="S25" s="122">
        <f t="shared" si="7"/>
        <v>0.00117963232</v>
      </c>
      <c r="T25" s="122">
        <f t="shared" si="7"/>
        <v>0.00117963232</v>
      </c>
      <c r="U25" s="122">
        <f t="shared" si="7"/>
        <v>0.00117963232</v>
      </c>
      <c r="V25" s="122">
        <f t="shared" si="7"/>
        <v>0.00117963232</v>
      </c>
      <c r="W25" s="122">
        <f t="shared" si="7"/>
        <v>0.00117963232</v>
      </c>
      <c r="X25" s="122">
        <f t="shared" si="7"/>
        <v>0.00117963232</v>
      </c>
      <c r="Y25" s="122">
        <f t="shared" si="7"/>
        <v>0.00117963232</v>
      </c>
      <c r="Z25" s="122">
        <f t="shared" si="7"/>
        <v>0.000940956744</v>
      </c>
      <c r="AA25" s="122">
        <f t="shared" si="7"/>
        <v>0.001178988741</v>
      </c>
      <c r="AB25" s="122">
        <f t="shared" si="7"/>
        <v>0.001194288155</v>
      </c>
      <c r="AC25" s="39"/>
    </row>
    <row r="26">
      <c r="A26" s="107"/>
      <c r="B26" s="108"/>
      <c r="C26" s="147"/>
      <c r="D26" s="108"/>
      <c r="E26" s="124"/>
      <c r="F26" s="125"/>
      <c r="G26" s="148"/>
      <c r="H26" s="112"/>
      <c r="I26" s="117"/>
      <c r="J26" s="117"/>
      <c r="K26" s="117"/>
      <c r="L26" s="117"/>
      <c r="M26" s="117"/>
      <c r="N26" s="117"/>
      <c r="O26" s="117"/>
      <c r="P26" s="117"/>
      <c r="Q26" s="117"/>
      <c r="R26" s="117"/>
      <c r="S26" s="117"/>
      <c r="T26" s="117"/>
      <c r="U26" s="117"/>
      <c r="V26" s="117"/>
      <c r="W26" s="117"/>
      <c r="X26" s="117"/>
      <c r="Y26" s="117"/>
      <c r="Z26" s="117"/>
      <c r="AA26" s="117"/>
      <c r="AB26" s="117"/>
      <c r="AC26" s="114"/>
    </row>
    <row r="27">
      <c r="A27" s="107"/>
      <c r="B27" s="108"/>
      <c r="C27" s="147" t="s">
        <v>140</v>
      </c>
      <c r="F27" s="174"/>
      <c r="G27" s="175"/>
      <c r="H27" s="112"/>
      <c r="I27" s="117"/>
      <c r="J27" s="117"/>
      <c r="K27" s="117"/>
      <c r="L27" s="117"/>
      <c r="M27" s="117"/>
      <c r="N27" s="117"/>
      <c r="O27" s="117"/>
      <c r="P27" s="117"/>
      <c r="Q27" s="117"/>
      <c r="R27" s="117"/>
      <c r="S27" s="117"/>
      <c r="T27" s="117"/>
      <c r="U27" s="117"/>
      <c r="V27" s="117"/>
      <c r="W27" s="117"/>
      <c r="X27" s="117"/>
      <c r="Y27" s="117"/>
      <c r="Z27" s="117"/>
      <c r="AA27" s="117"/>
      <c r="AB27" s="117"/>
      <c r="AC27" s="114"/>
    </row>
    <row r="28">
      <c r="A28" s="107"/>
      <c r="B28" s="108"/>
      <c r="C28" s="176"/>
      <c r="D28" s="177"/>
      <c r="E28" s="178" t="str">
        <f>HYPERLINK(buildUrl(CELL("address", Inputs!E16)), Inputs!E16)</f>
        <v>Cost per seasonal malaria chemoprevention (SMC) cycle administered</v>
      </c>
      <c r="F28" s="154" t="str">
        <f>Inputs!F16</f>
        <v>$</v>
      </c>
      <c r="G28" s="179" t="str">
        <f>Inputs!G16</f>
        <v>input</v>
      </c>
      <c r="H28" s="132" t="str">
        <f>Inputs!H16</f>
        <v>-</v>
      </c>
      <c r="I28" s="180">
        <f>Inputs!I16</f>
        <v>1.641799</v>
      </c>
      <c r="J28" s="180">
        <f>Inputs!J16</f>
        <v>1.943721</v>
      </c>
      <c r="K28" s="180">
        <f>Inputs!K16</f>
        <v>2.525697</v>
      </c>
      <c r="L28" s="180">
        <f>Inputs!L16</f>
        <v>1.943721</v>
      </c>
      <c r="M28" s="180">
        <f>Inputs!M16</f>
        <v>1.943721</v>
      </c>
      <c r="N28" s="180">
        <f>Inputs!N16</f>
        <v>1.943721</v>
      </c>
      <c r="O28" s="180">
        <f>Inputs!O16</f>
        <v>1.943721</v>
      </c>
      <c r="P28" s="180">
        <f>Inputs!P16</f>
        <v>2.07331794</v>
      </c>
      <c r="Q28" s="180">
        <f>Inputs!Q16</f>
        <v>0.884114</v>
      </c>
      <c r="R28" s="180">
        <f>Inputs!R16</f>
        <v>0.738607</v>
      </c>
      <c r="S28" s="180">
        <f>Inputs!S16</f>
        <v>1.517807</v>
      </c>
      <c r="T28" s="180">
        <f>Inputs!T16</f>
        <v>1.128167</v>
      </c>
      <c r="U28" s="180">
        <f>Inputs!U16</f>
        <v>1.361817</v>
      </c>
      <c r="V28" s="180">
        <f>Inputs!V16</f>
        <v>1.151538</v>
      </c>
      <c r="W28" s="180">
        <f>Inputs!W16</f>
        <v>1.808616</v>
      </c>
      <c r="X28" s="180">
        <f>Inputs!X16</f>
        <v>1.246252</v>
      </c>
      <c r="Y28" s="180">
        <f>Inputs!Y16</f>
        <v>0.991878</v>
      </c>
      <c r="Z28" s="180">
        <f>Inputs!Z16</f>
        <v>4.6399203</v>
      </c>
      <c r="AA28" s="180">
        <f>Inputs!AA16</f>
        <v>1.932602162</v>
      </c>
      <c r="AB28" s="180">
        <f>Inputs!AB16</f>
        <v>1.98524556</v>
      </c>
      <c r="AC28" s="134"/>
    </row>
    <row r="29">
      <c r="A29" s="107"/>
      <c r="B29" s="108"/>
      <c r="C29" s="176"/>
      <c r="D29" s="177"/>
      <c r="E29" s="178" t="str">
        <f>HYPERLINK(buildUrl(CELL("address", Inputs!E17)), Inputs!E17)</f>
        <v>Number of SMC cycles per year</v>
      </c>
      <c r="F29" s="154" t="str">
        <f>Inputs!F17</f>
        <v>#</v>
      </c>
      <c r="G29" s="179" t="str">
        <f>Inputs!G17</f>
        <v>input</v>
      </c>
      <c r="H29" s="132" t="str">
        <f>Inputs!H17</f>
        <v>-</v>
      </c>
      <c r="I29" s="181">
        <f>Inputs!I17</f>
        <v>4.312275</v>
      </c>
      <c r="J29" s="181">
        <f>Inputs!J17</f>
        <v>4</v>
      </c>
      <c r="K29" s="181">
        <f>Inputs!K17</f>
        <v>5</v>
      </c>
      <c r="L29" s="181">
        <f>Inputs!L17</f>
        <v>4</v>
      </c>
      <c r="M29" s="181">
        <f>Inputs!M17</f>
        <v>4</v>
      </c>
      <c r="N29" s="181">
        <f>Inputs!N17</f>
        <v>4</v>
      </c>
      <c r="O29" s="181">
        <f>Inputs!O17</f>
        <v>4</v>
      </c>
      <c r="P29" s="181">
        <f>Inputs!P17</f>
        <v>4</v>
      </c>
      <c r="Q29" s="181">
        <f>Inputs!Q17</f>
        <v>5</v>
      </c>
      <c r="R29" s="181">
        <f>Inputs!R17</f>
        <v>4</v>
      </c>
      <c r="S29" s="181">
        <f>Inputs!S17</f>
        <v>5</v>
      </c>
      <c r="T29" s="181">
        <f>Inputs!T17</f>
        <v>4</v>
      </c>
      <c r="U29" s="181">
        <f>Inputs!U17</f>
        <v>5</v>
      </c>
      <c r="V29" s="181">
        <f>Inputs!V17</f>
        <v>5</v>
      </c>
      <c r="W29" s="181">
        <f>Inputs!W17</f>
        <v>5</v>
      </c>
      <c r="X29" s="181">
        <f>Inputs!X17</f>
        <v>5</v>
      </c>
      <c r="Y29" s="181">
        <f>Inputs!Y17</f>
        <v>4</v>
      </c>
      <c r="Z29" s="181">
        <f>Inputs!Z17</f>
        <v>5</v>
      </c>
      <c r="AA29" s="181">
        <f>Inputs!AA17</f>
        <v>4</v>
      </c>
      <c r="AB29" s="181">
        <f>Inputs!AB17</f>
        <v>5</v>
      </c>
      <c r="AC29" s="134"/>
    </row>
    <row r="30">
      <c r="A30" s="107"/>
      <c r="B30" s="108"/>
      <c r="C30" s="176"/>
      <c r="D30" s="177"/>
      <c r="E30" s="178" t="s">
        <v>141</v>
      </c>
      <c r="F30" s="154" t="s">
        <v>55</v>
      </c>
      <c r="G30" s="179" t="s">
        <v>70</v>
      </c>
      <c r="H30" s="156" t="s">
        <v>132</v>
      </c>
      <c r="I30" s="180">
        <f t="shared" ref="I30:AB30" si="8">I28*I29</f>
        <v>7.079888783</v>
      </c>
      <c r="J30" s="180">
        <f t="shared" si="8"/>
        <v>7.774884</v>
      </c>
      <c r="K30" s="180">
        <f t="shared" si="8"/>
        <v>12.628485</v>
      </c>
      <c r="L30" s="180">
        <f t="shared" si="8"/>
        <v>7.774884</v>
      </c>
      <c r="M30" s="180">
        <f t="shared" si="8"/>
        <v>7.774884</v>
      </c>
      <c r="N30" s="180">
        <f t="shared" si="8"/>
        <v>7.774884</v>
      </c>
      <c r="O30" s="180">
        <f t="shared" si="8"/>
        <v>7.774884</v>
      </c>
      <c r="P30" s="180">
        <f t="shared" si="8"/>
        <v>8.29327176</v>
      </c>
      <c r="Q30" s="180">
        <f t="shared" si="8"/>
        <v>4.42057</v>
      </c>
      <c r="R30" s="180">
        <f t="shared" si="8"/>
        <v>2.954428</v>
      </c>
      <c r="S30" s="180">
        <f t="shared" si="8"/>
        <v>7.589035</v>
      </c>
      <c r="T30" s="180">
        <f t="shared" si="8"/>
        <v>4.512668</v>
      </c>
      <c r="U30" s="180">
        <f t="shared" si="8"/>
        <v>6.809085</v>
      </c>
      <c r="V30" s="180">
        <f t="shared" si="8"/>
        <v>5.75769</v>
      </c>
      <c r="W30" s="180">
        <f t="shared" si="8"/>
        <v>9.04308</v>
      </c>
      <c r="X30" s="180">
        <f t="shared" si="8"/>
        <v>6.23126</v>
      </c>
      <c r="Y30" s="180">
        <f t="shared" si="8"/>
        <v>3.967512</v>
      </c>
      <c r="Z30" s="180">
        <f t="shared" si="8"/>
        <v>23.1996015</v>
      </c>
      <c r="AA30" s="180">
        <f t="shared" si="8"/>
        <v>7.73040865</v>
      </c>
      <c r="AB30" s="180">
        <f t="shared" si="8"/>
        <v>9.9262278</v>
      </c>
      <c r="AC30" s="134"/>
    </row>
    <row r="31">
      <c r="A31" s="107"/>
      <c r="B31" s="108"/>
      <c r="C31" s="176"/>
      <c r="D31" s="177"/>
      <c r="E31" s="118" t="s">
        <v>142</v>
      </c>
      <c r="F31" s="119" t="s">
        <v>55</v>
      </c>
      <c r="G31" s="149" t="s">
        <v>70</v>
      </c>
      <c r="H31" s="150" t="s">
        <v>132</v>
      </c>
      <c r="I31" s="182">
        <f t="shared" ref="I31:AB31" si="9">(I24/I16)*I30</f>
        <v>6.332845822</v>
      </c>
      <c r="J31" s="182">
        <f t="shared" si="9"/>
        <v>7.014881547</v>
      </c>
      <c r="K31" s="182">
        <f t="shared" si="9"/>
        <v>11.44972958</v>
      </c>
      <c r="L31" s="182">
        <f t="shared" si="9"/>
        <v>7.31518434</v>
      </c>
      <c r="M31" s="182">
        <f t="shared" si="9"/>
        <v>7.31518434</v>
      </c>
      <c r="N31" s="182">
        <f t="shared" si="9"/>
        <v>7.31518434</v>
      </c>
      <c r="O31" s="182">
        <f t="shared" si="9"/>
        <v>7.31518434</v>
      </c>
      <c r="P31" s="182">
        <f t="shared" si="9"/>
        <v>7.418197238</v>
      </c>
      <c r="Q31" s="182">
        <f t="shared" si="9"/>
        <v>3.995124883</v>
      </c>
      <c r="R31" s="182">
        <f t="shared" si="9"/>
        <v>2.642687984</v>
      </c>
      <c r="S31" s="182">
        <f t="shared" si="9"/>
        <v>6.788268865</v>
      </c>
      <c r="T31" s="182">
        <f t="shared" si="9"/>
        <v>4.036508421</v>
      </c>
      <c r="U31" s="182">
        <f t="shared" si="9"/>
        <v>6.090616225</v>
      </c>
      <c r="V31" s="182">
        <f t="shared" si="9"/>
        <v>5.15016043</v>
      </c>
      <c r="W31" s="182">
        <f t="shared" si="9"/>
        <v>8.088888562</v>
      </c>
      <c r="X31" s="182">
        <f t="shared" si="9"/>
        <v>5.573761124</v>
      </c>
      <c r="Y31" s="182">
        <f t="shared" si="9"/>
        <v>3.54887521</v>
      </c>
      <c r="Z31" s="182">
        <f t="shared" si="9"/>
        <v>21.20436269</v>
      </c>
      <c r="AA31" s="182">
        <f t="shared" si="9"/>
        <v>7.27333865</v>
      </c>
      <c r="AB31" s="182">
        <f t="shared" si="9"/>
        <v>8.867225555</v>
      </c>
      <c r="AC31" s="123"/>
    </row>
    <row r="32">
      <c r="A32" s="107"/>
      <c r="B32" s="108"/>
      <c r="C32" s="147"/>
      <c r="D32" s="108"/>
      <c r="E32" s="124"/>
      <c r="F32" s="125"/>
      <c r="G32" s="148"/>
      <c r="H32" s="112"/>
      <c r="I32" s="117"/>
      <c r="J32" s="117"/>
      <c r="K32" s="117"/>
      <c r="L32" s="117"/>
      <c r="M32" s="117"/>
      <c r="N32" s="117"/>
      <c r="O32" s="117"/>
      <c r="P32" s="117"/>
      <c r="Q32" s="117"/>
      <c r="R32" s="117"/>
      <c r="S32" s="117"/>
      <c r="T32" s="117"/>
      <c r="U32" s="117"/>
      <c r="V32" s="117"/>
      <c r="W32" s="117"/>
      <c r="X32" s="117"/>
      <c r="Y32" s="117"/>
      <c r="Z32" s="117"/>
      <c r="AA32" s="117"/>
      <c r="AB32" s="117"/>
      <c r="AC32" s="114"/>
    </row>
    <row r="33">
      <c r="A33" s="103" t="s">
        <v>143</v>
      </c>
      <c r="B33" s="6"/>
      <c r="C33" s="6"/>
      <c r="D33" s="6"/>
      <c r="E33" s="6"/>
      <c r="F33" s="6"/>
      <c r="G33" s="6"/>
      <c r="H33" s="183"/>
      <c r="I33" s="184"/>
      <c r="J33" s="184"/>
      <c r="K33" s="184"/>
      <c r="L33" s="184"/>
      <c r="M33" s="184"/>
      <c r="N33" s="184"/>
      <c r="O33" s="184"/>
      <c r="P33" s="184"/>
      <c r="Q33" s="184"/>
      <c r="R33" s="184"/>
      <c r="S33" s="184"/>
      <c r="T33" s="184"/>
      <c r="U33" s="184"/>
      <c r="V33" s="184"/>
      <c r="W33" s="184"/>
      <c r="X33" s="184"/>
      <c r="Y33" s="184"/>
      <c r="Z33" s="184"/>
      <c r="AA33" s="184"/>
      <c r="AB33" s="184"/>
      <c r="AC33" s="185"/>
    </row>
    <row r="34">
      <c r="A34" s="107"/>
      <c r="B34" s="108"/>
      <c r="C34" s="108"/>
      <c r="D34" s="108"/>
      <c r="E34" s="109"/>
      <c r="F34" s="110"/>
      <c r="G34" s="186"/>
      <c r="H34" s="112"/>
      <c r="I34" s="187"/>
      <c r="J34" s="187"/>
      <c r="K34" s="187"/>
      <c r="L34" s="187"/>
      <c r="M34" s="187"/>
      <c r="N34" s="187"/>
      <c r="O34" s="187"/>
      <c r="P34" s="187"/>
      <c r="Q34" s="187"/>
      <c r="R34" s="187"/>
      <c r="S34" s="187"/>
      <c r="T34" s="187"/>
      <c r="U34" s="187"/>
      <c r="V34" s="187"/>
      <c r="W34" s="187"/>
      <c r="X34" s="187"/>
      <c r="Y34" s="187"/>
      <c r="Z34" s="187"/>
      <c r="AA34" s="187"/>
      <c r="AB34" s="187"/>
      <c r="AC34" s="114"/>
    </row>
    <row r="35">
      <c r="A35" s="107"/>
      <c r="B35" s="108"/>
      <c r="C35" s="115" t="s">
        <v>144</v>
      </c>
      <c r="F35" s="125"/>
      <c r="G35" s="169"/>
      <c r="H35" s="188"/>
      <c r="I35" s="189"/>
      <c r="J35" s="189"/>
      <c r="K35" s="189"/>
      <c r="L35" s="189"/>
      <c r="M35" s="189"/>
      <c r="N35" s="189"/>
      <c r="O35" s="189"/>
      <c r="P35" s="189"/>
      <c r="Q35" s="189"/>
      <c r="R35" s="189"/>
      <c r="S35" s="189"/>
      <c r="T35" s="189"/>
      <c r="U35" s="189"/>
      <c r="V35" s="189"/>
      <c r="W35" s="189"/>
      <c r="X35" s="189"/>
      <c r="Y35" s="189"/>
      <c r="Z35" s="189"/>
      <c r="AA35" s="189"/>
      <c r="AB35" s="189"/>
      <c r="AC35" s="114"/>
    </row>
    <row r="36">
      <c r="A36" s="107"/>
      <c r="B36" s="108"/>
      <c r="C36" s="190"/>
      <c r="D36" s="108"/>
      <c r="E36" s="118" t="s">
        <v>145</v>
      </c>
      <c r="F36" s="119" t="s">
        <v>49</v>
      </c>
      <c r="G36" s="191" t="s">
        <v>70</v>
      </c>
      <c r="H36" s="150" t="s">
        <v>132</v>
      </c>
      <c r="I36" s="192">
        <f t="shared" ref="I36:AB36" si="10">I19/I31</f>
        <v>0.001579068918</v>
      </c>
      <c r="J36" s="192">
        <f t="shared" si="10"/>
        <v>0.001425540821</v>
      </c>
      <c r="K36" s="192">
        <f t="shared" si="10"/>
        <v>0.0008733830724</v>
      </c>
      <c r="L36" s="192">
        <f t="shared" si="10"/>
        <v>0.001367019549</v>
      </c>
      <c r="M36" s="192">
        <f t="shared" si="10"/>
        <v>0.001367019549</v>
      </c>
      <c r="N36" s="192">
        <f t="shared" si="10"/>
        <v>0.001367019549</v>
      </c>
      <c r="O36" s="192">
        <f t="shared" si="10"/>
        <v>0.001367019549</v>
      </c>
      <c r="P36" s="192">
        <f t="shared" si="10"/>
        <v>2353254.648</v>
      </c>
      <c r="Q36" s="192">
        <f t="shared" si="10"/>
        <v>0.002503050666</v>
      </c>
      <c r="R36" s="192">
        <f t="shared" si="10"/>
        <v>0.003784025984</v>
      </c>
      <c r="S36" s="192">
        <f t="shared" si="10"/>
        <v>0.00147312963</v>
      </c>
      <c r="T36" s="192">
        <f t="shared" si="10"/>
        <v>0.002477388614</v>
      </c>
      <c r="U36" s="192">
        <f t="shared" si="10"/>
        <v>0.00164186999</v>
      </c>
      <c r="V36" s="192">
        <f t="shared" si="10"/>
        <v>0.001941687086</v>
      </c>
      <c r="W36" s="192">
        <f t="shared" si="10"/>
        <v>0.001236263786</v>
      </c>
      <c r="X36" s="192">
        <f t="shared" si="10"/>
        <v>0.001794120663</v>
      </c>
      <c r="Y36" s="192">
        <f t="shared" si="10"/>
        <v>0.002817794204</v>
      </c>
      <c r="Z36" s="192">
        <f t="shared" si="10"/>
        <v>0.0004716010637</v>
      </c>
      <c r="AA36" s="192">
        <f t="shared" si="10"/>
        <v>0.001374884421</v>
      </c>
      <c r="AB36" s="192">
        <f t="shared" si="10"/>
        <v>0.001127748464</v>
      </c>
      <c r="AC36" s="123"/>
    </row>
    <row r="37">
      <c r="A37" s="107"/>
      <c r="B37" s="108"/>
      <c r="C37" s="108"/>
      <c r="D37" s="108"/>
      <c r="E37" s="109"/>
      <c r="F37" s="110"/>
      <c r="G37" s="116"/>
      <c r="H37" s="112"/>
      <c r="I37" s="117"/>
      <c r="J37" s="117"/>
      <c r="K37" s="117"/>
      <c r="L37" s="117"/>
      <c r="M37" s="117"/>
      <c r="N37" s="117"/>
      <c r="O37" s="117"/>
      <c r="P37" s="117"/>
      <c r="Q37" s="117"/>
      <c r="R37" s="117"/>
      <c r="S37" s="117"/>
      <c r="T37" s="117"/>
      <c r="U37" s="117"/>
      <c r="V37" s="117"/>
      <c r="W37" s="117"/>
      <c r="X37" s="117"/>
      <c r="Y37" s="117"/>
      <c r="Z37" s="117"/>
      <c r="AA37" s="117"/>
      <c r="AB37" s="117"/>
      <c r="AC37" s="114"/>
    </row>
    <row r="38">
      <c r="A38" s="103" t="s">
        <v>146</v>
      </c>
      <c r="B38" s="6"/>
      <c r="C38" s="6"/>
      <c r="D38" s="6"/>
      <c r="E38" s="6"/>
      <c r="F38" s="6"/>
      <c r="G38" s="6"/>
      <c r="H38" s="183"/>
      <c r="I38" s="184"/>
      <c r="J38" s="184"/>
      <c r="K38" s="184"/>
      <c r="L38" s="184"/>
      <c r="M38" s="184"/>
      <c r="N38" s="184"/>
      <c r="O38" s="184"/>
      <c r="P38" s="184"/>
      <c r="Q38" s="184"/>
      <c r="R38" s="184"/>
      <c r="S38" s="184"/>
      <c r="T38" s="184"/>
      <c r="U38" s="184"/>
      <c r="V38" s="184"/>
      <c r="W38" s="184"/>
      <c r="X38" s="184"/>
      <c r="Y38" s="184"/>
      <c r="Z38" s="184"/>
      <c r="AA38" s="184"/>
      <c r="AB38" s="184"/>
      <c r="AC38" s="185"/>
    </row>
    <row r="39">
      <c r="A39" s="107"/>
      <c r="B39" s="108"/>
      <c r="C39" s="193"/>
      <c r="D39" s="108"/>
      <c r="E39" s="109"/>
      <c r="F39" s="110"/>
      <c r="G39" s="111"/>
      <c r="H39" s="112"/>
      <c r="I39" s="117"/>
      <c r="J39" s="117"/>
      <c r="K39" s="117"/>
      <c r="L39" s="117"/>
      <c r="M39" s="117"/>
      <c r="N39" s="117"/>
      <c r="O39" s="117"/>
      <c r="P39" s="117"/>
      <c r="Q39" s="117"/>
      <c r="R39" s="117"/>
      <c r="S39" s="117"/>
      <c r="T39" s="117"/>
      <c r="U39" s="117"/>
      <c r="V39" s="117"/>
      <c r="W39" s="117"/>
      <c r="X39" s="117"/>
      <c r="Y39" s="117"/>
      <c r="Z39" s="117"/>
      <c r="AA39" s="117"/>
      <c r="AB39" s="117"/>
      <c r="AC39" s="114"/>
    </row>
    <row r="40">
      <c r="A40" s="107"/>
      <c r="B40" s="108"/>
      <c r="C40" s="194" t="s">
        <v>147</v>
      </c>
      <c r="F40" s="110"/>
      <c r="G40" s="111"/>
      <c r="H40" s="112"/>
      <c r="I40" s="117"/>
      <c r="J40" s="117"/>
      <c r="K40" s="117"/>
      <c r="L40" s="117"/>
      <c r="M40" s="117"/>
      <c r="N40" s="117"/>
      <c r="O40" s="117"/>
      <c r="P40" s="117"/>
      <c r="Q40" s="117"/>
      <c r="R40" s="117"/>
      <c r="S40" s="117"/>
      <c r="T40" s="117"/>
      <c r="U40" s="117"/>
      <c r="V40" s="117"/>
      <c r="W40" s="117"/>
      <c r="X40" s="117"/>
      <c r="Y40" s="117"/>
      <c r="Z40" s="117"/>
      <c r="AA40" s="117"/>
      <c r="AB40" s="117"/>
      <c r="AC40" s="114"/>
    </row>
    <row r="41">
      <c r="A41" s="107"/>
      <c r="B41" s="108"/>
      <c r="C41" s="194"/>
      <c r="D41" s="194"/>
      <c r="E41" s="178" t="str">
        <f>HYPERLINK(buildUrl(CELL("address", Inputs!E45)), Inputs!E45)</f>
        <v>Reduction in malaria incidence for children under age 5 targeted for SMC found in GiveWell's adjusted version of the Meremikwu et al. 2012 meta-analysis</v>
      </c>
      <c r="F41" s="154" t="str">
        <f>Inputs!F45</f>
        <v>%</v>
      </c>
      <c r="G41" s="179" t="str">
        <f>Inputs!G45</f>
        <v>input</v>
      </c>
      <c r="H41" s="195">
        <f>Inputs!H45</f>
        <v>0.75</v>
      </c>
      <c r="I41" s="196" t="str">
        <f>Inputs!I45</f>
        <v>-</v>
      </c>
      <c r="J41" s="196" t="str">
        <f>Inputs!J45</f>
        <v>-</v>
      </c>
      <c r="K41" s="196" t="str">
        <f>Inputs!K45</f>
        <v>-</v>
      </c>
      <c r="L41" s="196" t="str">
        <f>Inputs!L45</f>
        <v>-</v>
      </c>
      <c r="M41" s="196" t="str">
        <f>Inputs!M45</f>
        <v>-</v>
      </c>
      <c r="N41" s="196" t="str">
        <f>Inputs!N45</f>
        <v>-</v>
      </c>
      <c r="O41" s="196" t="str">
        <f>Inputs!O45</f>
        <v>-</v>
      </c>
      <c r="P41" s="196" t="str">
        <f>Inputs!P45</f>
        <v>-</v>
      </c>
      <c r="Q41" s="196" t="str">
        <f>Inputs!Q45</f>
        <v>-</v>
      </c>
      <c r="R41" s="196" t="str">
        <f>Inputs!R45</f>
        <v>-</v>
      </c>
      <c r="S41" s="196" t="str">
        <f>Inputs!S45</f>
        <v>-</v>
      </c>
      <c r="T41" s="196" t="str">
        <f>Inputs!T45</f>
        <v>-</v>
      </c>
      <c r="U41" s="196" t="str">
        <f>Inputs!U45</f>
        <v>-</v>
      </c>
      <c r="V41" s="196" t="str">
        <f>Inputs!V45</f>
        <v>-</v>
      </c>
      <c r="W41" s="196" t="str">
        <f>Inputs!W45</f>
        <v>-</v>
      </c>
      <c r="X41" s="196" t="str">
        <f>Inputs!X45</f>
        <v>-</v>
      </c>
      <c r="Y41" s="196" t="str">
        <f>Inputs!Y45</f>
        <v>-</v>
      </c>
      <c r="Z41" s="196" t="str">
        <f>Inputs!Z45</f>
        <v>-</v>
      </c>
      <c r="AA41" s="196" t="str">
        <f>Inputs!AA45</f>
        <v>-</v>
      </c>
      <c r="AB41" s="196" t="str">
        <f>Inputs!AB45</f>
        <v>-</v>
      </c>
      <c r="AC41" s="134"/>
    </row>
    <row r="42">
      <c r="A42" s="107"/>
      <c r="B42" s="108"/>
      <c r="C42" s="194"/>
      <c r="D42" s="194"/>
      <c r="E42" s="178" t="str">
        <f>HYPERLINK(buildUrl(CELL("address", Inputs!E46)), Inputs!E46)</f>
        <v>Estimated proportion of children targeted for SMC in trials that received SMC</v>
      </c>
      <c r="F42" s="154" t="str">
        <f>Inputs!F46</f>
        <v>%</v>
      </c>
      <c r="G42" s="179" t="str">
        <f>Inputs!G46</f>
        <v>input</v>
      </c>
      <c r="H42" s="197">
        <f>Inputs!H46</f>
        <v>0.8977</v>
      </c>
      <c r="I42" s="198" t="s">
        <v>132</v>
      </c>
      <c r="J42" s="198" t="s">
        <v>132</v>
      </c>
      <c r="K42" s="198" t="s">
        <v>132</v>
      </c>
      <c r="L42" s="198" t="s">
        <v>132</v>
      </c>
      <c r="M42" s="198" t="s">
        <v>132</v>
      </c>
      <c r="N42" s="198" t="s">
        <v>132</v>
      </c>
      <c r="O42" s="198" t="s">
        <v>132</v>
      </c>
      <c r="P42" s="198" t="s">
        <v>132</v>
      </c>
      <c r="Q42" s="198" t="s">
        <v>132</v>
      </c>
      <c r="R42" s="198" t="s">
        <v>132</v>
      </c>
      <c r="S42" s="198" t="s">
        <v>132</v>
      </c>
      <c r="T42" s="198" t="s">
        <v>132</v>
      </c>
      <c r="U42" s="198" t="s">
        <v>132</v>
      </c>
      <c r="V42" s="198" t="s">
        <v>132</v>
      </c>
      <c r="W42" s="198" t="s">
        <v>132</v>
      </c>
      <c r="X42" s="198" t="s">
        <v>132</v>
      </c>
      <c r="Y42" s="198" t="s">
        <v>132</v>
      </c>
      <c r="Z42" s="198" t="s">
        <v>132</v>
      </c>
      <c r="AA42" s="198" t="s">
        <v>132</v>
      </c>
      <c r="AB42" s="198" t="s">
        <v>132</v>
      </c>
      <c r="AC42" s="134"/>
    </row>
    <row r="43">
      <c r="A43" s="107"/>
      <c r="B43" s="108"/>
      <c r="C43" s="194"/>
      <c r="D43" s="194"/>
      <c r="E43" s="178" t="s">
        <v>148</v>
      </c>
      <c r="F43" s="154" t="s">
        <v>59</v>
      </c>
      <c r="G43" s="179" t="s">
        <v>70</v>
      </c>
      <c r="H43" s="197">
        <f>H41/H42</f>
        <v>0.8354684193</v>
      </c>
      <c r="I43" s="198" t="s">
        <v>132</v>
      </c>
      <c r="J43" s="198" t="s">
        <v>132</v>
      </c>
      <c r="K43" s="198" t="s">
        <v>132</v>
      </c>
      <c r="L43" s="198" t="s">
        <v>132</v>
      </c>
      <c r="M43" s="198" t="s">
        <v>132</v>
      </c>
      <c r="N43" s="198" t="s">
        <v>132</v>
      </c>
      <c r="O43" s="198" t="s">
        <v>132</v>
      </c>
      <c r="P43" s="198" t="s">
        <v>132</v>
      </c>
      <c r="Q43" s="198" t="s">
        <v>132</v>
      </c>
      <c r="R43" s="198" t="s">
        <v>132</v>
      </c>
      <c r="S43" s="198" t="s">
        <v>132</v>
      </c>
      <c r="T43" s="198" t="s">
        <v>132</v>
      </c>
      <c r="U43" s="198" t="s">
        <v>132</v>
      </c>
      <c r="V43" s="198" t="s">
        <v>132</v>
      </c>
      <c r="W43" s="198" t="s">
        <v>132</v>
      </c>
      <c r="X43" s="198" t="s">
        <v>132</v>
      </c>
      <c r="Y43" s="198" t="s">
        <v>132</v>
      </c>
      <c r="Z43" s="198" t="s">
        <v>132</v>
      </c>
      <c r="AA43" s="198" t="s">
        <v>132</v>
      </c>
      <c r="AB43" s="198" t="s">
        <v>132</v>
      </c>
      <c r="AC43" s="134"/>
    </row>
    <row r="44">
      <c r="A44" s="107"/>
      <c r="B44" s="108"/>
      <c r="C44" s="194"/>
      <c r="D44" s="194"/>
      <c r="E44" s="178" t="str">
        <f>HYPERLINK(buildUrl(CELL("address", Inputs!E47)), Inputs!E47)</f>
        <v>Internal validity adjustment</v>
      </c>
      <c r="F44" s="159" t="str">
        <f>Inputs!F47</f>
        <v>%</v>
      </c>
      <c r="G44" s="148" t="str">
        <f>Inputs!G47</f>
        <v>input</v>
      </c>
      <c r="H44" s="199">
        <f>Inputs!H47</f>
        <v>-0.05</v>
      </c>
      <c r="I44" s="117" t="str">
        <f>Inputs!I47</f>
        <v>-</v>
      </c>
      <c r="J44" s="117" t="str">
        <f>Inputs!J47</f>
        <v>-</v>
      </c>
      <c r="K44" s="117" t="str">
        <f>Inputs!K47</f>
        <v>-</v>
      </c>
      <c r="L44" s="117" t="str">
        <f>Inputs!L47</f>
        <v>-</v>
      </c>
      <c r="M44" s="117" t="str">
        <f>Inputs!M47</f>
        <v>-</v>
      </c>
      <c r="N44" s="117" t="str">
        <f>Inputs!N47</f>
        <v>-</v>
      </c>
      <c r="O44" s="117" t="str">
        <f>Inputs!O47</f>
        <v>-</v>
      </c>
      <c r="P44" s="117" t="str">
        <f>Inputs!P47</f>
        <v>-</v>
      </c>
      <c r="Q44" s="117" t="str">
        <f>Inputs!Q47</f>
        <v>-</v>
      </c>
      <c r="R44" s="117" t="str">
        <f>Inputs!R47</f>
        <v>-</v>
      </c>
      <c r="S44" s="117" t="str">
        <f>Inputs!S47</f>
        <v>-</v>
      </c>
      <c r="T44" s="117" t="str">
        <f>Inputs!T47</f>
        <v>-</v>
      </c>
      <c r="U44" s="117" t="str">
        <f>Inputs!U47</f>
        <v>-</v>
      </c>
      <c r="V44" s="117" t="str">
        <f>Inputs!V47</f>
        <v>-</v>
      </c>
      <c r="W44" s="117" t="str">
        <f>Inputs!W47</f>
        <v>-</v>
      </c>
      <c r="X44" s="117" t="str">
        <f>Inputs!X47</f>
        <v>-</v>
      </c>
      <c r="Y44" s="117" t="str">
        <f>Inputs!Y47</f>
        <v>-</v>
      </c>
      <c r="Z44" s="117" t="str">
        <f>Inputs!Z47</f>
        <v>-</v>
      </c>
      <c r="AA44" s="117" t="str">
        <f>Inputs!AA47</f>
        <v>-</v>
      </c>
      <c r="AB44" s="117" t="str">
        <f>Inputs!AB47</f>
        <v>-</v>
      </c>
      <c r="AC44" s="200"/>
    </row>
    <row r="45">
      <c r="A45" s="107"/>
      <c r="B45" s="108"/>
      <c r="C45" s="108"/>
      <c r="D45" s="108"/>
      <c r="E45" s="201" t="str">
        <f>HYPERLINK(buildUrl(CELL("address", Inputs!E48)), Inputs!E48)</f>
        <v>External validity adjustment</v>
      </c>
      <c r="F45" s="159" t="str">
        <f>Inputs!F48</f>
        <v>%</v>
      </c>
      <c r="G45" s="202" t="str">
        <f>Inputs!G48</f>
        <v>input</v>
      </c>
      <c r="H45" s="203">
        <f>Inputs!H48</f>
        <v>0</v>
      </c>
      <c r="I45" s="139" t="str">
        <f>Inputs!I48</f>
        <v>-</v>
      </c>
      <c r="J45" s="139" t="str">
        <f>Inputs!J48</f>
        <v>-</v>
      </c>
      <c r="K45" s="139" t="str">
        <f>Inputs!K48</f>
        <v>-</v>
      </c>
      <c r="L45" s="139" t="str">
        <f>Inputs!L48</f>
        <v>-</v>
      </c>
      <c r="M45" s="139" t="str">
        <f>Inputs!M48</f>
        <v>-</v>
      </c>
      <c r="N45" s="139" t="str">
        <f>Inputs!N48</f>
        <v>-</v>
      </c>
      <c r="O45" s="139" t="str">
        <f>Inputs!O48</f>
        <v>-</v>
      </c>
      <c r="P45" s="139" t="str">
        <f>Inputs!P48</f>
        <v>-</v>
      </c>
      <c r="Q45" s="139" t="str">
        <f>Inputs!Q48</f>
        <v>-</v>
      </c>
      <c r="R45" s="139" t="str">
        <f>Inputs!R48</f>
        <v>-</v>
      </c>
      <c r="S45" s="139" t="str">
        <f>Inputs!S48</f>
        <v>-</v>
      </c>
      <c r="T45" s="139" t="str">
        <f>Inputs!T48</f>
        <v>-</v>
      </c>
      <c r="U45" s="139" t="str">
        <f>Inputs!U48</f>
        <v>-</v>
      </c>
      <c r="V45" s="139" t="str">
        <f>Inputs!V48</f>
        <v>-</v>
      </c>
      <c r="W45" s="139" t="str">
        <f>Inputs!W48</f>
        <v>-</v>
      </c>
      <c r="X45" s="139" t="str">
        <f>Inputs!X48</f>
        <v>-</v>
      </c>
      <c r="Y45" s="139" t="str">
        <f>Inputs!Y48</f>
        <v>-</v>
      </c>
      <c r="Z45" s="139" t="str">
        <f>Inputs!Z48</f>
        <v>-</v>
      </c>
      <c r="AA45" s="139" t="str">
        <f>Inputs!AA48</f>
        <v>-</v>
      </c>
      <c r="AB45" s="139" t="str">
        <f>Inputs!AB48</f>
        <v>-</v>
      </c>
      <c r="AC45" s="140"/>
    </row>
    <row r="46">
      <c r="A46" s="107"/>
      <c r="B46" s="108"/>
      <c r="C46" s="194"/>
      <c r="D46" s="194"/>
      <c r="E46" s="178" t="str">
        <f>HYPERLINK(buildUrl(CELL("address", Inputs!E49)), Inputs!E49)</f>
        <v>Adjustment for lower effectiveness outside the Sahel region of Africa</v>
      </c>
      <c r="F46" s="154" t="str">
        <f>Inputs!F49</f>
        <v>%</v>
      </c>
      <c r="G46" s="179" t="str">
        <f>Inputs!G49</f>
        <v>input</v>
      </c>
      <c r="H46" s="156" t="str">
        <f>Inputs!H49</f>
        <v>-</v>
      </c>
      <c r="I46" s="204">
        <f>Inputs!I49</f>
        <v>0</v>
      </c>
      <c r="J46" s="204">
        <f>Inputs!J49</f>
        <v>0</v>
      </c>
      <c r="K46" s="204">
        <f>Inputs!K49</f>
        <v>0</v>
      </c>
      <c r="L46" s="204">
        <f>Inputs!L49</f>
        <v>-0.25</v>
      </c>
      <c r="M46" s="204">
        <f>Inputs!M49</f>
        <v>-0.25</v>
      </c>
      <c r="N46" s="204">
        <f>Inputs!N49</f>
        <v>-0.25</v>
      </c>
      <c r="O46" s="204">
        <f>Inputs!O49</f>
        <v>-0.25</v>
      </c>
      <c r="P46" s="204">
        <f>Inputs!P49</f>
        <v>-0.25</v>
      </c>
      <c r="Q46" s="204">
        <f>Inputs!Q49</f>
        <v>0</v>
      </c>
      <c r="R46" s="204">
        <f>Inputs!R49</f>
        <v>0</v>
      </c>
      <c r="S46" s="204">
        <f>Inputs!S49</f>
        <v>0</v>
      </c>
      <c r="T46" s="204">
        <f>Inputs!T49</f>
        <v>0</v>
      </c>
      <c r="U46" s="204">
        <f>Inputs!U49</f>
        <v>0</v>
      </c>
      <c r="V46" s="204">
        <f>Inputs!V49</f>
        <v>0</v>
      </c>
      <c r="W46" s="204">
        <f>Inputs!W49</f>
        <v>0</v>
      </c>
      <c r="X46" s="204">
        <f>Inputs!X49</f>
        <v>0</v>
      </c>
      <c r="Y46" s="204">
        <f>Inputs!Y49</f>
        <v>0</v>
      </c>
      <c r="Z46" s="204">
        <f>Inputs!Z49</f>
        <v>0</v>
      </c>
      <c r="AA46" s="204">
        <f>Inputs!AA49</f>
        <v>0</v>
      </c>
      <c r="AB46" s="204">
        <f>Inputs!AB49</f>
        <v>-0.25</v>
      </c>
      <c r="AC46" s="205"/>
    </row>
    <row r="47">
      <c r="A47" s="107"/>
      <c r="B47" s="108"/>
      <c r="C47" s="194"/>
      <c r="D47" s="194"/>
      <c r="E47" s="178" t="s">
        <v>149</v>
      </c>
      <c r="F47" s="154" t="s">
        <v>59</v>
      </c>
      <c r="G47" s="179" t="s">
        <v>70</v>
      </c>
      <c r="H47" s="156" t="s">
        <v>132</v>
      </c>
      <c r="I47" s="204">
        <f t="shared" ref="I47:AB47" si="11">$H43*(1+$H44)*(1+$H45)*(1+I46)</f>
        <v>0.7936949983</v>
      </c>
      <c r="J47" s="204">
        <f t="shared" si="11"/>
        <v>0.7936949983</v>
      </c>
      <c r="K47" s="204">
        <f t="shared" si="11"/>
        <v>0.7936949983</v>
      </c>
      <c r="L47" s="204">
        <f t="shared" si="11"/>
        <v>0.5952712487</v>
      </c>
      <c r="M47" s="204">
        <f t="shared" si="11"/>
        <v>0.5952712487</v>
      </c>
      <c r="N47" s="204">
        <f t="shared" si="11"/>
        <v>0.5952712487</v>
      </c>
      <c r="O47" s="204">
        <f t="shared" si="11"/>
        <v>0.5952712487</v>
      </c>
      <c r="P47" s="204">
        <f t="shared" si="11"/>
        <v>0.5952712487</v>
      </c>
      <c r="Q47" s="204">
        <f t="shared" si="11"/>
        <v>0.7936949983</v>
      </c>
      <c r="R47" s="204">
        <f t="shared" si="11"/>
        <v>0.7936949983</v>
      </c>
      <c r="S47" s="204">
        <f t="shared" si="11"/>
        <v>0.7936949983</v>
      </c>
      <c r="T47" s="204">
        <f t="shared" si="11"/>
        <v>0.7936949983</v>
      </c>
      <c r="U47" s="204">
        <f t="shared" si="11"/>
        <v>0.7936949983</v>
      </c>
      <c r="V47" s="204">
        <f t="shared" si="11"/>
        <v>0.7936949983</v>
      </c>
      <c r="W47" s="204">
        <f t="shared" si="11"/>
        <v>0.7936949983</v>
      </c>
      <c r="X47" s="204">
        <f t="shared" si="11"/>
        <v>0.7936949983</v>
      </c>
      <c r="Y47" s="204">
        <f t="shared" si="11"/>
        <v>0.7936949983</v>
      </c>
      <c r="Z47" s="204">
        <f t="shared" si="11"/>
        <v>0.7936949983</v>
      </c>
      <c r="AA47" s="204">
        <f t="shared" si="11"/>
        <v>0.7936949983</v>
      </c>
      <c r="AB47" s="204">
        <f t="shared" si="11"/>
        <v>0.5952712487</v>
      </c>
      <c r="AC47" s="205"/>
    </row>
    <row r="48">
      <c r="A48" s="107"/>
      <c r="B48" s="108"/>
      <c r="C48" s="194"/>
      <c r="D48" s="194"/>
      <c r="E48" s="178" t="str">
        <f>HYPERLINK(buildUrl(CELL("address", Inputs!E50)), Inputs!E50)</f>
        <v>Ratio of the reduction in malaria mortality to the reduction in malaria incidence</v>
      </c>
      <c r="F48" s="154" t="str">
        <f>Inputs!F50</f>
        <v>%</v>
      </c>
      <c r="G48" s="179" t="str">
        <f>Inputs!G50</f>
        <v>input</v>
      </c>
      <c r="H48" s="195">
        <f>Inputs!H50</f>
        <v>1</v>
      </c>
      <c r="I48" s="198" t="str">
        <f>Inputs!I50</f>
        <v>-</v>
      </c>
      <c r="J48" s="198" t="str">
        <f>Inputs!J50</f>
        <v>-</v>
      </c>
      <c r="K48" s="198" t="str">
        <f>Inputs!K50</f>
        <v>-</v>
      </c>
      <c r="L48" s="198" t="str">
        <f>Inputs!L50</f>
        <v>-</v>
      </c>
      <c r="M48" s="198" t="str">
        <f>Inputs!M50</f>
        <v>-</v>
      </c>
      <c r="N48" s="198" t="str">
        <f>Inputs!N50</f>
        <v>-</v>
      </c>
      <c r="O48" s="198" t="str">
        <f>Inputs!O50</f>
        <v>-</v>
      </c>
      <c r="P48" s="198" t="str">
        <f>Inputs!P50</f>
        <v>-</v>
      </c>
      <c r="Q48" s="198" t="str">
        <f>Inputs!Q50</f>
        <v>-</v>
      </c>
      <c r="R48" s="198" t="str">
        <f>Inputs!R50</f>
        <v>-</v>
      </c>
      <c r="S48" s="198" t="str">
        <f>Inputs!S50</f>
        <v>-</v>
      </c>
      <c r="T48" s="198" t="str">
        <f>Inputs!T50</f>
        <v>-</v>
      </c>
      <c r="U48" s="198" t="str">
        <f>Inputs!U50</f>
        <v>-</v>
      </c>
      <c r="V48" s="198" t="str">
        <f>Inputs!V50</f>
        <v>-</v>
      </c>
      <c r="W48" s="198" t="str">
        <f>Inputs!W50</f>
        <v>-</v>
      </c>
      <c r="X48" s="198" t="str">
        <f>Inputs!X50</f>
        <v>-</v>
      </c>
      <c r="Y48" s="198" t="str">
        <f>Inputs!Y50</f>
        <v>-</v>
      </c>
      <c r="Z48" s="198" t="str">
        <f>Inputs!Z50</f>
        <v>-</v>
      </c>
      <c r="AA48" s="198" t="str">
        <f>Inputs!AA50</f>
        <v>-</v>
      </c>
      <c r="AB48" s="198" t="str">
        <f>Inputs!AB50</f>
        <v>-</v>
      </c>
      <c r="AC48" s="205"/>
    </row>
    <row r="49">
      <c r="A49" s="107"/>
      <c r="B49" s="108"/>
      <c r="C49" s="194"/>
      <c r="D49" s="194"/>
      <c r="E49" s="178" t="s">
        <v>150</v>
      </c>
      <c r="F49" s="154" t="s">
        <v>59</v>
      </c>
      <c r="G49" s="179" t="s">
        <v>70</v>
      </c>
      <c r="H49" s="156" t="s">
        <v>132</v>
      </c>
      <c r="I49" s="206">
        <f t="shared" ref="I49:AB49" si="12">I47*$H48</f>
        <v>0.7936949983</v>
      </c>
      <c r="J49" s="206">
        <f t="shared" si="12"/>
        <v>0.7936949983</v>
      </c>
      <c r="K49" s="206">
        <f t="shared" si="12"/>
        <v>0.7936949983</v>
      </c>
      <c r="L49" s="206">
        <f t="shared" si="12"/>
        <v>0.5952712487</v>
      </c>
      <c r="M49" s="206">
        <f t="shared" si="12"/>
        <v>0.5952712487</v>
      </c>
      <c r="N49" s="206">
        <f t="shared" si="12"/>
        <v>0.5952712487</v>
      </c>
      <c r="O49" s="206">
        <f t="shared" si="12"/>
        <v>0.5952712487</v>
      </c>
      <c r="P49" s="206">
        <f t="shared" si="12"/>
        <v>0.5952712487</v>
      </c>
      <c r="Q49" s="206">
        <f t="shared" si="12"/>
        <v>0.7936949983</v>
      </c>
      <c r="R49" s="206">
        <f t="shared" si="12"/>
        <v>0.7936949983</v>
      </c>
      <c r="S49" s="206">
        <f t="shared" si="12"/>
        <v>0.7936949983</v>
      </c>
      <c r="T49" s="206">
        <f t="shared" si="12"/>
        <v>0.7936949983</v>
      </c>
      <c r="U49" s="206">
        <f t="shared" si="12"/>
        <v>0.7936949983</v>
      </c>
      <c r="V49" s="206">
        <f t="shared" si="12"/>
        <v>0.7936949983</v>
      </c>
      <c r="W49" s="206">
        <f t="shared" si="12"/>
        <v>0.7936949983</v>
      </c>
      <c r="X49" s="206">
        <f t="shared" si="12"/>
        <v>0.7936949983</v>
      </c>
      <c r="Y49" s="206">
        <f t="shared" si="12"/>
        <v>0.7936949983</v>
      </c>
      <c r="Z49" s="206">
        <f t="shared" si="12"/>
        <v>0.7936949983</v>
      </c>
      <c r="AA49" s="206">
        <f t="shared" si="12"/>
        <v>0.7936949983</v>
      </c>
      <c r="AB49" s="206">
        <f t="shared" si="12"/>
        <v>0.5952712487</v>
      </c>
      <c r="AC49" s="134"/>
    </row>
    <row r="50">
      <c r="A50" s="107"/>
      <c r="B50" s="108"/>
      <c r="C50" s="194"/>
      <c r="D50" s="194"/>
      <c r="E50" s="178" t="str">
        <f>HYPERLINK(buildUrl(CELL("address", 'Counterfactual malaria'!E30)), 'Counterfactual malaria'!E30)</f>
        <v>Annual malaria mortality rate among 3-59-month-olds</v>
      </c>
      <c r="F50" s="154" t="str">
        <f>'Counterfactual malaria'!F30</f>
        <v>%</v>
      </c>
      <c r="G50" s="179" t="s">
        <v>72</v>
      </c>
      <c r="H50" s="156" t="str">
        <f>'Counterfactual malaria'!H30</f>
        <v>-</v>
      </c>
      <c r="I50" s="207">
        <f>'Counterfactual malaria'!I30</f>
        <v>0.00315503431</v>
      </c>
      <c r="J50" s="207">
        <f>'Counterfactual malaria'!J30</f>
        <v>0.002792265575</v>
      </c>
      <c r="K50" s="207">
        <f>'Counterfactual malaria'!K30</f>
        <v>0.002741628515</v>
      </c>
      <c r="L50" s="207">
        <f>'Counterfactual malaria'!L30</f>
        <v>0.003454895225</v>
      </c>
      <c r="M50" s="207">
        <f>'Counterfactual malaria'!M30</f>
        <v>0.003711160168</v>
      </c>
      <c r="N50" s="207">
        <f>'Counterfactual malaria'!N30</f>
        <v>0.004094440972</v>
      </c>
      <c r="O50" s="207">
        <f>'Counterfactual malaria'!O30</f>
        <v>0.004420467179</v>
      </c>
      <c r="P50" s="207">
        <f>'Counterfactual malaria'!P30</f>
        <v>0.003218223424</v>
      </c>
      <c r="Q50" s="207">
        <f>'Counterfactual malaria'!Q30</f>
        <v>0.005189992044</v>
      </c>
      <c r="R50" s="207">
        <f>'Counterfactual malaria'!R30</f>
        <v>0.003201306569</v>
      </c>
      <c r="S50" s="207">
        <f>'Counterfactual malaria'!S30</f>
        <v>0.001986574157</v>
      </c>
      <c r="T50" s="207">
        <f>'Counterfactual malaria'!T30</f>
        <v>0.006613189798</v>
      </c>
      <c r="U50" s="207">
        <f>'Counterfactual malaria'!U30</f>
        <v>0.003276020762</v>
      </c>
      <c r="V50" s="207">
        <f>'Counterfactual malaria'!V30</f>
        <v>0.003227357501</v>
      </c>
      <c r="W50" s="207">
        <f>'Counterfactual malaria'!W30</f>
        <v>0.002548798932</v>
      </c>
      <c r="X50" s="207">
        <f>'Counterfactual malaria'!X30</f>
        <v>0.003213931806</v>
      </c>
      <c r="Y50" s="207">
        <f>'Counterfactual malaria'!Y30</f>
        <v>0.005499247076</v>
      </c>
      <c r="Z50" s="207">
        <f>'Counterfactual malaria'!Z30</f>
        <v>0.002479145522</v>
      </c>
      <c r="AA50" s="207">
        <f>'Counterfactual malaria'!AA30</f>
        <v>0.001846006964</v>
      </c>
      <c r="AB50" s="207">
        <f>'Counterfactual malaria'!AB30</f>
        <v>0.002245966688</v>
      </c>
      <c r="AC50" s="134"/>
    </row>
    <row r="51">
      <c r="A51" s="107"/>
      <c r="B51" s="108"/>
      <c r="C51" s="194"/>
      <c r="D51" s="194"/>
      <c r="E51" s="178" t="str">
        <f>HYPERLINK(buildUrl(CELL("address", Inputs!E52)), Inputs!E52)</f>
        <v>Indirect malaria deaths per direct malaria death</v>
      </c>
      <c r="F51" s="154" t="str">
        <f>Inputs!F52</f>
        <v>#</v>
      </c>
      <c r="G51" s="179" t="str">
        <f>Inputs!G52</f>
        <v>input</v>
      </c>
      <c r="H51" s="156">
        <f>Inputs!H52</f>
        <v>0.75</v>
      </c>
      <c r="I51" s="208" t="str">
        <f>Inputs!I52</f>
        <v>-</v>
      </c>
      <c r="J51" s="208" t="str">
        <f>Inputs!J52</f>
        <v>-</v>
      </c>
      <c r="K51" s="208" t="str">
        <f>Inputs!K52</f>
        <v>-</v>
      </c>
      <c r="L51" s="208" t="str">
        <f>Inputs!L52</f>
        <v>-</v>
      </c>
      <c r="M51" s="208" t="str">
        <f>Inputs!M52</f>
        <v>-</v>
      </c>
      <c r="N51" s="208" t="str">
        <f>Inputs!N52</f>
        <v>-</v>
      </c>
      <c r="O51" s="208" t="str">
        <f>Inputs!O52</f>
        <v>-</v>
      </c>
      <c r="P51" s="208" t="str">
        <f>Inputs!P52</f>
        <v>-</v>
      </c>
      <c r="Q51" s="208" t="str">
        <f>Inputs!Q52</f>
        <v>-</v>
      </c>
      <c r="R51" s="208" t="str">
        <f>Inputs!R52</f>
        <v>-</v>
      </c>
      <c r="S51" s="208" t="str">
        <f>Inputs!S52</f>
        <v>-</v>
      </c>
      <c r="T51" s="208" t="str">
        <f>Inputs!T52</f>
        <v>-</v>
      </c>
      <c r="U51" s="208" t="str">
        <f>Inputs!U52</f>
        <v>-</v>
      </c>
      <c r="V51" s="208" t="str">
        <f>Inputs!V52</f>
        <v>-</v>
      </c>
      <c r="W51" s="208" t="str">
        <f>Inputs!W52</f>
        <v>-</v>
      </c>
      <c r="X51" s="208" t="str">
        <f>Inputs!X52</f>
        <v>-</v>
      </c>
      <c r="Y51" s="208" t="str">
        <f>Inputs!Y52</f>
        <v>-</v>
      </c>
      <c r="Z51" s="208" t="str">
        <f>Inputs!Z52</f>
        <v>-</v>
      </c>
      <c r="AA51" s="208" t="str">
        <f>Inputs!AA52</f>
        <v>-</v>
      </c>
      <c r="AB51" s="208" t="str">
        <f>Inputs!AB52</f>
        <v>-</v>
      </c>
      <c r="AC51" s="134"/>
    </row>
    <row r="52">
      <c r="A52" s="107"/>
      <c r="B52" s="108"/>
      <c r="C52" s="194"/>
      <c r="D52" s="194"/>
      <c r="E52" s="178" t="s">
        <v>151</v>
      </c>
      <c r="F52" s="154" t="s">
        <v>59</v>
      </c>
      <c r="G52" s="179" t="s">
        <v>70</v>
      </c>
      <c r="H52" s="156" t="s">
        <v>132</v>
      </c>
      <c r="I52" s="207">
        <f t="shared" ref="I52:AB52" si="13">I50*(1+$H51)</f>
        <v>0.005521310042</v>
      </c>
      <c r="J52" s="207">
        <f t="shared" si="13"/>
        <v>0.004886464756</v>
      </c>
      <c r="K52" s="207">
        <f t="shared" si="13"/>
        <v>0.004797849902</v>
      </c>
      <c r="L52" s="207">
        <f t="shared" si="13"/>
        <v>0.006046066643</v>
      </c>
      <c r="M52" s="207">
        <f t="shared" si="13"/>
        <v>0.006494530294</v>
      </c>
      <c r="N52" s="207">
        <f t="shared" si="13"/>
        <v>0.007165271701</v>
      </c>
      <c r="O52" s="207">
        <f t="shared" si="13"/>
        <v>0.007735817564</v>
      </c>
      <c r="P52" s="207">
        <f t="shared" si="13"/>
        <v>0.005631890992</v>
      </c>
      <c r="Q52" s="207">
        <f t="shared" si="13"/>
        <v>0.009082486078</v>
      </c>
      <c r="R52" s="207">
        <f t="shared" si="13"/>
        <v>0.005602286495</v>
      </c>
      <c r="S52" s="207">
        <f t="shared" si="13"/>
        <v>0.003476504774</v>
      </c>
      <c r="T52" s="207">
        <f t="shared" si="13"/>
        <v>0.01157308215</v>
      </c>
      <c r="U52" s="207">
        <f t="shared" si="13"/>
        <v>0.005733036333</v>
      </c>
      <c r="V52" s="207">
        <f t="shared" si="13"/>
        <v>0.005647875626</v>
      </c>
      <c r="W52" s="207">
        <f t="shared" si="13"/>
        <v>0.004460398131</v>
      </c>
      <c r="X52" s="207">
        <f t="shared" si="13"/>
        <v>0.00562438066</v>
      </c>
      <c r="Y52" s="207">
        <f t="shared" si="13"/>
        <v>0.009623682382</v>
      </c>
      <c r="Z52" s="207">
        <f t="shared" si="13"/>
        <v>0.004338504664</v>
      </c>
      <c r="AA52" s="207">
        <f t="shared" si="13"/>
        <v>0.003230512188</v>
      </c>
      <c r="AB52" s="207">
        <f t="shared" si="13"/>
        <v>0.003930441704</v>
      </c>
      <c r="AC52" s="134"/>
    </row>
    <row r="53">
      <c r="A53" s="107"/>
      <c r="B53" s="108"/>
      <c r="C53" s="194"/>
      <c r="D53" s="194"/>
      <c r="E53" s="178" t="str">
        <f>HYPERLINK(buildUrl(CELL("address", Inputs!E51)), Inputs!E51)</f>
        <v>Relative reduction in mortality rate due to vaccine rollout</v>
      </c>
      <c r="F53" s="154" t="str">
        <f>Inputs!F51</f>
        <v>%</v>
      </c>
      <c r="G53" s="154" t="str">
        <f>Inputs!G51</f>
        <v>input</v>
      </c>
      <c r="H53" s="195" t="str">
        <f>Inputs!H51</f>
        <v>-</v>
      </c>
      <c r="I53" s="206">
        <f>Inputs!I51</f>
        <v>-0.14</v>
      </c>
      <c r="J53" s="206">
        <f>Inputs!J51</f>
        <v>-0.02</v>
      </c>
      <c r="K53" s="206">
        <f>Inputs!K51</f>
        <v>-0.12</v>
      </c>
      <c r="L53" s="206">
        <f>Inputs!L51</f>
        <v>-0.11</v>
      </c>
      <c r="M53" s="206">
        <f>Inputs!M51</f>
        <v>-0.11</v>
      </c>
      <c r="N53" s="206">
        <f>Inputs!N51</f>
        <v>-0.11</v>
      </c>
      <c r="O53" s="206">
        <f>Inputs!O51</f>
        <v>-0.11</v>
      </c>
      <c r="P53" s="206">
        <f>Inputs!P51</f>
        <v>-0.17</v>
      </c>
      <c r="Q53" s="206">
        <f>Inputs!Q51</f>
        <v>-0.11</v>
      </c>
      <c r="R53" s="206">
        <f>Inputs!R51</f>
        <v>-0.11</v>
      </c>
      <c r="S53" s="206">
        <f>Inputs!S51</f>
        <v>-0.11</v>
      </c>
      <c r="T53" s="206">
        <f>Inputs!T51</f>
        <v>-0.11</v>
      </c>
      <c r="U53" s="206">
        <f>Inputs!U51</f>
        <v>-0.11</v>
      </c>
      <c r="V53" s="206">
        <f>Inputs!V51</f>
        <v>-0.11</v>
      </c>
      <c r="W53" s="206">
        <f>Inputs!W51</f>
        <v>-0.11</v>
      </c>
      <c r="X53" s="206">
        <f>Inputs!X51</f>
        <v>-0.11</v>
      </c>
      <c r="Y53" s="206">
        <f>Inputs!Y51</f>
        <v>-0.11</v>
      </c>
      <c r="Z53" s="206">
        <f>Inputs!Z51</f>
        <v>-0.14</v>
      </c>
      <c r="AA53" s="206">
        <f>Inputs!AA51</f>
        <v>-0.13</v>
      </c>
      <c r="AB53" s="206">
        <f>Inputs!AB51</f>
        <v>-0.17</v>
      </c>
      <c r="AC53" s="134"/>
    </row>
    <row r="54">
      <c r="A54" s="107"/>
      <c r="B54" s="108"/>
      <c r="C54" s="194"/>
      <c r="D54" s="194"/>
      <c r="E54" s="178" t="s">
        <v>152</v>
      </c>
      <c r="F54" s="154" t="s">
        <v>59</v>
      </c>
      <c r="G54" s="179" t="s">
        <v>70</v>
      </c>
      <c r="H54" s="156" t="s">
        <v>132</v>
      </c>
      <c r="I54" s="207">
        <f t="shared" ref="I54:AB54" si="14">I50*(1+$H51)*(1+I53)</f>
        <v>0.004748326636</v>
      </c>
      <c r="J54" s="207">
        <f t="shared" si="14"/>
        <v>0.004788735461</v>
      </c>
      <c r="K54" s="207">
        <f t="shared" si="14"/>
        <v>0.004222107914</v>
      </c>
      <c r="L54" s="207">
        <f t="shared" si="14"/>
        <v>0.005380999312</v>
      </c>
      <c r="M54" s="207">
        <f t="shared" si="14"/>
        <v>0.005780131961</v>
      </c>
      <c r="N54" s="207">
        <f t="shared" si="14"/>
        <v>0.006377091814</v>
      </c>
      <c r="O54" s="207">
        <f t="shared" si="14"/>
        <v>0.006884877632</v>
      </c>
      <c r="P54" s="207">
        <f t="shared" si="14"/>
        <v>0.004674469524</v>
      </c>
      <c r="Q54" s="207">
        <f t="shared" si="14"/>
        <v>0.008083412609</v>
      </c>
      <c r="R54" s="207">
        <f t="shared" si="14"/>
        <v>0.004986034981</v>
      </c>
      <c r="S54" s="207">
        <f t="shared" si="14"/>
        <v>0.003094089249</v>
      </c>
      <c r="T54" s="207">
        <f t="shared" si="14"/>
        <v>0.01030004311</v>
      </c>
      <c r="U54" s="207">
        <f t="shared" si="14"/>
        <v>0.005102402336</v>
      </c>
      <c r="V54" s="207">
        <f t="shared" si="14"/>
        <v>0.005026609308</v>
      </c>
      <c r="W54" s="207">
        <f t="shared" si="14"/>
        <v>0.003969754336</v>
      </c>
      <c r="X54" s="207">
        <f t="shared" si="14"/>
        <v>0.005005698787</v>
      </c>
      <c r="Y54" s="207">
        <f t="shared" si="14"/>
        <v>0.00856507732</v>
      </c>
      <c r="Z54" s="207">
        <f t="shared" si="14"/>
        <v>0.003731114011</v>
      </c>
      <c r="AA54" s="207">
        <f t="shared" si="14"/>
        <v>0.002810545603</v>
      </c>
      <c r="AB54" s="207">
        <f t="shared" si="14"/>
        <v>0.003262266614</v>
      </c>
      <c r="AC54" s="134"/>
    </row>
    <row r="55">
      <c r="A55" s="107"/>
      <c r="B55" s="108"/>
      <c r="C55" s="194"/>
      <c r="D55" s="194"/>
      <c r="E55" s="178" t="s">
        <v>153</v>
      </c>
      <c r="F55" s="154" t="s">
        <v>49</v>
      </c>
      <c r="G55" s="179" t="s">
        <v>70</v>
      </c>
      <c r="H55" s="156" t="s">
        <v>132</v>
      </c>
      <c r="I55" s="209">
        <f t="shared" ref="I55:AB55" si="15">I36*I54</f>
        <v>0.000007497935004</v>
      </c>
      <c r="J55" s="209">
        <f t="shared" si="15"/>
        <v>0.00000682653788</v>
      </c>
      <c r="K55" s="209">
        <f t="shared" si="15"/>
        <v>0.000003687517582</v>
      </c>
      <c r="L55" s="209">
        <f t="shared" si="15"/>
        <v>0.000007355931255</v>
      </c>
      <c r="M55" s="209">
        <f t="shared" si="15"/>
        <v>0.000007901553389</v>
      </c>
      <c r="N55" s="209">
        <f t="shared" si="15"/>
        <v>0.000008717609177</v>
      </c>
      <c r="O55" s="209">
        <f t="shared" si="15"/>
        <v>0.000009411762317</v>
      </c>
      <c r="P55" s="209">
        <f t="shared" si="15"/>
        <v>11000.21713</v>
      </c>
      <c r="Q55" s="209">
        <f t="shared" si="15"/>
        <v>0.00002023319132</v>
      </c>
      <c r="R55" s="209">
        <f t="shared" si="15"/>
        <v>0.00001886728592</v>
      </c>
      <c r="S55" s="209">
        <f t="shared" si="15"/>
        <v>0.00000455799455</v>
      </c>
      <c r="T55" s="209">
        <f t="shared" si="15"/>
        <v>0.00002551720952</v>
      </c>
      <c r="U55" s="209">
        <f t="shared" si="15"/>
        <v>0.000008377481272</v>
      </c>
      <c r="V55" s="209">
        <f t="shared" si="15"/>
        <v>0.00000976010238</v>
      </c>
      <c r="W55" s="209">
        <f t="shared" si="15"/>
        <v>0.000004907663526</v>
      </c>
      <c r="X55" s="209">
        <f t="shared" si="15"/>
        <v>0.000008980827625</v>
      </c>
      <c r="Y55" s="209">
        <f t="shared" si="15"/>
        <v>0.00002413462523</v>
      </c>
      <c r="Z55" s="209">
        <f t="shared" si="15"/>
        <v>0.000001759597336</v>
      </c>
      <c r="AA55" s="209">
        <f t="shared" si="15"/>
        <v>0.000003864175365</v>
      </c>
      <c r="AB55" s="209">
        <f t="shared" si="15"/>
        <v>0.000003679016163</v>
      </c>
      <c r="AC55" s="134"/>
    </row>
    <row r="56">
      <c r="A56" s="107"/>
      <c r="B56" s="108"/>
      <c r="C56" s="194"/>
      <c r="D56" s="194"/>
      <c r="E56" s="178" t="str">
        <f>HYPERLINK(buildUrl(CELL("address", Inputs!E53)), Inputs!E53)</f>
        <v>Proportion of annual malaria mortality that occurs during the SMC season</v>
      </c>
      <c r="F56" s="154" t="str">
        <f>Inputs!F53</f>
        <v>%</v>
      </c>
      <c r="G56" s="179" t="str">
        <f>Inputs!G53</f>
        <v>input</v>
      </c>
      <c r="H56" s="156" t="str">
        <f>Inputs!H53</f>
        <v>-</v>
      </c>
      <c r="I56" s="206">
        <f>Inputs!I53</f>
        <v>0.7</v>
      </c>
      <c r="J56" s="206">
        <f>Inputs!J53</f>
        <v>0.7</v>
      </c>
      <c r="K56" s="206">
        <f>Inputs!K53</f>
        <v>0.7</v>
      </c>
      <c r="L56" s="206">
        <f>Inputs!L53</f>
        <v>0.515</v>
      </c>
      <c r="M56" s="206">
        <f>Inputs!M53</f>
        <v>0.515</v>
      </c>
      <c r="N56" s="206">
        <f>Inputs!N53</f>
        <v>0.515</v>
      </c>
      <c r="O56" s="206">
        <f>Inputs!O53</f>
        <v>0.515</v>
      </c>
      <c r="P56" s="206">
        <f>Inputs!P53</f>
        <v>0.515</v>
      </c>
      <c r="Q56" s="206">
        <f>Inputs!Q53</f>
        <v>0.7</v>
      </c>
      <c r="R56" s="206">
        <f>Inputs!R53</f>
        <v>0.7</v>
      </c>
      <c r="S56" s="206">
        <f>Inputs!S53</f>
        <v>0.7</v>
      </c>
      <c r="T56" s="206">
        <f>Inputs!T53</f>
        <v>0.7</v>
      </c>
      <c r="U56" s="206">
        <f>Inputs!U53</f>
        <v>0.7</v>
      </c>
      <c r="V56" s="206">
        <f>Inputs!V53</f>
        <v>0.7</v>
      </c>
      <c r="W56" s="206">
        <f>Inputs!W53</f>
        <v>0.7</v>
      </c>
      <c r="X56" s="206">
        <f>Inputs!X53</f>
        <v>0.7</v>
      </c>
      <c r="Y56" s="206">
        <f>Inputs!Y53</f>
        <v>0.7</v>
      </c>
      <c r="Z56" s="206">
        <f>Inputs!Z53</f>
        <v>0.7</v>
      </c>
      <c r="AA56" s="206">
        <f>Inputs!AA53</f>
        <v>0.7</v>
      </c>
      <c r="AB56" s="206">
        <f>Inputs!AB53</f>
        <v>0.62</v>
      </c>
      <c r="AC56" s="134"/>
    </row>
    <row r="57">
      <c r="A57" s="107"/>
      <c r="B57" s="108"/>
      <c r="C57" s="194"/>
      <c r="D57" s="194"/>
      <c r="E57" s="178" t="s">
        <v>154</v>
      </c>
      <c r="F57" s="154" t="s">
        <v>49</v>
      </c>
      <c r="G57" s="179" t="s">
        <v>70</v>
      </c>
      <c r="H57" s="156" t="s">
        <v>132</v>
      </c>
      <c r="I57" s="209">
        <f t="shared" ref="I57:AB57" si="16">I55*I56</f>
        <v>0.000005248554503</v>
      </c>
      <c r="J57" s="209">
        <f t="shared" si="16"/>
        <v>0.000004778576516</v>
      </c>
      <c r="K57" s="209">
        <f t="shared" si="16"/>
        <v>0.000002581262307</v>
      </c>
      <c r="L57" s="209">
        <f t="shared" si="16"/>
        <v>0.000003788304596</v>
      </c>
      <c r="M57" s="209">
        <f t="shared" si="16"/>
        <v>0.000004069299995</v>
      </c>
      <c r="N57" s="209">
        <f t="shared" si="16"/>
        <v>0.000004489568726</v>
      </c>
      <c r="O57" s="209">
        <f t="shared" si="16"/>
        <v>0.000004847057593</v>
      </c>
      <c r="P57" s="209">
        <f t="shared" si="16"/>
        <v>5665.111823</v>
      </c>
      <c r="Q57" s="209">
        <f t="shared" si="16"/>
        <v>0.00001416323392</v>
      </c>
      <c r="R57" s="209">
        <f t="shared" si="16"/>
        <v>0.00001320710015</v>
      </c>
      <c r="S57" s="209">
        <f t="shared" si="16"/>
        <v>0.000003190596185</v>
      </c>
      <c r="T57" s="209">
        <f t="shared" si="16"/>
        <v>0.00001786204667</v>
      </c>
      <c r="U57" s="209">
        <f t="shared" si="16"/>
        <v>0.00000586423689</v>
      </c>
      <c r="V57" s="209">
        <f t="shared" si="16"/>
        <v>0.000006832071666</v>
      </c>
      <c r="W57" s="209">
        <f t="shared" si="16"/>
        <v>0.000003435364468</v>
      </c>
      <c r="X57" s="209">
        <f t="shared" si="16"/>
        <v>0.000006286579338</v>
      </c>
      <c r="Y57" s="209">
        <f t="shared" si="16"/>
        <v>0.00001689423766</v>
      </c>
      <c r="Z57" s="209">
        <f t="shared" si="16"/>
        <v>0.000001231718135</v>
      </c>
      <c r="AA57" s="209">
        <f t="shared" si="16"/>
        <v>0.000002704922755</v>
      </c>
      <c r="AB57" s="209">
        <f t="shared" si="16"/>
        <v>0.000002280990021</v>
      </c>
      <c r="AC57" s="134"/>
    </row>
    <row r="58">
      <c r="A58" s="107"/>
      <c r="B58" s="108"/>
      <c r="C58" s="194"/>
      <c r="D58" s="194"/>
      <c r="E58" s="118" t="s">
        <v>155</v>
      </c>
      <c r="F58" s="119" t="s">
        <v>49</v>
      </c>
      <c r="G58" s="149" t="s">
        <v>70</v>
      </c>
      <c r="H58" s="150" t="s">
        <v>132</v>
      </c>
      <c r="I58" s="210">
        <f t="shared" ref="I58:AB58" si="17">I49*I57</f>
        <v>0.000004165751457</v>
      </c>
      <c r="J58" s="210">
        <f t="shared" si="17"/>
        <v>0.00000379273228</v>
      </c>
      <c r="K58" s="210">
        <f t="shared" si="17"/>
        <v>0.000002048734983</v>
      </c>
      <c r="L58" s="210">
        <f t="shared" si="17"/>
        <v>0.000002255068808</v>
      </c>
      <c r="M58" s="210">
        <f t="shared" si="17"/>
        <v>0.00000242233729</v>
      </c>
      <c r="N58" s="210">
        <f t="shared" si="17"/>
        <v>0.000002672511182</v>
      </c>
      <c r="O58" s="210">
        <f t="shared" si="17"/>
        <v>0.000002885314026</v>
      </c>
      <c r="P58" s="210">
        <f t="shared" si="17"/>
        <v>3372.278189</v>
      </c>
      <c r="Q58" s="210">
        <f t="shared" si="17"/>
        <v>0.00001124128792</v>
      </c>
      <c r="R58" s="210">
        <f t="shared" si="17"/>
        <v>0.00001048240933</v>
      </c>
      <c r="S58" s="210">
        <f t="shared" si="17"/>
        <v>0.000002532360233</v>
      </c>
      <c r="T58" s="210">
        <f t="shared" si="17"/>
        <v>0.0000141770171</v>
      </c>
      <c r="U58" s="210">
        <f t="shared" si="17"/>
        <v>0.000004654415489</v>
      </c>
      <c r="V58" s="210">
        <f t="shared" si="17"/>
        <v>0.00000542258111</v>
      </c>
      <c r="W58" s="210">
        <f t="shared" si="17"/>
        <v>0.000002726631596</v>
      </c>
      <c r="X58" s="210">
        <f t="shared" si="17"/>
        <v>0.000004989626577</v>
      </c>
      <c r="Y58" s="210">
        <f t="shared" si="17"/>
        <v>0.00001340887193</v>
      </c>
      <c r="Z58" s="210">
        <f t="shared" si="17"/>
        <v>0.0000009776085234</v>
      </c>
      <c r="AA58" s="210">
        <f t="shared" si="17"/>
        <v>0.000002146883662</v>
      </c>
      <c r="AB58" s="210">
        <f t="shared" si="17"/>
        <v>0.000001357807778</v>
      </c>
      <c r="AC58" s="123"/>
    </row>
    <row r="59">
      <c r="A59" s="107"/>
      <c r="B59" s="108"/>
      <c r="C59" s="194"/>
      <c r="D59" s="194"/>
      <c r="E59" s="124"/>
      <c r="F59" s="110"/>
      <c r="G59" s="111"/>
      <c r="H59" s="112"/>
      <c r="I59" s="117"/>
      <c r="J59" s="117"/>
      <c r="K59" s="117"/>
      <c r="L59" s="117"/>
      <c r="M59" s="117"/>
      <c r="N59" s="117"/>
      <c r="O59" s="117"/>
      <c r="P59" s="117"/>
      <c r="Q59" s="117"/>
      <c r="R59" s="117"/>
      <c r="S59" s="117"/>
      <c r="T59" s="117"/>
      <c r="U59" s="117"/>
      <c r="V59" s="117"/>
      <c r="W59" s="117"/>
      <c r="X59" s="117"/>
      <c r="Y59" s="117"/>
      <c r="Z59" s="117"/>
      <c r="AA59" s="117"/>
      <c r="AB59" s="117"/>
      <c r="AC59" s="114"/>
    </row>
    <row r="60">
      <c r="A60" s="107"/>
      <c r="B60" s="108"/>
      <c r="C60" s="194" t="s">
        <v>156</v>
      </c>
      <c r="F60" s="125"/>
      <c r="G60" s="148"/>
      <c r="H60" s="199"/>
      <c r="I60" s="117"/>
      <c r="J60" s="117"/>
      <c r="K60" s="117"/>
      <c r="L60" s="117"/>
      <c r="M60" s="117"/>
      <c r="N60" s="117"/>
      <c r="O60" s="117"/>
      <c r="P60" s="117"/>
      <c r="Q60" s="117"/>
      <c r="R60" s="117"/>
      <c r="S60" s="117"/>
      <c r="T60" s="117"/>
      <c r="U60" s="117"/>
      <c r="V60" s="117"/>
      <c r="W60" s="117"/>
      <c r="X60" s="117"/>
      <c r="Y60" s="117"/>
      <c r="Z60" s="117"/>
      <c r="AA60" s="117"/>
      <c r="AB60" s="117"/>
      <c r="AC60" s="114"/>
    </row>
    <row r="61">
      <c r="A61" s="107"/>
      <c r="B61" s="108"/>
      <c r="C61" s="115"/>
      <c r="D61" s="115"/>
      <c r="E61" s="153" t="str">
        <f>HYPERLINK(buildUrl(CELL("address", Inputs!E56)), Inputs!E56)</f>
        <v>Reduction in malaria incidence among the SMC-eligible population found in Cisse et al. 2016</v>
      </c>
      <c r="F61" s="154" t="str">
        <f>Inputs!F56</f>
        <v>%</v>
      </c>
      <c r="G61" s="179" t="str">
        <f>Inputs!G56</f>
        <v>input</v>
      </c>
      <c r="H61" s="197">
        <f>Inputs!H56</f>
        <v>0.6</v>
      </c>
      <c r="I61" s="196" t="str">
        <f>Inputs!I56</f>
        <v>-</v>
      </c>
      <c r="J61" s="196" t="str">
        <f>Inputs!J56</f>
        <v>-</v>
      </c>
      <c r="K61" s="196" t="str">
        <f>Inputs!K56</f>
        <v>-</v>
      </c>
      <c r="L61" s="196" t="str">
        <f>Inputs!L56</f>
        <v>-</v>
      </c>
      <c r="M61" s="196" t="str">
        <f>Inputs!M56</f>
        <v>-</v>
      </c>
      <c r="N61" s="196" t="str">
        <f>Inputs!N56</f>
        <v>-</v>
      </c>
      <c r="O61" s="196" t="str">
        <f>Inputs!O56</f>
        <v>-</v>
      </c>
      <c r="P61" s="196" t="str">
        <f>Inputs!P56</f>
        <v>-</v>
      </c>
      <c r="Q61" s="196" t="str">
        <f>Inputs!Q56</f>
        <v>-</v>
      </c>
      <c r="R61" s="196" t="str">
        <f>Inputs!R56</f>
        <v>-</v>
      </c>
      <c r="S61" s="196" t="str">
        <f>Inputs!S56</f>
        <v>-</v>
      </c>
      <c r="T61" s="196" t="str">
        <f>Inputs!T56</f>
        <v>-</v>
      </c>
      <c r="U61" s="196" t="str">
        <f>Inputs!U56</f>
        <v>-</v>
      </c>
      <c r="V61" s="196" t="str">
        <f>Inputs!V56</f>
        <v>-</v>
      </c>
      <c r="W61" s="196" t="str">
        <f>Inputs!W56</f>
        <v>-</v>
      </c>
      <c r="X61" s="196" t="str">
        <f>Inputs!X56</f>
        <v>-</v>
      </c>
      <c r="Y61" s="196" t="str">
        <f>Inputs!Y56</f>
        <v>-</v>
      </c>
      <c r="Z61" s="196" t="str">
        <f>Inputs!Z56</f>
        <v>-</v>
      </c>
      <c r="AA61" s="196" t="str">
        <f>Inputs!AA56</f>
        <v>-</v>
      </c>
      <c r="AB61" s="196" t="str">
        <f>Inputs!AB56</f>
        <v>-</v>
      </c>
      <c r="AC61" s="211"/>
    </row>
    <row r="62">
      <c r="A62" s="107"/>
      <c r="B62" s="108"/>
      <c r="C62" s="115"/>
      <c r="D62" s="115"/>
      <c r="E62" s="158" t="str">
        <f>HYPERLINK(buildUrl(CELL("address", Inputs!E57)), Inputs!E57)</f>
        <v>Reduction in malaria incidence among the population too old to be eligible for SMC found in Cisse et al. 2016</v>
      </c>
      <c r="F62" s="159" t="str">
        <f>Inputs!F57</f>
        <v>%</v>
      </c>
      <c r="G62" s="212" t="str">
        <f>Inputs!G57</f>
        <v>input</v>
      </c>
      <c r="H62" s="213">
        <f>Inputs!H57</f>
        <v>0.26</v>
      </c>
      <c r="I62" s="214" t="str">
        <f>Inputs!I57</f>
        <v>-</v>
      </c>
      <c r="J62" s="214" t="str">
        <f>Inputs!J57</f>
        <v>-</v>
      </c>
      <c r="K62" s="214" t="str">
        <f>Inputs!K57</f>
        <v>-</v>
      </c>
      <c r="L62" s="214" t="str">
        <f>Inputs!L57</f>
        <v>-</v>
      </c>
      <c r="M62" s="214" t="str">
        <f>Inputs!M57</f>
        <v>-</v>
      </c>
      <c r="N62" s="214" t="str">
        <f>Inputs!N57</f>
        <v>-</v>
      </c>
      <c r="O62" s="214" t="str">
        <f>Inputs!O57</f>
        <v>-</v>
      </c>
      <c r="P62" s="214" t="str">
        <f>Inputs!P57</f>
        <v>-</v>
      </c>
      <c r="Q62" s="214" t="str">
        <f>Inputs!Q57</f>
        <v>-</v>
      </c>
      <c r="R62" s="214" t="str">
        <f>Inputs!R57</f>
        <v>-</v>
      </c>
      <c r="S62" s="214" t="str">
        <f>Inputs!S57</f>
        <v>-</v>
      </c>
      <c r="T62" s="214" t="str">
        <f>Inputs!T57</f>
        <v>-</v>
      </c>
      <c r="U62" s="214" t="str">
        <f>Inputs!U57</f>
        <v>-</v>
      </c>
      <c r="V62" s="214" t="str">
        <f>Inputs!V57</f>
        <v>-</v>
      </c>
      <c r="W62" s="214" t="str">
        <f>Inputs!W57</f>
        <v>-</v>
      </c>
      <c r="X62" s="214" t="str">
        <f>Inputs!X57</f>
        <v>-</v>
      </c>
      <c r="Y62" s="214" t="str">
        <f>Inputs!Y57</f>
        <v>-</v>
      </c>
      <c r="Z62" s="214" t="str">
        <f>Inputs!Z57</f>
        <v>-</v>
      </c>
      <c r="AA62" s="214" t="str">
        <f>Inputs!AA57</f>
        <v>-</v>
      </c>
      <c r="AB62" s="214" t="str">
        <f>Inputs!AB57</f>
        <v>-</v>
      </c>
      <c r="AC62" s="215"/>
    </row>
    <row r="63">
      <c r="A63" s="107"/>
      <c r="B63" s="108"/>
      <c r="C63" s="115"/>
      <c r="D63" s="115"/>
      <c r="E63" s="158" t="s">
        <v>157</v>
      </c>
      <c r="F63" s="159" t="s">
        <v>59</v>
      </c>
      <c r="G63" s="212" t="s">
        <v>70</v>
      </c>
      <c r="H63" s="213">
        <f>H62/H61</f>
        <v>0.4333333333</v>
      </c>
      <c r="I63" s="208" t="s">
        <v>132</v>
      </c>
      <c r="J63" s="208" t="s">
        <v>132</v>
      </c>
      <c r="K63" s="208" t="s">
        <v>132</v>
      </c>
      <c r="L63" s="208" t="s">
        <v>132</v>
      </c>
      <c r="M63" s="208" t="s">
        <v>132</v>
      </c>
      <c r="N63" s="208" t="s">
        <v>132</v>
      </c>
      <c r="O63" s="208" t="s">
        <v>132</v>
      </c>
      <c r="P63" s="208" t="s">
        <v>132</v>
      </c>
      <c r="Q63" s="208" t="s">
        <v>132</v>
      </c>
      <c r="R63" s="208" t="s">
        <v>132</v>
      </c>
      <c r="S63" s="208" t="s">
        <v>132</v>
      </c>
      <c r="T63" s="208" t="s">
        <v>132</v>
      </c>
      <c r="U63" s="208" t="s">
        <v>132</v>
      </c>
      <c r="V63" s="208" t="s">
        <v>132</v>
      </c>
      <c r="W63" s="208" t="s">
        <v>132</v>
      </c>
      <c r="X63" s="208" t="s">
        <v>132</v>
      </c>
      <c r="Y63" s="208" t="s">
        <v>132</v>
      </c>
      <c r="Z63" s="208" t="s">
        <v>132</v>
      </c>
      <c r="AA63" s="208" t="s">
        <v>132</v>
      </c>
      <c r="AB63" s="208" t="s">
        <v>132</v>
      </c>
      <c r="AC63" s="215"/>
    </row>
    <row r="64">
      <c r="A64" s="107"/>
      <c r="B64" s="108"/>
      <c r="C64" s="115"/>
      <c r="D64" s="115"/>
      <c r="E64" s="158" t="str">
        <f>HYPERLINK(buildUrl(CELL("address", Inputs!E58)), Inputs!E58)</f>
        <v>Adjustment for differences in program coverage and transmission intensity in the populations studied by the Cisse et al. 2016 trial and the populations targeted by grantee programs</v>
      </c>
      <c r="F64" s="159" t="str">
        <f>Inputs!F58</f>
        <v>%</v>
      </c>
      <c r="G64" s="212" t="str">
        <f>Inputs!G58</f>
        <v>input</v>
      </c>
      <c r="H64" s="203">
        <f>Inputs!H58</f>
        <v>-0.6912579</v>
      </c>
      <c r="I64" s="214" t="str">
        <f>Inputs!I58</f>
        <v>-</v>
      </c>
      <c r="J64" s="214" t="str">
        <f>Inputs!J58</f>
        <v>-</v>
      </c>
      <c r="K64" s="214" t="str">
        <f>Inputs!K58</f>
        <v>-</v>
      </c>
      <c r="L64" s="214" t="str">
        <f>Inputs!L58</f>
        <v>-</v>
      </c>
      <c r="M64" s="214" t="str">
        <f>Inputs!M58</f>
        <v>-</v>
      </c>
      <c r="N64" s="214" t="str">
        <f>Inputs!N58</f>
        <v>-</v>
      </c>
      <c r="O64" s="214" t="str">
        <f>Inputs!O58</f>
        <v>-</v>
      </c>
      <c r="P64" s="214" t="str">
        <f>Inputs!P58</f>
        <v>-</v>
      </c>
      <c r="Q64" s="214" t="str">
        <f>Inputs!Q58</f>
        <v>-</v>
      </c>
      <c r="R64" s="214" t="str">
        <f>Inputs!R58</f>
        <v>-</v>
      </c>
      <c r="S64" s="214" t="str">
        <f>Inputs!S58</f>
        <v>-</v>
      </c>
      <c r="T64" s="214" t="str">
        <f>Inputs!T58</f>
        <v>-</v>
      </c>
      <c r="U64" s="214" t="str">
        <f>Inputs!U58</f>
        <v>-</v>
      </c>
      <c r="V64" s="214" t="str">
        <f>Inputs!V58</f>
        <v>-</v>
      </c>
      <c r="W64" s="214" t="str">
        <f>Inputs!W58</f>
        <v>-</v>
      </c>
      <c r="X64" s="214" t="str">
        <f>Inputs!X58</f>
        <v>-</v>
      </c>
      <c r="Y64" s="214" t="str">
        <f>Inputs!Y58</f>
        <v>-</v>
      </c>
      <c r="Z64" s="214" t="str">
        <f>Inputs!Z58</f>
        <v>-</v>
      </c>
      <c r="AA64" s="214" t="str">
        <f>Inputs!AA58</f>
        <v>-</v>
      </c>
      <c r="AB64" s="214" t="str">
        <f>Inputs!AB58</f>
        <v>-</v>
      </c>
      <c r="AC64" s="215"/>
    </row>
    <row r="65">
      <c r="A65" s="107"/>
      <c r="B65" s="108"/>
      <c r="C65" s="115"/>
      <c r="D65" s="115"/>
      <c r="E65" s="158" t="s">
        <v>158</v>
      </c>
      <c r="F65" s="159" t="s">
        <v>59</v>
      </c>
      <c r="G65" s="212" t="s">
        <v>70</v>
      </c>
      <c r="H65" s="203">
        <f>H63*(1+H64)</f>
        <v>0.1337882433</v>
      </c>
      <c r="I65" s="208" t="s">
        <v>132</v>
      </c>
      <c r="J65" s="208" t="s">
        <v>132</v>
      </c>
      <c r="K65" s="208" t="s">
        <v>132</v>
      </c>
      <c r="L65" s="208" t="s">
        <v>132</v>
      </c>
      <c r="M65" s="208" t="s">
        <v>132</v>
      </c>
      <c r="N65" s="208" t="s">
        <v>132</v>
      </c>
      <c r="O65" s="208" t="s">
        <v>132</v>
      </c>
      <c r="P65" s="208" t="s">
        <v>132</v>
      </c>
      <c r="Q65" s="208" t="s">
        <v>132</v>
      </c>
      <c r="R65" s="208" t="s">
        <v>132</v>
      </c>
      <c r="S65" s="208" t="s">
        <v>132</v>
      </c>
      <c r="T65" s="208" t="s">
        <v>132</v>
      </c>
      <c r="U65" s="208" t="s">
        <v>132</v>
      </c>
      <c r="V65" s="208" t="s">
        <v>132</v>
      </c>
      <c r="W65" s="208" t="s">
        <v>132</v>
      </c>
      <c r="X65" s="208" t="s">
        <v>132</v>
      </c>
      <c r="Y65" s="208" t="s">
        <v>132</v>
      </c>
      <c r="Z65" s="208" t="s">
        <v>132</v>
      </c>
      <c r="AA65" s="208" t="s">
        <v>132</v>
      </c>
      <c r="AB65" s="208" t="s">
        <v>132</v>
      </c>
      <c r="AC65" s="215"/>
    </row>
    <row r="66">
      <c r="A66" s="107"/>
      <c r="B66" s="108"/>
      <c r="C66" s="115"/>
      <c r="D66" s="115"/>
      <c r="E66" s="158" t="s">
        <v>159</v>
      </c>
      <c r="F66" s="159" t="s">
        <v>59</v>
      </c>
      <c r="G66" s="212" t="s">
        <v>70</v>
      </c>
      <c r="H66" s="216" t="s">
        <v>132</v>
      </c>
      <c r="I66" s="206">
        <f t="shared" ref="I66:AB66" si="18">I49*$H65</f>
        <v>0.1061870596</v>
      </c>
      <c r="J66" s="206">
        <f t="shared" si="18"/>
        <v>0.1061870596</v>
      </c>
      <c r="K66" s="206">
        <f t="shared" si="18"/>
        <v>0.1061870596</v>
      </c>
      <c r="L66" s="206">
        <f t="shared" si="18"/>
        <v>0.07964029468</v>
      </c>
      <c r="M66" s="206">
        <f t="shared" si="18"/>
        <v>0.07964029468</v>
      </c>
      <c r="N66" s="206">
        <f t="shared" si="18"/>
        <v>0.07964029468</v>
      </c>
      <c r="O66" s="206">
        <f t="shared" si="18"/>
        <v>0.07964029468</v>
      </c>
      <c r="P66" s="206">
        <f t="shared" si="18"/>
        <v>0.07964029468</v>
      </c>
      <c r="Q66" s="206">
        <f t="shared" si="18"/>
        <v>0.1061870596</v>
      </c>
      <c r="R66" s="206">
        <f t="shared" si="18"/>
        <v>0.1061870596</v>
      </c>
      <c r="S66" s="206">
        <f t="shared" si="18"/>
        <v>0.1061870596</v>
      </c>
      <c r="T66" s="206">
        <f t="shared" si="18"/>
        <v>0.1061870596</v>
      </c>
      <c r="U66" s="206">
        <f t="shared" si="18"/>
        <v>0.1061870596</v>
      </c>
      <c r="V66" s="206">
        <f t="shared" si="18"/>
        <v>0.1061870596</v>
      </c>
      <c r="W66" s="206">
        <f t="shared" si="18"/>
        <v>0.1061870596</v>
      </c>
      <c r="X66" s="206">
        <f t="shared" si="18"/>
        <v>0.1061870596</v>
      </c>
      <c r="Y66" s="206">
        <f t="shared" si="18"/>
        <v>0.1061870596</v>
      </c>
      <c r="Z66" s="206">
        <f t="shared" si="18"/>
        <v>0.1061870596</v>
      </c>
      <c r="AA66" s="206">
        <f t="shared" si="18"/>
        <v>0.1061870596</v>
      </c>
      <c r="AB66" s="206">
        <f t="shared" si="18"/>
        <v>0.07964029468</v>
      </c>
      <c r="AC66" s="215"/>
    </row>
    <row r="67">
      <c r="A67" s="107"/>
      <c r="B67" s="108"/>
      <c r="C67" s="115"/>
      <c r="D67" s="115"/>
      <c r="E67" s="158" t="str">
        <f t="shared" ref="E67:F67" si="19">E48</f>
        <v>Ratio of the reduction in malaria mortality to the reduction in malaria incidence</v>
      </c>
      <c r="F67" s="159" t="str">
        <f t="shared" si="19"/>
        <v>%</v>
      </c>
      <c r="G67" s="212" t="s">
        <v>76</v>
      </c>
      <c r="H67" s="213">
        <f t="shared" ref="H67:AB67" si="20">H48</f>
        <v>1</v>
      </c>
      <c r="I67" s="208" t="str">
        <f t="shared" si="20"/>
        <v>-</v>
      </c>
      <c r="J67" s="208" t="str">
        <f t="shared" si="20"/>
        <v>-</v>
      </c>
      <c r="K67" s="208" t="str">
        <f t="shared" si="20"/>
        <v>-</v>
      </c>
      <c r="L67" s="208" t="str">
        <f t="shared" si="20"/>
        <v>-</v>
      </c>
      <c r="M67" s="208" t="str">
        <f t="shared" si="20"/>
        <v>-</v>
      </c>
      <c r="N67" s="208" t="str">
        <f t="shared" si="20"/>
        <v>-</v>
      </c>
      <c r="O67" s="208" t="str">
        <f t="shared" si="20"/>
        <v>-</v>
      </c>
      <c r="P67" s="208" t="str">
        <f t="shared" si="20"/>
        <v>-</v>
      </c>
      <c r="Q67" s="208" t="str">
        <f t="shared" si="20"/>
        <v>-</v>
      </c>
      <c r="R67" s="208" t="str">
        <f t="shared" si="20"/>
        <v>-</v>
      </c>
      <c r="S67" s="208" t="str">
        <f t="shared" si="20"/>
        <v>-</v>
      </c>
      <c r="T67" s="208" t="str">
        <f t="shared" si="20"/>
        <v>-</v>
      </c>
      <c r="U67" s="208" t="str">
        <f t="shared" si="20"/>
        <v>-</v>
      </c>
      <c r="V67" s="208" t="str">
        <f t="shared" si="20"/>
        <v>-</v>
      </c>
      <c r="W67" s="208" t="str">
        <f t="shared" si="20"/>
        <v>-</v>
      </c>
      <c r="X67" s="208" t="str">
        <f t="shared" si="20"/>
        <v>-</v>
      </c>
      <c r="Y67" s="208" t="str">
        <f t="shared" si="20"/>
        <v>-</v>
      </c>
      <c r="Z67" s="208" t="str">
        <f t="shared" si="20"/>
        <v>-</v>
      </c>
      <c r="AA67" s="208" t="str">
        <f t="shared" si="20"/>
        <v>-</v>
      </c>
      <c r="AB67" s="208" t="str">
        <f t="shared" si="20"/>
        <v>-</v>
      </c>
      <c r="AC67" s="215"/>
    </row>
    <row r="68">
      <c r="A68" s="107"/>
      <c r="B68" s="108"/>
      <c r="C68" s="115"/>
      <c r="D68" s="115"/>
      <c r="E68" s="158" t="s">
        <v>160</v>
      </c>
      <c r="F68" s="159" t="s">
        <v>59</v>
      </c>
      <c r="G68" s="212" t="s">
        <v>70</v>
      </c>
      <c r="H68" s="216" t="s">
        <v>132</v>
      </c>
      <c r="I68" s="206">
        <f t="shared" ref="I68:AB68" si="21">I66*$H67</f>
        <v>0.1061870596</v>
      </c>
      <c r="J68" s="206">
        <f t="shared" si="21"/>
        <v>0.1061870596</v>
      </c>
      <c r="K68" s="206">
        <f t="shared" si="21"/>
        <v>0.1061870596</v>
      </c>
      <c r="L68" s="206">
        <f t="shared" si="21"/>
        <v>0.07964029468</v>
      </c>
      <c r="M68" s="206">
        <f t="shared" si="21"/>
        <v>0.07964029468</v>
      </c>
      <c r="N68" s="206">
        <f t="shared" si="21"/>
        <v>0.07964029468</v>
      </c>
      <c r="O68" s="206">
        <f t="shared" si="21"/>
        <v>0.07964029468</v>
      </c>
      <c r="P68" s="206">
        <f t="shared" si="21"/>
        <v>0.07964029468</v>
      </c>
      <c r="Q68" s="206">
        <f t="shared" si="21"/>
        <v>0.1061870596</v>
      </c>
      <c r="R68" s="206">
        <f t="shared" si="21"/>
        <v>0.1061870596</v>
      </c>
      <c r="S68" s="206">
        <f t="shared" si="21"/>
        <v>0.1061870596</v>
      </c>
      <c r="T68" s="206">
        <f t="shared" si="21"/>
        <v>0.1061870596</v>
      </c>
      <c r="U68" s="206">
        <f t="shared" si="21"/>
        <v>0.1061870596</v>
      </c>
      <c r="V68" s="206">
        <f t="shared" si="21"/>
        <v>0.1061870596</v>
      </c>
      <c r="W68" s="206">
        <f t="shared" si="21"/>
        <v>0.1061870596</v>
      </c>
      <c r="X68" s="206">
        <f t="shared" si="21"/>
        <v>0.1061870596</v>
      </c>
      <c r="Y68" s="206">
        <f t="shared" si="21"/>
        <v>0.1061870596</v>
      </c>
      <c r="Z68" s="206">
        <f t="shared" si="21"/>
        <v>0.1061870596</v>
      </c>
      <c r="AA68" s="206">
        <f t="shared" si="21"/>
        <v>0.1061870596</v>
      </c>
      <c r="AB68" s="206">
        <f t="shared" si="21"/>
        <v>0.07964029468</v>
      </c>
      <c r="AC68" s="215"/>
    </row>
    <row r="69">
      <c r="A69" s="107"/>
      <c r="B69" s="108"/>
      <c r="C69" s="115"/>
      <c r="D69" s="115"/>
      <c r="E69" s="158" t="str">
        <f>HYPERLINK(buildUrl(CELL("address", 'Counterfactual malaria'!E35)), 'Counterfactual malaria'!E35)</f>
        <v>Malaria mortalities among people age 5 and older per malaria mortality among 3-59-month-olds</v>
      </c>
      <c r="F69" s="159" t="str">
        <f>'Counterfactual malaria'!F35</f>
        <v>#</v>
      </c>
      <c r="G69" s="212" t="s">
        <v>72</v>
      </c>
      <c r="H69" s="216" t="str">
        <f>'Counterfactual malaria'!H35</f>
        <v>-</v>
      </c>
      <c r="I69" s="217">
        <f>'Counterfactual malaria'!I35</f>
        <v>0.8140779626</v>
      </c>
      <c r="J69" s="217">
        <f>'Counterfactual malaria'!J35</f>
        <v>0.6528640442</v>
      </c>
      <c r="K69" s="217">
        <f>'Counterfactual malaria'!K35</f>
        <v>1.242231194</v>
      </c>
      <c r="L69" s="217">
        <f>'Counterfactual malaria'!L35</f>
        <v>0.3510949182</v>
      </c>
      <c r="M69" s="217">
        <f>'Counterfactual malaria'!M35</f>
        <v>0.3509261277</v>
      </c>
      <c r="N69" s="217">
        <f>'Counterfactual malaria'!N35</f>
        <v>0.3509727626</v>
      </c>
      <c r="O69" s="217">
        <f>'Counterfactual malaria'!O35</f>
        <v>0.3512156338</v>
      </c>
      <c r="P69" s="217">
        <f>'Counterfactual malaria'!P35</f>
        <v>1.761848739</v>
      </c>
      <c r="Q69" s="217">
        <f>'Counterfactual malaria'!Q35</f>
        <v>0.3266375172</v>
      </c>
      <c r="R69" s="217">
        <f>'Counterfactual malaria'!R35</f>
        <v>1.056223916</v>
      </c>
      <c r="S69" s="217">
        <f>'Counterfactual malaria'!S35</f>
        <v>1.315851519</v>
      </c>
      <c r="T69" s="217">
        <f>'Counterfactual malaria'!T35</f>
        <v>0.6158640821</v>
      </c>
      <c r="U69" s="217">
        <f>'Counterfactual malaria'!U35</f>
        <v>1.913091789</v>
      </c>
      <c r="V69" s="217">
        <f>'Counterfactual malaria'!V35</f>
        <v>1.085048929</v>
      </c>
      <c r="W69" s="217">
        <f>'Counterfactual malaria'!W35</f>
        <v>2.286436034</v>
      </c>
      <c r="X69" s="217">
        <f>'Counterfactual malaria'!X35</f>
        <v>1.22226642</v>
      </c>
      <c r="Y69" s="217">
        <f>'Counterfactual malaria'!Y35</f>
        <v>0.3819963539</v>
      </c>
      <c r="Z69" s="217">
        <f>'Counterfactual malaria'!Z35</f>
        <v>0.4323144105</v>
      </c>
      <c r="AA69" s="217">
        <f>'Counterfactual malaria'!AA35</f>
        <v>1.701251157</v>
      </c>
      <c r="AB69" s="217">
        <f>'Counterfactual malaria'!AB35</f>
        <v>0.394379845</v>
      </c>
      <c r="AC69" s="215"/>
    </row>
    <row r="70">
      <c r="A70" s="107"/>
      <c r="B70" s="108"/>
      <c r="C70" s="115"/>
      <c r="D70" s="115"/>
      <c r="E70" s="158" t="s">
        <v>154</v>
      </c>
      <c r="F70" s="159" t="s">
        <v>49</v>
      </c>
      <c r="G70" s="212" t="s">
        <v>70</v>
      </c>
      <c r="H70" s="216" t="s">
        <v>132</v>
      </c>
      <c r="I70" s="218">
        <f t="shared" ref="I70:AB70" si="22">I57*I69</f>
        <v>0.000004272732556</v>
      </c>
      <c r="J70" s="218">
        <f t="shared" si="22"/>
        <v>0.00000311976079</v>
      </c>
      <c r="K70" s="218">
        <f t="shared" si="22"/>
        <v>0.000003206524557</v>
      </c>
      <c r="L70" s="218">
        <f t="shared" si="22"/>
        <v>0.000001330054492</v>
      </c>
      <c r="M70" s="218">
        <f t="shared" si="22"/>
        <v>0.00000142802369</v>
      </c>
      <c r="N70" s="218">
        <f t="shared" si="22"/>
        <v>0.000001575716339</v>
      </c>
      <c r="O70" s="218">
        <f t="shared" si="22"/>
        <v>0.000001702362405</v>
      </c>
      <c r="P70" s="218">
        <f t="shared" si="22"/>
        <v>9981.070125</v>
      </c>
      <c r="Q70" s="218">
        <f t="shared" si="22"/>
        <v>0.000004626243563</v>
      </c>
      <c r="R70" s="218">
        <f t="shared" si="22"/>
        <v>0.00001394965503</v>
      </c>
      <c r="S70" s="218">
        <f t="shared" si="22"/>
        <v>0.000004198350835</v>
      </c>
      <c r="T70" s="218">
        <f t="shared" si="22"/>
        <v>0.00001100059297</v>
      </c>
      <c r="U70" s="218">
        <f t="shared" si="22"/>
        <v>0.00001121882344</v>
      </c>
      <c r="V70" s="218">
        <f t="shared" si="22"/>
        <v>0.000007413132045</v>
      </c>
      <c r="W70" s="218">
        <f t="shared" si="22"/>
        <v>0.000007854741109</v>
      </c>
      <c r="X70" s="218">
        <f t="shared" si="22"/>
        <v>0.000007683874823</v>
      </c>
      <c r="Y70" s="218">
        <f t="shared" si="22"/>
        <v>0.00000645353719</v>
      </c>
      <c r="Z70" s="218">
        <f t="shared" si="22"/>
        <v>0.0000005324894996</v>
      </c>
      <c r="AA70" s="218">
        <f t="shared" si="22"/>
        <v>0.000004601752967</v>
      </c>
      <c r="AB70" s="218">
        <f t="shared" si="22"/>
        <v>0.0000008995764909</v>
      </c>
      <c r="AC70" s="215"/>
    </row>
    <row r="71">
      <c r="A71" s="107"/>
      <c r="B71" s="108"/>
      <c r="C71" s="115"/>
      <c r="D71" s="115"/>
      <c r="E71" s="163" t="s">
        <v>161</v>
      </c>
      <c r="F71" s="164" t="s">
        <v>49</v>
      </c>
      <c r="G71" s="219" t="s">
        <v>70</v>
      </c>
      <c r="H71" s="220" t="s">
        <v>132</v>
      </c>
      <c r="I71" s="221">
        <f t="shared" ref="I71:AB71" si="23">I68*I70</f>
        <v>0.0000004537089065</v>
      </c>
      <c r="J71" s="221">
        <f t="shared" si="23"/>
        <v>0.0000003312782248</v>
      </c>
      <c r="K71" s="221">
        <f t="shared" si="23"/>
        <v>0.0000003404914142</v>
      </c>
      <c r="L71" s="221">
        <f t="shared" si="23"/>
        <v>0.0000001059259317</v>
      </c>
      <c r="M71" s="221">
        <f t="shared" si="23"/>
        <v>0.0000001137282275</v>
      </c>
      <c r="N71" s="221">
        <f t="shared" si="23"/>
        <v>0.0000001254905136</v>
      </c>
      <c r="O71" s="221">
        <f t="shared" si="23"/>
        <v>0.0000001355766435</v>
      </c>
      <c r="P71" s="221">
        <f t="shared" si="23"/>
        <v>794.895366</v>
      </c>
      <c r="Q71" s="221">
        <f t="shared" si="23"/>
        <v>0.0000004912472008</v>
      </c>
      <c r="R71" s="221">
        <f t="shared" si="23"/>
        <v>0.00000148127285</v>
      </c>
      <c r="S71" s="221">
        <f t="shared" si="23"/>
        <v>0.0000004458105302</v>
      </c>
      <c r="T71" s="221">
        <f t="shared" si="23"/>
        <v>0.000001168120621</v>
      </c>
      <c r="U71" s="221">
        <f t="shared" si="23"/>
        <v>0.000001191293873</v>
      </c>
      <c r="V71" s="221">
        <f t="shared" si="23"/>
        <v>0.000000787178694</v>
      </c>
      <c r="W71" s="221">
        <f t="shared" si="23"/>
        <v>0.000000834071862</v>
      </c>
      <c r="X71" s="221">
        <f t="shared" si="23"/>
        <v>0.0000008159280735</v>
      </c>
      <c r="Y71" s="221">
        <f t="shared" si="23"/>
        <v>0.000000685282138</v>
      </c>
      <c r="Z71" s="221">
        <f t="shared" si="23"/>
        <v>0.00000005654349421</v>
      </c>
      <c r="AA71" s="221">
        <f t="shared" si="23"/>
        <v>0.0000004886466164</v>
      </c>
      <c r="AB71" s="221">
        <f t="shared" si="23"/>
        <v>0.00000007164253682</v>
      </c>
      <c r="AC71" s="222"/>
    </row>
    <row r="72">
      <c r="A72" s="107"/>
      <c r="B72" s="108"/>
      <c r="C72" s="115"/>
      <c r="D72" s="115"/>
      <c r="E72" s="223"/>
      <c r="F72" s="125"/>
      <c r="G72" s="148"/>
      <c r="H72" s="112"/>
      <c r="I72" s="117"/>
      <c r="J72" s="117"/>
      <c r="K72" s="117"/>
      <c r="L72" s="117"/>
      <c r="M72" s="117"/>
      <c r="N72" s="117"/>
      <c r="O72" s="117"/>
      <c r="P72" s="117"/>
      <c r="Q72" s="117"/>
      <c r="R72" s="117"/>
      <c r="S72" s="117"/>
      <c r="T72" s="117"/>
      <c r="U72" s="117"/>
      <c r="V72" s="117"/>
      <c r="W72" s="117"/>
      <c r="X72" s="117"/>
      <c r="Y72" s="117"/>
      <c r="Z72" s="117"/>
      <c r="AA72" s="117"/>
      <c r="AB72" s="117"/>
      <c r="AC72" s="114"/>
    </row>
    <row r="73">
      <c r="A73" s="107"/>
      <c r="B73" s="108"/>
      <c r="C73" s="115" t="s">
        <v>162</v>
      </c>
      <c r="F73" s="125"/>
      <c r="G73" s="148"/>
      <c r="H73" s="112"/>
      <c r="I73" s="117"/>
      <c r="J73" s="117"/>
      <c r="K73" s="117"/>
      <c r="L73" s="117"/>
      <c r="M73" s="117"/>
      <c r="N73" s="117"/>
      <c r="O73" s="117"/>
      <c r="P73" s="117"/>
      <c r="Q73" s="117"/>
      <c r="R73" s="117"/>
      <c r="S73" s="117"/>
      <c r="T73" s="117"/>
      <c r="U73" s="117"/>
      <c r="V73" s="117"/>
      <c r="W73" s="117"/>
      <c r="X73" s="117"/>
      <c r="Y73" s="117"/>
      <c r="Z73" s="117"/>
      <c r="AA73" s="117"/>
      <c r="AB73" s="117"/>
      <c r="AC73" s="114"/>
    </row>
    <row r="74">
      <c r="A74" s="107"/>
      <c r="B74" s="108"/>
      <c r="C74" s="224"/>
      <c r="D74" s="108"/>
      <c r="E74" s="178" t="str">
        <f>HYPERLINK(buildUrl(CELL("address", 'Counterfactual malaria'!E43)), 'Counterfactual malaria'!E43)</f>
        <v>Adjusted malaria incidence among people under 5</v>
      </c>
      <c r="F74" s="154" t="str">
        <f>'Counterfactual malaria'!F43</f>
        <v>%</v>
      </c>
      <c r="G74" s="179" t="s">
        <v>72</v>
      </c>
      <c r="H74" s="225" t="str">
        <f>'Counterfactual malaria'!H43</f>
        <v>-</v>
      </c>
      <c r="I74" s="133">
        <f>'Counterfactual malaria'!I43</f>
        <v>0.728</v>
      </c>
      <c r="J74" s="133">
        <f>'Counterfactual malaria'!J43</f>
        <v>0.47873</v>
      </c>
      <c r="K74" s="133">
        <f>'Counterfactual malaria'!K43</f>
        <v>0.78599</v>
      </c>
      <c r="L74" s="133">
        <f>'Counterfactual malaria'!L43</f>
        <v>0.76062</v>
      </c>
      <c r="M74" s="133">
        <f>'Counterfactual malaria'!M43</f>
        <v>0.91107</v>
      </c>
      <c r="N74" s="133">
        <f>'Counterfactual malaria'!N43</f>
        <v>0.96207</v>
      </c>
      <c r="O74" s="133">
        <f>'Counterfactual malaria'!O43</f>
        <v>0.93495</v>
      </c>
      <c r="P74" s="133">
        <f>'Counterfactual malaria'!P43</f>
        <v>0.8227</v>
      </c>
      <c r="Q74" s="133">
        <f>'Counterfactual malaria'!Q43</f>
        <v>0.87922405</v>
      </c>
      <c r="R74" s="133">
        <f>'Counterfactual malaria'!R43</f>
        <v>0.630293365</v>
      </c>
      <c r="S74" s="133">
        <f>'Counterfactual malaria'!S43</f>
        <v>0.5008935852</v>
      </c>
      <c r="T74" s="133">
        <f>'Counterfactual malaria'!T43</f>
        <v>0.93809308</v>
      </c>
      <c r="U74" s="133">
        <f>'Counterfactual malaria'!U43</f>
        <v>0.85740825</v>
      </c>
      <c r="V74" s="133">
        <f>'Counterfactual malaria'!V43</f>
        <v>0.684172843</v>
      </c>
      <c r="W74" s="133">
        <f>'Counterfactual malaria'!W43</f>
        <v>0.89148589</v>
      </c>
      <c r="X74" s="133">
        <f>'Counterfactual malaria'!X43</f>
        <v>0.739191865</v>
      </c>
      <c r="Y74" s="133">
        <f>'Counterfactual malaria'!Y43</f>
        <v>0.663348197</v>
      </c>
      <c r="Z74" s="133">
        <f>'Counterfactual malaria'!Z43</f>
        <v>0.46489</v>
      </c>
      <c r="AA74" s="133">
        <f>'Counterfactual malaria'!AA43</f>
        <v>0.6333756905</v>
      </c>
      <c r="AB74" s="133">
        <f>'Counterfactual malaria'!AB43</f>
        <v>0.90318</v>
      </c>
      <c r="AC74" s="134"/>
    </row>
    <row r="75">
      <c r="A75" s="107"/>
      <c r="B75" s="108"/>
      <c r="C75" s="224"/>
      <c r="D75" s="108"/>
      <c r="E75" s="178" t="str">
        <f>HYPERLINK(buildUrl(CELL("address", 'Counterfactual malaria'!E44)), 'Counterfactual malaria'!E44)</f>
        <v>Adjusted malaria incidence among people age 5 to 14</v>
      </c>
      <c r="F75" s="159" t="str">
        <f>'Counterfactual malaria'!F44</f>
        <v>%</v>
      </c>
      <c r="G75" s="212" t="s">
        <v>72</v>
      </c>
      <c r="H75" s="226" t="str">
        <f>'Counterfactual malaria'!H44</f>
        <v>-</v>
      </c>
      <c r="I75" s="139">
        <f>'Counterfactual malaria'!I44</f>
        <v>0.30179</v>
      </c>
      <c r="J75" s="139">
        <f>'Counterfactual malaria'!J44</f>
        <v>0.21805</v>
      </c>
      <c r="K75" s="139">
        <f>'Counterfactual malaria'!K44</f>
        <v>0.32926</v>
      </c>
      <c r="L75" s="139">
        <f>'Counterfactual malaria'!L44</f>
        <v>0.31197</v>
      </c>
      <c r="M75" s="139">
        <f>'Counterfactual malaria'!M44</f>
        <v>0.37367</v>
      </c>
      <c r="N75" s="139">
        <f>'Counterfactual malaria'!N44</f>
        <v>0.39459</v>
      </c>
      <c r="O75" s="139">
        <f>'Counterfactual malaria'!O44</f>
        <v>0.38347</v>
      </c>
      <c r="P75" s="139">
        <f>'Counterfactual malaria'!P44</f>
        <v>0.3458</v>
      </c>
      <c r="Q75" s="139">
        <f>'Counterfactual malaria'!Q44</f>
        <v>0.371553341</v>
      </c>
      <c r="R75" s="139">
        <f>'Counterfactual malaria'!R44</f>
        <v>0.276045965</v>
      </c>
      <c r="S75" s="139">
        <f>'Counterfactual malaria'!S44</f>
        <v>0.2120721375</v>
      </c>
      <c r="T75" s="139">
        <f>'Counterfactual malaria'!T44</f>
        <v>0.3865763085</v>
      </c>
      <c r="U75" s="139">
        <f>'Counterfactual malaria'!U44</f>
        <v>0.3514025775</v>
      </c>
      <c r="V75" s="139">
        <f>'Counterfactual malaria'!V44</f>
        <v>0.288584141</v>
      </c>
      <c r="W75" s="139">
        <f>'Counterfactual malaria'!W44</f>
        <v>0.364023565</v>
      </c>
      <c r="X75" s="139">
        <f>'Counterfactual malaria'!X44</f>
        <v>0.314974913</v>
      </c>
      <c r="Y75" s="139">
        <f>'Counterfactual malaria'!Y44</f>
        <v>0.2857283175</v>
      </c>
      <c r="Z75" s="139">
        <f>'Counterfactual malaria'!Z44</f>
        <v>0.19498</v>
      </c>
      <c r="AA75" s="139">
        <f>'Counterfactual malaria'!AA44</f>
        <v>0.2697999336</v>
      </c>
      <c r="AB75" s="139">
        <f>'Counterfactual malaria'!AB44</f>
        <v>0.38439</v>
      </c>
      <c r="AC75" s="140"/>
    </row>
    <row r="76">
      <c r="A76" s="107"/>
      <c r="B76" s="108"/>
      <c r="C76" s="224"/>
      <c r="D76" s="108"/>
      <c r="E76" s="227" t="s">
        <v>163</v>
      </c>
      <c r="F76" s="228" t="s">
        <v>61</v>
      </c>
      <c r="G76" s="229" t="s">
        <v>70</v>
      </c>
      <c r="H76" s="230" t="s">
        <v>132</v>
      </c>
      <c r="I76" s="231">
        <f t="shared" ref="I76:AB76" si="24">I47*I56*I74</f>
        <v>0.4044669711</v>
      </c>
      <c r="J76" s="231">
        <f t="shared" si="24"/>
        <v>0.2659759246</v>
      </c>
      <c r="K76" s="231">
        <f t="shared" si="24"/>
        <v>0.4366854322</v>
      </c>
      <c r="L76" s="231">
        <f t="shared" si="24"/>
        <v>0.2331792369</v>
      </c>
      <c r="M76" s="231">
        <f t="shared" si="24"/>
        <v>0.2793018949</v>
      </c>
      <c r="N76" s="231">
        <f t="shared" si="24"/>
        <v>0.2949366943</v>
      </c>
      <c r="O76" s="231">
        <f t="shared" si="24"/>
        <v>0.2866226598</v>
      </c>
      <c r="P76" s="231">
        <f t="shared" si="24"/>
        <v>0.252210773</v>
      </c>
      <c r="Q76" s="231">
        <f t="shared" si="24"/>
        <v>0.4884850116</v>
      </c>
      <c r="R76" s="231">
        <f t="shared" si="24"/>
        <v>0.3501824839</v>
      </c>
      <c r="S76" s="231">
        <f t="shared" si="24"/>
        <v>0.2782897133</v>
      </c>
      <c r="T76" s="231">
        <f t="shared" si="24"/>
        <v>0.5211918499</v>
      </c>
      <c r="U76" s="231">
        <f t="shared" si="24"/>
        <v>0.4763644477</v>
      </c>
      <c r="V76" s="231">
        <f t="shared" si="24"/>
        <v>0.3801171944</v>
      </c>
      <c r="W76" s="231">
        <f t="shared" si="24"/>
        <v>0.4952975244</v>
      </c>
      <c r="X76" s="231">
        <f t="shared" si="24"/>
        <v>0.4106850202</v>
      </c>
      <c r="Y76" s="231">
        <f t="shared" si="24"/>
        <v>0.3685473023</v>
      </c>
      <c r="Z76" s="231">
        <f t="shared" si="24"/>
        <v>0.2582866074</v>
      </c>
      <c r="AA76" s="231">
        <f t="shared" si="24"/>
        <v>0.3518949823</v>
      </c>
      <c r="AB76" s="231">
        <f t="shared" si="24"/>
        <v>0.3333349936</v>
      </c>
      <c r="AC76" s="232"/>
    </row>
    <row r="77">
      <c r="A77" s="107"/>
      <c r="B77" s="108"/>
      <c r="C77" s="224"/>
      <c r="D77" s="108"/>
      <c r="E77" s="227" t="s">
        <v>164</v>
      </c>
      <c r="F77" s="228" t="s">
        <v>61</v>
      </c>
      <c r="G77" s="229" t="s">
        <v>70</v>
      </c>
      <c r="H77" s="233" t="s">
        <v>132</v>
      </c>
      <c r="I77" s="231">
        <f t="shared" ref="I77:AB77" si="25">I66*I56*I75</f>
        <v>0.0224323349</v>
      </c>
      <c r="J77" s="231">
        <f t="shared" si="25"/>
        <v>0.01620786184</v>
      </c>
      <c r="K77" s="231">
        <f t="shared" si="25"/>
        <v>0.02447420586</v>
      </c>
      <c r="L77" s="231">
        <f t="shared" si="25"/>
        <v>0.01279537211</v>
      </c>
      <c r="M77" s="231">
        <f t="shared" si="25"/>
        <v>0.01532598229</v>
      </c>
      <c r="N77" s="231">
        <f t="shared" si="25"/>
        <v>0.0161840109</v>
      </c>
      <c r="O77" s="231">
        <f t="shared" si="25"/>
        <v>0.01572792686</v>
      </c>
      <c r="P77" s="231">
        <f t="shared" si="25"/>
        <v>0.01418290116</v>
      </c>
      <c r="Q77" s="231">
        <f t="shared" si="25"/>
        <v>0.02761790973</v>
      </c>
      <c r="R77" s="231">
        <f t="shared" si="25"/>
        <v>0.02051875653</v>
      </c>
      <c r="S77" s="231">
        <f t="shared" si="25"/>
        <v>0.01576352169</v>
      </c>
      <c r="T77" s="231">
        <f t="shared" si="25"/>
        <v>0.02873458105</v>
      </c>
      <c r="U77" s="231">
        <f t="shared" si="25"/>
        <v>0.0261200845</v>
      </c>
      <c r="V77" s="231">
        <f t="shared" si="25"/>
        <v>0.02145073096</v>
      </c>
      <c r="W77" s="231">
        <f t="shared" si="25"/>
        <v>0.02705821439</v>
      </c>
      <c r="X77" s="231">
        <f t="shared" si="25"/>
        <v>0.02341238189</v>
      </c>
      <c r="Y77" s="231">
        <f t="shared" si="25"/>
        <v>0.02123845491</v>
      </c>
      <c r="Z77" s="231">
        <f t="shared" si="25"/>
        <v>0.01449304701</v>
      </c>
      <c r="AA77" s="231">
        <f t="shared" si="25"/>
        <v>0.02005448313</v>
      </c>
      <c r="AB77" s="231">
        <f t="shared" si="25"/>
        <v>0.01898001838</v>
      </c>
      <c r="AC77" s="232"/>
    </row>
    <row r="78">
      <c r="A78" s="107"/>
      <c r="B78" s="108"/>
      <c r="C78" s="224"/>
      <c r="D78" s="108"/>
      <c r="E78" s="227" t="str">
        <f>HYPERLINK(buildUrl(CELL("address", Inputs!E61)), Inputs!E61)</f>
        <v>National population under 5</v>
      </c>
      <c r="F78" s="228" t="str">
        <f>Inputs!F61</f>
        <v>#</v>
      </c>
      <c r="G78" s="229" t="str">
        <f>Inputs!G61</f>
        <v>input</v>
      </c>
      <c r="H78" s="234" t="str">
        <f>Inputs!H61</f>
        <v>-</v>
      </c>
      <c r="I78" s="235">
        <f>Inputs!I61</f>
        <v>4106465</v>
      </c>
      <c r="J78" s="235">
        <f>Inputs!J61</f>
        <v>3635515</v>
      </c>
      <c r="K78" s="235">
        <f>Inputs!K61</f>
        <v>4354391</v>
      </c>
      <c r="L78" s="235">
        <f>Inputs!L61</f>
        <v>13560740</v>
      </c>
      <c r="M78" s="235">
        <f>Inputs!M61</f>
        <v>13560740</v>
      </c>
      <c r="N78" s="235">
        <f>Inputs!N61</f>
        <v>13560740</v>
      </c>
      <c r="O78" s="235">
        <f>Inputs!O61</f>
        <v>13560740</v>
      </c>
      <c r="P78" s="235">
        <f>Inputs!P61</f>
        <v>5179217</v>
      </c>
      <c r="Q78" s="235">
        <f>Inputs!Q61</f>
        <v>37117842</v>
      </c>
      <c r="R78" s="235">
        <f>Inputs!R61</f>
        <v>37117842</v>
      </c>
      <c r="S78" s="235">
        <f>Inputs!S61</f>
        <v>37117842</v>
      </c>
      <c r="T78" s="235">
        <f>Inputs!T61</f>
        <v>37117842</v>
      </c>
      <c r="U78" s="235">
        <f>Inputs!U61</f>
        <v>37117842</v>
      </c>
      <c r="V78" s="235">
        <f>Inputs!V61</f>
        <v>37117842</v>
      </c>
      <c r="W78" s="235">
        <f>Inputs!W61</f>
        <v>37117842</v>
      </c>
      <c r="X78" s="235">
        <f>Inputs!X61</f>
        <v>37117842</v>
      </c>
      <c r="Y78" s="235">
        <f>Inputs!Y61</f>
        <v>37117842</v>
      </c>
      <c r="Z78" s="235">
        <f>Inputs!Z61</f>
        <v>1562334</v>
      </c>
      <c r="AA78" s="235">
        <f>Inputs!AA61</f>
        <v>1172510</v>
      </c>
      <c r="AB78" s="235">
        <f>Inputs!AB61</f>
        <v>7317718</v>
      </c>
      <c r="AC78" s="232"/>
    </row>
    <row r="79">
      <c r="A79" s="107"/>
      <c r="B79" s="108"/>
      <c r="C79" s="224"/>
      <c r="D79" s="108"/>
      <c r="E79" s="227" t="str">
        <f>HYPERLINK(buildUrl(CELL("address", Inputs!E62)), Inputs!E62)</f>
        <v>National population age 5 to 14</v>
      </c>
      <c r="F79" s="228" t="str">
        <f>Inputs!F62</f>
        <v>#</v>
      </c>
      <c r="G79" s="229" t="str">
        <f>Inputs!G62</f>
        <v>input</v>
      </c>
      <c r="H79" s="234" t="str">
        <f>Inputs!H62</f>
        <v>-</v>
      </c>
      <c r="I79" s="235">
        <f>Inputs!I62</f>
        <v>6265702</v>
      </c>
      <c r="J79" s="235">
        <f>Inputs!J62</f>
        <v>5379382</v>
      </c>
      <c r="K79" s="235">
        <f>Inputs!K62</f>
        <v>7217393</v>
      </c>
      <c r="L79" s="235">
        <f>Inputs!L62</f>
        <v>24438179</v>
      </c>
      <c r="M79" s="235">
        <f>Inputs!M62</f>
        <v>24438179</v>
      </c>
      <c r="N79" s="235">
        <f>Inputs!N62</f>
        <v>24438179</v>
      </c>
      <c r="O79" s="235">
        <f>Inputs!O62</f>
        <v>24438179</v>
      </c>
      <c r="P79" s="235">
        <f>Inputs!P62</f>
        <v>9086792</v>
      </c>
      <c r="Q79" s="235">
        <f>Inputs!Q62</f>
        <v>64471220</v>
      </c>
      <c r="R79" s="235">
        <f>Inputs!R62</f>
        <v>64471220</v>
      </c>
      <c r="S79" s="235">
        <f>Inputs!S62</f>
        <v>64471220</v>
      </c>
      <c r="T79" s="235">
        <f>Inputs!T62</f>
        <v>64471220</v>
      </c>
      <c r="U79" s="235">
        <f>Inputs!U62</f>
        <v>64471220</v>
      </c>
      <c r="V79" s="235">
        <f>Inputs!V62</f>
        <v>64471220</v>
      </c>
      <c r="W79" s="235">
        <f>Inputs!W62</f>
        <v>64471220</v>
      </c>
      <c r="X79" s="235">
        <f>Inputs!X62</f>
        <v>64471220</v>
      </c>
      <c r="Y79" s="235">
        <f>Inputs!Y62</f>
        <v>64471220</v>
      </c>
      <c r="Z79" s="235">
        <f>Inputs!Z62</f>
        <v>2732617</v>
      </c>
      <c r="AA79" s="235">
        <f>Inputs!AA62</f>
        <v>2136532</v>
      </c>
      <c r="AB79" s="235">
        <f>Inputs!AB62</f>
        <v>12517987</v>
      </c>
      <c r="AC79" s="232"/>
    </row>
    <row r="80">
      <c r="A80" s="107"/>
      <c r="B80" s="108"/>
      <c r="C80" s="224"/>
      <c r="D80" s="108"/>
      <c r="E80" s="227" t="s">
        <v>165</v>
      </c>
      <c r="F80" s="228" t="s">
        <v>49</v>
      </c>
      <c r="G80" s="229" t="s">
        <v>70</v>
      </c>
      <c r="H80" s="233" t="s">
        <v>132</v>
      </c>
      <c r="I80" s="236">
        <f t="shared" ref="I80:AB80" si="26">I79/I78</f>
        <v>1.525814052</v>
      </c>
      <c r="J80" s="236">
        <f t="shared" si="26"/>
        <v>1.479675369</v>
      </c>
      <c r="K80" s="236">
        <f t="shared" si="26"/>
        <v>1.657497685</v>
      </c>
      <c r="L80" s="236">
        <f t="shared" si="26"/>
        <v>1.802127244</v>
      </c>
      <c r="M80" s="236">
        <f t="shared" si="26"/>
        <v>1.802127244</v>
      </c>
      <c r="N80" s="236">
        <f t="shared" si="26"/>
        <v>1.802127244</v>
      </c>
      <c r="O80" s="236">
        <f t="shared" si="26"/>
        <v>1.802127244</v>
      </c>
      <c r="P80" s="236">
        <f t="shared" si="26"/>
        <v>1.754472153</v>
      </c>
      <c r="Q80" s="236">
        <f t="shared" si="26"/>
        <v>1.736933413</v>
      </c>
      <c r="R80" s="236">
        <f t="shared" si="26"/>
        <v>1.736933413</v>
      </c>
      <c r="S80" s="236">
        <f t="shared" si="26"/>
        <v>1.736933413</v>
      </c>
      <c r="T80" s="236">
        <f t="shared" si="26"/>
        <v>1.736933413</v>
      </c>
      <c r="U80" s="236">
        <f t="shared" si="26"/>
        <v>1.736933413</v>
      </c>
      <c r="V80" s="236">
        <f t="shared" si="26"/>
        <v>1.736933413</v>
      </c>
      <c r="W80" s="236">
        <f t="shared" si="26"/>
        <v>1.736933413</v>
      </c>
      <c r="X80" s="236">
        <f t="shared" si="26"/>
        <v>1.736933413</v>
      </c>
      <c r="Y80" s="236">
        <f t="shared" si="26"/>
        <v>1.736933413</v>
      </c>
      <c r="Z80" s="236">
        <f t="shared" si="26"/>
        <v>1.7490607</v>
      </c>
      <c r="AA80" s="236">
        <f t="shared" si="26"/>
        <v>1.822186591</v>
      </c>
      <c r="AB80" s="236">
        <f t="shared" si="26"/>
        <v>1.710640804</v>
      </c>
      <c r="AC80" s="232"/>
    </row>
    <row r="81">
      <c r="A81" s="107"/>
      <c r="B81" s="108"/>
      <c r="C81" s="224"/>
      <c r="D81" s="108"/>
      <c r="E81" s="227" t="s">
        <v>166</v>
      </c>
      <c r="F81" s="228" t="s">
        <v>49</v>
      </c>
      <c r="G81" s="229" t="s">
        <v>70</v>
      </c>
      <c r="H81" s="233" t="s">
        <v>132</v>
      </c>
      <c r="I81" s="235">
        <f t="shared" ref="I81:AB81" si="27">I36*I80</f>
        <v>0.002409365544</v>
      </c>
      <c r="J81" s="235">
        <f t="shared" si="27"/>
        <v>0.002109337641</v>
      </c>
      <c r="K81" s="235">
        <f t="shared" si="27"/>
        <v>0.00144763042</v>
      </c>
      <c r="L81" s="235">
        <f t="shared" si="27"/>
        <v>0.002463543173</v>
      </c>
      <c r="M81" s="235">
        <f t="shared" si="27"/>
        <v>0.002463543173</v>
      </c>
      <c r="N81" s="235">
        <f t="shared" si="27"/>
        <v>0.002463543173</v>
      </c>
      <c r="O81" s="235">
        <f t="shared" si="27"/>
        <v>0.002463543173</v>
      </c>
      <c r="P81" s="235">
        <f t="shared" si="27"/>
        <v>4128719.748</v>
      </c>
      <c r="Q81" s="235">
        <f t="shared" si="27"/>
        <v>0.004347632337</v>
      </c>
      <c r="R81" s="235">
        <f t="shared" si="27"/>
        <v>0.006572601168</v>
      </c>
      <c r="S81" s="235">
        <f t="shared" si="27"/>
        <v>0.002558728076</v>
      </c>
      <c r="T81" s="235">
        <f t="shared" si="27"/>
        <v>0.004303059061</v>
      </c>
      <c r="U81" s="235">
        <f t="shared" si="27"/>
        <v>0.002851818846</v>
      </c>
      <c r="V81" s="235">
        <f t="shared" si="27"/>
        <v>0.003372581178</v>
      </c>
      <c r="W81" s="235">
        <f t="shared" si="27"/>
        <v>0.002147307878</v>
      </c>
      <c r="X81" s="235">
        <f t="shared" si="27"/>
        <v>0.003116268126</v>
      </c>
      <c r="Y81" s="235">
        <f t="shared" si="27"/>
        <v>0.004894320906</v>
      </c>
      <c r="Z81" s="235">
        <f t="shared" si="27"/>
        <v>0.0008248588866</v>
      </c>
      <c r="AA81" s="235">
        <f t="shared" si="27"/>
        <v>0.002505295957</v>
      </c>
      <c r="AB81" s="235">
        <f t="shared" si="27"/>
        <v>0.001929172539</v>
      </c>
      <c r="AC81" s="232"/>
    </row>
    <row r="82">
      <c r="A82" s="237"/>
      <c r="B82" s="238"/>
      <c r="C82" s="239"/>
      <c r="D82" s="238"/>
      <c r="E82" s="240" t="s">
        <v>167</v>
      </c>
      <c r="F82" s="241" t="s">
        <v>49</v>
      </c>
      <c r="G82" s="242" t="s">
        <v>70</v>
      </c>
      <c r="H82" s="234" t="s">
        <v>132</v>
      </c>
      <c r="I82" s="235">
        <f t="shared" ref="I82:AB82" si="28">I36*I76</f>
        <v>0.0006386812225</v>
      </c>
      <c r="J82" s="235">
        <f t="shared" si="28"/>
        <v>0.0003791595379</v>
      </c>
      <c r="K82" s="235">
        <f t="shared" si="28"/>
        <v>0.0003813936645</v>
      </c>
      <c r="L82" s="235">
        <f t="shared" si="28"/>
        <v>0.0003187605753</v>
      </c>
      <c r="M82" s="235">
        <f t="shared" si="28"/>
        <v>0.0003818111506</v>
      </c>
      <c r="N82" s="235">
        <f t="shared" si="28"/>
        <v>0.0004031842269</v>
      </c>
      <c r="O82" s="235">
        <f t="shared" si="28"/>
        <v>0.0003918187792</v>
      </c>
      <c r="P82" s="235">
        <f t="shared" si="28"/>
        <v>593516.1738</v>
      </c>
      <c r="Q82" s="235">
        <f t="shared" si="28"/>
        <v>0.001222702734</v>
      </c>
      <c r="R82" s="235">
        <f t="shared" si="28"/>
        <v>0.001325099618</v>
      </c>
      <c r="S82" s="235">
        <f t="shared" si="28"/>
        <v>0.0004099568223</v>
      </c>
      <c r="T82" s="235">
        <f t="shared" si="28"/>
        <v>0.001291194754</v>
      </c>
      <c r="U82" s="235">
        <f t="shared" si="28"/>
        <v>0.0007821284909</v>
      </c>
      <c r="V82" s="235">
        <f t="shared" si="28"/>
        <v>0.0007380686477</v>
      </c>
      <c r="W82" s="235">
        <f t="shared" si="28"/>
        <v>0.0006123183928</v>
      </c>
      <c r="X82" s="235">
        <f t="shared" si="28"/>
        <v>0.0007368184806</v>
      </c>
      <c r="Y82" s="235">
        <f t="shared" si="28"/>
        <v>0.001038490452</v>
      </c>
      <c r="Z82" s="235">
        <f t="shared" si="28"/>
        <v>0.0001218082388</v>
      </c>
      <c r="AA82" s="235">
        <f t="shared" si="28"/>
        <v>0.0004838149291</v>
      </c>
      <c r="AB82" s="235">
        <f t="shared" si="28"/>
        <v>0.000375918027</v>
      </c>
      <c r="AC82" s="243"/>
    </row>
    <row r="83">
      <c r="A83" s="237"/>
      <c r="B83" s="238"/>
      <c r="C83" s="239"/>
      <c r="D83" s="238"/>
      <c r="E83" s="244" t="s">
        <v>168</v>
      </c>
      <c r="F83" s="245" t="s">
        <v>49</v>
      </c>
      <c r="G83" s="246" t="s">
        <v>70</v>
      </c>
      <c r="H83" s="247" t="s">
        <v>132</v>
      </c>
      <c r="I83" s="248">
        <f t="shared" ref="I83:AB83" si="29">I77*I81</f>
        <v>0.00005404769476</v>
      </c>
      <c r="J83" s="248">
        <f t="shared" si="29"/>
        <v>0.00003418785305</v>
      </c>
      <c r="K83" s="248">
        <f t="shared" si="29"/>
        <v>0.00003542960492</v>
      </c>
      <c r="L83" s="248">
        <f t="shared" si="29"/>
        <v>0.00003152195159</v>
      </c>
      <c r="M83" s="248">
        <f t="shared" si="29"/>
        <v>0.00003775621903</v>
      </c>
      <c r="N83" s="248">
        <f t="shared" si="29"/>
        <v>0.00003987000955</v>
      </c>
      <c r="O83" s="248">
        <f t="shared" si="29"/>
        <v>0.00003874642683</v>
      </c>
      <c r="P83" s="248">
        <f t="shared" si="29"/>
        <v>58557.2241</v>
      </c>
      <c r="Q83" s="248">
        <f t="shared" si="29"/>
        <v>0.0001200725174</v>
      </c>
      <c r="R83" s="248">
        <f t="shared" si="29"/>
        <v>0.0001348616031</v>
      </c>
      <c r="S83" s="248">
        <f t="shared" si="29"/>
        <v>0.00004033456552</v>
      </c>
      <c r="T83" s="248">
        <f t="shared" si="29"/>
        <v>0.0001236465993</v>
      </c>
      <c r="U83" s="248">
        <f t="shared" si="29"/>
        <v>0.00007448974923</v>
      </c>
      <c r="V83" s="248">
        <f t="shared" si="29"/>
        <v>0.0000723443315</v>
      </c>
      <c r="W83" s="248">
        <f t="shared" si="29"/>
        <v>0.00005810231692</v>
      </c>
      <c r="X83" s="248">
        <f t="shared" si="29"/>
        <v>0.00007295925946</v>
      </c>
      <c r="Y83" s="248">
        <f t="shared" si="29"/>
        <v>0.0001039478139</v>
      </c>
      <c r="Z83" s="248">
        <f t="shared" si="29"/>
        <v>0.00001195471862</v>
      </c>
      <c r="AA83" s="248">
        <f t="shared" si="29"/>
        <v>0.00005024241551</v>
      </c>
      <c r="AB83" s="248">
        <f t="shared" si="29"/>
        <v>0.00003661573024</v>
      </c>
      <c r="AC83" s="249"/>
    </row>
    <row r="84">
      <c r="A84" s="107"/>
      <c r="B84" s="108"/>
      <c r="C84" s="224"/>
      <c r="D84" s="108"/>
      <c r="E84" s="124"/>
      <c r="F84" s="125"/>
      <c r="G84" s="125"/>
      <c r="H84" s="250"/>
      <c r="I84" s="251"/>
      <c r="J84" s="251"/>
      <c r="K84" s="251"/>
      <c r="L84" s="251"/>
      <c r="M84" s="251"/>
      <c r="N84" s="251"/>
      <c r="O84" s="251"/>
      <c r="P84" s="251"/>
      <c r="Q84" s="251"/>
      <c r="R84" s="251"/>
      <c r="S84" s="251"/>
      <c r="T84" s="251"/>
      <c r="U84" s="251"/>
      <c r="V84" s="251"/>
      <c r="W84" s="251"/>
      <c r="X84" s="251"/>
      <c r="Y84" s="251"/>
      <c r="Z84" s="251"/>
      <c r="AA84" s="251"/>
      <c r="AB84" s="251"/>
      <c r="AC84" s="200"/>
    </row>
    <row r="85">
      <c r="A85" s="107"/>
      <c r="B85" s="108"/>
      <c r="C85" s="115" t="s">
        <v>169</v>
      </c>
      <c r="F85" s="125"/>
      <c r="G85" s="125"/>
      <c r="H85" s="250"/>
      <c r="I85" s="251"/>
      <c r="J85" s="251"/>
      <c r="K85" s="251"/>
      <c r="L85" s="251"/>
      <c r="M85" s="251"/>
      <c r="N85" s="251"/>
      <c r="O85" s="251"/>
      <c r="P85" s="251"/>
      <c r="Q85" s="251"/>
      <c r="R85" s="251"/>
      <c r="S85" s="251"/>
      <c r="T85" s="251"/>
      <c r="U85" s="251"/>
      <c r="V85" s="251"/>
      <c r="W85" s="251"/>
      <c r="X85" s="251"/>
      <c r="Y85" s="251"/>
      <c r="Z85" s="251"/>
      <c r="AA85" s="251"/>
      <c r="AB85" s="251"/>
      <c r="AC85" s="200"/>
    </row>
    <row r="86">
      <c r="A86" s="107"/>
      <c r="B86" s="108"/>
      <c r="C86" s="224"/>
      <c r="D86" s="108"/>
      <c r="E86" s="178" t="str">
        <f>HYPERLINK(buildUrl(CELL("address", Inputs!E65)), Inputs!E65)</f>
        <v>Increase in annual income per malaria case averted among people under age 15</v>
      </c>
      <c r="F86" s="154" t="str">
        <f>Inputs!F65</f>
        <v>%</v>
      </c>
      <c r="G86" s="179" t="str">
        <f>Inputs!G65</f>
        <v>input</v>
      </c>
      <c r="H86" s="252">
        <f>Inputs!H65</f>
        <v>0.0064543</v>
      </c>
      <c r="I86" s="204" t="str">
        <f>Inputs!I65</f>
        <v>-</v>
      </c>
      <c r="J86" s="204" t="str">
        <f>Inputs!J65</f>
        <v>-</v>
      </c>
      <c r="K86" s="204" t="str">
        <f>Inputs!K65</f>
        <v>-</v>
      </c>
      <c r="L86" s="204" t="str">
        <f>Inputs!L65</f>
        <v>-</v>
      </c>
      <c r="M86" s="204" t="str">
        <f>Inputs!M65</f>
        <v>-</v>
      </c>
      <c r="N86" s="204" t="str">
        <f>Inputs!N65</f>
        <v>-</v>
      </c>
      <c r="O86" s="204" t="str">
        <f>Inputs!O65</f>
        <v>-</v>
      </c>
      <c r="P86" s="204" t="str">
        <f>Inputs!P65</f>
        <v>-</v>
      </c>
      <c r="Q86" s="204" t="str">
        <f>Inputs!Q65</f>
        <v>-</v>
      </c>
      <c r="R86" s="204" t="str">
        <f>Inputs!R65</f>
        <v>-</v>
      </c>
      <c r="S86" s="204" t="str">
        <f>Inputs!S65</f>
        <v>-</v>
      </c>
      <c r="T86" s="204" t="str">
        <f>Inputs!T65</f>
        <v>-</v>
      </c>
      <c r="U86" s="204" t="str">
        <f>Inputs!U65</f>
        <v>-</v>
      </c>
      <c r="V86" s="204" t="str">
        <f>Inputs!V65</f>
        <v>-</v>
      </c>
      <c r="W86" s="204" t="str">
        <f>Inputs!W65</f>
        <v>-</v>
      </c>
      <c r="X86" s="204" t="str">
        <f>Inputs!X65</f>
        <v>-</v>
      </c>
      <c r="Y86" s="204" t="str">
        <f>Inputs!Y65</f>
        <v>-</v>
      </c>
      <c r="Z86" s="204" t="str">
        <f>Inputs!Z65</f>
        <v>-</v>
      </c>
      <c r="AA86" s="204" t="str">
        <f>Inputs!AA65</f>
        <v>-</v>
      </c>
      <c r="AB86" s="204" t="str">
        <f>Inputs!AB65</f>
        <v>-</v>
      </c>
      <c r="AC86" s="134"/>
    </row>
    <row r="87">
      <c r="A87" s="107"/>
      <c r="B87" s="108"/>
      <c r="C87" s="224"/>
      <c r="D87" s="108"/>
      <c r="E87" s="135" t="s">
        <v>170</v>
      </c>
      <c r="F87" s="159" t="s">
        <v>57</v>
      </c>
      <c r="G87" s="212" t="s">
        <v>70</v>
      </c>
      <c r="H87" s="253">
        <f>(ln(1+H86)-ln(1))</f>
        <v>0.006433560199</v>
      </c>
      <c r="I87" s="208" t="s">
        <v>132</v>
      </c>
      <c r="J87" s="208" t="s">
        <v>132</v>
      </c>
      <c r="K87" s="208" t="s">
        <v>132</v>
      </c>
      <c r="L87" s="208" t="s">
        <v>132</v>
      </c>
      <c r="M87" s="208" t="s">
        <v>132</v>
      </c>
      <c r="N87" s="208" t="s">
        <v>132</v>
      </c>
      <c r="O87" s="208" t="s">
        <v>132</v>
      </c>
      <c r="P87" s="208" t="s">
        <v>132</v>
      </c>
      <c r="Q87" s="208" t="s">
        <v>132</v>
      </c>
      <c r="R87" s="208" t="s">
        <v>132</v>
      </c>
      <c r="S87" s="208" t="s">
        <v>132</v>
      </c>
      <c r="T87" s="208" t="s">
        <v>132</v>
      </c>
      <c r="U87" s="208" t="s">
        <v>132</v>
      </c>
      <c r="V87" s="208" t="s">
        <v>132</v>
      </c>
      <c r="W87" s="208" t="s">
        <v>132</v>
      </c>
      <c r="X87" s="208" t="s">
        <v>132</v>
      </c>
      <c r="Y87" s="208" t="s">
        <v>132</v>
      </c>
      <c r="Z87" s="208" t="s">
        <v>132</v>
      </c>
      <c r="AA87" s="208" t="s">
        <v>132</v>
      </c>
      <c r="AB87" s="208" t="s">
        <v>132</v>
      </c>
      <c r="AC87" s="140"/>
    </row>
    <row r="88">
      <c r="A88" s="107"/>
      <c r="B88" s="108"/>
      <c r="C88" s="224"/>
      <c r="D88" s="108"/>
      <c r="E88" s="201" t="str">
        <f>HYPERLINK(buildUrl(CELL("address", Inputs!E66)), Inputs!E66)</f>
        <v>Average number of years between receiving SMC and the beginning of long-term benefits</v>
      </c>
      <c r="F88" s="159" t="str">
        <f>Inputs!F66</f>
        <v>#</v>
      </c>
      <c r="G88" s="212" t="str">
        <f>Inputs!G66</f>
        <v>input</v>
      </c>
      <c r="H88" s="254">
        <f>Inputs!H66</f>
        <v>12.5</v>
      </c>
      <c r="I88" s="206" t="str">
        <f>Inputs!I66</f>
        <v>-</v>
      </c>
      <c r="J88" s="206" t="str">
        <f>Inputs!J66</f>
        <v>-</v>
      </c>
      <c r="K88" s="206" t="str">
        <f>Inputs!K66</f>
        <v>-</v>
      </c>
      <c r="L88" s="206" t="str">
        <f>Inputs!L66</f>
        <v>-</v>
      </c>
      <c r="M88" s="206" t="str">
        <f>Inputs!M66</f>
        <v>-</v>
      </c>
      <c r="N88" s="206" t="str">
        <f>Inputs!N66</f>
        <v>-</v>
      </c>
      <c r="O88" s="206" t="str">
        <f>Inputs!O66</f>
        <v>-</v>
      </c>
      <c r="P88" s="206" t="str">
        <f>Inputs!P66</f>
        <v>-</v>
      </c>
      <c r="Q88" s="206" t="str">
        <f>Inputs!Q66</f>
        <v>-</v>
      </c>
      <c r="R88" s="206" t="str">
        <f>Inputs!R66</f>
        <v>-</v>
      </c>
      <c r="S88" s="206" t="str">
        <f>Inputs!S66</f>
        <v>-</v>
      </c>
      <c r="T88" s="206" t="str">
        <f>Inputs!T66</f>
        <v>-</v>
      </c>
      <c r="U88" s="206" t="str">
        <f>Inputs!U66</f>
        <v>-</v>
      </c>
      <c r="V88" s="206" t="str">
        <f>Inputs!V66</f>
        <v>-</v>
      </c>
      <c r="W88" s="206" t="str">
        <f>Inputs!W66</f>
        <v>-</v>
      </c>
      <c r="X88" s="206" t="str">
        <f>Inputs!X66</f>
        <v>-</v>
      </c>
      <c r="Y88" s="206" t="str">
        <f>Inputs!Y66</f>
        <v>-</v>
      </c>
      <c r="Z88" s="206" t="str">
        <f>Inputs!Z66</f>
        <v>-</v>
      </c>
      <c r="AA88" s="206" t="str">
        <f>Inputs!AA66</f>
        <v>-</v>
      </c>
      <c r="AB88" s="206" t="str">
        <f>Inputs!AB66</f>
        <v>-</v>
      </c>
      <c r="AC88" s="140"/>
    </row>
    <row r="89">
      <c r="A89" s="107"/>
      <c r="B89" s="108"/>
      <c r="C89" s="224"/>
      <c r="D89" s="108"/>
      <c r="E89" s="201" t="str">
        <f>HYPERLINK(buildUrl(CELL("address", Inputs!E67)), Inputs!E67)</f>
        <v>Discount rate for future benefits</v>
      </c>
      <c r="F89" s="159" t="str">
        <f>Inputs!F67</f>
        <v>%</v>
      </c>
      <c r="G89" s="212" t="str">
        <f>Inputs!G67</f>
        <v>input</v>
      </c>
      <c r="H89" s="255">
        <f>Inputs!H67</f>
        <v>0.04</v>
      </c>
      <c r="I89" s="206" t="str">
        <f>Inputs!I67</f>
        <v>-</v>
      </c>
      <c r="J89" s="206" t="str">
        <f>Inputs!J67</f>
        <v>-</v>
      </c>
      <c r="K89" s="206" t="str">
        <f>Inputs!K67</f>
        <v>-</v>
      </c>
      <c r="L89" s="206" t="str">
        <f>Inputs!L67</f>
        <v>-</v>
      </c>
      <c r="M89" s="206" t="str">
        <f>Inputs!M67</f>
        <v>-</v>
      </c>
      <c r="N89" s="206" t="str">
        <f>Inputs!N67</f>
        <v>-</v>
      </c>
      <c r="O89" s="206" t="str">
        <f>Inputs!O67</f>
        <v>-</v>
      </c>
      <c r="P89" s="206" t="str">
        <f>Inputs!P67</f>
        <v>-</v>
      </c>
      <c r="Q89" s="206" t="str">
        <f>Inputs!Q67</f>
        <v>-</v>
      </c>
      <c r="R89" s="206" t="str">
        <f>Inputs!R67</f>
        <v>-</v>
      </c>
      <c r="S89" s="206" t="str">
        <f>Inputs!S67</f>
        <v>-</v>
      </c>
      <c r="T89" s="206" t="str">
        <f>Inputs!T67</f>
        <v>-</v>
      </c>
      <c r="U89" s="206" t="str">
        <f>Inputs!U67</f>
        <v>-</v>
      </c>
      <c r="V89" s="206" t="str">
        <f>Inputs!V67</f>
        <v>-</v>
      </c>
      <c r="W89" s="206" t="str">
        <f>Inputs!W67</f>
        <v>-</v>
      </c>
      <c r="X89" s="206" t="str">
        <f>Inputs!X67</f>
        <v>-</v>
      </c>
      <c r="Y89" s="206" t="str">
        <f>Inputs!Y67</f>
        <v>-</v>
      </c>
      <c r="Z89" s="206" t="str">
        <f>Inputs!Z67</f>
        <v>-</v>
      </c>
      <c r="AA89" s="206" t="str">
        <f>Inputs!AA67</f>
        <v>-</v>
      </c>
      <c r="AB89" s="206" t="str">
        <f>Inputs!AB67</f>
        <v>-</v>
      </c>
      <c r="AC89" s="140"/>
    </row>
    <row r="90">
      <c r="A90" s="107"/>
      <c r="B90" s="108"/>
      <c r="C90" s="224"/>
      <c r="D90" s="108"/>
      <c r="E90" s="135" t="s">
        <v>171</v>
      </c>
      <c r="F90" s="159" t="s">
        <v>57</v>
      </c>
      <c r="G90" s="212" t="s">
        <v>70</v>
      </c>
      <c r="H90" s="253">
        <f>H87/(1+H89)^H88</f>
        <v>0.003940348441</v>
      </c>
      <c r="I90" s="208" t="s">
        <v>132</v>
      </c>
      <c r="J90" s="208" t="s">
        <v>132</v>
      </c>
      <c r="K90" s="208" t="s">
        <v>132</v>
      </c>
      <c r="L90" s="208" t="s">
        <v>132</v>
      </c>
      <c r="M90" s="208" t="s">
        <v>132</v>
      </c>
      <c r="N90" s="208" t="s">
        <v>132</v>
      </c>
      <c r="O90" s="208" t="s">
        <v>132</v>
      </c>
      <c r="P90" s="208" t="s">
        <v>132</v>
      </c>
      <c r="Q90" s="208" t="s">
        <v>132</v>
      </c>
      <c r="R90" s="208" t="s">
        <v>132</v>
      </c>
      <c r="S90" s="208" t="s">
        <v>132</v>
      </c>
      <c r="T90" s="208" t="s">
        <v>132</v>
      </c>
      <c r="U90" s="208" t="s">
        <v>132</v>
      </c>
      <c r="V90" s="208" t="s">
        <v>132</v>
      </c>
      <c r="W90" s="208" t="s">
        <v>132</v>
      </c>
      <c r="X90" s="208" t="s">
        <v>132</v>
      </c>
      <c r="Y90" s="208" t="s">
        <v>132</v>
      </c>
      <c r="Z90" s="208" t="s">
        <v>132</v>
      </c>
      <c r="AA90" s="208" t="s">
        <v>132</v>
      </c>
      <c r="AB90" s="208" t="s">
        <v>132</v>
      </c>
      <c r="AC90" s="140"/>
    </row>
    <row r="91">
      <c r="A91" s="107"/>
      <c r="B91" s="108"/>
      <c r="C91" s="224"/>
      <c r="D91" s="108"/>
      <c r="E91" s="201" t="str">
        <f>HYPERLINK(buildUrl(CELL("address", Inputs!E68)), Inputs!E68)</f>
        <v>Expected number of years the long-term benefits of receiving SMC will last</v>
      </c>
      <c r="F91" s="159" t="str">
        <f>Inputs!F68</f>
        <v>#</v>
      </c>
      <c r="G91" s="212" t="str">
        <f>Inputs!G68</f>
        <v>input</v>
      </c>
      <c r="H91" s="256">
        <f>Inputs!H68</f>
        <v>40</v>
      </c>
      <c r="I91" s="206" t="str">
        <f>Inputs!I68</f>
        <v>-</v>
      </c>
      <c r="J91" s="206" t="str">
        <f>Inputs!J68</f>
        <v>-</v>
      </c>
      <c r="K91" s="206" t="str">
        <f>Inputs!K68</f>
        <v>-</v>
      </c>
      <c r="L91" s="206" t="str">
        <f>Inputs!L68</f>
        <v>-</v>
      </c>
      <c r="M91" s="206" t="str">
        <f>Inputs!M68</f>
        <v>-</v>
      </c>
      <c r="N91" s="206" t="str">
        <f>Inputs!N68</f>
        <v>-</v>
      </c>
      <c r="O91" s="206" t="str">
        <f>Inputs!O68</f>
        <v>-</v>
      </c>
      <c r="P91" s="206" t="str">
        <f>Inputs!P68</f>
        <v>-</v>
      </c>
      <c r="Q91" s="206" t="str">
        <f>Inputs!Q68</f>
        <v>-</v>
      </c>
      <c r="R91" s="206" t="str">
        <f>Inputs!R68</f>
        <v>-</v>
      </c>
      <c r="S91" s="206" t="str">
        <f>Inputs!S68</f>
        <v>-</v>
      </c>
      <c r="T91" s="206" t="str">
        <f>Inputs!T68</f>
        <v>-</v>
      </c>
      <c r="U91" s="206" t="str">
        <f>Inputs!U68</f>
        <v>-</v>
      </c>
      <c r="V91" s="206" t="str">
        <f>Inputs!V68</f>
        <v>-</v>
      </c>
      <c r="W91" s="206" t="str">
        <f>Inputs!W68</f>
        <v>-</v>
      </c>
      <c r="X91" s="206" t="str">
        <f>Inputs!X68</f>
        <v>-</v>
      </c>
      <c r="Y91" s="206" t="str">
        <f>Inputs!Y68</f>
        <v>-</v>
      </c>
      <c r="Z91" s="206" t="str">
        <f>Inputs!Z68</f>
        <v>-</v>
      </c>
      <c r="AA91" s="206" t="str">
        <f>Inputs!AA68</f>
        <v>-</v>
      </c>
      <c r="AB91" s="206" t="str">
        <f>Inputs!AB68</f>
        <v>-</v>
      </c>
      <c r="AC91" s="140"/>
    </row>
    <row r="92">
      <c r="A92" s="107"/>
      <c r="B92" s="108"/>
      <c r="C92" s="224"/>
      <c r="D92" s="108"/>
      <c r="E92" s="135" t="s">
        <v>172</v>
      </c>
      <c r="F92" s="159" t="s">
        <v>57</v>
      </c>
      <c r="G92" s="212" t="s">
        <v>70</v>
      </c>
      <c r="H92" s="257">
        <f>pv(H89,H91,-H90,,1)</f>
        <v>0.08111004275</v>
      </c>
      <c r="I92" s="208" t="s">
        <v>132</v>
      </c>
      <c r="J92" s="208" t="s">
        <v>132</v>
      </c>
      <c r="K92" s="208" t="s">
        <v>132</v>
      </c>
      <c r="L92" s="208" t="s">
        <v>132</v>
      </c>
      <c r="M92" s="208" t="s">
        <v>132</v>
      </c>
      <c r="N92" s="208" t="s">
        <v>132</v>
      </c>
      <c r="O92" s="208" t="s">
        <v>132</v>
      </c>
      <c r="P92" s="208" t="s">
        <v>132</v>
      </c>
      <c r="Q92" s="208" t="s">
        <v>132</v>
      </c>
      <c r="R92" s="208" t="s">
        <v>132</v>
      </c>
      <c r="S92" s="208" t="s">
        <v>132</v>
      </c>
      <c r="T92" s="208" t="s">
        <v>132</v>
      </c>
      <c r="U92" s="208" t="s">
        <v>132</v>
      </c>
      <c r="V92" s="208" t="s">
        <v>132</v>
      </c>
      <c r="W92" s="208" t="s">
        <v>132</v>
      </c>
      <c r="X92" s="208" t="s">
        <v>132</v>
      </c>
      <c r="Y92" s="208" t="s">
        <v>132</v>
      </c>
      <c r="Z92" s="208" t="s">
        <v>132</v>
      </c>
      <c r="AA92" s="208" t="s">
        <v>132</v>
      </c>
      <c r="AB92" s="208" t="s">
        <v>132</v>
      </c>
      <c r="AC92" s="140"/>
    </row>
    <row r="93">
      <c r="A93" s="107"/>
      <c r="B93" s="108"/>
      <c r="C93" s="224"/>
      <c r="D93" s="108"/>
      <c r="E93" s="201" t="str">
        <f>HYPERLINK(buildUrl(CELL("address", Inputs!E69)), Inputs!E69)</f>
        <v>Multiplier for resource sharing within households</v>
      </c>
      <c r="F93" s="159" t="str">
        <f>Inputs!F69</f>
        <v>#</v>
      </c>
      <c r="G93" s="212" t="str">
        <f>Inputs!G69</f>
        <v>input</v>
      </c>
      <c r="H93" s="256">
        <f>Inputs!H69</f>
        <v>2</v>
      </c>
      <c r="I93" s="206" t="str">
        <f>Inputs!I69</f>
        <v>-</v>
      </c>
      <c r="J93" s="206" t="str">
        <f>Inputs!J69</f>
        <v>-</v>
      </c>
      <c r="K93" s="206" t="str">
        <f>Inputs!K69</f>
        <v>-</v>
      </c>
      <c r="L93" s="206" t="str">
        <f>Inputs!L69</f>
        <v>-</v>
      </c>
      <c r="M93" s="206" t="str">
        <f>Inputs!M69</f>
        <v>-</v>
      </c>
      <c r="N93" s="206" t="str">
        <f>Inputs!N69</f>
        <v>-</v>
      </c>
      <c r="O93" s="206" t="str">
        <f>Inputs!O69</f>
        <v>-</v>
      </c>
      <c r="P93" s="206" t="str">
        <f>Inputs!P69</f>
        <v>-</v>
      </c>
      <c r="Q93" s="206" t="str">
        <f>Inputs!Q69</f>
        <v>-</v>
      </c>
      <c r="R93" s="206" t="str">
        <f>Inputs!R69</f>
        <v>-</v>
      </c>
      <c r="S93" s="206" t="str">
        <f>Inputs!S69</f>
        <v>-</v>
      </c>
      <c r="T93" s="206" t="str">
        <f>Inputs!T69</f>
        <v>-</v>
      </c>
      <c r="U93" s="206" t="str">
        <f>Inputs!U69</f>
        <v>-</v>
      </c>
      <c r="V93" s="206" t="str">
        <f>Inputs!V69</f>
        <v>-</v>
      </c>
      <c r="W93" s="206" t="str">
        <f>Inputs!W69</f>
        <v>-</v>
      </c>
      <c r="X93" s="206" t="str">
        <f>Inputs!X69</f>
        <v>-</v>
      </c>
      <c r="Y93" s="206" t="str">
        <f>Inputs!Y69</f>
        <v>-</v>
      </c>
      <c r="Z93" s="206" t="str">
        <f>Inputs!Z69</f>
        <v>-</v>
      </c>
      <c r="AA93" s="206" t="str">
        <f>Inputs!AA69</f>
        <v>-</v>
      </c>
      <c r="AB93" s="206" t="str">
        <f>Inputs!AB69</f>
        <v>-</v>
      </c>
      <c r="AC93" s="140"/>
    </row>
    <row r="94">
      <c r="A94" s="107"/>
      <c r="B94" s="108"/>
      <c r="C94" s="224"/>
      <c r="D94" s="108"/>
      <c r="E94" s="135" t="s">
        <v>173</v>
      </c>
      <c r="F94" s="159" t="s">
        <v>57</v>
      </c>
      <c r="G94" s="212" t="s">
        <v>70</v>
      </c>
      <c r="H94" s="258">
        <f>H92*H93</f>
        <v>0.1622200855</v>
      </c>
      <c r="I94" s="208" t="s">
        <v>132</v>
      </c>
      <c r="J94" s="208" t="s">
        <v>132</v>
      </c>
      <c r="K94" s="208" t="s">
        <v>132</v>
      </c>
      <c r="L94" s="208" t="s">
        <v>132</v>
      </c>
      <c r="M94" s="208" t="s">
        <v>132</v>
      </c>
      <c r="N94" s="208" t="s">
        <v>132</v>
      </c>
      <c r="O94" s="208" t="s">
        <v>132</v>
      </c>
      <c r="P94" s="208" t="s">
        <v>132</v>
      </c>
      <c r="Q94" s="208" t="s">
        <v>132</v>
      </c>
      <c r="R94" s="208" t="s">
        <v>132</v>
      </c>
      <c r="S94" s="208" t="s">
        <v>132</v>
      </c>
      <c r="T94" s="208" t="s">
        <v>132</v>
      </c>
      <c r="U94" s="208" t="s">
        <v>132</v>
      </c>
      <c r="V94" s="208" t="s">
        <v>132</v>
      </c>
      <c r="W94" s="208" t="s">
        <v>132</v>
      </c>
      <c r="X94" s="208" t="s">
        <v>132</v>
      </c>
      <c r="Y94" s="208" t="s">
        <v>132</v>
      </c>
      <c r="Z94" s="208" t="s">
        <v>132</v>
      </c>
      <c r="AA94" s="208" t="s">
        <v>132</v>
      </c>
      <c r="AB94" s="208" t="s">
        <v>132</v>
      </c>
      <c r="AC94" s="140"/>
    </row>
    <row r="95">
      <c r="A95" s="107"/>
      <c r="B95" s="108"/>
      <c r="C95" s="224"/>
      <c r="D95" s="108"/>
      <c r="E95" s="201" t="s">
        <v>174</v>
      </c>
      <c r="F95" s="159" t="s">
        <v>57</v>
      </c>
      <c r="G95" s="212" t="s">
        <v>70</v>
      </c>
      <c r="H95" s="259" t="s">
        <v>132</v>
      </c>
      <c r="I95" s="218">
        <f t="shared" ref="I95:AB95" si="30">I82*$H94</f>
        <v>0.0001036069225</v>
      </c>
      <c r="J95" s="218">
        <f t="shared" si="30"/>
        <v>0.00006150729265</v>
      </c>
      <c r="K95" s="218">
        <f t="shared" si="30"/>
        <v>0.00006186971285</v>
      </c>
      <c r="L95" s="218">
        <f t="shared" si="30"/>
        <v>0.00005170936777</v>
      </c>
      <c r="M95" s="218">
        <f t="shared" si="30"/>
        <v>0.00006193743748</v>
      </c>
      <c r="N95" s="218">
        <f t="shared" si="30"/>
        <v>0.00006540457976</v>
      </c>
      <c r="O95" s="218">
        <f t="shared" si="30"/>
        <v>0.00006356087587</v>
      </c>
      <c r="P95" s="218">
        <f t="shared" si="30"/>
        <v>96280.24446</v>
      </c>
      <c r="Q95" s="218">
        <f t="shared" si="30"/>
        <v>0.000198346942</v>
      </c>
      <c r="R95" s="218">
        <f t="shared" si="30"/>
        <v>0.0002149577733</v>
      </c>
      <c r="S95" s="218">
        <f t="shared" si="30"/>
        <v>0.00006650323076</v>
      </c>
      <c r="T95" s="218">
        <f t="shared" si="30"/>
        <v>0.0002094577234</v>
      </c>
      <c r="U95" s="218">
        <f t="shared" si="30"/>
        <v>0.0001268769507</v>
      </c>
      <c r="V95" s="218">
        <f t="shared" si="30"/>
        <v>0.0001197295591</v>
      </c>
      <c r="W95" s="218">
        <f t="shared" si="30"/>
        <v>0.00009933034203</v>
      </c>
      <c r="X95" s="218">
        <f t="shared" si="30"/>
        <v>0.0001195267569</v>
      </c>
      <c r="Y95" s="218">
        <f t="shared" si="30"/>
        <v>0.00016846401</v>
      </c>
      <c r="Z95" s="218">
        <f t="shared" si="30"/>
        <v>0.00001975974291</v>
      </c>
      <c r="AA95" s="218">
        <f t="shared" si="30"/>
        <v>0.00007848449916</v>
      </c>
      <c r="AB95" s="218">
        <f t="shared" si="30"/>
        <v>0.00006098145448</v>
      </c>
      <c r="AC95" s="140"/>
    </row>
    <row r="96">
      <c r="A96" s="107"/>
      <c r="B96" s="108"/>
      <c r="C96" s="224"/>
      <c r="D96" s="108"/>
      <c r="E96" s="201" t="s">
        <v>175</v>
      </c>
      <c r="F96" s="159" t="s">
        <v>57</v>
      </c>
      <c r="G96" s="212" t="s">
        <v>70</v>
      </c>
      <c r="H96" s="259" t="s">
        <v>132</v>
      </c>
      <c r="I96" s="218">
        <f t="shared" ref="I96:AB96" si="31">I83*$H94</f>
        <v>0.000008767621665</v>
      </c>
      <c r="J96" s="218">
        <f t="shared" si="31"/>
        <v>0.000005545956444</v>
      </c>
      <c r="K96" s="218">
        <f t="shared" si="31"/>
        <v>0.000005747393539</v>
      </c>
      <c r="L96" s="218">
        <f t="shared" si="31"/>
        <v>0.000005113493682</v>
      </c>
      <c r="M96" s="218">
        <f t="shared" si="31"/>
        <v>0.000006124817079</v>
      </c>
      <c r="N96" s="218">
        <f t="shared" si="31"/>
        <v>0.000006467716358</v>
      </c>
      <c r="O96" s="218">
        <f t="shared" si="31"/>
        <v>0.000006285448672</v>
      </c>
      <c r="P96" s="218">
        <f t="shared" si="31"/>
        <v>9499.157899</v>
      </c>
      <c r="Q96" s="218">
        <f t="shared" si="31"/>
        <v>0.00001947817404</v>
      </c>
      <c r="R96" s="218">
        <f t="shared" si="31"/>
        <v>0.00002187726079</v>
      </c>
      <c r="S96" s="218">
        <f t="shared" si="31"/>
        <v>0.000006543076666</v>
      </c>
      <c r="T96" s="218">
        <f t="shared" si="31"/>
        <v>0.00002005796191</v>
      </c>
      <c r="U96" s="218">
        <f t="shared" si="31"/>
        <v>0.00001208373349</v>
      </c>
      <c r="V96" s="218">
        <f t="shared" si="31"/>
        <v>0.00001173570364</v>
      </c>
      <c r="W96" s="218">
        <f t="shared" si="31"/>
        <v>0.000009425362817</v>
      </c>
      <c r="X96" s="218">
        <f t="shared" si="31"/>
        <v>0.00001183545731</v>
      </c>
      <c r="Y96" s="218">
        <f t="shared" si="31"/>
        <v>0.00001686242325</v>
      </c>
      <c r="Z96" s="218">
        <f t="shared" si="31"/>
        <v>0.000001939295477</v>
      </c>
      <c r="AA96" s="218">
        <f t="shared" si="31"/>
        <v>0.000008150328939</v>
      </c>
      <c r="AB96" s="218">
        <f t="shared" si="31"/>
        <v>0.00000593980689</v>
      </c>
      <c r="AC96" s="140"/>
    </row>
    <row r="97">
      <c r="A97" s="107"/>
      <c r="B97" s="108"/>
      <c r="C97" s="224"/>
      <c r="D97" s="108"/>
      <c r="E97" s="260" t="s">
        <v>176</v>
      </c>
      <c r="F97" s="164" t="s">
        <v>57</v>
      </c>
      <c r="G97" s="219" t="s">
        <v>70</v>
      </c>
      <c r="H97" s="261" t="s">
        <v>132</v>
      </c>
      <c r="I97" s="210">
        <f t="shared" ref="I97:AB97" si="32">SUM(I95:I96)</f>
        <v>0.0001123745442</v>
      </c>
      <c r="J97" s="210">
        <f t="shared" si="32"/>
        <v>0.00006705324909</v>
      </c>
      <c r="K97" s="210">
        <f t="shared" si="32"/>
        <v>0.00006761710639</v>
      </c>
      <c r="L97" s="210">
        <f t="shared" si="32"/>
        <v>0.00005682286146</v>
      </c>
      <c r="M97" s="210">
        <f t="shared" si="32"/>
        <v>0.00006806225456</v>
      </c>
      <c r="N97" s="210">
        <f t="shared" si="32"/>
        <v>0.00007187229612</v>
      </c>
      <c r="O97" s="210">
        <f t="shared" si="32"/>
        <v>0.00006984632454</v>
      </c>
      <c r="P97" s="210">
        <f t="shared" si="32"/>
        <v>105779.4024</v>
      </c>
      <c r="Q97" s="210">
        <f t="shared" si="32"/>
        <v>0.000217825116</v>
      </c>
      <c r="R97" s="210">
        <f t="shared" si="32"/>
        <v>0.0002368350341</v>
      </c>
      <c r="S97" s="210">
        <f t="shared" si="32"/>
        <v>0.00007304630743</v>
      </c>
      <c r="T97" s="210">
        <f t="shared" si="32"/>
        <v>0.0002295156854</v>
      </c>
      <c r="U97" s="210">
        <f t="shared" si="32"/>
        <v>0.0001389606841</v>
      </c>
      <c r="V97" s="210">
        <f t="shared" si="32"/>
        <v>0.0001314652628</v>
      </c>
      <c r="W97" s="210">
        <f t="shared" si="32"/>
        <v>0.0001087557048</v>
      </c>
      <c r="X97" s="210">
        <f t="shared" si="32"/>
        <v>0.0001313622142</v>
      </c>
      <c r="Y97" s="210">
        <f t="shared" si="32"/>
        <v>0.0001853264332</v>
      </c>
      <c r="Z97" s="210">
        <f t="shared" si="32"/>
        <v>0.00002169903839</v>
      </c>
      <c r="AA97" s="210">
        <f t="shared" si="32"/>
        <v>0.0000866348281</v>
      </c>
      <c r="AB97" s="210">
        <f t="shared" si="32"/>
        <v>0.00006692126137</v>
      </c>
      <c r="AC97" s="146"/>
    </row>
    <row r="98">
      <c r="A98" s="53"/>
      <c r="B98" s="10"/>
      <c r="C98" s="10"/>
      <c r="D98" s="10"/>
      <c r="E98" s="262"/>
      <c r="F98" s="263"/>
      <c r="G98" s="128"/>
      <c r="H98" s="112"/>
      <c r="I98" s="117"/>
      <c r="J98" s="117"/>
      <c r="K98" s="117"/>
      <c r="L98" s="117"/>
      <c r="M98" s="117"/>
      <c r="N98" s="117"/>
      <c r="O98" s="117"/>
      <c r="P98" s="117"/>
      <c r="Q98" s="117"/>
      <c r="R98" s="117"/>
      <c r="S98" s="117"/>
      <c r="T98" s="117"/>
      <c r="U98" s="117"/>
      <c r="V98" s="117"/>
      <c r="W98" s="117"/>
      <c r="X98" s="117"/>
      <c r="Y98" s="117"/>
      <c r="Z98" s="117"/>
      <c r="AA98" s="117"/>
      <c r="AB98" s="117"/>
      <c r="AC98" s="114"/>
    </row>
    <row r="99">
      <c r="A99" s="103" t="s">
        <v>177</v>
      </c>
      <c r="B99" s="6"/>
      <c r="C99" s="6"/>
      <c r="D99" s="6"/>
      <c r="E99" s="6"/>
      <c r="F99" s="6"/>
      <c r="G99" s="6"/>
      <c r="H99" s="104"/>
      <c r="I99" s="264"/>
      <c r="J99" s="264"/>
      <c r="K99" s="264"/>
      <c r="L99" s="264"/>
      <c r="M99" s="264"/>
      <c r="N99" s="264"/>
      <c r="O99" s="264"/>
      <c r="P99" s="264"/>
      <c r="Q99" s="264"/>
      <c r="R99" s="264"/>
      <c r="S99" s="264"/>
      <c r="T99" s="264"/>
      <c r="U99" s="264"/>
      <c r="V99" s="264"/>
      <c r="W99" s="264"/>
      <c r="X99" s="264"/>
      <c r="Y99" s="264"/>
      <c r="Z99" s="264"/>
      <c r="AA99" s="264"/>
      <c r="AB99" s="264"/>
      <c r="AC99" s="106"/>
    </row>
    <row r="100">
      <c r="A100" s="107"/>
      <c r="B100" s="108"/>
      <c r="C100" s="108"/>
      <c r="D100" s="108"/>
      <c r="E100" s="109"/>
      <c r="F100" s="110"/>
      <c r="G100" s="111"/>
      <c r="H100" s="112"/>
      <c r="I100" s="117"/>
      <c r="J100" s="117"/>
      <c r="K100" s="117"/>
      <c r="L100" s="117"/>
      <c r="M100" s="117"/>
      <c r="N100" s="117"/>
      <c r="O100" s="117"/>
      <c r="P100" s="117"/>
      <c r="Q100" s="117"/>
      <c r="R100" s="117"/>
      <c r="S100" s="117"/>
      <c r="T100" s="117"/>
      <c r="U100" s="117"/>
      <c r="V100" s="117"/>
      <c r="W100" s="117"/>
      <c r="X100" s="117"/>
      <c r="Y100" s="117"/>
      <c r="Z100" s="117"/>
      <c r="AA100" s="117"/>
      <c r="AB100" s="117"/>
      <c r="AC100" s="114"/>
    </row>
    <row r="101">
      <c r="A101" s="107"/>
      <c r="B101" s="108"/>
      <c r="C101" s="152" t="s">
        <v>178</v>
      </c>
      <c r="F101" s="110"/>
      <c r="G101" s="111"/>
      <c r="H101" s="112"/>
      <c r="I101" s="117"/>
      <c r="J101" s="117"/>
      <c r="K101" s="117"/>
      <c r="L101" s="117"/>
      <c r="M101" s="117"/>
      <c r="N101" s="117"/>
      <c r="O101" s="117"/>
      <c r="P101" s="117"/>
      <c r="Q101" s="117"/>
      <c r="R101" s="117"/>
      <c r="S101" s="117"/>
      <c r="T101" s="117"/>
      <c r="U101" s="117"/>
      <c r="V101" s="117"/>
      <c r="W101" s="117"/>
      <c r="X101" s="117"/>
      <c r="Y101" s="117"/>
      <c r="Z101" s="117"/>
      <c r="AA101" s="117"/>
      <c r="AB101" s="117"/>
      <c r="AC101" s="114"/>
    </row>
    <row r="102">
      <c r="A102" s="107"/>
      <c r="B102" s="108"/>
      <c r="C102" s="108"/>
      <c r="D102" s="108"/>
      <c r="E102" s="178" t="str">
        <f>HYPERLINK(buildUrl(CELL("address", Inputs!E74)), Inputs!E74)</f>
        <v>Value assigned to averting a malaria-attributable death of a person under age 5</v>
      </c>
      <c r="F102" s="154" t="str">
        <f>Inputs!F74</f>
        <v>UoV</v>
      </c>
      <c r="G102" s="179" t="str">
        <f>Inputs!G74</f>
        <v>input</v>
      </c>
      <c r="H102" s="265">
        <f>Inputs!H74</f>
        <v>116.25262</v>
      </c>
      <c r="I102" s="196" t="str">
        <f>Inputs!I74</f>
        <v>-</v>
      </c>
      <c r="J102" s="196" t="str">
        <f>Inputs!J74</f>
        <v>-</v>
      </c>
      <c r="K102" s="196" t="str">
        <f>Inputs!K74</f>
        <v>-</v>
      </c>
      <c r="L102" s="196" t="str">
        <f>Inputs!L74</f>
        <v>-</v>
      </c>
      <c r="M102" s="196" t="str">
        <f>Inputs!M74</f>
        <v>-</v>
      </c>
      <c r="N102" s="196" t="str">
        <f>Inputs!N74</f>
        <v>-</v>
      </c>
      <c r="O102" s="196" t="str">
        <f>Inputs!O74</f>
        <v>-</v>
      </c>
      <c r="P102" s="196" t="str">
        <f>Inputs!P74</f>
        <v>-</v>
      </c>
      <c r="Q102" s="196" t="str">
        <f>Inputs!Q74</f>
        <v>-</v>
      </c>
      <c r="R102" s="196" t="str">
        <f>Inputs!R74</f>
        <v>-</v>
      </c>
      <c r="S102" s="196" t="str">
        <f>Inputs!S74</f>
        <v>-</v>
      </c>
      <c r="T102" s="196" t="str">
        <f>Inputs!T74</f>
        <v>-</v>
      </c>
      <c r="U102" s="196" t="str">
        <f>Inputs!U74</f>
        <v>-</v>
      </c>
      <c r="V102" s="196" t="str">
        <f>Inputs!V74</f>
        <v>-</v>
      </c>
      <c r="W102" s="196" t="str">
        <f>Inputs!W74</f>
        <v>-</v>
      </c>
      <c r="X102" s="196" t="str">
        <f>Inputs!X74</f>
        <v>-</v>
      </c>
      <c r="Y102" s="196" t="str">
        <f>Inputs!Y74</f>
        <v>-</v>
      </c>
      <c r="Z102" s="196" t="str">
        <f>Inputs!Z74</f>
        <v>-</v>
      </c>
      <c r="AA102" s="196" t="str">
        <f>Inputs!AA74</f>
        <v>-</v>
      </c>
      <c r="AB102" s="196" t="str">
        <f>Inputs!AB74</f>
        <v>-</v>
      </c>
      <c r="AC102" s="211"/>
    </row>
    <row r="103">
      <c r="A103" s="107"/>
      <c r="B103" s="108"/>
      <c r="C103" s="108"/>
      <c r="D103" s="108"/>
      <c r="E103" s="260" t="s">
        <v>179</v>
      </c>
      <c r="F103" s="164" t="s">
        <v>63</v>
      </c>
      <c r="G103" s="219" t="s">
        <v>70</v>
      </c>
      <c r="H103" s="266" t="s">
        <v>132</v>
      </c>
      <c r="I103" s="221">
        <f t="shared" ref="I103:AB103" si="33">I58*$H102</f>
        <v>0.0004842795212</v>
      </c>
      <c r="J103" s="221">
        <f t="shared" si="33"/>
        <v>0.0004409150645</v>
      </c>
      <c r="K103" s="221">
        <f t="shared" si="33"/>
        <v>0.0002381708094</v>
      </c>
      <c r="L103" s="221">
        <f t="shared" si="33"/>
        <v>0.0002621576572</v>
      </c>
      <c r="M103" s="221">
        <f t="shared" si="33"/>
        <v>0.0002816030565</v>
      </c>
      <c r="N103" s="221">
        <f t="shared" si="33"/>
        <v>0.0003106864269</v>
      </c>
      <c r="O103" s="221">
        <f t="shared" si="33"/>
        <v>0.0003354253151</v>
      </c>
      <c r="P103" s="221">
        <f t="shared" si="33"/>
        <v>392036.1749</v>
      </c>
      <c r="Q103" s="221">
        <f t="shared" si="33"/>
        <v>0.001306829173</v>
      </c>
      <c r="R103" s="221">
        <f t="shared" si="33"/>
        <v>0.001218607548</v>
      </c>
      <c r="S103" s="221">
        <f t="shared" si="33"/>
        <v>0.0002943935119</v>
      </c>
      <c r="T103" s="221">
        <f t="shared" si="33"/>
        <v>0.001648115381</v>
      </c>
      <c r="U103" s="221">
        <f t="shared" si="33"/>
        <v>0.0005410879952</v>
      </c>
      <c r="V103" s="221">
        <f t="shared" si="33"/>
        <v>0.0006303892612</v>
      </c>
      <c r="W103" s="221">
        <f t="shared" si="33"/>
        <v>0.0003169780668</v>
      </c>
      <c r="X103" s="221">
        <f t="shared" si="33"/>
        <v>0.0005800571624</v>
      </c>
      <c r="Y103" s="221">
        <f t="shared" si="33"/>
        <v>0.001558816494</v>
      </c>
      <c r="Z103" s="221">
        <f t="shared" si="33"/>
        <v>0.0001136495522</v>
      </c>
      <c r="AA103" s="221">
        <f t="shared" si="33"/>
        <v>0.0002495808505</v>
      </c>
      <c r="AB103" s="221">
        <f t="shared" si="33"/>
        <v>0.0001578487117</v>
      </c>
      <c r="AC103" s="267"/>
    </row>
    <row r="104">
      <c r="A104" s="107"/>
      <c r="B104" s="108"/>
      <c r="C104" s="108"/>
      <c r="D104" s="108"/>
      <c r="E104" s="124"/>
      <c r="F104" s="125"/>
      <c r="G104" s="148"/>
      <c r="H104" s="268"/>
      <c r="I104" s="269"/>
      <c r="J104" s="269"/>
      <c r="K104" s="269"/>
      <c r="L104" s="269"/>
      <c r="M104" s="269"/>
      <c r="N104" s="269"/>
      <c r="O104" s="269"/>
      <c r="P104" s="269"/>
      <c r="Q104" s="269"/>
      <c r="R104" s="269"/>
      <c r="S104" s="269"/>
      <c r="T104" s="269"/>
      <c r="U104" s="269"/>
      <c r="V104" s="269"/>
      <c r="W104" s="269"/>
      <c r="X104" s="269"/>
      <c r="Y104" s="269"/>
      <c r="Z104" s="269"/>
      <c r="AA104" s="269"/>
      <c r="AB104" s="269"/>
      <c r="AC104" s="114"/>
    </row>
    <row r="105">
      <c r="A105" s="107"/>
      <c r="B105" s="108"/>
      <c r="C105" s="270" t="s">
        <v>180</v>
      </c>
      <c r="F105" s="64"/>
      <c r="G105" s="67"/>
      <c r="H105" s="271"/>
      <c r="I105" s="272"/>
      <c r="J105" s="272"/>
      <c r="K105" s="272"/>
      <c r="L105" s="272"/>
      <c r="M105" s="272"/>
      <c r="N105" s="272"/>
      <c r="O105" s="272"/>
      <c r="P105" s="272"/>
      <c r="Q105" s="272"/>
      <c r="R105" s="272"/>
      <c r="S105" s="272"/>
      <c r="T105" s="272"/>
      <c r="U105" s="272"/>
      <c r="V105" s="272"/>
      <c r="W105" s="272"/>
      <c r="X105" s="272"/>
      <c r="Y105" s="272"/>
      <c r="Z105" s="272"/>
      <c r="AA105" s="272"/>
      <c r="AB105" s="272"/>
      <c r="AC105" s="114"/>
    </row>
    <row r="106">
      <c r="A106" s="107"/>
      <c r="B106" s="108"/>
      <c r="C106" s="108"/>
      <c r="D106" s="108"/>
      <c r="E106" s="178" t="str">
        <f>HYPERLINK(buildUrl(CELL("address", Inputs!E75)), Inputs!E75)</f>
        <v>Value assigned to averting a malaria-attributable death of a person age 5 or older</v>
      </c>
      <c r="F106" s="154" t="str">
        <f>Inputs!F75</f>
        <v>UoV</v>
      </c>
      <c r="G106" s="179" t="str">
        <f>Inputs!G75</f>
        <v>input</v>
      </c>
      <c r="H106" s="265">
        <f>Inputs!H75</f>
        <v>73.1914</v>
      </c>
      <c r="I106" s="196" t="str">
        <f>Inputs!I75</f>
        <v>-</v>
      </c>
      <c r="J106" s="196" t="str">
        <f>Inputs!J75</f>
        <v>-</v>
      </c>
      <c r="K106" s="196" t="str">
        <f>Inputs!K75</f>
        <v>-</v>
      </c>
      <c r="L106" s="196" t="str">
        <f>Inputs!L75</f>
        <v>-</v>
      </c>
      <c r="M106" s="196" t="str">
        <f>Inputs!M75</f>
        <v>-</v>
      </c>
      <c r="N106" s="196" t="str">
        <f>Inputs!N75</f>
        <v>-</v>
      </c>
      <c r="O106" s="196" t="str">
        <f>Inputs!O75</f>
        <v>-</v>
      </c>
      <c r="P106" s="196" t="str">
        <f>Inputs!P75</f>
        <v>-</v>
      </c>
      <c r="Q106" s="196" t="str">
        <f>Inputs!Q75</f>
        <v>-</v>
      </c>
      <c r="R106" s="196" t="str">
        <f>Inputs!R75</f>
        <v>-</v>
      </c>
      <c r="S106" s="196" t="str">
        <f>Inputs!S75</f>
        <v>-</v>
      </c>
      <c r="T106" s="196" t="str">
        <f>Inputs!T75</f>
        <v>-</v>
      </c>
      <c r="U106" s="196" t="str">
        <f>Inputs!U75</f>
        <v>-</v>
      </c>
      <c r="V106" s="196" t="str">
        <f>Inputs!V75</f>
        <v>-</v>
      </c>
      <c r="W106" s="196" t="str">
        <f>Inputs!W75</f>
        <v>-</v>
      </c>
      <c r="X106" s="196" t="str">
        <f>Inputs!X75</f>
        <v>-</v>
      </c>
      <c r="Y106" s="196" t="str">
        <f>Inputs!Y75</f>
        <v>-</v>
      </c>
      <c r="Z106" s="196" t="str">
        <f>Inputs!Z75</f>
        <v>-</v>
      </c>
      <c r="AA106" s="196" t="str">
        <f>Inputs!AA75</f>
        <v>-</v>
      </c>
      <c r="AB106" s="196" t="str">
        <f>Inputs!AB75</f>
        <v>-</v>
      </c>
      <c r="AC106" s="211"/>
    </row>
    <row r="107">
      <c r="A107" s="107"/>
      <c r="B107" s="108"/>
      <c r="C107" s="108"/>
      <c r="D107" s="108"/>
      <c r="E107" s="260" t="s">
        <v>181</v>
      </c>
      <c r="F107" s="164" t="s">
        <v>63</v>
      </c>
      <c r="G107" s="219" t="s">
        <v>70</v>
      </c>
      <c r="H107" s="266" t="s">
        <v>132</v>
      </c>
      <c r="I107" s="221">
        <f t="shared" ref="I107:AB107" si="34">I71*$H106</f>
        <v>0.00003320759006</v>
      </c>
      <c r="J107" s="221">
        <f t="shared" si="34"/>
        <v>0.00002424671706</v>
      </c>
      <c r="K107" s="221">
        <f t="shared" si="34"/>
        <v>0.00002492104329</v>
      </c>
      <c r="L107" s="221">
        <f t="shared" si="34"/>
        <v>0.000007752867238</v>
      </c>
      <c r="M107" s="221">
        <f t="shared" si="34"/>
        <v>0.000008323928187</v>
      </c>
      <c r="N107" s="221">
        <f t="shared" si="34"/>
        <v>0.000009184826374</v>
      </c>
      <c r="O107" s="221">
        <f t="shared" si="34"/>
        <v>0.000009923044348</v>
      </c>
      <c r="P107" s="221">
        <f t="shared" si="34"/>
        <v>58179.50469</v>
      </c>
      <c r="Q107" s="221">
        <f t="shared" si="34"/>
        <v>0.00003595507038</v>
      </c>
      <c r="R107" s="221">
        <f t="shared" si="34"/>
        <v>0.0001084164337</v>
      </c>
      <c r="S107" s="221">
        <f t="shared" si="34"/>
        <v>0.00003262949684</v>
      </c>
      <c r="T107" s="221">
        <f t="shared" si="34"/>
        <v>0.00008549638365</v>
      </c>
      <c r="U107" s="221">
        <f t="shared" si="34"/>
        <v>0.00008719246638</v>
      </c>
      <c r="V107" s="221">
        <f t="shared" si="34"/>
        <v>0.00005761471067</v>
      </c>
      <c r="W107" s="221">
        <f t="shared" si="34"/>
        <v>0.00006104688728</v>
      </c>
      <c r="X107" s="221">
        <f t="shared" si="34"/>
        <v>0.000059718918</v>
      </c>
      <c r="Y107" s="221">
        <f t="shared" si="34"/>
        <v>0.00005015675907</v>
      </c>
      <c r="Z107" s="221">
        <f t="shared" si="34"/>
        <v>0.000004138497502</v>
      </c>
      <c r="AA107" s="221">
        <f t="shared" si="34"/>
        <v>0.00003576472996</v>
      </c>
      <c r="AB107" s="221">
        <f t="shared" si="34"/>
        <v>0.000005243617569</v>
      </c>
      <c r="AC107" s="267"/>
    </row>
    <row r="108">
      <c r="A108" s="107"/>
      <c r="B108" s="108"/>
      <c r="C108" s="152"/>
      <c r="D108" s="152"/>
      <c r="E108" s="273"/>
      <c r="F108" s="110"/>
      <c r="G108" s="111"/>
      <c r="H108" s="271"/>
      <c r="I108" s="272"/>
      <c r="J108" s="272"/>
      <c r="K108" s="272"/>
      <c r="L108" s="272"/>
      <c r="M108" s="272"/>
      <c r="N108" s="272"/>
      <c r="O108" s="272"/>
      <c r="P108" s="272"/>
      <c r="Q108" s="272"/>
      <c r="R108" s="272"/>
      <c r="S108" s="272"/>
      <c r="T108" s="272"/>
      <c r="U108" s="272"/>
      <c r="V108" s="272"/>
      <c r="W108" s="272"/>
      <c r="X108" s="272"/>
      <c r="Y108" s="272"/>
      <c r="Z108" s="272"/>
      <c r="AA108" s="272"/>
      <c r="AB108" s="272"/>
      <c r="AC108" s="114"/>
    </row>
    <row r="109">
      <c r="A109" s="107"/>
      <c r="B109" s="108"/>
      <c r="C109" s="152" t="s">
        <v>182</v>
      </c>
      <c r="F109" s="110"/>
      <c r="G109" s="111"/>
      <c r="H109" s="271"/>
      <c r="I109" s="272"/>
      <c r="J109" s="272"/>
      <c r="K109" s="272"/>
      <c r="L109" s="272"/>
      <c r="M109" s="272"/>
      <c r="N109" s="272"/>
      <c r="O109" s="272"/>
      <c r="P109" s="272"/>
      <c r="Q109" s="272"/>
      <c r="R109" s="272"/>
      <c r="S109" s="272"/>
      <c r="T109" s="272"/>
      <c r="U109" s="272"/>
      <c r="V109" s="272"/>
      <c r="W109" s="272"/>
      <c r="X109" s="272"/>
      <c r="Y109" s="272"/>
      <c r="Z109" s="272"/>
      <c r="AA109" s="272"/>
      <c r="AB109" s="272"/>
      <c r="AC109" s="114"/>
    </row>
    <row r="110">
      <c r="A110" s="107"/>
      <c r="B110" s="108"/>
      <c r="C110" s="108"/>
      <c r="D110" s="108"/>
      <c r="E110" s="178" t="str">
        <f>HYPERLINK(buildUrl(CELL("address", Inputs!E77)), Inputs!E77)</f>
        <v>Value assigned to increasing ln(consumption) by one unit for one person for one year</v>
      </c>
      <c r="F110" s="154" t="str">
        <f>Inputs!F77</f>
        <v>UoV</v>
      </c>
      <c r="G110" s="179" t="str">
        <f>Inputs!G77</f>
        <v>input</v>
      </c>
      <c r="H110" s="274">
        <f>Inputs!H77</f>
        <v>1.442695041</v>
      </c>
      <c r="I110" s="275" t="str">
        <f>Inputs!I77</f>
        <v>-</v>
      </c>
      <c r="J110" s="275" t="str">
        <f>Inputs!J77</f>
        <v>-</v>
      </c>
      <c r="K110" s="275" t="str">
        <f>Inputs!K77</f>
        <v>-</v>
      </c>
      <c r="L110" s="275" t="str">
        <f>Inputs!L77</f>
        <v>-</v>
      </c>
      <c r="M110" s="275" t="str">
        <f>Inputs!M77</f>
        <v>-</v>
      </c>
      <c r="N110" s="275" t="str">
        <f>Inputs!N77</f>
        <v>-</v>
      </c>
      <c r="O110" s="275" t="str">
        <f>Inputs!O77</f>
        <v>-</v>
      </c>
      <c r="P110" s="275" t="str">
        <f>Inputs!P77</f>
        <v>-</v>
      </c>
      <c r="Q110" s="275" t="str">
        <f>Inputs!Q77</f>
        <v>-</v>
      </c>
      <c r="R110" s="275" t="str">
        <f>Inputs!R77</f>
        <v>-</v>
      </c>
      <c r="S110" s="275" t="str">
        <f>Inputs!S77</f>
        <v>-</v>
      </c>
      <c r="T110" s="275" t="str">
        <f>Inputs!T77</f>
        <v>-</v>
      </c>
      <c r="U110" s="275" t="str">
        <f>Inputs!U77</f>
        <v>-</v>
      </c>
      <c r="V110" s="275" t="str">
        <f>Inputs!V77</f>
        <v>-</v>
      </c>
      <c r="W110" s="275" t="str">
        <f>Inputs!W77</f>
        <v>-</v>
      </c>
      <c r="X110" s="275" t="str">
        <f>Inputs!X77</f>
        <v>-</v>
      </c>
      <c r="Y110" s="275" t="str">
        <f>Inputs!Y77</f>
        <v>-</v>
      </c>
      <c r="Z110" s="275" t="str">
        <f>Inputs!Z77</f>
        <v>-</v>
      </c>
      <c r="AA110" s="275" t="str">
        <f>Inputs!AA77</f>
        <v>-</v>
      </c>
      <c r="AB110" s="275" t="str">
        <f>Inputs!AB77</f>
        <v>-</v>
      </c>
      <c r="AC110" s="134"/>
    </row>
    <row r="111">
      <c r="A111" s="107"/>
      <c r="B111" s="108"/>
      <c r="C111" s="108"/>
      <c r="D111" s="108"/>
      <c r="E111" s="178" t="s">
        <v>183</v>
      </c>
      <c r="F111" s="154" t="s">
        <v>63</v>
      </c>
      <c r="G111" s="179" t="s">
        <v>70</v>
      </c>
      <c r="H111" s="156" t="s">
        <v>132</v>
      </c>
      <c r="I111" s="275">
        <f t="shared" ref="I111:AB111" si="35">I97*$H110</f>
        <v>0.0001621221976</v>
      </c>
      <c r="J111" s="275">
        <f t="shared" si="35"/>
        <v>0.00009673738994</v>
      </c>
      <c r="K111" s="275">
        <f t="shared" si="35"/>
        <v>0.00009755086407</v>
      </c>
      <c r="L111" s="275">
        <f t="shared" si="35"/>
        <v>0.00008197806043</v>
      </c>
      <c r="M111" s="275">
        <f t="shared" si="35"/>
        <v>0.00009819307713</v>
      </c>
      <c r="N111" s="275">
        <f t="shared" si="35"/>
        <v>0.0001036898052</v>
      </c>
      <c r="O111" s="275">
        <f t="shared" si="35"/>
        <v>0.000100766946</v>
      </c>
      <c r="P111" s="275">
        <f t="shared" si="35"/>
        <v>152607.4192</v>
      </c>
      <c r="Q111" s="275">
        <f t="shared" si="35"/>
        <v>0.0003142552147</v>
      </c>
      <c r="R111" s="275">
        <f t="shared" si="35"/>
        <v>0.0003416807293</v>
      </c>
      <c r="S111" s="275">
        <f t="shared" si="35"/>
        <v>0.0001053835455</v>
      </c>
      <c r="T111" s="275">
        <f t="shared" si="35"/>
        <v>0.0003311211411</v>
      </c>
      <c r="U111" s="275">
        <f t="shared" si="35"/>
        <v>0.0002004778899</v>
      </c>
      <c r="V111" s="275">
        <f t="shared" si="35"/>
        <v>0.0001896642826</v>
      </c>
      <c r="W111" s="275">
        <f t="shared" si="35"/>
        <v>0.000156901316</v>
      </c>
      <c r="X111" s="275">
        <f t="shared" si="35"/>
        <v>0.000189515615</v>
      </c>
      <c r="Y111" s="275">
        <f t="shared" si="35"/>
        <v>0.0002673695262</v>
      </c>
      <c r="Z111" s="275">
        <f t="shared" si="35"/>
        <v>0.00003130509508</v>
      </c>
      <c r="AA111" s="275">
        <f t="shared" si="35"/>
        <v>0.0001249876369</v>
      </c>
      <c r="AB111" s="275">
        <f t="shared" si="35"/>
        <v>0.00009654697191</v>
      </c>
      <c r="AC111" s="134"/>
    </row>
    <row r="112">
      <c r="A112" s="107"/>
      <c r="B112" s="108"/>
      <c r="C112" s="108"/>
      <c r="D112" s="108"/>
      <c r="E112" s="118" t="s">
        <v>184</v>
      </c>
      <c r="F112" s="119" t="s">
        <v>63</v>
      </c>
      <c r="G112" s="149" t="s">
        <v>70</v>
      </c>
      <c r="H112" s="150" t="s">
        <v>132</v>
      </c>
      <c r="I112" s="276">
        <f t="shared" ref="I112:AB112" si="36">I111/I36</f>
        <v>0.1026694882</v>
      </c>
      <c r="J112" s="276">
        <f t="shared" si="36"/>
        <v>0.06786013317</v>
      </c>
      <c r="K112" s="276">
        <f t="shared" si="36"/>
        <v>0.1116931014</v>
      </c>
      <c r="L112" s="276">
        <f t="shared" si="36"/>
        <v>0.05996846239</v>
      </c>
      <c r="M112" s="276">
        <f t="shared" si="36"/>
        <v>0.07183004601</v>
      </c>
      <c r="N112" s="276">
        <f t="shared" si="36"/>
        <v>0.07585100391</v>
      </c>
      <c r="O112" s="276">
        <f t="shared" si="36"/>
        <v>0.07371287857</v>
      </c>
      <c r="P112" s="276">
        <f t="shared" si="36"/>
        <v>0.06484951357</v>
      </c>
      <c r="Q112" s="276">
        <f t="shared" si="36"/>
        <v>0.1255488828</v>
      </c>
      <c r="R112" s="276">
        <f t="shared" si="36"/>
        <v>0.09029555577</v>
      </c>
      <c r="S112" s="276">
        <f t="shared" si="36"/>
        <v>0.07153718407</v>
      </c>
      <c r="T112" s="276">
        <f t="shared" si="36"/>
        <v>0.1336573274</v>
      </c>
      <c r="U112" s="276">
        <f t="shared" si="36"/>
        <v>0.1221033889</v>
      </c>
      <c r="V112" s="276">
        <f t="shared" si="36"/>
        <v>0.09768014835</v>
      </c>
      <c r="W112" s="276">
        <f t="shared" si="36"/>
        <v>0.1269157261</v>
      </c>
      <c r="X112" s="276">
        <f t="shared" si="36"/>
        <v>0.1056314767</v>
      </c>
      <c r="Y112" s="276">
        <f t="shared" si="36"/>
        <v>0.09488610834</v>
      </c>
      <c r="Z112" s="276">
        <f t="shared" si="36"/>
        <v>0.06638045901</v>
      </c>
      <c r="AA112" s="276">
        <f t="shared" si="36"/>
        <v>0.090907741</v>
      </c>
      <c r="AB112" s="276">
        <f t="shared" si="36"/>
        <v>0.08561037766</v>
      </c>
      <c r="AC112" s="123"/>
    </row>
    <row r="113">
      <c r="A113" s="107"/>
      <c r="B113" s="108"/>
      <c r="C113" s="152"/>
      <c r="D113" s="108"/>
      <c r="E113" s="109"/>
      <c r="F113" s="110"/>
      <c r="G113" s="111"/>
      <c r="H113" s="112"/>
      <c r="I113" s="117"/>
      <c r="J113" s="117"/>
      <c r="K113" s="117"/>
      <c r="L113" s="117"/>
      <c r="M113" s="117"/>
      <c r="N113" s="117"/>
      <c r="O113" s="117"/>
      <c r="P113" s="117"/>
      <c r="Q113" s="117"/>
      <c r="R113" s="117"/>
      <c r="S113" s="117"/>
      <c r="T113" s="117"/>
      <c r="U113" s="117"/>
      <c r="V113" s="117"/>
      <c r="W113" s="117"/>
      <c r="X113" s="117"/>
      <c r="Y113" s="117"/>
      <c r="Z113" s="117"/>
      <c r="AA113" s="117"/>
      <c r="AB113" s="117"/>
      <c r="AC113" s="114"/>
    </row>
    <row r="114">
      <c r="A114" s="103" t="s">
        <v>185</v>
      </c>
      <c r="B114" s="6"/>
      <c r="C114" s="6"/>
      <c r="D114" s="6"/>
      <c r="E114" s="6"/>
      <c r="F114" s="6"/>
      <c r="G114" s="6"/>
      <c r="H114" s="104"/>
      <c r="I114" s="264"/>
      <c r="J114" s="264"/>
      <c r="K114" s="264"/>
      <c r="L114" s="264"/>
      <c r="M114" s="264"/>
      <c r="N114" s="264"/>
      <c r="O114" s="264"/>
      <c r="P114" s="264"/>
      <c r="Q114" s="264"/>
      <c r="R114" s="264"/>
      <c r="S114" s="264"/>
      <c r="T114" s="264"/>
      <c r="U114" s="264"/>
      <c r="V114" s="264"/>
      <c r="W114" s="264"/>
      <c r="X114" s="264"/>
      <c r="Y114" s="264"/>
      <c r="Z114" s="264"/>
      <c r="AA114" s="264"/>
      <c r="AB114" s="264"/>
      <c r="AC114" s="106"/>
    </row>
    <row r="115">
      <c r="A115" s="107"/>
      <c r="B115" s="108"/>
      <c r="C115" s="108"/>
      <c r="D115" s="108"/>
      <c r="E115" s="109"/>
      <c r="F115" s="110"/>
      <c r="G115" s="111"/>
      <c r="H115" s="112"/>
      <c r="I115" s="117"/>
      <c r="J115" s="117"/>
      <c r="K115" s="117"/>
      <c r="L115" s="117"/>
      <c r="M115" s="117"/>
      <c r="N115" s="117"/>
      <c r="O115" s="117"/>
      <c r="P115" s="117"/>
      <c r="Q115" s="117"/>
      <c r="R115" s="117"/>
      <c r="S115" s="117"/>
      <c r="T115" s="117"/>
      <c r="U115" s="117"/>
      <c r="V115" s="117"/>
      <c r="W115" s="117"/>
      <c r="X115" s="117"/>
      <c r="Y115" s="117"/>
      <c r="Z115" s="117"/>
      <c r="AA115" s="117"/>
      <c r="AB115" s="117"/>
      <c r="AC115" s="114"/>
    </row>
    <row r="116">
      <c r="A116" s="107"/>
      <c r="B116" s="108"/>
      <c r="C116" s="152" t="s">
        <v>186</v>
      </c>
      <c r="F116" s="110"/>
      <c r="G116" s="111"/>
      <c r="H116" s="112"/>
      <c r="I116" s="117"/>
      <c r="J116" s="117"/>
      <c r="K116" s="117"/>
      <c r="L116" s="117"/>
      <c r="M116" s="117"/>
      <c r="N116" s="117"/>
      <c r="O116" s="117"/>
      <c r="P116" s="117"/>
      <c r="Q116" s="117"/>
      <c r="R116" s="117"/>
      <c r="S116" s="117"/>
      <c r="T116" s="117"/>
      <c r="U116" s="117"/>
      <c r="V116" s="117"/>
      <c r="W116" s="117"/>
      <c r="X116" s="117"/>
      <c r="Y116" s="117"/>
      <c r="Z116" s="117"/>
      <c r="AA116" s="117"/>
      <c r="AB116" s="117"/>
      <c r="AC116" s="114"/>
    </row>
    <row r="117">
      <c r="A117" s="107"/>
      <c r="B117" s="108"/>
      <c r="C117" s="108"/>
      <c r="D117" s="108"/>
      <c r="E117" s="178" t="str">
        <f>HYPERLINK(buildUrl(CELL("address", E58)), E58)</f>
        <v>Total deaths averted among people under age 5</v>
      </c>
      <c r="F117" s="154" t="str">
        <f>F58</f>
        <v>#</v>
      </c>
      <c r="G117" s="179" t="s">
        <v>76</v>
      </c>
      <c r="H117" s="156" t="str">
        <f t="shared" ref="H117:AB117" si="37">H58</f>
        <v>-</v>
      </c>
      <c r="I117" s="277">
        <f t="shared" si="37"/>
        <v>0.000004165751457</v>
      </c>
      <c r="J117" s="277">
        <f t="shared" si="37"/>
        <v>0.00000379273228</v>
      </c>
      <c r="K117" s="277">
        <f t="shared" si="37"/>
        <v>0.000002048734983</v>
      </c>
      <c r="L117" s="277">
        <f t="shared" si="37"/>
        <v>0.000002255068808</v>
      </c>
      <c r="M117" s="277">
        <f t="shared" si="37"/>
        <v>0.00000242233729</v>
      </c>
      <c r="N117" s="277">
        <f t="shared" si="37"/>
        <v>0.000002672511182</v>
      </c>
      <c r="O117" s="277">
        <f t="shared" si="37"/>
        <v>0.000002885314026</v>
      </c>
      <c r="P117" s="277">
        <f t="shared" si="37"/>
        <v>3372.278189</v>
      </c>
      <c r="Q117" s="277">
        <f t="shared" si="37"/>
        <v>0.00001124128792</v>
      </c>
      <c r="R117" s="277">
        <f t="shared" si="37"/>
        <v>0.00001048240933</v>
      </c>
      <c r="S117" s="277">
        <f t="shared" si="37"/>
        <v>0.000002532360233</v>
      </c>
      <c r="T117" s="277">
        <f t="shared" si="37"/>
        <v>0.0000141770171</v>
      </c>
      <c r="U117" s="277">
        <f t="shared" si="37"/>
        <v>0.000004654415489</v>
      </c>
      <c r="V117" s="277">
        <f t="shared" si="37"/>
        <v>0.00000542258111</v>
      </c>
      <c r="W117" s="277">
        <f t="shared" si="37"/>
        <v>0.000002726631596</v>
      </c>
      <c r="X117" s="277">
        <f t="shared" si="37"/>
        <v>0.000004989626577</v>
      </c>
      <c r="Y117" s="277">
        <f t="shared" si="37"/>
        <v>0.00001340887193</v>
      </c>
      <c r="Z117" s="277">
        <f t="shared" si="37"/>
        <v>0.0000009776085234</v>
      </c>
      <c r="AA117" s="277">
        <f t="shared" si="37"/>
        <v>0.000002146883662</v>
      </c>
      <c r="AB117" s="277">
        <f t="shared" si="37"/>
        <v>0.000001357807778</v>
      </c>
      <c r="AC117" s="205"/>
    </row>
    <row r="118">
      <c r="A118" s="107"/>
      <c r="B118" s="108"/>
      <c r="C118" s="108"/>
      <c r="D118" s="108"/>
      <c r="E118" s="124" t="str">
        <f>HYPERLINK(buildUrl(CELL("address", E71)), E71)</f>
        <v>Total deaths averted among people age 5 and older</v>
      </c>
      <c r="F118" s="125" t="str">
        <f>F71</f>
        <v>#</v>
      </c>
      <c r="G118" s="148" t="s">
        <v>76</v>
      </c>
      <c r="H118" s="278" t="str">
        <f t="shared" ref="H118:AB118" si="38">H71</f>
        <v>-</v>
      </c>
      <c r="I118" s="279">
        <f t="shared" si="38"/>
        <v>0.0000004537089065</v>
      </c>
      <c r="J118" s="279">
        <f t="shared" si="38"/>
        <v>0.0000003312782248</v>
      </c>
      <c r="K118" s="279">
        <f t="shared" si="38"/>
        <v>0.0000003404914142</v>
      </c>
      <c r="L118" s="279">
        <f t="shared" si="38"/>
        <v>0.0000001059259317</v>
      </c>
      <c r="M118" s="279">
        <f t="shared" si="38"/>
        <v>0.0000001137282275</v>
      </c>
      <c r="N118" s="279">
        <f t="shared" si="38"/>
        <v>0.0000001254905136</v>
      </c>
      <c r="O118" s="279">
        <f t="shared" si="38"/>
        <v>0.0000001355766435</v>
      </c>
      <c r="P118" s="279">
        <f t="shared" si="38"/>
        <v>794.895366</v>
      </c>
      <c r="Q118" s="279">
        <f t="shared" si="38"/>
        <v>0.0000004912472008</v>
      </c>
      <c r="R118" s="279">
        <f t="shared" si="38"/>
        <v>0.00000148127285</v>
      </c>
      <c r="S118" s="279">
        <f t="shared" si="38"/>
        <v>0.0000004458105302</v>
      </c>
      <c r="T118" s="279">
        <f t="shared" si="38"/>
        <v>0.000001168120621</v>
      </c>
      <c r="U118" s="279">
        <f t="shared" si="38"/>
        <v>0.000001191293873</v>
      </c>
      <c r="V118" s="279">
        <f t="shared" si="38"/>
        <v>0.000000787178694</v>
      </c>
      <c r="W118" s="279">
        <f t="shared" si="38"/>
        <v>0.000000834071862</v>
      </c>
      <c r="X118" s="279">
        <f t="shared" si="38"/>
        <v>0.0000008159280735</v>
      </c>
      <c r="Y118" s="279">
        <f t="shared" si="38"/>
        <v>0.000000685282138</v>
      </c>
      <c r="Z118" s="279">
        <f t="shared" si="38"/>
        <v>0.00000005654349421</v>
      </c>
      <c r="AA118" s="279">
        <f t="shared" si="38"/>
        <v>0.0000004886466164</v>
      </c>
      <c r="AB118" s="279">
        <f t="shared" si="38"/>
        <v>0.00000007164253682</v>
      </c>
      <c r="AC118" s="280"/>
    </row>
    <row r="119">
      <c r="A119" s="107"/>
      <c r="B119" s="108"/>
      <c r="C119" s="108"/>
      <c r="D119" s="108"/>
      <c r="E119" s="260" t="s">
        <v>187</v>
      </c>
      <c r="F119" s="164" t="s">
        <v>49</v>
      </c>
      <c r="G119" s="219" t="s">
        <v>70</v>
      </c>
      <c r="H119" s="220" t="s">
        <v>132</v>
      </c>
      <c r="I119" s="221">
        <f t="shared" ref="I119:AB119" si="39">SUM(I82:I83)</f>
        <v>0.0006927289173</v>
      </c>
      <c r="J119" s="221">
        <f t="shared" si="39"/>
        <v>0.0004133473909</v>
      </c>
      <c r="K119" s="221">
        <f t="shared" si="39"/>
        <v>0.0004168232694</v>
      </c>
      <c r="L119" s="221">
        <f t="shared" si="39"/>
        <v>0.0003502825269</v>
      </c>
      <c r="M119" s="221">
        <f t="shared" si="39"/>
        <v>0.0004195673696</v>
      </c>
      <c r="N119" s="221">
        <f t="shared" si="39"/>
        <v>0.0004430542365</v>
      </c>
      <c r="O119" s="221">
        <f t="shared" si="39"/>
        <v>0.0004305652061</v>
      </c>
      <c r="P119" s="221">
        <f t="shared" si="39"/>
        <v>652073.3979</v>
      </c>
      <c r="Q119" s="221">
        <f t="shared" si="39"/>
        <v>0.001342775251</v>
      </c>
      <c r="R119" s="221">
        <f t="shared" si="39"/>
        <v>0.001459961221</v>
      </c>
      <c r="S119" s="221">
        <f t="shared" si="39"/>
        <v>0.0004502913878</v>
      </c>
      <c r="T119" s="221">
        <f t="shared" si="39"/>
        <v>0.001414841354</v>
      </c>
      <c r="U119" s="221">
        <f t="shared" si="39"/>
        <v>0.0008566182401</v>
      </c>
      <c r="V119" s="221">
        <f t="shared" si="39"/>
        <v>0.0008104129792</v>
      </c>
      <c r="W119" s="221">
        <f t="shared" si="39"/>
        <v>0.0006704207097</v>
      </c>
      <c r="X119" s="221">
        <f t="shared" si="39"/>
        <v>0.0008097777401</v>
      </c>
      <c r="Y119" s="221">
        <f t="shared" si="39"/>
        <v>0.001142438266</v>
      </c>
      <c r="Z119" s="221">
        <f t="shared" si="39"/>
        <v>0.0001337629574</v>
      </c>
      <c r="AA119" s="221">
        <f t="shared" si="39"/>
        <v>0.0005340573446</v>
      </c>
      <c r="AB119" s="221">
        <f t="shared" si="39"/>
        <v>0.0004125337573</v>
      </c>
      <c r="AC119" s="267"/>
    </row>
    <row r="120">
      <c r="A120" s="107"/>
      <c r="B120" s="108"/>
      <c r="C120" s="108"/>
      <c r="D120" s="108"/>
      <c r="E120" s="109"/>
      <c r="F120" s="110"/>
      <c r="G120" s="111"/>
      <c r="H120" s="112"/>
      <c r="I120" s="117"/>
      <c r="J120" s="117"/>
      <c r="K120" s="117"/>
      <c r="L120" s="117"/>
      <c r="M120" s="117"/>
      <c r="N120" s="117"/>
      <c r="O120" s="117"/>
      <c r="P120" s="117"/>
      <c r="Q120" s="117"/>
      <c r="R120" s="117"/>
      <c r="S120" s="117"/>
      <c r="T120" s="117"/>
      <c r="U120" s="117"/>
      <c r="V120" s="117"/>
      <c r="W120" s="117"/>
      <c r="X120" s="117"/>
      <c r="Y120" s="117"/>
      <c r="Z120" s="117"/>
      <c r="AA120" s="117"/>
      <c r="AB120" s="117"/>
      <c r="AC120" s="114"/>
    </row>
    <row r="121">
      <c r="A121" s="107"/>
      <c r="B121" s="108"/>
      <c r="C121" s="152" t="s">
        <v>188</v>
      </c>
      <c r="F121" s="110"/>
      <c r="G121" s="111"/>
      <c r="H121" s="112"/>
      <c r="I121" s="117"/>
      <c r="J121" s="117"/>
      <c r="K121" s="117"/>
      <c r="L121" s="117"/>
      <c r="M121" s="117"/>
      <c r="N121" s="117"/>
      <c r="O121" s="117"/>
      <c r="P121" s="117"/>
      <c r="Q121" s="117"/>
      <c r="R121" s="117"/>
      <c r="S121" s="117"/>
      <c r="T121" s="117"/>
      <c r="U121" s="117"/>
      <c r="V121" s="117"/>
      <c r="W121" s="117"/>
      <c r="X121" s="117"/>
      <c r="Y121" s="117"/>
      <c r="Z121" s="117"/>
      <c r="AA121" s="117"/>
      <c r="AB121" s="117"/>
      <c r="AC121" s="114"/>
    </row>
    <row r="122">
      <c r="A122" s="107"/>
      <c r="B122" s="108"/>
      <c r="C122" s="108"/>
      <c r="D122" s="108"/>
      <c r="E122" s="178" t="str">
        <f>E102</f>
        <v>Value assigned to averting a malaria-attributable death of a person under age 5</v>
      </c>
      <c r="F122" s="154" t="str">
        <f>Inputs!F74</f>
        <v>UoV</v>
      </c>
      <c r="G122" s="179" t="str">
        <f>Inputs!G74</f>
        <v>input</v>
      </c>
      <c r="H122" s="281">
        <f>Inputs!H74</f>
        <v>116.25262</v>
      </c>
      <c r="I122" s="198" t="str">
        <f>Inputs!I74</f>
        <v>-</v>
      </c>
      <c r="J122" s="198" t="str">
        <f>Inputs!J74</f>
        <v>-</v>
      </c>
      <c r="K122" s="198" t="str">
        <f>Inputs!K74</f>
        <v>-</v>
      </c>
      <c r="L122" s="198" t="str">
        <f>Inputs!L74</f>
        <v>-</v>
      </c>
      <c r="M122" s="198" t="str">
        <f>Inputs!M74</f>
        <v>-</v>
      </c>
      <c r="N122" s="198" t="str">
        <f>Inputs!N74</f>
        <v>-</v>
      </c>
      <c r="O122" s="198" t="str">
        <f>Inputs!O74</f>
        <v>-</v>
      </c>
      <c r="P122" s="198" t="str">
        <f>Inputs!P74</f>
        <v>-</v>
      </c>
      <c r="Q122" s="198" t="str">
        <f>Inputs!Q74</f>
        <v>-</v>
      </c>
      <c r="R122" s="198" t="str">
        <f>Inputs!R74</f>
        <v>-</v>
      </c>
      <c r="S122" s="198" t="str">
        <f>Inputs!S74</f>
        <v>-</v>
      </c>
      <c r="T122" s="198" t="str">
        <f>Inputs!T74</f>
        <v>-</v>
      </c>
      <c r="U122" s="198" t="str">
        <f>Inputs!U74</f>
        <v>-</v>
      </c>
      <c r="V122" s="198" t="str">
        <f>Inputs!V74</f>
        <v>-</v>
      </c>
      <c r="W122" s="198" t="str">
        <f>Inputs!W74</f>
        <v>-</v>
      </c>
      <c r="X122" s="198" t="str">
        <f>Inputs!X74</f>
        <v>-</v>
      </c>
      <c r="Y122" s="198" t="str">
        <f>Inputs!Y74</f>
        <v>-</v>
      </c>
      <c r="Z122" s="198" t="str">
        <f>Inputs!Z74</f>
        <v>-</v>
      </c>
      <c r="AA122" s="198" t="str">
        <f>Inputs!AA74</f>
        <v>-</v>
      </c>
      <c r="AB122" s="198" t="str">
        <f>Inputs!AB74</f>
        <v>-</v>
      </c>
      <c r="AC122" s="134"/>
    </row>
    <row r="123">
      <c r="A123" s="107"/>
      <c r="B123" s="108"/>
      <c r="C123" s="108"/>
      <c r="D123" s="108"/>
      <c r="E123" s="124" t="str">
        <f>HYPERLINK(buildUrl(CELL("address", E106)), E106)</f>
        <v>Value assigned to averting a malaria-attributable death of a person age 5 or older</v>
      </c>
      <c r="F123" s="125" t="str">
        <f>Inputs!F75</f>
        <v>UoV</v>
      </c>
      <c r="G123" s="148" t="str">
        <f>Inputs!G75</f>
        <v>input</v>
      </c>
      <c r="H123" s="282">
        <f>Inputs!H75</f>
        <v>73.1914</v>
      </c>
      <c r="I123" s="283" t="str">
        <f>Inputs!I75</f>
        <v>-</v>
      </c>
      <c r="J123" s="283" t="str">
        <f>Inputs!J75</f>
        <v>-</v>
      </c>
      <c r="K123" s="283" t="str">
        <f>Inputs!K75</f>
        <v>-</v>
      </c>
      <c r="L123" s="283" t="str">
        <f>Inputs!L75</f>
        <v>-</v>
      </c>
      <c r="M123" s="283" t="str">
        <f>Inputs!M75</f>
        <v>-</v>
      </c>
      <c r="N123" s="283" t="str">
        <f>Inputs!N75</f>
        <v>-</v>
      </c>
      <c r="O123" s="283" t="str">
        <f>Inputs!O75</f>
        <v>-</v>
      </c>
      <c r="P123" s="283" t="str">
        <f>Inputs!P75</f>
        <v>-</v>
      </c>
      <c r="Q123" s="283" t="str">
        <f>Inputs!Q75</f>
        <v>-</v>
      </c>
      <c r="R123" s="283" t="str">
        <f>Inputs!R75</f>
        <v>-</v>
      </c>
      <c r="S123" s="283" t="str">
        <f>Inputs!S75</f>
        <v>-</v>
      </c>
      <c r="T123" s="283" t="str">
        <f>Inputs!T75</f>
        <v>-</v>
      </c>
      <c r="U123" s="283" t="str">
        <f>Inputs!U75</f>
        <v>-</v>
      </c>
      <c r="V123" s="283" t="str">
        <f>Inputs!V75</f>
        <v>-</v>
      </c>
      <c r="W123" s="283" t="str">
        <f>Inputs!W75</f>
        <v>-</v>
      </c>
      <c r="X123" s="283" t="str">
        <f>Inputs!X75</f>
        <v>-</v>
      </c>
      <c r="Y123" s="283" t="str">
        <f>Inputs!Y75</f>
        <v>-</v>
      </c>
      <c r="Z123" s="283" t="str">
        <f>Inputs!Z75</f>
        <v>-</v>
      </c>
      <c r="AA123" s="283" t="str">
        <f>Inputs!AA75</f>
        <v>-</v>
      </c>
      <c r="AB123" s="283" t="str">
        <f>Inputs!AB75</f>
        <v>-</v>
      </c>
      <c r="AC123" s="280"/>
    </row>
    <row r="124">
      <c r="A124" s="107"/>
      <c r="B124" s="108"/>
      <c r="C124" s="108"/>
      <c r="D124" s="108"/>
      <c r="E124" s="260" t="s">
        <v>189</v>
      </c>
      <c r="F124" s="164" t="s">
        <v>63</v>
      </c>
      <c r="G124" s="219" t="s">
        <v>70</v>
      </c>
      <c r="H124" s="284">
        <f>H94*H110</f>
        <v>0.2340341129</v>
      </c>
      <c r="I124" s="248" t="str">
        <f t="shared" ref="I124:AB124" si="40">I110</f>
        <v>-</v>
      </c>
      <c r="J124" s="248" t="str">
        <f t="shared" si="40"/>
        <v>-</v>
      </c>
      <c r="K124" s="248" t="str">
        <f t="shared" si="40"/>
        <v>-</v>
      </c>
      <c r="L124" s="248" t="str">
        <f t="shared" si="40"/>
        <v>-</v>
      </c>
      <c r="M124" s="248" t="str">
        <f t="shared" si="40"/>
        <v>-</v>
      </c>
      <c r="N124" s="248" t="str">
        <f t="shared" si="40"/>
        <v>-</v>
      </c>
      <c r="O124" s="248" t="str">
        <f t="shared" si="40"/>
        <v>-</v>
      </c>
      <c r="P124" s="248" t="str">
        <f t="shared" si="40"/>
        <v>-</v>
      </c>
      <c r="Q124" s="248" t="str">
        <f t="shared" si="40"/>
        <v>-</v>
      </c>
      <c r="R124" s="248" t="str">
        <f t="shared" si="40"/>
        <v>-</v>
      </c>
      <c r="S124" s="248" t="str">
        <f t="shared" si="40"/>
        <v>-</v>
      </c>
      <c r="T124" s="248" t="str">
        <f t="shared" si="40"/>
        <v>-</v>
      </c>
      <c r="U124" s="248" t="str">
        <f t="shared" si="40"/>
        <v>-</v>
      </c>
      <c r="V124" s="248" t="str">
        <f t="shared" si="40"/>
        <v>-</v>
      </c>
      <c r="W124" s="248" t="str">
        <f t="shared" si="40"/>
        <v>-</v>
      </c>
      <c r="X124" s="248" t="str">
        <f t="shared" si="40"/>
        <v>-</v>
      </c>
      <c r="Y124" s="248" t="str">
        <f t="shared" si="40"/>
        <v>-</v>
      </c>
      <c r="Z124" s="248" t="str">
        <f t="shared" si="40"/>
        <v>-</v>
      </c>
      <c r="AA124" s="248" t="str">
        <f t="shared" si="40"/>
        <v>-</v>
      </c>
      <c r="AB124" s="248" t="str">
        <f t="shared" si="40"/>
        <v>-</v>
      </c>
      <c r="AC124" s="267"/>
    </row>
    <row r="125">
      <c r="A125" s="107"/>
      <c r="B125" s="108"/>
      <c r="C125" s="108"/>
      <c r="D125" s="108"/>
      <c r="E125" s="109"/>
      <c r="F125" s="110"/>
      <c r="G125" s="111"/>
      <c r="H125" s="112"/>
      <c r="I125" s="117"/>
      <c r="J125" s="117"/>
      <c r="K125" s="117"/>
      <c r="L125" s="117"/>
      <c r="M125" s="117"/>
      <c r="N125" s="117"/>
      <c r="O125" s="117"/>
      <c r="P125" s="117"/>
      <c r="Q125" s="117"/>
      <c r="R125" s="117"/>
      <c r="S125" s="117"/>
      <c r="T125" s="117"/>
      <c r="U125" s="117"/>
      <c r="V125" s="117"/>
      <c r="W125" s="117"/>
      <c r="X125" s="117"/>
      <c r="Y125" s="117"/>
      <c r="Z125" s="117"/>
      <c r="AA125" s="117"/>
      <c r="AB125" s="117"/>
      <c r="AC125" s="114"/>
    </row>
    <row r="126">
      <c r="A126" s="107"/>
      <c r="B126" s="108"/>
      <c r="C126" s="152" t="s">
        <v>190</v>
      </c>
      <c r="F126" s="110"/>
      <c r="G126" s="111"/>
      <c r="H126" s="112"/>
      <c r="I126" s="117"/>
      <c r="J126" s="117"/>
      <c r="K126" s="117"/>
      <c r="L126" s="117"/>
      <c r="M126" s="117"/>
      <c r="N126" s="117"/>
      <c r="O126" s="117"/>
      <c r="P126" s="117"/>
      <c r="Q126" s="117"/>
      <c r="R126" s="117"/>
      <c r="S126" s="117"/>
      <c r="T126" s="117"/>
      <c r="U126" s="117"/>
      <c r="V126" s="117"/>
      <c r="W126" s="117"/>
      <c r="X126" s="117"/>
      <c r="Y126" s="117"/>
      <c r="Z126" s="117"/>
      <c r="AA126" s="117"/>
      <c r="AB126" s="117"/>
      <c r="AC126" s="114"/>
    </row>
    <row r="127">
      <c r="A127" s="107"/>
      <c r="B127" s="108"/>
      <c r="C127" s="108"/>
      <c r="D127" s="108"/>
      <c r="E127" s="178" t="s">
        <v>191</v>
      </c>
      <c r="F127" s="154" t="s">
        <v>63</v>
      </c>
      <c r="G127" s="179" t="s">
        <v>70</v>
      </c>
      <c r="H127" s="156" t="s">
        <v>132</v>
      </c>
      <c r="I127" s="277">
        <f t="shared" ref="I127:AB127" si="41">I117*$H122</f>
        <v>0.0004842795212</v>
      </c>
      <c r="J127" s="277">
        <f t="shared" si="41"/>
        <v>0.0004409150645</v>
      </c>
      <c r="K127" s="277">
        <f t="shared" si="41"/>
        <v>0.0002381708094</v>
      </c>
      <c r="L127" s="277">
        <f t="shared" si="41"/>
        <v>0.0002621576572</v>
      </c>
      <c r="M127" s="277">
        <f t="shared" si="41"/>
        <v>0.0002816030565</v>
      </c>
      <c r="N127" s="277">
        <f t="shared" si="41"/>
        <v>0.0003106864269</v>
      </c>
      <c r="O127" s="277">
        <f t="shared" si="41"/>
        <v>0.0003354253151</v>
      </c>
      <c r="P127" s="277">
        <f t="shared" si="41"/>
        <v>392036.1749</v>
      </c>
      <c r="Q127" s="277">
        <f t="shared" si="41"/>
        <v>0.001306829173</v>
      </c>
      <c r="R127" s="277">
        <f t="shared" si="41"/>
        <v>0.001218607548</v>
      </c>
      <c r="S127" s="277">
        <f t="shared" si="41"/>
        <v>0.0002943935119</v>
      </c>
      <c r="T127" s="277">
        <f t="shared" si="41"/>
        <v>0.001648115381</v>
      </c>
      <c r="U127" s="277">
        <f t="shared" si="41"/>
        <v>0.0005410879952</v>
      </c>
      <c r="V127" s="277">
        <f t="shared" si="41"/>
        <v>0.0006303892612</v>
      </c>
      <c r="W127" s="277">
        <f t="shared" si="41"/>
        <v>0.0003169780668</v>
      </c>
      <c r="X127" s="277">
        <f t="shared" si="41"/>
        <v>0.0005800571624</v>
      </c>
      <c r="Y127" s="277">
        <f t="shared" si="41"/>
        <v>0.001558816494</v>
      </c>
      <c r="Z127" s="277">
        <f t="shared" si="41"/>
        <v>0.0001136495522</v>
      </c>
      <c r="AA127" s="277">
        <f t="shared" si="41"/>
        <v>0.0002495808505</v>
      </c>
      <c r="AB127" s="277">
        <f t="shared" si="41"/>
        <v>0.0001578487117</v>
      </c>
      <c r="AC127" s="205"/>
    </row>
    <row r="128">
      <c r="A128" s="107"/>
      <c r="B128" s="108"/>
      <c r="C128" s="108"/>
      <c r="D128" s="108"/>
      <c r="E128" s="124" t="s">
        <v>192</v>
      </c>
      <c r="F128" s="125" t="s">
        <v>63</v>
      </c>
      <c r="G128" s="148" t="s">
        <v>70</v>
      </c>
      <c r="H128" s="278" t="s">
        <v>132</v>
      </c>
      <c r="I128" s="279">
        <f t="shared" ref="I128:AB128" si="42">I118*$H123</f>
        <v>0.00003320759006</v>
      </c>
      <c r="J128" s="279">
        <f t="shared" si="42"/>
        <v>0.00002424671706</v>
      </c>
      <c r="K128" s="279">
        <f t="shared" si="42"/>
        <v>0.00002492104329</v>
      </c>
      <c r="L128" s="279">
        <f t="shared" si="42"/>
        <v>0.000007752867238</v>
      </c>
      <c r="M128" s="279">
        <f t="shared" si="42"/>
        <v>0.000008323928187</v>
      </c>
      <c r="N128" s="279">
        <f t="shared" si="42"/>
        <v>0.000009184826374</v>
      </c>
      <c r="O128" s="279">
        <f t="shared" si="42"/>
        <v>0.000009923044348</v>
      </c>
      <c r="P128" s="279">
        <f t="shared" si="42"/>
        <v>58179.50469</v>
      </c>
      <c r="Q128" s="279">
        <f t="shared" si="42"/>
        <v>0.00003595507038</v>
      </c>
      <c r="R128" s="279">
        <f t="shared" si="42"/>
        <v>0.0001084164337</v>
      </c>
      <c r="S128" s="279">
        <f t="shared" si="42"/>
        <v>0.00003262949684</v>
      </c>
      <c r="T128" s="279">
        <f t="shared" si="42"/>
        <v>0.00008549638365</v>
      </c>
      <c r="U128" s="279">
        <f t="shared" si="42"/>
        <v>0.00008719246638</v>
      </c>
      <c r="V128" s="279">
        <f t="shared" si="42"/>
        <v>0.00005761471067</v>
      </c>
      <c r="W128" s="279">
        <f t="shared" si="42"/>
        <v>0.00006104688728</v>
      </c>
      <c r="X128" s="279">
        <f t="shared" si="42"/>
        <v>0.000059718918</v>
      </c>
      <c r="Y128" s="279">
        <f t="shared" si="42"/>
        <v>0.00005015675907</v>
      </c>
      <c r="Z128" s="279">
        <f t="shared" si="42"/>
        <v>0.000004138497502</v>
      </c>
      <c r="AA128" s="279">
        <f t="shared" si="42"/>
        <v>0.00003576472996</v>
      </c>
      <c r="AB128" s="279">
        <f t="shared" si="42"/>
        <v>0.000005243617569</v>
      </c>
      <c r="AC128" s="280"/>
    </row>
    <row r="129">
      <c r="A129" s="107"/>
      <c r="B129" s="108"/>
      <c r="C129" s="108"/>
      <c r="D129" s="108"/>
      <c r="E129" s="260" t="s">
        <v>193</v>
      </c>
      <c r="F129" s="164" t="s">
        <v>63</v>
      </c>
      <c r="G129" s="219" t="s">
        <v>70</v>
      </c>
      <c r="H129" s="220" t="s">
        <v>132</v>
      </c>
      <c r="I129" s="221">
        <f t="shared" ref="I129:AB129" si="43">I119*$H124</f>
        <v>0.0001621221976</v>
      </c>
      <c r="J129" s="221">
        <f t="shared" si="43"/>
        <v>0.00009673738994</v>
      </c>
      <c r="K129" s="221">
        <f t="shared" si="43"/>
        <v>0.00009755086407</v>
      </c>
      <c r="L129" s="221">
        <f t="shared" si="43"/>
        <v>0.00008197806043</v>
      </c>
      <c r="M129" s="221">
        <f t="shared" si="43"/>
        <v>0.00009819307713</v>
      </c>
      <c r="N129" s="221">
        <f t="shared" si="43"/>
        <v>0.0001036898052</v>
      </c>
      <c r="O129" s="221">
        <f t="shared" si="43"/>
        <v>0.000100766946</v>
      </c>
      <c r="P129" s="221">
        <f t="shared" si="43"/>
        <v>152607.4192</v>
      </c>
      <c r="Q129" s="221">
        <f t="shared" si="43"/>
        <v>0.0003142552147</v>
      </c>
      <c r="R129" s="221">
        <f t="shared" si="43"/>
        <v>0.0003416807293</v>
      </c>
      <c r="S129" s="221">
        <f t="shared" si="43"/>
        <v>0.0001053835455</v>
      </c>
      <c r="T129" s="221">
        <f t="shared" si="43"/>
        <v>0.0003311211411</v>
      </c>
      <c r="U129" s="221">
        <f t="shared" si="43"/>
        <v>0.0002004778899</v>
      </c>
      <c r="V129" s="221">
        <f t="shared" si="43"/>
        <v>0.0001896642826</v>
      </c>
      <c r="W129" s="221">
        <f t="shared" si="43"/>
        <v>0.000156901316</v>
      </c>
      <c r="X129" s="221">
        <f t="shared" si="43"/>
        <v>0.000189515615</v>
      </c>
      <c r="Y129" s="221">
        <f t="shared" si="43"/>
        <v>0.0002673695262</v>
      </c>
      <c r="Z129" s="221">
        <f t="shared" si="43"/>
        <v>0.00003130509508</v>
      </c>
      <c r="AA129" s="221">
        <f t="shared" si="43"/>
        <v>0.0001249876369</v>
      </c>
      <c r="AB129" s="221">
        <f t="shared" si="43"/>
        <v>0.00009654697191</v>
      </c>
      <c r="AC129" s="267"/>
    </row>
    <row r="130">
      <c r="A130" s="107"/>
      <c r="B130" s="108"/>
      <c r="C130" s="108"/>
      <c r="D130" s="108"/>
      <c r="E130" s="109"/>
      <c r="F130" s="110"/>
      <c r="G130" s="111"/>
      <c r="H130" s="112"/>
      <c r="I130" s="117"/>
      <c r="J130" s="117"/>
      <c r="K130" s="117"/>
      <c r="L130" s="117"/>
      <c r="M130" s="117"/>
      <c r="N130" s="117"/>
      <c r="O130" s="117"/>
      <c r="P130" s="117"/>
      <c r="Q130" s="117"/>
      <c r="R130" s="117"/>
      <c r="S130" s="117"/>
      <c r="T130" s="117"/>
      <c r="U130" s="117"/>
      <c r="V130" s="117"/>
      <c r="W130" s="117"/>
      <c r="X130" s="117"/>
      <c r="Y130" s="117"/>
      <c r="Z130" s="117"/>
      <c r="AA130" s="117"/>
      <c r="AB130" s="117"/>
      <c r="AC130" s="114"/>
    </row>
    <row r="131">
      <c r="A131" s="107"/>
      <c r="B131" s="108"/>
      <c r="C131" s="152" t="s">
        <v>194</v>
      </c>
      <c r="F131" s="110"/>
      <c r="G131" s="111"/>
      <c r="H131" s="112"/>
      <c r="I131" s="117"/>
      <c r="J131" s="117"/>
      <c r="K131" s="117"/>
      <c r="L131" s="117"/>
      <c r="M131" s="117"/>
      <c r="N131" s="117"/>
      <c r="O131" s="117"/>
      <c r="P131" s="117"/>
      <c r="Q131" s="117"/>
      <c r="R131" s="117"/>
      <c r="S131" s="117"/>
      <c r="T131" s="117"/>
      <c r="U131" s="117"/>
      <c r="V131" s="117"/>
      <c r="W131" s="117"/>
      <c r="X131" s="117"/>
      <c r="Y131" s="117"/>
      <c r="Z131" s="117"/>
      <c r="AA131" s="117"/>
      <c r="AB131" s="117"/>
      <c r="AC131" s="114"/>
    </row>
    <row r="132">
      <c r="A132" s="107"/>
      <c r="B132" s="108"/>
      <c r="C132" s="108"/>
      <c r="D132" s="108"/>
      <c r="E132" s="178" t="str">
        <f>HYPERLINK(buildUrl(CELL("address", E19)), E19)</f>
        <v>Total spending contributed by grantee</v>
      </c>
      <c r="F132" s="154" t="str">
        <f>F19</f>
        <v>$</v>
      </c>
      <c r="G132" s="179" t="s">
        <v>76</v>
      </c>
      <c r="H132" s="156" t="str">
        <f t="shared" ref="H132:AB132" si="44">H19</f>
        <v>-</v>
      </c>
      <c r="I132" s="285">
        <f t="shared" si="44"/>
        <v>0.01</v>
      </c>
      <c r="J132" s="285">
        <f t="shared" si="44"/>
        <v>0.01</v>
      </c>
      <c r="K132" s="285">
        <f t="shared" si="44"/>
        <v>0.01</v>
      </c>
      <c r="L132" s="285">
        <f t="shared" si="44"/>
        <v>0.01</v>
      </c>
      <c r="M132" s="285">
        <f t="shared" si="44"/>
        <v>0.01</v>
      </c>
      <c r="N132" s="285">
        <f t="shared" si="44"/>
        <v>0.01</v>
      </c>
      <c r="O132" s="285">
        <f t="shared" si="44"/>
        <v>0.01</v>
      </c>
      <c r="P132" s="285">
        <f t="shared" si="44"/>
        <v>17456907.13</v>
      </c>
      <c r="Q132" s="285">
        <f t="shared" si="44"/>
        <v>0.01</v>
      </c>
      <c r="R132" s="285">
        <f t="shared" si="44"/>
        <v>0.01</v>
      </c>
      <c r="S132" s="285">
        <f t="shared" si="44"/>
        <v>0.01</v>
      </c>
      <c r="T132" s="285">
        <f t="shared" si="44"/>
        <v>0.01</v>
      </c>
      <c r="U132" s="285">
        <f t="shared" si="44"/>
        <v>0.01</v>
      </c>
      <c r="V132" s="285">
        <f t="shared" si="44"/>
        <v>0.01</v>
      </c>
      <c r="W132" s="285">
        <f t="shared" si="44"/>
        <v>0.01</v>
      </c>
      <c r="X132" s="285">
        <f t="shared" si="44"/>
        <v>0.01</v>
      </c>
      <c r="Y132" s="285">
        <f t="shared" si="44"/>
        <v>0.01</v>
      </c>
      <c r="Z132" s="285">
        <f t="shared" si="44"/>
        <v>0.01</v>
      </c>
      <c r="AA132" s="285">
        <f t="shared" si="44"/>
        <v>0.01</v>
      </c>
      <c r="AB132" s="285">
        <f t="shared" si="44"/>
        <v>0.01</v>
      </c>
      <c r="AC132" s="134"/>
    </row>
    <row r="133">
      <c r="A133" s="107"/>
      <c r="B133" s="108"/>
      <c r="C133" s="108"/>
      <c r="D133" s="108"/>
      <c r="E133" s="201" t="s">
        <v>195</v>
      </c>
      <c r="F133" s="159" t="s">
        <v>63</v>
      </c>
      <c r="G133" s="212" t="s">
        <v>70</v>
      </c>
      <c r="H133" s="216" t="s">
        <v>132</v>
      </c>
      <c r="I133" s="218">
        <f t="shared" ref="I133:AB133" si="45">SUM(I127:I129)</f>
        <v>0.0006796093089</v>
      </c>
      <c r="J133" s="218">
        <f t="shared" si="45"/>
        <v>0.0005618991715</v>
      </c>
      <c r="K133" s="218">
        <f t="shared" si="45"/>
        <v>0.0003606427168</v>
      </c>
      <c r="L133" s="218">
        <f t="shared" si="45"/>
        <v>0.0003518885848</v>
      </c>
      <c r="M133" s="218">
        <f t="shared" si="45"/>
        <v>0.0003881200618</v>
      </c>
      <c r="N133" s="218">
        <f t="shared" si="45"/>
        <v>0.0004235610585</v>
      </c>
      <c r="O133" s="218">
        <f t="shared" si="45"/>
        <v>0.0004461153055</v>
      </c>
      <c r="P133" s="218">
        <f t="shared" si="45"/>
        <v>602823.0988</v>
      </c>
      <c r="Q133" s="218">
        <f t="shared" si="45"/>
        <v>0.001657039458</v>
      </c>
      <c r="R133" s="218">
        <f t="shared" si="45"/>
        <v>0.001668704711</v>
      </c>
      <c r="S133" s="218">
        <f t="shared" si="45"/>
        <v>0.0004324065542</v>
      </c>
      <c r="T133" s="218">
        <f t="shared" si="45"/>
        <v>0.002064732906</v>
      </c>
      <c r="U133" s="218">
        <f t="shared" si="45"/>
        <v>0.0008287583514</v>
      </c>
      <c r="V133" s="218">
        <f t="shared" si="45"/>
        <v>0.0008776682545</v>
      </c>
      <c r="W133" s="218">
        <f t="shared" si="45"/>
        <v>0.0005349262701</v>
      </c>
      <c r="X133" s="218">
        <f t="shared" si="45"/>
        <v>0.0008292916954</v>
      </c>
      <c r="Y133" s="218">
        <f t="shared" si="45"/>
        <v>0.001876342779</v>
      </c>
      <c r="Z133" s="218">
        <f t="shared" si="45"/>
        <v>0.0001490931448</v>
      </c>
      <c r="AA133" s="218">
        <f t="shared" si="45"/>
        <v>0.0004103332173</v>
      </c>
      <c r="AB133" s="218">
        <f t="shared" si="45"/>
        <v>0.0002596393012</v>
      </c>
      <c r="AC133" s="286"/>
    </row>
    <row r="134">
      <c r="A134" s="107"/>
      <c r="B134" s="108"/>
      <c r="C134" s="108"/>
      <c r="D134" s="108"/>
      <c r="E134" s="227" t="s">
        <v>196</v>
      </c>
      <c r="F134" s="228" t="s">
        <v>63</v>
      </c>
      <c r="G134" s="229" t="s">
        <v>70</v>
      </c>
      <c r="H134" s="230" t="s">
        <v>132</v>
      </c>
      <c r="I134" s="287">
        <f t="shared" ref="I134:AB134" si="46">I133/I132</f>
        <v>0.06796093089</v>
      </c>
      <c r="J134" s="287">
        <f t="shared" si="46"/>
        <v>0.05618991715</v>
      </c>
      <c r="K134" s="287">
        <f t="shared" si="46"/>
        <v>0.03606427168</v>
      </c>
      <c r="L134" s="287">
        <f t="shared" si="46"/>
        <v>0.03518885848</v>
      </c>
      <c r="M134" s="287">
        <f t="shared" si="46"/>
        <v>0.03881200618</v>
      </c>
      <c r="N134" s="287">
        <f t="shared" si="46"/>
        <v>0.04235610585</v>
      </c>
      <c r="O134" s="287">
        <f t="shared" si="46"/>
        <v>0.04461153055</v>
      </c>
      <c r="P134" s="287">
        <f t="shared" si="46"/>
        <v>0.0345320677</v>
      </c>
      <c r="Q134" s="287">
        <f t="shared" si="46"/>
        <v>0.1657039458</v>
      </c>
      <c r="R134" s="287">
        <f t="shared" si="46"/>
        <v>0.1668704711</v>
      </c>
      <c r="S134" s="287">
        <f t="shared" si="46"/>
        <v>0.04324065542</v>
      </c>
      <c r="T134" s="287">
        <f t="shared" si="46"/>
        <v>0.2064732906</v>
      </c>
      <c r="U134" s="287">
        <f t="shared" si="46"/>
        <v>0.08287583514</v>
      </c>
      <c r="V134" s="287">
        <f t="shared" si="46"/>
        <v>0.08776682545</v>
      </c>
      <c r="W134" s="287">
        <f t="shared" si="46"/>
        <v>0.05349262701</v>
      </c>
      <c r="X134" s="287">
        <f t="shared" si="46"/>
        <v>0.08292916954</v>
      </c>
      <c r="Y134" s="287">
        <f t="shared" si="46"/>
        <v>0.1876342779</v>
      </c>
      <c r="Z134" s="287">
        <f t="shared" si="46"/>
        <v>0.01490931448</v>
      </c>
      <c r="AA134" s="287">
        <f t="shared" si="46"/>
        <v>0.04103332173</v>
      </c>
      <c r="AB134" s="287">
        <f t="shared" si="46"/>
        <v>0.02596393012</v>
      </c>
      <c r="AC134" s="232"/>
    </row>
    <row r="135">
      <c r="A135" s="107"/>
      <c r="B135" s="108"/>
      <c r="C135" s="108"/>
      <c r="D135" s="108"/>
      <c r="E135" s="227" t="str">
        <f>HYPERLINK(buildUrl(CELL("address", Inputs!E82)), Inputs!E82)</f>
        <v>Value generated per dollar donated to GiveDirectly's unconditional cash transfer program</v>
      </c>
      <c r="F135" s="228" t="str">
        <f>Inputs!F82</f>
        <v>UoV</v>
      </c>
      <c r="G135" s="229" t="str">
        <f>Inputs!G82</f>
        <v>input</v>
      </c>
      <c r="H135" s="288">
        <f>Inputs!H82</f>
        <v>0.0033545</v>
      </c>
      <c r="I135" s="289" t="str">
        <f>Inputs!I82</f>
        <v>-</v>
      </c>
      <c r="J135" s="289" t="str">
        <f>Inputs!J82</f>
        <v>-</v>
      </c>
      <c r="K135" s="289" t="str">
        <f>Inputs!K82</f>
        <v>-</v>
      </c>
      <c r="L135" s="289" t="str">
        <f>Inputs!L82</f>
        <v>-</v>
      </c>
      <c r="M135" s="289" t="str">
        <f>Inputs!M82</f>
        <v>-</v>
      </c>
      <c r="N135" s="289" t="str">
        <f>Inputs!N82</f>
        <v>-</v>
      </c>
      <c r="O135" s="289" t="str">
        <f>Inputs!O82</f>
        <v>-</v>
      </c>
      <c r="P135" s="289" t="str">
        <f>Inputs!P82</f>
        <v>-</v>
      </c>
      <c r="Q135" s="289" t="str">
        <f>Inputs!Q82</f>
        <v>-</v>
      </c>
      <c r="R135" s="289" t="str">
        <f>Inputs!R82</f>
        <v>-</v>
      </c>
      <c r="S135" s="289" t="str">
        <f>Inputs!S82</f>
        <v>-</v>
      </c>
      <c r="T135" s="289" t="str">
        <f>Inputs!T82</f>
        <v>-</v>
      </c>
      <c r="U135" s="289" t="str">
        <f>Inputs!U82</f>
        <v>-</v>
      </c>
      <c r="V135" s="289" t="str">
        <f>Inputs!V82</f>
        <v>-</v>
      </c>
      <c r="W135" s="289" t="str">
        <f>Inputs!W82</f>
        <v>-</v>
      </c>
      <c r="X135" s="289" t="str">
        <f>Inputs!X82</f>
        <v>-</v>
      </c>
      <c r="Y135" s="289" t="str">
        <f>Inputs!Y82</f>
        <v>-</v>
      </c>
      <c r="Z135" s="289" t="str">
        <f>Inputs!Z82</f>
        <v>-</v>
      </c>
      <c r="AA135" s="289" t="str">
        <f>Inputs!AA82</f>
        <v>-</v>
      </c>
      <c r="AB135" s="289" t="str">
        <f>Inputs!AB82</f>
        <v>-</v>
      </c>
      <c r="AC135" s="232"/>
    </row>
    <row r="136">
      <c r="A136" s="107"/>
      <c r="B136" s="108"/>
      <c r="C136" s="108"/>
      <c r="D136" s="108"/>
      <c r="E136" s="260" t="s">
        <v>66</v>
      </c>
      <c r="F136" s="164" t="s">
        <v>65</v>
      </c>
      <c r="G136" s="219" t="s">
        <v>70</v>
      </c>
      <c r="H136" s="220" t="s">
        <v>132</v>
      </c>
      <c r="I136" s="290">
        <f t="shared" ref="I136:AB136" si="47">I134/$H135</f>
        <v>20.25963061</v>
      </c>
      <c r="J136" s="290">
        <f t="shared" si="47"/>
        <v>16.75060878</v>
      </c>
      <c r="K136" s="290">
        <f t="shared" si="47"/>
        <v>10.75101257</v>
      </c>
      <c r="L136" s="290">
        <f t="shared" si="47"/>
        <v>10.49004575</v>
      </c>
      <c r="M136" s="290">
        <f t="shared" si="47"/>
        <v>11.57013152</v>
      </c>
      <c r="N136" s="290">
        <f t="shared" si="47"/>
        <v>12.62665251</v>
      </c>
      <c r="O136" s="290">
        <f t="shared" si="47"/>
        <v>13.29901045</v>
      </c>
      <c r="P136" s="290">
        <f t="shared" si="47"/>
        <v>10.29425181</v>
      </c>
      <c r="Q136" s="290">
        <f t="shared" si="47"/>
        <v>49.39750956</v>
      </c>
      <c r="R136" s="290">
        <f t="shared" si="47"/>
        <v>49.74525894</v>
      </c>
      <c r="S136" s="290">
        <f t="shared" si="47"/>
        <v>12.89034295</v>
      </c>
      <c r="T136" s="290">
        <f t="shared" si="47"/>
        <v>61.55113746</v>
      </c>
      <c r="U136" s="290">
        <f t="shared" si="47"/>
        <v>24.70586828</v>
      </c>
      <c r="V136" s="290">
        <f t="shared" si="47"/>
        <v>26.16390683</v>
      </c>
      <c r="W136" s="290">
        <f t="shared" si="47"/>
        <v>15.94652765</v>
      </c>
      <c r="X136" s="290">
        <f t="shared" si="47"/>
        <v>24.72176764</v>
      </c>
      <c r="Y136" s="290">
        <f t="shared" si="47"/>
        <v>55.93509551</v>
      </c>
      <c r="Z136" s="290">
        <f t="shared" si="47"/>
        <v>4.444571315</v>
      </c>
      <c r="AA136" s="290">
        <f t="shared" si="47"/>
        <v>12.23232128</v>
      </c>
      <c r="AB136" s="290">
        <f t="shared" si="47"/>
        <v>7.740029845</v>
      </c>
      <c r="AC136" s="267"/>
    </row>
    <row r="137">
      <c r="A137" s="107"/>
      <c r="B137" s="108"/>
      <c r="C137" s="108"/>
      <c r="D137" s="108"/>
      <c r="E137" s="109"/>
      <c r="F137" s="110"/>
      <c r="G137" s="111"/>
      <c r="H137" s="112"/>
      <c r="I137" s="117"/>
      <c r="J137" s="117"/>
      <c r="K137" s="117"/>
      <c r="L137" s="117"/>
      <c r="M137" s="117"/>
      <c r="N137" s="117"/>
      <c r="O137" s="117"/>
      <c r="P137" s="117"/>
      <c r="Q137" s="117"/>
      <c r="R137" s="117"/>
      <c r="S137" s="117"/>
      <c r="T137" s="117"/>
      <c r="U137" s="117"/>
      <c r="V137" s="117"/>
      <c r="W137" s="117"/>
      <c r="X137" s="117"/>
      <c r="Y137" s="117"/>
      <c r="Z137" s="117"/>
      <c r="AA137" s="117"/>
      <c r="AB137" s="117"/>
      <c r="AC137" s="114"/>
    </row>
    <row r="138">
      <c r="A138" s="107"/>
      <c r="B138" s="108"/>
      <c r="C138" s="152" t="s">
        <v>197</v>
      </c>
      <c r="F138" s="125"/>
      <c r="G138" s="111"/>
      <c r="H138" s="112"/>
      <c r="I138" s="117"/>
      <c r="J138" s="117"/>
      <c r="K138" s="117"/>
      <c r="L138" s="117"/>
      <c r="M138" s="117"/>
      <c r="N138" s="117"/>
      <c r="O138" s="117"/>
      <c r="P138" s="117"/>
      <c r="Q138" s="117"/>
      <c r="R138" s="117"/>
      <c r="S138" s="117"/>
      <c r="T138" s="117"/>
      <c r="U138" s="117"/>
      <c r="V138" s="117"/>
      <c r="W138" s="117"/>
      <c r="X138" s="117"/>
      <c r="Y138" s="117"/>
      <c r="Z138" s="117"/>
      <c r="AA138" s="117"/>
      <c r="AB138" s="117"/>
      <c r="AC138" s="114"/>
    </row>
    <row r="139">
      <c r="A139" s="107"/>
      <c r="B139" s="108"/>
      <c r="C139" s="152"/>
      <c r="D139" s="108"/>
      <c r="E139" s="178" t="s">
        <v>198</v>
      </c>
      <c r="F139" s="154" t="s">
        <v>59</v>
      </c>
      <c r="G139" s="179" t="s">
        <v>70</v>
      </c>
      <c r="H139" s="156" t="s">
        <v>132</v>
      </c>
      <c r="I139" s="133">
        <f t="shared" ref="I139:AB139" si="48">I127/I133</f>
        <v>0.7125851793</v>
      </c>
      <c r="J139" s="133">
        <f t="shared" si="48"/>
        <v>0.7846871589</v>
      </c>
      <c r="K139" s="133">
        <f t="shared" si="48"/>
        <v>0.6604065418</v>
      </c>
      <c r="L139" s="133">
        <f t="shared" si="48"/>
        <v>0.7450018798</v>
      </c>
      <c r="M139" s="133">
        <f t="shared" si="48"/>
        <v>0.7255565589</v>
      </c>
      <c r="N139" s="133">
        <f t="shared" si="48"/>
        <v>0.7335103657</v>
      </c>
      <c r="O139" s="133">
        <f t="shared" si="48"/>
        <v>0.7518803121</v>
      </c>
      <c r="P139" s="133">
        <f t="shared" si="48"/>
        <v>0.6503336977</v>
      </c>
      <c r="Q139" s="133">
        <f t="shared" si="48"/>
        <v>0.7886530201</v>
      </c>
      <c r="R139" s="133">
        <f t="shared" si="48"/>
        <v>0.7302715334</v>
      </c>
      <c r="S139" s="133">
        <f t="shared" si="48"/>
        <v>0.6808257392</v>
      </c>
      <c r="T139" s="133">
        <f t="shared" si="48"/>
        <v>0.7982220734</v>
      </c>
      <c r="U139" s="133">
        <f t="shared" si="48"/>
        <v>0.6528899458</v>
      </c>
      <c r="V139" s="133">
        <f t="shared" si="48"/>
        <v>0.7182546001</v>
      </c>
      <c r="W139" s="133">
        <f t="shared" si="48"/>
        <v>0.5925640308</v>
      </c>
      <c r="X139" s="133">
        <f t="shared" si="48"/>
        <v>0.6994609564</v>
      </c>
      <c r="Y139" s="133">
        <f t="shared" si="48"/>
        <v>0.830773839</v>
      </c>
      <c r="Z139" s="133">
        <f t="shared" si="48"/>
        <v>0.7622721512</v>
      </c>
      <c r="AA139" s="133">
        <f t="shared" si="48"/>
        <v>0.6082394502</v>
      </c>
      <c r="AB139" s="133">
        <f t="shared" si="48"/>
        <v>0.6079538459</v>
      </c>
      <c r="AC139" s="134"/>
    </row>
    <row r="140">
      <c r="A140" s="107"/>
      <c r="B140" s="108"/>
      <c r="C140" s="152"/>
      <c r="D140" s="108"/>
      <c r="E140" s="124" t="s">
        <v>199</v>
      </c>
      <c r="F140" s="125" t="s">
        <v>59</v>
      </c>
      <c r="G140" s="148" t="s">
        <v>70</v>
      </c>
      <c r="H140" s="278" t="s">
        <v>132</v>
      </c>
      <c r="I140" s="291">
        <f t="shared" ref="I140:AB140" si="49">I128/I133</f>
        <v>0.04886276516</v>
      </c>
      <c r="J140" s="291">
        <f t="shared" si="49"/>
        <v>0.04315136646</v>
      </c>
      <c r="K140" s="291">
        <f t="shared" si="49"/>
        <v>0.06910175121</v>
      </c>
      <c r="L140" s="291">
        <f t="shared" si="49"/>
        <v>0.02203216465</v>
      </c>
      <c r="M140" s="291">
        <f t="shared" si="49"/>
        <v>0.02144678672</v>
      </c>
      <c r="N140" s="291">
        <f t="shared" si="49"/>
        <v>0.02168477529</v>
      </c>
      <c r="O140" s="291">
        <f t="shared" si="49"/>
        <v>0.02224322776</v>
      </c>
      <c r="P140" s="291">
        <f t="shared" si="49"/>
        <v>0.09651173753</v>
      </c>
      <c r="Q140" s="291">
        <f t="shared" si="49"/>
        <v>0.02169837912</v>
      </c>
      <c r="R140" s="291">
        <f t="shared" si="49"/>
        <v>0.06497041263</v>
      </c>
      <c r="S140" s="291">
        <f t="shared" si="49"/>
        <v>0.07546022723</v>
      </c>
      <c r="T140" s="291">
        <f t="shared" si="49"/>
        <v>0.04140796294</v>
      </c>
      <c r="U140" s="291">
        <f t="shared" si="49"/>
        <v>0.1052085523</v>
      </c>
      <c r="V140" s="291">
        <f t="shared" si="49"/>
        <v>0.06564520293</v>
      </c>
      <c r="W140" s="291">
        <f t="shared" si="49"/>
        <v>0.1141220589</v>
      </c>
      <c r="X140" s="291">
        <f t="shared" si="49"/>
        <v>0.07201195711</v>
      </c>
      <c r="Y140" s="291">
        <f t="shared" si="49"/>
        <v>0.02673112804</v>
      </c>
      <c r="Z140" s="291">
        <f t="shared" si="49"/>
        <v>0.02775779872</v>
      </c>
      <c r="AA140" s="291">
        <f t="shared" si="49"/>
        <v>0.08716021139</v>
      </c>
      <c r="AB140" s="291">
        <f t="shared" si="49"/>
        <v>0.02019577755</v>
      </c>
      <c r="AC140" s="200"/>
    </row>
    <row r="141">
      <c r="A141" s="107"/>
      <c r="B141" s="108"/>
      <c r="C141" s="152"/>
      <c r="D141" s="108"/>
      <c r="E141" s="260" t="s">
        <v>200</v>
      </c>
      <c r="F141" s="164" t="s">
        <v>59</v>
      </c>
      <c r="G141" s="219" t="s">
        <v>70</v>
      </c>
      <c r="H141" s="220" t="s">
        <v>132</v>
      </c>
      <c r="I141" s="145">
        <f t="shared" ref="I141:AB141" si="50">I129/I133</f>
        <v>0.2385520556</v>
      </c>
      <c r="J141" s="145">
        <f t="shared" si="50"/>
        <v>0.1721614746</v>
      </c>
      <c r="K141" s="145">
        <f t="shared" si="50"/>
        <v>0.270491707</v>
      </c>
      <c r="L141" s="145">
        <f t="shared" si="50"/>
        <v>0.2329659556</v>
      </c>
      <c r="M141" s="145">
        <f t="shared" si="50"/>
        <v>0.2529966544</v>
      </c>
      <c r="N141" s="145">
        <f t="shared" si="50"/>
        <v>0.244804859</v>
      </c>
      <c r="O141" s="145">
        <f t="shared" si="50"/>
        <v>0.2258764602</v>
      </c>
      <c r="P141" s="145">
        <f t="shared" si="50"/>
        <v>0.2531545648</v>
      </c>
      <c r="Q141" s="145">
        <f t="shared" si="50"/>
        <v>0.1896486008</v>
      </c>
      <c r="R141" s="145">
        <f t="shared" si="50"/>
        <v>0.2047580539</v>
      </c>
      <c r="S141" s="145">
        <f t="shared" si="50"/>
        <v>0.2437140336</v>
      </c>
      <c r="T141" s="145">
        <f t="shared" si="50"/>
        <v>0.1603699636</v>
      </c>
      <c r="U141" s="145">
        <f t="shared" si="50"/>
        <v>0.2419015019</v>
      </c>
      <c r="V141" s="145">
        <f t="shared" si="50"/>
        <v>0.2161001969</v>
      </c>
      <c r="W141" s="145">
        <f t="shared" si="50"/>
        <v>0.2933139104</v>
      </c>
      <c r="X141" s="145">
        <f t="shared" si="50"/>
        <v>0.2285270865</v>
      </c>
      <c r="Y141" s="145">
        <f t="shared" si="50"/>
        <v>0.142495033</v>
      </c>
      <c r="Z141" s="145">
        <f t="shared" si="50"/>
        <v>0.2099700501</v>
      </c>
      <c r="AA141" s="145">
        <f t="shared" si="50"/>
        <v>0.3046003384</v>
      </c>
      <c r="AB141" s="145">
        <f t="shared" si="50"/>
        <v>0.3718503766</v>
      </c>
      <c r="AC141" s="146"/>
    </row>
    <row r="142">
      <c r="A142" s="107"/>
      <c r="B142" s="108"/>
      <c r="C142" s="152"/>
      <c r="D142" s="108"/>
      <c r="E142" s="109"/>
      <c r="F142" s="110"/>
      <c r="G142" s="111"/>
      <c r="H142" s="112"/>
      <c r="I142" s="117"/>
      <c r="J142" s="117"/>
      <c r="K142" s="117"/>
      <c r="L142" s="117"/>
      <c r="M142" s="117"/>
      <c r="N142" s="117"/>
      <c r="O142" s="117"/>
      <c r="P142" s="117"/>
      <c r="Q142" s="117"/>
      <c r="R142" s="117"/>
      <c r="S142" s="117"/>
      <c r="T142" s="117"/>
      <c r="U142" s="117"/>
      <c r="V142" s="117"/>
      <c r="W142" s="117"/>
      <c r="X142" s="117"/>
      <c r="Y142" s="117"/>
      <c r="Z142" s="117"/>
      <c r="AA142" s="117"/>
      <c r="AB142" s="117"/>
      <c r="AC142" s="114"/>
    </row>
    <row r="143">
      <c r="A143" s="107"/>
      <c r="B143" s="108"/>
      <c r="C143" s="152" t="s">
        <v>201</v>
      </c>
      <c r="F143" s="110"/>
      <c r="G143" s="111"/>
      <c r="H143" s="112"/>
      <c r="I143" s="117"/>
      <c r="J143" s="117"/>
      <c r="K143" s="117"/>
      <c r="L143" s="117"/>
      <c r="M143" s="117"/>
      <c r="N143" s="117"/>
      <c r="O143" s="117"/>
      <c r="P143" s="117"/>
      <c r="Q143" s="117"/>
      <c r="R143" s="117"/>
      <c r="S143" s="117"/>
      <c r="T143" s="117"/>
      <c r="U143" s="117"/>
      <c r="V143" s="117"/>
      <c r="W143" s="117"/>
      <c r="X143" s="117"/>
      <c r="Y143" s="117"/>
      <c r="Z143" s="117"/>
      <c r="AA143" s="117"/>
      <c r="AB143" s="117"/>
      <c r="AC143" s="114"/>
    </row>
    <row r="144">
      <c r="A144" s="107"/>
      <c r="B144" s="108"/>
      <c r="C144" s="108"/>
      <c r="D144" s="108"/>
      <c r="E144" s="178" t="str">
        <f>HYPERLINK(buildUrl(CELL("address", E19)), E19)</f>
        <v>Total spending contributed by grantee</v>
      </c>
      <c r="F144" s="292" t="str">
        <f>F19</f>
        <v>$</v>
      </c>
      <c r="G144" s="293" t="s">
        <v>76</v>
      </c>
      <c r="H144" s="132" t="str">
        <f t="shared" ref="H144:AB144" si="51">H19</f>
        <v>-</v>
      </c>
      <c r="I144" s="285">
        <f t="shared" si="51"/>
        <v>0.01</v>
      </c>
      <c r="J144" s="285">
        <f t="shared" si="51"/>
        <v>0.01</v>
      </c>
      <c r="K144" s="285">
        <f t="shared" si="51"/>
        <v>0.01</v>
      </c>
      <c r="L144" s="285">
        <f t="shared" si="51"/>
        <v>0.01</v>
      </c>
      <c r="M144" s="285">
        <f t="shared" si="51"/>
        <v>0.01</v>
      </c>
      <c r="N144" s="285">
        <f t="shared" si="51"/>
        <v>0.01</v>
      </c>
      <c r="O144" s="285">
        <f t="shared" si="51"/>
        <v>0.01</v>
      </c>
      <c r="P144" s="285">
        <f t="shared" si="51"/>
        <v>17456907.13</v>
      </c>
      <c r="Q144" s="285">
        <f t="shared" si="51"/>
        <v>0.01</v>
      </c>
      <c r="R144" s="285">
        <f t="shared" si="51"/>
        <v>0.01</v>
      </c>
      <c r="S144" s="285">
        <f t="shared" si="51"/>
        <v>0.01</v>
      </c>
      <c r="T144" s="285">
        <f t="shared" si="51"/>
        <v>0.01</v>
      </c>
      <c r="U144" s="285">
        <f t="shared" si="51"/>
        <v>0.01</v>
      </c>
      <c r="V144" s="285">
        <f t="shared" si="51"/>
        <v>0.01</v>
      </c>
      <c r="W144" s="285">
        <f t="shared" si="51"/>
        <v>0.01</v>
      </c>
      <c r="X144" s="285">
        <f t="shared" si="51"/>
        <v>0.01</v>
      </c>
      <c r="Y144" s="285">
        <f t="shared" si="51"/>
        <v>0.01</v>
      </c>
      <c r="Z144" s="285">
        <f t="shared" si="51"/>
        <v>0.01</v>
      </c>
      <c r="AA144" s="285">
        <f t="shared" si="51"/>
        <v>0.01</v>
      </c>
      <c r="AB144" s="285">
        <f t="shared" si="51"/>
        <v>0.01</v>
      </c>
      <c r="AC144" s="134"/>
    </row>
    <row r="145">
      <c r="A145" s="107"/>
      <c r="B145" s="108"/>
      <c r="C145" s="108"/>
      <c r="D145" s="108"/>
      <c r="E145" s="201" t="s">
        <v>202</v>
      </c>
      <c r="F145" s="159" t="s">
        <v>49</v>
      </c>
      <c r="G145" s="212" t="s">
        <v>70</v>
      </c>
      <c r="H145" s="216" t="s">
        <v>132</v>
      </c>
      <c r="I145" s="218">
        <f t="shared" ref="I145:AB145" si="52">SUM(I117:I118)</f>
        <v>0.000004619460364</v>
      </c>
      <c r="J145" s="218">
        <f t="shared" si="52"/>
        <v>0.000004124010505</v>
      </c>
      <c r="K145" s="218">
        <f t="shared" si="52"/>
        <v>0.000002389226397</v>
      </c>
      <c r="L145" s="218">
        <f t="shared" si="52"/>
        <v>0.000002360994739</v>
      </c>
      <c r="M145" s="218">
        <f t="shared" si="52"/>
        <v>0.000002536065517</v>
      </c>
      <c r="N145" s="218">
        <f t="shared" si="52"/>
        <v>0.000002798001696</v>
      </c>
      <c r="O145" s="218">
        <f t="shared" si="52"/>
        <v>0.00000302089067</v>
      </c>
      <c r="P145" s="218">
        <f t="shared" si="52"/>
        <v>4167.173555</v>
      </c>
      <c r="Q145" s="218">
        <f t="shared" si="52"/>
        <v>0.00001173253512</v>
      </c>
      <c r="R145" s="218">
        <f t="shared" si="52"/>
        <v>0.00001196368218</v>
      </c>
      <c r="S145" s="218">
        <f t="shared" si="52"/>
        <v>0.000002978170764</v>
      </c>
      <c r="T145" s="218">
        <f t="shared" si="52"/>
        <v>0.00001534513772</v>
      </c>
      <c r="U145" s="218">
        <f t="shared" si="52"/>
        <v>0.000005845709362</v>
      </c>
      <c r="V145" s="218">
        <f t="shared" si="52"/>
        <v>0.000006209759804</v>
      </c>
      <c r="W145" s="218">
        <f t="shared" si="52"/>
        <v>0.000003560703458</v>
      </c>
      <c r="X145" s="218">
        <f t="shared" si="52"/>
        <v>0.00000580555465</v>
      </c>
      <c r="Y145" s="218">
        <f t="shared" si="52"/>
        <v>0.00001409415407</v>
      </c>
      <c r="Z145" s="218">
        <f t="shared" si="52"/>
        <v>0.000001034152018</v>
      </c>
      <c r="AA145" s="218">
        <f t="shared" si="52"/>
        <v>0.000002635530278</v>
      </c>
      <c r="AB145" s="218">
        <f t="shared" si="52"/>
        <v>0.000001429450315</v>
      </c>
      <c r="AC145" s="286"/>
    </row>
    <row r="146">
      <c r="A146" s="107"/>
      <c r="B146" s="108"/>
      <c r="C146" s="108"/>
      <c r="D146" s="108"/>
      <c r="E146" s="260" t="s">
        <v>201</v>
      </c>
      <c r="F146" s="164" t="s">
        <v>55</v>
      </c>
      <c r="G146" s="219" t="s">
        <v>70</v>
      </c>
      <c r="H146" s="220" t="s">
        <v>132</v>
      </c>
      <c r="I146" s="294">
        <f t="shared" ref="I146:AB146" si="53">I144/I145</f>
        <v>2164.755017</v>
      </c>
      <c r="J146" s="294">
        <f t="shared" si="53"/>
        <v>2424.824085</v>
      </c>
      <c r="K146" s="294">
        <f t="shared" si="53"/>
        <v>4185.455181</v>
      </c>
      <c r="L146" s="294">
        <f t="shared" si="53"/>
        <v>4235.502872</v>
      </c>
      <c r="M146" s="294">
        <f t="shared" si="53"/>
        <v>3943.115796</v>
      </c>
      <c r="N146" s="294">
        <f t="shared" si="53"/>
        <v>3573.979249</v>
      </c>
      <c r="O146" s="294">
        <f t="shared" si="53"/>
        <v>3310.281997</v>
      </c>
      <c r="P146" s="294">
        <f t="shared" si="53"/>
        <v>4189.148088</v>
      </c>
      <c r="Q146" s="294">
        <f t="shared" si="53"/>
        <v>852.3307106</v>
      </c>
      <c r="R146" s="294">
        <f t="shared" si="53"/>
        <v>835.8630605</v>
      </c>
      <c r="S146" s="294">
        <f t="shared" si="53"/>
        <v>3357.765821</v>
      </c>
      <c r="T146" s="294">
        <f t="shared" si="53"/>
        <v>651.6722223</v>
      </c>
      <c r="U146" s="294">
        <f t="shared" si="53"/>
        <v>1710.656377</v>
      </c>
      <c r="V146" s="294">
        <f t="shared" si="53"/>
        <v>1610.368245</v>
      </c>
      <c r="W146" s="294">
        <f t="shared" si="53"/>
        <v>2808.433816</v>
      </c>
      <c r="X146" s="294">
        <f t="shared" si="53"/>
        <v>1722.488307</v>
      </c>
      <c r="Y146" s="294">
        <f t="shared" si="53"/>
        <v>709.5140261</v>
      </c>
      <c r="Z146" s="294">
        <f t="shared" si="53"/>
        <v>9669.758246</v>
      </c>
      <c r="AA146" s="294">
        <f t="shared" si="53"/>
        <v>3794.302833</v>
      </c>
      <c r="AB146" s="294">
        <f t="shared" si="53"/>
        <v>6995.696104</v>
      </c>
      <c r="AC146" s="146"/>
    </row>
    <row r="147">
      <c r="A147" s="107"/>
      <c r="B147" s="108"/>
      <c r="C147" s="108"/>
      <c r="D147" s="108"/>
      <c r="E147" s="109"/>
      <c r="F147" s="110"/>
      <c r="G147" s="111"/>
      <c r="H147" s="112"/>
      <c r="I147" s="117"/>
      <c r="J147" s="117"/>
      <c r="K147" s="117"/>
      <c r="L147" s="117"/>
      <c r="M147" s="117"/>
      <c r="N147" s="117"/>
      <c r="O147" s="117"/>
      <c r="P147" s="117"/>
      <c r="Q147" s="117"/>
      <c r="R147" s="117"/>
      <c r="S147" s="117"/>
      <c r="T147" s="117"/>
      <c r="U147" s="117"/>
      <c r="V147" s="117"/>
      <c r="W147" s="117"/>
      <c r="X147" s="117"/>
      <c r="Y147" s="117"/>
      <c r="Z147" s="117"/>
      <c r="AA147" s="117"/>
      <c r="AB147" s="117"/>
      <c r="AC147" s="114"/>
    </row>
    <row r="148">
      <c r="A148" s="103" t="s">
        <v>203</v>
      </c>
      <c r="B148" s="6"/>
      <c r="C148" s="6"/>
      <c r="D148" s="6"/>
      <c r="E148" s="6"/>
      <c r="F148" s="6"/>
      <c r="G148" s="6"/>
      <c r="H148" s="104"/>
      <c r="I148" s="264"/>
      <c r="J148" s="264"/>
      <c r="K148" s="264"/>
      <c r="L148" s="264"/>
      <c r="M148" s="264"/>
      <c r="N148" s="264"/>
      <c r="O148" s="264"/>
      <c r="P148" s="264"/>
      <c r="Q148" s="264"/>
      <c r="R148" s="264"/>
      <c r="S148" s="264"/>
      <c r="T148" s="264"/>
      <c r="U148" s="264"/>
      <c r="V148" s="264"/>
      <c r="W148" s="264"/>
      <c r="X148" s="264"/>
      <c r="Y148" s="264"/>
      <c r="Z148" s="264"/>
      <c r="AA148" s="264"/>
      <c r="AB148" s="264"/>
      <c r="AC148" s="106"/>
    </row>
    <row r="149">
      <c r="A149" s="107"/>
      <c r="B149" s="108"/>
      <c r="C149" s="108"/>
      <c r="D149" s="108"/>
      <c r="E149" s="109"/>
      <c r="F149" s="110"/>
      <c r="G149" s="111"/>
      <c r="H149" s="112"/>
      <c r="I149" s="291"/>
      <c r="J149" s="291"/>
      <c r="K149" s="291"/>
      <c r="L149" s="291"/>
      <c r="M149" s="291"/>
      <c r="N149" s="291"/>
      <c r="O149" s="291"/>
      <c r="P149" s="291"/>
      <c r="Q149" s="291"/>
      <c r="R149" s="291"/>
      <c r="S149" s="291"/>
      <c r="T149" s="291"/>
      <c r="U149" s="291"/>
      <c r="V149" s="291"/>
      <c r="W149" s="291"/>
      <c r="X149" s="291"/>
      <c r="Y149" s="291"/>
      <c r="Z149" s="291"/>
      <c r="AA149" s="291"/>
      <c r="AB149" s="291"/>
      <c r="AC149" s="114"/>
    </row>
    <row r="150">
      <c r="A150" s="107"/>
      <c r="B150" s="108"/>
      <c r="C150" s="152" t="s">
        <v>204</v>
      </c>
      <c r="F150" s="110"/>
      <c r="G150" s="111"/>
      <c r="H150" s="112"/>
      <c r="I150" s="291"/>
      <c r="J150" s="291"/>
      <c r="K150" s="291"/>
      <c r="L150" s="291"/>
      <c r="M150" s="291"/>
      <c r="N150" s="291"/>
      <c r="O150" s="291"/>
      <c r="P150" s="291"/>
      <c r="Q150" s="291"/>
      <c r="R150" s="291"/>
      <c r="S150" s="291"/>
      <c r="T150" s="291"/>
      <c r="U150" s="291"/>
      <c r="V150" s="291"/>
      <c r="W150" s="291"/>
      <c r="X150" s="291"/>
      <c r="Y150" s="291"/>
      <c r="Z150" s="291"/>
      <c r="AA150" s="291"/>
      <c r="AB150" s="291"/>
      <c r="AC150" s="114"/>
    </row>
    <row r="151">
      <c r="A151" s="107"/>
      <c r="B151" s="108"/>
      <c r="C151" s="108"/>
      <c r="D151" s="295" t="s">
        <v>205</v>
      </c>
      <c r="E151" s="30"/>
      <c r="F151" s="296"/>
      <c r="G151" s="297"/>
      <c r="H151" s="132"/>
      <c r="I151" s="196"/>
      <c r="J151" s="196"/>
      <c r="K151" s="196"/>
      <c r="L151" s="196"/>
      <c r="M151" s="196"/>
      <c r="N151" s="196"/>
      <c r="O151" s="196"/>
      <c r="P151" s="196"/>
      <c r="Q151" s="196"/>
      <c r="R151" s="196"/>
      <c r="S151" s="196"/>
      <c r="T151" s="196"/>
      <c r="U151" s="196"/>
      <c r="V151" s="196"/>
      <c r="W151" s="196"/>
      <c r="X151" s="196"/>
      <c r="Y151" s="196"/>
      <c r="Z151" s="196"/>
      <c r="AA151" s="196"/>
      <c r="AB151" s="196"/>
      <c r="AC151" s="211"/>
    </row>
    <row r="152">
      <c r="A152" s="107"/>
      <c r="B152" s="108"/>
      <c r="C152" s="108"/>
      <c r="D152" s="108"/>
      <c r="E152" s="178" t="str">
        <f>HYPERLINK(buildUrl(CELL("address", Inputs!E88)), Inputs!E88)</f>
        <v>Double treatment</v>
      </c>
      <c r="F152" s="154" t="str">
        <f>Inputs!F88</f>
        <v>%</v>
      </c>
      <c r="G152" s="179" t="str">
        <f>Inputs!G88</f>
        <v>input</v>
      </c>
      <c r="H152" s="197">
        <f>Inputs!H88</f>
        <v>0</v>
      </c>
      <c r="I152" s="204" t="str">
        <f>Inputs!I88</f>
        <v>-</v>
      </c>
      <c r="J152" s="204" t="str">
        <f>Inputs!J88</f>
        <v>-</v>
      </c>
      <c r="K152" s="204"/>
      <c r="L152" s="204" t="str">
        <f>Inputs!L88</f>
        <v>-</v>
      </c>
      <c r="M152" s="204" t="str">
        <f>Inputs!M88</f>
        <v>-</v>
      </c>
      <c r="N152" s="204" t="str">
        <f>Inputs!N88</f>
        <v>-</v>
      </c>
      <c r="O152" s="204" t="str">
        <f>Inputs!O88</f>
        <v>-</v>
      </c>
      <c r="P152" s="204" t="str">
        <f>Inputs!P88</f>
        <v>-</v>
      </c>
      <c r="Q152" s="204" t="str">
        <f>Inputs!Q88</f>
        <v>-</v>
      </c>
      <c r="R152" s="204" t="str">
        <f>Inputs!R88</f>
        <v>-</v>
      </c>
      <c r="S152" s="204" t="str">
        <f>Inputs!S88</f>
        <v>-</v>
      </c>
      <c r="T152" s="204" t="str">
        <f>Inputs!T88</f>
        <v>-</v>
      </c>
      <c r="U152" s="204" t="str">
        <f>Inputs!U88</f>
        <v>-</v>
      </c>
      <c r="V152" s="204" t="str">
        <f>Inputs!V88</f>
        <v>-</v>
      </c>
      <c r="W152" s="204" t="str">
        <f>Inputs!W88</f>
        <v>-</v>
      </c>
      <c r="X152" s="204" t="str">
        <f>Inputs!X88</f>
        <v>-</v>
      </c>
      <c r="Y152" s="204" t="str">
        <f>Inputs!Y88</f>
        <v>-</v>
      </c>
      <c r="Z152" s="204" t="str">
        <f>Inputs!Z88</f>
        <v>-</v>
      </c>
      <c r="AA152" s="204" t="str">
        <f>Inputs!AA88</f>
        <v>-</v>
      </c>
      <c r="AB152" s="204" t="str">
        <f>Inputs!AB88</f>
        <v>-</v>
      </c>
      <c r="AC152" s="134"/>
    </row>
    <row r="153">
      <c r="A153" s="107"/>
      <c r="B153" s="108"/>
      <c r="C153" s="108"/>
      <c r="D153" s="108"/>
      <c r="E153" s="178" t="str">
        <f>HYPERLINK(buildUrl(CELL("address", Inputs!E89)), Inputs!E89)</f>
        <v>Ineffective goods</v>
      </c>
      <c r="F153" s="159" t="str">
        <f>Inputs!F89</f>
        <v>%</v>
      </c>
      <c r="G153" s="212" t="str">
        <f>Inputs!G89</f>
        <v>input</v>
      </c>
      <c r="H153" s="213">
        <f>Inputs!H89</f>
        <v>0</v>
      </c>
      <c r="I153" s="206" t="str">
        <f>Inputs!I89</f>
        <v>-</v>
      </c>
      <c r="J153" s="206" t="str">
        <f>Inputs!J89</f>
        <v>-</v>
      </c>
      <c r="K153" s="206"/>
      <c r="L153" s="206" t="str">
        <f>Inputs!L89</f>
        <v>-</v>
      </c>
      <c r="M153" s="206" t="str">
        <f>Inputs!M89</f>
        <v>-</v>
      </c>
      <c r="N153" s="206" t="str">
        <f>Inputs!N89</f>
        <v>-</v>
      </c>
      <c r="O153" s="206" t="str">
        <f>Inputs!O89</f>
        <v>-</v>
      </c>
      <c r="P153" s="206" t="str">
        <f>Inputs!P89</f>
        <v>-</v>
      </c>
      <c r="Q153" s="206" t="str">
        <f>Inputs!Q89</f>
        <v>-</v>
      </c>
      <c r="R153" s="206" t="str">
        <f>Inputs!R89</f>
        <v>-</v>
      </c>
      <c r="S153" s="206" t="str">
        <f>Inputs!S89</f>
        <v>-</v>
      </c>
      <c r="T153" s="206" t="str">
        <f>Inputs!T89</f>
        <v>-</v>
      </c>
      <c r="U153" s="206" t="str">
        <f>Inputs!U89</f>
        <v>-</v>
      </c>
      <c r="V153" s="206" t="str">
        <f>Inputs!V89</f>
        <v>-</v>
      </c>
      <c r="W153" s="206" t="str">
        <f>Inputs!W89</f>
        <v>-</v>
      </c>
      <c r="X153" s="206" t="str">
        <f>Inputs!X89</f>
        <v>-</v>
      </c>
      <c r="Y153" s="206" t="str">
        <f>Inputs!Y89</f>
        <v>-</v>
      </c>
      <c r="Z153" s="206" t="str">
        <f>Inputs!Z89</f>
        <v>-</v>
      </c>
      <c r="AA153" s="206" t="str">
        <f>Inputs!AA89</f>
        <v>-</v>
      </c>
      <c r="AB153" s="206" t="str">
        <f>Inputs!AB89</f>
        <v>-</v>
      </c>
      <c r="AC153" s="140"/>
    </row>
    <row r="154">
      <c r="A154" s="107"/>
      <c r="B154" s="108"/>
      <c r="C154" s="108"/>
      <c r="D154" s="108"/>
      <c r="E154" s="178" t="str">
        <f>HYPERLINK(buildUrl(CELL("address", Inputs!E90)), Inputs!E90)</f>
        <v>Goods purchased and left in storage until they expire / cash doesn't receive recipients or is taken back from them inappropriately</v>
      </c>
      <c r="F154" s="159" t="str">
        <f>Inputs!F90</f>
        <v>%</v>
      </c>
      <c r="G154" s="212" t="str">
        <f>Inputs!G90</f>
        <v>input</v>
      </c>
      <c r="H154" s="213">
        <f>Inputs!H90</f>
        <v>0</v>
      </c>
      <c r="I154" s="206" t="str">
        <f>Inputs!I90</f>
        <v>-</v>
      </c>
      <c r="J154" s="206" t="str">
        <f>Inputs!J90</f>
        <v>-</v>
      </c>
      <c r="K154" s="206"/>
      <c r="L154" s="206" t="str">
        <f>Inputs!L90</f>
        <v>-</v>
      </c>
      <c r="M154" s="206" t="str">
        <f>Inputs!M90</f>
        <v>-</v>
      </c>
      <c r="N154" s="206" t="str">
        <f>Inputs!N90</f>
        <v>-</v>
      </c>
      <c r="O154" s="206" t="str">
        <f>Inputs!O90</f>
        <v>-</v>
      </c>
      <c r="P154" s="206" t="str">
        <f>Inputs!P90</f>
        <v>-</v>
      </c>
      <c r="Q154" s="206" t="str">
        <f>Inputs!Q90</f>
        <v>-</v>
      </c>
      <c r="R154" s="206" t="str">
        <f>Inputs!R90</f>
        <v>-</v>
      </c>
      <c r="S154" s="206" t="str">
        <f>Inputs!S90</f>
        <v>-</v>
      </c>
      <c r="T154" s="206" t="str">
        <f>Inputs!T90</f>
        <v>-</v>
      </c>
      <c r="U154" s="206" t="str">
        <f>Inputs!U90</f>
        <v>-</v>
      </c>
      <c r="V154" s="206" t="str">
        <f>Inputs!V90</f>
        <v>-</v>
      </c>
      <c r="W154" s="206" t="str">
        <f>Inputs!W90</f>
        <v>-</v>
      </c>
      <c r="X154" s="206" t="str">
        <f>Inputs!X90</f>
        <v>-</v>
      </c>
      <c r="Y154" s="206" t="str">
        <f>Inputs!Y90</f>
        <v>-</v>
      </c>
      <c r="Z154" s="206" t="str">
        <f>Inputs!Z90</f>
        <v>-</v>
      </c>
      <c r="AA154" s="206" t="str">
        <f>Inputs!AA90</f>
        <v>-</v>
      </c>
      <c r="AB154" s="206" t="str">
        <f>Inputs!AB90</f>
        <v>-</v>
      </c>
      <c r="AC154" s="140"/>
    </row>
    <row r="155">
      <c r="A155" s="107"/>
      <c r="B155" s="108"/>
      <c r="C155" s="108"/>
      <c r="D155" s="295" t="s">
        <v>206</v>
      </c>
      <c r="E155" s="30"/>
      <c r="F155" s="298"/>
      <c r="G155" s="299"/>
      <c r="H155" s="213"/>
      <c r="I155" s="139"/>
      <c r="J155" s="139"/>
      <c r="K155" s="139"/>
      <c r="L155" s="139"/>
      <c r="M155" s="139"/>
      <c r="N155" s="139"/>
      <c r="O155" s="139"/>
      <c r="P155" s="139"/>
      <c r="Q155" s="139"/>
      <c r="R155" s="139"/>
      <c r="S155" s="139"/>
      <c r="T155" s="139"/>
      <c r="U155" s="139"/>
      <c r="V155" s="139"/>
      <c r="W155" s="139"/>
      <c r="X155" s="139"/>
      <c r="Y155" s="139"/>
      <c r="Z155" s="139"/>
      <c r="AA155" s="139"/>
      <c r="AB155" s="139"/>
      <c r="AC155" s="215"/>
    </row>
    <row r="156">
      <c r="A156" s="107"/>
      <c r="B156" s="108"/>
      <c r="C156" s="108"/>
      <c r="D156" s="108"/>
      <c r="E156" s="178" t="str">
        <f>HYPERLINK(buildUrl(CELL("address", Inputs!E92)), Inputs!E92)</f>
        <v>Incomplete or unrepresentative monitoring results</v>
      </c>
      <c r="F156" s="159" t="str">
        <f>Inputs!F92</f>
        <v>%</v>
      </c>
      <c r="G156" s="212" t="str">
        <f>Inputs!G92</f>
        <v>input</v>
      </c>
      <c r="H156" s="213">
        <f>Inputs!H92</f>
        <v>0</v>
      </c>
      <c r="I156" s="206" t="str">
        <f>Inputs!I92</f>
        <v>-</v>
      </c>
      <c r="J156" s="206" t="str">
        <f>Inputs!J92</f>
        <v>-</v>
      </c>
      <c r="K156" s="206"/>
      <c r="L156" s="206" t="str">
        <f>Inputs!L92</f>
        <v>-</v>
      </c>
      <c r="M156" s="206" t="str">
        <f>Inputs!M92</f>
        <v>-</v>
      </c>
      <c r="N156" s="206" t="str">
        <f>Inputs!N92</f>
        <v>-</v>
      </c>
      <c r="O156" s="206" t="str">
        <f>Inputs!O92</f>
        <v>-</v>
      </c>
      <c r="P156" s="206" t="str">
        <f>Inputs!P92</f>
        <v>-</v>
      </c>
      <c r="Q156" s="206" t="str">
        <f>Inputs!Q92</f>
        <v>-</v>
      </c>
      <c r="R156" s="206" t="str">
        <f>Inputs!R92</f>
        <v>-</v>
      </c>
      <c r="S156" s="206" t="str">
        <f>Inputs!S92</f>
        <v>-</v>
      </c>
      <c r="T156" s="206" t="str">
        <f>Inputs!T92</f>
        <v>-</v>
      </c>
      <c r="U156" s="206" t="str">
        <f>Inputs!U92</f>
        <v>-</v>
      </c>
      <c r="V156" s="206" t="str">
        <f>Inputs!V92</f>
        <v>-</v>
      </c>
      <c r="W156" s="206" t="str">
        <f>Inputs!W92</f>
        <v>-</v>
      </c>
      <c r="X156" s="206" t="str">
        <f>Inputs!X92</f>
        <v>-</v>
      </c>
      <c r="Y156" s="206" t="str">
        <f>Inputs!Y92</f>
        <v>-</v>
      </c>
      <c r="Z156" s="206" t="str">
        <f>Inputs!Z92</f>
        <v>-</v>
      </c>
      <c r="AA156" s="206" t="str">
        <f>Inputs!AA92</f>
        <v>-</v>
      </c>
      <c r="AB156" s="206" t="str">
        <f>Inputs!AB92</f>
        <v>-</v>
      </c>
      <c r="AC156" s="140"/>
    </row>
    <row r="157">
      <c r="A157" s="107"/>
      <c r="B157" s="108"/>
      <c r="C157" s="108"/>
      <c r="D157" s="108"/>
      <c r="E157" s="178" t="str">
        <f>HYPERLINK(buildUrl(CELL("address", Inputs!E93)), Inputs!E93)</f>
        <v>Biased monitoring results</v>
      </c>
      <c r="F157" s="159" t="str">
        <f>Inputs!F93</f>
        <v>%</v>
      </c>
      <c r="G157" s="212" t="str">
        <f>Inputs!G93</f>
        <v>input</v>
      </c>
      <c r="H157" s="213">
        <f>Inputs!H93</f>
        <v>-0.02</v>
      </c>
      <c r="I157" s="206" t="str">
        <f>Inputs!I93</f>
        <v>-</v>
      </c>
      <c r="J157" s="206" t="str">
        <f>Inputs!J93</f>
        <v>-</v>
      </c>
      <c r="K157" s="206"/>
      <c r="L157" s="206" t="str">
        <f>Inputs!L93</f>
        <v>-</v>
      </c>
      <c r="M157" s="206" t="str">
        <f>Inputs!M93</f>
        <v>-</v>
      </c>
      <c r="N157" s="206" t="str">
        <f>Inputs!N93</f>
        <v>-</v>
      </c>
      <c r="O157" s="206" t="str">
        <f>Inputs!O93</f>
        <v>-</v>
      </c>
      <c r="P157" s="206" t="str">
        <f>Inputs!P93</f>
        <v>-</v>
      </c>
      <c r="Q157" s="206" t="str">
        <f>Inputs!Q93</f>
        <v>-</v>
      </c>
      <c r="R157" s="206" t="str">
        <f>Inputs!R93</f>
        <v>-</v>
      </c>
      <c r="S157" s="206" t="str">
        <f>Inputs!S93</f>
        <v>-</v>
      </c>
      <c r="T157" s="206" t="str">
        <f>Inputs!T93</f>
        <v>-</v>
      </c>
      <c r="U157" s="206" t="str">
        <f>Inputs!U93</f>
        <v>-</v>
      </c>
      <c r="V157" s="206" t="str">
        <f>Inputs!V93</f>
        <v>-</v>
      </c>
      <c r="W157" s="206" t="str">
        <f>Inputs!W93</f>
        <v>-</v>
      </c>
      <c r="X157" s="206" t="str">
        <f>Inputs!X93</f>
        <v>-</v>
      </c>
      <c r="Y157" s="206" t="str">
        <f>Inputs!Y93</f>
        <v>-</v>
      </c>
      <c r="Z157" s="206" t="str">
        <f>Inputs!Z93</f>
        <v>-</v>
      </c>
      <c r="AA157" s="206" t="str">
        <f>Inputs!AA93</f>
        <v>-</v>
      </c>
      <c r="AB157" s="206" t="str">
        <f>Inputs!AB93</f>
        <v>-</v>
      </c>
      <c r="AC157" s="140"/>
    </row>
    <row r="158">
      <c r="A158" s="107"/>
      <c r="B158" s="108"/>
      <c r="C158" s="108"/>
      <c r="D158" s="295" t="s">
        <v>207</v>
      </c>
      <c r="E158" s="30"/>
      <c r="F158" s="298"/>
      <c r="G158" s="299"/>
      <c r="H158" s="213"/>
      <c r="I158" s="139"/>
      <c r="J158" s="139"/>
      <c r="K158" s="139"/>
      <c r="L158" s="139"/>
      <c r="M158" s="139"/>
      <c r="N158" s="139"/>
      <c r="O158" s="139"/>
      <c r="P158" s="139"/>
      <c r="Q158" s="139"/>
      <c r="R158" s="139"/>
      <c r="S158" s="139"/>
      <c r="T158" s="139"/>
      <c r="U158" s="139"/>
      <c r="V158" s="139"/>
      <c r="W158" s="139"/>
      <c r="X158" s="139"/>
      <c r="Y158" s="139"/>
      <c r="Z158" s="139"/>
      <c r="AA158" s="139"/>
      <c r="AB158" s="139"/>
      <c r="AC158" s="215"/>
    </row>
    <row r="159">
      <c r="A159" s="107"/>
      <c r="B159" s="108"/>
      <c r="C159" s="108"/>
      <c r="D159" s="108"/>
      <c r="E159" s="178" t="str">
        <f>HYPERLINK(buildUrl(CELL("address", Inputs!E95)), Inputs!E95)</f>
        <v>Change of priorities</v>
      </c>
      <c r="F159" s="159" t="str">
        <f>Inputs!F95</f>
        <v>%</v>
      </c>
      <c r="G159" s="212" t="str">
        <f>Inputs!G95</f>
        <v>input</v>
      </c>
      <c r="H159" s="213">
        <f>Inputs!H95</f>
        <v>-0.01</v>
      </c>
      <c r="I159" s="206" t="str">
        <f>Inputs!I95</f>
        <v>-</v>
      </c>
      <c r="J159" s="206" t="str">
        <f>Inputs!J95</f>
        <v>-</v>
      </c>
      <c r="K159" s="206"/>
      <c r="L159" s="206" t="str">
        <f>Inputs!L95</f>
        <v>-</v>
      </c>
      <c r="M159" s="206" t="str">
        <f>Inputs!M95</f>
        <v>-</v>
      </c>
      <c r="N159" s="206" t="str">
        <f>Inputs!N95</f>
        <v>-</v>
      </c>
      <c r="O159" s="206" t="str">
        <f>Inputs!O95</f>
        <v>-</v>
      </c>
      <c r="P159" s="206" t="str">
        <f>Inputs!P95</f>
        <v>-</v>
      </c>
      <c r="Q159" s="206" t="str">
        <f>Inputs!Q95</f>
        <v>-</v>
      </c>
      <c r="R159" s="206" t="str">
        <f>Inputs!R95</f>
        <v>-</v>
      </c>
      <c r="S159" s="206" t="str">
        <f>Inputs!S95</f>
        <v>-</v>
      </c>
      <c r="T159" s="206" t="str">
        <f>Inputs!T95</f>
        <v>-</v>
      </c>
      <c r="U159" s="206" t="str">
        <f>Inputs!U95</f>
        <v>-</v>
      </c>
      <c r="V159" s="206" t="str">
        <f>Inputs!V95</f>
        <v>-</v>
      </c>
      <c r="W159" s="206" t="str">
        <f>Inputs!W95</f>
        <v>-</v>
      </c>
      <c r="X159" s="206" t="str">
        <f>Inputs!X95</f>
        <v>-</v>
      </c>
      <c r="Y159" s="206" t="str">
        <f>Inputs!Y95</f>
        <v>-</v>
      </c>
      <c r="Z159" s="206" t="str">
        <f>Inputs!Z95</f>
        <v>-</v>
      </c>
      <c r="AA159" s="206" t="str">
        <f>Inputs!AA95</f>
        <v>-</v>
      </c>
      <c r="AB159" s="206" t="str">
        <f>Inputs!AB95</f>
        <v>-</v>
      </c>
      <c r="AC159" s="140"/>
    </row>
    <row r="160">
      <c r="A160" s="107"/>
      <c r="B160" s="108"/>
      <c r="C160" s="108"/>
      <c r="D160" s="108"/>
      <c r="E160" s="178" t="str">
        <f>HYPERLINK(buildUrl(CELL("address", Inputs!E96)), Inputs!E96)</f>
        <v>Non-funding bottlenecks</v>
      </c>
      <c r="F160" s="159" t="str">
        <f>Inputs!F96</f>
        <v>%</v>
      </c>
      <c r="G160" s="212" t="str">
        <f>Inputs!G96</f>
        <v>input</v>
      </c>
      <c r="H160" s="213">
        <f>Inputs!H96</f>
        <v>0</v>
      </c>
      <c r="I160" s="206" t="str">
        <f>Inputs!I96</f>
        <v>-</v>
      </c>
      <c r="J160" s="206" t="str">
        <f>Inputs!J96</f>
        <v>-</v>
      </c>
      <c r="K160" s="206"/>
      <c r="L160" s="206" t="str">
        <f>Inputs!L96</f>
        <v>-</v>
      </c>
      <c r="M160" s="206" t="str">
        <f>Inputs!M96</f>
        <v>-</v>
      </c>
      <c r="N160" s="206" t="str">
        <f>Inputs!N96</f>
        <v>-</v>
      </c>
      <c r="O160" s="206" t="str">
        <f>Inputs!O96</f>
        <v>-</v>
      </c>
      <c r="P160" s="206" t="str">
        <f>Inputs!P96</f>
        <v>-</v>
      </c>
      <c r="Q160" s="206" t="str">
        <f>Inputs!Q96</f>
        <v>-</v>
      </c>
      <c r="R160" s="206" t="str">
        <f>Inputs!R96</f>
        <v>-</v>
      </c>
      <c r="S160" s="206" t="str">
        <f>Inputs!S96</f>
        <v>-</v>
      </c>
      <c r="T160" s="206" t="str">
        <f>Inputs!T96</f>
        <v>-</v>
      </c>
      <c r="U160" s="206" t="str">
        <f>Inputs!U96</f>
        <v>-</v>
      </c>
      <c r="V160" s="206" t="str">
        <f>Inputs!V96</f>
        <v>-</v>
      </c>
      <c r="W160" s="206" t="str">
        <f>Inputs!W96</f>
        <v>-</v>
      </c>
      <c r="X160" s="206" t="str">
        <f>Inputs!X96</f>
        <v>-</v>
      </c>
      <c r="Y160" s="206" t="str">
        <f>Inputs!Y96</f>
        <v>-</v>
      </c>
      <c r="Z160" s="206" t="str">
        <f>Inputs!Z96</f>
        <v>-</v>
      </c>
      <c r="AA160" s="206" t="str">
        <f>Inputs!AA96</f>
        <v>-</v>
      </c>
      <c r="AB160" s="206" t="str">
        <f>Inputs!AB96</f>
        <v>-</v>
      </c>
      <c r="AC160" s="140"/>
    </row>
    <row r="161">
      <c r="A161" s="107"/>
      <c r="B161" s="108"/>
      <c r="C161" s="108"/>
      <c r="D161" s="108"/>
      <c r="E161" s="178" t="str">
        <f>HYPERLINK(buildUrl(CELL("address", Inputs!E97)), Inputs!E97)</f>
        <v>Within-org fungibility</v>
      </c>
      <c r="F161" s="159" t="str">
        <f>Inputs!F97</f>
        <v>%</v>
      </c>
      <c r="G161" s="212" t="str">
        <f>Inputs!G97</f>
        <v>input</v>
      </c>
      <c r="H161" s="213">
        <f>Inputs!H97</f>
        <v>-0.05</v>
      </c>
      <c r="I161" s="206" t="str">
        <f>Inputs!I97</f>
        <v>-</v>
      </c>
      <c r="J161" s="206" t="str">
        <f>Inputs!J97</f>
        <v>-</v>
      </c>
      <c r="K161" s="206"/>
      <c r="L161" s="206" t="str">
        <f>Inputs!L97</f>
        <v>-</v>
      </c>
      <c r="M161" s="206" t="str">
        <f>Inputs!M97</f>
        <v>-</v>
      </c>
      <c r="N161" s="206" t="str">
        <f>Inputs!N97</f>
        <v>-</v>
      </c>
      <c r="O161" s="206" t="str">
        <f>Inputs!O97</f>
        <v>-</v>
      </c>
      <c r="P161" s="206" t="str">
        <f>Inputs!P97</f>
        <v>-</v>
      </c>
      <c r="Q161" s="206" t="str">
        <f>Inputs!Q97</f>
        <v>-</v>
      </c>
      <c r="R161" s="206" t="str">
        <f>Inputs!R97</f>
        <v>-</v>
      </c>
      <c r="S161" s="206" t="str">
        <f>Inputs!S97</f>
        <v>-</v>
      </c>
      <c r="T161" s="206" t="str">
        <f>Inputs!T97</f>
        <v>-</v>
      </c>
      <c r="U161" s="206" t="str">
        <f>Inputs!U97</f>
        <v>-</v>
      </c>
      <c r="V161" s="206" t="str">
        <f>Inputs!V97</f>
        <v>-</v>
      </c>
      <c r="W161" s="206" t="str">
        <f>Inputs!W97</f>
        <v>-</v>
      </c>
      <c r="X161" s="206" t="str">
        <f>Inputs!X97</f>
        <v>-</v>
      </c>
      <c r="Y161" s="206" t="str">
        <f>Inputs!Y97</f>
        <v>-</v>
      </c>
      <c r="Z161" s="206" t="str">
        <f>Inputs!Z97</f>
        <v>-</v>
      </c>
      <c r="AA161" s="206" t="str">
        <f>Inputs!AA97</f>
        <v>-</v>
      </c>
      <c r="AB161" s="206" t="str">
        <f>Inputs!AB97</f>
        <v>-</v>
      </c>
      <c r="AC161" s="140"/>
    </row>
    <row r="162">
      <c r="A162" s="107"/>
      <c r="B162" s="108"/>
      <c r="C162" s="108"/>
      <c r="D162" s="300"/>
      <c r="E162" s="124"/>
      <c r="F162" s="125"/>
      <c r="G162" s="148"/>
      <c r="H162" s="199"/>
      <c r="I162" s="251"/>
      <c r="J162" s="251"/>
      <c r="K162" s="251"/>
      <c r="L162" s="251"/>
      <c r="M162" s="251"/>
      <c r="N162" s="251"/>
      <c r="O162" s="251"/>
      <c r="P162" s="251"/>
      <c r="Q162" s="251"/>
      <c r="R162" s="251"/>
      <c r="S162" s="251"/>
      <c r="T162" s="251"/>
      <c r="U162" s="251"/>
      <c r="V162" s="251"/>
      <c r="W162" s="251"/>
      <c r="X162" s="251"/>
      <c r="Y162" s="251"/>
      <c r="Z162" s="251"/>
      <c r="AA162" s="251"/>
      <c r="AB162" s="251"/>
      <c r="AC162" s="200"/>
    </row>
    <row r="163">
      <c r="A163" s="107"/>
      <c r="B163" s="108"/>
      <c r="C163" s="108"/>
      <c r="D163" s="301" t="s">
        <v>208</v>
      </c>
      <c r="E163" s="37"/>
      <c r="F163" s="119" t="s">
        <v>59</v>
      </c>
      <c r="G163" s="149" t="s">
        <v>70</v>
      </c>
      <c r="H163" s="302">
        <f>SUM(H152:H154,H156:H157,H159:H161)</f>
        <v>-0.08</v>
      </c>
      <c r="I163" s="303" t="s">
        <v>132</v>
      </c>
      <c r="J163" s="303" t="s">
        <v>132</v>
      </c>
      <c r="K163" s="303"/>
      <c r="L163" s="303" t="s">
        <v>132</v>
      </c>
      <c r="M163" s="303" t="s">
        <v>132</v>
      </c>
      <c r="N163" s="303" t="s">
        <v>132</v>
      </c>
      <c r="O163" s="303" t="s">
        <v>132</v>
      </c>
      <c r="P163" s="303" t="s">
        <v>132</v>
      </c>
      <c r="Q163" s="303" t="s">
        <v>132</v>
      </c>
      <c r="R163" s="303" t="s">
        <v>132</v>
      </c>
      <c r="S163" s="303" t="s">
        <v>132</v>
      </c>
      <c r="T163" s="303" t="s">
        <v>132</v>
      </c>
      <c r="U163" s="303" t="s">
        <v>132</v>
      </c>
      <c r="V163" s="303" t="s">
        <v>132</v>
      </c>
      <c r="W163" s="303" t="s">
        <v>132</v>
      </c>
      <c r="X163" s="303" t="s">
        <v>132</v>
      </c>
      <c r="Y163" s="303" t="s">
        <v>132</v>
      </c>
      <c r="Z163" s="303" t="s">
        <v>132</v>
      </c>
      <c r="AA163" s="303" t="s">
        <v>132</v>
      </c>
      <c r="AB163" s="303" t="s">
        <v>132</v>
      </c>
      <c r="AC163" s="123"/>
    </row>
    <row r="164">
      <c r="A164" s="107"/>
      <c r="B164" s="108"/>
      <c r="C164" s="108"/>
      <c r="D164" s="108"/>
      <c r="E164" s="109"/>
      <c r="F164" s="110"/>
      <c r="G164" s="111"/>
      <c r="H164" s="112"/>
      <c r="I164" s="117"/>
      <c r="J164" s="117"/>
      <c r="K164" s="117"/>
      <c r="L164" s="117"/>
      <c r="M164" s="117"/>
      <c r="N164" s="117"/>
      <c r="O164" s="117"/>
      <c r="P164" s="117"/>
      <c r="Q164" s="117"/>
      <c r="R164" s="117"/>
      <c r="S164" s="117"/>
      <c r="T164" s="117"/>
      <c r="U164" s="117"/>
      <c r="V164" s="117"/>
      <c r="W164" s="117"/>
      <c r="X164" s="117"/>
      <c r="Y164" s="117"/>
      <c r="Z164" s="117"/>
      <c r="AA164" s="117"/>
      <c r="AB164" s="117"/>
      <c r="AC164" s="114"/>
    </row>
    <row r="165">
      <c r="A165" s="107"/>
      <c r="B165" s="108"/>
      <c r="C165" s="147" t="s">
        <v>209</v>
      </c>
      <c r="F165" s="110"/>
      <c r="G165" s="111"/>
      <c r="H165" s="112"/>
      <c r="I165" s="117"/>
      <c r="J165" s="117"/>
      <c r="K165" s="117"/>
      <c r="L165" s="117"/>
      <c r="M165" s="117"/>
      <c r="N165" s="117"/>
      <c r="O165" s="117"/>
      <c r="P165" s="117"/>
      <c r="Q165" s="117"/>
      <c r="R165" s="117"/>
      <c r="S165" s="117"/>
      <c r="T165" s="117"/>
      <c r="U165" s="117"/>
      <c r="V165" s="117"/>
      <c r="W165" s="117"/>
      <c r="X165" s="117"/>
      <c r="Y165" s="117"/>
      <c r="Z165" s="117"/>
      <c r="AA165" s="117"/>
      <c r="AB165" s="117"/>
      <c r="AC165" s="114"/>
    </row>
    <row r="166">
      <c r="A166" s="107"/>
      <c r="B166" s="108"/>
      <c r="C166" s="108"/>
      <c r="D166" s="295" t="s">
        <v>210</v>
      </c>
      <c r="E166" s="30"/>
      <c r="F166" s="154"/>
      <c r="G166" s="179"/>
      <c r="H166" s="195"/>
      <c r="I166" s="204"/>
      <c r="J166" s="204"/>
      <c r="K166" s="204"/>
      <c r="L166" s="204"/>
      <c r="M166" s="204"/>
      <c r="N166" s="204"/>
      <c r="O166" s="204"/>
      <c r="P166" s="204"/>
      <c r="Q166" s="204"/>
      <c r="R166" s="204"/>
      <c r="S166" s="204"/>
      <c r="T166" s="204"/>
      <c r="U166" s="204"/>
      <c r="V166" s="204"/>
      <c r="W166" s="204"/>
      <c r="X166" s="204"/>
      <c r="Y166" s="204"/>
      <c r="Z166" s="204"/>
      <c r="AA166" s="204"/>
      <c r="AB166" s="204"/>
      <c r="AC166" s="134"/>
    </row>
    <row r="167">
      <c r="A167" s="107"/>
      <c r="B167" s="108"/>
      <c r="C167" s="108"/>
      <c r="D167" s="300"/>
      <c r="E167" s="178" t="str">
        <f>HYPERLINK(buildUrl(CELL("address", Inputs!E100)), Inputs!E100)</f>
        <v>Malaria morbidity</v>
      </c>
      <c r="F167" s="154" t="str">
        <f>Inputs!F100</f>
        <v>%</v>
      </c>
      <c r="G167" s="179" t="str">
        <f>Inputs!G100</f>
        <v>input</v>
      </c>
      <c r="H167" s="195">
        <f>Inputs!H100</f>
        <v>0.09</v>
      </c>
      <c r="I167" s="204" t="str">
        <f>Inputs!I100</f>
        <v>-</v>
      </c>
      <c r="J167" s="204" t="str">
        <f>Inputs!J100</f>
        <v>-</v>
      </c>
      <c r="K167" s="204" t="str">
        <f>Inputs!K100</f>
        <v>-</v>
      </c>
      <c r="L167" s="204" t="str">
        <f>Inputs!L100</f>
        <v>-</v>
      </c>
      <c r="M167" s="204" t="str">
        <f>Inputs!M100</f>
        <v>-</v>
      </c>
      <c r="N167" s="204" t="str">
        <f>Inputs!N100</f>
        <v>-</v>
      </c>
      <c r="O167" s="204" t="str">
        <f>Inputs!O100</f>
        <v>-</v>
      </c>
      <c r="P167" s="204" t="str">
        <f>Inputs!P100</f>
        <v>-</v>
      </c>
      <c r="Q167" s="204" t="str">
        <f>Inputs!Q100</f>
        <v>-</v>
      </c>
      <c r="R167" s="204" t="str">
        <f>Inputs!R100</f>
        <v>-</v>
      </c>
      <c r="S167" s="204" t="str">
        <f>Inputs!S100</f>
        <v>-</v>
      </c>
      <c r="T167" s="204" t="str">
        <f>Inputs!T100</f>
        <v>-</v>
      </c>
      <c r="U167" s="204" t="str">
        <f>Inputs!U100</f>
        <v>-</v>
      </c>
      <c r="V167" s="204" t="str">
        <f>Inputs!V100</f>
        <v>-</v>
      </c>
      <c r="W167" s="204" t="str">
        <f>Inputs!W100</f>
        <v>-</v>
      </c>
      <c r="X167" s="204" t="str">
        <f>Inputs!X100</f>
        <v>-</v>
      </c>
      <c r="Y167" s="204" t="str">
        <f>Inputs!Y100</f>
        <v>-</v>
      </c>
      <c r="Z167" s="204" t="str">
        <f>Inputs!Z100</f>
        <v>-</v>
      </c>
      <c r="AA167" s="204" t="str">
        <f>Inputs!AA100</f>
        <v>-</v>
      </c>
      <c r="AB167" s="204" t="str">
        <f>Inputs!AB100</f>
        <v>-</v>
      </c>
      <c r="AC167" s="134"/>
    </row>
    <row r="168">
      <c r="A168" s="107"/>
      <c r="B168" s="108"/>
      <c r="C168" s="108"/>
      <c r="D168" s="108"/>
      <c r="E168" s="178" t="str">
        <f>HYPERLINK(buildUrl(CELL("address", Inputs!E101)), Inputs!E101)</f>
        <v>Short-term anemia effects</v>
      </c>
      <c r="F168" s="154" t="str">
        <f>Inputs!F101</f>
        <v>%</v>
      </c>
      <c r="G168" s="179" t="str">
        <f>Inputs!G101</f>
        <v>input</v>
      </c>
      <c r="H168" s="195">
        <f>Inputs!H101</f>
        <v>0.09</v>
      </c>
      <c r="I168" s="204" t="str">
        <f>Inputs!I101</f>
        <v>-</v>
      </c>
      <c r="J168" s="204" t="str">
        <f>Inputs!J101</f>
        <v>-</v>
      </c>
      <c r="K168" s="204" t="str">
        <f>Inputs!K101</f>
        <v>-</v>
      </c>
      <c r="L168" s="204" t="str">
        <f>Inputs!L101</f>
        <v>-</v>
      </c>
      <c r="M168" s="204" t="str">
        <f>Inputs!M101</f>
        <v>-</v>
      </c>
      <c r="N168" s="204" t="str">
        <f>Inputs!N101</f>
        <v>-</v>
      </c>
      <c r="O168" s="204" t="str">
        <f>Inputs!O101</f>
        <v>-</v>
      </c>
      <c r="P168" s="204" t="str">
        <f>Inputs!P101</f>
        <v>-</v>
      </c>
      <c r="Q168" s="204" t="str">
        <f>Inputs!Q101</f>
        <v>-</v>
      </c>
      <c r="R168" s="204" t="str">
        <f>Inputs!R101</f>
        <v>-</v>
      </c>
      <c r="S168" s="204" t="str">
        <f>Inputs!S101</f>
        <v>-</v>
      </c>
      <c r="T168" s="204" t="str">
        <f>Inputs!T101</f>
        <v>-</v>
      </c>
      <c r="U168" s="204" t="str">
        <f>Inputs!U101</f>
        <v>-</v>
      </c>
      <c r="V168" s="204" t="str">
        <f>Inputs!V101</f>
        <v>-</v>
      </c>
      <c r="W168" s="204" t="str">
        <f>Inputs!W101</f>
        <v>-</v>
      </c>
      <c r="X168" s="204" t="str">
        <f>Inputs!X101</f>
        <v>-</v>
      </c>
      <c r="Y168" s="204" t="str">
        <f>Inputs!Y101</f>
        <v>-</v>
      </c>
      <c r="Z168" s="204" t="str">
        <f>Inputs!Z101</f>
        <v>-</v>
      </c>
      <c r="AA168" s="204" t="str">
        <f>Inputs!AA101</f>
        <v>-</v>
      </c>
      <c r="AB168" s="204" t="str">
        <f>Inputs!AB101</f>
        <v>-</v>
      </c>
      <c r="AC168" s="140"/>
    </row>
    <row r="169">
      <c r="A169" s="107"/>
      <c r="B169" s="108"/>
      <c r="C169" s="108"/>
      <c r="D169" s="108"/>
      <c r="E169" s="178" t="str">
        <f>HYPERLINK(buildUrl(CELL("address", Inputs!E102)), Inputs!E102)</f>
        <v>Investment of income increases</v>
      </c>
      <c r="F169" s="154" t="str">
        <f>Inputs!F102</f>
        <v>%</v>
      </c>
      <c r="G169" s="179" t="str">
        <f>Inputs!G102</f>
        <v>input</v>
      </c>
      <c r="H169" s="195">
        <f>Inputs!H102</f>
        <v>0.05</v>
      </c>
      <c r="I169" s="204" t="str">
        <f>Inputs!I102</f>
        <v>-</v>
      </c>
      <c r="J169" s="204" t="str">
        <f>Inputs!J102</f>
        <v>-</v>
      </c>
      <c r="K169" s="204" t="str">
        <f>Inputs!K102</f>
        <v>-</v>
      </c>
      <c r="L169" s="204" t="str">
        <f>Inputs!L102</f>
        <v>-</v>
      </c>
      <c r="M169" s="204" t="str">
        <f>Inputs!M102</f>
        <v>-</v>
      </c>
      <c r="N169" s="204" t="str">
        <f>Inputs!N102</f>
        <v>-</v>
      </c>
      <c r="O169" s="204" t="str">
        <f>Inputs!O102</f>
        <v>-</v>
      </c>
      <c r="P169" s="204" t="str">
        <f>Inputs!P102</f>
        <v>-</v>
      </c>
      <c r="Q169" s="204" t="str">
        <f>Inputs!Q102</f>
        <v>-</v>
      </c>
      <c r="R169" s="204" t="str">
        <f>Inputs!R102</f>
        <v>-</v>
      </c>
      <c r="S169" s="204" t="str">
        <f>Inputs!S102</f>
        <v>-</v>
      </c>
      <c r="T169" s="204" t="str">
        <f>Inputs!T102</f>
        <v>-</v>
      </c>
      <c r="U169" s="204" t="str">
        <f>Inputs!U102</f>
        <v>-</v>
      </c>
      <c r="V169" s="204" t="str">
        <f>Inputs!V102</f>
        <v>-</v>
      </c>
      <c r="W169" s="204" t="str">
        <f>Inputs!W102</f>
        <v>-</v>
      </c>
      <c r="X169" s="204" t="str">
        <f>Inputs!X102</f>
        <v>-</v>
      </c>
      <c r="Y169" s="204" t="str">
        <f>Inputs!Y102</f>
        <v>-</v>
      </c>
      <c r="Z169" s="204" t="str">
        <f>Inputs!Z102</f>
        <v>-</v>
      </c>
      <c r="AA169" s="204" t="str">
        <f>Inputs!AA102</f>
        <v>-</v>
      </c>
      <c r="AB169" s="204" t="str">
        <f>Inputs!AB102</f>
        <v>-</v>
      </c>
      <c r="AC169" s="140"/>
    </row>
    <row r="170">
      <c r="A170" s="107"/>
      <c r="B170" s="108"/>
      <c r="C170" s="108"/>
      <c r="D170" s="108"/>
      <c r="E170" s="178" t="str">
        <f>HYPERLINK(buildUrl(CELL("address", Inputs!E103)), Inputs!E103)</f>
        <v>Treatment costs averted from prevention</v>
      </c>
      <c r="F170" s="154" t="str">
        <f>Inputs!F103</f>
        <v>%</v>
      </c>
      <c r="G170" s="179" t="str">
        <f>Inputs!G103</f>
        <v>input</v>
      </c>
      <c r="H170" s="195">
        <f>Inputs!H103</f>
        <v>0.2</v>
      </c>
      <c r="I170" s="204" t="str">
        <f>Inputs!I103</f>
        <v>-</v>
      </c>
      <c r="J170" s="204" t="str">
        <f>Inputs!J103</f>
        <v>-</v>
      </c>
      <c r="K170" s="204" t="str">
        <f>Inputs!K103</f>
        <v>-</v>
      </c>
      <c r="L170" s="204" t="str">
        <f>Inputs!L103</f>
        <v>-</v>
      </c>
      <c r="M170" s="204" t="str">
        <f>Inputs!M103</f>
        <v>-</v>
      </c>
      <c r="N170" s="204" t="str">
        <f>Inputs!N103</f>
        <v>-</v>
      </c>
      <c r="O170" s="204" t="str">
        <f>Inputs!O103</f>
        <v>-</v>
      </c>
      <c r="P170" s="204" t="str">
        <f>Inputs!P103</f>
        <v>-</v>
      </c>
      <c r="Q170" s="204" t="str">
        <f>Inputs!Q103</f>
        <v>-</v>
      </c>
      <c r="R170" s="204" t="str">
        <f>Inputs!R103</f>
        <v>-</v>
      </c>
      <c r="S170" s="204" t="str">
        <f>Inputs!S103</f>
        <v>-</v>
      </c>
      <c r="T170" s="204" t="str">
        <f>Inputs!T103</f>
        <v>-</v>
      </c>
      <c r="U170" s="204" t="str">
        <f>Inputs!U103</f>
        <v>-</v>
      </c>
      <c r="V170" s="204" t="str">
        <f>Inputs!V103</f>
        <v>-</v>
      </c>
      <c r="W170" s="204" t="str">
        <f>Inputs!W103</f>
        <v>-</v>
      </c>
      <c r="X170" s="204" t="str">
        <f>Inputs!X103</f>
        <v>-</v>
      </c>
      <c r="Y170" s="204" t="str">
        <f>Inputs!Y103</f>
        <v>-</v>
      </c>
      <c r="Z170" s="204" t="str">
        <f>Inputs!Z103</f>
        <v>-</v>
      </c>
      <c r="AA170" s="204" t="str">
        <f>Inputs!AA103</f>
        <v>-</v>
      </c>
      <c r="AB170" s="204" t="str">
        <f>Inputs!AB103</f>
        <v>-</v>
      </c>
      <c r="AC170" s="140"/>
    </row>
    <row r="171">
      <c r="A171" s="107"/>
      <c r="B171" s="108"/>
      <c r="C171" s="108"/>
      <c r="D171" s="108"/>
      <c r="E171" s="178" t="str">
        <f>HYPERLINK(buildUrl(CELL("address", Inputs!E104)), Inputs!E104)</f>
        <v>Serious adverse events due to side effects of treatment</v>
      </c>
      <c r="F171" s="154" t="str">
        <f>Inputs!F104</f>
        <v>%</v>
      </c>
      <c r="G171" s="179" t="str">
        <f>Inputs!G104</f>
        <v>input</v>
      </c>
      <c r="H171" s="195">
        <f>Inputs!H104</f>
        <v>-0.006</v>
      </c>
      <c r="I171" s="204" t="str">
        <f>Inputs!I104</f>
        <v>-</v>
      </c>
      <c r="J171" s="204" t="str">
        <f>Inputs!J104</f>
        <v>-</v>
      </c>
      <c r="K171" s="204" t="str">
        <f>Inputs!K104</f>
        <v>-</v>
      </c>
      <c r="L171" s="204" t="str">
        <f>Inputs!L104</f>
        <v>-</v>
      </c>
      <c r="M171" s="204" t="str">
        <f>Inputs!M104</f>
        <v>-</v>
      </c>
      <c r="N171" s="204" t="str">
        <f>Inputs!N104</f>
        <v>-</v>
      </c>
      <c r="O171" s="204" t="str">
        <f>Inputs!O104</f>
        <v>-</v>
      </c>
      <c r="P171" s="204" t="str">
        <f>Inputs!P104</f>
        <v>-</v>
      </c>
      <c r="Q171" s="204" t="str">
        <f>Inputs!Q104</f>
        <v>-</v>
      </c>
      <c r="R171" s="204" t="str">
        <f>Inputs!R104</f>
        <v>-</v>
      </c>
      <c r="S171" s="204" t="str">
        <f>Inputs!S104</f>
        <v>-</v>
      </c>
      <c r="T171" s="204" t="str">
        <f>Inputs!T104</f>
        <v>-</v>
      </c>
      <c r="U171" s="204" t="str">
        <f>Inputs!U104</f>
        <v>-</v>
      </c>
      <c r="V171" s="204" t="str">
        <f>Inputs!V104</f>
        <v>-</v>
      </c>
      <c r="W171" s="204" t="str">
        <f>Inputs!W104</f>
        <v>-</v>
      </c>
      <c r="X171" s="204" t="str">
        <f>Inputs!X104</f>
        <v>-</v>
      </c>
      <c r="Y171" s="204" t="str">
        <f>Inputs!Y104</f>
        <v>-</v>
      </c>
      <c r="Z171" s="204" t="str">
        <f>Inputs!Z104</f>
        <v>-</v>
      </c>
      <c r="AA171" s="204" t="str">
        <f>Inputs!AA104</f>
        <v>-</v>
      </c>
      <c r="AB171" s="204" t="str">
        <f>Inputs!AB104</f>
        <v>-</v>
      </c>
      <c r="AC171" s="140"/>
    </row>
    <row r="172">
      <c r="A172" s="107"/>
      <c r="B172" s="108"/>
      <c r="C172" s="108"/>
      <c r="D172" s="108"/>
      <c r="E172" s="178" t="str">
        <f>HYPERLINK(buildUrl(CELL("address", Inputs!E105)), Inputs!E105)</f>
        <v>Failure to ingest first day of treatment of SMC</v>
      </c>
      <c r="F172" s="154" t="str">
        <f>Inputs!F105</f>
        <v>%</v>
      </c>
      <c r="G172" s="179" t="str">
        <f>Inputs!G105</f>
        <v>input</v>
      </c>
      <c r="H172" s="195">
        <f>Inputs!H105</f>
        <v>-0.035</v>
      </c>
      <c r="I172" s="204" t="str">
        <f>Inputs!I105</f>
        <v>-</v>
      </c>
      <c r="J172" s="204" t="str">
        <f>Inputs!J105</f>
        <v>-</v>
      </c>
      <c r="K172" s="204" t="str">
        <f>Inputs!K105</f>
        <v>-</v>
      </c>
      <c r="L172" s="204" t="str">
        <f>Inputs!L105</f>
        <v>-</v>
      </c>
      <c r="M172" s="204" t="str">
        <f>Inputs!M105</f>
        <v>-</v>
      </c>
      <c r="N172" s="204" t="str">
        <f>Inputs!N105</f>
        <v>-</v>
      </c>
      <c r="O172" s="204" t="str">
        <f>Inputs!O105</f>
        <v>-</v>
      </c>
      <c r="P172" s="204" t="str">
        <f>Inputs!P105</f>
        <v>-</v>
      </c>
      <c r="Q172" s="204" t="str">
        <f>Inputs!Q105</f>
        <v>-</v>
      </c>
      <c r="R172" s="204" t="str">
        <f>Inputs!R105</f>
        <v>-</v>
      </c>
      <c r="S172" s="204" t="str">
        <f>Inputs!S105</f>
        <v>-</v>
      </c>
      <c r="T172" s="204" t="str">
        <f>Inputs!T105</f>
        <v>-</v>
      </c>
      <c r="U172" s="204" t="str">
        <f>Inputs!U105</f>
        <v>-</v>
      </c>
      <c r="V172" s="204" t="str">
        <f>Inputs!V105</f>
        <v>-</v>
      </c>
      <c r="W172" s="204" t="str">
        <f>Inputs!W105</f>
        <v>-</v>
      </c>
      <c r="X172" s="204" t="str">
        <f>Inputs!X105</f>
        <v>-</v>
      </c>
      <c r="Y172" s="204" t="str">
        <f>Inputs!Y105</f>
        <v>-</v>
      </c>
      <c r="Z172" s="204" t="str">
        <f>Inputs!Z105</f>
        <v>-</v>
      </c>
      <c r="AA172" s="204" t="str">
        <f>Inputs!AA105</f>
        <v>-</v>
      </c>
      <c r="AB172" s="204" t="str">
        <f>Inputs!AB105</f>
        <v>-</v>
      </c>
      <c r="AC172" s="140"/>
    </row>
    <row r="173">
      <c r="A173" s="107"/>
      <c r="B173" s="108"/>
      <c r="C173" s="108"/>
      <c r="D173" s="295" t="s">
        <v>211</v>
      </c>
      <c r="E173" s="30"/>
      <c r="F173" s="154"/>
      <c r="G173" s="179"/>
      <c r="H173" s="195"/>
      <c r="I173" s="204"/>
      <c r="J173" s="204"/>
      <c r="K173" s="204"/>
      <c r="L173" s="204"/>
      <c r="M173" s="204"/>
      <c r="N173" s="204"/>
      <c r="O173" s="204"/>
      <c r="P173" s="204"/>
      <c r="Q173" s="204"/>
      <c r="R173" s="204"/>
      <c r="S173" s="204"/>
      <c r="T173" s="204"/>
      <c r="U173" s="204"/>
      <c r="V173" s="204"/>
      <c r="W173" s="204"/>
      <c r="X173" s="204"/>
      <c r="Y173" s="204"/>
      <c r="Z173" s="204"/>
      <c r="AA173" s="204"/>
      <c r="AB173" s="204"/>
      <c r="AC173" s="140"/>
    </row>
    <row r="174">
      <c r="A174" s="107"/>
      <c r="B174" s="108"/>
      <c r="C174" s="108"/>
      <c r="D174" s="108"/>
      <c r="E174" s="178" t="str">
        <f>HYPERLINK(buildUrl(CELL("address", Inputs!E106)), Inputs!E106)</f>
        <v>Rebound effects / decreased immunity development</v>
      </c>
      <c r="F174" s="154" t="str">
        <f>Inputs!F106</f>
        <v>%</v>
      </c>
      <c r="G174" s="179" t="str">
        <f>Inputs!G106</f>
        <v>input</v>
      </c>
      <c r="H174" s="195">
        <f>Inputs!H106</f>
        <v>-0.04</v>
      </c>
      <c r="I174" s="204" t="str">
        <f>Inputs!I106</f>
        <v>-</v>
      </c>
      <c r="J174" s="204" t="str">
        <f>Inputs!J106</f>
        <v>-</v>
      </c>
      <c r="K174" s="204" t="str">
        <f>Inputs!K106</f>
        <v>-</v>
      </c>
      <c r="L174" s="204" t="str">
        <f>Inputs!L106</f>
        <v>-</v>
      </c>
      <c r="M174" s="204" t="str">
        <f>Inputs!M106</f>
        <v>-</v>
      </c>
      <c r="N174" s="204" t="str">
        <f>Inputs!N106</f>
        <v>-</v>
      </c>
      <c r="O174" s="204" t="str">
        <f>Inputs!O106</f>
        <v>-</v>
      </c>
      <c r="P174" s="204" t="str">
        <f>Inputs!P106</f>
        <v>-</v>
      </c>
      <c r="Q174" s="204" t="str">
        <f>Inputs!Q106</f>
        <v>-</v>
      </c>
      <c r="R174" s="204" t="str">
        <f>Inputs!R106</f>
        <v>-</v>
      </c>
      <c r="S174" s="204" t="str">
        <f>Inputs!S106</f>
        <v>-</v>
      </c>
      <c r="T174" s="204" t="str">
        <f>Inputs!T106</f>
        <v>-</v>
      </c>
      <c r="U174" s="204" t="str">
        <f>Inputs!U106</f>
        <v>-</v>
      </c>
      <c r="V174" s="204" t="str">
        <f>Inputs!V106</f>
        <v>-</v>
      </c>
      <c r="W174" s="204" t="str">
        <f>Inputs!W106</f>
        <v>-</v>
      </c>
      <c r="X174" s="204" t="str">
        <f>Inputs!X106</f>
        <v>-</v>
      </c>
      <c r="Y174" s="204" t="str">
        <f>Inputs!Y106</f>
        <v>-</v>
      </c>
      <c r="Z174" s="204" t="str">
        <f>Inputs!Z106</f>
        <v>-</v>
      </c>
      <c r="AA174" s="204" t="str">
        <f>Inputs!AA106</f>
        <v>-</v>
      </c>
      <c r="AB174" s="204" t="str">
        <f>Inputs!AB106</f>
        <v>-</v>
      </c>
      <c r="AC174" s="140"/>
    </row>
    <row r="175">
      <c r="A175" s="107"/>
      <c r="B175" s="108"/>
      <c r="C175" s="108"/>
      <c r="D175" s="108"/>
      <c r="E175" s="178" t="str">
        <f>HYPERLINK(buildUrl(CELL("address", Inputs!E107)), Inputs!E107)</f>
        <v>Drug resistance</v>
      </c>
      <c r="F175" s="154" t="str">
        <f>Inputs!F107</f>
        <v>%</v>
      </c>
      <c r="G175" s="179" t="str">
        <f>Inputs!G107</f>
        <v>input</v>
      </c>
      <c r="H175" s="195" t="str">
        <f>Inputs!H107</f>
        <v>-</v>
      </c>
      <c r="I175" s="204">
        <f>Inputs!I107</f>
        <v>-0.04</v>
      </c>
      <c r="J175" s="204">
        <f>Inputs!J107</f>
        <v>-0.04</v>
      </c>
      <c r="K175" s="204">
        <f>Inputs!K107</f>
        <v>-0.04</v>
      </c>
      <c r="L175" s="204">
        <f>Inputs!L107</f>
        <v>-0.2</v>
      </c>
      <c r="M175" s="204">
        <f>Inputs!M107</f>
        <v>-0.2</v>
      </c>
      <c r="N175" s="204">
        <f>Inputs!N107</f>
        <v>-0.2</v>
      </c>
      <c r="O175" s="204">
        <f>Inputs!O107</f>
        <v>-0.2</v>
      </c>
      <c r="P175" s="204">
        <f>Inputs!P107</f>
        <v>-0.2</v>
      </c>
      <c r="Q175" s="204">
        <f>Inputs!Q107</f>
        <v>-0.04</v>
      </c>
      <c r="R175" s="204">
        <f>Inputs!R107</f>
        <v>-0.04</v>
      </c>
      <c r="S175" s="204">
        <f>Inputs!S107</f>
        <v>-0.04</v>
      </c>
      <c r="T175" s="204">
        <f>Inputs!T107</f>
        <v>-0.04</v>
      </c>
      <c r="U175" s="204">
        <f>Inputs!U107</f>
        <v>-0.04</v>
      </c>
      <c r="V175" s="204">
        <f>Inputs!V107</f>
        <v>-0.04</v>
      </c>
      <c r="W175" s="204">
        <f>Inputs!W107</f>
        <v>-0.04</v>
      </c>
      <c r="X175" s="204">
        <f>Inputs!X107</f>
        <v>-0.04</v>
      </c>
      <c r="Y175" s="204">
        <f>Inputs!Y107</f>
        <v>-0.04</v>
      </c>
      <c r="Z175" s="204">
        <f>Inputs!Z107</f>
        <v>-0.04</v>
      </c>
      <c r="AA175" s="204">
        <f>Inputs!AA107</f>
        <v>-0.04</v>
      </c>
      <c r="AB175" s="204">
        <f>Inputs!AB107</f>
        <v>-0.2</v>
      </c>
      <c r="AC175" s="140"/>
    </row>
    <row r="176">
      <c r="A176" s="107"/>
      <c r="B176" s="108"/>
      <c r="C176" s="108"/>
      <c r="D176" s="108"/>
      <c r="E176" s="178" t="str">
        <f>HYPERLINK(buildUrl(CELL("address", Inputs!E108)), Inputs!E108)</f>
        <v>Subnational adjustments</v>
      </c>
      <c r="F176" s="154" t="str">
        <f>Inputs!F108</f>
        <v>%</v>
      </c>
      <c r="G176" s="179" t="str">
        <f>Inputs!G108</f>
        <v>input</v>
      </c>
      <c r="H176" s="195">
        <f>Inputs!H108</f>
        <v>0.032</v>
      </c>
      <c r="I176" s="204" t="str">
        <f>Inputs!I108</f>
        <v>-</v>
      </c>
      <c r="J176" s="204" t="str">
        <f>Inputs!J108</f>
        <v>-</v>
      </c>
      <c r="K176" s="204" t="str">
        <f>Inputs!K108</f>
        <v>-</v>
      </c>
      <c r="L176" s="204" t="str">
        <f>Inputs!L108</f>
        <v>-</v>
      </c>
      <c r="M176" s="204" t="str">
        <f>Inputs!M108</f>
        <v>-</v>
      </c>
      <c r="N176" s="204" t="str">
        <f>Inputs!N108</f>
        <v>-</v>
      </c>
      <c r="O176" s="204" t="str">
        <f>Inputs!O108</f>
        <v>-</v>
      </c>
      <c r="P176" s="204" t="str">
        <f>Inputs!P108</f>
        <v>-</v>
      </c>
      <c r="Q176" s="204" t="str">
        <f>Inputs!Q108</f>
        <v>-</v>
      </c>
      <c r="R176" s="204" t="str">
        <f>Inputs!R108</f>
        <v>-</v>
      </c>
      <c r="S176" s="204" t="str">
        <f>Inputs!S108</f>
        <v>-</v>
      </c>
      <c r="T176" s="204" t="str">
        <f>Inputs!T108</f>
        <v>-</v>
      </c>
      <c r="U176" s="204" t="str">
        <f>Inputs!U108</f>
        <v>-</v>
      </c>
      <c r="V176" s="204" t="str">
        <f>Inputs!V108</f>
        <v>-</v>
      </c>
      <c r="W176" s="204" t="str">
        <f>Inputs!W108</f>
        <v>-</v>
      </c>
      <c r="X176" s="204" t="str">
        <f>Inputs!X108</f>
        <v>-</v>
      </c>
      <c r="Y176" s="204" t="str">
        <f>Inputs!Y108</f>
        <v>-</v>
      </c>
      <c r="Z176" s="204" t="str">
        <f>Inputs!Z108</f>
        <v>-</v>
      </c>
      <c r="AA176" s="204" t="str">
        <f>Inputs!AA108</f>
        <v>-</v>
      </c>
      <c r="AB176" s="204" t="str">
        <f>Inputs!AB108</f>
        <v>-</v>
      </c>
      <c r="AC176" s="140"/>
    </row>
    <row r="177">
      <c r="A177" s="107"/>
      <c r="B177" s="108"/>
      <c r="C177" s="108"/>
      <c r="D177" s="108"/>
      <c r="E177" s="178" t="str">
        <f>HYPERLINK(buildUrl(CELL("address", Inputs!E109)), Inputs!E109)</f>
        <v>Marginal funding goes to lower priority areas</v>
      </c>
      <c r="F177" s="154" t="str">
        <f>Inputs!F109</f>
        <v>%</v>
      </c>
      <c r="G177" s="179" t="str">
        <f>Inputs!G109</f>
        <v>input</v>
      </c>
      <c r="H177" s="195" t="str">
        <f>Inputs!H109</f>
        <v>-</v>
      </c>
      <c r="I177" s="204">
        <f>Inputs!I109</f>
        <v>-0.15</v>
      </c>
      <c r="J177" s="204">
        <f>Inputs!J109</f>
        <v>-0.1</v>
      </c>
      <c r="K177" s="204">
        <f>Inputs!K109</f>
        <v>-0.2</v>
      </c>
      <c r="L177" s="204">
        <f>Inputs!L109</f>
        <v>0</v>
      </c>
      <c r="M177" s="204">
        <f>Inputs!M109</f>
        <v>0</v>
      </c>
      <c r="N177" s="204">
        <f>Inputs!N109</f>
        <v>0</v>
      </c>
      <c r="O177" s="204">
        <f>Inputs!O109</f>
        <v>0</v>
      </c>
      <c r="P177" s="204">
        <f>Inputs!P109</f>
        <v>0</v>
      </c>
      <c r="Q177" s="204">
        <f>Inputs!Q109</f>
        <v>0</v>
      </c>
      <c r="R177" s="204">
        <f>Inputs!R109</f>
        <v>0</v>
      </c>
      <c r="S177" s="204">
        <f>Inputs!S109</f>
        <v>0</v>
      </c>
      <c r="T177" s="204">
        <f>Inputs!T109</f>
        <v>0</v>
      </c>
      <c r="U177" s="204">
        <f>Inputs!U109</f>
        <v>0</v>
      </c>
      <c r="V177" s="204">
        <f>Inputs!V109</f>
        <v>0</v>
      </c>
      <c r="W177" s="204">
        <f>Inputs!W109</f>
        <v>0</v>
      </c>
      <c r="X177" s="204">
        <f>Inputs!X109</f>
        <v>0</v>
      </c>
      <c r="Y177" s="204">
        <f>Inputs!Y109</f>
        <v>0</v>
      </c>
      <c r="Z177" s="204">
        <f>Inputs!Z109</f>
        <v>0</v>
      </c>
      <c r="AA177" s="204">
        <f>Inputs!AA109</f>
        <v>-0.05</v>
      </c>
      <c r="AB177" s="204">
        <f>Inputs!AB109</f>
        <v>0</v>
      </c>
      <c r="AC177" s="140"/>
    </row>
    <row r="178">
      <c r="A178" s="107"/>
      <c r="B178" s="108"/>
      <c r="C178" s="108"/>
      <c r="D178" s="300"/>
      <c r="E178" s="124"/>
      <c r="F178" s="125"/>
      <c r="G178" s="148"/>
      <c r="H178" s="278"/>
      <c r="I178" s="117"/>
      <c r="J178" s="117"/>
      <c r="K178" s="117"/>
      <c r="L178" s="117"/>
      <c r="M178" s="117"/>
      <c r="N178" s="117"/>
      <c r="O178" s="117"/>
      <c r="P178" s="117"/>
      <c r="Q178" s="117"/>
      <c r="R178" s="117"/>
      <c r="S178" s="117"/>
      <c r="T178" s="117"/>
      <c r="U178" s="117"/>
      <c r="V178" s="117"/>
      <c r="W178" s="117"/>
      <c r="X178" s="117"/>
      <c r="Y178" s="117"/>
      <c r="Z178" s="117"/>
      <c r="AA178" s="117"/>
      <c r="AB178" s="117"/>
      <c r="AC178" s="200"/>
    </row>
    <row r="179">
      <c r="A179" s="107"/>
      <c r="B179" s="108"/>
      <c r="C179" s="108"/>
      <c r="D179" s="301" t="s">
        <v>212</v>
      </c>
      <c r="E179" s="37"/>
      <c r="F179" s="119" t="s">
        <v>59</v>
      </c>
      <c r="G179" s="149" t="s">
        <v>70</v>
      </c>
      <c r="H179" s="150" t="s">
        <v>132</v>
      </c>
      <c r="I179" s="304">
        <f t="shared" ref="I179:AB179" si="54">SUM($H167:$H178,I167:I178)</f>
        <v>0.191</v>
      </c>
      <c r="J179" s="304">
        <f t="shared" si="54"/>
        <v>0.241</v>
      </c>
      <c r="K179" s="304">
        <f t="shared" si="54"/>
        <v>0.141</v>
      </c>
      <c r="L179" s="304">
        <f t="shared" si="54"/>
        <v>0.181</v>
      </c>
      <c r="M179" s="304">
        <f t="shared" si="54"/>
        <v>0.181</v>
      </c>
      <c r="N179" s="304">
        <f t="shared" si="54"/>
        <v>0.181</v>
      </c>
      <c r="O179" s="304">
        <f t="shared" si="54"/>
        <v>0.181</v>
      </c>
      <c r="P179" s="304">
        <f t="shared" si="54"/>
        <v>0.181</v>
      </c>
      <c r="Q179" s="304">
        <f t="shared" si="54"/>
        <v>0.341</v>
      </c>
      <c r="R179" s="304">
        <f t="shared" si="54"/>
        <v>0.341</v>
      </c>
      <c r="S179" s="304">
        <f t="shared" si="54"/>
        <v>0.341</v>
      </c>
      <c r="T179" s="304">
        <f t="shared" si="54"/>
        <v>0.341</v>
      </c>
      <c r="U179" s="304">
        <f t="shared" si="54"/>
        <v>0.341</v>
      </c>
      <c r="V179" s="304">
        <f t="shared" si="54"/>
        <v>0.341</v>
      </c>
      <c r="W179" s="304">
        <f t="shared" si="54"/>
        <v>0.341</v>
      </c>
      <c r="X179" s="304">
        <f t="shared" si="54"/>
        <v>0.341</v>
      </c>
      <c r="Y179" s="304">
        <f t="shared" si="54"/>
        <v>0.341</v>
      </c>
      <c r="Z179" s="304">
        <f t="shared" si="54"/>
        <v>0.341</v>
      </c>
      <c r="AA179" s="304">
        <f t="shared" si="54"/>
        <v>0.291</v>
      </c>
      <c r="AB179" s="304">
        <f t="shared" si="54"/>
        <v>0.181</v>
      </c>
      <c r="AC179" s="123"/>
    </row>
    <row r="180">
      <c r="A180" s="107"/>
      <c r="B180" s="108"/>
      <c r="C180" s="108"/>
      <c r="D180" s="108"/>
      <c r="E180" s="109"/>
      <c r="F180" s="305"/>
      <c r="G180" s="111"/>
      <c r="H180" s="112"/>
      <c r="I180" s="117"/>
      <c r="J180" s="117"/>
      <c r="K180" s="117"/>
      <c r="L180" s="117"/>
      <c r="M180" s="117"/>
      <c r="N180" s="117"/>
      <c r="O180" s="117"/>
      <c r="P180" s="117"/>
      <c r="Q180" s="117"/>
      <c r="R180" s="117"/>
      <c r="S180" s="117"/>
      <c r="T180" s="117"/>
      <c r="U180" s="117"/>
      <c r="V180" s="117"/>
      <c r="W180" s="117"/>
      <c r="X180" s="117"/>
      <c r="Y180" s="117"/>
      <c r="Z180" s="117"/>
      <c r="AA180" s="117"/>
      <c r="AB180" s="117"/>
      <c r="AC180" s="114"/>
    </row>
    <row r="181">
      <c r="A181" s="107"/>
      <c r="B181" s="108"/>
      <c r="C181" s="152" t="s">
        <v>213</v>
      </c>
      <c r="F181" s="305"/>
      <c r="G181" s="111"/>
      <c r="H181" s="112"/>
      <c r="I181" s="117"/>
      <c r="J181" s="117"/>
      <c r="K181" s="117"/>
      <c r="L181" s="117"/>
      <c r="M181" s="117"/>
      <c r="N181" s="117"/>
      <c r="O181" s="117"/>
      <c r="P181" s="117"/>
      <c r="Q181" s="117"/>
      <c r="R181" s="117"/>
      <c r="S181" s="117"/>
      <c r="T181" s="117"/>
      <c r="U181" s="117"/>
      <c r="V181" s="117"/>
      <c r="W181" s="117"/>
      <c r="X181" s="117"/>
      <c r="Y181" s="117"/>
      <c r="Z181" s="117"/>
      <c r="AA181" s="117"/>
      <c r="AB181" s="117"/>
      <c r="AC181" s="114"/>
    </row>
    <row r="182">
      <c r="A182" s="107"/>
      <c r="B182" s="108"/>
      <c r="C182" s="108"/>
      <c r="D182" s="108"/>
      <c r="E182" s="178" t="str">
        <f>HYPERLINK(buildUrl(CELL("address", LeverageFunging!E111)), LeverageFunging!E111)</f>
        <v>Adjustment for the possibility of crowding funding into the program (leverage)</v>
      </c>
      <c r="F182" s="154" t="str">
        <f>LeverageFunging!F111</f>
        <v>%</v>
      </c>
      <c r="G182" s="179" t="s">
        <v>72</v>
      </c>
      <c r="H182" s="132" t="str">
        <f>LeverageFunging!H111</f>
        <v>-</v>
      </c>
      <c r="I182" s="133">
        <f>LeverageFunging!I111</f>
        <v>-0.004005444451</v>
      </c>
      <c r="J182" s="133">
        <f>LeverageFunging!J111</f>
        <v>-0.005978161521</v>
      </c>
      <c r="K182" s="133">
        <f>LeverageFunging!K111</f>
        <v>-0.008251293564</v>
      </c>
      <c r="L182" s="133">
        <f>LeverageFunging!L111</f>
        <v>-0.01325496647</v>
      </c>
      <c r="M182" s="133">
        <f>LeverageFunging!M111</f>
        <v>-0.01201759933</v>
      </c>
      <c r="N182" s="133">
        <f>LeverageFunging!N111</f>
        <v>-0.01101204018</v>
      </c>
      <c r="O182" s="133">
        <f>LeverageFunging!O111</f>
        <v>-0.01045530457</v>
      </c>
      <c r="P182" s="133">
        <f>LeverageFunging!P111</f>
        <v>-0.01033457603</v>
      </c>
      <c r="Q182" s="133">
        <f>LeverageFunging!Q111</f>
        <v>-0.002334426295</v>
      </c>
      <c r="R182" s="133">
        <f>LeverageFunging!R111</f>
        <v>-0.002607870542</v>
      </c>
      <c r="S182" s="133">
        <f>LeverageFunging!S111</f>
        <v>-0.01006406082</v>
      </c>
      <c r="T182" s="133">
        <f>LeverageFunging!T111</f>
        <v>-0.001873480249</v>
      </c>
      <c r="U182" s="133">
        <f>LeverageFunging!U111</f>
        <v>-0.005250946615</v>
      </c>
      <c r="V182" s="133">
        <f>LeverageFunging!V111</f>
        <v>-0.00440740143</v>
      </c>
      <c r="W182" s="133">
        <f>LeverageFunging!W111</f>
        <v>-0.007231344834</v>
      </c>
      <c r="X182" s="133">
        <f>LeverageFunging!X111</f>
        <v>-0.004664506279</v>
      </c>
      <c r="Y182" s="133">
        <f>LeverageFunging!Y111</f>
        <v>-0.002061582971</v>
      </c>
      <c r="Z182" s="133">
        <f>LeverageFunging!Z111</f>
        <v>-0.02198909007</v>
      </c>
      <c r="AA182" s="133">
        <f>LeverageFunging!AA111</f>
        <v>-0.00428173624</v>
      </c>
      <c r="AB182" s="133">
        <f>LeverageFunging!AB111</f>
        <v>-0.01284532724</v>
      </c>
      <c r="AC182" s="211"/>
    </row>
    <row r="183">
      <c r="A183" s="107"/>
      <c r="B183" s="108"/>
      <c r="C183" s="108"/>
      <c r="D183" s="108"/>
      <c r="E183" s="201" t="str">
        <f>HYPERLINK(buildUrl(CELL("address", LeverageFunging!E112)), LeverageFunging!E112)</f>
        <v>Adjustment for the possibility of crowding funding out of the program (funging)</v>
      </c>
      <c r="F183" s="159" t="str">
        <f>LeverageFunging!F112</f>
        <v>%</v>
      </c>
      <c r="G183" s="212" t="s">
        <v>72</v>
      </c>
      <c r="H183" s="138" t="str">
        <f>LeverageFunging!H112</f>
        <v>-</v>
      </c>
      <c r="I183" s="139">
        <f>LeverageFunging!I112</f>
        <v>-0.3963757375</v>
      </c>
      <c r="J183" s="139">
        <f>LeverageFunging!J112</f>
        <v>-0.2278305143</v>
      </c>
      <c r="K183" s="139">
        <f>LeverageFunging!K112</f>
        <v>-0.2369353924</v>
      </c>
      <c r="L183" s="139">
        <f>LeverageFunging!L112</f>
        <v>-0.08945215206</v>
      </c>
      <c r="M183" s="139">
        <f>LeverageFunging!M112</f>
        <v>-0.09510436685</v>
      </c>
      <c r="N183" s="139">
        <f>LeverageFunging!N112</f>
        <v>-0.09969769741</v>
      </c>
      <c r="O183" s="139">
        <f>LeverageFunging!O112</f>
        <v>-0.1022408304</v>
      </c>
      <c r="P183" s="139">
        <f>LeverageFunging!P112</f>
        <v>-0.206034612</v>
      </c>
      <c r="Q183" s="139">
        <f>LeverageFunging!Q112</f>
        <v>-0.1849016011</v>
      </c>
      <c r="R183" s="139">
        <f>LeverageFunging!R112</f>
        <v>-0.09250357399</v>
      </c>
      <c r="S183" s="139">
        <f>LeverageFunging!S112</f>
        <v>-0.07107046302</v>
      </c>
      <c r="T183" s="139">
        <f>LeverageFunging!T112</f>
        <v>-0.1878828672</v>
      </c>
      <c r="U183" s="139">
        <f>LeverageFunging!U112</f>
        <v>-0.0849059483</v>
      </c>
      <c r="V183" s="139">
        <f>LeverageFunging!V112</f>
        <v>-0.1714941919</v>
      </c>
      <c r="W183" s="139">
        <f>LeverageFunging!W112</f>
        <v>-0.1532297361</v>
      </c>
      <c r="X183" s="139">
        <f>LeverageFunging!X112</f>
        <v>-0.1698313115</v>
      </c>
      <c r="Y183" s="139">
        <f>LeverageFunging!Y112</f>
        <v>-0.1866662728</v>
      </c>
      <c r="Z183" s="139">
        <f>LeverageFunging!Z112</f>
        <v>-0.0241459097</v>
      </c>
      <c r="AA183" s="139">
        <f>LeverageFunging!AA112</f>
        <v>-0.444167965</v>
      </c>
      <c r="AB183" s="139">
        <f>LeverageFunging!AB112</f>
        <v>-0.1811723527</v>
      </c>
      <c r="AC183" s="215"/>
    </row>
    <row r="184">
      <c r="A184" s="107"/>
      <c r="B184" s="108"/>
      <c r="C184" s="108"/>
      <c r="D184" s="108"/>
      <c r="E184" s="124"/>
      <c r="F184" s="125"/>
      <c r="G184" s="148"/>
      <c r="H184" s="112"/>
      <c r="I184" s="291"/>
      <c r="J184" s="291"/>
      <c r="K184" s="291"/>
      <c r="L184" s="291"/>
      <c r="M184" s="291"/>
      <c r="N184" s="291"/>
      <c r="O184" s="291"/>
      <c r="P184" s="291"/>
      <c r="Q184" s="291"/>
      <c r="R184" s="291"/>
      <c r="S184" s="291"/>
      <c r="T184" s="291"/>
      <c r="U184" s="291"/>
      <c r="V184" s="291"/>
      <c r="W184" s="291"/>
      <c r="X184" s="291"/>
      <c r="Y184" s="291"/>
      <c r="Z184" s="291"/>
      <c r="AA184" s="291"/>
      <c r="AB184" s="291"/>
      <c r="AC184" s="114"/>
    </row>
    <row r="185">
      <c r="A185" s="107"/>
      <c r="B185" s="108"/>
      <c r="C185" s="108"/>
      <c r="D185" s="118" t="s">
        <v>214</v>
      </c>
      <c r="E185" s="37"/>
      <c r="F185" s="119" t="s">
        <v>59</v>
      </c>
      <c r="G185" s="149" t="s">
        <v>70</v>
      </c>
      <c r="H185" s="306" t="str">
        <f>LeverageFunging!H113</f>
        <v>-</v>
      </c>
      <c r="I185" s="304">
        <f>LeverageFunging!I113</f>
        <v>-0.4003811819</v>
      </c>
      <c r="J185" s="304">
        <f>LeverageFunging!J113</f>
        <v>-0.2338086758</v>
      </c>
      <c r="K185" s="304">
        <f>LeverageFunging!K113</f>
        <v>-0.2451866859</v>
      </c>
      <c r="L185" s="304">
        <f>LeverageFunging!L113</f>
        <v>-0.1027071185</v>
      </c>
      <c r="M185" s="304">
        <f>LeverageFunging!M113</f>
        <v>-0.1071219662</v>
      </c>
      <c r="N185" s="304">
        <f>LeverageFunging!N113</f>
        <v>-0.1107097376</v>
      </c>
      <c r="O185" s="304">
        <f>LeverageFunging!O113</f>
        <v>-0.112696135</v>
      </c>
      <c r="P185" s="304">
        <f>LeverageFunging!P113</f>
        <v>-0.2163691881</v>
      </c>
      <c r="Q185" s="304">
        <f>LeverageFunging!Q113</f>
        <v>-0.1872360274</v>
      </c>
      <c r="R185" s="304">
        <f>LeverageFunging!R113</f>
        <v>-0.09511144453</v>
      </c>
      <c r="S185" s="304">
        <f>LeverageFunging!S113</f>
        <v>-0.08113452384</v>
      </c>
      <c r="T185" s="304">
        <f>LeverageFunging!T113</f>
        <v>-0.1897563475</v>
      </c>
      <c r="U185" s="304">
        <f>LeverageFunging!U113</f>
        <v>-0.09015689492</v>
      </c>
      <c r="V185" s="304">
        <f>LeverageFunging!V113</f>
        <v>-0.1759015934</v>
      </c>
      <c r="W185" s="304">
        <f>LeverageFunging!W113</f>
        <v>-0.160461081</v>
      </c>
      <c r="X185" s="304">
        <f>LeverageFunging!X113</f>
        <v>-0.1744958178</v>
      </c>
      <c r="Y185" s="304">
        <f>LeverageFunging!Y113</f>
        <v>-0.1887278557</v>
      </c>
      <c r="Z185" s="304">
        <f>LeverageFunging!Z113</f>
        <v>-0.04613499977</v>
      </c>
      <c r="AA185" s="304">
        <f>LeverageFunging!AA113</f>
        <v>-0.4484497013</v>
      </c>
      <c r="AB185" s="304">
        <f>LeverageFunging!AB113</f>
        <v>-0.19401768</v>
      </c>
      <c r="AC185" s="307"/>
    </row>
    <row r="186">
      <c r="A186" s="107"/>
      <c r="B186" s="108"/>
      <c r="C186" s="108"/>
      <c r="D186" s="108"/>
      <c r="E186" s="109"/>
      <c r="F186" s="305"/>
      <c r="G186" s="111"/>
      <c r="H186" s="112"/>
      <c r="I186" s="117"/>
      <c r="J186" s="117"/>
      <c r="K186" s="117"/>
      <c r="L186" s="117"/>
      <c r="M186" s="117"/>
      <c r="N186" s="117"/>
      <c r="O186" s="117"/>
      <c r="P186" s="117"/>
      <c r="Q186" s="117"/>
      <c r="R186" s="117"/>
      <c r="S186" s="117"/>
      <c r="T186" s="117"/>
      <c r="U186" s="117"/>
      <c r="V186" s="117"/>
      <c r="W186" s="117"/>
      <c r="X186" s="117"/>
      <c r="Y186" s="117"/>
      <c r="Z186" s="117"/>
      <c r="AA186" s="117"/>
      <c r="AB186" s="117"/>
      <c r="AC186" s="114"/>
    </row>
    <row r="187">
      <c r="A187" s="103" t="s">
        <v>215</v>
      </c>
      <c r="B187" s="6"/>
      <c r="C187" s="6"/>
      <c r="D187" s="6"/>
      <c r="E187" s="6"/>
      <c r="F187" s="6"/>
      <c r="G187" s="6"/>
      <c r="H187" s="104"/>
      <c r="I187" s="264"/>
      <c r="J187" s="264"/>
      <c r="K187" s="264"/>
      <c r="L187" s="264"/>
      <c r="M187" s="264"/>
      <c r="N187" s="264"/>
      <c r="O187" s="264"/>
      <c r="P187" s="264"/>
      <c r="Q187" s="264"/>
      <c r="R187" s="264"/>
      <c r="S187" s="264"/>
      <c r="T187" s="264"/>
      <c r="U187" s="264"/>
      <c r="V187" s="264"/>
      <c r="W187" s="264"/>
      <c r="X187" s="264"/>
      <c r="Y187" s="264"/>
      <c r="Z187" s="264"/>
      <c r="AA187" s="264"/>
      <c r="AB187" s="264"/>
      <c r="AC187" s="106"/>
    </row>
    <row r="188">
      <c r="A188" s="107"/>
      <c r="B188" s="108"/>
      <c r="C188" s="108"/>
      <c r="D188" s="108"/>
      <c r="E188" s="109"/>
      <c r="F188" s="305"/>
      <c r="G188" s="111"/>
      <c r="H188" s="112"/>
      <c r="I188" s="117"/>
      <c r="J188" s="117"/>
      <c r="K188" s="117"/>
      <c r="L188" s="117"/>
      <c r="M188" s="117"/>
      <c r="N188" s="117"/>
      <c r="O188" s="117"/>
      <c r="P188" s="117"/>
      <c r="Q188" s="117"/>
      <c r="R188" s="117"/>
      <c r="S188" s="117"/>
      <c r="T188" s="117"/>
      <c r="U188" s="117"/>
      <c r="V188" s="117"/>
      <c r="W188" s="117"/>
      <c r="X188" s="117"/>
      <c r="Y188" s="117"/>
      <c r="Z188" s="117"/>
      <c r="AA188" s="117"/>
      <c r="AB188" s="117"/>
      <c r="AC188" s="114"/>
    </row>
    <row r="189">
      <c r="A189" s="107"/>
      <c r="B189" s="108"/>
      <c r="C189" s="40" t="s">
        <v>216</v>
      </c>
      <c r="F189" s="125"/>
      <c r="G189" s="308"/>
      <c r="H189" s="271"/>
      <c r="I189" s="269"/>
      <c r="J189" s="269"/>
      <c r="K189" s="269"/>
      <c r="L189" s="269"/>
      <c r="M189" s="269"/>
      <c r="N189" s="269"/>
      <c r="O189" s="269"/>
      <c r="P189" s="272"/>
      <c r="Q189" s="272"/>
      <c r="R189" s="272"/>
      <c r="S189" s="272"/>
      <c r="T189" s="272"/>
      <c r="U189" s="272"/>
      <c r="V189" s="272"/>
      <c r="W189" s="272"/>
      <c r="X189" s="272"/>
      <c r="Y189" s="272"/>
      <c r="Z189" s="272"/>
      <c r="AA189" s="272"/>
      <c r="AB189" s="272"/>
      <c r="AC189" s="114"/>
    </row>
    <row r="190">
      <c r="A190" s="107"/>
      <c r="B190" s="108"/>
      <c r="C190" s="10"/>
      <c r="D190" s="108"/>
      <c r="E190" s="178" t="str">
        <f>HYPERLINK(buildUrl(CELL("address", LeverageFunging!E108)), LeverageFunging!E108)</f>
        <v>Total value generated by grantee spending after adjusting for leverage and funging</v>
      </c>
      <c r="F190" s="154" t="str">
        <f>LeverageFunging!F108</f>
        <v>UOV</v>
      </c>
      <c r="G190" s="309" t="s">
        <v>72</v>
      </c>
      <c r="H190" s="281" t="str">
        <f>LeverageFunging!H108</f>
        <v>-</v>
      </c>
      <c r="I190" s="277">
        <f t="shared" ref="I190:AB190" si="55">I133*(1+$H163)*(1+I179)*(1+I185)</f>
        <v>0.0004465130556</v>
      </c>
      <c r="J190" s="277">
        <f t="shared" si="55"/>
        <v>0.0004915358864</v>
      </c>
      <c r="K190" s="277">
        <f t="shared" si="55"/>
        <v>0.0002857525994</v>
      </c>
      <c r="L190" s="277">
        <f t="shared" si="55"/>
        <v>0.0003430655633</v>
      </c>
      <c r="M190" s="277">
        <f t="shared" si="55"/>
        <v>0.0003765268539</v>
      </c>
      <c r="N190" s="277">
        <f t="shared" si="55"/>
        <v>0.0004092581029</v>
      </c>
      <c r="O190" s="277">
        <f t="shared" si="55"/>
        <v>0.0004300878973</v>
      </c>
      <c r="P190" s="277">
        <f t="shared" si="55"/>
        <v>513262.0024</v>
      </c>
      <c r="Q190" s="277">
        <f t="shared" si="55"/>
        <v>0.001661551856</v>
      </c>
      <c r="R190" s="277">
        <f t="shared" si="55"/>
        <v>0.001862907078</v>
      </c>
      <c r="S190" s="277">
        <f t="shared" si="55"/>
        <v>0.0004901858921</v>
      </c>
      <c r="T190" s="277">
        <f t="shared" si="55"/>
        <v>0.002063935504</v>
      </c>
      <c r="U190" s="277">
        <f t="shared" si="55"/>
        <v>0.0009302743174</v>
      </c>
      <c r="V190" s="277">
        <f t="shared" si="55"/>
        <v>0.0008923311826</v>
      </c>
      <c r="W190" s="277">
        <f t="shared" si="55"/>
        <v>0.0005540530699</v>
      </c>
      <c r="X190" s="277">
        <f t="shared" si="55"/>
        <v>0.0008445846798</v>
      </c>
      <c r="Y190" s="277">
        <f t="shared" si="55"/>
        <v>0.00187799897</v>
      </c>
      <c r="Z190" s="277">
        <f t="shared" si="55"/>
        <v>0.0001754531598</v>
      </c>
      <c r="AA190" s="277">
        <f t="shared" si="55"/>
        <v>0.000268804088</v>
      </c>
      <c r="AB190" s="277">
        <f t="shared" si="55"/>
        <v>0.000227370267</v>
      </c>
      <c r="AC190" s="211"/>
    </row>
    <row r="191">
      <c r="A191" s="107"/>
      <c r="B191" s="108"/>
      <c r="C191" s="108"/>
      <c r="D191" s="108"/>
      <c r="E191" s="178" t="str">
        <f>HYPERLINK(buildUrl(CELL("address", E19)), E19)</f>
        <v>Total spending contributed by grantee</v>
      </c>
      <c r="F191" s="154" t="str">
        <f>F19</f>
        <v>$</v>
      </c>
      <c r="G191" s="179" t="s">
        <v>76</v>
      </c>
      <c r="H191" s="310" t="str">
        <f t="shared" ref="H191:AB191" si="56">H19</f>
        <v>-</v>
      </c>
      <c r="I191" s="285">
        <f t="shared" si="56"/>
        <v>0.01</v>
      </c>
      <c r="J191" s="285">
        <f t="shared" si="56"/>
        <v>0.01</v>
      </c>
      <c r="K191" s="285">
        <f t="shared" si="56"/>
        <v>0.01</v>
      </c>
      <c r="L191" s="285">
        <f t="shared" si="56"/>
        <v>0.01</v>
      </c>
      <c r="M191" s="285">
        <f t="shared" si="56"/>
        <v>0.01</v>
      </c>
      <c r="N191" s="285">
        <f t="shared" si="56"/>
        <v>0.01</v>
      </c>
      <c r="O191" s="285">
        <f t="shared" si="56"/>
        <v>0.01</v>
      </c>
      <c r="P191" s="285">
        <f t="shared" si="56"/>
        <v>17456907.13</v>
      </c>
      <c r="Q191" s="285">
        <f t="shared" si="56"/>
        <v>0.01</v>
      </c>
      <c r="R191" s="285">
        <f t="shared" si="56"/>
        <v>0.01</v>
      </c>
      <c r="S191" s="285">
        <f t="shared" si="56"/>
        <v>0.01</v>
      </c>
      <c r="T191" s="285">
        <f t="shared" si="56"/>
        <v>0.01</v>
      </c>
      <c r="U191" s="285">
        <f t="shared" si="56"/>
        <v>0.01</v>
      </c>
      <c r="V191" s="285">
        <f t="shared" si="56"/>
        <v>0.01</v>
      </c>
      <c r="W191" s="285">
        <f t="shared" si="56"/>
        <v>0.01</v>
      </c>
      <c r="X191" s="285">
        <f t="shared" si="56"/>
        <v>0.01</v>
      </c>
      <c r="Y191" s="285">
        <f t="shared" si="56"/>
        <v>0.01</v>
      </c>
      <c r="Z191" s="285">
        <f t="shared" si="56"/>
        <v>0.01</v>
      </c>
      <c r="AA191" s="285">
        <f t="shared" si="56"/>
        <v>0.01</v>
      </c>
      <c r="AB191" s="285">
        <f t="shared" si="56"/>
        <v>0.01</v>
      </c>
      <c r="AC191" s="211"/>
    </row>
    <row r="192">
      <c r="A192" s="107"/>
      <c r="B192" s="108"/>
      <c r="C192" s="108"/>
      <c r="D192" s="108"/>
      <c r="E192" s="201" t="s">
        <v>217</v>
      </c>
      <c r="F192" s="159" t="s">
        <v>63</v>
      </c>
      <c r="G192" s="212" t="s">
        <v>70</v>
      </c>
      <c r="H192" s="311" t="s">
        <v>132</v>
      </c>
      <c r="I192" s="312">
        <f t="shared" ref="I192:AB192" si="57">I190/I191</f>
        <v>0.04465130556</v>
      </c>
      <c r="J192" s="312">
        <f t="shared" si="57"/>
        <v>0.04915358864</v>
      </c>
      <c r="K192" s="312">
        <f t="shared" si="57"/>
        <v>0.02857525994</v>
      </c>
      <c r="L192" s="312">
        <f t="shared" si="57"/>
        <v>0.03430655633</v>
      </c>
      <c r="M192" s="312">
        <f t="shared" si="57"/>
        <v>0.03765268539</v>
      </c>
      <c r="N192" s="312">
        <f t="shared" si="57"/>
        <v>0.04092581029</v>
      </c>
      <c r="O192" s="312">
        <f t="shared" si="57"/>
        <v>0.04300878973</v>
      </c>
      <c r="P192" s="312">
        <f t="shared" si="57"/>
        <v>0.02940165738</v>
      </c>
      <c r="Q192" s="312">
        <f t="shared" si="57"/>
        <v>0.1661551856</v>
      </c>
      <c r="R192" s="312">
        <f t="shared" si="57"/>
        <v>0.1862907078</v>
      </c>
      <c r="S192" s="312">
        <f t="shared" si="57"/>
        <v>0.04901858921</v>
      </c>
      <c r="T192" s="312">
        <f t="shared" si="57"/>
        <v>0.2063935504</v>
      </c>
      <c r="U192" s="312">
        <f t="shared" si="57"/>
        <v>0.09302743174</v>
      </c>
      <c r="V192" s="312">
        <f t="shared" si="57"/>
        <v>0.08923311826</v>
      </c>
      <c r="W192" s="312">
        <f t="shared" si="57"/>
        <v>0.05540530699</v>
      </c>
      <c r="X192" s="312">
        <f t="shared" si="57"/>
        <v>0.08445846798</v>
      </c>
      <c r="Y192" s="312">
        <f t="shared" si="57"/>
        <v>0.187799897</v>
      </c>
      <c r="Z192" s="312">
        <f t="shared" si="57"/>
        <v>0.01754531598</v>
      </c>
      <c r="AA192" s="312">
        <f t="shared" si="57"/>
        <v>0.0268804088</v>
      </c>
      <c r="AB192" s="312">
        <f t="shared" si="57"/>
        <v>0.0227370267</v>
      </c>
      <c r="AC192" s="215"/>
    </row>
    <row r="193">
      <c r="A193" s="107"/>
      <c r="B193" s="108"/>
      <c r="C193" s="108"/>
      <c r="D193" s="108"/>
      <c r="E193" s="313" t="s">
        <v>218</v>
      </c>
      <c r="F193" s="314" t="s">
        <v>65</v>
      </c>
      <c r="G193" s="315" t="s">
        <v>70</v>
      </c>
      <c r="H193" s="316" t="s">
        <v>132</v>
      </c>
      <c r="I193" s="317">
        <f t="shared" ref="I193:AB193" si="58">I192/$H135</f>
        <v>13.31086766</v>
      </c>
      <c r="J193" s="317">
        <f t="shared" si="58"/>
        <v>14.65302985</v>
      </c>
      <c r="K193" s="317">
        <f t="shared" si="58"/>
        <v>8.518485599</v>
      </c>
      <c r="L193" s="317">
        <f t="shared" si="58"/>
        <v>10.22702529</v>
      </c>
      <c r="M193" s="317">
        <f t="shared" si="58"/>
        <v>11.22452985</v>
      </c>
      <c r="N193" s="317">
        <f t="shared" si="58"/>
        <v>12.20027136</v>
      </c>
      <c r="O193" s="317">
        <f t="shared" si="58"/>
        <v>12.82122216</v>
      </c>
      <c r="P193" s="317">
        <f t="shared" si="58"/>
        <v>8.764840478</v>
      </c>
      <c r="Q193" s="317">
        <f t="shared" si="58"/>
        <v>49.5320273</v>
      </c>
      <c r="R193" s="317">
        <f t="shared" si="58"/>
        <v>55.53456784</v>
      </c>
      <c r="S193" s="317">
        <f t="shared" si="58"/>
        <v>14.61278558</v>
      </c>
      <c r="T193" s="317">
        <f t="shared" si="58"/>
        <v>61.52736635</v>
      </c>
      <c r="U193" s="317">
        <f t="shared" si="58"/>
        <v>27.73213049</v>
      </c>
      <c r="V193" s="317">
        <f t="shared" si="58"/>
        <v>26.60101901</v>
      </c>
      <c r="W193" s="317">
        <f t="shared" si="58"/>
        <v>16.51671098</v>
      </c>
      <c r="X193" s="317">
        <f t="shared" si="58"/>
        <v>25.17766224</v>
      </c>
      <c r="Y193" s="317">
        <f t="shared" si="58"/>
        <v>55.98446773</v>
      </c>
      <c r="Z193" s="317">
        <f t="shared" si="58"/>
        <v>5.230381871</v>
      </c>
      <c r="AA193" s="317">
        <f t="shared" si="58"/>
        <v>8.013238575</v>
      </c>
      <c r="AB193" s="317">
        <f t="shared" si="58"/>
        <v>6.778067282</v>
      </c>
      <c r="AC193" s="222"/>
    </row>
    <row r="194">
      <c r="A194" s="107"/>
      <c r="B194" s="108"/>
      <c r="C194" s="108"/>
      <c r="D194" s="108"/>
      <c r="E194" s="318"/>
      <c r="F194" s="319"/>
      <c r="G194" s="320"/>
      <c r="H194" s="321"/>
      <c r="I194" s="322"/>
      <c r="J194" s="322"/>
      <c r="K194" s="322"/>
      <c r="L194" s="322"/>
      <c r="M194" s="322"/>
      <c r="N194" s="322"/>
      <c r="O194" s="322"/>
      <c r="P194" s="322"/>
      <c r="Q194" s="322"/>
      <c r="R194" s="322"/>
      <c r="S194" s="322"/>
      <c r="T194" s="322"/>
      <c r="U194" s="322"/>
      <c r="V194" s="322"/>
      <c r="W194" s="322"/>
      <c r="X194" s="322"/>
      <c r="Y194" s="322"/>
      <c r="Z194" s="322"/>
      <c r="AA194" s="322"/>
      <c r="AB194" s="322"/>
      <c r="AC194" s="114"/>
    </row>
    <row r="195">
      <c r="A195" s="103" t="s">
        <v>219</v>
      </c>
      <c r="B195" s="6"/>
      <c r="C195" s="6"/>
      <c r="D195" s="6"/>
      <c r="E195" s="6"/>
      <c r="F195" s="6"/>
      <c r="G195" s="6"/>
      <c r="H195" s="104"/>
      <c r="I195" s="264"/>
      <c r="J195" s="264"/>
      <c r="K195" s="264"/>
      <c r="L195" s="264"/>
      <c r="M195" s="264"/>
      <c r="N195" s="264"/>
      <c r="O195" s="264"/>
      <c r="P195" s="264"/>
      <c r="Q195" s="264"/>
      <c r="R195" s="264"/>
      <c r="S195" s="264"/>
      <c r="T195" s="264"/>
      <c r="U195" s="264"/>
      <c r="V195" s="264"/>
      <c r="W195" s="264"/>
      <c r="X195" s="264"/>
      <c r="Y195" s="264"/>
      <c r="Z195" s="264"/>
      <c r="AA195" s="264"/>
      <c r="AB195" s="264"/>
      <c r="AC195" s="106"/>
    </row>
    <row r="196">
      <c r="A196" s="107"/>
      <c r="B196" s="108"/>
      <c r="C196" s="108"/>
      <c r="D196" s="108"/>
      <c r="E196" s="109"/>
      <c r="F196" s="110"/>
      <c r="G196" s="111"/>
      <c r="H196" s="112"/>
      <c r="I196" s="117"/>
      <c r="J196" s="117"/>
      <c r="K196" s="117"/>
      <c r="L196" s="117"/>
      <c r="M196" s="117"/>
      <c r="N196" s="117"/>
      <c r="O196" s="117"/>
      <c r="P196" s="117"/>
      <c r="Q196" s="117"/>
      <c r="R196" s="117"/>
      <c r="S196" s="117"/>
      <c r="T196" s="117"/>
      <c r="U196" s="117"/>
      <c r="V196" s="117"/>
      <c r="W196" s="117"/>
      <c r="X196" s="117"/>
      <c r="Y196" s="117"/>
      <c r="Z196" s="117"/>
      <c r="AA196" s="117"/>
      <c r="AB196" s="117"/>
      <c r="AC196" s="114"/>
    </row>
    <row r="197">
      <c r="A197" s="107"/>
      <c r="B197" s="108"/>
      <c r="C197" s="152" t="s">
        <v>220</v>
      </c>
      <c r="F197" s="110"/>
      <c r="G197" s="111"/>
      <c r="H197" s="112"/>
      <c r="I197" s="117"/>
      <c r="J197" s="117"/>
      <c r="K197" s="117"/>
      <c r="L197" s="117"/>
      <c r="M197" s="117"/>
      <c r="N197" s="117"/>
      <c r="O197" s="117"/>
      <c r="P197" s="117"/>
      <c r="Q197" s="117"/>
      <c r="R197" s="117"/>
      <c r="S197" s="117"/>
      <c r="T197" s="117"/>
      <c r="U197" s="117"/>
      <c r="V197" s="117"/>
      <c r="W197" s="117"/>
      <c r="X197" s="117"/>
      <c r="Y197" s="117"/>
      <c r="Z197" s="117"/>
      <c r="AA197" s="117"/>
      <c r="AB197" s="117"/>
      <c r="AC197" s="114"/>
    </row>
    <row r="198">
      <c r="A198" s="107"/>
      <c r="B198" s="108"/>
      <c r="C198" s="108"/>
      <c r="D198" s="108"/>
      <c r="E198" s="178" t="str">
        <f>HYPERLINK(buildUrl(CELL("address", D163)), D163)</f>
        <v>Total supplemental grantee-level adjustment</v>
      </c>
      <c r="F198" s="154" t="str">
        <f>F163</f>
        <v>%</v>
      </c>
      <c r="G198" s="179" t="s">
        <v>76</v>
      </c>
      <c r="H198" s="197">
        <f t="shared" ref="H198:AB198" si="59">H163</f>
        <v>-0.08</v>
      </c>
      <c r="I198" s="133" t="str">
        <f t="shared" si="59"/>
        <v>-</v>
      </c>
      <c r="J198" s="196" t="str">
        <f t="shared" si="59"/>
        <v>-</v>
      </c>
      <c r="K198" s="196" t="str">
        <f t="shared" si="59"/>
        <v/>
      </c>
      <c r="L198" s="196" t="str">
        <f t="shared" si="59"/>
        <v>-</v>
      </c>
      <c r="M198" s="196" t="str">
        <f t="shared" si="59"/>
        <v>-</v>
      </c>
      <c r="N198" s="196" t="str">
        <f t="shared" si="59"/>
        <v>-</v>
      </c>
      <c r="O198" s="196" t="str">
        <f t="shared" si="59"/>
        <v>-</v>
      </c>
      <c r="P198" s="196" t="str">
        <f t="shared" si="59"/>
        <v>-</v>
      </c>
      <c r="Q198" s="196" t="str">
        <f t="shared" si="59"/>
        <v>-</v>
      </c>
      <c r="R198" s="196" t="str">
        <f t="shared" si="59"/>
        <v>-</v>
      </c>
      <c r="S198" s="196" t="str">
        <f t="shared" si="59"/>
        <v>-</v>
      </c>
      <c r="T198" s="196" t="str">
        <f t="shared" si="59"/>
        <v>-</v>
      </c>
      <c r="U198" s="196" t="str">
        <f t="shared" si="59"/>
        <v>-</v>
      </c>
      <c r="V198" s="196" t="str">
        <f t="shared" si="59"/>
        <v>-</v>
      </c>
      <c r="W198" s="196" t="str">
        <f t="shared" si="59"/>
        <v>-</v>
      </c>
      <c r="X198" s="196" t="str">
        <f t="shared" si="59"/>
        <v>-</v>
      </c>
      <c r="Y198" s="196" t="str">
        <f t="shared" si="59"/>
        <v>-</v>
      </c>
      <c r="Z198" s="196" t="str">
        <f t="shared" si="59"/>
        <v>-</v>
      </c>
      <c r="AA198" s="196" t="str">
        <f t="shared" si="59"/>
        <v>-</v>
      </c>
      <c r="AB198" s="196" t="str">
        <f t="shared" si="59"/>
        <v>-</v>
      </c>
      <c r="AC198" s="211"/>
    </row>
    <row r="199">
      <c r="A199" s="107"/>
      <c r="B199" s="108"/>
      <c r="C199" s="108"/>
      <c r="D199" s="108"/>
      <c r="E199" s="323" t="str">
        <f>HYPERLINK(buildUrl(CELL("address", LeverageFunging!E116)), LeverageFunging!E116)</f>
        <v>Leverage and funging adjustment for counterfactual impact estimates</v>
      </c>
      <c r="F199" s="159" t="str">
        <f>LeverageFunging!F116</f>
        <v>%</v>
      </c>
      <c r="G199" s="212" t="s">
        <v>72</v>
      </c>
      <c r="H199" s="216" t="str">
        <f>LeverageFunging!H116</f>
        <v>-</v>
      </c>
      <c r="I199" s="139">
        <f>LeverageFunging!I116</f>
        <v>-0.4003811819</v>
      </c>
      <c r="J199" s="139">
        <f>LeverageFunging!J116</f>
        <v>-0.2338086758</v>
      </c>
      <c r="K199" s="139">
        <f>LeverageFunging!K116</f>
        <v>-0.2451866859</v>
      </c>
      <c r="L199" s="139">
        <f>LeverageFunging!L116</f>
        <v>-0.1027071185</v>
      </c>
      <c r="M199" s="139">
        <f>LeverageFunging!M116</f>
        <v>-0.1071219662</v>
      </c>
      <c r="N199" s="139">
        <f>LeverageFunging!N116</f>
        <v>-0.1107097376</v>
      </c>
      <c r="O199" s="139">
        <f>LeverageFunging!O116</f>
        <v>-0.112696135</v>
      </c>
      <c r="P199" s="139">
        <f>LeverageFunging!P116</f>
        <v>-0.2163691881</v>
      </c>
      <c r="Q199" s="139">
        <f>LeverageFunging!Q116</f>
        <v>-0.1872360274</v>
      </c>
      <c r="R199" s="139">
        <f>LeverageFunging!R116</f>
        <v>-0.09511144453</v>
      </c>
      <c r="S199" s="139">
        <f>LeverageFunging!S116</f>
        <v>-0.08113452384</v>
      </c>
      <c r="T199" s="139">
        <f>LeverageFunging!T116</f>
        <v>-0.1897563475</v>
      </c>
      <c r="U199" s="139">
        <f>LeverageFunging!U116</f>
        <v>-0.09015689492</v>
      </c>
      <c r="V199" s="139">
        <f>LeverageFunging!V116</f>
        <v>-0.1759015934</v>
      </c>
      <c r="W199" s="139">
        <f>LeverageFunging!W116</f>
        <v>-0.160461081</v>
      </c>
      <c r="X199" s="139">
        <f>LeverageFunging!X116</f>
        <v>-0.1744958178</v>
      </c>
      <c r="Y199" s="139">
        <f>LeverageFunging!Y116</f>
        <v>-0.1887278557</v>
      </c>
      <c r="Z199" s="139">
        <f>LeverageFunging!Z116</f>
        <v>-0.04613499977</v>
      </c>
      <c r="AA199" s="139">
        <f>LeverageFunging!AA116</f>
        <v>-0.4484497013</v>
      </c>
      <c r="AB199" s="139">
        <f>LeverageFunging!AB116</f>
        <v>-0.19401768</v>
      </c>
      <c r="AC199" s="215"/>
    </row>
    <row r="200">
      <c r="A200" s="107"/>
      <c r="B200" s="108"/>
      <c r="C200" s="108"/>
      <c r="D200" s="301" t="s">
        <v>221</v>
      </c>
      <c r="E200" s="37"/>
      <c r="F200" s="119" t="s">
        <v>59</v>
      </c>
      <c r="G200" s="149" t="s">
        <v>70</v>
      </c>
      <c r="H200" s="150" t="s">
        <v>132</v>
      </c>
      <c r="I200" s="304">
        <f t="shared" ref="I200:AB200" si="60">((1+$H198)*(1+I199))-1</f>
        <v>-0.4483506874</v>
      </c>
      <c r="J200" s="304">
        <f t="shared" si="60"/>
        <v>-0.2951039818</v>
      </c>
      <c r="K200" s="304">
        <f t="shared" si="60"/>
        <v>-0.3055717511</v>
      </c>
      <c r="L200" s="304">
        <f t="shared" si="60"/>
        <v>-0.174490549</v>
      </c>
      <c r="M200" s="304">
        <f t="shared" si="60"/>
        <v>-0.1785522089</v>
      </c>
      <c r="N200" s="304">
        <f t="shared" si="60"/>
        <v>-0.1818529586</v>
      </c>
      <c r="O200" s="304">
        <f t="shared" si="60"/>
        <v>-0.1836804442</v>
      </c>
      <c r="P200" s="304">
        <f t="shared" si="60"/>
        <v>-0.279059653</v>
      </c>
      <c r="Q200" s="304">
        <f t="shared" si="60"/>
        <v>-0.2522571452</v>
      </c>
      <c r="R200" s="304">
        <f t="shared" si="60"/>
        <v>-0.167502529</v>
      </c>
      <c r="S200" s="304">
        <f t="shared" si="60"/>
        <v>-0.1546437619</v>
      </c>
      <c r="T200" s="304">
        <f t="shared" si="60"/>
        <v>-0.2545758397</v>
      </c>
      <c r="U200" s="304">
        <f t="shared" si="60"/>
        <v>-0.1629443433</v>
      </c>
      <c r="V200" s="304">
        <f t="shared" si="60"/>
        <v>-0.2418294659</v>
      </c>
      <c r="W200" s="304">
        <f t="shared" si="60"/>
        <v>-0.2276241945</v>
      </c>
      <c r="X200" s="304">
        <f t="shared" si="60"/>
        <v>-0.2405361524</v>
      </c>
      <c r="Y200" s="304">
        <f t="shared" si="60"/>
        <v>-0.2536296273</v>
      </c>
      <c r="Z200" s="304">
        <f t="shared" si="60"/>
        <v>-0.1224441998</v>
      </c>
      <c r="AA200" s="304">
        <f t="shared" si="60"/>
        <v>-0.4925737252</v>
      </c>
      <c r="AB200" s="304">
        <f t="shared" si="60"/>
        <v>-0.2584962656</v>
      </c>
      <c r="AC200" s="307"/>
    </row>
    <row r="201">
      <c r="A201" s="107"/>
      <c r="B201" s="108"/>
      <c r="C201" s="108"/>
      <c r="D201" s="108"/>
      <c r="E201" s="109"/>
      <c r="F201" s="110"/>
      <c r="G201" s="111"/>
      <c r="H201" s="112"/>
      <c r="I201" s="117"/>
      <c r="J201" s="117"/>
      <c r="K201" s="117"/>
      <c r="L201" s="117"/>
      <c r="M201" s="117"/>
      <c r="N201" s="117"/>
      <c r="O201" s="117"/>
      <c r="P201" s="117"/>
      <c r="Q201" s="117"/>
      <c r="R201" s="117"/>
      <c r="S201" s="117"/>
      <c r="T201" s="117"/>
      <c r="U201" s="117"/>
      <c r="V201" s="117"/>
      <c r="W201" s="117"/>
      <c r="X201" s="117"/>
      <c r="Y201" s="117"/>
      <c r="Z201" s="117"/>
      <c r="AA201" s="117"/>
      <c r="AB201" s="117"/>
      <c r="AC201" s="114"/>
    </row>
    <row r="202">
      <c r="A202" s="107"/>
      <c r="B202" s="108"/>
      <c r="C202" s="152" t="s">
        <v>222</v>
      </c>
      <c r="F202" s="110"/>
      <c r="G202" s="111"/>
      <c r="H202" s="112"/>
      <c r="I202" s="117"/>
      <c r="J202" s="117"/>
      <c r="K202" s="117"/>
      <c r="L202" s="117"/>
      <c r="M202" s="117"/>
      <c r="N202" s="117"/>
      <c r="O202" s="117"/>
      <c r="P202" s="117"/>
      <c r="Q202" s="117"/>
      <c r="R202" s="117"/>
      <c r="S202" s="117"/>
      <c r="T202" s="117"/>
      <c r="U202" s="117"/>
      <c r="V202" s="117"/>
      <c r="W202" s="117"/>
      <c r="X202" s="117"/>
      <c r="Y202" s="117"/>
      <c r="Z202" s="117"/>
      <c r="AA202" s="117"/>
      <c r="AB202" s="117"/>
      <c r="AC202" s="114"/>
    </row>
    <row r="203">
      <c r="A203" s="107"/>
      <c r="B203" s="108"/>
      <c r="C203" s="108"/>
      <c r="D203" s="108"/>
      <c r="E203" s="178" t="str">
        <f>HYPERLINK(buildUrl(CELL("address", D163)), D163)</f>
        <v>Total supplemental grantee-level adjustment</v>
      </c>
      <c r="F203" s="154" t="str">
        <f>F163</f>
        <v>%</v>
      </c>
      <c r="G203" s="179" t="s">
        <v>76</v>
      </c>
      <c r="H203" s="197">
        <f t="shared" ref="H203:AB203" si="61">H163</f>
        <v>-0.08</v>
      </c>
      <c r="I203" s="133" t="str">
        <f t="shared" si="61"/>
        <v>-</v>
      </c>
      <c r="J203" s="196" t="str">
        <f t="shared" si="61"/>
        <v>-</v>
      </c>
      <c r="K203" s="196" t="str">
        <f t="shared" si="61"/>
        <v/>
      </c>
      <c r="L203" s="196" t="str">
        <f t="shared" si="61"/>
        <v>-</v>
      </c>
      <c r="M203" s="196" t="str">
        <f t="shared" si="61"/>
        <v>-</v>
      </c>
      <c r="N203" s="196" t="str">
        <f t="shared" si="61"/>
        <v>-</v>
      </c>
      <c r="O203" s="196" t="str">
        <f t="shared" si="61"/>
        <v>-</v>
      </c>
      <c r="P203" s="196" t="str">
        <f t="shared" si="61"/>
        <v>-</v>
      </c>
      <c r="Q203" s="196" t="str">
        <f t="shared" si="61"/>
        <v>-</v>
      </c>
      <c r="R203" s="196" t="str">
        <f t="shared" si="61"/>
        <v>-</v>
      </c>
      <c r="S203" s="196" t="str">
        <f t="shared" si="61"/>
        <v>-</v>
      </c>
      <c r="T203" s="196" t="str">
        <f t="shared" si="61"/>
        <v>-</v>
      </c>
      <c r="U203" s="196" t="str">
        <f t="shared" si="61"/>
        <v>-</v>
      </c>
      <c r="V203" s="196" t="str">
        <f t="shared" si="61"/>
        <v>-</v>
      </c>
      <c r="W203" s="196" t="str">
        <f t="shared" si="61"/>
        <v>-</v>
      </c>
      <c r="X203" s="196" t="str">
        <f t="shared" si="61"/>
        <v>-</v>
      </c>
      <c r="Y203" s="196" t="str">
        <f t="shared" si="61"/>
        <v>-</v>
      </c>
      <c r="Z203" s="196" t="str">
        <f t="shared" si="61"/>
        <v>-</v>
      </c>
      <c r="AA203" s="196" t="str">
        <f t="shared" si="61"/>
        <v>-</v>
      </c>
      <c r="AB203" s="196" t="str">
        <f t="shared" si="61"/>
        <v>-</v>
      </c>
      <c r="AC203" s="211"/>
    </row>
    <row r="204">
      <c r="A204" s="107"/>
      <c r="B204" s="108"/>
      <c r="C204" s="108"/>
      <c r="D204" s="108"/>
      <c r="E204" s="201" t="s">
        <v>223</v>
      </c>
      <c r="F204" s="159" t="s">
        <v>59</v>
      </c>
      <c r="G204" s="212" t="s">
        <v>70</v>
      </c>
      <c r="H204" s="216" t="s">
        <v>132</v>
      </c>
      <c r="I204" s="139">
        <f t="shared" ref="I204:AB204" si="62">SUM($H174:$H178,I174:I178)</f>
        <v>-0.198</v>
      </c>
      <c r="J204" s="139">
        <f t="shared" si="62"/>
        <v>-0.148</v>
      </c>
      <c r="K204" s="139">
        <f t="shared" si="62"/>
        <v>-0.248</v>
      </c>
      <c r="L204" s="139">
        <f t="shared" si="62"/>
        <v>-0.208</v>
      </c>
      <c r="M204" s="139">
        <f t="shared" si="62"/>
        <v>-0.208</v>
      </c>
      <c r="N204" s="139">
        <f t="shared" si="62"/>
        <v>-0.208</v>
      </c>
      <c r="O204" s="139">
        <f t="shared" si="62"/>
        <v>-0.208</v>
      </c>
      <c r="P204" s="139">
        <f t="shared" si="62"/>
        <v>-0.208</v>
      </c>
      <c r="Q204" s="139">
        <f t="shared" si="62"/>
        <v>-0.048</v>
      </c>
      <c r="R204" s="139">
        <f t="shared" si="62"/>
        <v>-0.048</v>
      </c>
      <c r="S204" s="139">
        <f t="shared" si="62"/>
        <v>-0.048</v>
      </c>
      <c r="T204" s="139">
        <f t="shared" si="62"/>
        <v>-0.048</v>
      </c>
      <c r="U204" s="139">
        <f t="shared" si="62"/>
        <v>-0.048</v>
      </c>
      <c r="V204" s="139">
        <f t="shared" si="62"/>
        <v>-0.048</v>
      </c>
      <c r="W204" s="139">
        <f t="shared" si="62"/>
        <v>-0.048</v>
      </c>
      <c r="X204" s="139">
        <f t="shared" si="62"/>
        <v>-0.048</v>
      </c>
      <c r="Y204" s="139">
        <f t="shared" si="62"/>
        <v>-0.048</v>
      </c>
      <c r="Z204" s="139">
        <f t="shared" si="62"/>
        <v>-0.048</v>
      </c>
      <c r="AA204" s="139">
        <f t="shared" si="62"/>
        <v>-0.098</v>
      </c>
      <c r="AB204" s="139">
        <f t="shared" si="62"/>
        <v>-0.208</v>
      </c>
      <c r="AC204" s="215"/>
    </row>
    <row r="205">
      <c r="A205" s="107"/>
      <c r="B205" s="108"/>
      <c r="C205" s="108"/>
      <c r="D205" s="108"/>
      <c r="E205" s="323" t="str">
        <f>HYPERLINK(buildUrl(CELL("address", LeverageFunging!E116)), LeverageFunging!E116)</f>
        <v>Leverage and funging adjustment for counterfactual impact estimates</v>
      </c>
      <c r="F205" s="159" t="str">
        <f>LeverageFunging!F116</f>
        <v>%</v>
      </c>
      <c r="G205" s="212" t="s">
        <v>72</v>
      </c>
      <c r="H205" s="216" t="str">
        <f>LeverageFunging!H116</f>
        <v>-</v>
      </c>
      <c r="I205" s="139">
        <f>LeverageFunging!I116</f>
        <v>-0.4003811819</v>
      </c>
      <c r="J205" s="139">
        <f>LeverageFunging!J116</f>
        <v>-0.2338086758</v>
      </c>
      <c r="K205" s="139">
        <f>LeverageFunging!K116</f>
        <v>-0.2451866859</v>
      </c>
      <c r="L205" s="139">
        <f>LeverageFunging!L116</f>
        <v>-0.1027071185</v>
      </c>
      <c r="M205" s="139">
        <f>LeverageFunging!M116</f>
        <v>-0.1071219662</v>
      </c>
      <c r="N205" s="139">
        <f>LeverageFunging!N116</f>
        <v>-0.1107097376</v>
      </c>
      <c r="O205" s="139">
        <f>LeverageFunging!O116</f>
        <v>-0.112696135</v>
      </c>
      <c r="P205" s="139">
        <f>LeverageFunging!P116</f>
        <v>-0.2163691881</v>
      </c>
      <c r="Q205" s="139">
        <f>LeverageFunging!Q116</f>
        <v>-0.1872360274</v>
      </c>
      <c r="R205" s="139">
        <f>LeverageFunging!R116</f>
        <v>-0.09511144453</v>
      </c>
      <c r="S205" s="139">
        <f>LeverageFunging!S116</f>
        <v>-0.08113452384</v>
      </c>
      <c r="T205" s="139">
        <f>LeverageFunging!T116</f>
        <v>-0.1897563475</v>
      </c>
      <c r="U205" s="139">
        <f>LeverageFunging!U116</f>
        <v>-0.09015689492</v>
      </c>
      <c r="V205" s="139">
        <f>LeverageFunging!V116</f>
        <v>-0.1759015934</v>
      </c>
      <c r="W205" s="139">
        <f>LeverageFunging!W116</f>
        <v>-0.160461081</v>
      </c>
      <c r="X205" s="139">
        <f>LeverageFunging!X116</f>
        <v>-0.1744958178</v>
      </c>
      <c r="Y205" s="139">
        <f>LeverageFunging!Y116</f>
        <v>-0.1887278557</v>
      </c>
      <c r="Z205" s="139">
        <f>LeverageFunging!Z116</f>
        <v>-0.04613499977</v>
      </c>
      <c r="AA205" s="139">
        <f>LeverageFunging!AA116</f>
        <v>-0.4484497013</v>
      </c>
      <c r="AB205" s="139">
        <f>LeverageFunging!AB116</f>
        <v>-0.19401768</v>
      </c>
      <c r="AC205" s="215"/>
    </row>
    <row r="206">
      <c r="A206" s="107"/>
      <c r="B206" s="108"/>
      <c r="C206" s="108"/>
      <c r="D206" s="301" t="s">
        <v>224</v>
      </c>
      <c r="E206" s="37"/>
      <c r="F206" s="119" t="s">
        <v>59</v>
      </c>
      <c r="G206" s="149" t="s">
        <v>70</v>
      </c>
      <c r="H206" s="150" t="s">
        <v>132</v>
      </c>
      <c r="I206" s="304">
        <f t="shared" ref="I206:AB206" si="63">((1+$H203)*(1+I204)*(1+I205))-1</f>
        <v>-0.5575772513</v>
      </c>
      <c r="J206" s="304">
        <f t="shared" si="63"/>
        <v>-0.3994285925</v>
      </c>
      <c r="K206" s="304">
        <f t="shared" si="63"/>
        <v>-0.4777899568</v>
      </c>
      <c r="L206" s="304">
        <f t="shared" si="63"/>
        <v>-0.3461965148</v>
      </c>
      <c r="M206" s="304">
        <f t="shared" si="63"/>
        <v>-0.3494133494</v>
      </c>
      <c r="N206" s="304">
        <f t="shared" si="63"/>
        <v>-0.3520275432</v>
      </c>
      <c r="O206" s="304">
        <f t="shared" si="63"/>
        <v>-0.3534749118</v>
      </c>
      <c r="P206" s="304">
        <f t="shared" si="63"/>
        <v>-0.4290152452</v>
      </c>
      <c r="Q206" s="304">
        <f t="shared" si="63"/>
        <v>-0.2881488022</v>
      </c>
      <c r="R206" s="304">
        <f t="shared" si="63"/>
        <v>-0.2074624076</v>
      </c>
      <c r="S206" s="304">
        <f t="shared" si="63"/>
        <v>-0.1952208614</v>
      </c>
      <c r="T206" s="304">
        <f t="shared" si="63"/>
        <v>-0.2903561994</v>
      </c>
      <c r="U206" s="304">
        <f t="shared" si="63"/>
        <v>-0.2031230148</v>
      </c>
      <c r="V206" s="304">
        <f t="shared" si="63"/>
        <v>-0.2782216515</v>
      </c>
      <c r="W206" s="304">
        <f t="shared" si="63"/>
        <v>-0.2646982332</v>
      </c>
      <c r="X206" s="304">
        <f t="shared" si="63"/>
        <v>-0.2769904171</v>
      </c>
      <c r="Y206" s="304">
        <f t="shared" si="63"/>
        <v>-0.2894554052</v>
      </c>
      <c r="Z206" s="304">
        <f t="shared" si="63"/>
        <v>-0.1645668782</v>
      </c>
      <c r="AA206" s="304">
        <f t="shared" si="63"/>
        <v>-0.5423015001</v>
      </c>
      <c r="AB206" s="304">
        <f t="shared" si="63"/>
        <v>-0.4127290423</v>
      </c>
      <c r="AC206" s="307"/>
    </row>
    <row r="207">
      <c r="A207" s="107"/>
      <c r="B207" s="108"/>
      <c r="C207" s="108"/>
      <c r="D207" s="108"/>
      <c r="E207" s="109"/>
      <c r="F207" s="110"/>
      <c r="G207" s="111"/>
      <c r="H207" s="112"/>
      <c r="I207" s="117"/>
      <c r="J207" s="117"/>
      <c r="K207" s="117"/>
      <c r="L207" s="117"/>
      <c r="M207" s="117"/>
      <c r="N207" s="117"/>
      <c r="O207" s="117"/>
      <c r="P207" s="117"/>
      <c r="Q207" s="117"/>
      <c r="R207" s="117"/>
      <c r="S207" s="117"/>
      <c r="T207" s="117"/>
      <c r="U207" s="117"/>
      <c r="V207" s="117"/>
      <c r="W207" s="117"/>
      <c r="X207" s="117"/>
      <c r="Y207" s="117"/>
      <c r="Z207" s="117"/>
      <c r="AA207" s="117"/>
      <c r="AB207" s="117"/>
      <c r="AC207" s="114"/>
    </row>
    <row r="208">
      <c r="A208" s="107"/>
      <c r="B208" s="108"/>
      <c r="C208" s="152" t="s">
        <v>225</v>
      </c>
      <c r="F208" s="110"/>
      <c r="G208" s="111"/>
      <c r="H208" s="112"/>
      <c r="I208" s="117"/>
      <c r="J208" s="117"/>
      <c r="K208" s="117"/>
      <c r="L208" s="117"/>
      <c r="M208" s="117"/>
      <c r="N208" s="117"/>
      <c r="O208" s="117"/>
      <c r="P208" s="117"/>
      <c r="Q208" s="117"/>
      <c r="R208" s="117"/>
      <c r="S208" s="117"/>
      <c r="T208" s="117"/>
      <c r="U208" s="117"/>
      <c r="V208" s="117"/>
      <c r="W208" s="117"/>
      <c r="X208" s="117"/>
      <c r="Y208" s="117"/>
      <c r="Z208" s="117"/>
      <c r="AA208" s="117"/>
      <c r="AB208" s="117"/>
      <c r="AC208" s="114"/>
    </row>
    <row r="209">
      <c r="A209" s="107"/>
      <c r="B209" s="108"/>
      <c r="C209" s="108"/>
      <c r="D209" s="108"/>
      <c r="E209" s="178" t="s">
        <v>226</v>
      </c>
      <c r="F209" s="154" t="s">
        <v>49</v>
      </c>
      <c r="G209" s="179" t="s">
        <v>70</v>
      </c>
      <c r="H209" s="156" t="s">
        <v>132</v>
      </c>
      <c r="I209" s="277">
        <f t="shared" ref="I209:AB209" si="64">I36*(1+I$200)</f>
        <v>0.0008710922832</v>
      </c>
      <c r="J209" s="277">
        <f t="shared" si="64"/>
        <v>0.001004858049</v>
      </c>
      <c r="K209" s="277">
        <f t="shared" si="64"/>
        <v>0.0006065018776</v>
      </c>
      <c r="L209" s="277">
        <f t="shared" si="64"/>
        <v>0.001128487558</v>
      </c>
      <c r="M209" s="277">
        <f t="shared" si="64"/>
        <v>0.001122935189</v>
      </c>
      <c r="N209" s="277">
        <f t="shared" si="64"/>
        <v>0.001118423</v>
      </c>
      <c r="O209" s="277">
        <f t="shared" si="64"/>
        <v>0.001115924791</v>
      </c>
      <c r="P209" s="277">
        <f t="shared" si="64"/>
        <v>1696556.222</v>
      </c>
      <c r="Q209" s="277">
        <f t="shared" si="64"/>
        <v>0.001871638251</v>
      </c>
      <c r="R209" s="277">
        <f t="shared" si="64"/>
        <v>0.003150192062</v>
      </c>
      <c r="S209" s="277">
        <f t="shared" si="64"/>
        <v>0.001245319322</v>
      </c>
      <c r="T209" s="277">
        <f t="shared" si="64"/>
        <v>0.001846705327</v>
      </c>
      <c r="U209" s="277">
        <f t="shared" si="64"/>
        <v>0.001374336563</v>
      </c>
      <c r="V209" s="277">
        <f t="shared" si="64"/>
        <v>0.001472129935</v>
      </c>
      <c r="W209" s="277">
        <f t="shared" si="64"/>
        <v>0.0009548602377</v>
      </c>
      <c r="X209" s="277">
        <f t="shared" si="64"/>
        <v>0.001362569781</v>
      </c>
      <c r="Y209" s="277">
        <f t="shared" si="64"/>
        <v>0.002103118111</v>
      </c>
      <c r="Z209" s="277">
        <f t="shared" si="64"/>
        <v>0.0004138562488</v>
      </c>
      <c r="AA209" s="277">
        <f t="shared" si="64"/>
        <v>0.0006976524802</v>
      </c>
      <c r="AB209" s="277">
        <f t="shared" si="64"/>
        <v>0.0008362296975</v>
      </c>
      <c r="AC209" s="211"/>
    </row>
    <row r="210">
      <c r="A210" s="107"/>
      <c r="B210" s="108"/>
      <c r="C210" s="108"/>
      <c r="D210" s="108"/>
      <c r="E210" s="118" t="s">
        <v>227</v>
      </c>
      <c r="F210" s="119" t="s">
        <v>55</v>
      </c>
      <c r="G210" s="149" t="s">
        <v>70</v>
      </c>
      <c r="H210" s="150" t="s">
        <v>132</v>
      </c>
      <c r="I210" s="182">
        <f t="shared" ref="I210:AB210" si="65">I19/I209</f>
        <v>11.47983996</v>
      </c>
      <c r="J210" s="182">
        <f t="shared" si="65"/>
        <v>9.95165438</v>
      </c>
      <c r="K210" s="182">
        <f t="shared" si="65"/>
        <v>16.48799512</v>
      </c>
      <c r="L210" s="182">
        <f t="shared" si="65"/>
        <v>8.861418039</v>
      </c>
      <c r="M210" s="182">
        <f t="shared" si="65"/>
        <v>8.905233442</v>
      </c>
      <c r="N210" s="182">
        <f t="shared" si="65"/>
        <v>8.941160904</v>
      </c>
      <c r="O210" s="182">
        <f t="shared" si="65"/>
        <v>8.961177382</v>
      </c>
      <c r="P210" s="182">
        <f t="shared" si="65"/>
        <v>10.2896131</v>
      </c>
      <c r="Q210" s="182">
        <f t="shared" si="65"/>
        <v>5.342912817</v>
      </c>
      <c r="R210" s="182">
        <f t="shared" si="65"/>
        <v>3.174409624</v>
      </c>
      <c r="S210" s="182">
        <f t="shared" si="65"/>
        <v>8.030068934</v>
      </c>
      <c r="T210" s="182">
        <f t="shared" si="65"/>
        <v>5.41504909</v>
      </c>
      <c r="U210" s="182">
        <f t="shared" si="65"/>
        <v>7.276238057</v>
      </c>
      <c r="V210" s="182">
        <f t="shared" si="65"/>
        <v>6.792878645</v>
      </c>
      <c r="W210" s="182">
        <f t="shared" si="65"/>
        <v>10.47273685</v>
      </c>
      <c r="X210" s="182">
        <f t="shared" si="65"/>
        <v>7.339073665</v>
      </c>
      <c r="Y210" s="182">
        <f t="shared" si="65"/>
        <v>4.754844699</v>
      </c>
      <c r="Z210" s="182">
        <f t="shared" si="65"/>
        <v>24.16297937</v>
      </c>
      <c r="AA210" s="182">
        <f t="shared" si="65"/>
        <v>14.33378406</v>
      </c>
      <c r="AB210" s="182">
        <f t="shared" si="65"/>
        <v>11.95843681</v>
      </c>
      <c r="AC210" s="307"/>
    </row>
    <row r="211">
      <c r="A211" s="107"/>
      <c r="B211" s="108"/>
      <c r="C211" s="108"/>
      <c r="D211" s="108"/>
      <c r="E211" s="109"/>
      <c r="F211" s="110"/>
      <c r="G211" s="111"/>
      <c r="H211" s="112"/>
      <c r="I211" s="291"/>
      <c r="J211" s="291"/>
      <c r="K211" s="291"/>
      <c r="L211" s="291"/>
      <c r="M211" s="291"/>
      <c r="N211" s="291"/>
      <c r="O211" s="291"/>
      <c r="P211" s="291"/>
      <c r="Q211" s="291"/>
      <c r="R211" s="291"/>
      <c r="S211" s="291"/>
      <c r="T211" s="291"/>
      <c r="U211" s="291"/>
      <c r="V211" s="291"/>
      <c r="W211" s="291"/>
      <c r="X211" s="291"/>
      <c r="Y211" s="291"/>
      <c r="Z211" s="291"/>
      <c r="AA211" s="291"/>
      <c r="AB211" s="291"/>
      <c r="AC211" s="114"/>
    </row>
    <row r="212">
      <c r="A212" s="107"/>
      <c r="B212" s="108"/>
      <c r="C212" s="152" t="s">
        <v>228</v>
      </c>
      <c r="F212" s="110"/>
      <c r="G212" s="111"/>
      <c r="H212" s="112"/>
      <c r="I212" s="117"/>
      <c r="J212" s="117"/>
      <c r="K212" s="117"/>
      <c r="L212" s="117"/>
      <c r="M212" s="117"/>
      <c r="N212" s="117"/>
      <c r="O212" s="117"/>
      <c r="P212" s="117"/>
      <c r="Q212" s="117"/>
      <c r="R212" s="117"/>
      <c r="S212" s="117"/>
      <c r="T212" s="117"/>
      <c r="U212" s="117"/>
      <c r="V212" s="117"/>
      <c r="W212" s="117"/>
      <c r="X212" s="117"/>
      <c r="Y212" s="117"/>
      <c r="Z212" s="117"/>
      <c r="AA212" s="117"/>
      <c r="AB212" s="117"/>
      <c r="AC212" s="114"/>
    </row>
    <row r="213">
      <c r="A213" s="107"/>
      <c r="B213" s="108"/>
      <c r="C213" s="108"/>
      <c r="D213" s="108"/>
      <c r="E213" s="178" t="s">
        <v>229</v>
      </c>
      <c r="F213" s="154" t="s">
        <v>49</v>
      </c>
      <c r="G213" s="179" t="s">
        <v>70</v>
      </c>
      <c r="H213" s="156" t="s">
        <v>132</v>
      </c>
      <c r="I213" s="277">
        <f t="shared" ref="I213:AB213" si="66">I145*(1+I$206)</f>
        <v>0.000002043754352</v>
      </c>
      <c r="J213" s="277">
        <f t="shared" si="66"/>
        <v>0.000002476762794</v>
      </c>
      <c r="K213" s="277">
        <f t="shared" si="66"/>
        <v>0.00000124767802</v>
      </c>
      <c r="L213" s="277">
        <f t="shared" si="66"/>
        <v>0.000001543626589</v>
      </c>
      <c r="M213" s="277">
        <f t="shared" si="66"/>
        <v>0.00000164993037</v>
      </c>
      <c r="N213" s="277">
        <f t="shared" si="66"/>
        <v>0.000001813028033</v>
      </c>
      <c r="O213" s="277">
        <f t="shared" si="66"/>
        <v>0.000001953081607</v>
      </c>
      <c r="P213" s="277">
        <f t="shared" si="66"/>
        <v>2379.392571</v>
      </c>
      <c r="Q213" s="277">
        <f t="shared" si="66"/>
        <v>0.000008351819181</v>
      </c>
      <c r="R213" s="277">
        <f t="shared" si="66"/>
        <v>0.00000948166787</v>
      </c>
      <c r="S213" s="277">
        <f t="shared" si="66"/>
        <v>0.000002396769702</v>
      </c>
      <c r="T213" s="277">
        <f t="shared" si="66"/>
        <v>0.00001088958185</v>
      </c>
      <c r="U213" s="277">
        <f t="shared" si="66"/>
        <v>0.000004658311252</v>
      </c>
      <c r="V213" s="277">
        <f t="shared" si="66"/>
        <v>0.000004482070175</v>
      </c>
      <c r="W213" s="277">
        <f t="shared" si="66"/>
        <v>0.000002618191544</v>
      </c>
      <c r="X213" s="277">
        <f t="shared" si="66"/>
        <v>0.000004197471646</v>
      </c>
      <c r="Y213" s="277">
        <f t="shared" si="66"/>
        <v>0.00001001452499</v>
      </c>
      <c r="Z213" s="277">
        <f t="shared" si="66"/>
        <v>0.0000008639648485</v>
      </c>
      <c r="AA213" s="277">
        <f t="shared" si="66"/>
        <v>0.000001206278255</v>
      </c>
      <c r="AB213" s="277">
        <f t="shared" si="66"/>
        <v>0.0000008394746555</v>
      </c>
      <c r="AC213" s="211"/>
    </row>
    <row r="214">
      <c r="A214" s="107"/>
      <c r="B214" s="108"/>
      <c r="C214" s="108"/>
      <c r="D214" s="108"/>
      <c r="E214" s="118" t="s">
        <v>230</v>
      </c>
      <c r="F214" s="119" t="s">
        <v>55</v>
      </c>
      <c r="G214" s="149" t="s">
        <v>70</v>
      </c>
      <c r="H214" s="150" t="s">
        <v>132</v>
      </c>
      <c r="I214" s="151">
        <f t="shared" ref="I214:AB214" si="67">I19/I213</f>
        <v>4892.955942</v>
      </c>
      <c r="J214" s="151">
        <f t="shared" si="67"/>
        <v>4037.528352</v>
      </c>
      <c r="K214" s="151">
        <f t="shared" si="67"/>
        <v>8014.888329</v>
      </c>
      <c r="L214" s="151">
        <f t="shared" si="67"/>
        <v>6478.25068</v>
      </c>
      <c r="M214" s="151">
        <f t="shared" si="67"/>
        <v>6060.861827</v>
      </c>
      <c r="N214" s="151">
        <f t="shared" si="67"/>
        <v>5515.634518</v>
      </c>
      <c r="O214" s="151">
        <f t="shared" si="67"/>
        <v>5120.113755</v>
      </c>
      <c r="P214" s="151">
        <f t="shared" si="67"/>
        <v>7336.70742</v>
      </c>
      <c r="Q214" s="151">
        <f t="shared" si="67"/>
        <v>1197.34393</v>
      </c>
      <c r="R214" s="151">
        <f t="shared" si="67"/>
        <v>1054.666767</v>
      </c>
      <c r="S214" s="151">
        <f t="shared" si="67"/>
        <v>4172.282382</v>
      </c>
      <c r="T214" s="151">
        <f t="shared" si="67"/>
        <v>918.3089062</v>
      </c>
      <c r="U214" s="151">
        <f t="shared" si="67"/>
        <v>2146.700694</v>
      </c>
      <c r="V214" s="151">
        <f t="shared" si="67"/>
        <v>2231.111877</v>
      </c>
      <c r="W214" s="151">
        <f t="shared" si="67"/>
        <v>3819.430257</v>
      </c>
      <c r="X214" s="151">
        <f t="shared" si="67"/>
        <v>2382.386551</v>
      </c>
      <c r="Y214" s="151">
        <f t="shared" si="67"/>
        <v>998.5496072</v>
      </c>
      <c r="Z214" s="151">
        <f t="shared" si="67"/>
        <v>11574.54498</v>
      </c>
      <c r="AA214" s="151">
        <f t="shared" si="67"/>
        <v>8289.961259</v>
      </c>
      <c r="AB214" s="151">
        <f t="shared" si="67"/>
        <v>11912.21192</v>
      </c>
      <c r="AC214" s="307"/>
    </row>
    <row r="215">
      <c r="A215" s="324"/>
      <c r="B215" s="325"/>
      <c r="C215" s="325"/>
      <c r="D215" s="325"/>
      <c r="E215" s="326"/>
      <c r="F215" s="327"/>
      <c r="G215" s="328"/>
      <c r="H215" s="306"/>
      <c r="I215" s="329"/>
      <c r="J215" s="329"/>
      <c r="K215" s="329"/>
      <c r="L215" s="329"/>
      <c r="M215" s="329"/>
      <c r="N215" s="329"/>
      <c r="O215" s="329"/>
      <c r="P215" s="329"/>
      <c r="Q215" s="329"/>
      <c r="R215" s="329"/>
      <c r="S215" s="329"/>
      <c r="T215" s="329"/>
      <c r="U215" s="329"/>
      <c r="V215" s="329"/>
      <c r="W215" s="329"/>
      <c r="X215" s="329"/>
      <c r="Y215" s="329"/>
      <c r="Z215" s="329"/>
      <c r="AA215" s="329"/>
      <c r="AB215" s="329"/>
      <c r="AC215" s="307"/>
    </row>
  </sheetData>
  <mergeCells count="49">
    <mergeCell ref="I1:R1"/>
    <mergeCell ref="S1:AB1"/>
    <mergeCell ref="A3:E3"/>
    <mergeCell ref="A5:G5"/>
    <mergeCell ref="C7:E7"/>
    <mergeCell ref="C10:E10"/>
    <mergeCell ref="C15:E15"/>
    <mergeCell ref="C18:E18"/>
    <mergeCell ref="C23:E23"/>
    <mergeCell ref="C27:E27"/>
    <mergeCell ref="A33:G33"/>
    <mergeCell ref="C35:E35"/>
    <mergeCell ref="A38:G38"/>
    <mergeCell ref="C40:E40"/>
    <mergeCell ref="C60:E60"/>
    <mergeCell ref="C73:E73"/>
    <mergeCell ref="C85:E85"/>
    <mergeCell ref="A99:G99"/>
    <mergeCell ref="C101:E101"/>
    <mergeCell ref="C105:E105"/>
    <mergeCell ref="C109:E109"/>
    <mergeCell ref="A114:G114"/>
    <mergeCell ref="C116:E116"/>
    <mergeCell ref="C121:E121"/>
    <mergeCell ref="C126:E126"/>
    <mergeCell ref="C131:E131"/>
    <mergeCell ref="C138:E138"/>
    <mergeCell ref="C143:E143"/>
    <mergeCell ref="A148:G148"/>
    <mergeCell ref="C150:E150"/>
    <mergeCell ref="D151:E151"/>
    <mergeCell ref="D155:E155"/>
    <mergeCell ref="D158:E158"/>
    <mergeCell ref="D163:E163"/>
    <mergeCell ref="C165:E165"/>
    <mergeCell ref="A195:G195"/>
    <mergeCell ref="C197:E197"/>
    <mergeCell ref="D200:E200"/>
    <mergeCell ref="C202:E202"/>
    <mergeCell ref="D206:E206"/>
    <mergeCell ref="C208:E208"/>
    <mergeCell ref="C212:E212"/>
    <mergeCell ref="D166:E166"/>
    <mergeCell ref="D173:E173"/>
    <mergeCell ref="D179:E179"/>
    <mergeCell ref="C181:E181"/>
    <mergeCell ref="D185:E185"/>
    <mergeCell ref="A187:G187"/>
    <mergeCell ref="C189:E18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73"/>
      <c r="F1" s="74"/>
      <c r="G1" s="74"/>
      <c r="H1" s="330"/>
      <c r="I1" s="77" t="s">
        <v>96</v>
      </c>
      <c r="J1" s="37"/>
      <c r="K1" s="37"/>
      <c r="L1" s="37"/>
      <c r="M1" s="37"/>
      <c r="N1" s="37"/>
      <c r="O1" s="37"/>
      <c r="P1" s="37"/>
      <c r="Q1" s="37"/>
      <c r="R1" s="37"/>
      <c r="S1" s="78" t="s">
        <v>96</v>
      </c>
      <c r="T1" s="6"/>
      <c r="U1" s="6"/>
      <c r="V1" s="6"/>
      <c r="W1" s="6"/>
      <c r="X1" s="6"/>
      <c r="Y1" s="6"/>
      <c r="Z1" s="6"/>
      <c r="AA1" s="6"/>
      <c r="AB1" s="6"/>
      <c r="AC1" s="331"/>
    </row>
    <row r="2">
      <c r="A2" s="80"/>
      <c r="B2" s="81"/>
      <c r="C2" s="81"/>
      <c r="D2" s="81"/>
      <c r="E2" s="82"/>
      <c r="F2" s="83"/>
      <c r="G2" s="83"/>
      <c r="H2" s="332"/>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333"/>
    </row>
    <row r="3">
      <c r="A3" s="334" t="s">
        <v>231</v>
      </c>
      <c r="B3" s="37"/>
      <c r="C3" s="37"/>
      <c r="D3" s="37"/>
      <c r="E3" s="37"/>
      <c r="F3" s="90"/>
      <c r="G3" s="90"/>
      <c r="H3" s="92"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335"/>
    </row>
    <row r="4">
      <c r="A4" s="96"/>
      <c r="B4" s="96"/>
      <c r="C4" s="96"/>
      <c r="D4" s="96"/>
      <c r="E4" s="97" t="s">
        <v>232</v>
      </c>
      <c r="F4" s="98" t="str">
        <f>'Main CEA'!F193</f>
        <v>xcash</v>
      </c>
      <c r="G4" s="98" t="s">
        <v>74</v>
      </c>
      <c r="H4" s="100"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336"/>
    </row>
    <row r="5">
      <c r="A5" s="95" t="s">
        <v>233</v>
      </c>
      <c r="B5" s="37"/>
      <c r="C5" s="37"/>
      <c r="D5" s="37"/>
      <c r="E5" s="37"/>
      <c r="F5" s="37"/>
      <c r="G5" s="37"/>
      <c r="H5" s="104"/>
      <c r="I5" s="264"/>
      <c r="J5" s="264"/>
      <c r="K5" s="264"/>
      <c r="L5" s="264"/>
      <c r="M5" s="264"/>
      <c r="N5" s="264"/>
      <c r="O5" s="264"/>
      <c r="P5" s="264"/>
      <c r="Q5" s="264"/>
      <c r="R5" s="264"/>
      <c r="S5" s="264"/>
      <c r="T5" s="264"/>
      <c r="U5" s="264"/>
      <c r="V5" s="264"/>
      <c r="W5" s="264"/>
      <c r="X5" s="264"/>
      <c r="Y5" s="264"/>
      <c r="Z5" s="264"/>
      <c r="AA5" s="264"/>
      <c r="AB5" s="264"/>
      <c r="AC5" s="337"/>
    </row>
    <row r="6">
      <c r="A6" s="107"/>
      <c r="B6" s="108"/>
      <c r="C6" s="108"/>
      <c r="D6" s="108"/>
      <c r="E6" s="109"/>
      <c r="F6" s="110"/>
      <c r="G6" s="110"/>
      <c r="H6" s="112"/>
      <c r="I6" s="117"/>
      <c r="J6" s="117"/>
      <c r="K6" s="117"/>
      <c r="L6" s="117"/>
      <c r="M6" s="117"/>
      <c r="N6" s="117"/>
      <c r="O6" s="117"/>
      <c r="P6" s="117"/>
      <c r="Q6" s="117"/>
      <c r="R6" s="117"/>
      <c r="S6" s="117"/>
      <c r="T6" s="117"/>
      <c r="U6" s="117"/>
      <c r="V6" s="117"/>
      <c r="W6" s="117"/>
      <c r="X6" s="117"/>
      <c r="Y6" s="117"/>
      <c r="Z6" s="117"/>
      <c r="AA6" s="117"/>
      <c r="AB6" s="117"/>
      <c r="AC6" s="24"/>
    </row>
    <row r="7">
      <c r="A7" s="107"/>
      <c r="B7" s="108"/>
      <c r="C7" s="147" t="s">
        <v>234</v>
      </c>
      <c r="F7" s="110"/>
      <c r="G7" s="338"/>
      <c r="H7" s="112"/>
      <c r="I7" s="117"/>
      <c r="J7" s="117"/>
      <c r="K7" s="117"/>
      <c r="L7" s="117"/>
      <c r="M7" s="117"/>
      <c r="N7" s="117"/>
      <c r="O7" s="117"/>
      <c r="P7" s="117"/>
      <c r="Q7" s="117"/>
      <c r="R7" s="117"/>
      <c r="S7" s="117"/>
      <c r="T7" s="117"/>
      <c r="U7" s="117"/>
      <c r="V7" s="117"/>
      <c r="W7" s="117"/>
      <c r="X7" s="117"/>
      <c r="Y7" s="117"/>
      <c r="Z7" s="117"/>
      <c r="AA7" s="117"/>
      <c r="AB7" s="117"/>
      <c r="AC7" s="24"/>
    </row>
    <row r="8">
      <c r="A8" s="107"/>
      <c r="B8" s="108"/>
      <c r="C8" s="147"/>
      <c r="D8" s="108"/>
      <c r="E8" s="178" t="str">
        <f>HYPERLINK(buildUrl(CELL("address", Inputs!E22)), Inputs!E22)</f>
        <v>Malaria mortalities per year among people under age 5</v>
      </c>
      <c r="F8" s="154" t="str">
        <f>Inputs!F22</f>
        <v>#</v>
      </c>
      <c r="G8" s="154" t="str">
        <f>Inputs!G22</f>
        <v>input</v>
      </c>
      <c r="H8" s="265" t="str">
        <f>Inputs!H22</f>
        <v>-</v>
      </c>
      <c r="I8" s="277">
        <f>Inputs!I22</f>
        <v>6910</v>
      </c>
      <c r="J8" s="277">
        <f>Inputs!J22</f>
        <v>582</v>
      </c>
      <c r="K8" s="277">
        <f>Inputs!K22</f>
        <v>2780</v>
      </c>
      <c r="L8" s="277">
        <f>Inputs!L22</f>
        <v>2766</v>
      </c>
      <c r="M8" s="277">
        <f>Inputs!M22</f>
        <v>2408</v>
      </c>
      <c r="N8" s="277">
        <f>Inputs!N22</f>
        <v>1753</v>
      </c>
      <c r="O8" s="277">
        <f>Inputs!O22</f>
        <v>2509</v>
      </c>
      <c r="P8" s="277">
        <f>Inputs!P22</f>
        <v>3726</v>
      </c>
      <c r="Q8" s="277">
        <f>Inputs!Q22</f>
        <v>6310.369098</v>
      </c>
      <c r="R8" s="277">
        <f>Inputs!R22</f>
        <v>1946.768516</v>
      </c>
      <c r="S8" s="277">
        <f>Inputs!S22</f>
        <v>2525.95462</v>
      </c>
      <c r="T8" s="277">
        <f>Inputs!T22</f>
        <v>3863.160124</v>
      </c>
      <c r="U8" s="277">
        <f>Inputs!U22</f>
        <v>1159.106488</v>
      </c>
      <c r="V8" s="277">
        <f>Inputs!V22</f>
        <v>2235.297195</v>
      </c>
      <c r="W8" s="277">
        <f>Inputs!W22</f>
        <v>2153.286251</v>
      </c>
      <c r="X8" s="277">
        <f>Inputs!X22</f>
        <v>4770.056621</v>
      </c>
      <c r="Y8" s="277">
        <f>Inputs!Y22</f>
        <v>5952.332882</v>
      </c>
      <c r="Z8" s="277">
        <f>Inputs!Z22</f>
        <v>99</v>
      </c>
      <c r="AA8" s="277">
        <f>Inputs!AA22</f>
        <v>2278.182123</v>
      </c>
      <c r="AB8" s="277">
        <f>Inputs!AB22</f>
        <v>4689</v>
      </c>
      <c r="AC8" s="15"/>
    </row>
    <row r="9">
      <c r="A9" s="107"/>
      <c r="B9" s="108"/>
      <c r="C9" s="147"/>
      <c r="D9" s="108"/>
      <c r="E9" s="201" t="str">
        <f>HYPERLINK(buildUrl(CELL("address", Inputs!E23)), Inputs!E23)</f>
        <v>Early neonatal malaria mortalities per year (babies under 7 days old)</v>
      </c>
      <c r="F9" s="159" t="str">
        <f>Inputs!F23</f>
        <v>#</v>
      </c>
      <c r="G9" s="159" t="str">
        <f>Inputs!G23</f>
        <v>input</v>
      </c>
      <c r="H9" s="339" t="str">
        <f>Inputs!H23</f>
        <v>-</v>
      </c>
      <c r="I9" s="218">
        <f>Inputs!I23</f>
        <v>0</v>
      </c>
      <c r="J9" s="218">
        <f>Inputs!J23</f>
        <v>0</v>
      </c>
      <c r="K9" s="218">
        <f>Inputs!K23</f>
        <v>0</v>
      </c>
      <c r="L9" s="218">
        <f>Inputs!L23</f>
        <v>0</v>
      </c>
      <c r="M9" s="218">
        <f>Inputs!M23</f>
        <v>0</v>
      </c>
      <c r="N9" s="218">
        <f>Inputs!N23</f>
        <v>0</v>
      </c>
      <c r="O9" s="218">
        <f>Inputs!O23</f>
        <v>0</v>
      </c>
      <c r="P9" s="218">
        <f>Inputs!P23</f>
        <v>0</v>
      </c>
      <c r="Q9" s="218">
        <f>Inputs!Q23</f>
        <v>0</v>
      </c>
      <c r="R9" s="218">
        <f>Inputs!R23</f>
        <v>0</v>
      </c>
      <c r="S9" s="218">
        <f>Inputs!S23</f>
        <v>0</v>
      </c>
      <c r="T9" s="218">
        <f>Inputs!T23</f>
        <v>0</v>
      </c>
      <c r="U9" s="218">
        <f>Inputs!U23</f>
        <v>0</v>
      </c>
      <c r="V9" s="218">
        <f>Inputs!V23</f>
        <v>0</v>
      </c>
      <c r="W9" s="218">
        <f>Inputs!W23</f>
        <v>0</v>
      </c>
      <c r="X9" s="218">
        <f>Inputs!X23</f>
        <v>0</v>
      </c>
      <c r="Y9" s="218">
        <f>Inputs!Y23</f>
        <v>0</v>
      </c>
      <c r="Z9" s="218">
        <f>Inputs!Z23</f>
        <v>0</v>
      </c>
      <c r="AA9" s="218">
        <f>Inputs!AA23</f>
        <v>0</v>
      </c>
      <c r="AB9" s="218">
        <f>Inputs!AB23</f>
        <v>0</v>
      </c>
      <c r="AC9" s="19"/>
    </row>
    <row r="10">
      <c r="A10" s="107"/>
      <c r="B10" s="108"/>
      <c r="C10" s="147"/>
      <c r="D10" s="147"/>
      <c r="E10" s="201" t="str">
        <f>HYPERLINK(buildUrl(CELL("address", Inputs!E24)), Inputs!E24)</f>
        <v>Late neonatal malaria mortalities per year (babies between 7 and 27 days old)</v>
      </c>
      <c r="F10" s="340" t="str">
        <f>Inputs!F24</f>
        <v>#</v>
      </c>
      <c r="G10" s="340" t="str">
        <f>Inputs!G24</f>
        <v>input</v>
      </c>
      <c r="H10" s="339" t="str">
        <f>Inputs!H24</f>
        <v>-</v>
      </c>
      <c r="I10" s="218">
        <f>Inputs!I24</f>
        <v>315</v>
      </c>
      <c r="J10" s="218">
        <f>Inputs!J24</f>
        <v>24</v>
      </c>
      <c r="K10" s="218">
        <f>Inputs!K24</f>
        <v>135</v>
      </c>
      <c r="L10" s="218">
        <f>Inputs!L24</f>
        <v>165</v>
      </c>
      <c r="M10" s="218">
        <f>Inputs!M24</f>
        <v>143</v>
      </c>
      <c r="N10" s="218">
        <f>Inputs!N24</f>
        <v>104</v>
      </c>
      <c r="O10" s="218">
        <f>Inputs!O24</f>
        <v>150</v>
      </c>
      <c r="P10" s="218">
        <f>Inputs!P24</f>
        <v>164</v>
      </c>
      <c r="Q10" s="218">
        <f>Inputs!Q24</f>
        <v>159.3470041</v>
      </c>
      <c r="R10" s="218">
        <f>Inputs!R24</f>
        <v>95.61855998</v>
      </c>
      <c r="S10" s="218">
        <f>Inputs!S24</f>
        <v>143.5773073</v>
      </c>
      <c r="T10" s="218">
        <f>Inputs!T24</f>
        <v>129.0610436</v>
      </c>
      <c r="U10" s="218">
        <f>Inputs!U24</f>
        <v>69.97392707</v>
      </c>
      <c r="V10" s="218">
        <f>Inputs!V24</f>
        <v>102.3979599</v>
      </c>
      <c r="W10" s="218">
        <f>Inputs!W24</f>
        <v>117.5898727</v>
      </c>
      <c r="X10" s="218">
        <f>Inputs!X24</f>
        <v>256.0142374</v>
      </c>
      <c r="Y10" s="218">
        <f>Inputs!Y24</f>
        <v>152.644696</v>
      </c>
      <c r="Z10" s="218">
        <f>Inputs!Z24</f>
        <v>7</v>
      </c>
      <c r="AA10" s="218">
        <f>Inputs!AA24</f>
        <v>96.25746212</v>
      </c>
      <c r="AB10" s="218">
        <f>Inputs!AB24</f>
        <v>281</v>
      </c>
      <c r="AC10" s="19"/>
    </row>
    <row r="11">
      <c r="A11" s="107"/>
      <c r="B11" s="108"/>
      <c r="C11" s="147"/>
      <c r="D11" s="147"/>
      <c r="E11" s="260" t="str">
        <f>HYPERLINK(buildUrl(CELL("address", Inputs!E25)), Inputs!E25)</f>
        <v>Post-neonatal malaria mortalities per year (babies between 28 and 364 days old)</v>
      </c>
      <c r="F11" s="341" t="str">
        <f>Inputs!F25</f>
        <v>#</v>
      </c>
      <c r="G11" s="341" t="str">
        <f>Inputs!G25</f>
        <v>input</v>
      </c>
      <c r="H11" s="342" t="str">
        <f>Inputs!H25</f>
        <v>-</v>
      </c>
      <c r="I11" s="221">
        <f>Inputs!I25</f>
        <v>2269</v>
      </c>
      <c r="J11" s="221">
        <f>Inputs!J25</f>
        <v>171</v>
      </c>
      <c r="K11" s="221">
        <f>Inputs!K25</f>
        <v>1048</v>
      </c>
      <c r="L11" s="221">
        <f>Inputs!L25</f>
        <v>1131</v>
      </c>
      <c r="M11" s="221">
        <f>Inputs!M25</f>
        <v>985</v>
      </c>
      <c r="N11" s="221">
        <f>Inputs!N25</f>
        <v>717</v>
      </c>
      <c r="O11" s="221">
        <f>Inputs!O25</f>
        <v>1026</v>
      </c>
      <c r="P11" s="221">
        <f>Inputs!P25</f>
        <v>1741</v>
      </c>
      <c r="Q11" s="221">
        <f>Inputs!Q25</f>
        <v>1316.323721</v>
      </c>
      <c r="R11" s="221">
        <f>Inputs!R25</f>
        <v>579.8918146</v>
      </c>
      <c r="S11" s="221">
        <f>Inputs!S25</f>
        <v>967.3492147</v>
      </c>
      <c r="T11" s="221">
        <f>Inputs!T25</f>
        <v>912.8296952</v>
      </c>
      <c r="U11" s="221">
        <f>Inputs!U25</f>
        <v>391.0566835</v>
      </c>
      <c r="V11" s="221">
        <f>Inputs!V25</f>
        <v>739.9298848</v>
      </c>
      <c r="W11" s="221">
        <f>Inputs!W25</f>
        <v>751.4804856</v>
      </c>
      <c r="X11" s="221">
        <f>Inputs!X25</f>
        <v>1789.39109</v>
      </c>
      <c r="Y11" s="221">
        <f>Inputs!Y25</f>
        <v>1280.356355</v>
      </c>
      <c r="Z11" s="221">
        <f>Inputs!Z25</f>
        <v>48</v>
      </c>
      <c r="AA11" s="221">
        <f>Inputs!AA25</f>
        <v>691.2779171</v>
      </c>
      <c r="AB11" s="221">
        <f>Inputs!AB25</f>
        <v>2056</v>
      </c>
      <c r="AC11" s="23"/>
    </row>
    <row r="12">
      <c r="A12" s="107"/>
      <c r="B12" s="108"/>
      <c r="C12" s="147"/>
      <c r="D12" s="147"/>
      <c r="E12" s="124"/>
      <c r="F12" s="110"/>
      <c r="G12" s="338"/>
      <c r="H12" s="112"/>
      <c r="I12" s="291"/>
      <c r="J12" s="291"/>
      <c r="K12" s="291"/>
      <c r="L12" s="291"/>
      <c r="M12" s="291"/>
      <c r="N12" s="291"/>
      <c r="O12" s="291"/>
      <c r="P12" s="291"/>
      <c r="Q12" s="291"/>
      <c r="R12" s="291"/>
      <c r="S12" s="291"/>
      <c r="T12" s="291"/>
      <c r="U12" s="291"/>
      <c r="V12" s="291"/>
      <c r="W12" s="291"/>
      <c r="X12" s="117"/>
      <c r="Y12" s="117"/>
      <c r="Z12" s="117"/>
      <c r="AA12" s="117"/>
      <c r="AB12" s="117"/>
      <c r="AC12" s="24"/>
    </row>
    <row r="13">
      <c r="A13" s="107"/>
      <c r="B13" s="108"/>
      <c r="C13" s="147" t="s">
        <v>235</v>
      </c>
      <c r="F13" s="110"/>
      <c r="G13" s="338"/>
      <c r="H13" s="112"/>
      <c r="I13" s="117"/>
      <c r="J13" s="117"/>
      <c r="K13" s="117"/>
      <c r="L13" s="117"/>
      <c r="M13" s="117"/>
      <c r="N13" s="117"/>
      <c r="O13" s="117"/>
      <c r="P13" s="117"/>
      <c r="Q13" s="117"/>
      <c r="R13" s="117"/>
      <c r="S13" s="117"/>
      <c r="T13" s="117"/>
      <c r="U13" s="117"/>
      <c r="V13" s="117"/>
      <c r="W13" s="117"/>
      <c r="X13" s="117"/>
      <c r="Y13" s="117"/>
      <c r="Z13" s="117"/>
      <c r="AA13" s="117"/>
      <c r="AB13" s="117"/>
      <c r="AC13" s="24"/>
    </row>
    <row r="14">
      <c r="A14" s="107"/>
      <c r="B14" s="108"/>
      <c r="C14" s="108"/>
      <c r="D14" s="108"/>
      <c r="E14" s="178" t="str">
        <f>HYPERLINK(buildUrl(CELL("address", Inputs!E26)), Inputs!E26)</f>
        <v>Number of post-neonatal months of life in which children are under 1 year old</v>
      </c>
      <c r="F14" s="154" t="str">
        <f>Inputs!F26</f>
        <v>#</v>
      </c>
      <c r="G14" s="343" t="str">
        <f>Inputs!G26</f>
        <v>input</v>
      </c>
      <c r="H14" s="310">
        <f>Inputs!H26</f>
        <v>11</v>
      </c>
      <c r="I14" s="275" t="str">
        <f>Inputs!I26</f>
        <v>-</v>
      </c>
      <c r="J14" s="275" t="str">
        <f>Inputs!J26</f>
        <v>-</v>
      </c>
      <c r="K14" s="275" t="str">
        <f>Inputs!K26</f>
        <v>-</v>
      </c>
      <c r="L14" s="275" t="str">
        <f>Inputs!L26</f>
        <v>-</v>
      </c>
      <c r="M14" s="275" t="str">
        <f>Inputs!M26</f>
        <v>-</v>
      </c>
      <c r="N14" s="275" t="str">
        <f>Inputs!N26</f>
        <v>-</v>
      </c>
      <c r="O14" s="275" t="str">
        <f>Inputs!O26</f>
        <v>-</v>
      </c>
      <c r="P14" s="275" t="str">
        <f>Inputs!P26</f>
        <v>-</v>
      </c>
      <c r="Q14" s="275" t="str">
        <f>Inputs!Q26</f>
        <v>-</v>
      </c>
      <c r="R14" s="275" t="str">
        <f>Inputs!R26</f>
        <v>-</v>
      </c>
      <c r="S14" s="275" t="str">
        <f>Inputs!S26</f>
        <v>-</v>
      </c>
      <c r="T14" s="275" t="str">
        <f>Inputs!T26</f>
        <v>-</v>
      </c>
      <c r="U14" s="275" t="str">
        <f>Inputs!U26</f>
        <v>-</v>
      </c>
      <c r="V14" s="275" t="str">
        <f>Inputs!V26</f>
        <v>-</v>
      </c>
      <c r="W14" s="275" t="str">
        <f>Inputs!W26</f>
        <v>-</v>
      </c>
      <c r="X14" s="275" t="str">
        <f>Inputs!X26</f>
        <v>-</v>
      </c>
      <c r="Y14" s="275" t="str">
        <f>Inputs!Y26</f>
        <v>-</v>
      </c>
      <c r="Z14" s="275" t="str">
        <f>Inputs!Z26</f>
        <v>-</v>
      </c>
      <c r="AA14" s="275" t="str">
        <f>Inputs!AA26</f>
        <v>-</v>
      </c>
      <c r="AB14" s="275" t="str">
        <f>Inputs!AB26</f>
        <v>-</v>
      </c>
      <c r="AC14" s="15"/>
    </row>
    <row r="15">
      <c r="A15" s="107"/>
      <c r="B15" s="108"/>
      <c r="C15" s="147"/>
      <c r="D15" s="108"/>
      <c r="E15" s="178" t="str">
        <f>HYPERLINK(buildUrl(CELL("address", Inputs!E27)), Inputs!E27)</f>
        <v>Number of post-neonatal months of life in which children are under 3 months old</v>
      </c>
      <c r="F15" s="159" t="str">
        <f>Inputs!F27</f>
        <v>#</v>
      </c>
      <c r="G15" s="159" t="str">
        <f>Inputs!G27</f>
        <v>input</v>
      </c>
      <c r="H15" s="339">
        <f>Inputs!H27</f>
        <v>2</v>
      </c>
      <c r="I15" s="344" t="str">
        <f>Inputs!I27</f>
        <v>-</v>
      </c>
      <c r="J15" s="344" t="str">
        <f>Inputs!J27</f>
        <v>-</v>
      </c>
      <c r="K15" s="344" t="str">
        <f>Inputs!K27</f>
        <v>-</v>
      </c>
      <c r="L15" s="344" t="str">
        <f>Inputs!L27</f>
        <v>-</v>
      </c>
      <c r="M15" s="344" t="str">
        <f>Inputs!M27</f>
        <v>-</v>
      </c>
      <c r="N15" s="344" t="str">
        <f>Inputs!N27</f>
        <v>-</v>
      </c>
      <c r="O15" s="344" t="str">
        <f>Inputs!O27</f>
        <v>-</v>
      </c>
      <c r="P15" s="344" t="str">
        <f>Inputs!P27</f>
        <v>-</v>
      </c>
      <c r="Q15" s="344" t="str">
        <f>Inputs!Q27</f>
        <v>-</v>
      </c>
      <c r="R15" s="344" t="str">
        <f>Inputs!R27</f>
        <v>-</v>
      </c>
      <c r="S15" s="344" t="str">
        <f>Inputs!S27</f>
        <v>-</v>
      </c>
      <c r="T15" s="344" t="str">
        <f>Inputs!T27</f>
        <v>-</v>
      </c>
      <c r="U15" s="344" t="str">
        <f>Inputs!U27</f>
        <v>-</v>
      </c>
      <c r="V15" s="344" t="str">
        <f>Inputs!V27</f>
        <v>-</v>
      </c>
      <c r="W15" s="344" t="str">
        <f>Inputs!W27</f>
        <v>-</v>
      </c>
      <c r="X15" s="344" t="str">
        <f>Inputs!X27</f>
        <v>-</v>
      </c>
      <c r="Y15" s="344" t="str">
        <f>Inputs!Y27</f>
        <v>-</v>
      </c>
      <c r="Z15" s="344" t="str">
        <f>Inputs!Z27</f>
        <v>-</v>
      </c>
      <c r="AA15" s="344" t="str">
        <f>Inputs!AA27</f>
        <v>-</v>
      </c>
      <c r="AB15" s="344" t="str">
        <f>Inputs!AB27</f>
        <v>-</v>
      </c>
      <c r="AC15" s="19"/>
    </row>
    <row r="16">
      <c r="A16" s="107"/>
      <c r="B16" s="108"/>
      <c r="C16" s="147"/>
      <c r="D16" s="108"/>
      <c r="E16" s="201" t="s">
        <v>236</v>
      </c>
      <c r="F16" s="159" t="s">
        <v>59</v>
      </c>
      <c r="G16" s="159" t="s">
        <v>70</v>
      </c>
      <c r="H16" s="203">
        <f>H15/H14</f>
        <v>0.1818181818</v>
      </c>
      <c r="I16" s="209" t="s">
        <v>132</v>
      </c>
      <c r="J16" s="209" t="s">
        <v>132</v>
      </c>
      <c r="K16" s="209" t="s">
        <v>132</v>
      </c>
      <c r="L16" s="209" t="s">
        <v>132</v>
      </c>
      <c r="M16" s="209" t="s">
        <v>132</v>
      </c>
      <c r="N16" s="209" t="s">
        <v>132</v>
      </c>
      <c r="O16" s="209" t="s">
        <v>132</v>
      </c>
      <c r="P16" s="209" t="s">
        <v>132</v>
      </c>
      <c r="Q16" s="209" t="s">
        <v>132</v>
      </c>
      <c r="R16" s="209" t="s">
        <v>132</v>
      </c>
      <c r="S16" s="209" t="s">
        <v>132</v>
      </c>
      <c r="T16" s="209" t="s">
        <v>132</v>
      </c>
      <c r="U16" s="209" t="s">
        <v>132</v>
      </c>
      <c r="V16" s="209" t="s">
        <v>132</v>
      </c>
      <c r="W16" s="209" t="s">
        <v>132</v>
      </c>
      <c r="X16" s="209" t="s">
        <v>132</v>
      </c>
      <c r="Y16" s="209" t="s">
        <v>132</v>
      </c>
      <c r="Z16" s="209" t="s">
        <v>132</v>
      </c>
      <c r="AA16" s="209" t="s">
        <v>132</v>
      </c>
      <c r="AB16" s="209" t="s">
        <v>132</v>
      </c>
      <c r="AC16" s="19"/>
    </row>
    <row r="17">
      <c r="A17" s="107"/>
      <c r="B17" s="108"/>
      <c r="C17" s="147"/>
      <c r="D17" s="108"/>
      <c r="E17" s="201" t="s">
        <v>237</v>
      </c>
      <c r="F17" s="159" t="s">
        <v>49</v>
      </c>
      <c r="G17" s="159" t="s">
        <v>70</v>
      </c>
      <c r="H17" s="216" t="s">
        <v>132</v>
      </c>
      <c r="I17" s="209">
        <f t="shared" ref="I17:AB17" si="1">I11*$H16</f>
        <v>412.5454545</v>
      </c>
      <c r="J17" s="209">
        <f t="shared" si="1"/>
        <v>31.09090909</v>
      </c>
      <c r="K17" s="209">
        <f t="shared" si="1"/>
        <v>190.5454545</v>
      </c>
      <c r="L17" s="209">
        <f t="shared" si="1"/>
        <v>205.6363636</v>
      </c>
      <c r="M17" s="209">
        <f t="shared" si="1"/>
        <v>179.0909091</v>
      </c>
      <c r="N17" s="209">
        <f t="shared" si="1"/>
        <v>130.3636364</v>
      </c>
      <c r="O17" s="209">
        <f t="shared" si="1"/>
        <v>186.5454545</v>
      </c>
      <c r="P17" s="209">
        <f t="shared" si="1"/>
        <v>316.5454545</v>
      </c>
      <c r="Q17" s="209">
        <f t="shared" si="1"/>
        <v>239.3315856</v>
      </c>
      <c r="R17" s="209">
        <f t="shared" si="1"/>
        <v>105.4348754</v>
      </c>
      <c r="S17" s="209">
        <f t="shared" si="1"/>
        <v>175.8816754</v>
      </c>
      <c r="T17" s="209">
        <f t="shared" si="1"/>
        <v>165.9690355</v>
      </c>
      <c r="U17" s="209">
        <f t="shared" si="1"/>
        <v>71.10121518</v>
      </c>
      <c r="V17" s="209">
        <f t="shared" si="1"/>
        <v>134.5327063</v>
      </c>
      <c r="W17" s="209">
        <f t="shared" si="1"/>
        <v>136.6328156</v>
      </c>
      <c r="X17" s="209">
        <f t="shared" si="1"/>
        <v>325.3438345</v>
      </c>
      <c r="Y17" s="209">
        <f t="shared" si="1"/>
        <v>232.7920645</v>
      </c>
      <c r="Z17" s="209">
        <f t="shared" si="1"/>
        <v>8.727272727</v>
      </c>
      <c r="AA17" s="209">
        <f t="shared" si="1"/>
        <v>125.686894</v>
      </c>
      <c r="AB17" s="209">
        <f t="shared" si="1"/>
        <v>373.8181818</v>
      </c>
      <c r="AC17" s="19"/>
    </row>
    <row r="18">
      <c r="A18" s="107"/>
      <c r="B18" s="108"/>
      <c r="C18" s="147"/>
      <c r="D18" s="108"/>
      <c r="E18" s="201" t="s">
        <v>238</v>
      </c>
      <c r="F18" s="159" t="s">
        <v>49</v>
      </c>
      <c r="G18" s="159" t="s">
        <v>70</v>
      </c>
      <c r="H18" s="216" t="s">
        <v>132</v>
      </c>
      <c r="I18" s="209">
        <f t="shared" ref="I18:AB18" si="2">I8-SUM(I9:I10,I17)</f>
        <v>6182.454545</v>
      </c>
      <c r="J18" s="209">
        <f t="shared" si="2"/>
        <v>526.9090909</v>
      </c>
      <c r="K18" s="209">
        <f t="shared" si="2"/>
        <v>2454.454545</v>
      </c>
      <c r="L18" s="209">
        <f t="shared" si="2"/>
        <v>2395.363636</v>
      </c>
      <c r="M18" s="209">
        <f t="shared" si="2"/>
        <v>2085.909091</v>
      </c>
      <c r="N18" s="209">
        <f t="shared" si="2"/>
        <v>1518.636364</v>
      </c>
      <c r="O18" s="209">
        <f t="shared" si="2"/>
        <v>2172.454545</v>
      </c>
      <c r="P18" s="209">
        <f t="shared" si="2"/>
        <v>3245.454545</v>
      </c>
      <c r="Q18" s="209">
        <f t="shared" si="2"/>
        <v>5911.690508</v>
      </c>
      <c r="R18" s="209">
        <f t="shared" si="2"/>
        <v>1745.715081</v>
      </c>
      <c r="S18" s="209">
        <f t="shared" si="2"/>
        <v>2206.495637</v>
      </c>
      <c r="T18" s="209">
        <f t="shared" si="2"/>
        <v>3568.130045</v>
      </c>
      <c r="U18" s="209">
        <f t="shared" si="2"/>
        <v>1018.031346</v>
      </c>
      <c r="V18" s="209">
        <f t="shared" si="2"/>
        <v>1998.366529</v>
      </c>
      <c r="W18" s="209">
        <f t="shared" si="2"/>
        <v>1899.063563</v>
      </c>
      <c r="X18" s="209">
        <f t="shared" si="2"/>
        <v>4188.698549</v>
      </c>
      <c r="Y18" s="209">
        <f t="shared" si="2"/>
        <v>5566.896121</v>
      </c>
      <c r="Z18" s="209">
        <f t="shared" si="2"/>
        <v>83.27272727</v>
      </c>
      <c r="AA18" s="209">
        <f t="shared" si="2"/>
        <v>2056.237767</v>
      </c>
      <c r="AB18" s="209">
        <f t="shared" si="2"/>
        <v>4034.181818</v>
      </c>
      <c r="AC18" s="19"/>
    </row>
    <row r="19">
      <c r="A19" s="107"/>
      <c r="B19" s="108"/>
      <c r="C19" s="108"/>
      <c r="D19" s="108"/>
      <c r="E19" s="260" t="s">
        <v>239</v>
      </c>
      <c r="F19" s="164" t="s">
        <v>59</v>
      </c>
      <c r="G19" s="345" t="s">
        <v>70</v>
      </c>
      <c r="H19" s="220" t="s">
        <v>132</v>
      </c>
      <c r="I19" s="346">
        <f t="shared" ref="I19:AB19" si="3">I18/I8</f>
        <v>0.8947112222</v>
      </c>
      <c r="J19" s="346">
        <f t="shared" si="3"/>
        <v>0.9053420806</v>
      </c>
      <c r="K19" s="346">
        <f t="shared" si="3"/>
        <v>0.8828973185</v>
      </c>
      <c r="L19" s="346">
        <f t="shared" si="3"/>
        <v>0.8660027608</v>
      </c>
      <c r="M19" s="346">
        <f t="shared" si="3"/>
        <v>0.8662413168</v>
      </c>
      <c r="N19" s="346">
        <f t="shared" si="3"/>
        <v>0.8663071099</v>
      </c>
      <c r="O19" s="346">
        <f t="shared" si="3"/>
        <v>0.8658647052</v>
      </c>
      <c r="P19" s="346">
        <f t="shared" si="3"/>
        <v>0.8710291319</v>
      </c>
      <c r="Q19" s="346">
        <f t="shared" si="3"/>
        <v>0.9368216687</v>
      </c>
      <c r="R19" s="346">
        <f t="shared" si="3"/>
        <v>0.896724529</v>
      </c>
      <c r="S19" s="346">
        <f t="shared" si="3"/>
        <v>0.8735294054</v>
      </c>
      <c r="T19" s="346">
        <f t="shared" si="3"/>
        <v>0.9236298601</v>
      </c>
      <c r="U19" s="346">
        <f t="shared" si="3"/>
        <v>0.8782897484</v>
      </c>
      <c r="V19" s="346">
        <f t="shared" si="3"/>
        <v>0.8940048479</v>
      </c>
      <c r="W19" s="346">
        <f t="shared" si="3"/>
        <v>0.8819373466</v>
      </c>
      <c r="X19" s="346">
        <f t="shared" si="3"/>
        <v>0.8781234442</v>
      </c>
      <c r="Y19" s="346">
        <f t="shared" si="3"/>
        <v>0.9352461013</v>
      </c>
      <c r="Z19" s="346">
        <f t="shared" si="3"/>
        <v>0.8411386593</v>
      </c>
      <c r="AA19" s="346">
        <f t="shared" si="3"/>
        <v>0.9025783084</v>
      </c>
      <c r="AB19" s="346">
        <f t="shared" si="3"/>
        <v>0.8603501425</v>
      </c>
      <c r="AC19" s="23"/>
    </row>
    <row r="20">
      <c r="A20" s="107"/>
      <c r="B20" s="108"/>
      <c r="C20" s="108"/>
      <c r="D20" s="108"/>
      <c r="E20" s="124"/>
      <c r="F20" s="125"/>
      <c r="G20" s="347"/>
      <c r="H20" s="348"/>
      <c r="I20" s="117"/>
      <c r="J20" s="117"/>
      <c r="K20" s="117"/>
      <c r="L20" s="117"/>
      <c r="M20" s="117"/>
      <c r="N20" s="117"/>
      <c r="O20" s="117"/>
      <c r="P20" s="117"/>
      <c r="Q20" s="117"/>
      <c r="R20" s="117"/>
      <c r="S20" s="117"/>
      <c r="T20" s="117"/>
      <c r="U20" s="117"/>
      <c r="V20" s="117"/>
      <c r="W20" s="117"/>
      <c r="X20" s="117"/>
      <c r="Y20" s="117"/>
      <c r="Z20" s="117"/>
      <c r="AA20" s="117"/>
      <c r="AB20" s="117"/>
      <c r="AC20" s="24"/>
    </row>
    <row r="21">
      <c r="A21" s="107"/>
      <c r="B21" s="108"/>
      <c r="C21" s="147" t="s">
        <v>240</v>
      </c>
      <c r="F21" s="125"/>
      <c r="G21" s="347"/>
      <c r="H21" s="348"/>
      <c r="I21" s="117"/>
      <c r="J21" s="117"/>
      <c r="K21" s="117"/>
      <c r="L21" s="117"/>
      <c r="M21" s="117"/>
      <c r="N21" s="117"/>
      <c r="O21" s="117"/>
      <c r="P21" s="117"/>
      <c r="Q21" s="117"/>
      <c r="R21" s="117"/>
      <c r="S21" s="117"/>
      <c r="T21" s="117"/>
      <c r="U21" s="117"/>
      <c r="V21" s="117"/>
      <c r="W21" s="117"/>
      <c r="X21" s="117"/>
      <c r="Y21" s="117"/>
      <c r="Z21" s="117"/>
      <c r="AA21" s="117"/>
      <c r="AB21" s="117"/>
      <c r="AC21" s="24"/>
    </row>
    <row r="22">
      <c r="A22" s="107"/>
      <c r="B22" s="108"/>
      <c r="C22" s="108"/>
      <c r="D22" s="108"/>
      <c r="E22" s="178" t="str">
        <f>HYPERLINK(buildUrl(CELL("address", Inputs!E30)), Inputs!E30)</f>
        <v>Annual malaria mortality rate among people under age 5</v>
      </c>
      <c r="F22" s="154" t="str">
        <f>Inputs!F30</f>
        <v>per 100k</v>
      </c>
      <c r="G22" s="349" t="str">
        <f>Inputs!G30</f>
        <v>input</v>
      </c>
      <c r="H22" s="350" t="str">
        <f>Inputs!H30</f>
        <v>-</v>
      </c>
      <c r="I22" s="351">
        <f>Inputs!I30</f>
        <v>335</v>
      </c>
      <c r="J22" s="351">
        <f>Inputs!J30</f>
        <v>293</v>
      </c>
      <c r="K22" s="351">
        <f>Inputs!K30</f>
        <v>295</v>
      </c>
      <c r="L22" s="277">
        <f>Inputs!L30</f>
        <v>379</v>
      </c>
      <c r="M22" s="277">
        <f>Inputs!M30</f>
        <v>407</v>
      </c>
      <c r="N22" s="277">
        <f>Inputs!N30</f>
        <v>449</v>
      </c>
      <c r="O22" s="277">
        <f>Inputs!O30</f>
        <v>485</v>
      </c>
      <c r="P22" s="277">
        <f>Inputs!P30</f>
        <v>351</v>
      </c>
      <c r="Q22" s="351">
        <f>Inputs!Q30</f>
        <v>554</v>
      </c>
      <c r="R22" s="351">
        <f>Inputs!R30</f>
        <v>357</v>
      </c>
      <c r="S22" s="351">
        <f>Inputs!S30</f>
        <v>333</v>
      </c>
      <c r="T22" s="351">
        <f>Inputs!T30</f>
        <v>716</v>
      </c>
      <c r="U22" s="351">
        <f>Inputs!U30</f>
        <v>373</v>
      </c>
      <c r="V22" s="351">
        <f>Inputs!V30</f>
        <v>361</v>
      </c>
      <c r="W22" s="351">
        <f>Inputs!W30</f>
        <v>289</v>
      </c>
      <c r="X22" s="351">
        <f>Inputs!X30</f>
        <v>366</v>
      </c>
      <c r="Y22" s="351">
        <f>Inputs!Y30</f>
        <v>588</v>
      </c>
      <c r="Z22" s="351">
        <f>Inputs!Z30</f>
        <v>280</v>
      </c>
      <c r="AA22" s="351">
        <f>Inputs!AA30</f>
        <v>194.2996635</v>
      </c>
      <c r="AB22" s="277">
        <f>Inputs!AB30</f>
        <v>248</v>
      </c>
      <c r="AC22" s="15"/>
    </row>
    <row r="23">
      <c r="A23" s="107"/>
      <c r="B23" s="108"/>
      <c r="C23" s="108"/>
      <c r="D23" s="108"/>
      <c r="E23" s="201" t="s">
        <v>241</v>
      </c>
      <c r="F23" s="159" t="s">
        <v>49</v>
      </c>
      <c r="G23" s="352" t="s">
        <v>70</v>
      </c>
      <c r="H23" s="216" t="s">
        <v>132</v>
      </c>
      <c r="I23" s="218">
        <f t="shared" ref="I23:AB23" si="4">I8/I22*100000</f>
        <v>2062686.567</v>
      </c>
      <c r="J23" s="218">
        <f t="shared" si="4"/>
        <v>198634.8123</v>
      </c>
      <c r="K23" s="218">
        <f t="shared" si="4"/>
        <v>942372.8814</v>
      </c>
      <c r="L23" s="218">
        <f t="shared" si="4"/>
        <v>729815.3034</v>
      </c>
      <c r="M23" s="218">
        <f t="shared" si="4"/>
        <v>591646.1916</v>
      </c>
      <c r="N23" s="218">
        <f t="shared" si="4"/>
        <v>390423.1626</v>
      </c>
      <c r="O23" s="218">
        <f t="shared" si="4"/>
        <v>517319.5876</v>
      </c>
      <c r="P23" s="218">
        <f t="shared" si="4"/>
        <v>1061538.462</v>
      </c>
      <c r="Q23" s="218">
        <f t="shared" si="4"/>
        <v>1139055.794</v>
      </c>
      <c r="R23" s="218">
        <f t="shared" si="4"/>
        <v>545313.3098</v>
      </c>
      <c r="S23" s="218">
        <f t="shared" si="4"/>
        <v>758544.9309</v>
      </c>
      <c r="T23" s="218">
        <f t="shared" si="4"/>
        <v>539547.5034</v>
      </c>
      <c r="U23" s="218">
        <f t="shared" si="4"/>
        <v>310752.4097</v>
      </c>
      <c r="V23" s="218">
        <f t="shared" si="4"/>
        <v>619195.8989</v>
      </c>
      <c r="W23" s="218">
        <f t="shared" si="4"/>
        <v>745081.7478</v>
      </c>
      <c r="X23" s="218">
        <f t="shared" si="4"/>
        <v>1303294.159</v>
      </c>
      <c r="Y23" s="218">
        <f t="shared" si="4"/>
        <v>1012301.511</v>
      </c>
      <c r="Z23" s="218">
        <f t="shared" si="4"/>
        <v>35357.14286</v>
      </c>
      <c r="AA23" s="218">
        <f t="shared" si="4"/>
        <v>1172509.557</v>
      </c>
      <c r="AB23" s="218">
        <f t="shared" si="4"/>
        <v>1890725.806</v>
      </c>
      <c r="AC23" s="19"/>
    </row>
    <row r="24">
      <c r="A24" s="107"/>
      <c r="B24" s="108"/>
      <c r="C24" s="108"/>
      <c r="D24" s="108"/>
      <c r="E24" s="201" t="str">
        <f>HYPERLINK(buildUrl(CELL("address", Inputs!E31)), Inputs!E31)</f>
        <v>Total number of months of life in which children are under 5 years old</v>
      </c>
      <c r="F24" s="159" t="str">
        <f>Inputs!F31</f>
        <v>#</v>
      </c>
      <c r="G24" s="352" t="str">
        <f>Inputs!G31</f>
        <v>input</v>
      </c>
      <c r="H24" s="256">
        <f>Inputs!H31</f>
        <v>60</v>
      </c>
      <c r="I24" s="344" t="str">
        <f>Inputs!I31</f>
        <v>-</v>
      </c>
      <c r="J24" s="344" t="str">
        <f>Inputs!J31</f>
        <v>-</v>
      </c>
      <c r="K24" s="344" t="str">
        <f>Inputs!K31</f>
        <v>-</v>
      </c>
      <c r="L24" s="344" t="str">
        <f>Inputs!L31</f>
        <v>-</v>
      </c>
      <c r="M24" s="344" t="str">
        <f>Inputs!M31</f>
        <v>-</v>
      </c>
      <c r="N24" s="344" t="str">
        <f>Inputs!N31</f>
        <v>-</v>
      </c>
      <c r="O24" s="344" t="str">
        <f>Inputs!O31</f>
        <v>-</v>
      </c>
      <c r="P24" s="344" t="str">
        <f>Inputs!P31</f>
        <v>-</v>
      </c>
      <c r="Q24" s="344" t="str">
        <f>Inputs!Q31</f>
        <v>-</v>
      </c>
      <c r="R24" s="344" t="str">
        <f>Inputs!R31</f>
        <v>-</v>
      </c>
      <c r="S24" s="344" t="str">
        <f>Inputs!S31</f>
        <v>-</v>
      </c>
      <c r="T24" s="344" t="str">
        <f>Inputs!T31</f>
        <v>-</v>
      </c>
      <c r="U24" s="344" t="str">
        <f>Inputs!U31</f>
        <v>-</v>
      </c>
      <c r="V24" s="344" t="str">
        <f>Inputs!V31</f>
        <v>-</v>
      </c>
      <c r="W24" s="344" t="str">
        <f>Inputs!W31</f>
        <v>-</v>
      </c>
      <c r="X24" s="344" t="str">
        <f>Inputs!X31</f>
        <v>-</v>
      </c>
      <c r="Y24" s="344" t="str">
        <f>Inputs!Y31</f>
        <v>-</v>
      </c>
      <c r="Z24" s="344" t="str">
        <f>Inputs!Z31</f>
        <v>-</v>
      </c>
      <c r="AA24" s="344" t="str">
        <f>Inputs!AA31</f>
        <v>-</v>
      </c>
      <c r="AB24" s="344" t="str">
        <f>Inputs!AB31</f>
        <v>-</v>
      </c>
      <c r="AC24" s="19"/>
    </row>
    <row r="25">
      <c r="A25" s="107"/>
      <c r="B25" s="108"/>
      <c r="C25" s="108"/>
      <c r="D25" s="108"/>
      <c r="E25" s="201" t="str">
        <f>HYPERLINK(buildUrl(CELL("address", Inputs!E32)), Inputs!E32)</f>
        <v>Number of months of life in which children are under 3 months old</v>
      </c>
      <c r="F25" s="159" t="str">
        <f>Inputs!F32</f>
        <v>#</v>
      </c>
      <c r="G25" s="352" t="str">
        <f>Inputs!G32</f>
        <v>input</v>
      </c>
      <c r="H25" s="256">
        <f>Inputs!H32</f>
        <v>3</v>
      </c>
      <c r="I25" s="344" t="str">
        <f>Inputs!I32</f>
        <v>-</v>
      </c>
      <c r="J25" s="344" t="str">
        <f>Inputs!J32</f>
        <v>-</v>
      </c>
      <c r="K25" s="344" t="str">
        <f>Inputs!K32</f>
        <v>-</v>
      </c>
      <c r="L25" s="344" t="str">
        <f>Inputs!L32</f>
        <v>-</v>
      </c>
      <c r="M25" s="344" t="str">
        <f>Inputs!M32</f>
        <v>-</v>
      </c>
      <c r="N25" s="344" t="str">
        <f>Inputs!N32</f>
        <v>-</v>
      </c>
      <c r="O25" s="344" t="str">
        <f>Inputs!O32</f>
        <v>-</v>
      </c>
      <c r="P25" s="344" t="str">
        <f>Inputs!P32</f>
        <v>-</v>
      </c>
      <c r="Q25" s="344" t="str">
        <f>Inputs!Q32</f>
        <v>-</v>
      </c>
      <c r="R25" s="344" t="str">
        <f>Inputs!R32</f>
        <v>-</v>
      </c>
      <c r="S25" s="344" t="str">
        <f>Inputs!S32</f>
        <v>-</v>
      </c>
      <c r="T25" s="344" t="str">
        <f>Inputs!T32</f>
        <v>-</v>
      </c>
      <c r="U25" s="344" t="str">
        <f>Inputs!U32</f>
        <v>-</v>
      </c>
      <c r="V25" s="344" t="str">
        <f>Inputs!V32</f>
        <v>-</v>
      </c>
      <c r="W25" s="344" t="str">
        <f>Inputs!W32</f>
        <v>-</v>
      </c>
      <c r="X25" s="344" t="str">
        <f>Inputs!X32</f>
        <v>-</v>
      </c>
      <c r="Y25" s="344" t="str">
        <f>Inputs!Y32</f>
        <v>-</v>
      </c>
      <c r="Z25" s="344" t="str">
        <f>Inputs!Z32</f>
        <v>-</v>
      </c>
      <c r="AA25" s="344" t="str">
        <f>Inputs!AA32</f>
        <v>-</v>
      </c>
      <c r="AB25" s="344" t="str">
        <f>Inputs!AB32</f>
        <v>-</v>
      </c>
      <c r="AC25" s="19"/>
    </row>
    <row r="26">
      <c r="A26" s="107"/>
      <c r="B26" s="108"/>
      <c r="C26" s="108"/>
      <c r="D26" s="108"/>
      <c r="E26" s="201" t="s">
        <v>242</v>
      </c>
      <c r="F26" s="159" t="s">
        <v>59</v>
      </c>
      <c r="G26" s="352" t="s">
        <v>70</v>
      </c>
      <c r="H26" s="203">
        <f>(H24-H25)/H24</f>
        <v>0.95</v>
      </c>
      <c r="I26" s="208" t="s">
        <v>132</v>
      </c>
      <c r="J26" s="208" t="s">
        <v>132</v>
      </c>
      <c r="K26" s="208" t="s">
        <v>132</v>
      </c>
      <c r="L26" s="208" t="s">
        <v>132</v>
      </c>
      <c r="M26" s="208" t="s">
        <v>132</v>
      </c>
      <c r="N26" s="208" t="s">
        <v>132</v>
      </c>
      <c r="O26" s="208" t="s">
        <v>132</v>
      </c>
      <c r="P26" s="208" t="s">
        <v>132</v>
      </c>
      <c r="Q26" s="208" t="s">
        <v>132</v>
      </c>
      <c r="R26" s="208" t="s">
        <v>132</v>
      </c>
      <c r="S26" s="208" t="s">
        <v>132</v>
      </c>
      <c r="T26" s="208" t="s">
        <v>132</v>
      </c>
      <c r="U26" s="208" t="s">
        <v>132</v>
      </c>
      <c r="V26" s="208" t="s">
        <v>132</v>
      </c>
      <c r="W26" s="208" t="s">
        <v>132</v>
      </c>
      <c r="X26" s="208" t="s">
        <v>132</v>
      </c>
      <c r="Y26" s="208" t="s">
        <v>132</v>
      </c>
      <c r="Z26" s="208" t="s">
        <v>132</v>
      </c>
      <c r="AA26" s="208" t="s">
        <v>132</v>
      </c>
      <c r="AB26" s="208" t="s">
        <v>132</v>
      </c>
      <c r="AC26" s="19"/>
    </row>
    <row r="27">
      <c r="A27" s="107"/>
      <c r="B27" s="108"/>
      <c r="C27" s="108"/>
      <c r="D27" s="108"/>
      <c r="E27" s="201" t="s">
        <v>243</v>
      </c>
      <c r="F27" s="159" t="s">
        <v>49</v>
      </c>
      <c r="G27" s="352" t="s">
        <v>70</v>
      </c>
      <c r="H27" s="216" t="s">
        <v>132</v>
      </c>
      <c r="I27" s="218">
        <f t="shared" ref="I27:AB27" si="5">I23*$H26</f>
        <v>1959552.239</v>
      </c>
      <c r="J27" s="218">
        <f t="shared" si="5"/>
        <v>188703.0717</v>
      </c>
      <c r="K27" s="218">
        <f t="shared" si="5"/>
        <v>895254.2373</v>
      </c>
      <c r="L27" s="218">
        <f t="shared" si="5"/>
        <v>693324.5383</v>
      </c>
      <c r="M27" s="218">
        <f t="shared" si="5"/>
        <v>562063.8821</v>
      </c>
      <c r="N27" s="218">
        <f t="shared" si="5"/>
        <v>370902.0045</v>
      </c>
      <c r="O27" s="218">
        <f t="shared" si="5"/>
        <v>491453.6082</v>
      </c>
      <c r="P27" s="218">
        <f t="shared" si="5"/>
        <v>1008461.538</v>
      </c>
      <c r="Q27" s="218">
        <f t="shared" si="5"/>
        <v>1082103.004</v>
      </c>
      <c r="R27" s="218">
        <f t="shared" si="5"/>
        <v>518047.6443</v>
      </c>
      <c r="S27" s="218">
        <f t="shared" si="5"/>
        <v>720617.6844</v>
      </c>
      <c r="T27" s="218">
        <f t="shared" si="5"/>
        <v>512570.1282</v>
      </c>
      <c r="U27" s="218">
        <f t="shared" si="5"/>
        <v>295214.7892</v>
      </c>
      <c r="V27" s="218">
        <f t="shared" si="5"/>
        <v>588236.1039</v>
      </c>
      <c r="W27" s="218">
        <f t="shared" si="5"/>
        <v>707827.6604</v>
      </c>
      <c r="X27" s="218">
        <f t="shared" si="5"/>
        <v>1238129.451</v>
      </c>
      <c r="Y27" s="218">
        <f t="shared" si="5"/>
        <v>961686.435</v>
      </c>
      <c r="Z27" s="218">
        <f t="shared" si="5"/>
        <v>33589.28571</v>
      </c>
      <c r="AA27" s="218">
        <f t="shared" si="5"/>
        <v>1113884.079</v>
      </c>
      <c r="AB27" s="218">
        <f t="shared" si="5"/>
        <v>1796189.516</v>
      </c>
      <c r="AC27" s="19"/>
    </row>
    <row r="28">
      <c r="A28" s="107"/>
      <c r="B28" s="108"/>
      <c r="C28" s="108"/>
      <c r="D28" s="108"/>
      <c r="E28" s="201" t="s">
        <v>244</v>
      </c>
      <c r="F28" s="159" t="s">
        <v>59</v>
      </c>
      <c r="G28" s="352" t="s">
        <v>70</v>
      </c>
      <c r="H28" s="216" t="s">
        <v>132</v>
      </c>
      <c r="I28" s="353">
        <f t="shared" ref="I28:AB28" si="6">I18/I27</f>
        <v>0.00315503431</v>
      </c>
      <c r="J28" s="353">
        <f t="shared" si="6"/>
        <v>0.002792265575</v>
      </c>
      <c r="K28" s="353">
        <f t="shared" si="6"/>
        <v>0.002741628515</v>
      </c>
      <c r="L28" s="353">
        <f t="shared" si="6"/>
        <v>0.003454895225</v>
      </c>
      <c r="M28" s="353">
        <f t="shared" si="6"/>
        <v>0.003711160168</v>
      </c>
      <c r="N28" s="353">
        <f t="shared" si="6"/>
        <v>0.004094440972</v>
      </c>
      <c r="O28" s="353">
        <f t="shared" si="6"/>
        <v>0.004420467179</v>
      </c>
      <c r="P28" s="353">
        <f t="shared" si="6"/>
        <v>0.003218223424</v>
      </c>
      <c r="Q28" s="353">
        <f t="shared" si="6"/>
        <v>0.00546314952</v>
      </c>
      <c r="R28" s="353">
        <f t="shared" si="6"/>
        <v>0.003369796388</v>
      </c>
      <c r="S28" s="353">
        <f t="shared" si="6"/>
        <v>0.003061950442</v>
      </c>
      <c r="T28" s="353">
        <f t="shared" si="6"/>
        <v>0.006961252419</v>
      </c>
      <c r="U28" s="353">
        <f t="shared" si="6"/>
        <v>0.003448442907</v>
      </c>
      <c r="V28" s="353">
        <f t="shared" si="6"/>
        <v>0.003397218422</v>
      </c>
      <c r="W28" s="353">
        <f t="shared" si="6"/>
        <v>0.002682946244</v>
      </c>
      <c r="X28" s="353">
        <f t="shared" si="6"/>
        <v>0.003383086111</v>
      </c>
      <c r="Y28" s="353">
        <f t="shared" si="6"/>
        <v>0.005788681132</v>
      </c>
      <c r="Z28" s="353">
        <f t="shared" si="6"/>
        <v>0.002479145522</v>
      </c>
      <c r="AA28" s="353">
        <f t="shared" si="6"/>
        <v>0.001846006964</v>
      </c>
      <c r="AB28" s="353">
        <f t="shared" si="6"/>
        <v>0.002245966688</v>
      </c>
      <c r="AC28" s="19"/>
    </row>
    <row r="29">
      <c r="A29" s="107"/>
      <c r="B29" s="108"/>
      <c r="C29" s="108"/>
      <c r="D29" s="108"/>
      <c r="E29" s="178" t="str">
        <f>HYPERLINK(buildUrl(CELL("address", Inputs!E33)), Inputs!E33)</f>
        <v>Adjustment for malaria averted by ITN distributions not accounted for in GBD 2019</v>
      </c>
      <c r="F29" s="154" t="str">
        <f>Inputs!F33</f>
        <v>%</v>
      </c>
      <c r="G29" s="349" t="str">
        <f>Inputs!G33</f>
        <v>input</v>
      </c>
      <c r="H29" s="354" t="str">
        <f>Inputs!H33</f>
        <v>-</v>
      </c>
      <c r="I29" s="133">
        <f>Inputs!I33</f>
        <v>0</v>
      </c>
      <c r="J29" s="133">
        <f>Inputs!J33</f>
        <v>0</v>
      </c>
      <c r="K29" s="133">
        <f>Inputs!K33</f>
        <v>0</v>
      </c>
      <c r="L29" s="133">
        <f>Inputs!L33</f>
        <v>0</v>
      </c>
      <c r="M29" s="133">
        <f>Inputs!M33</f>
        <v>0</v>
      </c>
      <c r="N29" s="133">
        <f>Inputs!N33</f>
        <v>0</v>
      </c>
      <c r="O29" s="133">
        <f>Inputs!O33</f>
        <v>0</v>
      </c>
      <c r="P29" s="133">
        <f>Inputs!P33</f>
        <v>0</v>
      </c>
      <c r="Q29" s="133">
        <f>Inputs!Q33</f>
        <v>-0.05</v>
      </c>
      <c r="R29" s="133">
        <f>Inputs!R33</f>
        <v>-0.05</v>
      </c>
      <c r="S29" s="133">
        <f>Inputs!S33</f>
        <v>-0.3512063</v>
      </c>
      <c r="T29" s="133">
        <f>Inputs!T33</f>
        <v>-0.05</v>
      </c>
      <c r="U29" s="133">
        <f>Inputs!U33</f>
        <v>-0.05</v>
      </c>
      <c r="V29" s="133">
        <f>Inputs!V33</f>
        <v>-0.05</v>
      </c>
      <c r="W29" s="133">
        <f>Inputs!W33</f>
        <v>-0.05</v>
      </c>
      <c r="X29" s="133">
        <f>Inputs!X33</f>
        <v>-0.05</v>
      </c>
      <c r="Y29" s="133">
        <f>Inputs!Y33</f>
        <v>-0.05</v>
      </c>
      <c r="Z29" s="133">
        <f>Inputs!Z33</f>
        <v>0</v>
      </c>
      <c r="AA29" s="133">
        <f>Inputs!AA33</f>
        <v>0</v>
      </c>
      <c r="AB29" s="133">
        <f>Inputs!AB33</f>
        <v>0</v>
      </c>
      <c r="AC29" s="15"/>
    </row>
    <row r="30">
      <c r="A30" s="107"/>
      <c r="B30" s="108"/>
      <c r="C30" s="108"/>
      <c r="D30" s="108"/>
      <c r="E30" s="118" t="s">
        <v>245</v>
      </c>
      <c r="F30" s="119" t="s">
        <v>59</v>
      </c>
      <c r="G30" s="355" t="s">
        <v>70</v>
      </c>
      <c r="H30" s="150" t="s">
        <v>132</v>
      </c>
      <c r="I30" s="356">
        <f t="shared" ref="I30:AB30" si="7">I28*(1+I29)</f>
        <v>0.00315503431</v>
      </c>
      <c r="J30" s="356">
        <f t="shared" si="7"/>
        <v>0.002792265575</v>
      </c>
      <c r="K30" s="356">
        <f t="shared" si="7"/>
        <v>0.002741628515</v>
      </c>
      <c r="L30" s="356">
        <f t="shared" si="7"/>
        <v>0.003454895225</v>
      </c>
      <c r="M30" s="356">
        <f t="shared" si="7"/>
        <v>0.003711160168</v>
      </c>
      <c r="N30" s="356">
        <f t="shared" si="7"/>
        <v>0.004094440972</v>
      </c>
      <c r="O30" s="356">
        <f t="shared" si="7"/>
        <v>0.004420467179</v>
      </c>
      <c r="P30" s="356">
        <f t="shared" si="7"/>
        <v>0.003218223424</v>
      </c>
      <c r="Q30" s="356">
        <f t="shared" si="7"/>
        <v>0.005189992044</v>
      </c>
      <c r="R30" s="356">
        <f t="shared" si="7"/>
        <v>0.003201306569</v>
      </c>
      <c r="S30" s="356">
        <f t="shared" si="7"/>
        <v>0.001986574157</v>
      </c>
      <c r="T30" s="356">
        <f t="shared" si="7"/>
        <v>0.006613189798</v>
      </c>
      <c r="U30" s="356">
        <f t="shared" si="7"/>
        <v>0.003276020762</v>
      </c>
      <c r="V30" s="356">
        <f t="shared" si="7"/>
        <v>0.003227357501</v>
      </c>
      <c r="W30" s="356">
        <f t="shared" si="7"/>
        <v>0.002548798932</v>
      </c>
      <c r="X30" s="356">
        <f t="shared" si="7"/>
        <v>0.003213931806</v>
      </c>
      <c r="Y30" s="356">
        <f t="shared" si="7"/>
        <v>0.005499247076</v>
      </c>
      <c r="Z30" s="356">
        <f t="shared" si="7"/>
        <v>0.002479145522</v>
      </c>
      <c r="AA30" s="356">
        <f t="shared" si="7"/>
        <v>0.001846006964</v>
      </c>
      <c r="AB30" s="356">
        <f t="shared" si="7"/>
        <v>0.002245966688</v>
      </c>
      <c r="AC30" s="39"/>
    </row>
    <row r="31">
      <c r="A31" s="107"/>
      <c r="B31" s="108"/>
      <c r="C31" s="108"/>
      <c r="D31" s="108"/>
      <c r="E31" s="124"/>
      <c r="F31" s="125"/>
      <c r="G31" s="347"/>
      <c r="H31" s="348"/>
      <c r="I31" s="117"/>
      <c r="J31" s="117"/>
      <c r="K31" s="117"/>
      <c r="L31" s="117"/>
      <c r="M31" s="117"/>
      <c r="N31" s="117"/>
      <c r="O31" s="117"/>
      <c r="P31" s="117"/>
      <c r="Q31" s="117"/>
      <c r="R31" s="117"/>
      <c r="S31" s="117"/>
      <c r="T31" s="117"/>
      <c r="U31" s="117"/>
      <c r="V31" s="117"/>
      <c r="W31" s="117"/>
      <c r="X31" s="117"/>
      <c r="Y31" s="117"/>
      <c r="Z31" s="117"/>
      <c r="AA31" s="117"/>
      <c r="AB31" s="117"/>
      <c r="AC31" s="24"/>
    </row>
    <row r="32">
      <c r="A32" s="107"/>
      <c r="B32" s="108"/>
      <c r="C32" s="152" t="s">
        <v>246</v>
      </c>
      <c r="F32" s="125"/>
      <c r="G32" s="347"/>
      <c r="H32" s="348"/>
      <c r="I32" s="117"/>
      <c r="J32" s="117"/>
      <c r="K32" s="117"/>
      <c r="L32" s="117"/>
      <c r="M32" s="117"/>
      <c r="N32" s="117"/>
      <c r="O32" s="117"/>
      <c r="P32" s="117"/>
      <c r="Q32" s="117"/>
      <c r="R32" s="117"/>
      <c r="S32" s="117"/>
      <c r="T32" s="117"/>
      <c r="U32" s="117"/>
      <c r="V32" s="117"/>
      <c r="W32" s="117"/>
      <c r="X32" s="117"/>
      <c r="Y32" s="117"/>
      <c r="Z32" s="117"/>
      <c r="AA32" s="117"/>
      <c r="AB32" s="117"/>
      <c r="AC32" s="24"/>
    </row>
    <row r="33">
      <c r="A33" s="107"/>
      <c r="B33" s="108"/>
      <c r="C33" s="108"/>
      <c r="D33" s="108"/>
      <c r="E33" s="178" t="str">
        <f>HYPERLINK(buildUrl(CELL("address", Inputs!E36)), Inputs!E36)</f>
        <v>Total malaria mortalities per year</v>
      </c>
      <c r="F33" s="154" t="str">
        <f>Inputs!F36</f>
        <v>#</v>
      </c>
      <c r="G33" s="349" t="str">
        <f>Inputs!G36</f>
        <v>input</v>
      </c>
      <c r="H33" s="350" t="str">
        <f>Inputs!H36</f>
        <v>-</v>
      </c>
      <c r="I33" s="277">
        <f>Inputs!I36</f>
        <v>11943</v>
      </c>
      <c r="J33" s="277">
        <f>Inputs!J36</f>
        <v>926</v>
      </c>
      <c r="K33" s="277">
        <f>Inputs!K36</f>
        <v>5829</v>
      </c>
      <c r="L33" s="277">
        <f>Inputs!L36</f>
        <v>3607</v>
      </c>
      <c r="M33" s="277">
        <f>Inputs!M36</f>
        <v>3140</v>
      </c>
      <c r="N33" s="277">
        <f>Inputs!N36</f>
        <v>2286</v>
      </c>
      <c r="O33" s="277">
        <f>Inputs!O36</f>
        <v>3272</v>
      </c>
      <c r="P33" s="277">
        <f>Inputs!P36</f>
        <v>9444</v>
      </c>
      <c r="Q33" s="277">
        <f>Inputs!Q36</f>
        <v>8241.349008</v>
      </c>
      <c r="R33" s="277">
        <f>Inputs!R36</f>
        <v>3790.634534</v>
      </c>
      <c r="S33" s="277">
        <f>Inputs!S36</f>
        <v>5429.375255</v>
      </c>
      <c r="T33" s="277">
        <f>Inputs!T36</f>
        <v>6060.643259</v>
      </c>
      <c r="U33" s="277">
        <f>Inputs!U36</f>
        <v>3106.693896</v>
      </c>
      <c r="V33" s="277">
        <f>Inputs!V36</f>
        <v>4403.622657</v>
      </c>
      <c r="W33" s="277">
        <f>Inputs!W36</f>
        <v>6495.373611</v>
      </c>
      <c r="X33" s="277">
        <f>Inputs!X36</f>
        <v>9889.762202</v>
      </c>
      <c r="Y33" s="277">
        <f>Inputs!Y36</f>
        <v>8078.866903</v>
      </c>
      <c r="Z33" s="277">
        <f>Inputs!Z36</f>
        <v>135</v>
      </c>
      <c r="AA33" s="277">
        <f>Inputs!AA36</f>
        <v>5776.359003</v>
      </c>
      <c r="AB33" s="277">
        <f>Inputs!AB36</f>
        <v>6280</v>
      </c>
      <c r="AC33" s="15"/>
    </row>
    <row r="34">
      <c r="A34" s="107"/>
      <c r="B34" s="108"/>
      <c r="C34" s="108"/>
      <c r="D34" s="108"/>
      <c r="E34" s="124" t="s">
        <v>247</v>
      </c>
      <c r="F34" s="125" t="s">
        <v>49</v>
      </c>
      <c r="G34" s="347" t="s">
        <v>70</v>
      </c>
      <c r="H34" s="278" t="s">
        <v>132</v>
      </c>
      <c r="I34" s="279">
        <f t="shared" ref="I34:AB34" si="8">I33-I8</f>
        <v>5033</v>
      </c>
      <c r="J34" s="279">
        <f t="shared" si="8"/>
        <v>344</v>
      </c>
      <c r="K34" s="279">
        <f t="shared" si="8"/>
        <v>3049</v>
      </c>
      <c r="L34" s="279">
        <f t="shared" si="8"/>
        <v>841</v>
      </c>
      <c r="M34" s="279">
        <f t="shared" si="8"/>
        <v>732</v>
      </c>
      <c r="N34" s="279">
        <f t="shared" si="8"/>
        <v>533</v>
      </c>
      <c r="O34" s="279">
        <f t="shared" si="8"/>
        <v>763</v>
      </c>
      <c r="P34" s="279">
        <f t="shared" si="8"/>
        <v>5718</v>
      </c>
      <c r="Q34" s="279">
        <f t="shared" si="8"/>
        <v>1930.97991</v>
      </c>
      <c r="R34" s="279">
        <f t="shared" si="8"/>
        <v>1843.866018</v>
      </c>
      <c r="S34" s="279">
        <f t="shared" si="8"/>
        <v>2903.420635</v>
      </c>
      <c r="T34" s="279">
        <f t="shared" si="8"/>
        <v>2197.483135</v>
      </c>
      <c r="U34" s="279">
        <f t="shared" si="8"/>
        <v>1947.587408</v>
      </c>
      <c r="V34" s="279">
        <f t="shared" si="8"/>
        <v>2168.325462</v>
      </c>
      <c r="W34" s="279">
        <f t="shared" si="8"/>
        <v>4342.08736</v>
      </c>
      <c r="X34" s="279">
        <f t="shared" si="8"/>
        <v>5119.705581</v>
      </c>
      <c r="Y34" s="279">
        <f t="shared" si="8"/>
        <v>2126.534021</v>
      </c>
      <c r="Z34" s="279">
        <f t="shared" si="8"/>
        <v>36</v>
      </c>
      <c r="AA34" s="279">
        <f t="shared" si="8"/>
        <v>3498.17688</v>
      </c>
      <c r="AB34" s="279">
        <f t="shared" si="8"/>
        <v>1591</v>
      </c>
      <c r="AC34" s="24"/>
    </row>
    <row r="35">
      <c r="A35" s="107"/>
      <c r="B35" s="108"/>
      <c r="C35" s="108"/>
      <c r="D35" s="108"/>
      <c r="E35" s="260" t="s">
        <v>248</v>
      </c>
      <c r="F35" s="164" t="s">
        <v>49</v>
      </c>
      <c r="G35" s="345" t="s">
        <v>70</v>
      </c>
      <c r="H35" s="220" t="s">
        <v>132</v>
      </c>
      <c r="I35" s="357">
        <f t="shared" ref="I35:AB35" si="9">I34/I18</f>
        <v>0.8140779626</v>
      </c>
      <c r="J35" s="357">
        <f t="shared" si="9"/>
        <v>0.6528640442</v>
      </c>
      <c r="K35" s="357">
        <f t="shared" si="9"/>
        <v>1.242231194</v>
      </c>
      <c r="L35" s="357">
        <f t="shared" si="9"/>
        <v>0.3510949182</v>
      </c>
      <c r="M35" s="357">
        <f t="shared" si="9"/>
        <v>0.3509261277</v>
      </c>
      <c r="N35" s="357">
        <f t="shared" si="9"/>
        <v>0.3509727626</v>
      </c>
      <c r="O35" s="357">
        <f t="shared" si="9"/>
        <v>0.3512156338</v>
      </c>
      <c r="P35" s="357">
        <f t="shared" si="9"/>
        <v>1.761848739</v>
      </c>
      <c r="Q35" s="357">
        <f t="shared" si="9"/>
        <v>0.3266375172</v>
      </c>
      <c r="R35" s="357">
        <f t="shared" si="9"/>
        <v>1.056223916</v>
      </c>
      <c r="S35" s="357">
        <f t="shared" si="9"/>
        <v>1.315851519</v>
      </c>
      <c r="T35" s="357">
        <f t="shared" si="9"/>
        <v>0.6158640821</v>
      </c>
      <c r="U35" s="357">
        <f t="shared" si="9"/>
        <v>1.913091789</v>
      </c>
      <c r="V35" s="357">
        <f t="shared" si="9"/>
        <v>1.085048929</v>
      </c>
      <c r="W35" s="357">
        <f t="shared" si="9"/>
        <v>2.286436034</v>
      </c>
      <c r="X35" s="357">
        <f t="shared" si="9"/>
        <v>1.22226642</v>
      </c>
      <c r="Y35" s="357">
        <f t="shared" si="9"/>
        <v>0.3819963539</v>
      </c>
      <c r="Z35" s="357">
        <f t="shared" si="9"/>
        <v>0.4323144105</v>
      </c>
      <c r="AA35" s="357">
        <f t="shared" si="9"/>
        <v>1.701251157</v>
      </c>
      <c r="AB35" s="357">
        <f t="shared" si="9"/>
        <v>0.394379845</v>
      </c>
      <c r="AC35" s="23"/>
    </row>
    <row r="36">
      <c r="A36" s="107"/>
      <c r="B36" s="108"/>
      <c r="C36" s="108"/>
      <c r="D36" s="108"/>
      <c r="E36" s="124"/>
      <c r="F36" s="125"/>
      <c r="G36" s="347"/>
      <c r="H36" s="348"/>
      <c r="I36" s="117"/>
      <c r="J36" s="117"/>
      <c r="K36" s="117"/>
      <c r="L36" s="117"/>
      <c r="M36" s="117"/>
      <c r="N36" s="117"/>
      <c r="O36" s="117"/>
      <c r="P36" s="117"/>
      <c r="Q36" s="117"/>
      <c r="R36" s="117"/>
      <c r="S36" s="117"/>
      <c r="T36" s="117"/>
      <c r="U36" s="117"/>
      <c r="V36" s="117"/>
      <c r="W36" s="117"/>
      <c r="X36" s="117"/>
      <c r="Y36" s="117"/>
      <c r="Z36" s="117"/>
      <c r="AA36" s="117"/>
      <c r="AB36" s="117"/>
      <c r="AC36" s="24"/>
    </row>
    <row r="37">
      <c r="A37" s="103" t="s">
        <v>249</v>
      </c>
      <c r="B37" s="6"/>
      <c r="C37" s="6"/>
      <c r="D37" s="6"/>
      <c r="E37" s="6"/>
      <c r="F37" s="6"/>
      <c r="G37" s="6"/>
      <c r="H37" s="104"/>
      <c r="I37" s="264"/>
      <c r="J37" s="264"/>
      <c r="K37" s="264"/>
      <c r="L37" s="264"/>
      <c r="M37" s="264"/>
      <c r="N37" s="264"/>
      <c r="O37" s="264"/>
      <c r="P37" s="264"/>
      <c r="Q37" s="264"/>
      <c r="R37" s="264"/>
      <c r="S37" s="264"/>
      <c r="T37" s="264"/>
      <c r="U37" s="264"/>
      <c r="V37" s="264"/>
      <c r="W37" s="264"/>
      <c r="X37" s="264"/>
      <c r="Y37" s="264"/>
      <c r="Z37" s="264"/>
      <c r="AA37" s="264"/>
      <c r="AB37" s="264"/>
      <c r="AC37" s="337"/>
    </row>
    <row r="38">
      <c r="A38" s="107"/>
      <c r="B38" s="108"/>
      <c r="C38" s="108"/>
      <c r="D38" s="108"/>
      <c r="E38" s="124"/>
      <c r="F38" s="125"/>
      <c r="G38" s="347"/>
      <c r="H38" s="348"/>
      <c r="I38" s="117"/>
      <c r="J38" s="117"/>
      <c r="K38" s="117"/>
      <c r="L38" s="117"/>
      <c r="M38" s="117"/>
      <c r="N38" s="117"/>
      <c r="O38" s="117"/>
      <c r="P38" s="117"/>
      <c r="Q38" s="117"/>
      <c r="R38" s="117"/>
      <c r="S38" s="117"/>
      <c r="T38" s="117"/>
      <c r="U38" s="117"/>
      <c r="V38" s="117"/>
      <c r="W38" s="117"/>
      <c r="X38" s="117"/>
      <c r="Y38" s="117"/>
      <c r="Z38" s="117"/>
      <c r="AA38" s="117"/>
      <c r="AB38" s="117"/>
      <c r="AC38" s="24"/>
    </row>
    <row r="39">
      <c r="A39" s="107"/>
      <c r="B39" s="108"/>
      <c r="C39" s="147" t="s">
        <v>250</v>
      </c>
      <c r="F39" s="125"/>
      <c r="G39" s="347"/>
      <c r="H39" s="348"/>
      <c r="I39" s="117"/>
      <c r="J39" s="117"/>
      <c r="K39" s="117"/>
      <c r="L39" s="117"/>
      <c r="M39" s="117"/>
      <c r="N39" s="117"/>
      <c r="O39" s="117"/>
      <c r="P39" s="117"/>
      <c r="Q39" s="117"/>
      <c r="R39" s="117"/>
      <c r="S39" s="117"/>
      <c r="T39" s="117"/>
      <c r="U39" s="117"/>
      <c r="V39" s="117"/>
      <c r="W39" s="117"/>
      <c r="X39" s="117"/>
      <c r="Y39" s="117"/>
      <c r="Z39" s="117"/>
      <c r="AA39" s="117"/>
      <c r="AB39" s="117"/>
      <c r="AC39" s="24"/>
    </row>
    <row r="40">
      <c r="A40" s="107"/>
      <c r="B40" s="108"/>
      <c r="C40" s="108"/>
      <c r="D40" s="108"/>
      <c r="E40" s="178" t="str">
        <f>HYPERLINK(buildUrl(CELL("address", Inputs!E39)), Inputs!E39)</f>
        <v>Malaria incidence among people under 5</v>
      </c>
      <c r="F40" s="154" t="str">
        <f>Inputs!F39</f>
        <v>per 100k</v>
      </c>
      <c r="G40" s="349" t="str">
        <f>Inputs!G39</f>
        <v>input</v>
      </c>
      <c r="H40" s="156" t="str">
        <f>Inputs!H39</f>
        <v>-</v>
      </c>
      <c r="I40" s="277">
        <f>Inputs!I39</f>
        <v>72800</v>
      </c>
      <c r="J40" s="277">
        <f>Inputs!J39</f>
        <v>47873</v>
      </c>
      <c r="K40" s="277">
        <f>Inputs!K39</f>
        <v>78599</v>
      </c>
      <c r="L40" s="277">
        <f>Inputs!L39</f>
        <v>76062</v>
      </c>
      <c r="M40" s="277">
        <f>Inputs!M39</f>
        <v>91107</v>
      </c>
      <c r="N40" s="277">
        <f>Inputs!N39</f>
        <v>96207</v>
      </c>
      <c r="O40" s="277">
        <f>Inputs!O39</f>
        <v>93495</v>
      </c>
      <c r="P40" s="277">
        <f>Inputs!P39</f>
        <v>82270</v>
      </c>
      <c r="Q40" s="277">
        <f>Inputs!Q39</f>
        <v>92549.9</v>
      </c>
      <c r="R40" s="277">
        <f>Inputs!R39</f>
        <v>66346.67</v>
      </c>
      <c r="S40" s="277">
        <f>Inputs!S39</f>
        <v>77203.83</v>
      </c>
      <c r="T40" s="277">
        <f>Inputs!T39</f>
        <v>98746.64</v>
      </c>
      <c r="U40" s="277">
        <f>Inputs!U39</f>
        <v>90253.5</v>
      </c>
      <c r="V40" s="277">
        <f>Inputs!V39</f>
        <v>72018.194</v>
      </c>
      <c r="W40" s="277">
        <f>Inputs!W39</f>
        <v>93840.62</v>
      </c>
      <c r="X40" s="277">
        <f>Inputs!X39</f>
        <v>77809.67</v>
      </c>
      <c r="Y40" s="277">
        <f>Inputs!Y39</f>
        <v>69826.126</v>
      </c>
      <c r="Z40" s="277">
        <f>Inputs!Z39</f>
        <v>46489</v>
      </c>
      <c r="AA40" s="277">
        <f>Inputs!AA39</f>
        <v>63337.56905</v>
      </c>
      <c r="AB40" s="277">
        <f>Inputs!AB39</f>
        <v>90318</v>
      </c>
      <c r="AC40" s="15"/>
    </row>
    <row r="41">
      <c r="A41" s="107"/>
      <c r="B41" s="108"/>
      <c r="C41" s="108"/>
      <c r="D41" s="108"/>
      <c r="E41" s="201" t="str">
        <f>HYPERLINK(buildUrl(CELL("address", Inputs!E40)), Inputs!E40)</f>
        <v>Malaria incidence among people age 5 to 14</v>
      </c>
      <c r="F41" s="159" t="str">
        <f>Inputs!F40</f>
        <v>per 100k</v>
      </c>
      <c r="G41" s="352" t="str">
        <f>Inputs!G40</f>
        <v>input</v>
      </c>
      <c r="H41" s="216" t="str">
        <f>Inputs!H40</f>
        <v>-</v>
      </c>
      <c r="I41" s="218">
        <f>Inputs!I40</f>
        <v>30179</v>
      </c>
      <c r="J41" s="218">
        <f>Inputs!J40</f>
        <v>21805</v>
      </c>
      <c r="K41" s="218">
        <f>Inputs!K40</f>
        <v>32926</v>
      </c>
      <c r="L41" s="218">
        <f>Inputs!L40</f>
        <v>31197</v>
      </c>
      <c r="M41" s="218">
        <f>Inputs!M40</f>
        <v>37367</v>
      </c>
      <c r="N41" s="218">
        <f>Inputs!N40</f>
        <v>39459</v>
      </c>
      <c r="O41" s="218">
        <f>Inputs!O40</f>
        <v>38347</v>
      </c>
      <c r="P41" s="218">
        <f>Inputs!P40</f>
        <v>34580</v>
      </c>
      <c r="Q41" s="218">
        <f>Inputs!Q40</f>
        <v>39110.878</v>
      </c>
      <c r="R41" s="218">
        <f>Inputs!R40</f>
        <v>29057.47</v>
      </c>
      <c r="S41" s="218">
        <f>Inputs!S40</f>
        <v>32687.145</v>
      </c>
      <c r="T41" s="218">
        <f>Inputs!T40</f>
        <v>40692.243</v>
      </c>
      <c r="U41" s="218">
        <f>Inputs!U40</f>
        <v>36989.745</v>
      </c>
      <c r="V41" s="218">
        <f>Inputs!V40</f>
        <v>30377.278</v>
      </c>
      <c r="W41" s="218">
        <f>Inputs!W40</f>
        <v>38318.27</v>
      </c>
      <c r="X41" s="218">
        <f>Inputs!X40</f>
        <v>33155.254</v>
      </c>
      <c r="Y41" s="218">
        <f>Inputs!Y40</f>
        <v>30076.665</v>
      </c>
      <c r="Z41" s="218">
        <f>Inputs!Z40</f>
        <v>19498</v>
      </c>
      <c r="AA41" s="218">
        <f>Inputs!AA40</f>
        <v>26979.99336</v>
      </c>
      <c r="AB41" s="218">
        <f>Inputs!AB40</f>
        <v>38439</v>
      </c>
      <c r="AC41" s="19"/>
    </row>
    <row r="42">
      <c r="A42" s="107"/>
      <c r="B42" s="108"/>
      <c r="C42" s="108"/>
      <c r="D42" s="358"/>
      <c r="E42" s="201" t="str">
        <f>HYPERLINK(buildUrl(CELL("address", Inputs!E33)), Inputs!E33)</f>
        <v>Adjustment for malaria averted by ITN distributions not accounted for in GBD 2019</v>
      </c>
      <c r="F42" s="159" t="str">
        <f>Inputs!F33</f>
        <v>%</v>
      </c>
      <c r="G42" s="359" t="str">
        <f>Inputs!G33</f>
        <v>input</v>
      </c>
      <c r="H42" s="360" t="str">
        <f>Inputs!H33</f>
        <v>-</v>
      </c>
      <c r="I42" s="206">
        <f>Inputs!I33</f>
        <v>0</v>
      </c>
      <c r="J42" s="206">
        <f>Inputs!J33</f>
        <v>0</v>
      </c>
      <c r="K42" s="206">
        <f>Inputs!K33</f>
        <v>0</v>
      </c>
      <c r="L42" s="206">
        <f>Inputs!L33</f>
        <v>0</v>
      </c>
      <c r="M42" s="206">
        <f>Inputs!M33</f>
        <v>0</v>
      </c>
      <c r="N42" s="206">
        <f>Inputs!N33</f>
        <v>0</v>
      </c>
      <c r="O42" s="206">
        <f>Inputs!O33</f>
        <v>0</v>
      </c>
      <c r="P42" s="206">
        <f>Inputs!P33</f>
        <v>0</v>
      </c>
      <c r="Q42" s="206">
        <f>Inputs!Q33</f>
        <v>-0.05</v>
      </c>
      <c r="R42" s="206">
        <f>Inputs!R33</f>
        <v>-0.05</v>
      </c>
      <c r="S42" s="206">
        <f>Inputs!S33</f>
        <v>-0.3512063</v>
      </c>
      <c r="T42" s="206">
        <f>Inputs!T33</f>
        <v>-0.05</v>
      </c>
      <c r="U42" s="206">
        <f>Inputs!U33</f>
        <v>-0.05</v>
      </c>
      <c r="V42" s="206">
        <f>Inputs!V33</f>
        <v>-0.05</v>
      </c>
      <c r="W42" s="206">
        <f>Inputs!W33</f>
        <v>-0.05</v>
      </c>
      <c r="X42" s="206">
        <f>Inputs!X33</f>
        <v>-0.05</v>
      </c>
      <c r="Y42" s="206">
        <f>Inputs!Y33</f>
        <v>-0.05</v>
      </c>
      <c r="Z42" s="206">
        <f>Inputs!Z33</f>
        <v>0</v>
      </c>
      <c r="AA42" s="206">
        <f>Inputs!AA33</f>
        <v>0</v>
      </c>
      <c r="AB42" s="206">
        <f>Inputs!AB33</f>
        <v>0</v>
      </c>
      <c r="AC42" s="19"/>
    </row>
    <row r="43">
      <c r="A43" s="107"/>
      <c r="B43" s="108"/>
      <c r="C43" s="108"/>
      <c r="D43" s="358"/>
      <c r="E43" s="201" t="s">
        <v>251</v>
      </c>
      <c r="F43" s="159" t="s">
        <v>59</v>
      </c>
      <c r="G43" s="359" t="s">
        <v>70</v>
      </c>
      <c r="H43" s="360" t="s">
        <v>132</v>
      </c>
      <c r="I43" s="206">
        <f t="shared" ref="I43:AB43" si="10">(I40/100000)*(1+I42)</f>
        <v>0.728</v>
      </c>
      <c r="J43" s="206">
        <f t="shared" si="10"/>
        <v>0.47873</v>
      </c>
      <c r="K43" s="206">
        <f t="shared" si="10"/>
        <v>0.78599</v>
      </c>
      <c r="L43" s="206">
        <f t="shared" si="10"/>
        <v>0.76062</v>
      </c>
      <c r="M43" s="206">
        <f t="shared" si="10"/>
        <v>0.91107</v>
      </c>
      <c r="N43" s="206">
        <f t="shared" si="10"/>
        <v>0.96207</v>
      </c>
      <c r="O43" s="206">
        <f t="shared" si="10"/>
        <v>0.93495</v>
      </c>
      <c r="P43" s="206">
        <f t="shared" si="10"/>
        <v>0.8227</v>
      </c>
      <c r="Q43" s="206">
        <f t="shared" si="10"/>
        <v>0.87922405</v>
      </c>
      <c r="R43" s="206">
        <f t="shared" si="10"/>
        <v>0.630293365</v>
      </c>
      <c r="S43" s="206">
        <f t="shared" si="10"/>
        <v>0.5008935852</v>
      </c>
      <c r="T43" s="206">
        <f t="shared" si="10"/>
        <v>0.93809308</v>
      </c>
      <c r="U43" s="206">
        <f t="shared" si="10"/>
        <v>0.85740825</v>
      </c>
      <c r="V43" s="206">
        <f t="shared" si="10"/>
        <v>0.684172843</v>
      </c>
      <c r="W43" s="206">
        <f t="shared" si="10"/>
        <v>0.89148589</v>
      </c>
      <c r="X43" s="206">
        <f t="shared" si="10"/>
        <v>0.739191865</v>
      </c>
      <c r="Y43" s="206">
        <f t="shared" si="10"/>
        <v>0.663348197</v>
      </c>
      <c r="Z43" s="206">
        <f t="shared" si="10"/>
        <v>0.46489</v>
      </c>
      <c r="AA43" s="206">
        <f t="shared" si="10"/>
        <v>0.6333756905</v>
      </c>
      <c r="AB43" s="206">
        <f t="shared" si="10"/>
        <v>0.90318</v>
      </c>
      <c r="AC43" s="19"/>
    </row>
    <row r="44">
      <c r="A44" s="107"/>
      <c r="B44" s="108"/>
      <c r="C44" s="108"/>
      <c r="D44" s="108"/>
      <c r="E44" s="260" t="s">
        <v>252</v>
      </c>
      <c r="F44" s="164" t="s">
        <v>59</v>
      </c>
      <c r="G44" s="361" t="s">
        <v>70</v>
      </c>
      <c r="H44" s="247" t="s">
        <v>132</v>
      </c>
      <c r="I44" s="346">
        <f t="shared" ref="I44:AB44" si="11">(I41/100000)*(1+I42)</f>
        <v>0.30179</v>
      </c>
      <c r="J44" s="346">
        <f t="shared" si="11"/>
        <v>0.21805</v>
      </c>
      <c r="K44" s="346">
        <f t="shared" si="11"/>
        <v>0.32926</v>
      </c>
      <c r="L44" s="346">
        <f t="shared" si="11"/>
        <v>0.31197</v>
      </c>
      <c r="M44" s="346">
        <f t="shared" si="11"/>
        <v>0.37367</v>
      </c>
      <c r="N44" s="346">
        <f t="shared" si="11"/>
        <v>0.39459</v>
      </c>
      <c r="O44" s="346">
        <f t="shared" si="11"/>
        <v>0.38347</v>
      </c>
      <c r="P44" s="346">
        <f t="shared" si="11"/>
        <v>0.3458</v>
      </c>
      <c r="Q44" s="346">
        <f t="shared" si="11"/>
        <v>0.371553341</v>
      </c>
      <c r="R44" s="346">
        <f t="shared" si="11"/>
        <v>0.276045965</v>
      </c>
      <c r="S44" s="346">
        <f t="shared" si="11"/>
        <v>0.2120721375</v>
      </c>
      <c r="T44" s="346">
        <f t="shared" si="11"/>
        <v>0.3865763085</v>
      </c>
      <c r="U44" s="346">
        <f t="shared" si="11"/>
        <v>0.3514025775</v>
      </c>
      <c r="V44" s="346">
        <f t="shared" si="11"/>
        <v>0.288584141</v>
      </c>
      <c r="W44" s="346">
        <f t="shared" si="11"/>
        <v>0.364023565</v>
      </c>
      <c r="X44" s="346">
        <f t="shared" si="11"/>
        <v>0.314974913</v>
      </c>
      <c r="Y44" s="346">
        <f t="shared" si="11"/>
        <v>0.2857283175</v>
      </c>
      <c r="Z44" s="346">
        <f t="shared" si="11"/>
        <v>0.19498</v>
      </c>
      <c r="AA44" s="346">
        <f t="shared" si="11"/>
        <v>0.2697999336</v>
      </c>
      <c r="AB44" s="346">
        <f t="shared" si="11"/>
        <v>0.38439</v>
      </c>
      <c r="AC44" s="23"/>
    </row>
    <row r="45">
      <c r="A45" s="70"/>
      <c r="B45" s="38"/>
      <c r="C45" s="38"/>
      <c r="D45" s="38"/>
      <c r="E45" s="362"/>
      <c r="F45" s="38"/>
      <c r="G45" s="38"/>
      <c r="H45" s="306"/>
      <c r="I45" s="329"/>
      <c r="J45" s="329"/>
      <c r="K45" s="329"/>
      <c r="L45" s="329"/>
      <c r="M45" s="329"/>
      <c r="N45" s="329"/>
      <c r="O45" s="329"/>
      <c r="P45" s="329"/>
      <c r="Q45" s="329"/>
      <c r="R45" s="329"/>
      <c r="S45" s="329"/>
      <c r="T45" s="329"/>
      <c r="U45" s="329"/>
      <c r="V45" s="329"/>
      <c r="W45" s="329"/>
      <c r="X45" s="329"/>
      <c r="Y45" s="329"/>
      <c r="Z45" s="329"/>
      <c r="AA45" s="329"/>
      <c r="AB45" s="329"/>
      <c r="AC45" s="39"/>
    </row>
  </sheetData>
  <mergeCells count="10">
    <mergeCell ref="C32:E32"/>
    <mergeCell ref="A37:G37"/>
    <mergeCell ref="C39:E39"/>
    <mergeCell ref="I1:R1"/>
    <mergeCell ref="S1:AB1"/>
    <mergeCell ref="A3:E3"/>
    <mergeCell ref="A5:G5"/>
    <mergeCell ref="C7:E7"/>
    <mergeCell ref="C13:E13"/>
    <mergeCell ref="C21:E2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363"/>
      <c r="F1" s="74"/>
      <c r="G1" s="75"/>
      <c r="H1" s="364"/>
      <c r="I1" s="77" t="s">
        <v>96</v>
      </c>
      <c r="J1" s="37"/>
      <c r="K1" s="37"/>
      <c r="L1" s="37"/>
      <c r="M1" s="37"/>
      <c r="N1" s="37"/>
      <c r="O1" s="37"/>
      <c r="P1" s="37"/>
      <c r="Q1" s="37"/>
      <c r="R1" s="37"/>
      <c r="S1" s="78" t="s">
        <v>96</v>
      </c>
      <c r="T1" s="6"/>
      <c r="U1" s="6"/>
      <c r="V1" s="6"/>
      <c r="W1" s="6"/>
      <c r="X1" s="6"/>
      <c r="Y1" s="6"/>
      <c r="Z1" s="6"/>
      <c r="AA1" s="6"/>
      <c r="AB1" s="6"/>
      <c r="AC1" s="331"/>
    </row>
    <row r="2">
      <c r="A2" s="80"/>
      <c r="B2" s="81"/>
      <c r="C2" s="81"/>
      <c r="D2" s="81"/>
      <c r="E2" s="365"/>
      <c r="F2" s="83"/>
      <c r="G2" s="84"/>
      <c r="H2" s="366"/>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333"/>
    </row>
    <row r="3">
      <c r="A3" s="89" t="s">
        <v>253</v>
      </c>
      <c r="B3" s="37"/>
      <c r="C3" s="37"/>
      <c r="D3" s="37"/>
      <c r="E3" s="37"/>
      <c r="F3" s="90" t="s">
        <v>107</v>
      </c>
      <c r="G3" s="91" t="s">
        <v>108</v>
      </c>
      <c r="H3" s="367"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335"/>
    </row>
    <row r="4">
      <c r="A4" s="95"/>
      <c r="B4" s="96"/>
      <c r="C4" s="96"/>
      <c r="D4" s="96"/>
      <c r="E4" s="368" t="s">
        <v>232</v>
      </c>
      <c r="F4" s="98" t="str">
        <f>'Main CEA'!F193</f>
        <v>xcash</v>
      </c>
      <c r="G4" s="98" t="s">
        <v>74</v>
      </c>
      <c r="H4" s="369"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336"/>
    </row>
    <row r="5">
      <c r="A5" s="103" t="s">
        <v>127</v>
      </c>
      <c r="B5" s="6"/>
      <c r="C5" s="6"/>
      <c r="D5" s="6"/>
      <c r="E5" s="6"/>
      <c r="F5" s="6"/>
      <c r="G5" s="370"/>
      <c r="H5" s="371"/>
      <c r="I5" s="264"/>
      <c r="J5" s="264"/>
      <c r="K5" s="264"/>
      <c r="L5" s="264"/>
      <c r="M5" s="264"/>
      <c r="N5" s="264"/>
      <c r="O5" s="264"/>
      <c r="P5" s="264"/>
      <c r="Q5" s="264"/>
      <c r="R5" s="264"/>
      <c r="S5" s="264"/>
      <c r="T5" s="264"/>
      <c r="U5" s="264"/>
      <c r="V5" s="264"/>
      <c r="W5" s="264"/>
      <c r="X5" s="264"/>
      <c r="Y5" s="264"/>
      <c r="Z5" s="264"/>
      <c r="AA5" s="264"/>
      <c r="AB5" s="264"/>
      <c r="AC5" s="337"/>
    </row>
    <row r="6">
      <c r="A6" s="107"/>
      <c r="B6" s="108"/>
      <c r="C6" s="108"/>
      <c r="D6" s="108"/>
      <c r="E6" s="372"/>
      <c r="F6" s="110"/>
      <c r="G6" s="111"/>
      <c r="H6" s="373"/>
      <c r="I6" s="117"/>
      <c r="J6" s="117"/>
      <c r="K6" s="117"/>
      <c r="L6" s="117"/>
      <c r="M6" s="117"/>
      <c r="N6" s="117"/>
      <c r="O6" s="117"/>
      <c r="P6" s="117"/>
      <c r="Q6" s="117"/>
      <c r="R6" s="117"/>
      <c r="S6" s="117"/>
      <c r="T6" s="117"/>
      <c r="U6" s="117"/>
      <c r="V6" s="117"/>
      <c r="W6" s="117"/>
      <c r="X6" s="117"/>
      <c r="Y6" s="117"/>
      <c r="Z6" s="117"/>
      <c r="AA6" s="117"/>
      <c r="AB6" s="117"/>
      <c r="AC6" s="24"/>
    </row>
    <row r="7">
      <c r="A7" s="107"/>
      <c r="B7" s="108"/>
      <c r="C7" s="115" t="s">
        <v>128</v>
      </c>
      <c r="F7" s="110"/>
      <c r="G7" s="116"/>
      <c r="H7" s="373"/>
      <c r="I7" s="117"/>
      <c r="J7" s="117"/>
      <c r="K7" s="117"/>
      <c r="L7" s="117"/>
      <c r="M7" s="117"/>
      <c r="N7" s="117"/>
      <c r="O7" s="117"/>
      <c r="P7" s="117"/>
      <c r="Q7" s="117"/>
      <c r="R7" s="117"/>
      <c r="S7" s="117"/>
      <c r="T7" s="117"/>
      <c r="U7" s="117"/>
      <c r="V7" s="117"/>
      <c r="W7" s="117"/>
      <c r="X7" s="117"/>
      <c r="Y7" s="117"/>
      <c r="Z7" s="117"/>
      <c r="AA7" s="117"/>
      <c r="AB7" s="117"/>
      <c r="AC7" s="24"/>
    </row>
    <row r="8">
      <c r="A8" s="107"/>
      <c r="B8" s="108"/>
      <c r="C8" s="108"/>
      <c r="D8" s="108"/>
      <c r="E8" s="118" t="str">
        <f>HYPERLINK(buildUrl(CELL("address", Inputs!E8)), Inputs!E8)</f>
        <v>Grant size</v>
      </c>
      <c r="F8" s="119" t="str">
        <f>Inputs!F8</f>
        <v>$</v>
      </c>
      <c r="G8" s="120" t="str">
        <f>Inputs!G8</f>
        <v>input</v>
      </c>
      <c r="H8" s="374" t="str">
        <f>Inputs!H8</f>
        <v>-</v>
      </c>
      <c r="I8" s="151">
        <f>Inputs!I8</f>
        <v>0.01</v>
      </c>
      <c r="J8" s="151">
        <f>Inputs!J8</f>
        <v>0.01</v>
      </c>
      <c r="K8" s="151">
        <f>Inputs!K8</f>
        <v>0.01</v>
      </c>
      <c r="L8" s="151">
        <f>Inputs!L8</f>
        <v>0.01</v>
      </c>
      <c r="M8" s="151">
        <f>Inputs!M8</f>
        <v>0.01</v>
      </c>
      <c r="N8" s="151">
        <f>Inputs!N8</f>
        <v>0.01</v>
      </c>
      <c r="O8" s="151">
        <f>Inputs!O8</f>
        <v>0.01</v>
      </c>
      <c r="P8" s="151">
        <f>Inputs!P8</f>
        <v>17456907.13</v>
      </c>
      <c r="Q8" s="151">
        <f>Inputs!Q8</f>
        <v>0.01</v>
      </c>
      <c r="R8" s="151">
        <f>Inputs!R8</f>
        <v>0.01</v>
      </c>
      <c r="S8" s="151">
        <f>Inputs!S8</f>
        <v>0.01</v>
      </c>
      <c r="T8" s="151">
        <f>Inputs!T8</f>
        <v>0.01</v>
      </c>
      <c r="U8" s="151">
        <f>Inputs!U8</f>
        <v>0.01</v>
      </c>
      <c r="V8" s="151">
        <f>Inputs!V8</f>
        <v>0.01</v>
      </c>
      <c r="W8" s="151">
        <f>Inputs!W8</f>
        <v>0.01</v>
      </c>
      <c r="X8" s="151">
        <f>Inputs!X8</f>
        <v>0.01</v>
      </c>
      <c r="Y8" s="151">
        <f>Inputs!Y8</f>
        <v>0.01</v>
      </c>
      <c r="Z8" s="151">
        <f>Inputs!Z8</f>
        <v>0.01</v>
      </c>
      <c r="AA8" s="151">
        <f>Inputs!AA8</f>
        <v>0.01</v>
      </c>
      <c r="AB8" s="151">
        <f>Inputs!AB8</f>
        <v>0.01</v>
      </c>
      <c r="AC8" s="39"/>
    </row>
    <row r="9">
      <c r="A9" s="107"/>
      <c r="B9" s="108"/>
      <c r="C9" s="40"/>
      <c r="D9" s="40"/>
      <c r="E9" s="375"/>
      <c r="F9" s="127"/>
      <c r="G9" s="128"/>
      <c r="H9" s="373"/>
      <c r="I9" s="117"/>
      <c r="J9" s="117"/>
      <c r="K9" s="117"/>
      <c r="L9" s="117"/>
      <c r="M9" s="117"/>
      <c r="N9" s="117"/>
      <c r="O9" s="117"/>
      <c r="P9" s="117"/>
      <c r="Q9" s="117"/>
      <c r="R9" s="117"/>
      <c r="S9" s="117"/>
      <c r="T9" s="117"/>
      <c r="U9" s="117"/>
      <c r="V9" s="117"/>
      <c r="W9" s="117"/>
      <c r="X9" s="117"/>
      <c r="Y9" s="117"/>
      <c r="Z9" s="117"/>
      <c r="AA9" s="117"/>
      <c r="AB9" s="117"/>
      <c r="AC9" s="24"/>
    </row>
    <row r="10">
      <c r="A10" s="107"/>
      <c r="B10" s="108"/>
      <c r="C10" s="40" t="s">
        <v>129</v>
      </c>
      <c r="F10" s="127"/>
      <c r="G10" s="128"/>
      <c r="H10" s="373"/>
      <c r="I10" s="117"/>
      <c r="J10" s="117"/>
      <c r="K10" s="117"/>
      <c r="L10" s="117"/>
      <c r="M10" s="117"/>
      <c r="N10" s="117"/>
      <c r="O10" s="117"/>
      <c r="P10" s="117"/>
      <c r="Q10" s="117"/>
      <c r="R10" s="117"/>
      <c r="S10" s="117"/>
      <c r="T10" s="117"/>
      <c r="U10" s="117"/>
      <c r="V10" s="117"/>
      <c r="W10" s="117"/>
      <c r="X10" s="117"/>
      <c r="Y10" s="117"/>
      <c r="Z10" s="117"/>
      <c r="AA10" s="117"/>
      <c r="AB10" s="117"/>
      <c r="AC10" s="24"/>
    </row>
    <row r="11">
      <c r="A11" s="107"/>
      <c r="B11" s="108"/>
      <c r="C11" s="10"/>
      <c r="D11" s="10"/>
      <c r="E11" s="376" t="str">
        <f>HYPERLINK(buildUrl(CELL("address", Inputs!E11)), Inputs!E11)</f>
        <v>Percentage of total costs covered by the grantee</v>
      </c>
      <c r="F11" s="130" t="str">
        <f>Inputs!F11</f>
        <v>%</v>
      </c>
      <c r="G11" s="131" t="str">
        <f>Inputs!G11</f>
        <v>input</v>
      </c>
      <c r="H11" s="377" t="str">
        <f>Inputs!H11</f>
        <v>-</v>
      </c>
      <c r="I11" s="204">
        <f>Inputs!I11</f>
        <v>0.8944838</v>
      </c>
      <c r="J11" s="204">
        <f>Inputs!J11</f>
        <v>0.90224903</v>
      </c>
      <c r="K11" s="204">
        <f>Inputs!K11</f>
        <v>0.906659</v>
      </c>
      <c r="L11" s="204">
        <f>Inputs!L11</f>
        <v>0.5014996177</v>
      </c>
      <c r="M11" s="204">
        <f>Inputs!M11</f>
        <v>0.5014996177</v>
      </c>
      <c r="N11" s="204">
        <f>Inputs!N11</f>
        <v>0.5014996177</v>
      </c>
      <c r="O11" s="204">
        <f>Inputs!O11</f>
        <v>0.5014996177</v>
      </c>
      <c r="P11" s="204">
        <f>Inputs!P11</f>
        <v>0.8944838</v>
      </c>
      <c r="Q11" s="204">
        <f>Inputs!Q11</f>
        <v>0.81586554</v>
      </c>
      <c r="R11" s="204">
        <f>Inputs!R11</f>
        <v>0.8944838</v>
      </c>
      <c r="S11" s="204">
        <f>Inputs!S11</f>
        <v>0.8944838</v>
      </c>
      <c r="T11" s="204">
        <f>Inputs!T11</f>
        <v>0.8944838</v>
      </c>
      <c r="U11" s="204">
        <f>Inputs!U11</f>
        <v>0.8944838</v>
      </c>
      <c r="V11" s="204">
        <f>Inputs!V11</f>
        <v>0.8944838</v>
      </c>
      <c r="W11" s="204">
        <f>Inputs!W11</f>
        <v>0.8944838</v>
      </c>
      <c r="X11" s="204">
        <f>Inputs!X11</f>
        <v>0.8944838</v>
      </c>
      <c r="Y11" s="204">
        <f>Inputs!Y11</f>
        <v>0.8944838</v>
      </c>
      <c r="Z11" s="204">
        <f>Inputs!Z11</f>
        <v>0.91399685</v>
      </c>
      <c r="AA11" s="204">
        <f>Inputs!AA11</f>
        <v>0.5014996177</v>
      </c>
      <c r="AB11" s="204">
        <f>Inputs!AB11</f>
        <v>0.89331272</v>
      </c>
      <c r="AC11" s="15"/>
    </row>
    <row r="12">
      <c r="A12" s="107"/>
      <c r="B12" s="108"/>
      <c r="C12" s="10"/>
      <c r="D12" s="10"/>
      <c r="E12" s="378" t="str">
        <f>HYPERLINK(buildUrl(CELL("address", Inputs!E12)), Inputs!E12)</f>
        <v>Percentage of total costs covered by other philanthropic actors</v>
      </c>
      <c r="F12" s="136" t="str">
        <f>Inputs!F12</f>
        <v>%</v>
      </c>
      <c r="G12" s="137" t="str">
        <f>Inputs!G12</f>
        <v>input</v>
      </c>
      <c r="H12" s="379" t="str">
        <f>Inputs!H12</f>
        <v>-</v>
      </c>
      <c r="I12" s="139">
        <f>Inputs!I12</f>
        <v>0</v>
      </c>
      <c r="J12" s="139">
        <f>Inputs!J12</f>
        <v>0</v>
      </c>
      <c r="K12" s="139">
        <f>Inputs!K12</f>
        <v>0</v>
      </c>
      <c r="L12" s="139">
        <f>Inputs!L12</f>
        <v>0.439374142</v>
      </c>
      <c r="M12" s="139">
        <f>Inputs!M12</f>
        <v>0.439374142</v>
      </c>
      <c r="N12" s="139">
        <f>Inputs!N12</f>
        <v>0.439374142</v>
      </c>
      <c r="O12" s="139">
        <f>Inputs!O12</f>
        <v>0.439374142</v>
      </c>
      <c r="P12" s="139">
        <f>Inputs!P12</f>
        <v>0</v>
      </c>
      <c r="Q12" s="139">
        <f>Inputs!Q12</f>
        <v>0.08789232</v>
      </c>
      <c r="R12" s="139">
        <f>Inputs!R12</f>
        <v>0</v>
      </c>
      <c r="S12" s="139">
        <f>Inputs!S12</f>
        <v>0</v>
      </c>
      <c r="T12" s="139">
        <f>Inputs!T12</f>
        <v>0</v>
      </c>
      <c r="U12" s="139">
        <f>Inputs!U12</f>
        <v>0</v>
      </c>
      <c r="V12" s="139">
        <f>Inputs!V12</f>
        <v>0</v>
      </c>
      <c r="W12" s="139">
        <f>Inputs!W12</f>
        <v>0</v>
      </c>
      <c r="X12" s="139">
        <f>Inputs!X12</f>
        <v>0</v>
      </c>
      <c r="Y12" s="139">
        <f>Inputs!Y12</f>
        <v>0</v>
      </c>
      <c r="Z12" s="139">
        <f>Inputs!Z12</f>
        <v>0</v>
      </c>
      <c r="AA12" s="139">
        <f>Inputs!AA12</f>
        <v>0.439374142</v>
      </c>
      <c r="AB12" s="139">
        <f>Inputs!AB12</f>
        <v>0</v>
      </c>
      <c r="AC12" s="19"/>
    </row>
    <row r="13">
      <c r="A13" s="107"/>
      <c r="B13" s="108"/>
      <c r="C13" s="10"/>
      <c r="D13" s="10"/>
      <c r="E13" s="380" t="str">
        <f>HYPERLINK(buildUrl(CELL("address", Inputs!E13)), Inputs!E13)</f>
        <v>Percentage of total costs covered by domestic governments</v>
      </c>
      <c r="F13" s="142" t="str">
        <f>Inputs!F13</f>
        <v>%</v>
      </c>
      <c r="G13" s="381" t="str">
        <f>Inputs!G13</f>
        <v>input</v>
      </c>
      <c r="H13" s="382" t="str">
        <f>Inputs!H13</f>
        <v>-</v>
      </c>
      <c r="I13" s="145">
        <f>Inputs!I13</f>
        <v>0.1055162</v>
      </c>
      <c r="J13" s="145">
        <f>Inputs!J13</f>
        <v>0.09775097</v>
      </c>
      <c r="K13" s="145">
        <f>Inputs!K13</f>
        <v>0.093341</v>
      </c>
      <c r="L13" s="145">
        <f>Inputs!L13</f>
        <v>0.0591262403</v>
      </c>
      <c r="M13" s="145">
        <f>Inputs!M13</f>
        <v>0.0591262403</v>
      </c>
      <c r="N13" s="145">
        <f>Inputs!N13</f>
        <v>0.0591262403</v>
      </c>
      <c r="O13" s="145">
        <f>Inputs!O13</f>
        <v>0.0591262403</v>
      </c>
      <c r="P13" s="145">
        <f>Inputs!P13</f>
        <v>0.1055162</v>
      </c>
      <c r="Q13" s="145">
        <f>Inputs!Q13</f>
        <v>0.09624214</v>
      </c>
      <c r="R13" s="145">
        <f>Inputs!R13</f>
        <v>0.1055162</v>
      </c>
      <c r="S13" s="145">
        <f>Inputs!S13</f>
        <v>0.1055162</v>
      </c>
      <c r="T13" s="145">
        <f>Inputs!T13</f>
        <v>0.1055162</v>
      </c>
      <c r="U13" s="145">
        <f>Inputs!U13</f>
        <v>0.1055162</v>
      </c>
      <c r="V13" s="145">
        <f>Inputs!V13</f>
        <v>0.1055162</v>
      </c>
      <c r="W13" s="145">
        <f>Inputs!W13</f>
        <v>0.1055162</v>
      </c>
      <c r="X13" s="145">
        <f>Inputs!X13</f>
        <v>0.1055162</v>
      </c>
      <c r="Y13" s="145">
        <f>Inputs!Y13</f>
        <v>0.1055162</v>
      </c>
      <c r="Z13" s="145">
        <f>Inputs!Z13</f>
        <v>0.08600315</v>
      </c>
      <c r="AA13" s="145">
        <f>Inputs!AA13</f>
        <v>0.0591262403</v>
      </c>
      <c r="AB13" s="145">
        <f>Inputs!AB13</f>
        <v>0.10668728</v>
      </c>
      <c r="AC13" s="23"/>
    </row>
    <row r="14">
      <c r="A14" s="107"/>
      <c r="B14" s="108"/>
      <c r="C14" s="108"/>
      <c r="D14" s="108"/>
      <c r="E14" s="168"/>
      <c r="F14" s="125"/>
      <c r="G14" s="169"/>
      <c r="H14" s="383"/>
      <c r="I14" s="384"/>
      <c r="J14" s="384"/>
      <c r="K14" s="384"/>
      <c r="L14" s="384"/>
      <c r="M14" s="384"/>
      <c r="N14" s="384"/>
      <c r="O14" s="384"/>
      <c r="P14" s="384"/>
      <c r="Q14" s="384"/>
      <c r="R14" s="384"/>
      <c r="S14" s="384"/>
      <c r="T14" s="384"/>
      <c r="U14" s="384"/>
      <c r="V14" s="384"/>
      <c r="W14" s="384"/>
      <c r="X14" s="384"/>
      <c r="Y14" s="384"/>
      <c r="Z14" s="384"/>
      <c r="AA14" s="384"/>
      <c r="AB14" s="384"/>
      <c r="AC14" s="24"/>
    </row>
    <row r="15">
      <c r="A15" s="107"/>
      <c r="B15" s="108"/>
      <c r="C15" s="147" t="s">
        <v>130</v>
      </c>
      <c r="F15" s="125"/>
      <c r="G15" s="148"/>
      <c r="H15" s="385"/>
      <c r="I15" s="386"/>
      <c r="J15" s="386"/>
      <c r="K15" s="386"/>
      <c r="L15" s="386"/>
      <c r="M15" s="386"/>
      <c r="N15" s="386"/>
      <c r="O15" s="386"/>
      <c r="P15" s="386"/>
      <c r="Q15" s="386"/>
      <c r="R15" s="386"/>
      <c r="S15" s="386"/>
      <c r="T15" s="386"/>
      <c r="U15" s="386"/>
      <c r="V15" s="386"/>
      <c r="W15" s="386"/>
      <c r="X15" s="386"/>
      <c r="Y15" s="386"/>
      <c r="Z15" s="386"/>
      <c r="AA15" s="386"/>
      <c r="AB15" s="386"/>
      <c r="AC15" s="24"/>
    </row>
    <row r="16">
      <c r="A16" s="107"/>
      <c r="B16" s="108"/>
      <c r="C16" s="147"/>
      <c r="D16" s="108"/>
      <c r="E16" s="172" t="str">
        <f>HYPERLINK(buildUrl(CELL("address", 'Main CEA'!E16)), 'Main CEA'!E16)</f>
        <v>Total spending by all contributors</v>
      </c>
      <c r="F16" s="119" t="str">
        <f>'Main CEA'!F16</f>
        <v>$</v>
      </c>
      <c r="G16" s="149" t="s">
        <v>74</v>
      </c>
      <c r="H16" s="387" t="str">
        <f>'Main CEA'!H16</f>
        <v>-</v>
      </c>
      <c r="I16" s="151">
        <f>'Main CEA'!I16</f>
        <v>0.01117963232</v>
      </c>
      <c r="J16" s="151">
        <f>'Main CEA'!J16</f>
        <v>0.01108341452</v>
      </c>
      <c r="K16" s="151">
        <f>'Main CEA'!K16</f>
        <v>0.01102950503</v>
      </c>
      <c r="L16" s="151">
        <f>'Main CEA'!L16</f>
        <v>0.01994019466</v>
      </c>
      <c r="M16" s="151">
        <f>'Main CEA'!M16</f>
        <v>0.01994019466</v>
      </c>
      <c r="N16" s="151">
        <f>'Main CEA'!N16</f>
        <v>0.01994019466</v>
      </c>
      <c r="O16" s="151">
        <f>'Main CEA'!O16</f>
        <v>0.01994019466</v>
      </c>
      <c r="P16" s="151">
        <f>'Main CEA'!P16</f>
        <v>19516180.32</v>
      </c>
      <c r="Q16" s="151">
        <f>'Main CEA'!Q16</f>
        <v>0.01225692165</v>
      </c>
      <c r="R16" s="151">
        <f>'Main CEA'!R16</f>
        <v>0.01117963232</v>
      </c>
      <c r="S16" s="151">
        <f>'Main CEA'!S16</f>
        <v>0.01117963232</v>
      </c>
      <c r="T16" s="151">
        <f>'Main CEA'!T16</f>
        <v>0.01117963232</v>
      </c>
      <c r="U16" s="151">
        <f>'Main CEA'!U16</f>
        <v>0.01117963232</v>
      </c>
      <c r="V16" s="151">
        <f>'Main CEA'!V16</f>
        <v>0.01117963232</v>
      </c>
      <c r="W16" s="151">
        <f>'Main CEA'!W16</f>
        <v>0.01117963232</v>
      </c>
      <c r="X16" s="151">
        <f>'Main CEA'!X16</f>
        <v>0.01117963232</v>
      </c>
      <c r="Y16" s="151">
        <f>'Main CEA'!Y16</f>
        <v>0.01117963232</v>
      </c>
      <c r="Z16" s="151">
        <f>'Main CEA'!Z16</f>
        <v>0.01094095674</v>
      </c>
      <c r="AA16" s="151">
        <f>'Main CEA'!AA16</f>
        <v>0.01994019466</v>
      </c>
      <c r="AB16" s="151">
        <f>'Main CEA'!AB16</f>
        <v>0.01119428815</v>
      </c>
      <c r="AC16" s="39"/>
    </row>
    <row r="17">
      <c r="A17" s="107"/>
      <c r="B17" s="108"/>
      <c r="C17" s="152"/>
      <c r="D17" s="152"/>
      <c r="E17" s="168"/>
      <c r="F17" s="110"/>
      <c r="G17" s="116"/>
      <c r="H17" s="385"/>
      <c r="I17" s="386"/>
      <c r="J17" s="386"/>
      <c r="K17" s="386"/>
      <c r="L17" s="386"/>
      <c r="M17" s="386"/>
      <c r="N17" s="386"/>
      <c r="O17" s="386"/>
      <c r="P17" s="386"/>
      <c r="Q17" s="386"/>
      <c r="R17" s="386"/>
      <c r="S17" s="386"/>
      <c r="T17" s="386"/>
      <c r="U17" s="386"/>
      <c r="V17" s="386"/>
      <c r="W17" s="386"/>
      <c r="X17" s="386"/>
      <c r="Y17" s="386"/>
      <c r="Z17" s="386"/>
      <c r="AA17" s="386"/>
      <c r="AB17" s="386"/>
      <c r="AC17" s="24"/>
    </row>
    <row r="18">
      <c r="A18" s="107"/>
      <c r="B18" s="108"/>
      <c r="C18" s="152" t="s">
        <v>133</v>
      </c>
      <c r="F18" s="110"/>
      <c r="G18" s="116"/>
      <c r="H18" s="385"/>
      <c r="I18" s="386"/>
      <c r="J18" s="386"/>
      <c r="K18" s="386"/>
      <c r="L18" s="386"/>
      <c r="M18" s="386"/>
      <c r="N18" s="386"/>
      <c r="O18" s="386"/>
      <c r="P18" s="386"/>
      <c r="Q18" s="386"/>
      <c r="R18" s="386"/>
      <c r="S18" s="386"/>
      <c r="T18" s="386"/>
      <c r="U18" s="386"/>
      <c r="V18" s="386"/>
      <c r="W18" s="386"/>
      <c r="X18" s="386"/>
      <c r="Y18" s="386"/>
      <c r="Z18" s="386"/>
      <c r="AA18" s="386"/>
      <c r="AB18" s="386"/>
      <c r="AC18" s="24"/>
    </row>
    <row r="19">
      <c r="A19" s="107"/>
      <c r="B19" s="108"/>
      <c r="C19" s="108"/>
      <c r="D19" s="108"/>
      <c r="E19" s="153" t="str">
        <f>HYPERLINK(buildUrl(CELL("address", 'Main CEA'!E19)), 'Main CEA'!E19)</f>
        <v>Total spending contributed by grantee</v>
      </c>
      <c r="F19" s="154" t="str">
        <f>'Main CEA'!F19</f>
        <v>$</v>
      </c>
      <c r="G19" s="155" t="s">
        <v>74</v>
      </c>
      <c r="H19" s="377" t="str">
        <f>'Main CEA'!H19</f>
        <v>-</v>
      </c>
      <c r="I19" s="157">
        <f>'Main CEA'!I19</f>
        <v>0.01</v>
      </c>
      <c r="J19" s="157">
        <f>'Main CEA'!J19</f>
        <v>0.01</v>
      </c>
      <c r="K19" s="157">
        <f>'Main CEA'!K19</f>
        <v>0.01</v>
      </c>
      <c r="L19" s="157">
        <f>'Main CEA'!L19</f>
        <v>0.01</v>
      </c>
      <c r="M19" s="157">
        <f>'Main CEA'!M19</f>
        <v>0.01</v>
      </c>
      <c r="N19" s="157">
        <f>'Main CEA'!N19</f>
        <v>0.01</v>
      </c>
      <c r="O19" s="157">
        <f>'Main CEA'!O19</f>
        <v>0.01</v>
      </c>
      <c r="P19" s="157">
        <f>'Main CEA'!P19</f>
        <v>17456907.13</v>
      </c>
      <c r="Q19" s="157">
        <f>'Main CEA'!Q19</f>
        <v>0.01</v>
      </c>
      <c r="R19" s="157">
        <f>'Main CEA'!R19</f>
        <v>0.01</v>
      </c>
      <c r="S19" s="157">
        <f>'Main CEA'!S19</f>
        <v>0.01</v>
      </c>
      <c r="T19" s="157">
        <f>'Main CEA'!T19</f>
        <v>0.01</v>
      </c>
      <c r="U19" s="157">
        <f>'Main CEA'!U19</f>
        <v>0.01</v>
      </c>
      <c r="V19" s="157">
        <f>'Main CEA'!V19</f>
        <v>0.01</v>
      </c>
      <c r="W19" s="157">
        <f>'Main CEA'!W19</f>
        <v>0.01</v>
      </c>
      <c r="X19" s="157">
        <f>'Main CEA'!X19</f>
        <v>0.01</v>
      </c>
      <c r="Y19" s="157">
        <f>'Main CEA'!Y19</f>
        <v>0.01</v>
      </c>
      <c r="Z19" s="157">
        <f>'Main CEA'!Z19</f>
        <v>0.01</v>
      </c>
      <c r="AA19" s="157">
        <f>'Main CEA'!AA19</f>
        <v>0.01</v>
      </c>
      <c r="AB19" s="157">
        <f>'Main CEA'!AB19</f>
        <v>0.01</v>
      </c>
      <c r="AC19" s="15"/>
    </row>
    <row r="20">
      <c r="A20" s="107"/>
      <c r="B20" s="108"/>
      <c r="C20" s="152"/>
      <c r="D20" s="108"/>
      <c r="E20" s="158" t="str">
        <f>HYPERLINK(buildUrl(CELL("address", 'Main CEA'!E20)), 'Main CEA'!E20)</f>
        <v>Total spending contributed by other philanthropic actors</v>
      </c>
      <c r="F20" s="159" t="str">
        <f>'Main CEA'!F20</f>
        <v>$</v>
      </c>
      <c r="G20" s="160" t="s">
        <v>74</v>
      </c>
      <c r="H20" s="388" t="str">
        <f>'Main CEA'!H20</f>
        <v>-</v>
      </c>
      <c r="I20" s="162">
        <f>'Main CEA'!I20</f>
        <v>0</v>
      </c>
      <c r="J20" s="162">
        <f>'Main CEA'!J20</f>
        <v>0</v>
      </c>
      <c r="K20" s="162">
        <f>'Main CEA'!K20</f>
        <v>0</v>
      </c>
      <c r="L20" s="162">
        <f>'Main CEA'!L20</f>
        <v>0.008761205921</v>
      </c>
      <c r="M20" s="162">
        <f>'Main CEA'!M20</f>
        <v>0.008761205921</v>
      </c>
      <c r="N20" s="162">
        <f>'Main CEA'!N20</f>
        <v>0.008761205921</v>
      </c>
      <c r="O20" s="162">
        <f>'Main CEA'!O20</f>
        <v>0.008761205921</v>
      </c>
      <c r="P20" s="162">
        <f>'Main CEA'!P20</f>
        <v>0</v>
      </c>
      <c r="Q20" s="162">
        <f>'Main CEA'!Q20</f>
        <v>0.00107728928</v>
      </c>
      <c r="R20" s="162">
        <f>'Main CEA'!R20</f>
        <v>0</v>
      </c>
      <c r="S20" s="162">
        <f>'Main CEA'!S20</f>
        <v>0</v>
      </c>
      <c r="T20" s="162">
        <f>'Main CEA'!T20</f>
        <v>0</v>
      </c>
      <c r="U20" s="162">
        <f>'Main CEA'!U20</f>
        <v>0</v>
      </c>
      <c r="V20" s="162">
        <f>'Main CEA'!V20</f>
        <v>0</v>
      </c>
      <c r="W20" s="162">
        <f>'Main CEA'!W20</f>
        <v>0</v>
      </c>
      <c r="X20" s="162">
        <f>'Main CEA'!X20</f>
        <v>0</v>
      </c>
      <c r="Y20" s="162">
        <f>'Main CEA'!Y20</f>
        <v>0</v>
      </c>
      <c r="Z20" s="162">
        <f>'Main CEA'!Z20</f>
        <v>0</v>
      </c>
      <c r="AA20" s="162">
        <f>'Main CEA'!AA20</f>
        <v>0.008761205921</v>
      </c>
      <c r="AB20" s="162">
        <f>'Main CEA'!AB20</f>
        <v>0</v>
      </c>
      <c r="AC20" s="19"/>
    </row>
    <row r="21">
      <c r="A21" s="107"/>
      <c r="B21" s="108"/>
      <c r="C21" s="152"/>
      <c r="D21" s="108"/>
      <c r="E21" s="163" t="str">
        <f>HYPERLINK(buildUrl(CELL("address", 'Main CEA'!E21)), 'Main CEA'!E21)</f>
        <v>Total spending contributed by domestic governments </v>
      </c>
      <c r="F21" s="164" t="str">
        <f>'Main CEA'!F21</f>
        <v>$</v>
      </c>
      <c r="G21" s="165" t="s">
        <v>74</v>
      </c>
      <c r="H21" s="389" t="str">
        <f>'Main CEA'!H21</f>
        <v>-</v>
      </c>
      <c r="I21" s="167">
        <f>'Main CEA'!I21</f>
        <v>0.00117963232</v>
      </c>
      <c r="J21" s="167">
        <f>'Main CEA'!J21</f>
        <v>0.00108341452</v>
      </c>
      <c r="K21" s="167">
        <f>'Main CEA'!K21</f>
        <v>0.001029505029</v>
      </c>
      <c r="L21" s="167">
        <f>'Main CEA'!L21</f>
        <v>0.001178988741</v>
      </c>
      <c r="M21" s="167">
        <f>'Main CEA'!M21</f>
        <v>0.001178988741</v>
      </c>
      <c r="N21" s="167">
        <f>'Main CEA'!N21</f>
        <v>0.001178988741</v>
      </c>
      <c r="O21" s="167">
        <f>'Main CEA'!O21</f>
        <v>0.001178988741</v>
      </c>
      <c r="P21" s="167">
        <f>'Main CEA'!P21</f>
        <v>2059273.185</v>
      </c>
      <c r="Q21" s="167">
        <f>'Main CEA'!Q21</f>
        <v>0.001179632369</v>
      </c>
      <c r="R21" s="167">
        <f>'Main CEA'!R21</f>
        <v>0.00117963232</v>
      </c>
      <c r="S21" s="167">
        <f>'Main CEA'!S21</f>
        <v>0.00117963232</v>
      </c>
      <c r="T21" s="167">
        <f>'Main CEA'!T21</f>
        <v>0.00117963232</v>
      </c>
      <c r="U21" s="167">
        <f>'Main CEA'!U21</f>
        <v>0.00117963232</v>
      </c>
      <c r="V21" s="167">
        <f>'Main CEA'!V21</f>
        <v>0.00117963232</v>
      </c>
      <c r="W21" s="167">
        <f>'Main CEA'!W21</f>
        <v>0.00117963232</v>
      </c>
      <c r="X21" s="167">
        <f>'Main CEA'!X21</f>
        <v>0.00117963232</v>
      </c>
      <c r="Y21" s="167">
        <f>'Main CEA'!Y21</f>
        <v>0.00117963232</v>
      </c>
      <c r="Z21" s="167">
        <f>'Main CEA'!Z21</f>
        <v>0.000940956744</v>
      </c>
      <c r="AA21" s="167">
        <f>'Main CEA'!AA21</f>
        <v>0.001178988741</v>
      </c>
      <c r="AB21" s="167">
        <f>'Main CEA'!AB21</f>
        <v>0.001194288155</v>
      </c>
      <c r="AC21" s="23"/>
    </row>
    <row r="22">
      <c r="A22" s="107"/>
      <c r="B22" s="108"/>
      <c r="C22" s="152"/>
      <c r="D22" s="152"/>
      <c r="E22" s="168"/>
      <c r="F22" s="125"/>
      <c r="G22" s="169"/>
      <c r="H22" s="385"/>
      <c r="I22" s="386"/>
      <c r="J22" s="386"/>
      <c r="K22" s="386"/>
      <c r="L22" s="386"/>
      <c r="M22" s="386"/>
      <c r="N22" s="386"/>
      <c r="O22" s="386"/>
      <c r="P22" s="386"/>
      <c r="Q22" s="386"/>
      <c r="R22" s="386"/>
      <c r="S22" s="386"/>
      <c r="T22" s="386"/>
      <c r="U22" s="386"/>
      <c r="V22" s="386"/>
      <c r="W22" s="386"/>
      <c r="X22" s="386"/>
      <c r="Y22" s="386"/>
      <c r="Z22" s="386"/>
      <c r="AA22" s="386"/>
      <c r="AB22" s="386"/>
      <c r="AC22" s="24"/>
    </row>
    <row r="23">
      <c r="A23" s="107"/>
      <c r="B23" s="108"/>
      <c r="C23" s="152" t="s">
        <v>137</v>
      </c>
      <c r="F23" s="125"/>
      <c r="G23" s="169"/>
      <c r="H23" s="390"/>
      <c r="I23" s="251"/>
      <c r="J23" s="251"/>
      <c r="K23" s="251"/>
      <c r="L23" s="251"/>
      <c r="M23" s="251"/>
      <c r="N23" s="251"/>
      <c r="O23" s="251"/>
      <c r="P23" s="251"/>
      <c r="Q23" s="251"/>
      <c r="R23" s="251"/>
      <c r="S23" s="251"/>
      <c r="T23" s="251"/>
      <c r="U23" s="251"/>
      <c r="V23" s="251"/>
      <c r="W23" s="251"/>
      <c r="X23" s="251"/>
      <c r="Y23" s="251"/>
      <c r="Z23" s="251"/>
      <c r="AA23" s="251"/>
      <c r="AB23" s="251"/>
      <c r="AC23" s="24"/>
    </row>
    <row r="24">
      <c r="A24" s="107"/>
      <c r="B24" s="108"/>
      <c r="C24" s="108"/>
      <c r="D24" s="108"/>
      <c r="E24" s="153" t="str">
        <f>HYPERLINK(buildUrl(CELL("address", 'Main CEA'!E24)), 'Main CEA'!E24)</f>
        <v>Total spending causally upstream of donations to grantee</v>
      </c>
      <c r="F24" s="154" t="str">
        <f>'Main CEA'!F24</f>
        <v>$</v>
      </c>
      <c r="G24" s="170" t="s">
        <v>74</v>
      </c>
      <c r="H24" s="391" t="str">
        <f>'Main CEA'!H24</f>
        <v>-</v>
      </c>
      <c r="I24" s="157">
        <f>'Main CEA'!I24</f>
        <v>0.01</v>
      </c>
      <c r="J24" s="157">
        <f>'Main CEA'!J24</f>
        <v>0.01</v>
      </c>
      <c r="K24" s="157">
        <f>'Main CEA'!K24</f>
        <v>0.01</v>
      </c>
      <c r="L24" s="157">
        <f>'Main CEA'!L24</f>
        <v>0.01876120592</v>
      </c>
      <c r="M24" s="157">
        <f>'Main CEA'!M24</f>
        <v>0.01876120592</v>
      </c>
      <c r="N24" s="157">
        <f>'Main CEA'!N24</f>
        <v>0.01876120592</v>
      </c>
      <c r="O24" s="157">
        <f>'Main CEA'!O24</f>
        <v>0.01876120592</v>
      </c>
      <c r="P24" s="157">
        <f>'Main CEA'!P24</f>
        <v>17456907.13</v>
      </c>
      <c r="Q24" s="157">
        <f>'Main CEA'!Q24</f>
        <v>0.01107728928</v>
      </c>
      <c r="R24" s="157">
        <f>'Main CEA'!R24</f>
        <v>0.01</v>
      </c>
      <c r="S24" s="157">
        <f>'Main CEA'!S24</f>
        <v>0.01</v>
      </c>
      <c r="T24" s="157">
        <f>'Main CEA'!T24</f>
        <v>0.01</v>
      </c>
      <c r="U24" s="157">
        <f>'Main CEA'!U24</f>
        <v>0.01</v>
      </c>
      <c r="V24" s="157">
        <f>'Main CEA'!V24</f>
        <v>0.01</v>
      </c>
      <c r="W24" s="157">
        <f>'Main CEA'!W24</f>
        <v>0.01</v>
      </c>
      <c r="X24" s="157">
        <f>'Main CEA'!X24</f>
        <v>0.01</v>
      </c>
      <c r="Y24" s="157">
        <f>'Main CEA'!Y24</f>
        <v>0.01</v>
      </c>
      <c r="Z24" s="157">
        <f>'Main CEA'!Z24</f>
        <v>0.01</v>
      </c>
      <c r="AA24" s="157">
        <f>'Main CEA'!AA24</f>
        <v>0.01876120592</v>
      </c>
      <c r="AB24" s="157">
        <f>'Main CEA'!AB24</f>
        <v>0.01</v>
      </c>
      <c r="AC24" s="15"/>
    </row>
    <row r="25">
      <c r="A25" s="107"/>
      <c r="B25" s="108"/>
      <c r="C25" s="108"/>
      <c r="D25" s="108"/>
      <c r="E25" s="172" t="str">
        <f>HYPERLINK(buildUrl(CELL("address", 'Main CEA'!E25)), 'Main CEA'!E25)</f>
        <v>Total spending causally downstream of donations to grantee</v>
      </c>
      <c r="F25" s="119" t="str">
        <f>'Main CEA'!F25</f>
        <v>$</v>
      </c>
      <c r="G25" s="173" t="s">
        <v>74</v>
      </c>
      <c r="H25" s="392" t="str">
        <f>'Main CEA'!H25</f>
        <v>-</v>
      </c>
      <c r="I25" s="122">
        <f>'Main CEA'!I25</f>
        <v>0.00117963232</v>
      </c>
      <c r="J25" s="122">
        <f>'Main CEA'!J25</f>
        <v>0.00108341452</v>
      </c>
      <c r="K25" s="122">
        <f>'Main CEA'!K25</f>
        <v>0.001029505029</v>
      </c>
      <c r="L25" s="122">
        <f>'Main CEA'!L25</f>
        <v>0.001178988741</v>
      </c>
      <c r="M25" s="122">
        <f>'Main CEA'!M25</f>
        <v>0.001178988741</v>
      </c>
      <c r="N25" s="122">
        <f>'Main CEA'!N25</f>
        <v>0.001178988741</v>
      </c>
      <c r="O25" s="122">
        <f>'Main CEA'!O25</f>
        <v>0.001178988741</v>
      </c>
      <c r="P25" s="122">
        <f>'Main CEA'!P25</f>
        <v>2059273.185</v>
      </c>
      <c r="Q25" s="122">
        <f>'Main CEA'!Q25</f>
        <v>0.001179632369</v>
      </c>
      <c r="R25" s="122">
        <f>'Main CEA'!R25</f>
        <v>0.00117963232</v>
      </c>
      <c r="S25" s="122">
        <f>'Main CEA'!S25</f>
        <v>0.00117963232</v>
      </c>
      <c r="T25" s="122">
        <f>'Main CEA'!T25</f>
        <v>0.00117963232</v>
      </c>
      <c r="U25" s="122">
        <f>'Main CEA'!U25</f>
        <v>0.00117963232</v>
      </c>
      <c r="V25" s="122">
        <f>'Main CEA'!V25</f>
        <v>0.00117963232</v>
      </c>
      <c r="W25" s="122">
        <f>'Main CEA'!W25</f>
        <v>0.00117963232</v>
      </c>
      <c r="X25" s="122">
        <f>'Main CEA'!X25</f>
        <v>0.00117963232</v>
      </c>
      <c r="Y25" s="122">
        <f>'Main CEA'!Y25</f>
        <v>0.00117963232</v>
      </c>
      <c r="Z25" s="122">
        <f>'Main CEA'!Z25</f>
        <v>0.000940956744</v>
      </c>
      <c r="AA25" s="122">
        <f>'Main CEA'!AA25</f>
        <v>0.001178988741</v>
      </c>
      <c r="AB25" s="122">
        <f>'Main CEA'!AB25</f>
        <v>0.001194288155</v>
      </c>
      <c r="AC25" s="39"/>
    </row>
    <row r="26">
      <c r="A26" s="107"/>
      <c r="B26" s="108"/>
      <c r="C26" s="108"/>
      <c r="D26" s="108"/>
      <c r="E26" s="168"/>
      <c r="F26" s="125"/>
      <c r="G26" s="169"/>
      <c r="H26" s="390"/>
      <c r="I26" s="251"/>
      <c r="J26" s="251"/>
      <c r="K26" s="251"/>
      <c r="L26" s="251"/>
      <c r="M26" s="251"/>
      <c r="N26" s="251"/>
      <c r="O26" s="251"/>
      <c r="P26" s="251"/>
      <c r="Q26" s="251"/>
      <c r="R26" s="251"/>
      <c r="S26" s="251"/>
      <c r="T26" s="251"/>
      <c r="U26" s="251"/>
      <c r="V26" s="251"/>
      <c r="W26" s="251"/>
      <c r="X26" s="251"/>
      <c r="Y26" s="251"/>
      <c r="Z26" s="251"/>
      <c r="AA26" s="251"/>
      <c r="AB26" s="251"/>
      <c r="AC26" s="24"/>
    </row>
    <row r="27">
      <c r="A27" s="103" t="s">
        <v>254</v>
      </c>
      <c r="B27" s="6"/>
      <c r="C27" s="6"/>
      <c r="D27" s="6"/>
      <c r="E27" s="6"/>
      <c r="F27" s="6"/>
      <c r="G27" s="370"/>
      <c r="H27" s="393"/>
      <c r="I27" s="184"/>
      <c r="J27" s="184"/>
      <c r="K27" s="184"/>
      <c r="L27" s="184"/>
      <c r="M27" s="184"/>
      <c r="N27" s="184"/>
      <c r="O27" s="184"/>
      <c r="P27" s="184"/>
      <c r="Q27" s="184"/>
      <c r="R27" s="184"/>
      <c r="S27" s="184"/>
      <c r="T27" s="184"/>
      <c r="U27" s="184"/>
      <c r="V27" s="184"/>
      <c r="W27" s="184"/>
      <c r="X27" s="184"/>
      <c r="Y27" s="184"/>
      <c r="Z27" s="184"/>
      <c r="AA27" s="184"/>
      <c r="AB27" s="184"/>
      <c r="AC27" s="394"/>
    </row>
    <row r="28">
      <c r="A28" s="107"/>
      <c r="B28" s="108"/>
      <c r="C28" s="193"/>
      <c r="D28" s="108"/>
      <c r="E28" s="372"/>
      <c r="F28" s="110"/>
      <c r="G28" s="111"/>
      <c r="H28" s="373"/>
      <c r="I28" s="117"/>
      <c r="J28" s="117"/>
      <c r="K28" s="117"/>
      <c r="L28" s="117"/>
      <c r="M28" s="117"/>
      <c r="N28" s="117"/>
      <c r="O28" s="117"/>
      <c r="P28" s="117"/>
      <c r="Q28" s="117"/>
      <c r="R28" s="117"/>
      <c r="S28" s="117"/>
      <c r="T28" s="117"/>
      <c r="U28" s="117"/>
      <c r="V28" s="117"/>
      <c r="W28" s="117"/>
      <c r="X28" s="117"/>
      <c r="Y28" s="117"/>
      <c r="Z28" s="117"/>
      <c r="AA28" s="117"/>
      <c r="AB28" s="117"/>
      <c r="AC28" s="24"/>
    </row>
    <row r="29">
      <c r="A29" s="107"/>
      <c r="B29" s="108"/>
      <c r="C29" s="152" t="s">
        <v>255</v>
      </c>
      <c r="F29" s="110"/>
      <c r="G29" s="116"/>
      <c r="H29" s="395"/>
      <c r="I29" s="117"/>
      <c r="J29" s="117"/>
      <c r="K29" s="117"/>
      <c r="L29" s="117"/>
      <c r="M29" s="117"/>
      <c r="N29" s="117"/>
      <c r="O29" s="117"/>
      <c r="P29" s="117"/>
      <c r="Q29" s="117"/>
      <c r="R29" s="117"/>
      <c r="S29" s="117"/>
      <c r="T29" s="117"/>
      <c r="U29" s="117"/>
      <c r="V29" s="117"/>
      <c r="W29" s="117"/>
      <c r="X29" s="117"/>
      <c r="Y29" s="117"/>
      <c r="Z29" s="117"/>
      <c r="AA29" s="117"/>
      <c r="AB29" s="117"/>
      <c r="AC29" s="24"/>
    </row>
    <row r="30">
      <c r="A30" s="107"/>
      <c r="B30" s="108"/>
      <c r="C30" s="108"/>
      <c r="D30" s="108"/>
      <c r="E30" s="153" t="str">
        <f>HYPERLINK(buildUrl(CELL("address", Inputs!E114)), Inputs!E114)</f>
        <v>Scenario 1: Domestic governments would replace the grantee's costs</v>
      </c>
      <c r="F30" s="154" t="str">
        <f>Inputs!F114</f>
        <v>%</v>
      </c>
      <c r="G30" s="155" t="str">
        <f>Inputs!G114</f>
        <v>input</v>
      </c>
      <c r="H30" s="396" t="str">
        <f>Inputs!H114</f>
        <v>-</v>
      </c>
      <c r="I30" s="133">
        <f>Inputs!I114</f>
        <v>0</v>
      </c>
      <c r="J30" s="133">
        <f>Inputs!J114</f>
        <v>0</v>
      </c>
      <c r="K30" s="133">
        <f>Inputs!K114</f>
        <v>0</v>
      </c>
      <c r="L30" s="133">
        <f>Inputs!L114</f>
        <v>0</v>
      </c>
      <c r="M30" s="133">
        <f>Inputs!M114</f>
        <v>0</v>
      </c>
      <c r="N30" s="133">
        <f>Inputs!N114</f>
        <v>0</v>
      </c>
      <c r="O30" s="133">
        <f>Inputs!O114</f>
        <v>0</v>
      </c>
      <c r="P30" s="133">
        <f>Inputs!P114</f>
        <v>0</v>
      </c>
      <c r="Q30" s="133">
        <f>Inputs!Q114</f>
        <v>0</v>
      </c>
      <c r="R30" s="133">
        <f>Inputs!R114</f>
        <v>0</v>
      </c>
      <c r="S30" s="133">
        <f>Inputs!S114</f>
        <v>0</v>
      </c>
      <c r="T30" s="133">
        <f>Inputs!T114</f>
        <v>0</v>
      </c>
      <c r="U30" s="133">
        <f>Inputs!U114</f>
        <v>0</v>
      </c>
      <c r="V30" s="133">
        <f>Inputs!V114</f>
        <v>0</v>
      </c>
      <c r="W30" s="133">
        <f>Inputs!W114</f>
        <v>0</v>
      </c>
      <c r="X30" s="133">
        <f>Inputs!X114</f>
        <v>0</v>
      </c>
      <c r="Y30" s="133">
        <f>Inputs!Y114</f>
        <v>0</v>
      </c>
      <c r="Z30" s="133">
        <f>Inputs!Z114</f>
        <v>0</v>
      </c>
      <c r="AA30" s="133">
        <f>Inputs!AA114</f>
        <v>0</v>
      </c>
      <c r="AB30" s="133">
        <f>Inputs!AB114</f>
        <v>0</v>
      </c>
      <c r="AC30" s="15"/>
    </row>
    <row r="31">
      <c r="A31" s="107"/>
      <c r="B31" s="108"/>
      <c r="C31" s="108"/>
      <c r="D31" s="108"/>
      <c r="E31" s="153" t="str">
        <f>HYPERLINK(buildUrl(CELL("address", Inputs!E115)), Inputs!E115)</f>
        <v>Scenario 2: Global Fund and/or PMI would replace the grantee's costs</v>
      </c>
      <c r="F31" s="154" t="str">
        <f>Inputs!F115</f>
        <v>%</v>
      </c>
      <c r="G31" s="155" t="str">
        <f>Inputs!G115</f>
        <v>input</v>
      </c>
      <c r="H31" s="396" t="str">
        <f>Inputs!H115</f>
        <v>-</v>
      </c>
      <c r="I31" s="133">
        <f>Inputs!I115</f>
        <v>0.5</v>
      </c>
      <c r="J31" s="133">
        <f>Inputs!J115</f>
        <v>0.3</v>
      </c>
      <c r="K31" s="133">
        <f>Inputs!K115</f>
        <v>0.4</v>
      </c>
      <c r="L31" s="133">
        <f>Inputs!L115</f>
        <v>0.15</v>
      </c>
      <c r="M31" s="133">
        <f>Inputs!M115</f>
        <v>0.15</v>
      </c>
      <c r="N31" s="133">
        <f>Inputs!N115</f>
        <v>0.15</v>
      </c>
      <c r="O31" s="133">
        <f>Inputs!O115</f>
        <v>0.15</v>
      </c>
      <c r="P31" s="133">
        <f>Inputs!P115</f>
        <v>0.35</v>
      </c>
      <c r="Q31" s="133">
        <f>Inputs!Q115</f>
        <v>0.2</v>
      </c>
      <c r="R31" s="133">
        <f>Inputs!R115</f>
        <v>0.1</v>
      </c>
      <c r="S31" s="133">
        <f>Inputs!S115</f>
        <v>0.1</v>
      </c>
      <c r="T31" s="133">
        <f>Inputs!T115</f>
        <v>0.2</v>
      </c>
      <c r="U31" s="133">
        <f>Inputs!U115</f>
        <v>0.1</v>
      </c>
      <c r="V31" s="133">
        <f>Inputs!V115</f>
        <v>0.2</v>
      </c>
      <c r="W31" s="133">
        <f>Inputs!W115</f>
        <v>0.2</v>
      </c>
      <c r="X31" s="133">
        <f>Inputs!X115</f>
        <v>0.2</v>
      </c>
      <c r="Y31" s="133">
        <f>Inputs!Y115</f>
        <v>0.2</v>
      </c>
      <c r="Z31" s="133">
        <f>Inputs!Z115</f>
        <v>0.15</v>
      </c>
      <c r="AA31" s="133">
        <f>Inputs!AA115</f>
        <v>0.65</v>
      </c>
      <c r="AB31" s="133">
        <f>Inputs!AB115</f>
        <v>0.4</v>
      </c>
      <c r="AC31" s="15"/>
    </row>
    <row r="32">
      <c r="A32" s="107"/>
      <c r="B32" s="108"/>
      <c r="C32" s="108"/>
      <c r="D32" s="108"/>
      <c r="E32" s="158" t="str">
        <f>HYPERLINK(buildUrl(CELL("address", Inputs!E116)), Inputs!E116)</f>
        <v>Scenario 3: Other actors' upstream costs would stay the same (downstream costs would shrink in proportion to the total size of the program)</v>
      </c>
      <c r="F32" s="159" t="str">
        <f>Inputs!F116</f>
        <v>%</v>
      </c>
      <c r="G32" s="397" t="str">
        <f>Inputs!G116</f>
        <v>input</v>
      </c>
      <c r="H32" s="398" t="str">
        <f>Inputs!H116</f>
        <v>-</v>
      </c>
      <c r="I32" s="139">
        <f>Inputs!I116</f>
        <v>0</v>
      </c>
      <c r="J32" s="139">
        <f>Inputs!J116</f>
        <v>0</v>
      </c>
      <c r="K32" s="139">
        <f>Inputs!K116</f>
        <v>0</v>
      </c>
      <c r="L32" s="139">
        <f>Inputs!L116</f>
        <v>0</v>
      </c>
      <c r="M32" s="139">
        <f>Inputs!M116</f>
        <v>0</v>
      </c>
      <c r="N32" s="139">
        <f>Inputs!N116</f>
        <v>0</v>
      </c>
      <c r="O32" s="139">
        <f>Inputs!O116</f>
        <v>0</v>
      </c>
      <c r="P32" s="139">
        <f>Inputs!P116</f>
        <v>0</v>
      </c>
      <c r="Q32" s="139">
        <f>Inputs!Q116</f>
        <v>0</v>
      </c>
      <c r="R32" s="139">
        <f>Inputs!R116</f>
        <v>0</v>
      </c>
      <c r="S32" s="139">
        <f>Inputs!S116</f>
        <v>0</v>
      </c>
      <c r="T32" s="139">
        <f>Inputs!T116</f>
        <v>0</v>
      </c>
      <c r="U32" s="139">
        <f>Inputs!U116</f>
        <v>0</v>
      </c>
      <c r="V32" s="139">
        <f>Inputs!V116</f>
        <v>0</v>
      </c>
      <c r="W32" s="139">
        <f>Inputs!W116</f>
        <v>0</v>
      </c>
      <c r="X32" s="139">
        <f>Inputs!X116</f>
        <v>0</v>
      </c>
      <c r="Y32" s="139">
        <f>Inputs!Y116</f>
        <v>0</v>
      </c>
      <c r="Z32" s="139">
        <f>Inputs!Z116</f>
        <v>0</v>
      </c>
      <c r="AA32" s="139">
        <f>Inputs!AA116</f>
        <v>0</v>
      </c>
      <c r="AB32" s="139">
        <f>Inputs!AB116</f>
        <v>0</v>
      </c>
      <c r="AC32" s="19"/>
    </row>
    <row r="33">
      <c r="A33" s="107"/>
      <c r="B33" s="108"/>
      <c r="C33" s="194"/>
      <c r="D33" s="108"/>
      <c r="E33" s="163" t="s">
        <v>256</v>
      </c>
      <c r="F33" s="164" t="s">
        <v>59</v>
      </c>
      <c r="G33" s="219" t="s">
        <v>70</v>
      </c>
      <c r="H33" s="382" t="s">
        <v>132</v>
      </c>
      <c r="I33" s="145">
        <f t="shared" ref="I33:AB33" si="1">1-SUM(I30:I32)</f>
        <v>0.5</v>
      </c>
      <c r="J33" s="145">
        <f t="shared" si="1"/>
        <v>0.7</v>
      </c>
      <c r="K33" s="145">
        <f t="shared" si="1"/>
        <v>0.6</v>
      </c>
      <c r="L33" s="145">
        <f t="shared" si="1"/>
        <v>0.85</v>
      </c>
      <c r="M33" s="145">
        <f t="shared" si="1"/>
        <v>0.85</v>
      </c>
      <c r="N33" s="145">
        <f t="shared" si="1"/>
        <v>0.85</v>
      </c>
      <c r="O33" s="145">
        <f t="shared" si="1"/>
        <v>0.85</v>
      </c>
      <c r="P33" s="145">
        <f t="shared" si="1"/>
        <v>0.65</v>
      </c>
      <c r="Q33" s="145">
        <f t="shared" si="1"/>
        <v>0.8</v>
      </c>
      <c r="R33" s="145">
        <f t="shared" si="1"/>
        <v>0.9</v>
      </c>
      <c r="S33" s="145">
        <f t="shared" si="1"/>
        <v>0.9</v>
      </c>
      <c r="T33" s="145">
        <f t="shared" si="1"/>
        <v>0.8</v>
      </c>
      <c r="U33" s="145">
        <f t="shared" si="1"/>
        <v>0.9</v>
      </c>
      <c r="V33" s="145">
        <f t="shared" si="1"/>
        <v>0.8</v>
      </c>
      <c r="W33" s="145">
        <f t="shared" si="1"/>
        <v>0.8</v>
      </c>
      <c r="X33" s="145">
        <f t="shared" si="1"/>
        <v>0.8</v>
      </c>
      <c r="Y33" s="145">
        <f t="shared" si="1"/>
        <v>0.8</v>
      </c>
      <c r="Z33" s="145">
        <f t="shared" si="1"/>
        <v>0.85</v>
      </c>
      <c r="AA33" s="145">
        <f t="shared" si="1"/>
        <v>0.35</v>
      </c>
      <c r="AB33" s="145">
        <f t="shared" si="1"/>
        <v>0.6</v>
      </c>
      <c r="AC33" s="23"/>
    </row>
    <row r="34">
      <c r="A34" s="53"/>
      <c r="B34" s="10"/>
      <c r="C34" s="10"/>
      <c r="D34" s="10"/>
      <c r="E34" s="399"/>
      <c r="F34" s="10"/>
      <c r="G34" s="24"/>
      <c r="H34" s="373"/>
      <c r="I34" s="117"/>
      <c r="J34" s="117"/>
      <c r="K34" s="117"/>
      <c r="L34" s="117"/>
      <c r="M34" s="117"/>
      <c r="N34" s="117"/>
      <c r="O34" s="117"/>
      <c r="P34" s="117"/>
      <c r="Q34" s="117"/>
      <c r="R34" s="117"/>
      <c r="S34" s="117"/>
      <c r="T34" s="117"/>
      <c r="U34" s="117"/>
      <c r="V34" s="117"/>
      <c r="W34" s="117"/>
      <c r="X34" s="117"/>
      <c r="Y34" s="117"/>
      <c r="Z34" s="117"/>
      <c r="AA34" s="117"/>
      <c r="AB34" s="117"/>
      <c r="AC34" s="24"/>
    </row>
    <row r="35">
      <c r="A35" s="53"/>
      <c r="B35" s="10"/>
      <c r="C35" s="40" t="s">
        <v>257</v>
      </c>
      <c r="F35" s="10"/>
      <c r="G35" s="24"/>
      <c r="H35" s="373"/>
      <c r="I35" s="117"/>
      <c r="J35" s="117"/>
      <c r="K35" s="117"/>
      <c r="L35" s="117"/>
      <c r="M35" s="117"/>
      <c r="N35" s="117"/>
      <c r="O35" s="117"/>
      <c r="P35" s="117"/>
      <c r="Q35" s="117"/>
      <c r="R35" s="117"/>
      <c r="S35" s="117"/>
      <c r="T35" s="117"/>
      <c r="U35" s="117"/>
      <c r="V35" s="117"/>
      <c r="W35" s="117"/>
      <c r="X35" s="117"/>
      <c r="Y35" s="117"/>
      <c r="Z35" s="117"/>
      <c r="AA35" s="117"/>
      <c r="AB35" s="117"/>
      <c r="AC35" s="24"/>
    </row>
    <row r="36">
      <c r="A36" s="53"/>
      <c r="B36" s="10"/>
      <c r="C36" s="10"/>
      <c r="D36" s="10"/>
      <c r="E36" s="376" t="str">
        <f>HYPERLINK(buildUrl(CELL("address", Inputs!E119)), Inputs!E119)</f>
        <v>Scenario 1: Domestic governments would replace the grantee's costs</v>
      </c>
      <c r="F36" s="400" t="str">
        <f>Inputs!F119</f>
        <v>%</v>
      </c>
      <c r="G36" s="131" t="str">
        <f>Inputs!G119</f>
        <v>input</v>
      </c>
      <c r="H36" s="396">
        <f>Inputs!H119</f>
        <v>1</v>
      </c>
      <c r="I36" s="196" t="str">
        <f>Inputs!I119</f>
        <v>-</v>
      </c>
      <c r="J36" s="196" t="str">
        <f>Inputs!J119</f>
        <v>-</v>
      </c>
      <c r="K36" s="196" t="str">
        <f>Inputs!K119</f>
        <v>-</v>
      </c>
      <c r="L36" s="196" t="str">
        <f>Inputs!L119</f>
        <v>-</v>
      </c>
      <c r="M36" s="196" t="str">
        <f>Inputs!M119</f>
        <v>-</v>
      </c>
      <c r="N36" s="196" t="str">
        <f>Inputs!N119</f>
        <v>-</v>
      </c>
      <c r="O36" s="196" t="str">
        <f>Inputs!O119</f>
        <v>-</v>
      </c>
      <c r="P36" s="196" t="str">
        <f>Inputs!P119</f>
        <v>-</v>
      </c>
      <c r="Q36" s="196" t="str">
        <f>Inputs!Q119</f>
        <v>-</v>
      </c>
      <c r="R36" s="196" t="str">
        <f>Inputs!R119</f>
        <v>-</v>
      </c>
      <c r="S36" s="196" t="str">
        <f>Inputs!S119</f>
        <v>-</v>
      </c>
      <c r="T36" s="196" t="str">
        <f>Inputs!T119</f>
        <v>-</v>
      </c>
      <c r="U36" s="196" t="str">
        <f>Inputs!U119</f>
        <v>-</v>
      </c>
      <c r="V36" s="196" t="str">
        <f>Inputs!V119</f>
        <v>-</v>
      </c>
      <c r="W36" s="196" t="str">
        <f>Inputs!W119</f>
        <v>-</v>
      </c>
      <c r="X36" s="196" t="str">
        <f>Inputs!X119</f>
        <v>-</v>
      </c>
      <c r="Y36" s="196" t="str">
        <f>Inputs!Y119</f>
        <v>-</v>
      </c>
      <c r="Z36" s="196" t="str">
        <f>Inputs!Z119</f>
        <v>-</v>
      </c>
      <c r="AA36" s="196" t="str">
        <f>Inputs!AA119</f>
        <v>-</v>
      </c>
      <c r="AB36" s="196" t="str">
        <f>Inputs!AB119</f>
        <v>-</v>
      </c>
      <c r="AC36" s="15"/>
    </row>
    <row r="37">
      <c r="A37" s="53"/>
      <c r="B37" s="10"/>
      <c r="C37" s="10"/>
      <c r="D37" s="10"/>
      <c r="E37" s="401" t="str">
        <f>HYPERLINK(buildUrl(CELL("address", Inputs!E120)), Inputs!E120)</f>
        <v>Scenario 2: Global Fund and/or PMI would replace the grantee's costs</v>
      </c>
      <c r="F37" s="402" t="str">
        <f>Inputs!F120</f>
        <v>%</v>
      </c>
      <c r="G37" s="137" t="str">
        <f>Inputs!G120</f>
        <v>input</v>
      </c>
      <c r="H37" s="398">
        <f>Inputs!H120</f>
        <v>1</v>
      </c>
      <c r="I37" s="214" t="str">
        <f>Inputs!I120</f>
        <v>-</v>
      </c>
      <c r="J37" s="214" t="str">
        <f>Inputs!J120</f>
        <v>-</v>
      </c>
      <c r="K37" s="214" t="str">
        <f>Inputs!K120</f>
        <v>-</v>
      </c>
      <c r="L37" s="214" t="str">
        <f>Inputs!L120</f>
        <v>-</v>
      </c>
      <c r="M37" s="214" t="str">
        <f>Inputs!M120</f>
        <v>-</v>
      </c>
      <c r="N37" s="214" t="str">
        <f>Inputs!N120</f>
        <v>-</v>
      </c>
      <c r="O37" s="214" t="str">
        <f>Inputs!O120</f>
        <v>-</v>
      </c>
      <c r="P37" s="214" t="str">
        <f>Inputs!P120</f>
        <v>-</v>
      </c>
      <c r="Q37" s="214" t="str">
        <f>Inputs!Q120</f>
        <v>-</v>
      </c>
      <c r="R37" s="214" t="str">
        <f>Inputs!R120</f>
        <v>-</v>
      </c>
      <c r="S37" s="214" t="str">
        <f>Inputs!S120</f>
        <v>-</v>
      </c>
      <c r="T37" s="214" t="str">
        <f>Inputs!T120</f>
        <v>-</v>
      </c>
      <c r="U37" s="214" t="str">
        <f>Inputs!U120</f>
        <v>-</v>
      </c>
      <c r="V37" s="214" t="str">
        <f>Inputs!V120</f>
        <v>-</v>
      </c>
      <c r="W37" s="214" t="str">
        <f>Inputs!W120</f>
        <v>-</v>
      </c>
      <c r="X37" s="214" t="str">
        <f>Inputs!X120</f>
        <v>-</v>
      </c>
      <c r="Y37" s="214" t="str">
        <f>Inputs!Y120</f>
        <v>-</v>
      </c>
      <c r="Z37" s="214" t="str">
        <f>Inputs!Z120</f>
        <v>-</v>
      </c>
      <c r="AA37" s="214" t="str">
        <f>Inputs!AA120</f>
        <v>-</v>
      </c>
      <c r="AB37" s="214" t="str">
        <f>Inputs!AB120</f>
        <v>-</v>
      </c>
      <c r="AC37" s="19"/>
    </row>
    <row r="38">
      <c r="A38" s="53"/>
      <c r="B38" s="10"/>
      <c r="C38" s="10"/>
      <c r="D38" s="10"/>
      <c r="E38" s="378" t="s">
        <v>258</v>
      </c>
      <c r="F38" s="402" t="s">
        <v>59</v>
      </c>
      <c r="G38" s="403" t="s">
        <v>70</v>
      </c>
      <c r="H38" s="379" t="s">
        <v>132</v>
      </c>
      <c r="I38" s="206">
        <f t="shared" ref="I38:AB38" si="2">I20/I24</f>
        <v>0</v>
      </c>
      <c r="J38" s="206">
        <f t="shared" si="2"/>
        <v>0</v>
      </c>
      <c r="K38" s="206">
        <f t="shared" si="2"/>
        <v>0</v>
      </c>
      <c r="L38" s="206">
        <f t="shared" si="2"/>
        <v>0.4669852225</v>
      </c>
      <c r="M38" s="206">
        <f t="shared" si="2"/>
        <v>0.4669852225</v>
      </c>
      <c r="N38" s="206">
        <f t="shared" si="2"/>
        <v>0.4669852225</v>
      </c>
      <c r="O38" s="206">
        <f t="shared" si="2"/>
        <v>0.4669852225</v>
      </c>
      <c r="P38" s="206">
        <f t="shared" si="2"/>
        <v>0</v>
      </c>
      <c r="Q38" s="206">
        <f t="shared" si="2"/>
        <v>0.09725206705</v>
      </c>
      <c r="R38" s="206">
        <f t="shared" si="2"/>
        <v>0</v>
      </c>
      <c r="S38" s="206">
        <f t="shared" si="2"/>
        <v>0</v>
      </c>
      <c r="T38" s="206">
        <f t="shared" si="2"/>
        <v>0</v>
      </c>
      <c r="U38" s="206">
        <f t="shared" si="2"/>
        <v>0</v>
      </c>
      <c r="V38" s="206">
        <f t="shared" si="2"/>
        <v>0</v>
      </c>
      <c r="W38" s="206">
        <f t="shared" si="2"/>
        <v>0</v>
      </c>
      <c r="X38" s="206">
        <f t="shared" si="2"/>
        <v>0</v>
      </c>
      <c r="Y38" s="206">
        <f t="shared" si="2"/>
        <v>0</v>
      </c>
      <c r="Z38" s="206">
        <f t="shared" si="2"/>
        <v>0</v>
      </c>
      <c r="AA38" s="206">
        <f t="shared" si="2"/>
        <v>0.4669852225</v>
      </c>
      <c r="AB38" s="206">
        <f t="shared" si="2"/>
        <v>0</v>
      </c>
      <c r="AC38" s="19"/>
    </row>
    <row r="39">
      <c r="A39" s="53"/>
      <c r="B39" s="10"/>
      <c r="C39" s="10"/>
      <c r="D39" s="10"/>
      <c r="E39" s="404" t="str">
        <f>HYPERLINK(buildUrl(CELL("address", Inputs!E121)), Inputs!E121)</f>
        <v>Scenario 4: Distributions would go unfunded</v>
      </c>
      <c r="F39" s="405" t="str">
        <f>Inputs!F121</f>
        <v>%</v>
      </c>
      <c r="G39" s="381" t="str">
        <f>Inputs!G121</f>
        <v>input</v>
      </c>
      <c r="H39" s="406">
        <f>Inputs!H121</f>
        <v>0</v>
      </c>
      <c r="I39" s="407" t="str">
        <f>Inputs!I121</f>
        <v>-</v>
      </c>
      <c r="J39" s="407" t="str">
        <f>Inputs!J121</f>
        <v>-</v>
      </c>
      <c r="K39" s="407" t="str">
        <f>Inputs!K121</f>
        <v>-</v>
      </c>
      <c r="L39" s="407" t="str">
        <f>Inputs!L121</f>
        <v>-</v>
      </c>
      <c r="M39" s="407" t="str">
        <f>Inputs!M121</f>
        <v>-</v>
      </c>
      <c r="N39" s="407" t="str">
        <f>Inputs!N121</f>
        <v>-</v>
      </c>
      <c r="O39" s="407" t="str">
        <f>Inputs!O121</f>
        <v>-</v>
      </c>
      <c r="P39" s="407" t="str">
        <f>Inputs!P121</f>
        <v>-</v>
      </c>
      <c r="Q39" s="407" t="str">
        <f>Inputs!Q121</f>
        <v>-</v>
      </c>
      <c r="R39" s="407" t="str">
        <f>Inputs!R121</f>
        <v>-</v>
      </c>
      <c r="S39" s="407" t="str">
        <f>Inputs!S121</f>
        <v>-</v>
      </c>
      <c r="T39" s="407" t="str">
        <f>Inputs!T121</f>
        <v>-</v>
      </c>
      <c r="U39" s="407" t="str">
        <f>Inputs!U121</f>
        <v>-</v>
      </c>
      <c r="V39" s="407" t="str">
        <f>Inputs!V121</f>
        <v>-</v>
      </c>
      <c r="W39" s="407" t="str">
        <f>Inputs!W121</f>
        <v>-</v>
      </c>
      <c r="X39" s="407" t="str">
        <f>Inputs!X121</f>
        <v>-</v>
      </c>
      <c r="Y39" s="407" t="str">
        <f>Inputs!Y121</f>
        <v>-</v>
      </c>
      <c r="Z39" s="407" t="str">
        <f>Inputs!Z121</f>
        <v>-</v>
      </c>
      <c r="AA39" s="407" t="str">
        <f>Inputs!AA121</f>
        <v>-</v>
      </c>
      <c r="AB39" s="407" t="str">
        <f>Inputs!AB121</f>
        <v>-</v>
      </c>
      <c r="AC39" s="23"/>
    </row>
    <row r="40">
      <c r="A40" s="53"/>
      <c r="B40" s="10"/>
      <c r="C40" s="10"/>
      <c r="D40" s="10"/>
      <c r="E40" s="399"/>
      <c r="F40" s="263"/>
      <c r="G40" s="128"/>
      <c r="H40" s="373"/>
      <c r="I40" s="117"/>
      <c r="J40" s="117"/>
      <c r="K40" s="117"/>
      <c r="L40" s="117"/>
      <c r="M40" s="117"/>
      <c r="N40" s="117"/>
      <c r="O40" s="117"/>
      <c r="P40" s="117"/>
      <c r="Q40" s="117"/>
      <c r="R40" s="117"/>
      <c r="S40" s="117"/>
      <c r="T40" s="117"/>
      <c r="U40" s="117"/>
      <c r="V40" s="117"/>
      <c r="W40" s="117"/>
      <c r="X40" s="117"/>
      <c r="Y40" s="117"/>
      <c r="Z40" s="117"/>
      <c r="AA40" s="117"/>
      <c r="AB40" s="117"/>
      <c r="AC40" s="24"/>
    </row>
    <row r="41">
      <c r="A41" s="103" t="s">
        <v>259</v>
      </c>
      <c r="B41" s="6"/>
      <c r="C41" s="6"/>
      <c r="D41" s="6"/>
      <c r="E41" s="6"/>
      <c r="F41" s="6"/>
      <c r="G41" s="370"/>
      <c r="H41" s="371"/>
      <c r="I41" s="264"/>
      <c r="J41" s="264"/>
      <c r="K41" s="264"/>
      <c r="L41" s="264"/>
      <c r="M41" s="264"/>
      <c r="N41" s="264"/>
      <c r="O41" s="264"/>
      <c r="P41" s="264"/>
      <c r="Q41" s="264"/>
      <c r="R41" s="264"/>
      <c r="S41" s="264"/>
      <c r="T41" s="264"/>
      <c r="U41" s="264"/>
      <c r="V41" s="264"/>
      <c r="W41" s="264"/>
      <c r="X41" s="264"/>
      <c r="Y41" s="264"/>
      <c r="Z41" s="264"/>
      <c r="AA41" s="264"/>
      <c r="AB41" s="264"/>
      <c r="AC41" s="408"/>
    </row>
    <row r="42">
      <c r="A42" s="409"/>
      <c r="B42" s="108"/>
      <c r="C42" s="108"/>
      <c r="D42" s="108"/>
      <c r="E42" s="372"/>
      <c r="F42" s="110"/>
      <c r="G42" s="111"/>
      <c r="H42" s="410"/>
      <c r="I42" s="411"/>
      <c r="J42" s="411"/>
      <c r="K42" s="411"/>
      <c r="L42" s="411"/>
      <c r="M42" s="411"/>
      <c r="N42" s="411"/>
      <c r="O42" s="411"/>
      <c r="P42" s="411"/>
      <c r="Q42" s="411"/>
      <c r="R42" s="411"/>
      <c r="S42" s="411"/>
      <c r="T42" s="411"/>
      <c r="U42" s="411"/>
      <c r="V42" s="411"/>
      <c r="W42" s="411"/>
      <c r="X42" s="411"/>
      <c r="Y42" s="411"/>
      <c r="Z42" s="411"/>
      <c r="AA42" s="411"/>
      <c r="AB42" s="411"/>
      <c r="AC42" s="111"/>
    </row>
    <row r="43">
      <c r="A43" s="409"/>
      <c r="B43" s="108"/>
      <c r="C43" s="152" t="s">
        <v>260</v>
      </c>
      <c r="F43" s="125"/>
      <c r="G43" s="111"/>
      <c r="H43" s="410"/>
      <c r="I43" s="411"/>
      <c r="J43" s="411"/>
      <c r="K43" s="411"/>
      <c r="L43" s="411"/>
      <c r="M43" s="411"/>
      <c r="N43" s="411"/>
      <c r="O43" s="411"/>
      <c r="P43" s="411"/>
      <c r="Q43" s="411"/>
      <c r="R43" s="411"/>
      <c r="S43" s="411"/>
      <c r="T43" s="411"/>
      <c r="U43" s="411"/>
      <c r="V43" s="411"/>
      <c r="W43" s="411"/>
      <c r="X43" s="411"/>
      <c r="Y43" s="411"/>
      <c r="Z43" s="411"/>
      <c r="AA43" s="411"/>
      <c r="AB43" s="411"/>
      <c r="AC43" s="111"/>
    </row>
    <row r="44">
      <c r="A44" s="409"/>
      <c r="B44" s="108"/>
      <c r="C44" s="152"/>
      <c r="D44" s="108"/>
      <c r="E44" s="153" t="str">
        <f>HYPERLINK(buildUrl(CELL("address", 'Main CEA'!E134)), 'Main CEA'!E134)</f>
        <v>Units of value generated per dollar (before final adjustments)</v>
      </c>
      <c r="F44" s="154" t="str">
        <f>'Main CEA'!F134</f>
        <v>UoV</v>
      </c>
      <c r="G44" s="179" t="s">
        <v>74</v>
      </c>
      <c r="H44" s="412" t="str">
        <f>'Main CEA'!H134</f>
        <v>-</v>
      </c>
      <c r="I44" s="413">
        <f>'Main CEA'!I134</f>
        <v>0.06796093089</v>
      </c>
      <c r="J44" s="413">
        <f>'Main CEA'!J134</f>
        <v>0.05618991715</v>
      </c>
      <c r="K44" s="413">
        <f>'Main CEA'!K134</f>
        <v>0.03606427168</v>
      </c>
      <c r="L44" s="413">
        <f>'Main CEA'!L134</f>
        <v>0.03518885848</v>
      </c>
      <c r="M44" s="413">
        <f>'Main CEA'!M134</f>
        <v>0.03881200618</v>
      </c>
      <c r="N44" s="413">
        <f>'Main CEA'!N134</f>
        <v>0.04235610585</v>
      </c>
      <c r="O44" s="413">
        <f>'Main CEA'!O134</f>
        <v>0.04461153055</v>
      </c>
      <c r="P44" s="413">
        <f>'Main CEA'!P134</f>
        <v>0.0345320677</v>
      </c>
      <c r="Q44" s="413">
        <f>'Main CEA'!Q134</f>
        <v>0.1657039458</v>
      </c>
      <c r="R44" s="413">
        <f>'Main CEA'!R134</f>
        <v>0.1668704711</v>
      </c>
      <c r="S44" s="413">
        <f>'Main CEA'!S134</f>
        <v>0.04324065542</v>
      </c>
      <c r="T44" s="413">
        <f>'Main CEA'!T134</f>
        <v>0.2064732906</v>
      </c>
      <c r="U44" s="413">
        <f>'Main CEA'!U134</f>
        <v>0.08287583514</v>
      </c>
      <c r="V44" s="413">
        <f>'Main CEA'!V134</f>
        <v>0.08776682545</v>
      </c>
      <c r="W44" s="413">
        <f>'Main CEA'!W134</f>
        <v>0.05349262701</v>
      </c>
      <c r="X44" s="413">
        <f>'Main CEA'!X134</f>
        <v>0.08292916954</v>
      </c>
      <c r="Y44" s="413">
        <f>'Main CEA'!Y134</f>
        <v>0.1876342779</v>
      </c>
      <c r="Z44" s="413">
        <f>'Main CEA'!Z134</f>
        <v>0.01490931448</v>
      </c>
      <c r="AA44" s="413">
        <f>'Main CEA'!AA134</f>
        <v>0.04103332173</v>
      </c>
      <c r="AB44" s="413">
        <f>'Main CEA'!AB134</f>
        <v>0.02596393012</v>
      </c>
      <c r="AC44" s="297"/>
    </row>
    <row r="45">
      <c r="A45" s="409"/>
      <c r="B45" s="108"/>
      <c r="C45" s="152"/>
      <c r="D45" s="108"/>
      <c r="E45" s="158" t="str">
        <f>HYPERLINK(buildUrl(CELL("address", 'Main CEA'!D163)), 'Main CEA'!D163)</f>
        <v>Total supplemental grantee-level adjustment</v>
      </c>
      <c r="F45" s="159" t="str">
        <f>'Main CEA'!F163</f>
        <v>%</v>
      </c>
      <c r="G45" s="212" t="s">
        <v>74</v>
      </c>
      <c r="H45" s="414">
        <f>'Main CEA'!H163</f>
        <v>-0.08</v>
      </c>
      <c r="I45" s="415" t="str">
        <f>'Main CEA'!I163</f>
        <v>-</v>
      </c>
      <c r="J45" s="415" t="str">
        <f>'Main CEA'!J163</f>
        <v>-</v>
      </c>
      <c r="K45" s="415" t="str">
        <f>'Main CEA'!K163</f>
        <v/>
      </c>
      <c r="L45" s="415" t="str">
        <f>'Main CEA'!L163</f>
        <v>-</v>
      </c>
      <c r="M45" s="415" t="str">
        <f>'Main CEA'!M163</f>
        <v>-</v>
      </c>
      <c r="N45" s="415" t="str">
        <f>'Main CEA'!N163</f>
        <v>-</v>
      </c>
      <c r="O45" s="415" t="str">
        <f>'Main CEA'!O163</f>
        <v>-</v>
      </c>
      <c r="P45" s="415" t="str">
        <f>'Main CEA'!P163</f>
        <v>-</v>
      </c>
      <c r="Q45" s="415" t="str">
        <f>'Main CEA'!Q163</f>
        <v>-</v>
      </c>
      <c r="R45" s="415" t="str">
        <f>'Main CEA'!R163</f>
        <v>-</v>
      </c>
      <c r="S45" s="415" t="str">
        <f>'Main CEA'!S163</f>
        <v>-</v>
      </c>
      <c r="T45" s="415" t="str">
        <f>'Main CEA'!T163</f>
        <v>-</v>
      </c>
      <c r="U45" s="415" t="str">
        <f>'Main CEA'!U163</f>
        <v>-</v>
      </c>
      <c r="V45" s="415" t="str">
        <f>'Main CEA'!V163</f>
        <v>-</v>
      </c>
      <c r="W45" s="415" t="str">
        <f>'Main CEA'!W163</f>
        <v>-</v>
      </c>
      <c r="X45" s="415" t="str">
        <f>'Main CEA'!X163</f>
        <v>-</v>
      </c>
      <c r="Y45" s="415" t="str">
        <f>'Main CEA'!Y163</f>
        <v>-</v>
      </c>
      <c r="Z45" s="415" t="str">
        <f>'Main CEA'!Z163</f>
        <v>-</v>
      </c>
      <c r="AA45" s="415" t="str">
        <f>'Main CEA'!AA163</f>
        <v>-</v>
      </c>
      <c r="AB45" s="415" t="str">
        <f>'Main CEA'!AB163</f>
        <v>-</v>
      </c>
      <c r="AC45" s="299"/>
    </row>
    <row r="46">
      <c r="A46" s="409"/>
      <c r="B46" s="108"/>
      <c r="C46" s="152"/>
      <c r="D46" s="108"/>
      <c r="E46" s="158" t="str">
        <f>HYPERLINK(buildUrl(CELL("address", 'Main CEA'!D179)), 'Main CEA'!D179)</f>
        <v>Total supplemental intervention-level adjustment</v>
      </c>
      <c r="F46" s="159" t="str">
        <f>'Main CEA'!F179</f>
        <v>%</v>
      </c>
      <c r="G46" s="212" t="s">
        <v>74</v>
      </c>
      <c r="H46" s="416" t="str">
        <f>'Main CEA'!H179</f>
        <v>-</v>
      </c>
      <c r="I46" s="415">
        <f>'Main CEA'!I179</f>
        <v>0.191</v>
      </c>
      <c r="J46" s="415">
        <f>'Main CEA'!J179</f>
        <v>0.241</v>
      </c>
      <c r="K46" s="415">
        <f>'Main CEA'!K179</f>
        <v>0.141</v>
      </c>
      <c r="L46" s="415">
        <f>'Main CEA'!L179</f>
        <v>0.181</v>
      </c>
      <c r="M46" s="415">
        <f>'Main CEA'!M179</f>
        <v>0.181</v>
      </c>
      <c r="N46" s="415">
        <f>'Main CEA'!N179</f>
        <v>0.181</v>
      </c>
      <c r="O46" s="415">
        <f>'Main CEA'!O179</f>
        <v>0.181</v>
      </c>
      <c r="P46" s="415">
        <f>'Main CEA'!P179</f>
        <v>0.181</v>
      </c>
      <c r="Q46" s="415">
        <f>'Main CEA'!Q179</f>
        <v>0.341</v>
      </c>
      <c r="R46" s="415">
        <f>'Main CEA'!R179</f>
        <v>0.341</v>
      </c>
      <c r="S46" s="415">
        <f>'Main CEA'!S179</f>
        <v>0.341</v>
      </c>
      <c r="T46" s="415">
        <f>'Main CEA'!T179</f>
        <v>0.341</v>
      </c>
      <c r="U46" s="415">
        <f>'Main CEA'!U179</f>
        <v>0.341</v>
      </c>
      <c r="V46" s="415">
        <f>'Main CEA'!V179</f>
        <v>0.341</v>
      </c>
      <c r="W46" s="415">
        <f>'Main CEA'!W179</f>
        <v>0.341</v>
      </c>
      <c r="X46" s="415">
        <f>'Main CEA'!X179</f>
        <v>0.341</v>
      </c>
      <c r="Y46" s="415">
        <f>'Main CEA'!Y179</f>
        <v>0.341</v>
      </c>
      <c r="Z46" s="415">
        <f>'Main CEA'!Z179</f>
        <v>0.341</v>
      </c>
      <c r="AA46" s="415">
        <f>'Main CEA'!AA179</f>
        <v>0.291</v>
      </c>
      <c r="AB46" s="415">
        <f>'Main CEA'!AB179</f>
        <v>0.181</v>
      </c>
      <c r="AC46" s="299"/>
    </row>
    <row r="47">
      <c r="A47" s="409"/>
      <c r="B47" s="108"/>
      <c r="C47" s="152"/>
      <c r="D47" s="108"/>
      <c r="E47" s="163" t="s">
        <v>261</v>
      </c>
      <c r="F47" s="164" t="s">
        <v>63</v>
      </c>
      <c r="G47" s="219" t="s">
        <v>70</v>
      </c>
      <c r="H47" s="417" t="s">
        <v>132</v>
      </c>
      <c r="I47" s="418">
        <f t="shared" ref="I47:AB47" si="3">I44*(1+$H45)*(1+I46)</f>
        <v>0.07446615119</v>
      </c>
      <c r="J47" s="418">
        <f t="shared" si="3"/>
        <v>0.06415315221</v>
      </c>
      <c r="K47" s="418">
        <f t="shared" si="3"/>
        <v>0.03785738726</v>
      </c>
      <c r="L47" s="418">
        <f t="shared" si="3"/>
        <v>0.03823339852</v>
      </c>
      <c r="M47" s="418">
        <f t="shared" si="3"/>
        <v>0.04217002095</v>
      </c>
      <c r="N47" s="418">
        <f t="shared" si="3"/>
        <v>0.04602075612</v>
      </c>
      <c r="O47" s="418">
        <f t="shared" si="3"/>
        <v>0.04847132017</v>
      </c>
      <c r="P47" s="418">
        <f t="shared" si="3"/>
        <v>0.03751978219</v>
      </c>
      <c r="Q47" s="418">
        <f t="shared" si="3"/>
        <v>0.2044322721</v>
      </c>
      <c r="R47" s="418">
        <f t="shared" si="3"/>
        <v>0.2058714376</v>
      </c>
      <c r="S47" s="418">
        <f t="shared" si="3"/>
        <v>0.05334686141</v>
      </c>
      <c r="T47" s="418">
        <f t="shared" si="3"/>
        <v>0.2547302281</v>
      </c>
      <c r="U47" s="418">
        <f t="shared" si="3"/>
        <v>0.1022455753</v>
      </c>
      <c r="V47" s="418">
        <f t="shared" si="3"/>
        <v>0.1082796879</v>
      </c>
      <c r="W47" s="418">
        <f t="shared" si="3"/>
        <v>0.0659949238</v>
      </c>
      <c r="X47" s="418">
        <f t="shared" si="3"/>
        <v>0.102311375</v>
      </c>
      <c r="Y47" s="418">
        <f t="shared" si="3"/>
        <v>0.2314881613</v>
      </c>
      <c r="Z47" s="418">
        <f t="shared" si="3"/>
        <v>0.01839391945</v>
      </c>
      <c r="AA47" s="418">
        <f t="shared" si="3"/>
        <v>0.04873609689</v>
      </c>
      <c r="AB47" s="418">
        <f t="shared" si="3"/>
        <v>0.02821032935</v>
      </c>
      <c r="AC47" s="419"/>
    </row>
    <row r="48">
      <c r="A48" s="409"/>
      <c r="B48" s="108"/>
      <c r="C48" s="152"/>
      <c r="D48" s="108"/>
      <c r="E48" s="372"/>
      <c r="F48" s="125"/>
      <c r="G48" s="111"/>
      <c r="H48" s="410"/>
      <c r="I48" s="411"/>
      <c r="J48" s="411"/>
      <c r="K48" s="411"/>
      <c r="L48" s="411"/>
      <c r="M48" s="411"/>
      <c r="N48" s="411"/>
      <c r="O48" s="411"/>
      <c r="P48" s="411"/>
      <c r="Q48" s="411"/>
      <c r="R48" s="411"/>
      <c r="S48" s="411"/>
      <c r="T48" s="411"/>
      <c r="U48" s="411"/>
      <c r="V48" s="411"/>
      <c r="W48" s="411"/>
      <c r="X48" s="411"/>
      <c r="Y48" s="411"/>
      <c r="Z48" s="411"/>
      <c r="AA48" s="411"/>
      <c r="AB48" s="411"/>
      <c r="AC48" s="111"/>
    </row>
    <row r="49">
      <c r="A49" s="409"/>
      <c r="B49" s="108"/>
      <c r="C49" s="190" t="s">
        <v>262</v>
      </c>
      <c r="F49" s="125"/>
      <c r="G49" s="111"/>
      <c r="H49" s="410"/>
      <c r="I49" s="411"/>
      <c r="J49" s="411"/>
      <c r="K49" s="411"/>
      <c r="L49" s="411"/>
      <c r="M49" s="411"/>
      <c r="N49" s="411"/>
      <c r="O49" s="411"/>
      <c r="P49" s="411"/>
      <c r="Q49" s="411"/>
      <c r="R49" s="411"/>
      <c r="S49" s="411"/>
      <c r="T49" s="411"/>
      <c r="U49" s="411"/>
      <c r="V49" s="411"/>
      <c r="W49" s="411"/>
      <c r="X49" s="411"/>
      <c r="Y49" s="411"/>
      <c r="Z49" s="411"/>
      <c r="AA49" s="411"/>
      <c r="AB49" s="411"/>
      <c r="AC49" s="111"/>
    </row>
    <row r="50">
      <c r="A50" s="409"/>
      <c r="B50" s="108"/>
      <c r="C50" s="420"/>
      <c r="D50" s="64"/>
      <c r="E50" s="421" t="str">
        <f>HYPERLINK(buildUrl(CELL("address", 'Main CEA'!E145)), 'Main CEA'!E145)</f>
        <v>Total lives saved (before final adjustments)</v>
      </c>
      <c r="F50" s="154" t="str">
        <f>'Main CEA'!F145</f>
        <v>#</v>
      </c>
      <c r="G50" s="179" t="s">
        <v>74</v>
      </c>
      <c r="H50" s="422" t="str">
        <f>'Main CEA'!H145</f>
        <v>-</v>
      </c>
      <c r="I50" s="423">
        <f>'Main CEA'!I145</f>
        <v>0.000004619460364</v>
      </c>
      <c r="J50" s="423">
        <f>'Main CEA'!J145</f>
        <v>0.000004124010505</v>
      </c>
      <c r="K50" s="423">
        <f>'Main CEA'!K145</f>
        <v>0.000002389226397</v>
      </c>
      <c r="L50" s="423">
        <f>'Main CEA'!L145</f>
        <v>0.000002360994739</v>
      </c>
      <c r="M50" s="423">
        <f>'Main CEA'!M145</f>
        <v>0.000002536065517</v>
      </c>
      <c r="N50" s="423">
        <f>'Main CEA'!N145</f>
        <v>0.000002798001696</v>
      </c>
      <c r="O50" s="423">
        <f>'Main CEA'!O145</f>
        <v>0.00000302089067</v>
      </c>
      <c r="P50" s="423">
        <f>'Main CEA'!P145</f>
        <v>4167.173555</v>
      </c>
      <c r="Q50" s="423">
        <f>'Main CEA'!Q145</f>
        <v>0.00001173253512</v>
      </c>
      <c r="R50" s="423">
        <f>'Main CEA'!R145</f>
        <v>0.00001196368218</v>
      </c>
      <c r="S50" s="423">
        <f>'Main CEA'!S145</f>
        <v>0.000002978170764</v>
      </c>
      <c r="T50" s="423">
        <f>'Main CEA'!T145</f>
        <v>0.00001534513772</v>
      </c>
      <c r="U50" s="423">
        <f>'Main CEA'!U145</f>
        <v>0.000005845709362</v>
      </c>
      <c r="V50" s="423">
        <f>'Main CEA'!V145</f>
        <v>0.000006209759804</v>
      </c>
      <c r="W50" s="423">
        <f>'Main CEA'!W145</f>
        <v>0.000003560703458</v>
      </c>
      <c r="X50" s="423">
        <f>'Main CEA'!X145</f>
        <v>0.00000580555465</v>
      </c>
      <c r="Y50" s="423">
        <f>'Main CEA'!Y145</f>
        <v>0.00001409415407</v>
      </c>
      <c r="Z50" s="423">
        <f>'Main CEA'!Z145</f>
        <v>0.000001034152018</v>
      </c>
      <c r="AA50" s="423">
        <f>'Main CEA'!AA145</f>
        <v>0.000002635530278</v>
      </c>
      <c r="AB50" s="423">
        <f>'Main CEA'!AB145</f>
        <v>0.000001429450315</v>
      </c>
      <c r="AC50" s="297"/>
    </row>
    <row r="51">
      <c r="A51" s="409"/>
      <c r="B51" s="108"/>
      <c r="C51" s="420"/>
      <c r="D51" s="64"/>
      <c r="E51" s="424" t="str">
        <f>HYPERLINK(buildUrl(CELL("address", 'Main CEA'!D163)), 'Main CEA'!D163)</f>
        <v>Total supplemental grantee-level adjustment</v>
      </c>
      <c r="F51" s="159" t="str">
        <f>'Main CEA'!F163</f>
        <v>%</v>
      </c>
      <c r="G51" s="212" t="s">
        <v>74</v>
      </c>
      <c r="H51" s="425">
        <f>'Main CEA'!H163</f>
        <v>-0.08</v>
      </c>
      <c r="I51" s="415" t="str">
        <f>'Main CEA'!I163</f>
        <v>-</v>
      </c>
      <c r="J51" s="426" t="str">
        <f>'Main CEA'!J163</f>
        <v>-</v>
      </c>
      <c r="K51" s="426" t="str">
        <f>'Main CEA'!K163</f>
        <v/>
      </c>
      <c r="L51" s="426" t="str">
        <f>'Main CEA'!L163</f>
        <v>-</v>
      </c>
      <c r="M51" s="426" t="str">
        <f>'Main CEA'!M163</f>
        <v>-</v>
      </c>
      <c r="N51" s="426" t="str">
        <f>'Main CEA'!N163</f>
        <v>-</v>
      </c>
      <c r="O51" s="426" t="str">
        <f>'Main CEA'!O163</f>
        <v>-</v>
      </c>
      <c r="P51" s="426" t="str">
        <f>'Main CEA'!P163</f>
        <v>-</v>
      </c>
      <c r="Q51" s="426" t="str">
        <f>'Main CEA'!Q163</f>
        <v>-</v>
      </c>
      <c r="R51" s="426" t="str">
        <f>'Main CEA'!R163</f>
        <v>-</v>
      </c>
      <c r="S51" s="426" t="str">
        <f>'Main CEA'!S163</f>
        <v>-</v>
      </c>
      <c r="T51" s="426" t="str">
        <f>'Main CEA'!T163</f>
        <v>-</v>
      </c>
      <c r="U51" s="426" t="str">
        <f>'Main CEA'!U163</f>
        <v>-</v>
      </c>
      <c r="V51" s="426" t="str">
        <f>'Main CEA'!V163</f>
        <v>-</v>
      </c>
      <c r="W51" s="426" t="str">
        <f>'Main CEA'!W163</f>
        <v>-</v>
      </c>
      <c r="X51" s="426" t="str">
        <f>'Main CEA'!X163</f>
        <v>-</v>
      </c>
      <c r="Y51" s="426" t="str">
        <f>'Main CEA'!Y163</f>
        <v>-</v>
      </c>
      <c r="Z51" s="426" t="str">
        <f>'Main CEA'!Z163</f>
        <v>-</v>
      </c>
      <c r="AA51" s="426" t="str">
        <f>'Main CEA'!AA163</f>
        <v>-</v>
      </c>
      <c r="AB51" s="426" t="str">
        <f>'Main CEA'!AB163</f>
        <v>-</v>
      </c>
      <c r="AC51" s="299"/>
    </row>
    <row r="52">
      <c r="A52" s="409"/>
      <c r="B52" s="108"/>
      <c r="C52" s="420"/>
      <c r="D52" s="64"/>
      <c r="E52" s="424" t="str">
        <f>HYPERLINK(buildUrl(CELL("address", 'Main CEA'!E204)), 'Main CEA'!E204)</f>
        <v>Total supplemental intervention-level adjustment affecting lives saved</v>
      </c>
      <c r="F52" s="159" t="str">
        <f>'Main CEA'!F204</f>
        <v>%</v>
      </c>
      <c r="G52" s="212" t="s">
        <v>74</v>
      </c>
      <c r="H52" s="427" t="str">
        <f>'Main CEA'!H204</f>
        <v>-</v>
      </c>
      <c r="I52" s="415">
        <f>'Main CEA'!I204</f>
        <v>-0.198</v>
      </c>
      <c r="J52" s="415">
        <f>'Main CEA'!J204</f>
        <v>-0.148</v>
      </c>
      <c r="K52" s="415">
        <f>'Main CEA'!K204</f>
        <v>-0.248</v>
      </c>
      <c r="L52" s="415">
        <f>'Main CEA'!L204</f>
        <v>-0.208</v>
      </c>
      <c r="M52" s="415">
        <f>'Main CEA'!M204</f>
        <v>-0.208</v>
      </c>
      <c r="N52" s="415">
        <f>'Main CEA'!N204</f>
        <v>-0.208</v>
      </c>
      <c r="O52" s="415">
        <f>'Main CEA'!O204</f>
        <v>-0.208</v>
      </c>
      <c r="P52" s="415">
        <f>'Main CEA'!P204</f>
        <v>-0.208</v>
      </c>
      <c r="Q52" s="415">
        <f>'Main CEA'!Q204</f>
        <v>-0.048</v>
      </c>
      <c r="R52" s="415">
        <f>'Main CEA'!R204</f>
        <v>-0.048</v>
      </c>
      <c r="S52" s="415">
        <f>'Main CEA'!S204</f>
        <v>-0.048</v>
      </c>
      <c r="T52" s="415">
        <f>'Main CEA'!T204</f>
        <v>-0.048</v>
      </c>
      <c r="U52" s="415">
        <f>'Main CEA'!U204</f>
        <v>-0.048</v>
      </c>
      <c r="V52" s="415">
        <f>'Main CEA'!V204</f>
        <v>-0.048</v>
      </c>
      <c r="W52" s="415">
        <f>'Main CEA'!W204</f>
        <v>-0.048</v>
      </c>
      <c r="X52" s="415">
        <f>'Main CEA'!X204</f>
        <v>-0.048</v>
      </c>
      <c r="Y52" s="415">
        <f>'Main CEA'!Y204</f>
        <v>-0.048</v>
      </c>
      <c r="Z52" s="415">
        <f>'Main CEA'!Z204</f>
        <v>-0.048</v>
      </c>
      <c r="AA52" s="415">
        <f>'Main CEA'!AA204</f>
        <v>-0.098</v>
      </c>
      <c r="AB52" s="415">
        <f>'Main CEA'!AB204</f>
        <v>-0.208</v>
      </c>
      <c r="AC52" s="299"/>
    </row>
    <row r="53">
      <c r="A53" s="409"/>
      <c r="B53" s="108"/>
      <c r="C53" s="420"/>
      <c r="D53" s="64"/>
      <c r="E53" s="428" t="s">
        <v>263</v>
      </c>
      <c r="F53" s="164" t="s">
        <v>49</v>
      </c>
      <c r="G53" s="219" t="s">
        <v>70</v>
      </c>
      <c r="H53" s="417" t="s">
        <v>132</v>
      </c>
      <c r="I53" s="429">
        <f t="shared" ref="I53:AB53" si="4">I50*(1+$H51)*(1+I52)</f>
        <v>0.000003408422635</v>
      </c>
      <c r="J53" s="429">
        <f t="shared" si="4"/>
        <v>0.000003232564394</v>
      </c>
      <c r="K53" s="429">
        <f t="shared" si="4"/>
        <v>0.00000165296239</v>
      </c>
      <c r="L53" s="429">
        <f t="shared" si="4"/>
        <v>0.000001720315207</v>
      </c>
      <c r="M53" s="429">
        <f t="shared" si="4"/>
        <v>0.000001847878778</v>
      </c>
      <c r="N53" s="429">
        <f t="shared" si="4"/>
        <v>0.000002038735955</v>
      </c>
      <c r="O53" s="429">
        <f t="shared" si="4"/>
        <v>0.000002201141778</v>
      </c>
      <c r="P53" s="429">
        <f t="shared" si="4"/>
        <v>3036.369339</v>
      </c>
      <c r="Q53" s="429">
        <f t="shared" si="4"/>
        <v>0.00001027582356</v>
      </c>
      <c r="R53" s="429">
        <f t="shared" si="4"/>
        <v>0.0000104782714</v>
      </c>
      <c r="S53" s="429">
        <f t="shared" si="4"/>
        <v>0.000002608401082</v>
      </c>
      <c r="T53" s="429">
        <f t="shared" si="4"/>
        <v>0.00001343988542</v>
      </c>
      <c r="U53" s="429">
        <f t="shared" si="4"/>
        <v>0.000005119906088</v>
      </c>
      <c r="V53" s="429">
        <f t="shared" si="4"/>
        <v>0.000005438756026</v>
      </c>
      <c r="W53" s="429">
        <f t="shared" si="4"/>
        <v>0.000003118606517</v>
      </c>
      <c r="X53" s="429">
        <f t="shared" si="4"/>
        <v>0.000005084736985</v>
      </c>
      <c r="Y53" s="429">
        <f t="shared" si="4"/>
        <v>0.0000123442239</v>
      </c>
      <c r="Z53" s="429">
        <f t="shared" si="4"/>
        <v>0.0000009057517031</v>
      </c>
      <c r="AA53" s="429">
        <f t="shared" si="4"/>
        <v>0.000002187068446</v>
      </c>
      <c r="AB53" s="429">
        <f t="shared" si="4"/>
        <v>0.000001041554678</v>
      </c>
      <c r="AC53" s="419"/>
    </row>
    <row r="54">
      <c r="A54" s="409"/>
      <c r="B54" s="108"/>
      <c r="C54" s="152"/>
      <c r="D54" s="108"/>
      <c r="E54" s="372"/>
      <c r="F54" s="125"/>
      <c r="G54" s="111"/>
      <c r="H54" s="410"/>
      <c r="I54" s="411"/>
      <c r="J54" s="411"/>
      <c r="K54" s="411"/>
      <c r="L54" s="411"/>
      <c r="M54" s="411"/>
      <c r="N54" s="411"/>
      <c r="O54" s="411"/>
      <c r="P54" s="411"/>
      <c r="Q54" s="411"/>
      <c r="R54" s="411"/>
      <c r="S54" s="411"/>
      <c r="T54" s="411"/>
      <c r="U54" s="411"/>
      <c r="V54" s="411"/>
      <c r="W54" s="411"/>
      <c r="X54" s="411"/>
      <c r="Y54" s="411"/>
      <c r="Z54" s="411"/>
      <c r="AA54" s="411"/>
      <c r="AB54" s="411"/>
      <c r="AC54" s="111"/>
    </row>
    <row r="55">
      <c r="A55" s="409"/>
      <c r="B55" s="108"/>
      <c r="C55" s="152" t="s">
        <v>264</v>
      </c>
      <c r="F55" s="125"/>
      <c r="G55" s="111"/>
      <c r="H55" s="410"/>
      <c r="I55" s="411"/>
      <c r="J55" s="411"/>
      <c r="K55" s="411"/>
      <c r="L55" s="411"/>
      <c r="M55" s="411"/>
      <c r="N55" s="411"/>
      <c r="O55" s="411"/>
      <c r="P55" s="411"/>
      <c r="Q55" s="411"/>
      <c r="R55" s="411"/>
      <c r="S55" s="411"/>
      <c r="T55" s="411"/>
      <c r="U55" s="411"/>
      <c r="V55" s="411"/>
      <c r="W55" s="411"/>
      <c r="X55" s="411"/>
      <c r="Y55" s="411"/>
      <c r="Z55" s="411"/>
      <c r="AA55" s="411"/>
      <c r="AB55" s="411"/>
      <c r="AC55" s="111"/>
    </row>
    <row r="56">
      <c r="A56" s="409"/>
      <c r="B56" s="108"/>
      <c r="C56" s="108"/>
      <c r="D56" s="108"/>
      <c r="E56" s="153" t="str">
        <f>HYPERLINK(buildUrl(CELL("address", Inputs!E124)), Inputs!E124)</f>
        <v>Counterfactual value per dollar spent by domestic governments on malaria programs</v>
      </c>
      <c r="F56" s="154" t="str">
        <f>Inputs!F124</f>
        <v>UoV</v>
      </c>
      <c r="G56" s="179" t="str">
        <f>Inputs!G124</f>
        <v>input</v>
      </c>
      <c r="H56" s="430">
        <f>Inputs!H124</f>
        <v>0.005057</v>
      </c>
      <c r="I56" s="431" t="str">
        <f>Inputs!I124</f>
        <v>-</v>
      </c>
      <c r="J56" s="431" t="str">
        <f>Inputs!J124</f>
        <v>-</v>
      </c>
      <c r="K56" s="431" t="str">
        <f>Inputs!K124</f>
        <v>-</v>
      </c>
      <c r="L56" s="431" t="str">
        <f>Inputs!L124</f>
        <v>-</v>
      </c>
      <c r="M56" s="431" t="str">
        <f>Inputs!M124</f>
        <v>-</v>
      </c>
      <c r="N56" s="431" t="str">
        <f>Inputs!N124</f>
        <v>-</v>
      </c>
      <c r="O56" s="431" t="str">
        <f>Inputs!O124</f>
        <v>-</v>
      </c>
      <c r="P56" s="431" t="str">
        <f>Inputs!P124</f>
        <v>-</v>
      </c>
      <c r="Q56" s="431" t="str">
        <f>Inputs!Q124</f>
        <v>-</v>
      </c>
      <c r="R56" s="431" t="str">
        <f>Inputs!R124</f>
        <v>-</v>
      </c>
      <c r="S56" s="431" t="str">
        <f>Inputs!S124</f>
        <v>-</v>
      </c>
      <c r="T56" s="431" t="str">
        <f>Inputs!T124</f>
        <v>-</v>
      </c>
      <c r="U56" s="431" t="str">
        <f>Inputs!U124</f>
        <v>-</v>
      </c>
      <c r="V56" s="431" t="str">
        <f>Inputs!V124</f>
        <v>-</v>
      </c>
      <c r="W56" s="431" t="str">
        <f>Inputs!W124</f>
        <v>-</v>
      </c>
      <c r="X56" s="431" t="str">
        <f>Inputs!X124</f>
        <v>-</v>
      </c>
      <c r="Y56" s="431" t="str">
        <f>Inputs!Y124</f>
        <v>-</v>
      </c>
      <c r="Z56" s="431" t="str">
        <f>Inputs!Z124</f>
        <v>-</v>
      </c>
      <c r="AA56" s="431" t="str">
        <f>Inputs!AA124</f>
        <v>-</v>
      </c>
      <c r="AB56" s="431" t="str">
        <f>Inputs!AB124</f>
        <v>-</v>
      </c>
      <c r="AC56" s="297"/>
    </row>
    <row r="57">
      <c r="A57" s="409"/>
      <c r="B57" s="108"/>
      <c r="C57" s="108"/>
      <c r="D57" s="108"/>
      <c r="E57" s="172" t="str">
        <f>HYPERLINK(buildUrl(CELL("address", Inputs!E125)), Inputs!E125)</f>
        <v>Counterfactual value per dollar spent by the Global Fund or PMI</v>
      </c>
      <c r="F57" s="119" t="str">
        <f>Inputs!F125</f>
        <v>UoV</v>
      </c>
      <c r="G57" s="149" t="str">
        <f>Inputs!G125</f>
        <v>input</v>
      </c>
      <c r="H57" s="432">
        <f>Inputs!H125</f>
        <v>0.015433</v>
      </c>
      <c r="I57" s="433" t="str">
        <f>Inputs!I125</f>
        <v>-</v>
      </c>
      <c r="J57" s="433" t="str">
        <f>Inputs!J125</f>
        <v>-</v>
      </c>
      <c r="K57" s="433" t="str">
        <f>Inputs!K125</f>
        <v>-</v>
      </c>
      <c r="L57" s="433" t="str">
        <f>Inputs!L125</f>
        <v>-</v>
      </c>
      <c r="M57" s="433" t="str">
        <f>Inputs!M125</f>
        <v>-</v>
      </c>
      <c r="N57" s="433" t="str">
        <f>Inputs!N125</f>
        <v>-</v>
      </c>
      <c r="O57" s="433" t="str">
        <f>Inputs!O125</f>
        <v>-</v>
      </c>
      <c r="P57" s="433" t="str">
        <f>Inputs!P125</f>
        <v>-</v>
      </c>
      <c r="Q57" s="433" t="str">
        <f>Inputs!Q125</f>
        <v>-</v>
      </c>
      <c r="R57" s="433" t="str">
        <f>Inputs!R125</f>
        <v>-</v>
      </c>
      <c r="S57" s="433" t="str">
        <f>Inputs!S125</f>
        <v>-</v>
      </c>
      <c r="T57" s="433" t="str">
        <f>Inputs!T125</f>
        <v>-</v>
      </c>
      <c r="U57" s="433" t="str">
        <f>Inputs!U125</f>
        <v>-</v>
      </c>
      <c r="V57" s="433" t="str">
        <f>Inputs!V125</f>
        <v>-</v>
      </c>
      <c r="W57" s="433" t="str">
        <f>Inputs!W125</f>
        <v>-</v>
      </c>
      <c r="X57" s="433" t="str">
        <f>Inputs!X125</f>
        <v>-</v>
      </c>
      <c r="Y57" s="433" t="str">
        <f>Inputs!Y125</f>
        <v>-</v>
      </c>
      <c r="Z57" s="433" t="str">
        <f>Inputs!Z125</f>
        <v>-</v>
      </c>
      <c r="AA57" s="433" t="str">
        <f>Inputs!AA125</f>
        <v>-</v>
      </c>
      <c r="AB57" s="433" t="str">
        <f>Inputs!AB125</f>
        <v>-</v>
      </c>
      <c r="AC57" s="328"/>
    </row>
    <row r="58">
      <c r="A58" s="409"/>
      <c r="B58" s="108"/>
      <c r="C58" s="108"/>
      <c r="D58" s="108"/>
      <c r="E58" s="372"/>
      <c r="F58" s="110"/>
      <c r="G58" s="111"/>
      <c r="H58" s="410"/>
      <c r="I58" s="411"/>
      <c r="J58" s="411"/>
      <c r="K58" s="411"/>
      <c r="L58" s="411"/>
      <c r="M58" s="411"/>
      <c r="N58" s="411"/>
      <c r="O58" s="411"/>
      <c r="P58" s="411"/>
      <c r="Q58" s="411"/>
      <c r="R58" s="411"/>
      <c r="S58" s="411"/>
      <c r="T58" s="411"/>
      <c r="U58" s="411"/>
      <c r="V58" s="411"/>
      <c r="W58" s="411"/>
      <c r="X58" s="411"/>
      <c r="Y58" s="411"/>
      <c r="Z58" s="411"/>
      <c r="AA58" s="411"/>
      <c r="AB58" s="411"/>
      <c r="AC58" s="111"/>
    </row>
    <row r="59">
      <c r="A59" s="103" t="s">
        <v>265</v>
      </c>
      <c r="B59" s="6"/>
      <c r="C59" s="6"/>
      <c r="D59" s="6"/>
      <c r="E59" s="6"/>
      <c r="F59" s="6"/>
      <c r="G59" s="370"/>
      <c r="H59" s="371"/>
      <c r="I59" s="264"/>
      <c r="J59" s="264"/>
      <c r="K59" s="264"/>
      <c r="L59" s="264"/>
      <c r="M59" s="264"/>
      <c r="N59" s="264"/>
      <c r="O59" s="264"/>
      <c r="P59" s="264"/>
      <c r="Q59" s="264"/>
      <c r="R59" s="264"/>
      <c r="S59" s="264"/>
      <c r="T59" s="264"/>
      <c r="U59" s="264"/>
      <c r="V59" s="264"/>
      <c r="W59" s="264"/>
      <c r="X59" s="264"/>
      <c r="Y59" s="264"/>
      <c r="Z59" s="264"/>
      <c r="AA59" s="264"/>
      <c r="AB59" s="264"/>
      <c r="AC59" s="408"/>
    </row>
    <row r="60">
      <c r="A60" s="434"/>
      <c r="B60" s="435"/>
      <c r="C60" s="436"/>
      <c r="D60" s="436"/>
      <c r="E60" s="168"/>
      <c r="F60" s="437"/>
      <c r="G60" s="438"/>
      <c r="H60" s="439"/>
      <c r="I60" s="279"/>
      <c r="J60" s="279"/>
      <c r="K60" s="279"/>
      <c r="L60" s="279"/>
      <c r="M60" s="279"/>
      <c r="N60" s="279"/>
      <c r="O60" s="279"/>
      <c r="P60" s="279"/>
      <c r="Q60" s="279"/>
      <c r="R60" s="279"/>
      <c r="S60" s="279"/>
      <c r="T60" s="279"/>
      <c r="U60" s="279"/>
      <c r="V60" s="279"/>
      <c r="W60" s="279"/>
      <c r="X60" s="279"/>
      <c r="Y60" s="279"/>
      <c r="Z60" s="279"/>
      <c r="AA60" s="279"/>
      <c r="AB60" s="279"/>
      <c r="AC60" s="440"/>
    </row>
    <row r="61">
      <c r="A61" s="434"/>
      <c r="B61" s="435"/>
      <c r="C61" s="152" t="s">
        <v>266</v>
      </c>
      <c r="F61" s="437"/>
      <c r="G61" s="438"/>
      <c r="H61" s="439"/>
      <c r="I61" s="279"/>
      <c r="J61" s="279"/>
      <c r="K61" s="279"/>
      <c r="L61" s="279"/>
      <c r="M61" s="279"/>
      <c r="N61" s="279"/>
      <c r="O61" s="279"/>
      <c r="P61" s="279"/>
      <c r="Q61" s="279"/>
      <c r="R61" s="279"/>
      <c r="S61" s="279"/>
      <c r="T61" s="279"/>
      <c r="U61" s="279"/>
      <c r="V61" s="279"/>
      <c r="W61" s="279"/>
      <c r="X61" s="279"/>
      <c r="Y61" s="279"/>
      <c r="Z61" s="279"/>
      <c r="AA61" s="279"/>
      <c r="AB61" s="279"/>
      <c r="AC61" s="440"/>
    </row>
    <row r="62">
      <c r="A62" s="434"/>
      <c r="B62" s="435"/>
      <c r="C62" s="436"/>
      <c r="D62" s="441" t="s">
        <v>267</v>
      </c>
      <c r="E62" s="30"/>
      <c r="F62" s="442"/>
      <c r="G62" s="443"/>
      <c r="H62" s="377"/>
      <c r="I62" s="285"/>
      <c r="J62" s="285"/>
      <c r="K62" s="285"/>
      <c r="L62" s="285"/>
      <c r="M62" s="285"/>
      <c r="N62" s="285"/>
      <c r="O62" s="285"/>
      <c r="P62" s="285"/>
      <c r="Q62" s="285"/>
      <c r="R62" s="285"/>
      <c r="S62" s="285"/>
      <c r="T62" s="285"/>
      <c r="U62" s="285"/>
      <c r="V62" s="285"/>
      <c r="W62" s="285"/>
      <c r="X62" s="285"/>
      <c r="Y62" s="285"/>
      <c r="Z62" s="285"/>
      <c r="AA62" s="285"/>
      <c r="AB62" s="285"/>
      <c r="AC62" s="444"/>
    </row>
    <row r="63">
      <c r="A63" s="434"/>
      <c r="B63" s="435"/>
      <c r="C63" s="436"/>
      <c r="D63" s="436"/>
      <c r="E63" s="153" t="s">
        <v>268</v>
      </c>
      <c r="F63" s="442" t="s">
        <v>55</v>
      </c>
      <c r="G63" s="443" t="s">
        <v>70</v>
      </c>
      <c r="H63" s="377" t="s">
        <v>132</v>
      </c>
      <c r="I63" s="285">
        <f t="shared" ref="I63:AB63" si="5">I19</f>
        <v>0.01</v>
      </c>
      <c r="J63" s="285">
        <f t="shared" si="5"/>
        <v>0.01</v>
      </c>
      <c r="K63" s="285">
        <f t="shared" si="5"/>
        <v>0.01</v>
      </c>
      <c r="L63" s="285">
        <f t="shared" si="5"/>
        <v>0.01</v>
      </c>
      <c r="M63" s="285">
        <f t="shared" si="5"/>
        <v>0.01</v>
      </c>
      <c r="N63" s="285">
        <f t="shared" si="5"/>
        <v>0.01</v>
      </c>
      <c r="O63" s="285">
        <f t="shared" si="5"/>
        <v>0.01</v>
      </c>
      <c r="P63" s="285">
        <f t="shared" si="5"/>
        <v>17456907.13</v>
      </c>
      <c r="Q63" s="285">
        <f t="shared" si="5"/>
        <v>0.01</v>
      </c>
      <c r="R63" s="285">
        <f t="shared" si="5"/>
        <v>0.01</v>
      </c>
      <c r="S63" s="285">
        <f t="shared" si="5"/>
        <v>0.01</v>
      </c>
      <c r="T63" s="285">
        <f t="shared" si="5"/>
        <v>0.01</v>
      </c>
      <c r="U63" s="285">
        <f t="shared" si="5"/>
        <v>0.01</v>
      </c>
      <c r="V63" s="285">
        <f t="shared" si="5"/>
        <v>0.01</v>
      </c>
      <c r="W63" s="285">
        <f t="shared" si="5"/>
        <v>0.01</v>
      </c>
      <c r="X63" s="285">
        <f t="shared" si="5"/>
        <v>0.01</v>
      </c>
      <c r="Y63" s="285">
        <f t="shared" si="5"/>
        <v>0.01</v>
      </c>
      <c r="Z63" s="285">
        <f t="shared" si="5"/>
        <v>0.01</v>
      </c>
      <c r="AA63" s="285">
        <f t="shared" si="5"/>
        <v>0.01</v>
      </c>
      <c r="AB63" s="285">
        <f t="shared" si="5"/>
        <v>0.01</v>
      </c>
      <c r="AC63" s="444"/>
    </row>
    <row r="64">
      <c r="A64" s="434"/>
      <c r="B64" s="435"/>
      <c r="C64" s="436"/>
      <c r="D64" s="436"/>
      <c r="E64" s="158" t="s">
        <v>269</v>
      </c>
      <c r="F64" s="340" t="s">
        <v>63</v>
      </c>
      <c r="G64" s="445" t="s">
        <v>70</v>
      </c>
      <c r="H64" s="379" t="s">
        <v>132</v>
      </c>
      <c r="I64" s="218">
        <f t="shared" ref="I64:AB64" si="6">I63*I47</f>
        <v>0.0007446615119</v>
      </c>
      <c r="J64" s="218">
        <f t="shared" si="6"/>
        <v>0.0006415315221</v>
      </c>
      <c r="K64" s="218">
        <f t="shared" si="6"/>
        <v>0.0003785738726</v>
      </c>
      <c r="L64" s="218">
        <f t="shared" si="6"/>
        <v>0.0003823339852</v>
      </c>
      <c r="M64" s="218">
        <f t="shared" si="6"/>
        <v>0.0004217002095</v>
      </c>
      <c r="N64" s="218">
        <f t="shared" si="6"/>
        <v>0.0004602075612</v>
      </c>
      <c r="O64" s="218">
        <f t="shared" si="6"/>
        <v>0.0004847132017</v>
      </c>
      <c r="P64" s="218">
        <f t="shared" si="6"/>
        <v>654979.3533</v>
      </c>
      <c r="Q64" s="218">
        <f t="shared" si="6"/>
        <v>0.002044322721</v>
      </c>
      <c r="R64" s="218">
        <f t="shared" si="6"/>
        <v>0.002058714376</v>
      </c>
      <c r="S64" s="218">
        <f t="shared" si="6"/>
        <v>0.0005334686141</v>
      </c>
      <c r="T64" s="218">
        <f t="shared" si="6"/>
        <v>0.002547302281</v>
      </c>
      <c r="U64" s="218">
        <f t="shared" si="6"/>
        <v>0.001022455753</v>
      </c>
      <c r="V64" s="218">
        <f t="shared" si="6"/>
        <v>0.001082796879</v>
      </c>
      <c r="W64" s="218">
        <f t="shared" si="6"/>
        <v>0.000659949238</v>
      </c>
      <c r="X64" s="218">
        <f t="shared" si="6"/>
        <v>0.00102311375</v>
      </c>
      <c r="Y64" s="218">
        <f t="shared" si="6"/>
        <v>0.002314881613</v>
      </c>
      <c r="Z64" s="218">
        <f t="shared" si="6"/>
        <v>0.0001839391945</v>
      </c>
      <c r="AA64" s="218">
        <f t="shared" si="6"/>
        <v>0.0004873609689</v>
      </c>
      <c r="AB64" s="218">
        <f t="shared" si="6"/>
        <v>0.0002821032935</v>
      </c>
      <c r="AC64" s="446"/>
    </row>
    <row r="65">
      <c r="A65" s="434"/>
      <c r="B65" s="435"/>
      <c r="C65" s="436"/>
      <c r="D65" s="436"/>
      <c r="E65" s="158" t="s">
        <v>270</v>
      </c>
      <c r="F65" s="340" t="s">
        <v>63</v>
      </c>
      <c r="G65" s="445" t="s">
        <v>70</v>
      </c>
      <c r="H65" s="379" t="s">
        <v>132</v>
      </c>
      <c r="I65" s="218">
        <f t="shared" ref="I65:AB65" si="7">I63*$H56</f>
        <v>0.00005057</v>
      </c>
      <c r="J65" s="218">
        <f t="shared" si="7"/>
        <v>0.00005057</v>
      </c>
      <c r="K65" s="218">
        <f t="shared" si="7"/>
        <v>0.00005057</v>
      </c>
      <c r="L65" s="218">
        <f t="shared" si="7"/>
        <v>0.00005057</v>
      </c>
      <c r="M65" s="218">
        <f t="shared" si="7"/>
        <v>0.00005057</v>
      </c>
      <c r="N65" s="218">
        <f t="shared" si="7"/>
        <v>0.00005057</v>
      </c>
      <c r="O65" s="218">
        <f t="shared" si="7"/>
        <v>0.00005057</v>
      </c>
      <c r="P65" s="218">
        <f t="shared" si="7"/>
        <v>88279.57936</v>
      </c>
      <c r="Q65" s="218">
        <f t="shared" si="7"/>
        <v>0.00005057</v>
      </c>
      <c r="R65" s="218">
        <f t="shared" si="7"/>
        <v>0.00005057</v>
      </c>
      <c r="S65" s="218">
        <f t="shared" si="7"/>
        <v>0.00005057</v>
      </c>
      <c r="T65" s="218">
        <f t="shared" si="7"/>
        <v>0.00005057</v>
      </c>
      <c r="U65" s="218">
        <f t="shared" si="7"/>
        <v>0.00005057</v>
      </c>
      <c r="V65" s="218">
        <f t="shared" si="7"/>
        <v>0.00005057</v>
      </c>
      <c r="W65" s="218">
        <f t="shared" si="7"/>
        <v>0.00005057</v>
      </c>
      <c r="X65" s="218">
        <f t="shared" si="7"/>
        <v>0.00005057</v>
      </c>
      <c r="Y65" s="218">
        <f t="shared" si="7"/>
        <v>0.00005057</v>
      </c>
      <c r="Z65" s="218">
        <f t="shared" si="7"/>
        <v>0.00005057</v>
      </c>
      <c r="AA65" s="218">
        <f t="shared" si="7"/>
        <v>0.00005057</v>
      </c>
      <c r="AB65" s="218">
        <f t="shared" si="7"/>
        <v>0.00005057</v>
      </c>
      <c r="AC65" s="446"/>
    </row>
    <row r="66">
      <c r="A66" s="434"/>
      <c r="B66" s="435"/>
      <c r="C66" s="436"/>
      <c r="D66" s="436"/>
      <c r="E66" s="158" t="s">
        <v>271</v>
      </c>
      <c r="F66" s="340" t="s">
        <v>63</v>
      </c>
      <c r="G66" s="445" t="s">
        <v>70</v>
      </c>
      <c r="H66" s="379" t="s">
        <v>132</v>
      </c>
      <c r="I66" s="218">
        <f t="shared" ref="I66:AB66" si="8">I64-I65</f>
        <v>0.0006940915119</v>
      </c>
      <c r="J66" s="218">
        <f t="shared" si="8"/>
        <v>0.0005909615221</v>
      </c>
      <c r="K66" s="218">
        <f t="shared" si="8"/>
        <v>0.0003280038726</v>
      </c>
      <c r="L66" s="218">
        <f t="shared" si="8"/>
        <v>0.0003317639852</v>
      </c>
      <c r="M66" s="218">
        <f t="shared" si="8"/>
        <v>0.0003711302095</v>
      </c>
      <c r="N66" s="218">
        <f t="shared" si="8"/>
        <v>0.0004096375612</v>
      </c>
      <c r="O66" s="218">
        <f t="shared" si="8"/>
        <v>0.0004341432017</v>
      </c>
      <c r="P66" s="218">
        <f t="shared" si="8"/>
        <v>566699.7739</v>
      </c>
      <c r="Q66" s="218">
        <f t="shared" si="8"/>
        <v>0.001993752721</v>
      </c>
      <c r="R66" s="218">
        <f t="shared" si="8"/>
        <v>0.002008144376</v>
      </c>
      <c r="S66" s="218">
        <f t="shared" si="8"/>
        <v>0.0004828986141</v>
      </c>
      <c r="T66" s="218">
        <f t="shared" si="8"/>
        <v>0.002496732281</v>
      </c>
      <c r="U66" s="218">
        <f t="shared" si="8"/>
        <v>0.0009718857533</v>
      </c>
      <c r="V66" s="218">
        <f t="shared" si="8"/>
        <v>0.001032226879</v>
      </c>
      <c r="W66" s="218">
        <f t="shared" si="8"/>
        <v>0.000609379238</v>
      </c>
      <c r="X66" s="218">
        <f t="shared" si="8"/>
        <v>0.0009725437504</v>
      </c>
      <c r="Y66" s="218">
        <f t="shared" si="8"/>
        <v>0.002264311613</v>
      </c>
      <c r="Z66" s="218">
        <f t="shared" si="8"/>
        <v>0.0001333691945</v>
      </c>
      <c r="AA66" s="218">
        <f t="shared" si="8"/>
        <v>0.0004367909689</v>
      </c>
      <c r="AB66" s="218">
        <f t="shared" si="8"/>
        <v>0.0002315332935</v>
      </c>
      <c r="AC66" s="446"/>
    </row>
    <row r="67">
      <c r="A67" s="434"/>
      <c r="B67" s="435"/>
      <c r="C67" s="436"/>
      <c r="D67" s="436"/>
      <c r="E67" s="158" t="s">
        <v>272</v>
      </c>
      <c r="F67" s="340" t="s">
        <v>63</v>
      </c>
      <c r="G67" s="445" t="s">
        <v>70</v>
      </c>
      <c r="H67" s="379" t="s">
        <v>132</v>
      </c>
      <c r="I67" s="218">
        <f t="shared" ref="I67:AB67" si="9">-I66</f>
        <v>-0.0006940915119</v>
      </c>
      <c r="J67" s="218">
        <f t="shared" si="9"/>
        <v>-0.0005909615221</v>
      </c>
      <c r="K67" s="218">
        <f t="shared" si="9"/>
        <v>-0.0003280038726</v>
      </c>
      <c r="L67" s="218">
        <f t="shared" si="9"/>
        <v>-0.0003317639852</v>
      </c>
      <c r="M67" s="218">
        <f t="shared" si="9"/>
        <v>-0.0003711302095</v>
      </c>
      <c r="N67" s="218">
        <f t="shared" si="9"/>
        <v>-0.0004096375612</v>
      </c>
      <c r="O67" s="218">
        <f t="shared" si="9"/>
        <v>-0.0004341432017</v>
      </c>
      <c r="P67" s="218">
        <f t="shared" si="9"/>
        <v>-566699.7739</v>
      </c>
      <c r="Q67" s="218">
        <f t="shared" si="9"/>
        <v>-0.001993752721</v>
      </c>
      <c r="R67" s="218">
        <f t="shared" si="9"/>
        <v>-0.002008144376</v>
      </c>
      <c r="S67" s="218">
        <f t="shared" si="9"/>
        <v>-0.0004828986141</v>
      </c>
      <c r="T67" s="218">
        <f t="shared" si="9"/>
        <v>-0.002496732281</v>
      </c>
      <c r="U67" s="218">
        <f t="shared" si="9"/>
        <v>-0.0009718857533</v>
      </c>
      <c r="V67" s="218">
        <f t="shared" si="9"/>
        <v>-0.001032226879</v>
      </c>
      <c r="W67" s="218">
        <f t="shared" si="9"/>
        <v>-0.000609379238</v>
      </c>
      <c r="X67" s="218">
        <f t="shared" si="9"/>
        <v>-0.0009725437504</v>
      </c>
      <c r="Y67" s="218">
        <f t="shared" si="9"/>
        <v>-0.002264311613</v>
      </c>
      <c r="Z67" s="218">
        <f t="shared" si="9"/>
        <v>-0.0001333691945</v>
      </c>
      <c r="AA67" s="218">
        <f t="shared" si="9"/>
        <v>-0.0004367909689</v>
      </c>
      <c r="AB67" s="218">
        <f t="shared" si="9"/>
        <v>-0.0002315332935</v>
      </c>
      <c r="AC67" s="446"/>
    </row>
    <row r="68">
      <c r="A68" s="434"/>
      <c r="B68" s="435"/>
      <c r="C68" s="436"/>
      <c r="D68" s="436"/>
      <c r="E68" s="158" t="s">
        <v>273</v>
      </c>
      <c r="F68" s="340" t="str">
        <f>F30</f>
        <v>%</v>
      </c>
      <c r="G68" s="445" t="s">
        <v>76</v>
      </c>
      <c r="H68" s="447" t="str">
        <f t="shared" ref="H68:AB68" si="10">H30</f>
        <v>-</v>
      </c>
      <c r="I68" s="139">
        <f t="shared" si="10"/>
        <v>0</v>
      </c>
      <c r="J68" s="139">
        <f t="shared" si="10"/>
        <v>0</v>
      </c>
      <c r="K68" s="139">
        <f t="shared" si="10"/>
        <v>0</v>
      </c>
      <c r="L68" s="139">
        <f t="shared" si="10"/>
        <v>0</v>
      </c>
      <c r="M68" s="139">
        <f t="shared" si="10"/>
        <v>0</v>
      </c>
      <c r="N68" s="139">
        <f t="shared" si="10"/>
        <v>0</v>
      </c>
      <c r="O68" s="139">
        <f t="shared" si="10"/>
        <v>0</v>
      </c>
      <c r="P68" s="139">
        <f t="shared" si="10"/>
        <v>0</v>
      </c>
      <c r="Q68" s="139">
        <f t="shared" si="10"/>
        <v>0</v>
      </c>
      <c r="R68" s="139">
        <f t="shared" si="10"/>
        <v>0</v>
      </c>
      <c r="S68" s="139">
        <f t="shared" si="10"/>
        <v>0</v>
      </c>
      <c r="T68" s="139">
        <f t="shared" si="10"/>
        <v>0</v>
      </c>
      <c r="U68" s="139">
        <f t="shared" si="10"/>
        <v>0</v>
      </c>
      <c r="V68" s="139">
        <f t="shared" si="10"/>
        <v>0</v>
      </c>
      <c r="W68" s="139">
        <f t="shared" si="10"/>
        <v>0</v>
      </c>
      <c r="X68" s="139">
        <f t="shared" si="10"/>
        <v>0</v>
      </c>
      <c r="Y68" s="139">
        <f t="shared" si="10"/>
        <v>0</v>
      </c>
      <c r="Z68" s="139">
        <f t="shared" si="10"/>
        <v>0</v>
      </c>
      <c r="AA68" s="139">
        <f t="shared" si="10"/>
        <v>0</v>
      </c>
      <c r="AB68" s="139">
        <f t="shared" si="10"/>
        <v>0</v>
      </c>
      <c r="AC68" s="446"/>
    </row>
    <row r="69">
      <c r="A69" s="434"/>
      <c r="B69" s="435"/>
      <c r="C69" s="436"/>
      <c r="D69" s="436"/>
      <c r="E69" s="163" t="s">
        <v>274</v>
      </c>
      <c r="F69" s="341" t="s">
        <v>63</v>
      </c>
      <c r="G69" s="448" t="s">
        <v>70</v>
      </c>
      <c r="H69" s="382" t="s">
        <v>132</v>
      </c>
      <c r="I69" s="221">
        <f t="shared" ref="I69:AB69" si="11">I67*I68</f>
        <v>0</v>
      </c>
      <c r="J69" s="221">
        <f t="shared" si="11"/>
        <v>0</v>
      </c>
      <c r="K69" s="221">
        <f t="shared" si="11"/>
        <v>0</v>
      </c>
      <c r="L69" s="221">
        <f t="shared" si="11"/>
        <v>0</v>
      </c>
      <c r="M69" s="221">
        <f t="shared" si="11"/>
        <v>0</v>
      </c>
      <c r="N69" s="221">
        <f t="shared" si="11"/>
        <v>0</v>
      </c>
      <c r="O69" s="221">
        <f t="shared" si="11"/>
        <v>0</v>
      </c>
      <c r="P69" s="221">
        <f t="shared" si="11"/>
        <v>0</v>
      </c>
      <c r="Q69" s="221">
        <f t="shared" si="11"/>
        <v>0</v>
      </c>
      <c r="R69" s="221">
        <f t="shared" si="11"/>
        <v>0</v>
      </c>
      <c r="S69" s="221">
        <f t="shared" si="11"/>
        <v>0</v>
      </c>
      <c r="T69" s="221">
        <f t="shared" si="11"/>
        <v>0</v>
      </c>
      <c r="U69" s="221">
        <f t="shared" si="11"/>
        <v>0</v>
      </c>
      <c r="V69" s="221">
        <f t="shared" si="11"/>
        <v>0</v>
      </c>
      <c r="W69" s="221">
        <f t="shared" si="11"/>
        <v>0</v>
      </c>
      <c r="X69" s="221">
        <f t="shared" si="11"/>
        <v>0</v>
      </c>
      <c r="Y69" s="221">
        <f t="shared" si="11"/>
        <v>0</v>
      </c>
      <c r="Z69" s="221">
        <f t="shared" si="11"/>
        <v>0</v>
      </c>
      <c r="AA69" s="221">
        <f t="shared" si="11"/>
        <v>0</v>
      </c>
      <c r="AB69" s="221">
        <f t="shared" si="11"/>
        <v>0</v>
      </c>
      <c r="AC69" s="449"/>
    </row>
    <row r="70">
      <c r="A70" s="434"/>
      <c r="B70" s="435"/>
      <c r="C70" s="436"/>
      <c r="D70" s="436"/>
      <c r="E70" s="168"/>
      <c r="F70" s="437"/>
      <c r="G70" s="438"/>
      <c r="H70" s="439"/>
      <c r="I70" s="279"/>
      <c r="J70" s="279"/>
      <c r="K70" s="279"/>
      <c r="L70" s="279"/>
      <c r="M70" s="279"/>
      <c r="N70" s="279"/>
      <c r="O70" s="279"/>
      <c r="P70" s="279"/>
      <c r="Q70" s="279"/>
      <c r="R70" s="279"/>
      <c r="S70" s="279"/>
      <c r="T70" s="279"/>
      <c r="U70" s="279"/>
      <c r="V70" s="279"/>
      <c r="W70" s="279"/>
      <c r="X70" s="279"/>
      <c r="Y70" s="279"/>
      <c r="Z70" s="279"/>
      <c r="AA70" s="279"/>
      <c r="AB70" s="279"/>
      <c r="AC70" s="440"/>
    </row>
    <row r="71">
      <c r="A71" s="434"/>
      <c r="B71" s="435"/>
      <c r="C71" s="152" t="s">
        <v>275</v>
      </c>
      <c r="F71" s="437"/>
      <c r="G71" s="438"/>
      <c r="H71" s="439"/>
      <c r="I71" s="279"/>
      <c r="J71" s="279"/>
      <c r="K71" s="279"/>
      <c r="L71" s="279"/>
      <c r="M71" s="279"/>
      <c r="N71" s="279"/>
      <c r="O71" s="279"/>
      <c r="P71" s="279"/>
      <c r="Q71" s="279"/>
      <c r="R71" s="279"/>
      <c r="S71" s="279"/>
      <c r="T71" s="279"/>
      <c r="U71" s="279"/>
      <c r="V71" s="279"/>
      <c r="W71" s="279"/>
      <c r="X71" s="279"/>
      <c r="Y71" s="279"/>
      <c r="Z71" s="279"/>
      <c r="AA71" s="279"/>
      <c r="AB71" s="279"/>
      <c r="AC71" s="440"/>
    </row>
    <row r="72">
      <c r="A72" s="434"/>
      <c r="B72" s="435"/>
      <c r="C72" s="436"/>
      <c r="D72" s="441" t="s">
        <v>276</v>
      </c>
      <c r="E72" s="30"/>
      <c r="F72" s="442"/>
      <c r="G72" s="443"/>
      <c r="H72" s="377"/>
      <c r="I72" s="285"/>
      <c r="J72" s="285"/>
      <c r="K72" s="285"/>
      <c r="L72" s="285"/>
      <c r="M72" s="285"/>
      <c r="N72" s="285"/>
      <c r="O72" s="285"/>
      <c r="P72" s="285"/>
      <c r="Q72" s="285"/>
      <c r="R72" s="285"/>
      <c r="S72" s="285"/>
      <c r="T72" s="285"/>
      <c r="U72" s="285"/>
      <c r="V72" s="285"/>
      <c r="W72" s="285"/>
      <c r="X72" s="285"/>
      <c r="Y72" s="285"/>
      <c r="Z72" s="285"/>
      <c r="AA72" s="285"/>
      <c r="AB72" s="285"/>
      <c r="AC72" s="444"/>
    </row>
    <row r="73">
      <c r="A73" s="434"/>
      <c r="B73" s="435"/>
      <c r="C73" s="436"/>
      <c r="D73" s="436"/>
      <c r="E73" s="153" t="s">
        <v>277</v>
      </c>
      <c r="F73" s="442" t="s">
        <v>55</v>
      </c>
      <c r="G73" s="443" t="s">
        <v>70</v>
      </c>
      <c r="H73" s="377" t="s">
        <v>132</v>
      </c>
      <c r="I73" s="285">
        <f t="shared" ref="I73:AB73" si="12">I19</f>
        <v>0.01</v>
      </c>
      <c r="J73" s="285">
        <f t="shared" si="12"/>
        <v>0.01</v>
      </c>
      <c r="K73" s="285">
        <f t="shared" si="12"/>
        <v>0.01</v>
      </c>
      <c r="L73" s="285">
        <f t="shared" si="12"/>
        <v>0.01</v>
      </c>
      <c r="M73" s="285">
        <f t="shared" si="12"/>
        <v>0.01</v>
      </c>
      <c r="N73" s="285">
        <f t="shared" si="12"/>
        <v>0.01</v>
      </c>
      <c r="O73" s="285">
        <f t="shared" si="12"/>
        <v>0.01</v>
      </c>
      <c r="P73" s="285">
        <f t="shared" si="12"/>
        <v>17456907.13</v>
      </c>
      <c r="Q73" s="285">
        <f t="shared" si="12"/>
        <v>0.01</v>
      </c>
      <c r="R73" s="285">
        <f t="shared" si="12"/>
        <v>0.01</v>
      </c>
      <c r="S73" s="285">
        <f t="shared" si="12"/>
        <v>0.01</v>
      </c>
      <c r="T73" s="285">
        <f t="shared" si="12"/>
        <v>0.01</v>
      </c>
      <c r="U73" s="285">
        <f t="shared" si="12"/>
        <v>0.01</v>
      </c>
      <c r="V73" s="285">
        <f t="shared" si="12"/>
        <v>0.01</v>
      </c>
      <c r="W73" s="285">
        <f t="shared" si="12"/>
        <v>0.01</v>
      </c>
      <c r="X73" s="285">
        <f t="shared" si="12"/>
        <v>0.01</v>
      </c>
      <c r="Y73" s="285">
        <f t="shared" si="12"/>
        <v>0.01</v>
      </c>
      <c r="Z73" s="285">
        <f t="shared" si="12"/>
        <v>0.01</v>
      </c>
      <c r="AA73" s="285">
        <f t="shared" si="12"/>
        <v>0.01</v>
      </c>
      <c r="AB73" s="285">
        <f t="shared" si="12"/>
        <v>0.01</v>
      </c>
      <c r="AC73" s="444"/>
    </row>
    <row r="74">
      <c r="A74" s="434"/>
      <c r="B74" s="435"/>
      <c r="C74" s="436"/>
      <c r="D74" s="436"/>
      <c r="E74" s="158" t="s">
        <v>278</v>
      </c>
      <c r="F74" s="340" t="s">
        <v>63</v>
      </c>
      <c r="G74" s="445" t="s">
        <v>70</v>
      </c>
      <c r="H74" s="379" t="s">
        <v>132</v>
      </c>
      <c r="I74" s="218">
        <f t="shared" ref="I74:AB74" si="13">I73*I47</f>
        <v>0.0007446615119</v>
      </c>
      <c r="J74" s="218">
        <f t="shared" si="13"/>
        <v>0.0006415315221</v>
      </c>
      <c r="K74" s="218">
        <f t="shared" si="13"/>
        <v>0.0003785738726</v>
      </c>
      <c r="L74" s="218">
        <f t="shared" si="13"/>
        <v>0.0003823339852</v>
      </c>
      <c r="M74" s="218">
        <f t="shared" si="13"/>
        <v>0.0004217002095</v>
      </c>
      <c r="N74" s="218">
        <f t="shared" si="13"/>
        <v>0.0004602075612</v>
      </c>
      <c r="O74" s="218">
        <f t="shared" si="13"/>
        <v>0.0004847132017</v>
      </c>
      <c r="P74" s="218">
        <f t="shared" si="13"/>
        <v>654979.3533</v>
      </c>
      <c r="Q74" s="218">
        <f t="shared" si="13"/>
        <v>0.002044322721</v>
      </c>
      <c r="R74" s="218">
        <f t="shared" si="13"/>
        <v>0.002058714376</v>
      </c>
      <c r="S74" s="218">
        <f t="shared" si="13"/>
        <v>0.0005334686141</v>
      </c>
      <c r="T74" s="218">
        <f t="shared" si="13"/>
        <v>0.002547302281</v>
      </c>
      <c r="U74" s="218">
        <f t="shared" si="13"/>
        <v>0.001022455753</v>
      </c>
      <c r="V74" s="218">
        <f t="shared" si="13"/>
        <v>0.001082796879</v>
      </c>
      <c r="W74" s="218">
        <f t="shared" si="13"/>
        <v>0.000659949238</v>
      </c>
      <c r="X74" s="218">
        <f t="shared" si="13"/>
        <v>0.00102311375</v>
      </c>
      <c r="Y74" s="218">
        <f t="shared" si="13"/>
        <v>0.002314881613</v>
      </c>
      <c r="Z74" s="218">
        <f t="shared" si="13"/>
        <v>0.0001839391945</v>
      </c>
      <c r="AA74" s="218">
        <f t="shared" si="13"/>
        <v>0.0004873609689</v>
      </c>
      <c r="AB74" s="218">
        <f t="shared" si="13"/>
        <v>0.0002821032935</v>
      </c>
      <c r="AC74" s="446"/>
    </row>
    <row r="75">
      <c r="A75" s="434"/>
      <c r="B75" s="435"/>
      <c r="C75" s="436"/>
      <c r="D75" s="436"/>
      <c r="E75" s="158" t="s">
        <v>279</v>
      </c>
      <c r="F75" s="340" t="s">
        <v>63</v>
      </c>
      <c r="G75" s="445" t="s">
        <v>70</v>
      </c>
      <c r="H75" s="379" t="s">
        <v>132</v>
      </c>
      <c r="I75" s="218">
        <f t="shared" ref="I75:AB75" si="14">I73*$H57</f>
        <v>0.00015433</v>
      </c>
      <c r="J75" s="218">
        <f t="shared" si="14"/>
        <v>0.00015433</v>
      </c>
      <c r="K75" s="218">
        <f t="shared" si="14"/>
        <v>0.00015433</v>
      </c>
      <c r="L75" s="218">
        <f t="shared" si="14"/>
        <v>0.00015433</v>
      </c>
      <c r="M75" s="218">
        <f t="shared" si="14"/>
        <v>0.00015433</v>
      </c>
      <c r="N75" s="218">
        <f t="shared" si="14"/>
        <v>0.00015433</v>
      </c>
      <c r="O75" s="218">
        <f t="shared" si="14"/>
        <v>0.00015433</v>
      </c>
      <c r="P75" s="218">
        <f t="shared" si="14"/>
        <v>269412.4477</v>
      </c>
      <c r="Q75" s="218">
        <f t="shared" si="14"/>
        <v>0.00015433</v>
      </c>
      <c r="R75" s="218">
        <f t="shared" si="14"/>
        <v>0.00015433</v>
      </c>
      <c r="S75" s="218">
        <f t="shared" si="14"/>
        <v>0.00015433</v>
      </c>
      <c r="T75" s="218">
        <f t="shared" si="14"/>
        <v>0.00015433</v>
      </c>
      <c r="U75" s="218">
        <f t="shared" si="14"/>
        <v>0.00015433</v>
      </c>
      <c r="V75" s="218">
        <f t="shared" si="14"/>
        <v>0.00015433</v>
      </c>
      <c r="W75" s="218">
        <f t="shared" si="14"/>
        <v>0.00015433</v>
      </c>
      <c r="X75" s="218">
        <f t="shared" si="14"/>
        <v>0.00015433</v>
      </c>
      <c r="Y75" s="218">
        <f t="shared" si="14"/>
        <v>0.00015433</v>
      </c>
      <c r="Z75" s="218">
        <f t="shared" si="14"/>
        <v>0.00015433</v>
      </c>
      <c r="AA75" s="218">
        <f t="shared" si="14"/>
        <v>0.00015433</v>
      </c>
      <c r="AB75" s="218">
        <f t="shared" si="14"/>
        <v>0.00015433</v>
      </c>
      <c r="AC75" s="446"/>
    </row>
    <row r="76">
      <c r="A76" s="434"/>
      <c r="B76" s="435"/>
      <c r="C76" s="436"/>
      <c r="D76" s="436"/>
      <c r="E76" s="158" t="s">
        <v>280</v>
      </c>
      <c r="F76" s="340" t="s">
        <v>63</v>
      </c>
      <c r="G76" s="445" t="s">
        <v>70</v>
      </c>
      <c r="H76" s="379" t="s">
        <v>132</v>
      </c>
      <c r="I76" s="218">
        <f t="shared" ref="I76:AB76" si="15">I74-I75</f>
        <v>0.0005903315119</v>
      </c>
      <c r="J76" s="218">
        <f t="shared" si="15"/>
        <v>0.0004872015221</v>
      </c>
      <c r="K76" s="218">
        <f t="shared" si="15"/>
        <v>0.0002242438726</v>
      </c>
      <c r="L76" s="218">
        <f t="shared" si="15"/>
        <v>0.0002280039852</v>
      </c>
      <c r="M76" s="218">
        <f t="shared" si="15"/>
        <v>0.0002673702095</v>
      </c>
      <c r="N76" s="218">
        <f t="shared" si="15"/>
        <v>0.0003058775612</v>
      </c>
      <c r="O76" s="218">
        <f t="shared" si="15"/>
        <v>0.0003303832017</v>
      </c>
      <c r="P76" s="218">
        <f t="shared" si="15"/>
        <v>385566.9056</v>
      </c>
      <c r="Q76" s="218">
        <f t="shared" si="15"/>
        <v>0.001889992721</v>
      </c>
      <c r="R76" s="218">
        <f t="shared" si="15"/>
        <v>0.001904384376</v>
      </c>
      <c r="S76" s="218">
        <f t="shared" si="15"/>
        <v>0.0003791386141</v>
      </c>
      <c r="T76" s="218">
        <f t="shared" si="15"/>
        <v>0.002392972281</v>
      </c>
      <c r="U76" s="218">
        <f t="shared" si="15"/>
        <v>0.0008681257533</v>
      </c>
      <c r="V76" s="218">
        <f t="shared" si="15"/>
        <v>0.0009284668789</v>
      </c>
      <c r="W76" s="218">
        <f t="shared" si="15"/>
        <v>0.000505619238</v>
      </c>
      <c r="X76" s="218">
        <f t="shared" si="15"/>
        <v>0.0008687837504</v>
      </c>
      <c r="Y76" s="218">
        <f t="shared" si="15"/>
        <v>0.002160551613</v>
      </c>
      <c r="Z76" s="218">
        <f t="shared" si="15"/>
        <v>0.00002960919455</v>
      </c>
      <c r="AA76" s="218">
        <f t="shared" si="15"/>
        <v>0.0003330309689</v>
      </c>
      <c r="AB76" s="218">
        <f t="shared" si="15"/>
        <v>0.0001277732935</v>
      </c>
      <c r="AC76" s="446"/>
    </row>
    <row r="77">
      <c r="A77" s="434"/>
      <c r="B77" s="435"/>
      <c r="C77" s="436"/>
      <c r="D77" s="436"/>
      <c r="E77" s="158" t="s">
        <v>272</v>
      </c>
      <c r="F77" s="340" t="s">
        <v>63</v>
      </c>
      <c r="G77" s="445" t="s">
        <v>70</v>
      </c>
      <c r="H77" s="379" t="s">
        <v>132</v>
      </c>
      <c r="I77" s="218">
        <f t="shared" ref="I77:AB77" si="16">-I76</f>
        <v>-0.0005903315119</v>
      </c>
      <c r="J77" s="218">
        <f t="shared" si="16"/>
        <v>-0.0004872015221</v>
      </c>
      <c r="K77" s="218">
        <f t="shared" si="16"/>
        <v>-0.0002242438726</v>
      </c>
      <c r="L77" s="218">
        <f t="shared" si="16"/>
        <v>-0.0002280039852</v>
      </c>
      <c r="M77" s="218">
        <f t="shared" si="16"/>
        <v>-0.0002673702095</v>
      </c>
      <c r="N77" s="218">
        <f t="shared" si="16"/>
        <v>-0.0003058775612</v>
      </c>
      <c r="O77" s="218">
        <f t="shared" si="16"/>
        <v>-0.0003303832017</v>
      </c>
      <c r="P77" s="218">
        <f t="shared" si="16"/>
        <v>-385566.9056</v>
      </c>
      <c r="Q77" s="218">
        <f t="shared" si="16"/>
        <v>-0.001889992721</v>
      </c>
      <c r="R77" s="218">
        <f t="shared" si="16"/>
        <v>-0.001904384376</v>
      </c>
      <c r="S77" s="218">
        <f t="shared" si="16"/>
        <v>-0.0003791386141</v>
      </c>
      <c r="T77" s="218">
        <f t="shared" si="16"/>
        <v>-0.002392972281</v>
      </c>
      <c r="U77" s="218">
        <f t="shared" si="16"/>
        <v>-0.0008681257533</v>
      </c>
      <c r="V77" s="218">
        <f t="shared" si="16"/>
        <v>-0.0009284668789</v>
      </c>
      <c r="W77" s="218">
        <f t="shared" si="16"/>
        <v>-0.000505619238</v>
      </c>
      <c r="X77" s="218">
        <f t="shared" si="16"/>
        <v>-0.0008687837504</v>
      </c>
      <c r="Y77" s="218">
        <f t="shared" si="16"/>
        <v>-0.002160551613</v>
      </c>
      <c r="Z77" s="218">
        <f t="shared" si="16"/>
        <v>-0.00002960919455</v>
      </c>
      <c r="AA77" s="218">
        <f t="shared" si="16"/>
        <v>-0.0003330309689</v>
      </c>
      <c r="AB77" s="218">
        <f t="shared" si="16"/>
        <v>-0.0001277732935</v>
      </c>
      <c r="AC77" s="446"/>
    </row>
    <row r="78">
      <c r="A78" s="434"/>
      <c r="B78" s="435"/>
      <c r="C78" s="436"/>
      <c r="D78" s="436"/>
      <c r="E78" s="158" t="s">
        <v>273</v>
      </c>
      <c r="F78" s="340" t="str">
        <f>F31</f>
        <v>%</v>
      </c>
      <c r="G78" s="445" t="s">
        <v>76</v>
      </c>
      <c r="H78" s="447" t="str">
        <f t="shared" ref="H78:AB78" si="17">H31</f>
        <v>-</v>
      </c>
      <c r="I78" s="139">
        <f t="shared" si="17"/>
        <v>0.5</v>
      </c>
      <c r="J78" s="139">
        <f t="shared" si="17"/>
        <v>0.3</v>
      </c>
      <c r="K78" s="139">
        <f t="shared" si="17"/>
        <v>0.4</v>
      </c>
      <c r="L78" s="139">
        <f t="shared" si="17"/>
        <v>0.15</v>
      </c>
      <c r="M78" s="139">
        <f t="shared" si="17"/>
        <v>0.15</v>
      </c>
      <c r="N78" s="139">
        <f t="shared" si="17"/>
        <v>0.15</v>
      </c>
      <c r="O78" s="139">
        <f t="shared" si="17"/>
        <v>0.15</v>
      </c>
      <c r="P78" s="139">
        <f t="shared" si="17"/>
        <v>0.35</v>
      </c>
      <c r="Q78" s="139">
        <f t="shared" si="17"/>
        <v>0.2</v>
      </c>
      <c r="R78" s="139">
        <f t="shared" si="17"/>
        <v>0.1</v>
      </c>
      <c r="S78" s="139">
        <f t="shared" si="17"/>
        <v>0.1</v>
      </c>
      <c r="T78" s="139">
        <f t="shared" si="17"/>
        <v>0.2</v>
      </c>
      <c r="U78" s="139">
        <f t="shared" si="17"/>
        <v>0.1</v>
      </c>
      <c r="V78" s="139">
        <f t="shared" si="17"/>
        <v>0.2</v>
      </c>
      <c r="W78" s="139">
        <f t="shared" si="17"/>
        <v>0.2</v>
      </c>
      <c r="X78" s="139">
        <f t="shared" si="17"/>
        <v>0.2</v>
      </c>
      <c r="Y78" s="139">
        <f t="shared" si="17"/>
        <v>0.2</v>
      </c>
      <c r="Z78" s="139">
        <f t="shared" si="17"/>
        <v>0.15</v>
      </c>
      <c r="AA78" s="139">
        <f t="shared" si="17"/>
        <v>0.65</v>
      </c>
      <c r="AB78" s="139">
        <f t="shared" si="17"/>
        <v>0.4</v>
      </c>
      <c r="AC78" s="446"/>
    </row>
    <row r="79">
      <c r="A79" s="434"/>
      <c r="B79" s="435"/>
      <c r="C79" s="436"/>
      <c r="D79" s="436"/>
      <c r="E79" s="163" t="s">
        <v>274</v>
      </c>
      <c r="F79" s="341" t="s">
        <v>63</v>
      </c>
      <c r="G79" s="448" t="s">
        <v>70</v>
      </c>
      <c r="H79" s="382" t="s">
        <v>132</v>
      </c>
      <c r="I79" s="221">
        <f t="shared" ref="I79:AB79" si="18">I77*I78</f>
        <v>-0.0002951657559</v>
      </c>
      <c r="J79" s="221">
        <f t="shared" si="18"/>
        <v>-0.0001461604566</v>
      </c>
      <c r="K79" s="221">
        <f t="shared" si="18"/>
        <v>-0.00008969754906</v>
      </c>
      <c r="L79" s="221">
        <f t="shared" si="18"/>
        <v>-0.00003420059778</v>
      </c>
      <c r="M79" s="221">
        <f t="shared" si="18"/>
        <v>-0.00004010553143</v>
      </c>
      <c r="N79" s="221">
        <f t="shared" si="18"/>
        <v>-0.00004588163418</v>
      </c>
      <c r="O79" s="221">
        <f t="shared" si="18"/>
        <v>-0.00004955748026</v>
      </c>
      <c r="P79" s="221">
        <f t="shared" si="18"/>
        <v>-134948.4169</v>
      </c>
      <c r="Q79" s="221">
        <f t="shared" si="18"/>
        <v>-0.0003779985441</v>
      </c>
      <c r="R79" s="221">
        <f t="shared" si="18"/>
        <v>-0.0001904384376</v>
      </c>
      <c r="S79" s="221">
        <f t="shared" si="18"/>
        <v>-0.00003791386141</v>
      </c>
      <c r="T79" s="221">
        <f t="shared" si="18"/>
        <v>-0.0004785944562</v>
      </c>
      <c r="U79" s="221">
        <f t="shared" si="18"/>
        <v>-0.00008681257533</v>
      </c>
      <c r="V79" s="221">
        <f t="shared" si="18"/>
        <v>-0.0001856933758</v>
      </c>
      <c r="W79" s="221">
        <f t="shared" si="18"/>
        <v>-0.0001011238476</v>
      </c>
      <c r="X79" s="221">
        <f t="shared" si="18"/>
        <v>-0.0001737567501</v>
      </c>
      <c r="Y79" s="221">
        <f t="shared" si="18"/>
        <v>-0.0004321103226</v>
      </c>
      <c r="Z79" s="221">
        <f t="shared" si="18"/>
        <v>-0.000004441379182</v>
      </c>
      <c r="AA79" s="221">
        <f t="shared" si="18"/>
        <v>-0.0002164701298</v>
      </c>
      <c r="AB79" s="221">
        <f t="shared" si="18"/>
        <v>-0.0000511093174</v>
      </c>
      <c r="AC79" s="449"/>
    </row>
    <row r="80">
      <c r="A80" s="434"/>
      <c r="B80" s="435"/>
      <c r="C80" s="436"/>
      <c r="D80" s="436"/>
      <c r="E80" s="168"/>
      <c r="F80" s="437"/>
      <c r="G80" s="438"/>
      <c r="H80" s="439"/>
      <c r="I80" s="279"/>
      <c r="J80" s="279"/>
      <c r="K80" s="279"/>
      <c r="L80" s="279"/>
      <c r="M80" s="279"/>
      <c r="N80" s="279"/>
      <c r="O80" s="279"/>
      <c r="P80" s="279"/>
      <c r="Q80" s="279"/>
      <c r="R80" s="279"/>
      <c r="S80" s="279"/>
      <c r="T80" s="279"/>
      <c r="U80" s="279"/>
      <c r="V80" s="279"/>
      <c r="W80" s="279"/>
      <c r="X80" s="279"/>
      <c r="Y80" s="279"/>
      <c r="Z80" s="279"/>
      <c r="AA80" s="279"/>
      <c r="AB80" s="279"/>
      <c r="AC80" s="440"/>
    </row>
    <row r="81">
      <c r="A81" s="434"/>
      <c r="B81" s="435"/>
      <c r="C81" s="152" t="s">
        <v>281</v>
      </c>
      <c r="F81" s="437"/>
      <c r="G81" s="438"/>
      <c r="H81" s="439"/>
      <c r="I81" s="279"/>
      <c r="J81" s="279"/>
      <c r="K81" s="279"/>
      <c r="L81" s="279"/>
      <c r="M81" s="279"/>
      <c r="N81" s="279"/>
      <c r="O81" s="279"/>
      <c r="P81" s="279"/>
      <c r="Q81" s="279"/>
      <c r="R81" s="279"/>
      <c r="S81" s="279"/>
      <c r="T81" s="279"/>
      <c r="U81" s="279"/>
      <c r="V81" s="279"/>
      <c r="W81" s="279"/>
      <c r="X81" s="279"/>
      <c r="Y81" s="279"/>
      <c r="Z81" s="279"/>
      <c r="AA81" s="279"/>
      <c r="AB81" s="279"/>
      <c r="AC81" s="440"/>
    </row>
    <row r="82">
      <c r="A82" s="434"/>
      <c r="B82" s="435"/>
      <c r="C82" s="436"/>
      <c r="D82" s="441" t="s">
        <v>267</v>
      </c>
      <c r="E82" s="30"/>
      <c r="F82" s="442"/>
      <c r="G82" s="443"/>
      <c r="H82" s="377"/>
      <c r="I82" s="285"/>
      <c r="J82" s="285"/>
      <c r="K82" s="285"/>
      <c r="L82" s="285"/>
      <c r="M82" s="285"/>
      <c r="N82" s="285"/>
      <c r="O82" s="285"/>
      <c r="P82" s="285"/>
      <c r="Q82" s="285"/>
      <c r="R82" s="285"/>
      <c r="S82" s="285"/>
      <c r="T82" s="285"/>
      <c r="U82" s="285"/>
      <c r="V82" s="285"/>
      <c r="W82" s="285"/>
      <c r="X82" s="285"/>
      <c r="Y82" s="285"/>
      <c r="Z82" s="285"/>
      <c r="AA82" s="285"/>
      <c r="AB82" s="285"/>
      <c r="AC82" s="444"/>
    </row>
    <row r="83">
      <c r="A83" s="434"/>
      <c r="B83" s="435"/>
      <c r="C83" s="436"/>
      <c r="D83" s="436"/>
      <c r="E83" s="153" t="s">
        <v>282</v>
      </c>
      <c r="F83" s="442" t="s">
        <v>55</v>
      </c>
      <c r="G83" s="443" t="s">
        <v>70</v>
      </c>
      <c r="H83" s="377" t="s">
        <v>132</v>
      </c>
      <c r="I83" s="285">
        <f t="shared" ref="I83:AB83" si="19">I21*(1-I38)</f>
        <v>0.00117963232</v>
      </c>
      <c r="J83" s="285">
        <f t="shared" si="19"/>
        <v>0.00108341452</v>
      </c>
      <c r="K83" s="285">
        <f t="shared" si="19"/>
        <v>0.001029505029</v>
      </c>
      <c r="L83" s="285">
        <f t="shared" si="19"/>
        <v>0.0006284184216</v>
      </c>
      <c r="M83" s="285">
        <f t="shared" si="19"/>
        <v>0.0006284184216</v>
      </c>
      <c r="N83" s="285">
        <f t="shared" si="19"/>
        <v>0.0006284184216</v>
      </c>
      <c r="O83" s="285">
        <f t="shared" si="19"/>
        <v>0.0006284184216</v>
      </c>
      <c r="P83" s="285">
        <f t="shared" si="19"/>
        <v>2059273.185</v>
      </c>
      <c r="Q83" s="285">
        <f t="shared" si="19"/>
        <v>0.001064910683</v>
      </c>
      <c r="R83" s="285">
        <f t="shared" si="19"/>
        <v>0.00117963232</v>
      </c>
      <c r="S83" s="285">
        <f t="shared" si="19"/>
        <v>0.00117963232</v>
      </c>
      <c r="T83" s="285">
        <f t="shared" si="19"/>
        <v>0.00117963232</v>
      </c>
      <c r="U83" s="285">
        <f t="shared" si="19"/>
        <v>0.00117963232</v>
      </c>
      <c r="V83" s="285">
        <f t="shared" si="19"/>
        <v>0.00117963232</v>
      </c>
      <c r="W83" s="285">
        <f t="shared" si="19"/>
        <v>0.00117963232</v>
      </c>
      <c r="X83" s="285">
        <f t="shared" si="19"/>
        <v>0.00117963232</v>
      </c>
      <c r="Y83" s="285">
        <f t="shared" si="19"/>
        <v>0.00117963232</v>
      </c>
      <c r="Z83" s="285">
        <f t="shared" si="19"/>
        <v>0.000940956744</v>
      </c>
      <c r="AA83" s="285">
        <f t="shared" si="19"/>
        <v>0.0006284184216</v>
      </c>
      <c r="AB83" s="285">
        <f t="shared" si="19"/>
        <v>0.001194288155</v>
      </c>
      <c r="AC83" s="444"/>
    </row>
    <row r="84">
      <c r="A84" s="434"/>
      <c r="B84" s="435"/>
      <c r="C84" s="436"/>
      <c r="D84" s="436"/>
      <c r="E84" s="158" t="s">
        <v>283</v>
      </c>
      <c r="F84" s="340" t="s">
        <v>63</v>
      </c>
      <c r="G84" s="445" t="s">
        <v>70</v>
      </c>
      <c r="H84" s="379" t="s">
        <v>132</v>
      </c>
      <c r="I84" s="218">
        <f t="shared" ref="I84:AB84" si="20">I83*$H56</f>
        <v>0.000005965400641</v>
      </c>
      <c r="J84" s="218">
        <f t="shared" si="20"/>
        <v>0.000005478827229</v>
      </c>
      <c r="K84" s="218">
        <f t="shared" si="20"/>
        <v>0.000005206206931</v>
      </c>
      <c r="L84" s="218">
        <f t="shared" si="20"/>
        <v>0.000003177911958</v>
      </c>
      <c r="M84" s="218">
        <f t="shared" si="20"/>
        <v>0.000003177911958</v>
      </c>
      <c r="N84" s="218">
        <f t="shared" si="20"/>
        <v>0.000003177911958</v>
      </c>
      <c r="O84" s="218">
        <f t="shared" si="20"/>
        <v>0.000003177911958</v>
      </c>
      <c r="P84" s="218">
        <f t="shared" si="20"/>
        <v>10413.7445</v>
      </c>
      <c r="Q84" s="218">
        <f t="shared" si="20"/>
        <v>0.000005385253324</v>
      </c>
      <c r="R84" s="218">
        <f t="shared" si="20"/>
        <v>0.000005965400641</v>
      </c>
      <c r="S84" s="218">
        <f t="shared" si="20"/>
        <v>0.000005965400641</v>
      </c>
      <c r="T84" s="218">
        <f t="shared" si="20"/>
        <v>0.000005965400641</v>
      </c>
      <c r="U84" s="218">
        <f t="shared" si="20"/>
        <v>0.000005965400641</v>
      </c>
      <c r="V84" s="218">
        <f t="shared" si="20"/>
        <v>0.000005965400641</v>
      </c>
      <c r="W84" s="218">
        <f t="shared" si="20"/>
        <v>0.000005965400641</v>
      </c>
      <c r="X84" s="218">
        <f t="shared" si="20"/>
        <v>0.000005965400641</v>
      </c>
      <c r="Y84" s="218">
        <f t="shared" si="20"/>
        <v>0.000005965400641</v>
      </c>
      <c r="Z84" s="218">
        <f t="shared" si="20"/>
        <v>0.000004758418254</v>
      </c>
      <c r="AA84" s="218">
        <f t="shared" si="20"/>
        <v>0.000003177911958</v>
      </c>
      <c r="AB84" s="218">
        <f t="shared" si="20"/>
        <v>0.000006039515199</v>
      </c>
      <c r="AC84" s="446"/>
    </row>
    <row r="85">
      <c r="A85" s="434"/>
      <c r="B85" s="435"/>
      <c r="C85" s="436"/>
      <c r="D85" s="436"/>
      <c r="E85" s="158" t="s">
        <v>284</v>
      </c>
      <c r="F85" s="340" t="s">
        <v>63</v>
      </c>
      <c r="G85" s="445" t="s">
        <v>70</v>
      </c>
      <c r="H85" s="379" t="s">
        <v>132</v>
      </c>
      <c r="I85" s="209">
        <v>0.0</v>
      </c>
      <c r="J85" s="209">
        <v>0.0</v>
      </c>
      <c r="K85" s="209">
        <v>0.0</v>
      </c>
      <c r="L85" s="209">
        <v>0.0</v>
      </c>
      <c r="M85" s="209">
        <v>0.0</v>
      </c>
      <c r="N85" s="209">
        <v>0.0</v>
      </c>
      <c r="O85" s="209">
        <v>0.0</v>
      </c>
      <c r="P85" s="209">
        <v>0.0</v>
      </c>
      <c r="Q85" s="209">
        <v>0.0</v>
      </c>
      <c r="R85" s="209">
        <v>0.0</v>
      </c>
      <c r="S85" s="209">
        <v>0.0</v>
      </c>
      <c r="T85" s="209">
        <v>0.0</v>
      </c>
      <c r="U85" s="209">
        <v>0.0</v>
      </c>
      <c r="V85" s="209">
        <v>0.0</v>
      </c>
      <c r="W85" s="209">
        <v>0.0</v>
      </c>
      <c r="X85" s="209">
        <v>0.0</v>
      </c>
      <c r="Y85" s="209">
        <v>0.0</v>
      </c>
      <c r="Z85" s="209">
        <v>0.0</v>
      </c>
      <c r="AA85" s="209">
        <v>0.0</v>
      </c>
      <c r="AB85" s="209">
        <v>0.0</v>
      </c>
      <c r="AC85" s="446"/>
    </row>
    <row r="86">
      <c r="A86" s="434"/>
      <c r="B86" s="435"/>
      <c r="C86" s="436"/>
      <c r="D86" s="436"/>
      <c r="E86" s="158" t="s">
        <v>285</v>
      </c>
      <c r="F86" s="340" t="s">
        <v>63</v>
      </c>
      <c r="G86" s="445" t="s">
        <v>70</v>
      </c>
      <c r="H86" s="379" t="s">
        <v>132</v>
      </c>
      <c r="I86" s="218">
        <f t="shared" ref="I86:AB86" si="21">I84-I85</f>
        <v>0.000005965400641</v>
      </c>
      <c r="J86" s="218">
        <f t="shared" si="21"/>
        <v>0.000005478827229</v>
      </c>
      <c r="K86" s="218">
        <f t="shared" si="21"/>
        <v>0.000005206206931</v>
      </c>
      <c r="L86" s="218">
        <f t="shared" si="21"/>
        <v>0.000003177911958</v>
      </c>
      <c r="M86" s="218">
        <f t="shared" si="21"/>
        <v>0.000003177911958</v>
      </c>
      <c r="N86" s="218">
        <f t="shared" si="21"/>
        <v>0.000003177911958</v>
      </c>
      <c r="O86" s="218">
        <f t="shared" si="21"/>
        <v>0.000003177911958</v>
      </c>
      <c r="P86" s="218">
        <f t="shared" si="21"/>
        <v>10413.7445</v>
      </c>
      <c r="Q86" s="218">
        <f t="shared" si="21"/>
        <v>0.000005385253324</v>
      </c>
      <c r="R86" s="218">
        <f t="shared" si="21"/>
        <v>0.000005965400641</v>
      </c>
      <c r="S86" s="218">
        <f t="shared" si="21"/>
        <v>0.000005965400641</v>
      </c>
      <c r="T86" s="218">
        <f t="shared" si="21"/>
        <v>0.000005965400641</v>
      </c>
      <c r="U86" s="218">
        <f t="shared" si="21"/>
        <v>0.000005965400641</v>
      </c>
      <c r="V86" s="218">
        <f t="shared" si="21"/>
        <v>0.000005965400641</v>
      </c>
      <c r="W86" s="218">
        <f t="shared" si="21"/>
        <v>0.000005965400641</v>
      </c>
      <c r="X86" s="218">
        <f t="shared" si="21"/>
        <v>0.000005965400641</v>
      </c>
      <c r="Y86" s="218">
        <f t="shared" si="21"/>
        <v>0.000005965400641</v>
      </c>
      <c r="Z86" s="218">
        <f t="shared" si="21"/>
        <v>0.000004758418254</v>
      </c>
      <c r="AA86" s="218">
        <f t="shared" si="21"/>
        <v>0.000003177911958</v>
      </c>
      <c r="AB86" s="218">
        <f t="shared" si="21"/>
        <v>0.000006039515199</v>
      </c>
      <c r="AC86" s="446"/>
    </row>
    <row r="87">
      <c r="A87" s="434"/>
      <c r="B87" s="435"/>
      <c r="C87" s="436"/>
      <c r="D87" s="436"/>
      <c r="E87" s="158" t="s">
        <v>272</v>
      </c>
      <c r="F87" s="340" t="s">
        <v>63</v>
      </c>
      <c r="G87" s="445" t="s">
        <v>70</v>
      </c>
      <c r="H87" s="379" t="s">
        <v>132</v>
      </c>
      <c r="I87" s="218">
        <f t="shared" ref="I87:AB87" si="22">-I86</f>
        <v>-0.000005965400641</v>
      </c>
      <c r="J87" s="218">
        <f t="shared" si="22"/>
        <v>-0.000005478827229</v>
      </c>
      <c r="K87" s="218">
        <f t="shared" si="22"/>
        <v>-0.000005206206931</v>
      </c>
      <c r="L87" s="218">
        <f t="shared" si="22"/>
        <v>-0.000003177911958</v>
      </c>
      <c r="M87" s="218">
        <f t="shared" si="22"/>
        <v>-0.000003177911958</v>
      </c>
      <c r="N87" s="218">
        <f t="shared" si="22"/>
        <v>-0.000003177911958</v>
      </c>
      <c r="O87" s="218">
        <f t="shared" si="22"/>
        <v>-0.000003177911958</v>
      </c>
      <c r="P87" s="218">
        <f t="shared" si="22"/>
        <v>-10413.7445</v>
      </c>
      <c r="Q87" s="218">
        <f t="shared" si="22"/>
        <v>-0.000005385253324</v>
      </c>
      <c r="R87" s="218">
        <f t="shared" si="22"/>
        <v>-0.000005965400641</v>
      </c>
      <c r="S87" s="218">
        <f t="shared" si="22"/>
        <v>-0.000005965400641</v>
      </c>
      <c r="T87" s="218">
        <f t="shared" si="22"/>
        <v>-0.000005965400641</v>
      </c>
      <c r="U87" s="218">
        <f t="shared" si="22"/>
        <v>-0.000005965400641</v>
      </c>
      <c r="V87" s="218">
        <f t="shared" si="22"/>
        <v>-0.000005965400641</v>
      </c>
      <c r="W87" s="218">
        <f t="shared" si="22"/>
        <v>-0.000005965400641</v>
      </c>
      <c r="X87" s="218">
        <f t="shared" si="22"/>
        <v>-0.000005965400641</v>
      </c>
      <c r="Y87" s="218">
        <f t="shared" si="22"/>
        <v>-0.000005965400641</v>
      </c>
      <c r="Z87" s="218">
        <f t="shared" si="22"/>
        <v>-0.000004758418254</v>
      </c>
      <c r="AA87" s="218">
        <f t="shared" si="22"/>
        <v>-0.000003177911958</v>
      </c>
      <c r="AB87" s="218">
        <f t="shared" si="22"/>
        <v>-0.000006039515199</v>
      </c>
      <c r="AC87" s="446"/>
    </row>
    <row r="88">
      <c r="A88" s="434"/>
      <c r="B88" s="435"/>
      <c r="C88" s="436"/>
      <c r="D88" s="436"/>
      <c r="E88" s="158" t="s">
        <v>273</v>
      </c>
      <c r="F88" s="340" t="str">
        <f>F32</f>
        <v>%</v>
      </c>
      <c r="G88" s="445" t="s">
        <v>76</v>
      </c>
      <c r="H88" s="447" t="str">
        <f t="shared" ref="H88:AB88" si="23">H32</f>
        <v>-</v>
      </c>
      <c r="I88" s="139">
        <f t="shared" si="23"/>
        <v>0</v>
      </c>
      <c r="J88" s="139">
        <f t="shared" si="23"/>
        <v>0</v>
      </c>
      <c r="K88" s="139">
        <f t="shared" si="23"/>
        <v>0</v>
      </c>
      <c r="L88" s="139">
        <f t="shared" si="23"/>
        <v>0</v>
      </c>
      <c r="M88" s="139">
        <f t="shared" si="23"/>
        <v>0</v>
      </c>
      <c r="N88" s="139">
        <f t="shared" si="23"/>
        <v>0</v>
      </c>
      <c r="O88" s="139">
        <f t="shared" si="23"/>
        <v>0</v>
      </c>
      <c r="P88" s="139">
        <f t="shared" si="23"/>
        <v>0</v>
      </c>
      <c r="Q88" s="139">
        <f t="shared" si="23"/>
        <v>0</v>
      </c>
      <c r="R88" s="139">
        <f t="shared" si="23"/>
        <v>0</v>
      </c>
      <c r="S88" s="139">
        <f t="shared" si="23"/>
        <v>0</v>
      </c>
      <c r="T88" s="139">
        <f t="shared" si="23"/>
        <v>0</v>
      </c>
      <c r="U88" s="139">
        <f t="shared" si="23"/>
        <v>0</v>
      </c>
      <c r="V88" s="139">
        <f t="shared" si="23"/>
        <v>0</v>
      </c>
      <c r="W88" s="139">
        <f t="shared" si="23"/>
        <v>0</v>
      </c>
      <c r="X88" s="139">
        <f t="shared" si="23"/>
        <v>0</v>
      </c>
      <c r="Y88" s="139">
        <f t="shared" si="23"/>
        <v>0</v>
      </c>
      <c r="Z88" s="139">
        <f t="shared" si="23"/>
        <v>0</v>
      </c>
      <c r="AA88" s="139">
        <f t="shared" si="23"/>
        <v>0</v>
      </c>
      <c r="AB88" s="139">
        <f t="shared" si="23"/>
        <v>0</v>
      </c>
      <c r="AC88" s="446"/>
    </row>
    <row r="89">
      <c r="A89" s="434"/>
      <c r="B89" s="435"/>
      <c r="C89" s="436"/>
      <c r="D89" s="436"/>
      <c r="E89" s="163" t="s">
        <v>286</v>
      </c>
      <c r="F89" s="341" t="s">
        <v>63</v>
      </c>
      <c r="G89" s="448" t="s">
        <v>70</v>
      </c>
      <c r="H89" s="382" t="s">
        <v>132</v>
      </c>
      <c r="I89" s="221">
        <f t="shared" ref="I89:AB89" si="24">I87*I88</f>
        <v>0</v>
      </c>
      <c r="J89" s="221">
        <f t="shared" si="24"/>
        <v>0</v>
      </c>
      <c r="K89" s="221">
        <f t="shared" si="24"/>
        <v>0</v>
      </c>
      <c r="L89" s="221">
        <f t="shared" si="24"/>
        <v>0</v>
      </c>
      <c r="M89" s="221">
        <f t="shared" si="24"/>
        <v>0</v>
      </c>
      <c r="N89" s="221">
        <f t="shared" si="24"/>
        <v>0</v>
      </c>
      <c r="O89" s="221">
        <f t="shared" si="24"/>
        <v>0</v>
      </c>
      <c r="P89" s="221">
        <f t="shared" si="24"/>
        <v>0</v>
      </c>
      <c r="Q89" s="221">
        <f t="shared" si="24"/>
        <v>0</v>
      </c>
      <c r="R89" s="221">
        <f t="shared" si="24"/>
        <v>0</v>
      </c>
      <c r="S89" s="221">
        <f t="shared" si="24"/>
        <v>0</v>
      </c>
      <c r="T89" s="221">
        <f t="shared" si="24"/>
        <v>0</v>
      </c>
      <c r="U89" s="221">
        <f t="shared" si="24"/>
        <v>0</v>
      </c>
      <c r="V89" s="221">
        <f t="shared" si="24"/>
        <v>0</v>
      </c>
      <c r="W89" s="221">
        <f t="shared" si="24"/>
        <v>0</v>
      </c>
      <c r="X89" s="221">
        <f t="shared" si="24"/>
        <v>0</v>
      </c>
      <c r="Y89" s="221">
        <f t="shared" si="24"/>
        <v>0</v>
      </c>
      <c r="Z89" s="221">
        <f t="shared" si="24"/>
        <v>0</v>
      </c>
      <c r="AA89" s="221">
        <f t="shared" si="24"/>
        <v>0</v>
      </c>
      <c r="AB89" s="221">
        <f t="shared" si="24"/>
        <v>0</v>
      </c>
      <c r="AC89" s="449"/>
    </row>
    <row r="90">
      <c r="A90" s="434"/>
      <c r="B90" s="435"/>
      <c r="C90" s="436"/>
      <c r="D90" s="436"/>
      <c r="E90" s="168"/>
      <c r="F90" s="437"/>
      <c r="G90" s="438"/>
      <c r="H90" s="439"/>
      <c r="I90" s="279"/>
      <c r="J90" s="279"/>
      <c r="K90" s="279"/>
      <c r="L90" s="279"/>
      <c r="M90" s="279"/>
      <c r="N90" s="279"/>
      <c r="O90" s="279"/>
      <c r="P90" s="279"/>
      <c r="Q90" s="279"/>
      <c r="R90" s="279"/>
      <c r="S90" s="279"/>
      <c r="T90" s="279"/>
      <c r="U90" s="279"/>
      <c r="V90" s="279"/>
      <c r="W90" s="279"/>
      <c r="X90" s="279"/>
      <c r="Y90" s="279"/>
      <c r="Z90" s="279"/>
      <c r="AA90" s="279"/>
      <c r="AB90" s="279"/>
      <c r="AC90" s="440"/>
    </row>
    <row r="91">
      <c r="A91" s="434"/>
      <c r="B91" s="435"/>
      <c r="C91" s="152" t="s">
        <v>287</v>
      </c>
      <c r="F91" s="437"/>
      <c r="G91" s="438"/>
      <c r="H91" s="439"/>
      <c r="I91" s="279"/>
      <c r="J91" s="279"/>
      <c r="K91" s="279"/>
      <c r="L91" s="279"/>
      <c r="M91" s="279"/>
      <c r="N91" s="279"/>
      <c r="O91" s="279"/>
      <c r="P91" s="279"/>
      <c r="Q91" s="279"/>
      <c r="R91" s="279"/>
      <c r="S91" s="279"/>
      <c r="T91" s="279"/>
      <c r="U91" s="279"/>
      <c r="V91" s="279"/>
      <c r="W91" s="279"/>
      <c r="X91" s="279"/>
      <c r="Y91" s="279"/>
      <c r="Z91" s="279"/>
      <c r="AA91" s="279"/>
      <c r="AB91" s="279"/>
      <c r="AC91" s="440"/>
    </row>
    <row r="92">
      <c r="A92" s="434"/>
      <c r="B92" s="435"/>
      <c r="C92" s="436"/>
      <c r="D92" s="441" t="s">
        <v>267</v>
      </c>
      <c r="E92" s="30"/>
      <c r="F92" s="442"/>
      <c r="G92" s="443"/>
      <c r="H92" s="377"/>
      <c r="I92" s="285"/>
      <c r="J92" s="285"/>
      <c r="K92" s="285"/>
      <c r="L92" s="285"/>
      <c r="M92" s="285"/>
      <c r="N92" s="285"/>
      <c r="O92" s="285"/>
      <c r="P92" s="285"/>
      <c r="Q92" s="285"/>
      <c r="R92" s="285"/>
      <c r="S92" s="285"/>
      <c r="T92" s="285"/>
      <c r="U92" s="285"/>
      <c r="V92" s="285"/>
      <c r="W92" s="285"/>
      <c r="X92" s="285"/>
      <c r="Y92" s="285"/>
      <c r="Z92" s="285"/>
      <c r="AA92" s="285"/>
      <c r="AB92" s="285"/>
      <c r="AC92" s="444"/>
    </row>
    <row r="93">
      <c r="A93" s="434"/>
      <c r="B93" s="435"/>
      <c r="C93" s="436"/>
      <c r="D93" s="436"/>
      <c r="E93" s="153" t="s">
        <v>282</v>
      </c>
      <c r="F93" s="442" t="s">
        <v>55</v>
      </c>
      <c r="G93" s="443" t="s">
        <v>70</v>
      </c>
      <c r="H93" s="377" t="s">
        <v>132</v>
      </c>
      <c r="I93" s="285">
        <f t="shared" ref="I93:AB93" si="25">I21</f>
        <v>0.00117963232</v>
      </c>
      <c r="J93" s="285">
        <f t="shared" si="25"/>
        <v>0.00108341452</v>
      </c>
      <c r="K93" s="285">
        <f t="shared" si="25"/>
        <v>0.001029505029</v>
      </c>
      <c r="L93" s="285">
        <f t="shared" si="25"/>
        <v>0.001178988741</v>
      </c>
      <c r="M93" s="285">
        <f t="shared" si="25"/>
        <v>0.001178988741</v>
      </c>
      <c r="N93" s="285">
        <f t="shared" si="25"/>
        <v>0.001178988741</v>
      </c>
      <c r="O93" s="285">
        <f t="shared" si="25"/>
        <v>0.001178988741</v>
      </c>
      <c r="P93" s="285">
        <f t="shared" si="25"/>
        <v>2059273.185</v>
      </c>
      <c r="Q93" s="285">
        <f t="shared" si="25"/>
        <v>0.001179632369</v>
      </c>
      <c r="R93" s="285">
        <f t="shared" si="25"/>
        <v>0.00117963232</v>
      </c>
      <c r="S93" s="285">
        <f t="shared" si="25"/>
        <v>0.00117963232</v>
      </c>
      <c r="T93" s="285">
        <f t="shared" si="25"/>
        <v>0.00117963232</v>
      </c>
      <c r="U93" s="285">
        <f t="shared" si="25"/>
        <v>0.00117963232</v>
      </c>
      <c r="V93" s="285">
        <f t="shared" si="25"/>
        <v>0.00117963232</v>
      </c>
      <c r="W93" s="285">
        <f t="shared" si="25"/>
        <v>0.00117963232</v>
      </c>
      <c r="X93" s="285">
        <f t="shared" si="25"/>
        <v>0.00117963232</v>
      </c>
      <c r="Y93" s="285">
        <f t="shared" si="25"/>
        <v>0.00117963232</v>
      </c>
      <c r="Z93" s="285">
        <f t="shared" si="25"/>
        <v>0.000940956744</v>
      </c>
      <c r="AA93" s="285">
        <f t="shared" si="25"/>
        <v>0.001178988741</v>
      </c>
      <c r="AB93" s="285">
        <f t="shared" si="25"/>
        <v>0.001194288155</v>
      </c>
      <c r="AC93" s="444"/>
    </row>
    <row r="94">
      <c r="A94" s="434"/>
      <c r="B94" s="435"/>
      <c r="C94" s="436"/>
      <c r="D94" s="436"/>
      <c r="E94" s="158" t="s">
        <v>288</v>
      </c>
      <c r="F94" s="340" t="s">
        <v>63</v>
      </c>
      <c r="G94" s="445" t="s">
        <v>70</v>
      </c>
      <c r="H94" s="379" t="s">
        <v>132</v>
      </c>
      <c r="I94" s="218">
        <f t="shared" ref="I94:AB94" si="26">I93*$H56</f>
        <v>0.000005965400641</v>
      </c>
      <c r="J94" s="218">
        <f t="shared" si="26"/>
        <v>0.000005478827229</v>
      </c>
      <c r="K94" s="218">
        <f t="shared" si="26"/>
        <v>0.000005206206931</v>
      </c>
      <c r="L94" s="218">
        <f t="shared" si="26"/>
        <v>0.000005962146064</v>
      </c>
      <c r="M94" s="218">
        <f t="shared" si="26"/>
        <v>0.000005962146064</v>
      </c>
      <c r="N94" s="218">
        <f t="shared" si="26"/>
        <v>0.000005962146064</v>
      </c>
      <c r="O94" s="218">
        <f t="shared" si="26"/>
        <v>0.000005962146064</v>
      </c>
      <c r="P94" s="218">
        <f t="shared" si="26"/>
        <v>10413.7445</v>
      </c>
      <c r="Q94" s="218">
        <f t="shared" si="26"/>
        <v>0.000005965400892</v>
      </c>
      <c r="R94" s="218">
        <f t="shared" si="26"/>
        <v>0.000005965400641</v>
      </c>
      <c r="S94" s="218">
        <f t="shared" si="26"/>
        <v>0.000005965400641</v>
      </c>
      <c r="T94" s="218">
        <f t="shared" si="26"/>
        <v>0.000005965400641</v>
      </c>
      <c r="U94" s="218">
        <f t="shared" si="26"/>
        <v>0.000005965400641</v>
      </c>
      <c r="V94" s="218">
        <f t="shared" si="26"/>
        <v>0.000005965400641</v>
      </c>
      <c r="W94" s="218">
        <f t="shared" si="26"/>
        <v>0.000005965400641</v>
      </c>
      <c r="X94" s="218">
        <f t="shared" si="26"/>
        <v>0.000005965400641</v>
      </c>
      <c r="Y94" s="218">
        <f t="shared" si="26"/>
        <v>0.000005965400641</v>
      </c>
      <c r="Z94" s="218">
        <f t="shared" si="26"/>
        <v>0.000004758418254</v>
      </c>
      <c r="AA94" s="218">
        <f t="shared" si="26"/>
        <v>0.000005962146064</v>
      </c>
      <c r="AB94" s="218">
        <f t="shared" si="26"/>
        <v>0.000006039515199</v>
      </c>
      <c r="AC94" s="446"/>
    </row>
    <row r="95">
      <c r="A95" s="434"/>
      <c r="B95" s="435"/>
      <c r="C95" s="436"/>
      <c r="D95" s="436"/>
      <c r="E95" s="158" t="s">
        <v>284</v>
      </c>
      <c r="F95" s="340" t="s">
        <v>63</v>
      </c>
      <c r="G95" s="445" t="s">
        <v>70</v>
      </c>
      <c r="H95" s="379" t="s">
        <v>132</v>
      </c>
      <c r="I95" s="209">
        <v>0.0</v>
      </c>
      <c r="J95" s="209">
        <v>0.0</v>
      </c>
      <c r="K95" s="209">
        <v>0.0</v>
      </c>
      <c r="L95" s="209">
        <v>0.0</v>
      </c>
      <c r="M95" s="209">
        <v>0.0</v>
      </c>
      <c r="N95" s="209">
        <v>0.0</v>
      </c>
      <c r="O95" s="209">
        <v>0.0</v>
      </c>
      <c r="P95" s="209">
        <v>0.0</v>
      </c>
      <c r="Q95" s="209">
        <v>0.0</v>
      </c>
      <c r="R95" s="209">
        <v>0.0</v>
      </c>
      <c r="S95" s="209">
        <v>0.0</v>
      </c>
      <c r="T95" s="209">
        <v>0.0</v>
      </c>
      <c r="U95" s="209">
        <v>0.0</v>
      </c>
      <c r="V95" s="209">
        <v>0.0</v>
      </c>
      <c r="W95" s="209">
        <v>0.0</v>
      </c>
      <c r="X95" s="209">
        <v>0.0</v>
      </c>
      <c r="Y95" s="209">
        <v>0.0</v>
      </c>
      <c r="Z95" s="209">
        <v>0.0</v>
      </c>
      <c r="AA95" s="209">
        <v>0.0</v>
      </c>
      <c r="AB95" s="209">
        <v>0.0</v>
      </c>
      <c r="AC95" s="446"/>
    </row>
    <row r="96">
      <c r="A96" s="434"/>
      <c r="B96" s="435"/>
      <c r="C96" s="436"/>
      <c r="D96" s="436"/>
      <c r="E96" s="158" t="s">
        <v>285</v>
      </c>
      <c r="F96" s="340" t="s">
        <v>63</v>
      </c>
      <c r="G96" s="445" t="s">
        <v>70</v>
      </c>
      <c r="H96" s="379" t="s">
        <v>132</v>
      </c>
      <c r="I96" s="218">
        <f t="shared" ref="I96:AB96" si="27">I94-I95</f>
        <v>0.000005965400641</v>
      </c>
      <c r="J96" s="218">
        <f t="shared" si="27"/>
        <v>0.000005478827229</v>
      </c>
      <c r="K96" s="218">
        <f t="shared" si="27"/>
        <v>0.000005206206931</v>
      </c>
      <c r="L96" s="218">
        <f t="shared" si="27"/>
        <v>0.000005962146064</v>
      </c>
      <c r="M96" s="218">
        <f t="shared" si="27"/>
        <v>0.000005962146064</v>
      </c>
      <c r="N96" s="218">
        <f t="shared" si="27"/>
        <v>0.000005962146064</v>
      </c>
      <c r="O96" s="218">
        <f t="shared" si="27"/>
        <v>0.000005962146064</v>
      </c>
      <c r="P96" s="218">
        <f t="shared" si="27"/>
        <v>10413.7445</v>
      </c>
      <c r="Q96" s="218">
        <f t="shared" si="27"/>
        <v>0.000005965400892</v>
      </c>
      <c r="R96" s="218">
        <f t="shared" si="27"/>
        <v>0.000005965400641</v>
      </c>
      <c r="S96" s="218">
        <f t="shared" si="27"/>
        <v>0.000005965400641</v>
      </c>
      <c r="T96" s="218">
        <f t="shared" si="27"/>
        <v>0.000005965400641</v>
      </c>
      <c r="U96" s="218">
        <f t="shared" si="27"/>
        <v>0.000005965400641</v>
      </c>
      <c r="V96" s="218">
        <f t="shared" si="27"/>
        <v>0.000005965400641</v>
      </c>
      <c r="W96" s="218">
        <f t="shared" si="27"/>
        <v>0.000005965400641</v>
      </c>
      <c r="X96" s="218">
        <f t="shared" si="27"/>
        <v>0.000005965400641</v>
      </c>
      <c r="Y96" s="218">
        <f t="shared" si="27"/>
        <v>0.000005965400641</v>
      </c>
      <c r="Z96" s="218">
        <f t="shared" si="27"/>
        <v>0.000004758418254</v>
      </c>
      <c r="AA96" s="218">
        <f t="shared" si="27"/>
        <v>0.000005962146064</v>
      </c>
      <c r="AB96" s="218">
        <f t="shared" si="27"/>
        <v>0.000006039515199</v>
      </c>
      <c r="AC96" s="446"/>
    </row>
    <row r="97">
      <c r="A97" s="434"/>
      <c r="B97" s="435"/>
      <c r="C97" s="436"/>
      <c r="D97" s="436"/>
      <c r="E97" s="158" t="s">
        <v>272</v>
      </c>
      <c r="F97" s="340" t="s">
        <v>63</v>
      </c>
      <c r="G97" s="445" t="s">
        <v>70</v>
      </c>
      <c r="H97" s="379" t="s">
        <v>132</v>
      </c>
      <c r="I97" s="218">
        <f t="shared" ref="I97:AB97" si="28">-I96</f>
        <v>-0.000005965400641</v>
      </c>
      <c r="J97" s="218">
        <f t="shared" si="28"/>
        <v>-0.000005478827229</v>
      </c>
      <c r="K97" s="218">
        <f t="shared" si="28"/>
        <v>-0.000005206206931</v>
      </c>
      <c r="L97" s="218">
        <f t="shared" si="28"/>
        <v>-0.000005962146064</v>
      </c>
      <c r="M97" s="218">
        <f t="shared" si="28"/>
        <v>-0.000005962146064</v>
      </c>
      <c r="N97" s="218">
        <f t="shared" si="28"/>
        <v>-0.000005962146064</v>
      </c>
      <c r="O97" s="218">
        <f t="shared" si="28"/>
        <v>-0.000005962146064</v>
      </c>
      <c r="P97" s="218">
        <f t="shared" si="28"/>
        <v>-10413.7445</v>
      </c>
      <c r="Q97" s="218">
        <f t="shared" si="28"/>
        <v>-0.000005965400892</v>
      </c>
      <c r="R97" s="218">
        <f t="shared" si="28"/>
        <v>-0.000005965400641</v>
      </c>
      <c r="S97" s="218">
        <f t="shared" si="28"/>
        <v>-0.000005965400641</v>
      </c>
      <c r="T97" s="218">
        <f t="shared" si="28"/>
        <v>-0.000005965400641</v>
      </c>
      <c r="U97" s="218">
        <f t="shared" si="28"/>
        <v>-0.000005965400641</v>
      </c>
      <c r="V97" s="218">
        <f t="shared" si="28"/>
        <v>-0.000005965400641</v>
      </c>
      <c r="W97" s="218">
        <f t="shared" si="28"/>
        <v>-0.000005965400641</v>
      </c>
      <c r="X97" s="218">
        <f t="shared" si="28"/>
        <v>-0.000005965400641</v>
      </c>
      <c r="Y97" s="218">
        <f t="shared" si="28"/>
        <v>-0.000005965400641</v>
      </c>
      <c r="Z97" s="218">
        <f t="shared" si="28"/>
        <v>-0.000004758418254</v>
      </c>
      <c r="AA97" s="218">
        <f t="shared" si="28"/>
        <v>-0.000005962146064</v>
      </c>
      <c r="AB97" s="218">
        <f t="shared" si="28"/>
        <v>-0.000006039515199</v>
      </c>
      <c r="AC97" s="446"/>
    </row>
    <row r="98">
      <c r="A98" s="434"/>
      <c r="B98" s="435"/>
      <c r="C98" s="436"/>
      <c r="D98" s="436"/>
      <c r="E98" s="158" t="s">
        <v>273</v>
      </c>
      <c r="F98" s="340" t="str">
        <f>F33</f>
        <v>%</v>
      </c>
      <c r="G98" s="445" t="s">
        <v>76</v>
      </c>
      <c r="H98" s="450" t="str">
        <f t="shared" ref="H98:AB98" si="29">H33</f>
        <v>-</v>
      </c>
      <c r="I98" s="139">
        <f t="shared" si="29"/>
        <v>0.5</v>
      </c>
      <c r="J98" s="139">
        <f t="shared" si="29"/>
        <v>0.7</v>
      </c>
      <c r="K98" s="139">
        <f t="shared" si="29"/>
        <v>0.6</v>
      </c>
      <c r="L98" s="139">
        <f t="shared" si="29"/>
        <v>0.85</v>
      </c>
      <c r="M98" s="139">
        <f t="shared" si="29"/>
        <v>0.85</v>
      </c>
      <c r="N98" s="139">
        <f t="shared" si="29"/>
        <v>0.85</v>
      </c>
      <c r="O98" s="139">
        <f t="shared" si="29"/>
        <v>0.85</v>
      </c>
      <c r="P98" s="139">
        <f t="shared" si="29"/>
        <v>0.65</v>
      </c>
      <c r="Q98" s="139">
        <f t="shared" si="29"/>
        <v>0.8</v>
      </c>
      <c r="R98" s="139">
        <f t="shared" si="29"/>
        <v>0.9</v>
      </c>
      <c r="S98" s="139">
        <f t="shared" si="29"/>
        <v>0.9</v>
      </c>
      <c r="T98" s="139">
        <f t="shared" si="29"/>
        <v>0.8</v>
      </c>
      <c r="U98" s="139">
        <f t="shared" si="29"/>
        <v>0.9</v>
      </c>
      <c r="V98" s="139">
        <f t="shared" si="29"/>
        <v>0.8</v>
      </c>
      <c r="W98" s="139">
        <f t="shared" si="29"/>
        <v>0.8</v>
      </c>
      <c r="X98" s="139">
        <f t="shared" si="29"/>
        <v>0.8</v>
      </c>
      <c r="Y98" s="139">
        <f t="shared" si="29"/>
        <v>0.8</v>
      </c>
      <c r="Z98" s="139">
        <f t="shared" si="29"/>
        <v>0.85</v>
      </c>
      <c r="AA98" s="139">
        <f t="shared" si="29"/>
        <v>0.35</v>
      </c>
      <c r="AB98" s="139">
        <f t="shared" si="29"/>
        <v>0.6</v>
      </c>
      <c r="AC98" s="446"/>
    </row>
    <row r="99">
      <c r="A99" s="434"/>
      <c r="B99" s="435"/>
      <c r="C99" s="436"/>
      <c r="D99" s="436"/>
      <c r="E99" s="163" t="s">
        <v>286</v>
      </c>
      <c r="F99" s="341" t="s">
        <v>63</v>
      </c>
      <c r="G99" s="448" t="s">
        <v>70</v>
      </c>
      <c r="H99" s="382" t="s">
        <v>132</v>
      </c>
      <c r="I99" s="221">
        <f t="shared" ref="I99:AB99" si="30">I97*I98</f>
        <v>-0.000002982700321</v>
      </c>
      <c r="J99" s="221">
        <f t="shared" si="30"/>
        <v>-0.00000383517906</v>
      </c>
      <c r="K99" s="221">
        <f t="shared" si="30"/>
        <v>-0.000003123724159</v>
      </c>
      <c r="L99" s="221">
        <f t="shared" si="30"/>
        <v>-0.000005067824155</v>
      </c>
      <c r="M99" s="221">
        <f t="shared" si="30"/>
        <v>-0.000005067824155</v>
      </c>
      <c r="N99" s="221">
        <f t="shared" si="30"/>
        <v>-0.000005067824155</v>
      </c>
      <c r="O99" s="221">
        <f t="shared" si="30"/>
        <v>-0.000005067824155</v>
      </c>
      <c r="P99" s="221">
        <f t="shared" si="30"/>
        <v>-6768.933924</v>
      </c>
      <c r="Q99" s="221">
        <f t="shared" si="30"/>
        <v>-0.000004772320713</v>
      </c>
      <c r="R99" s="221">
        <f t="shared" si="30"/>
        <v>-0.000005368860577</v>
      </c>
      <c r="S99" s="221">
        <f t="shared" si="30"/>
        <v>-0.000005368860577</v>
      </c>
      <c r="T99" s="221">
        <f t="shared" si="30"/>
        <v>-0.000004772320513</v>
      </c>
      <c r="U99" s="221">
        <f t="shared" si="30"/>
        <v>-0.000005368860577</v>
      </c>
      <c r="V99" s="221">
        <f t="shared" si="30"/>
        <v>-0.000004772320513</v>
      </c>
      <c r="W99" s="221">
        <f t="shared" si="30"/>
        <v>-0.000004772320513</v>
      </c>
      <c r="X99" s="221">
        <f t="shared" si="30"/>
        <v>-0.000004772320513</v>
      </c>
      <c r="Y99" s="221">
        <f t="shared" si="30"/>
        <v>-0.000004772320513</v>
      </c>
      <c r="Z99" s="221">
        <f t="shared" si="30"/>
        <v>-0.000004044655516</v>
      </c>
      <c r="AA99" s="221">
        <f t="shared" si="30"/>
        <v>-0.000002086751123</v>
      </c>
      <c r="AB99" s="221">
        <f t="shared" si="30"/>
        <v>-0.000003623709119</v>
      </c>
      <c r="AC99" s="449"/>
    </row>
    <row r="100">
      <c r="A100" s="434"/>
      <c r="B100" s="435"/>
      <c r="C100" s="436"/>
      <c r="D100" s="436"/>
      <c r="E100" s="168"/>
      <c r="F100" s="437"/>
      <c r="G100" s="438"/>
      <c r="H100" s="439"/>
      <c r="I100" s="279"/>
      <c r="J100" s="279"/>
      <c r="K100" s="279"/>
      <c r="L100" s="279"/>
      <c r="M100" s="279"/>
      <c r="N100" s="279"/>
      <c r="O100" s="279"/>
      <c r="P100" s="279"/>
      <c r="Q100" s="279"/>
      <c r="R100" s="279"/>
      <c r="S100" s="279"/>
      <c r="T100" s="279"/>
      <c r="U100" s="279"/>
      <c r="V100" s="279"/>
      <c r="W100" s="279"/>
      <c r="X100" s="279"/>
      <c r="Y100" s="279"/>
      <c r="Z100" s="279"/>
      <c r="AA100" s="279"/>
      <c r="AB100" s="279"/>
      <c r="AC100" s="440"/>
    </row>
    <row r="101">
      <c r="A101" s="451" t="s">
        <v>289</v>
      </c>
      <c r="B101" s="6"/>
      <c r="C101" s="6"/>
      <c r="D101" s="6"/>
      <c r="E101" s="6"/>
      <c r="F101" s="6"/>
      <c r="G101" s="370"/>
      <c r="H101" s="452"/>
      <c r="I101" s="453"/>
      <c r="J101" s="453"/>
      <c r="K101" s="453"/>
      <c r="L101" s="453"/>
      <c r="M101" s="453"/>
      <c r="N101" s="453"/>
      <c r="O101" s="453"/>
      <c r="P101" s="453"/>
      <c r="Q101" s="453"/>
      <c r="R101" s="453"/>
      <c r="S101" s="453"/>
      <c r="T101" s="453"/>
      <c r="U101" s="453"/>
      <c r="V101" s="453"/>
      <c r="W101" s="453"/>
      <c r="X101" s="453"/>
      <c r="Y101" s="453"/>
      <c r="Z101" s="453"/>
      <c r="AA101" s="453"/>
      <c r="AB101" s="453"/>
      <c r="AC101" s="454"/>
    </row>
    <row r="102">
      <c r="A102" s="434"/>
      <c r="B102" s="435"/>
      <c r="C102" s="152"/>
      <c r="D102" s="436"/>
      <c r="E102" s="168"/>
      <c r="F102" s="437"/>
      <c r="G102" s="438"/>
      <c r="H102" s="439"/>
      <c r="I102" s="455"/>
      <c r="J102" s="455"/>
      <c r="K102" s="455"/>
      <c r="L102" s="455"/>
      <c r="M102" s="455"/>
      <c r="N102" s="455"/>
      <c r="O102" s="455"/>
      <c r="P102" s="455"/>
      <c r="Q102" s="455"/>
      <c r="R102" s="455"/>
      <c r="S102" s="455"/>
      <c r="T102" s="455"/>
      <c r="U102" s="455"/>
      <c r="V102" s="455"/>
      <c r="W102" s="455"/>
      <c r="X102" s="455"/>
      <c r="Y102" s="455"/>
      <c r="Z102" s="455"/>
      <c r="AA102" s="455"/>
      <c r="AB102" s="455"/>
      <c r="AC102" s="440"/>
    </row>
    <row r="103">
      <c r="A103" s="434"/>
      <c r="B103" s="435"/>
      <c r="C103" s="152" t="s">
        <v>290</v>
      </c>
      <c r="F103" s="437"/>
      <c r="G103" s="438"/>
      <c r="H103" s="439"/>
      <c r="I103" s="279"/>
      <c r="J103" s="279"/>
      <c r="K103" s="279"/>
      <c r="L103" s="279"/>
      <c r="M103" s="279"/>
      <c r="N103" s="279"/>
      <c r="O103" s="279"/>
      <c r="P103" s="279"/>
      <c r="Q103" s="279"/>
      <c r="R103" s="279"/>
      <c r="S103" s="279"/>
      <c r="T103" s="279"/>
      <c r="U103" s="279"/>
      <c r="V103" s="279"/>
      <c r="W103" s="279"/>
      <c r="X103" s="279"/>
      <c r="Y103" s="279"/>
      <c r="Z103" s="279"/>
      <c r="AA103" s="279"/>
      <c r="AB103" s="279"/>
      <c r="AC103" s="440"/>
    </row>
    <row r="104">
      <c r="A104" s="434"/>
      <c r="B104" s="435"/>
      <c r="C104" s="436"/>
      <c r="D104" s="436"/>
      <c r="E104" s="153" t="s">
        <v>291</v>
      </c>
      <c r="F104" s="442" t="s">
        <v>63</v>
      </c>
      <c r="G104" s="443" t="s">
        <v>70</v>
      </c>
      <c r="H104" s="377" t="s">
        <v>132</v>
      </c>
      <c r="I104" s="277">
        <f t="shared" ref="I104:AB104" si="31">I19*I47</f>
        <v>0.0007446615119</v>
      </c>
      <c r="J104" s="277">
        <f t="shared" si="31"/>
        <v>0.0006415315221</v>
      </c>
      <c r="K104" s="277">
        <f t="shared" si="31"/>
        <v>0.0003785738726</v>
      </c>
      <c r="L104" s="277">
        <f t="shared" si="31"/>
        <v>0.0003823339852</v>
      </c>
      <c r="M104" s="277">
        <f t="shared" si="31"/>
        <v>0.0004217002095</v>
      </c>
      <c r="N104" s="277">
        <f t="shared" si="31"/>
        <v>0.0004602075612</v>
      </c>
      <c r="O104" s="277">
        <f t="shared" si="31"/>
        <v>0.0004847132017</v>
      </c>
      <c r="P104" s="277">
        <f t="shared" si="31"/>
        <v>654979.3533</v>
      </c>
      <c r="Q104" s="277">
        <f t="shared" si="31"/>
        <v>0.002044322721</v>
      </c>
      <c r="R104" s="277">
        <f t="shared" si="31"/>
        <v>0.002058714376</v>
      </c>
      <c r="S104" s="277">
        <f t="shared" si="31"/>
        <v>0.0005334686141</v>
      </c>
      <c r="T104" s="277">
        <f t="shared" si="31"/>
        <v>0.002547302281</v>
      </c>
      <c r="U104" s="277">
        <f t="shared" si="31"/>
        <v>0.001022455753</v>
      </c>
      <c r="V104" s="277">
        <f t="shared" si="31"/>
        <v>0.001082796879</v>
      </c>
      <c r="W104" s="277">
        <f t="shared" si="31"/>
        <v>0.000659949238</v>
      </c>
      <c r="X104" s="277">
        <f t="shared" si="31"/>
        <v>0.00102311375</v>
      </c>
      <c r="Y104" s="277">
        <f t="shared" si="31"/>
        <v>0.002314881613</v>
      </c>
      <c r="Z104" s="277">
        <f t="shared" si="31"/>
        <v>0.0001839391945</v>
      </c>
      <c r="AA104" s="277">
        <f t="shared" si="31"/>
        <v>0.0004873609689</v>
      </c>
      <c r="AB104" s="277">
        <f t="shared" si="31"/>
        <v>0.0002821032935</v>
      </c>
      <c r="AC104" s="444"/>
    </row>
    <row r="105">
      <c r="A105" s="434"/>
      <c r="B105" s="435"/>
      <c r="C105" s="436"/>
      <c r="D105" s="436"/>
      <c r="E105" s="153" t="s">
        <v>292</v>
      </c>
      <c r="F105" s="442" t="s">
        <v>63</v>
      </c>
      <c r="G105" s="443" t="s">
        <v>70</v>
      </c>
      <c r="H105" s="377" t="s">
        <v>132</v>
      </c>
      <c r="I105" s="277">
        <f t="shared" ref="I105:AB105" si="32">SUM(I89,I99)</f>
        <v>-0.000002982700321</v>
      </c>
      <c r="J105" s="277">
        <f t="shared" si="32"/>
        <v>-0.00000383517906</v>
      </c>
      <c r="K105" s="277">
        <f t="shared" si="32"/>
        <v>-0.000003123724159</v>
      </c>
      <c r="L105" s="277">
        <f t="shared" si="32"/>
        <v>-0.000005067824155</v>
      </c>
      <c r="M105" s="277">
        <f t="shared" si="32"/>
        <v>-0.000005067824155</v>
      </c>
      <c r="N105" s="277">
        <f t="shared" si="32"/>
        <v>-0.000005067824155</v>
      </c>
      <c r="O105" s="277">
        <f t="shared" si="32"/>
        <v>-0.000005067824155</v>
      </c>
      <c r="P105" s="277">
        <f t="shared" si="32"/>
        <v>-6768.933924</v>
      </c>
      <c r="Q105" s="277">
        <f t="shared" si="32"/>
        <v>-0.000004772320713</v>
      </c>
      <c r="R105" s="277">
        <f t="shared" si="32"/>
        <v>-0.000005368860577</v>
      </c>
      <c r="S105" s="277">
        <f t="shared" si="32"/>
        <v>-0.000005368860577</v>
      </c>
      <c r="T105" s="277">
        <f t="shared" si="32"/>
        <v>-0.000004772320513</v>
      </c>
      <c r="U105" s="277">
        <f t="shared" si="32"/>
        <v>-0.000005368860577</v>
      </c>
      <c r="V105" s="277">
        <f t="shared" si="32"/>
        <v>-0.000004772320513</v>
      </c>
      <c r="W105" s="277">
        <f t="shared" si="32"/>
        <v>-0.000004772320513</v>
      </c>
      <c r="X105" s="277">
        <f t="shared" si="32"/>
        <v>-0.000004772320513</v>
      </c>
      <c r="Y105" s="277">
        <f t="shared" si="32"/>
        <v>-0.000004772320513</v>
      </c>
      <c r="Z105" s="277">
        <f t="shared" si="32"/>
        <v>-0.000004044655516</v>
      </c>
      <c r="AA105" s="277">
        <f t="shared" si="32"/>
        <v>-0.000002086751123</v>
      </c>
      <c r="AB105" s="277">
        <f t="shared" si="32"/>
        <v>-0.000003623709119</v>
      </c>
      <c r="AC105" s="444"/>
    </row>
    <row r="106">
      <c r="A106" s="434"/>
      <c r="B106" s="435"/>
      <c r="C106" s="436"/>
      <c r="D106" s="436"/>
      <c r="E106" s="153" t="s">
        <v>293</v>
      </c>
      <c r="F106" s="442" t="s">
        <v>63</v>
      </c>
      <c r="G106" s="443" t="s">
        <v>70</v>
      </c>
      <c r="H106" s="377" t="s">
        <v>132</v>
      </c>
      <c r="I106" s="277">
        <f t="shared" ref="I106:AB106" si="33">SUM(I69,I79)</f>
        <v>-0.0002951657559</v>
      </c>
      <c r="J106" s="277">
        <f t="shared" si="33"/>
        <v>-0.0001461604566</v>
      </c>
      <c r="K106" s="277">
        <f t="shared" si="33"/>
        <v>-0.00008969754906</v>
      </c>
      <c r="L106" s="277">
        <f t="shared" si="33"/>
        <v>-0.00003420059778</v>
      </c>
      <c r="M106" s="277">
        <f t="shared" si="33"/>
        <v>-0.00004010553143</v>
      </c>
      <c r="N106" s="277">
        <f t="shared" si="33"/>
        <v>-0.00004588163418</v>
      </c>
      <c r="O106" s="277">
        <f t="shared" si="33"/>
        <v>-0.00004955748026</v>
      </c>
      <c r="P106" s="277">
        <f t="shared" si="33"/>
        <v>-134948.4169</v>
      </c>
      <c r="Q106" s="277">
        <f t="shared" si="33"/>
        <v>-0.0003779985441</v>
      </c>
      <c r="R106" s="277">
        <f t="shared" si="33"/>
        <v>-0.0001904384376</v>
      </c>
      <c r="S106" s="277">
        <f t="shared" si="33"/>
        <v>-0.00003791386141</v>
      </c>
      <c r="T106" s="277">
        <f t="shared" si="33"/>
        <v>-0.0004785944562</v>
      </c>
      <c r="U106" s="277">
        <f t="shared" si="33"/>
        <v>-0.00008681257533</v>
      </c>
      <c r="V106" s="277">
        <f t="shared" si="33"/>
        <v>-0.0001856933758</v>
      </c>
      <c r="W106" s="277">
        <f t="shared" si="33"/>
        <v>-0.0001011238476</v>
      </c>
      <c r="X106" s="277">
        <f t="shared" si="33"/>
        <v>-0.0001737567501</v>
      </c>
      <c r="Y106" s="277">
        <f t="shared" si="33"/>
        <v>-0.0004321103226</v>
      </c>
      <c r="Z106" s="277">
        <f t="shared" si="33"/>
        <v>-0.000004441379182</v>
      </c>
      <c r="AA106" s="277">
        <f t="shared" si="33"/>
        <v>-0.0002164701298</v>
      </c>
      <c r="AB106" s="277">
        <f t="shared" si="33"/>
        <v>-0.0000511093174</v>
      </c>
      <c r="AC106" s="444"/>
    </row>
    <row r="107">
      <c r="A107" s="434"/>
      <c r="B107" s="435"/>
      <c r="C107" s="436"/>
      <c r="D107" s="436"/>
      <c r="E107" s="158" t="s">
        <v>294</v>
      </c>
      <c r="F107" s="340" t="s">
        <v>63</v>
      </c>
      <c r="G107" s="445" t="s">
        <v>70</v>
      </c>
      <c r="H107" s="379" t="s">
        <v>132</v>
      </c>
      <c r="I107" s="218">
        <f t="shared" ref="I107:AB107" si="34">SUM(I69,I79,I89,I99)</f>
        <v>-0.0002981484563</v>
      </c>
      <c r="J107" s="218">
        <f t="shared" si="34"/>
        <v>-0.0001499956357</v>
      </c>
      <c r="K107" s="218">
        <f t="shared" si="34"/>
        <v>-0.00009282127322</v>
      </c>
      <c r="L107" s="218">
        <f t="shared" si="34"/>
        <v>-0.00003926842193</v>
      </c>
      <c r="M107" s="218">
        <f t="shared" si="34"/>
        <v>-0.00004517335558</v>
      </c>
      <c r="N107" s="218">
        <f t="shared" si="34"/>
        <v>-0.00005094945834</v>
      </c>
      <c r="O107" s="218">
        <f t="shared" si="34"/>
        <v>-0.00005462530441</v>
      </c>
      <c r="P107" s="218">
        <f t="shared" si="34"/>
        <v>-141717.3509</v>
      </c>
      <c r="Q107" s="218">
        <f t="shared" si="34"/>
        <v>-0.0003827708648</v>
      </c>
      <c r="R107" s="218">
        <f t="shared" si="34"/>
        <v>-0.0001958072982</v>
      </c>
      <c r="S107" s="218">
        <f t="shared" si="34"/>
        <v>-0.00004328272199</v>
      </c>
      <c r="T107" s="218">
        <f t="shared" si="34"/>
        <v>-0.0004833667767</v>
      </c>
      <c r="U107" s="218">
        <f t="shared" si="34"/>
        <v>-0.00009218143591</v>
      </c>
      <c r="V107" s="218">
        <f t="shared" si="34"/>
        <v>-0.0001904656963</v>
      </c>
      <c r="W107" s="218">
        <f t="shared" si="34"/>
        <v>-0.0001058961681</v>
      </c>
      <c r="X107" s="218">
        <f t="shared" si="34"/>
        <v>-0.0001785290706</v>
      </c>
      <c r="Y107" s="218">
        <f t="shared" si="34"/>
        <v>-0.0004368826431</v>
      </c>
      <c r="Z107" s="218">
        <f t="shared" si="34"/>
        <v>-0.000008486034698</v>
      </c>
      <c r="AA107" s="218">
        <f t="shared" si="34"/>
        <v>-0.0002185568809</v>
      </c>
      <c r="AB107" s="218">
        <f t="shared" si="34"/>
        <v>-0.00005473302652</v>
      </c>
      <c r="AC107" s="446"/>
    </row>
    <row r="108">
      <c r="A108" s="434"/>
      <c r="B108" s="435"/>
      <c r="C108" s="436"/>
      <c r="D108" s="436"/>
      <c r="E108" s="172" t="s">
        <v>295</v>
      </c>
      <c r="F108" s="456" t="s">
        <v>296</v>
      </c>
      <c r="G108" s="456" t="s">
        <v>70</v>
      </c>
      <c r="H108" s="457" t="s">
        <v>132</v>
      </c>
      <c r="I108" s="210">
        <f t="shared" ref="I108:AB108" si="35">SUM(I104,I107)</f>
        <v>0.0004465130556</v>
      </c>
      <c r="J108" s="210">
        <f t="shared" si="35"/>
        <v>0.0004915358864</v>
      </c>
      <c r="K108" s="210">
        <f t="shared" si="35"/>
        <v>0.0002857525994</v>
      </c>
      <c r="L108" s="210">
        <f t="shared" si="35"/>
        <v>0.0003430655633</v>
      </c>
      <c r="M108" s="210">
        <f t="shared" si="35"/>
        <v>0.0003765268539</v>
      </c>
      <c r="N108" s="210">
        <f t="shared" si="35"/>
        <v>0.0004092581029</v>
      </c>
      <c r="O108" s="210">
        <f t="shared" si="35"/>
        <v>0.0004300878973</v>
      </c>
      <c r="P108" s="210">
        <f t="shared" si="35"/>
        <v>513262.0024</v>
      </c>
      <c r="Q108" s="210">
        <f t="shared" si="35"/>
        <v>0.001661551856</v>
      </c>
      <c r="R108" s="210">
        <f t="shared" si="35"/>
        <v>0.001862907078</v>
      </c>
      <c r="S108" s="210">
        <f t="shared" si="35"/>
        <v>0.0004901858921</v>
      </c>
      <c r="T108" s="210">
        <f t="shared" si="35"/>
        <v>0.002063935504</v>
      </c>
      <c r="U108" s="210">
        <f t="shared" si="35"/>
        <v>0.0009302743174</v>
      </c>
      <c r="V108" s="210">
        <f t="shared" si="35"/>
        <v>0.0008923311826</v>
      </c>
      <c r="W108" s="210">
        <f t="shared" si="35"/>
        <v>0.0005540530699</v>
      </c>
      <c r="X108" s="210">
        <f t="shared" si="35"/>
        <v>0.0008445846798</v>
      </c>
      <c r="Y108" s="210">
        <f t="shared" si="35"/>
        <v>0.00187799897</v>
      </c>
      <c r="Z108" s="210">
        <f t="shared" si="35"/>
        <v>0.0001754531598</v>
      </c>
      <c r="AA108" s="210">
        <f t="shared" si="35"/>
        <v>0.000268804088</v>
      </c>
      <c r="AB108" s="210">
        <f t="shared" si="35"/>
        <v>0.000227370267</v>
      </c>
      <c r="AC108" s="458"/>
    </row>
    <row r="109">
      <c r="A109" s="434"/>
      <c r="B109" s="435"/>
      <c r="C109" s="436"/>
      <c r="D109" s="436"/>
      <c r="E109" s="168"/>
      <c r="F109" s="437"/>
      <c r="G109" s="437"/>
      <c r="H109" s="459"/>
      <c r="I109" s="291"/>
      <c r="J109" s="291"/>
      <c r="K109" s="291"/>
      <c r="L109" s="291"/>
      <c r="M109" s="291"/>
      <c r="N109" s="291"/>
      <c r="O109" s="291"/>
      <c r="P109" s="291"/>
      <c r="Q109" s="291"/>
      <c r="R109" s="291"/>
      <c r="S109" s="291"/>
      <c r="T109" s="291"/>
      <c r="U109" s="291"/>
      <c r="V109" s="291"/>
      <c r="W109" s="291"/>
      <c r="X109" s="291"/>
      <c r="Y109" s="291"/>
      <c r="Z109" s="291"/>
      <c r="AA109" s="291"/>
      <c r="AB109" s="291"/>
      <c r="AC109" s="440"/>
    </row>
    <row r="110">
      <c r="A110" s="434"/>
      <c r="B110" s="435"/>
      <c r="C110" s="152" t="s">
        <v>289</v>
      </c>
      <c r="F110" s="437"/>
      <c r="G110" s="437"/>
      <c r="H110" s="459"/>
      <c r="AC110" s="460"/>
    </row>
    <row r="111">
      <c r="A111" s="434"/>
      <c r="B111" s="435"/>
      <c r="C111" s="436"/>
      <c r="D111" s="436"/>
      <c r="E111" s="153" t="s">
        <v>297</v>
      </c>
      <c r="F111" s="442" t="s">
        <v>59</v>
      </c>
      <c r="G111" s="443" t="s">
        <v>70</v>
      </c>
      <c r="H111" s="377" t="s">
        <v>132</v>
      </c>
      <c r="I111" s="133">
        <f t="shared" ref="I111:AB111" si="36">I105/I104</f>
        <v>-0.004005444451</v>
      </c>
      <c r="J111" s="133">
        <f t="shared" si="36"/>
        <v>-0.005978161521</v>
      </c>
      <c r="K111" s="133">
        <f t="shared" si="36"/>
        <v>-0.008251293564</v>
      </c>
      <c r="L111" s="133">
        <f t="shared" si="36"/>
        <v>-0.01325496647</v>
      </c>
      <c r="M111" s="133">
        <f t="shared" si="36"/>
        <v>-0.01201759933</v>
      </c>
      <c r="N111" s="133">
        <f t="shared" si="36"/>
        <v>-0.01101204018</v>
      </c>
      <c r="O111" s="133">
        <f t="shared" si="36"/>
        <v>-0.01045530457</v>
      </c>
      <c r="P111" s="133">
        <f t="shared" si="36"/>
        <v>-0.01033457603</v>
      </c>
      <c r="Q111" s="133">
        <f t="shared" si="36"/>
        <v>-0.002334426295</v>
      </c>
      <c r="R111" s="133">
        <f t="shared" si="36"/>
        <v>-0.002607870542</v>
      </c>
      <c r="S111" s="133">
        <f t="shared" si="36"/>
        <v>-0.01006406082</v>
      </c>
      <c r="T111" s="133">
        <f t="shared" si="36"/>
        <v>-0.001873480249</v>
      </c>
      <c r="U111" s="133">
        <f t="shared" si="36"/>
        <v>-0.005250946615</v>
      </c>
      <c r="V111" s="133">
        <f t="shared" si="36"/>
        <v>-0.00440740143</v>
      </c>
      <c r="W111" s="133">
        <f t="shared" si="36"/>
        <v>-0.007231344834</v>
      </c>
      <c r="X111" s="133">
        <f t="shared" si="36"/>
        <v>-0.004664506279</v>
      </c>
      <c r="Y111" s="133">
        <f t="shared" si="36"/>
        <v>-0.002061582971</v>
      </c>
      <c r="Z111" s="133">
        <f t="shared" si="36"/>
        <v>-0.02198909007</v>
      </c>
      <c r="AA111" s="133">
        <f t="shared" si="36"/>
        <v>-0.00428173624</v>
      </c>
      <c r="AB111" s="133">
        <f t="shared" si="36"/>
        <v>-0.01284532724</v>
      </c>
      <c r="AC111" s="444"/>
    </row>
    <row r="112">
      <c r="A112" s="434"/>
      <c r="B112" s="435"/>
      <c r="C112" s="436"/>
      <c r="D112" s="436"/>
      <c r="E112" s="153" t="s">
        <v>298</v>
      </c>
      <c r="F112" s="442" t="s">
        <v>59</v>
      </c>
      <c r="G112" s="443" t="s">
        <v>70</v>
      </c>
      <c r="H112" s="377" t="s">
        <v>132</v>
      </c>
      <c r="I112" s="291">
        <f t="shared" ref="I112:AB112" si="37">I106/I104</f>
        <v>-0.3963757375</v>
      </c>
      <c r="J112" s="291">
        <f t="shared" si="37"/>
        <v>-0.2278305143</v>
      </c>
      <c r="K112" s="291">
        <f t="shared" si="37"/>
        <v>-0.2369353924</v>
      </c>
      <c r="L112" s="291">
        <f t="shared" si="37"/>
        <v>-0.08945215206</v>
      </c>
      <c r="M112" s="291">
        <f t="shared" si="37"/>
        <v>-0.09510436685</v>
      </c>
      <c r="N112" s="291">
        <f t="shared" si="37"/>
        <v>-0.09969769741</v>
      </c>
      <c r="O112" s="291">
        <f t="shared" si="37"/>
        <v>-0.1022408304</v>
      </c>
      <c r="P112" s="291">
        <f t="shared" si="37"/>
        <v>-0.206034612</v>
      </c>
      <c r="Q112" s="291">
        <f t="shared" si="37"/>
        <v>-0.1849016011</v>
      </c>
      <c r="R112" s="291">
        <f t="shared" si="37"/>
        <v>-0.09250357399</v>
      </c>
      <c r="S112" s="291">
        <f t="shared" si="37"/>
        <v>-0.07107046302</v>
      </c>
      <c r="T112" s="291">
        <f t="shared" si="37"/>
        <v>-0.1878828672</v>
      </c>
      <c r="U112" s="291">
        <f t="shared" si="37"/>
        <v>-0.0849059483</v>
      </c>
      <c r="V112" s="291">
        <f t="shared" si="37"/>
        <v>-0.1714941919</v>
      </c>
      <c r="W112" s="291">
        <f t="shared" si="37"/>
        <v>-0.1532297361</v>
      </c>
      <c r="X112" s="291">
        <f t="shared" si="37"/>
        <v>-0.1698313115</v>
      </c>
      <c r="Y112" s="291">
        <f t="shared" si="37"/>
        <v>-0.1866662728</v>
      </c>
      <c r="Z112" s="291">
        <f t="shared" si="37"/>
        <v>-0.0241459097</v>
      </c>
      <c r="AA112" s="291">
        <f t="shared" si="37"/>
        <v>-0.444167965</v>
      </c>
      <c r="AB112" s="291">
        <f t="shared" si="37"/>
        <v>-0.1811723527</v>
      </c>
      <c r="AC112" s="440"/>
    </row>
    <row r="113">
      <c r="A113" s="434"/>
      <c r="B113" s="435"/>
      <c r="C113" s="436"/>
      <c r="D113" s="436"/>
      <c r="E113" s="163" t="s">
        <v>299</v>
      </c>
      <c r="F113" s="341" t="s">
        <v>59</v>
      </c>
      <c r="G113" s="448" t="s">
        <v>70</v>
      </c>
      <c r="H113" s="382" t="s">
        <v>132</v>
      </c>
      <c r="I113" s="145">
        <f t="shared" ref="I113:AB113" si="38">I107/I104</f>
        <v>-0.4003811819</v>
      </c>
      <c r="J113" s="145">
        <f t="shared" si="38"/>
        <v>-0.2338086758</v>
      </c>
      <c r="K113" s="145">
        <f t="shared" si="38"/>
        <v>-0.2451866859</v>
      </c>
      <c r="L113" s="145">
        <f t="shared" si="38"/>
        <v>-0.1027071185</v>
      </c>
      <c r="M113" s="145">
        <f t="shared" si="38"/>
        <v>-0.1071219662</v>
      </c>
      <c r="N113" s="145">
        <f t="shared" si="38"/>
        <v>-0.1107097376</v>
      </c>
      <c r="O113" s="145">
        <f t="shared" si="38"/>
        <v>-0.112696135</v>
      </c>
      <c r="P113" s="145">
        <f t="shared" si="38"/>
        <v>-0.2163691881</v>
      </c>
      <c r="Q113" s="145">
        <f t="shared" si="38"/>
        <v>-0.1872360274</v>
      </c>
      <c r="R113" s="145">
        <f t="shared" si="38"/>
        <v>-0.09511144453</v>
      </c>
      <c r="S113" s="145">
        <f t="shared" si="38"/>
        <v>-0.08113452384</v>
      </c>
      <c r="T113" s="145">
        <f t="shared" si="38"/>
        <v>-0.1897563475</v>
      </c>
      <c r="U113" s="145">
        <f t="shared" si="38"/>
        <v>-0.09015689492</v>
      </c>
      <c r="V113" s="145">
        <f t="shared" si="38"/>
        <v>-0.1759015934</v>
      </c>
      <c r="W113" s="145">
        <f t="shared" si="38"/>
        <v>-0.160461081</v>
      </c>
      <c r="X113" s="145">
        <f t="shared" si="38"/>
        <v>-0.1744958178</v>
      </c>
      <c r="Y113" s="145">
        <f t="shared" si="38"/>
        <v>-0.1887278557</v>
      </c>
      <c r="Z113" s="145">
        <f t="shared" si="38"/>
        <v>-0.04613499977</v>
      </c>
      <c r="AA113" s="145">
        <f t="shared" si="38"/>
        <v>-0.4484497013</v>
      </c>
      <c r="AB113" s="145">
        <f t="shared" si="38"/>
        <v>-0.19401768</v>
      </c>
      <c r="AC113" s="449"/>
    </row>
    <row r="114">
      <c r="A114" s="434"/>
      <c r="B114" s="435"/>
      <c r="C114" s="436"/>
      <c r="D114" s="436"/>
      <c r="E114" s="168"/>
      <c r="F114" s="437"/>
      <c r="G114" s="438"/>
      <c r="H114" s="439"/>
      <c r="I114" s="291"/>
      <c r="J114" s="291"/>
      <c r="K114" s="291"/>
      <c r="L114" s="291"/>
      <c r="M114" s="291"/>
      <c r="N114" s="291"/>
      <c r="O114" s="291"/>
      <c r="P114" s="291"/>
      <c r="Q114" s="291"/>
      <c r="R114" s="291"/>
      <c r="S114" s="291"/>
      <c r="T114" s="291"/>
      <c r="U114" s="291"/>
      <c r="V114" s="291"/>
      <c r="W114" s="291"/>
      <c r="X114" s="291"/>
      <c r="Y114" s="291"/>
      <c r="Z114" s="291"/>
      <c r="AA114" s="291"/>
      <c r="AB114" s="291"/>
      <c r="AC114" s="440"/>
    </row>
    <row r="115">
      <c r="A115" s="434"/>
      <c r="B115" s="435"/>
      <c r="C115" s="152" t="s">
        <v>300</v>
      </c>
      <c r="F115" s="437"/>
      <c r="G115" s="437"/>
      <c r="H115" s="439"/>
      <c r="I115" s="291"/>
      <c r="J115" s="291"/>
      <c r="K115" s="291"/>
      <c r="L115" s="291"/>
      <c r="M115" s="291"/>
      <c r="N115" s="291"/>
      <c r="O115" s="291"/>
      <c r="P115" s="291"/>
      <c r="Q115" s="291"/>
      <c r="R115" s="291"/>
      <c r="S115" s="291"/>
      <c r="T115" s="291"/>
      <c r="U115" s="291"/>
      <c r="V115" s="291"/>
      <c r="W115" s="291"/>
      <c r="X115" s="291"/>
      <c r="Y115" s="291"/>
      <c r="Z115" s="291"/>
      <c r="AA115" s="291"/>
      <c r="AB115" s="291"/>
      <c r="AC115" s="440"/>
    </row>
    <row r="116">
      <c r="A116" s="434"/>
      <c r="B116" s="435"/>
      <c r="C116" s="436"/>
      <c r="D116" s="436"/>
      <c r="E116" s="172" t="s">
        <v>300</v>
      </c>
      <c r="F116" s="456" t="s">
        <v>59</v>
      </c>
      <c r="G116" s="456" t="s">
        <v>70</v>
      </c>
      <c r="H116" s="457" t="s">
        <v>132</v>
      </c>
      <c r="I116" s="304">
        <f t="shared" ref="I116:AB116" si="39">((MIN(I67,0)*I68)+(MIN(I77,0)*I78)+I105)/I104</f>
        <v>-0.4003811819</v>
      </c>
      <c r="J116" s="304">
        <f t="shared" si="39"/>
        <v>-0.2338086758</v>
      </c>
      <c r="K116" s="304">
        <f t="shared" si="39"/>
        <v>-0.2451866859</v>
      </c>
      <c r="L116" s="304">
        <f t="shared" si="39"/>
        <v>-0.1027071185</v>
      </c>
      <c r="M116" s="304">
        <f t="shared" si="39"/>
        <v>-0.1071219662</v>
      </c>
      <c r="N116" s="304">
        <f t="shared" si="39"/>
        <v>-0.1107097376</v>
      </c>
      <c r="O116" s="304">
        <f t="shared" si="39"/>
        <v>-0.112696135</v>
      </c>
      <c r="P116" s="304">
        <f t="shared" si="39"/>
        <v>-0.2163691881</v>
      </c>
      <c r="Q116" s="304">
        <f t="shared" si="39"/>
        <v>-0.1872360274</v>
      </c>
      <c r="R116" s="304">
        <f t="shared" si="39"/>
        <v>-0.09511144453</v>
      </c>
      <c r="S116" s="304">
        <f t="shared" si="39"/>
        <v>-0.08113452384</v>
      </c>
      <c r="T116" s="304">
        <f t="shared" si="39"/>
        <v>-0.1897563475</v>
      </c>
      <c r="U116" s="304">
        <f t="shared" si="39"/>
        <v>-0.09015689492</v>
      </c>
      <c r="V116" s="304">
        <f t="shared" si="39"/>
        <v>-0.1759015934</v>
      </c>
      <c r="W116" s="304">
        <f t="shared" si="39"/>
        <v>-0.160461081</v>
      </c>
      <c r="X116" s="304">
        <f t="shared" si="39"/>
        <v>-0.1744958178</v>
      </c>
      <c r="Y116" s="304">
        <f t="shared" si="39"/>
        <v>-0.1887278557</v>
      </c>
      <c r="Z116" s="304">
        <f t="shared" si="39"/>
        <v>-0.04613499977</v>
      </c>
      <c r="AA116" s="304">
        <f t="shared" si="39"/>
        <v>-0.4484497013</v>
      </c>
      <c r="AB116" s="304">
        <f t="shared" si="39"/>
        <v>-0.19401768</v>
      </c>
      <c r="AC116" s="458"/>
    </row>
    <row r="117">
      <c r="A117" s="461"/>
      <c r="B117" s="462"/>
      <c r="C117" s="463"/>
      <c r="D117" s="463"/>
      <c r="E117" s="172"/>
      <c r="F117" s="456"/>
      <c r="G117" s="456"/>
      <c r="H117" s="464"/>
      <c r="I117" s="210"/>
      <c r="J117" s="210"/>
      <c r="K117" s="210"/>
      <c r="L117" s="210"/>
      <c r="M117" s="210"/>
      <c r="N117" s="210"/>
      <c r="O117" s="210"/>
      <c r="P117" s="210"/>
      <c r="Q117" s="210"/>
      <c r="R117" s="210"/>
      <c r="S117" s="210"/>
      <c r="T117" s="210"/>
      <c r="U117" s="210"/>
      <c r="V117" s="210"/>
      <c r="W117" s="210"/>
      <c r="X117" s="210"/>
      <c r="Y117" s="210"/>
      <c r="Z117" s="210"/>
      <c r="AA117" s="210"/>
      <c r="AB117" s="210"/>
      <c r="AC117" s="458"/>
    </row>
  </sheetData>
  <mergeCells count="29">
    <mergeCell ref="I1:R1"/>
    <mergeCell ref="S1:AB1"/>
    <mergeCell ref="A3:E3"/>
    <mergeCell ref="A5:G5"/>
    <mergeCell ref="C7:E7"/>
    <mergeCell ref="C10:E10"/>
    <mergeCell ref="C15:E15"/>
    <mergeCell ref="C18:E18"/>
    <mergeCell ref="C23:E23"/>
    <mergeCell ref="A27:G27"/>
    <mergeCell ref="C29:E29"/>
    <mergeCell ref="C35:E35"/>
    <mergeCell ref="A41:G41"/>
    <mergeCell ref="C43:E43"/>
    <mergeCell ref="C81:E81"/>
    <mergeCell ref="D82:E82"/>
    <mergeCell ref="C91:E91"/>
    <mergeCell ref="D92:E92"/>
    <mergeCell ref="A101:G101"/>
    <mergeCell ref="C103:E103"/>
    <mergeCell ref="C110:E110"/>
    <mergeCell ref="C115:E115"/>
    <mergeCell ref="C49:E49"/>
    <mergeCell ref="C55:E55"/>
    <mergeCell ref="A59:G59"/>
    <mergeCell ref="C61:E61"/>
    <mergeCell ref="D62:E62"/>
    <mergeCell ref="C71:E71"/>
    <mergeCell ref="D72:E7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 customWidth="1" min="30" max="30" width="17.38"/>
    <col customWidth="1" min="31" max="31" width="48.25"/>
  </cols>
  <sheetData>
    <row r="1">
      <c r="A1" s="71"/>
      <c r="B1" s="72"/>
      <c r="C1" s="72"/>
      <c r="D1" s="72"/>
      <c r="E1" s="465"/>
      <c r="F1" s="74"/>
      <c r="G1" s="74"/>
      <c r="H1" s="330"/>
      <c r="I1" s="77" t="s">
        <v>96</v>
      </c>
      <c r="J1" s="37"/>
      <c r="K1" s="37"/>
      <c r="L1" s="37"/>
      <c r="M1" s="37"/>
      <c r="N1" s="37"/>
      <c r="O1" s="37"/>
      <c r="P1" s="37"/>
      <c r="Q1" s="37"/>
      <c r="R1" s="37"/>
      <c r="S1" s="78" t="s">
        <v>96</v>
      </c>
      <c r="T1" s="6"/>
      <c r="U1" s="6"/>
      <c r="V1" s="6"/>
      <c r="W1" s="6"/>
      <c r="X1" s="6"/>
      <c r="Y1" s="6"/>
      <c r="Z1" s="6"/>
      <c r="AA1" s="6"/>
      <c r="AB1" s="6"/>
      <c r="AC1" s="466"/>
      <c r="AD1" s="467"/>
      <c r="AE1" s="468"/>
    </row>
    <row r="2">
      <c r="A2" s="80"/>
      <c r="B2" s="81"/>
      <c r="C2" s="81"/>
      <c r="D2" s="81"/>
      <c r="E2" s="469"/>
      <c r="F2" s="83"/>
      <c r="G2" s="83"/>
      <c r="H2" s="332"/>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470"/>
      <c r="AD2" s="471"/>
      <c r="AE2" s="472"/>
    </row>
    <row r="3">
      <c r="A3" s="89" t="s">
        <v>8</v>
      </c>
      <c r="B3" s="37"/>
      <c r="C3" s="37"/>
      <c r="D3" s="37"/>
      <c r="E3" s="37"/>
      <c r="F3" s="90" t="s">
        <v>107</v>
      </c>
      <c r="G3" s="90" t="s">
        <v>108</v>
      </c>
      <c r="H3" s="92"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473"/>
      <c r="AD3" s="474" t="s">
        <v>301</v>
      </c>
      <c r="AE3" s="475" t="s">
        <v>302</v>
      </c>
    </row>
    <row r="4">
      <c r="A4" s="95"/>
      <c r="B4" s="96"/>
      <c r="C4" s="96"/>
      <c r="D4" s="96"/>
      <c r="E4" s="476" t="s">
        <v>232</v>
      </c>
      <c r="F4" s="98" t="str">
        <f>'Main CEA'!F193</f>
        <v>xcash</v>
      </c>
      <c r="G4" s="98" t="s">
        <v>74</v>
      </c>
      <c r="H4" s="100"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477"/>
      <c r="AD4" s="478"/>
      <c r="AE4" s="479"/>
    </row>
    <row r="5">
      <c r="A5" s="103" t="s">
        <v>127</v>
      </c>
      <c r="B5" s="6"/>
      <c r="C5" s="6"/>
      <c r="D5" s="6"/>
      <c r="E5" s="6"/>
      <c r="F5" s="6"/>
      <c r="G5" s="370"/>
      <c r="H5" s="480"/>
      <c r="I5" s="481"/>
      <c r="J5" s="481"/>
      <c r="K5" s="481"/>
      <c r="L5" s="481"/>
      <c r="M5" s="481"/>
      <c r="N5" s="481"/>
      <c r="O5" s="481"/>
      <c r="P5" s="481"/>
      <c r="Q5" s="481"/>
      <c r="R5" s="481"/>
      <c r="S5" s="481"/>
      <c r="T5" s="481"/>
      <c r="U5" s="481"/>
      <c r="V5" s="481"/>
      <c r="W5" s="481"/>
      <c r="X5" s="481"/>
      <c r="Y5" s="481"/>
      <c r="Z5" s="481"/>
      <c r="AA5" s="481"/>
      <c r="AB5" s="481"/>
      <c r="AC5" s="482"/>
      <c r="AD5" s="478"/>
      <c r="AE5" s="483"/>
    </row>
    <row r="6">
      <c r="A6" s="107"/>
      <c r="B6" s="108"/>
      <c r="C6" s="108"/>
      <c r="D6" s="108"/>
      <c r="E6" s="484"/>
      <c r="F6" s="110"/>
      <c r="G6" s="111"/>
      <c r="H6" s="485"/>
      <c r="I6" s="263"/>
      <c r="J6" s="263"/>
      <c r="K6" s="263"/>
      <c r="L6" s="263"/>
      <c r="M6" s="263"/>
      <c r="N6" s="263"/>
      <c r="O6" s="263"/>
      <c r="P6" s="263"/>
      <c r="Q6" s="263"/>
      <c r="R6" s="263"/>
      <c r="S6" s="263"/>
      <c r="T6" s="263"/>
      <c r="U6" s="263"/>
      <c r="V6" s="263"/>
      <c r="W6" s="263"/>
      <c r="X6" s="263"/>
      <c r="Y6" s="263"/>
      <c r="Z6" s="263"/>
      <c r="AA6" s="263"/>
      <c r="AB6" s="263"/>
      <c r="AC6" s="53"/>
      <c r="AD6" s="486"/>
      <c r="AE6" s="487"/>
    </row>
    <row r="7">
      <c r="A7" s="107"/>
      <c r="B7" s="108"/>
      <c r="C7" s="115" t="s">
        <v>128</v>
      </c>
      <c r="F7" s="110"/>
      <c r="G7" s="116"/>
      <c r="H7" s="485"/>
      <c r="I7" s="263"/>
      <c r="J7" s="263"/>
      <c r="K7" s="263"/>
      <c r="L7" s="263"/>
      <c r="M7" s="263"/>
      <c r="N7" s="263"/>
      <c r="O7" s="263"/>
      <c r="P7" s="263"/>
      <c r="Q7" s="263"/>
      <c r="R7" s="263"/>
      <c r="S7" s="263"/>
      <c r="T7" s="263"/>
      <c r="U7" s="263"/>
      <c r="V7" s="263"/>
      <c r="W7" s="263"/>
      <c r="X7" s="263"/>
      <c r="Y7" s="263"/>
      <c r="Z7" s="263"/>
      <c r="AA7" s="263"/>
      <c r="AB7" s="263"/>
      <c r="AC7" s="53"/>
      <c r="AD7" s="486"/>
      <c r="AE7" s="487"/>
    </row>
    <row r="8">
      <c r="A8" s="107"/>
      <c r="B8" s="108"/>
      <c r="C8" s="108"/>
      <c r="D8" s="108"/>
      <c r="E8" s="118" t="s">
        <v>303</v>
      </c>
      <c r="F8" s="119" t="s">
        <v>55</v>
      </c>
      <c r="G8" s="120" t="s">
        <v>68</v>
      </c>
      <c r="H8" s="488" t="s">
        <v>132</v>
      </c>
      <c r="I8" s="489">
        <v>0.01</v>
      </c>
      <c r="J8" s="489">
        <v>0.01</v>
      </c>
      <c r="K8" s="489">
        <v>0.01</v>
      </c>
      <c r="L8" s="489">
        <v>0.01</v>
      </c>
      <c r="M8" s="489">
        <v>0.01</v>
      </c>
      <c r="N8" s="489">
        <v>0.01</v>
      </c>
      <c r="O8" s="489">
        <v>0.01</v>
      </c>
      <c r="P8" s="489">
        <v>1.745690713E7</v>
      </c>
      <c r="Q8" s="489">
        <v>0.01</v>
      </c>
      <c r="R8" s="489">
        <v>0.01</v>
      </c>
      <c r="S8" s="489">
        <v>0.01</v>
      </c>
      <c r="T8" s="489">
        <v>0.01</v>
      </c>
      <c r="U8" s="489">
        <v>0.01</v>
      </c>
      <c r="V8" s="489">
        <v>0.01</v>
      </c>
      <c r="W8" s="489">
        <v>0.01</v>
      </c>
      <c r="X8" s="489">
        <v>0.01</v>
      </c>
      <c r="Y8" s="489">
        <v>0.01</v>
      </c>
      <c r="Z8" s="489">
        <v>0.01</v>
      </c>
      <c r="AA8" s="489">
        <v>0.01</v>
      </c>
      <c r="AB8" s="489">
        <v>0.01</v>
      </c>
      <c r="AC8" s="70"/>
      <c r="AD8" s="490" t="s">
        <v>304</v>
      </c>
      <c r="AE8" s="491"/>
    </row>
    <row r="9">
      <c r="A9" s="107"/>
      <c r="B9" s="108"/>
      <c r="C9" s="10"/>
      <c r="D9" s="10"/>
      <c r="E9" s="492"/>
      <c r="F9" s="127"/>
      <c r="G9" s="128"/>
      <c r="H9" s="493"/>
      <c r="I9" s="263"/>
      <c r="J9" s="263"/>
      <c r="K9" s="263"/>
      <c r="L9" s="263"/>
      <c r="M9" s="263"/>
      <c r="N9" s="263"/>
      <c r="O9" s="263"/>
      <c r="P9" s="263"/>
      <c r="Q9" s="263"/>
      <c r="R9" s="263"/>
      <c r="S9" s="263"/>
      <c r="T9" s="263"/>
      <c r="U9" s="263"/>
      <c r="V9" s="263"/>
      <c r="W9" s="263"/>
      <c r="X9" s="263"/>
      <c r="Y9" s="263"/>
      <c r="Z9" s="263"/>
      <c r="AA9" s="263"/>
      <c r="AB9" s="263"/>
      <c r="AC9" s="53"/>
      <c r="AD9" s="486"/>
      <c r="AE9" s="487"/>
    </row>
    <row r="10">
      <c r="A10" s="107"/>
      <c r="B10" s="108"/>
      <c r="C10" s="40" t="s">
        <v>129</v>
      </c>
      <c r="F10" s="127"/>
      <c r="G10" s="128"/>
      <c r="H10" s="493"/>
      <c r="I10" s="263"/>
      <c r="J10" s="263"/>
      <c r="K10" s="263"/>
      <c r="L10" s="263"/>
      <c r="M10" s="263"/>
      <c r="N10" s="263"/>
      <c r="O10" s="263"/>
      <c r="P10" s="263"/>
      <c r="Q10" s="263"/>
      <c r="R10" s="263"/>
      <c r="S10" s="263"/>
      <c r="T10" s="263"/>
      <c r="U10" s="263"/>
      <c r="V10" s="263"/>
      <c r="W10" s="263"/>
      <c r="X10" s="263"/>
      <c r="Y10" s="263"/>
      <c r="Z10" s="263"/>
      <c r="AA10" s="263"/>
      <c r="AB10" s="263"/>
      <c r="AC10" s="53"/>
      <c r="AD10" s="486"/>
      <c r="AE10" s="487"/>
    </row>
    <row r="11">
      <c r="A11" s="107"/>
      <c r="B11" s="108"/>
      <c r="C11" s="10"/>
      <c r="D11" s="10"/>
      <c r="E11" s="494" t="s">
        <v>305</v>
      </c>
      <c r="F11" s="130" t="s">
        <v>59</v>
      </c>
      <c r="G11" s="131" t="s">
        <v>68</v>
      </c>
      <c r="H11" s="495" t="s">
        <v>132</v>
      </c>
      <c r="I11" s="496">
        <v>0.8944838</v>
      </c>
      <c r="J11" s="497">
        <v>0.90224903</v>
      </c>
      <c r="K11" s="496">
        <v>0.906659</v>
      </c>
      <c r="L11" s="496">
        <f t="shared" ref="L11:O11" si="1">$AA11</f>
        <v>0.5014996177</v>
      </c>
      <c r="M11" s="496">
        <f t="shared" si="1"/>
        <v>0.5014996177</v>
      </c>
      <c r="N11" s="496">
        <f t="shared" si="1"/>
        <v>0.5014996177</v>
      </c>
      <c r="O11" s="496">
        <f t="shared" si="1"/>
        <v>0.5014996177</v>
      </c>
      <c r="P11" s="496">
        <v>0.8944838</v>
      </c>
      <c r="Q11" s="496">
        <v>0.81586554</v>
      </c>
      <c r="R11" s="496">
        <v>0.8944838</v>
      </c>
      <c r="S11" s="496">
        <v>0.8944838</v>
      </c>
      <c r="T11" s="496">
        <v>0.8944838</v>
      </c>
      <c r="U11" s="496">
        <v>0.8944838</v>
      </c>
      <c r="V11" s="496">
        <v>0.8944838</v>
      </c>
      <c r="W11" s="496">
        <v>0.8944838</v>
      </c>
      <c r="X11" s="496">
        <v>0.8944838</v>
      </c>
      <c r="Y11" s="496">
        <v>0.8944838</v>
      </c>
      <c r="Z11" s="496">
        <v>0.91399685</v>
      </c>
      <c r="AA11" s="497">
        <v>0.5014996177</v>
      </c>
      <c r="AB11" s="497">
        <v>0.89331272</v>
      </c>
      <c r="AC11" s="498"/>
      <c r="AD11" s="499" t="s">
        <v>306</v>
      </c>
      <c r="AE11" s="500" t="s">
        <v>307</v>
      </c>
    </row>
    <row r="12">
      <c r="A12" s="107"/>
      <c r="B12" s="108"/>
      <c r="C12" s="10"/>
      <c r="D12" s="10"/>
      <c r="E12" s="501" t="s">
        <v>308</v>
      </c>
      <c r="F12" s="136" t="s">
        <v>59</v>
      </c>
      <c r="G12" s="137" t="s">
        <v>68</v>
      </c>
      <c r="H12" s="502" t="s">
        <v>132</v>
      </c>
      <c r="I12" s="503">
        <v>0.0</v>
      </c>
      <c r="J12" s="504">
        <v>0.0</v>
      </c>
      <c r="K12" s="503">
        <v>0.0</v>
      </c>
      <c r="L12" s="496">
        <f t="shared" ref="L12:O12" si="2">$AA12</f>
        <v>0.439374142</v>
      </c>
      <c r="M12" s="496">
        <f t="shared" si="2"/>
        <v>0.439374142</v>
      </c>
      <c r="N12" s="496">
        <f t="shared" si="2"/>
        <v>0.439374142</v>
      </c>
      <c r="O12" s="496">
        <f t="shared" si="2"/>
        <v>0.439374142</v>
      </c>
      <c r="P12" s="503">
        <v>0.0</v>
      </c>
      <c r="Q12" s="503">
        <v>0.08789232</v>
      </c>
      <c r="R12" s="503">
        <v>0.0</v>
      </c>
      <c r="S12" s="503">
        <v>0.0</v>
      </c>
      <c r="T12" s="503">
        <v>0.0</v>
      </c>
      <c r="U12" s="503">
        <v>0.0</v>
      </c>
      <c r="V12" s="503">
        <v>0.0</v>
      </c>
      <c r="W12" s="503">
        <v>0.0</v>
      </c>
      <c r="X12" s="503">
        <v>0.0</v>
      </c>
      <c r="Y12" s="503">
        <v>0.0</v>
      </c>
      <c r="Z12" s="503">
        <v>0.0</v>
      </c>
      <c r="AA12" s="504">
        <v>0.439374142</v>
      </c>
      <c r="AB12" s="504">
        <v>0.0</v>
      </c>
      <c r="AC12" s="505"/>
      <c r="AD12" s="506" t="s">
        <v>306</v>
      </c>
      <c r="AE12" s="500" t="s">
        <v>307</v>
      </c>
    </row>
    <row r="13">
      <c r="A13" s="107"/>
      <c r="B13" s="108"/>
      <c r="C13" s="10"/>
      <c r="D13" s="10"/>
      <c r="E13" s="507" t="s">
        <v>309</v>
      </c>
      <c r="F13" s="142" t="s">
        <v>59</v>
      </c>
      <c r="G13" s="381" t="s">
        <v>68</v>
      </c>
      <c r="H13" s="508" t="s">
        <v>132</v>
      </c>
      <c r="I13" s="509">
        <v>0.1055162</v>
      </c>
      <c r="J13" s="510">
        <v>0.09775097</v>
      </c>
      <c r="K13" s="509">
        <v>0.093341</v>
      </c>
      <c r="L13" s="496">
        <f t="shared" ref="L13:O13" si="3">$AA13</f>
        <v>0.0591262403</v>
      </c>
      <c r="M13" s="496">
        <f t="shared" si="3"/>
        <v>0.0591262403</v>
      </c>
      <c r="N13" s="496">
        <f t="shared" si="3"/>
        <v>0.0591262403</v>
      </c>
      <c r="O13" s="496">
        <f t="shared" si="3"/>
        <v>0.0591262403</v>
      </c>
      <c r="P13" s="509">
        <v>0.1055162</v>
      </c>
      <c r="Q13" s="509">
        <v>0.09624214</v>
      </c>
      <c r="R13" s="509">
        <v>0.1055162</v>
      </c>
      <c r="S13" s="509">
        <v>0.1055162</v>
      </c>
      <c r="T13" s="509">
        <v>0.1055162</v>
      </c>
      <c r="U13" s="509">
        <v>0.1055162</v>
      </c>
      <c r="V13" s="509">
        <v>0.1055162</v>
      </c>
      <c r="W13" s="509">
        <v>0.1055162</v>
      </c>
      <c r="X13" s="509">
        <v>0.1055162</v>
      </c>
      <c r="Y13" s="509">
        <v>0.1055162</v>
      </c>
      <c r="Z13" s="509">
        <v>0.08600315</v>
      </c>
      <c r="AA13" s="510">
        <v>0.0591262403</v>
      </c>
      <c r="AB13" s="510">
        <v>0.10668728</v>
      </c>
      <c r="AC13" s="511"/>
      <c r="AD13" s="512" t="s">
        <v>306</v>
      </c>
      <c r="AE13" s="500" t="s">
        <v>307</v>
      </c>
    </row>
    <row r="14">
      <c r="A14" s="107"/>
      <c r="B14" s="108"/>
      <c r="C14" s="10"/>
      <c r="D14" s="10"/>
      <c r="E14" s="492"/>
      <c r="F14" s="263"/>
      <c r="G14" s="128"/>
      <c r="H14" s="485"/>
      <c r="I14" s="263"/>
      <c r="J14" s="263"/>
      <c r="K14" s="263"/>
      <c r="L14" s="263"/>
      <c r="M14" s="263"/>
      <c r="N14" s="263"/>
      <c r="O14" s="263"/>
      <c r="P14" s="263"/>
      <c r="Q14" s="263"/>
      <c r="R14" s="263"/>
      <c r="S14" s="263"/>
      <c r="T14" s="263"/>
      <c r="U14" s="263"/>
      <c r="V14" s="263"/>
      <c r="W14" s="263"/>
      <c r="X14" s="263"/>
      <c r="Y14" s="263"/>
      <c r="Z14" s="263"/>
      <c r="AA14" s="263"/>
      <c r="AB14" s="263"/>
      <c r="AC14" s="53"/>
      <c r="AD14" s="486"/>
      <c r="AE14" s="487"/>
    </row>
    <row r="15">
      <c r="A15" s="107"/>
      <c r="B15" s="108"/>
      <c r="C15" s="147" t="s">
        <v>140</v>
      </c>
      <c r="F15" s="110"/>
      <c r="G15" s="111"/>
      <c r="H15" s="485"/>
      <c r="I15" s="263"/>
      <c r="J15" s="263"/>
      <c r="K15" s="263"/>
      <c r="L15" s="263"/>
      <c r="M15" s="263"/>
      <c r="N15" s="263"/>
      <c r="O15" s="263"/>
      <c r="P15" s="263"/>
      <c r="Q15" s="263"/>
      <c r="R15" s="263"/>
      <c r="S15" s="263"/>
      <c r="T15" s="263"/>
      <c r="U15" s="263"/>
      <c r="V15" s="263"/>
      <c r="W15" s="263"/>
      <c r="X15" s="263"/>
      <c r="Y15" s="263"/>
      <c r="Z15" s="263"/>
      <c r="AA15" s="263"/>
      <c r="AB15" s="263"/>
      <c r="AC15" s="53"/>
      <c r="AD15" s="486"/>
      <c r="AE15" s="487"/>
    </row>
    <row r="16">
      <c r="A16" s="107"/>
      <c r="B16" s="108"/>
      <c r="C16" s="108"/>
      <c r="D16" s="513"/>
      <c r="E16" s="514" t="s">
        <v>310</v>
      </c>
      <c r="F16" s="154" t="s">
        <v>55</v>
      </c>
      <c r="G16" s="179" t="s">
        <v>68</v>
      </c>
      <c r="H16" s="495" t="s">
        <v>132</v>
      </c>
      <c r="I16" s="515">
        <v>1.641799</v>
      </c>
      <c r="J16" s="515">
        <f>2.15969*0.9</f>
        <v>1.943721</v>
      </c>
      <c r="K16" s="515">
        <f>2.80633*0.9</f>
        <v>2.525697</v>
      </c>
      <c r="L16" s="515">
        <f t="shared" ref="L16:O16" si="4">max($I$16:$J$16,$Q$16:$Y$16,$AA$16)</f>
        <v>1.943721</v>
      </c>
      <c r="M16" s="515">
        <f t="shared" si="4"/>
        <v>1.943721</v>
      </c>
      <c r="N16" s="515">
        <f t="shared" si="4"/>
        <v>1.943721</v>
      </c>
      <c r="O16" s="515">
        <f t="shared" si="4"/>
        <v>1.943721</v>
      </c>
      <c r="P16" s="515">
        <f>2.3036866*0.9</f>
        <v>2.07331794</v>
      </c>
      <c r="Q16" s="515">
        <v>0.884114</v>
      </c>
      <c r="R16" s="515">
        <v>0.738607</v>
      </c>
      <c r="S16" s="515">
        <v>1.517807</v>
      </c>
      <c r="T16" s="515">
        <v>1.128167</v>
      </c>
      <c r="U16" s="515">
        <v>1.361817</v>
      </c>
      <c r="V16" s="515">
        <v>1.151538</v>
      </c>
      <c r="W16" s="515">
        <v>1.808616</v>
      </c>
      <c r="X16" s="515">
        <v>1.246252</v>
      </c>
      <c r="Y16" s="515">
        <v>0.991878</v>
      </c>
      <c r="Z16" s="515">
        <f>5.155467*0.9</f>
        <v>4.6399203</v>
      </c>
      <c r="AA16" s="515">
        <v>1.9326021624</v>
      </c>
      <c r="AB16" s="515">
        <f>2.2058284*0.9</f>
        <v>1.98524556</v>
      </c>
      <c r="AC16" s="498"/>
      <c r="AD16" s="516" t="s">
        <v>306</v>
      </c>
      <c r="AE16" s="500" t="s">
        <v>307</v>
      </c>
    </row>
    <row r="17">
      <c r="A17" s="107"/>
      <c r="B17" s="108"/>
      <c r="C17" s="108"/>
      <c r="D17" s="513"/>
      <c r="E17" s="517" t="s">
        <v>311</v>
      </c>
      <c r="F17" s="119" t="s">
        <v>49</v>
      </c>
      <c r="G17" s="149" t="s">
        <v>68</v>
      </c>
      <c r="H17" s="518" t="s">
        <v>132</v>
      </c>
      <c r="I17" s="519">
        <v>4.312275</v>
      </c>
      <c r="J17" s="519">
        <v>4.0</v>
      </c>
      <c r="K17" s="519">
        <v>5.0</v>
      </c>
      <c r="L17" s="519">
        <v>4.0</v>
      </c>
      <c r="M17" s="519">
        <v>4.0</v>
      </c>
      <c r="N17" s="519">
        <v>4.0</v>
      </c>
      <c r="O17" s="519">
        <v>4.0</v>
      </c>
      <c r="P17" s="519">
        <v>4.0</v>
      </c>
      <c r="Q17" s="519">
        <v>5.0</v>
      </c>
      <c r="R17" s="519">
        <v>4.0</v>
      </c>
      <c r="S17" s="519">
        <v>5.0</v>
      </c>
      <c r="T17" s="519">
        <v>4.0</v>
      </c>
      <c r="U17" s="519">
        <v>5.0</v>
      </c>
      <c r="V17" s="519">
        <v>5.0</v>
      </c>
      <c r="W17" s="519">
        <v>5.0</v>
      </c>
      <c r="X17" s="519">
        <v>5.0</v>
      </c>
      <c r="Y17" s="519">
        <v>4.0</v>
      </c>
      <c r="Z17" s="519">
        <v>5.0</v>
      </c>
      <c r="AA17" s="519">
        <v>4.0</v>
      </c>
      <c r="AB17" s="519">
        <v>5.0</v>
      </c>
      <c r="AC17" s="70"/>
      <c r="AD17" s="490" t="s">
        <v>306</v>
      </c>
      <c r="AE17" s="500" t="s">
        <v>307</v>
      </c>
    </row>
    <row r="18">
      <c r="A18" s="107"/>
      <c r="B18" s="108"/>
      <c r="C18" s="10"/>
      <c r="D18" s="10"/>
      <c r="E18" s="492"/>
      <c r="F18" s="263"/>
      <c r="G18" s="128"/>
      <c r="H18" s="485"/>
      <c r="I18" s="263"/>
      <c r="J18" s="263"/>
      <c r="K18" s="263"/>
      <c r="L18" s="263"/>
      <c r="M18" s="263"/>
      <c r="N18" s="263"/>
      <c r="O18" s="263"/>
      <c r="P18" s="263"/>
      <c r="Q18" s="263"/>
      <c r="R18" s="263"/>
      <c r="S18" s="263"/>
      <c r="T18" s="263"/>
      <c r="U18" s="263"/>
      <c r="V18" s="263"/>
      <c r="W18" s="263"/>
      <c r="X18" s="263"/>
      <c r="Y18" s="263"/>
      <c r="Z18" s="263"/>
      <c r="AA18" s="263"/>
      <c r="AB18" s="263"/>
      <c r="AC18" s="53"/>
      <c r="AD18" s="486"/>
      <c r="AE18" s="487"/>
    </row>
    <row r="19">
      <c r="A19" s="103" t="s">
        <v>4</v>
      </c>
      <c r="B19" s="6"/>
      <c r="C19" s="6"/>
      <c r="D19" s="6"/>
      <c r="E19" s="6"/>
      <c r="F19" s="6"/>
      <c r="G19" s="370"/>
      <c r="H19" s="520"/>
      <c r="I19" s="521"/>
      <c r="J19" s="521"/>
      <c r="K19" s="521"/>
      <c r="L19" s="521"/>
      <c r="M19" s="521"/>
      <c r="N19" s="521"/>
      <c r="O19" s="521"/>
      <c r="P19" s="521"/>
      <c r="Q19" s="521"/>
      <c r="R19" s="521"/>
      <c r="S19" s="521"/>
      <c r="T19" s="521"/>
      <c r="U19" s="521"/>
      <c r="V19" s="521"/>
      <c r="W19" s="521"/>
      <c r="X19" s="521"/>
      <c r="Y19" s="521"/>
      <c r="Z19" s="521"/>
      <c r="AA19" s="521"/>
      <c r="AB19" s="521"/>
      <c r="AC19" s="522"/>
      <c r="AD19" s="523"/>
      <c r="AE19" s="524"/>
    </row>
    <row r="20">
      <c r="A20" s="409"/>
      <c r="B20" s="525"/>
      <c r="C20" s="525"/>
      <c r="D20" s="525"/>
      <c r="E20" s="525"/>
      <c r="F20" s="525"/>
      <c r="G20" s="526"/>
      <c r="H20" s="527"/>
      <c r="I20" s="338"/>
      <c r="J20" s="338"/>
      <c r="K20" s="338"/>
      <c r="L20" s="338"/>
      <c r="M20" s="338"/>
      <c r="N20" s="338"/>
      <c r="O20" s="338"/>
      <c r="P20" s="338"/>
      <c r="Q20" s="338"/>
      <c r="R20" s="338"/>
      <c r="S20" s="338"/>
      <c r="T20" s="338"/>
      <c r="U20" s="338"/>
      <c r="V20" s="338"/>
      <c r="W20" s="338"/>
      <c r="X20" s="338"/>
      <c r="Y20" s="338"/>
      <c r="Z20" s="338"/>
      <c r="AA20" s="338"/>
      <c r="AB20" s="338"/>
      <c r="AC20" s="395"/>
      <c r="AD20" s="528"/>
      <c r="AE20" s="529"/>
    </row>
    <row r="21">
      <c r="A21" s="409"/>
      <c r="B21" s="525"/>
      <c r="C21" s="147" t="s">
        <v>312</v>
      </c>
      <c r="F21" s="530"/>
      <c r="G21" s="531"/>
      <c r="H21" s="527"/>
      <c r="I21" s="338"/>
      <c r="J21" s="338"/>
      <c r="K21" s="338"/>
      <c r="L21" s="338"/>
      <c r="M21" s="338"/>
      <c r="N21" s="338"/>
      <c r="O21" s="338"/>
      <c r="P21" s="338"/>
      <c r="Q21" s="338"/>
      <c r="R21" s="338"/>
      <c r="S21" s="338"/>
      <c r="T21" s="338"/>
      <c r="U21" s="338"/>
      <c r="V21" s="338"/>
      <c r="W21" s="338"/>
      <c r="X21" s="338"/>
      <c r="Y21" s="338"/>
      <c r="Z21" s="338"/>
      <c r="AA21" s="338"/>
      <c r="AB21" s="338"/>
      <c r="AC21" s="395"/>
      <c r="AD21" s="528"/>
      <c r="AE21" s="529"/>
    </row>
    <row r="22">
      <c r="A22" s="532"/>
      <c r="B22" s="513"/>
      <c r="C22" s="513"/>
      <c r="D22" s="513"/>
      <c r="E22" s="533" t="s">
        <v>234</v>
      </c>
      <c r="F22" s="534" t="s">
        <v>49</v>
      </c>
      <c r="G22" s="535" t="s">
        <v>68</v>
      </c>
      <c r="H22" s="536" t="s">
        <v>132</v>
      </c>
      <c r="I22" s="537">
        <v>6910.0</v>
      </c>
      <c r="J22" s="537">
        <v>582.0</v>
      </c>
      <c r="K22" s="537">
        <v>2780.0</v>
      </c>
      <c r="L22" s="537">
        <v>2766.0</v>
      </c>
      <c r="M22" s="537">
        <v>2408.0</v>
      </c>
      <c r="N22" s="537">
        <v>1753.0</v>
      </c>
      <c r="O22" s="537">
        <v>2509.0</v>
      </c>
      <c r="P22" s="537">
        <v>3726.0</v>
      </c>
      <c r="Q22" s="538">
        <f>IFERROR(__xludf.DUMMYFUNCTION("FILTER('GBD estimates'!$BA$4:$BA$258,'GBD estimates'!$AV$4:$AV$258=Q$3,'GBD estimates'!$AU$4:$AU$258=""Under 5"")"),6310.369098)</f>
        <v>6310.369098</v>
      </c>
      <c r="R22" s="538">
        <f>IFERROR(__xludf.DUMMYFUNCTION("FILTER('GBD estimates'!$BA$4:$BA$258,'GBD estimates'!$AV$4:$AV$258=R$3,'GBD estimates'!$AU$4:$AU$258=""Under 5"")"),1946.768516)</f>
        <v>1946.768516</v>
      </c>
      <c r="S22" s="538">
        <f>IFERROR(__xludf.DUMMYFUNCTION("FILTER('GBD estimates'!$BA$4:$BA$258,'GBD estimates'!$AV$4:$AV$258=S$3,'GBD estimates'!$AU$4:$AU$258=""Under 5"")"),2525.95462)</f>
        <v>2525.95462</v>
      </c>
      <c r="T22" s="538">
        <f>IFERROR(__xludf.DUMMYFUNCTION("FILTER('GBD estimates'!$BA$4:$BA$258,'GBD estimates'!$AV$4:$AV$258=T$3,'GBD estimates'!$AU$4:$AU$258=""Under 5"")"),3863.160124)</f>
        <v>3863.160124</v>
      </c>
      <c r="U22" s="538">
        <f>IFERROR(__xludf.DUMMYFUNCTION("FILTER('GBD estimates'!$BA$4:$BA$258,'GBD estimates'!$AV$4:$AV$258=U$3,'GBD estimates'!$AU$4:$AU$258=""Under 5"")"),1159.106488)</f>
        <v>1159.106488</v>
      </c>
      <c r="V22" s="538">
        <f>IFERROR(__xludf.DUMMYFUNCTION("FILTER('GBD estimates'!$BA$4:$BA$258,'GBD estimates'!$AV$4:$AV$258=V$3,'GBD estimates'!$AU$4:$AU$258=""Under 5"")"),2235.297195)</f>
        <v>2235.297195</v>
      </c>
      <c r="W22" s="538">
        <f>IFERROR(__xludf.DUMMYFUNCTION("FILTER('GBD estimates'!$BA$4:$BA$258,'GBD estimates'!$AV$4:$AV$258=W$3,'GBD estimates'!$AU$4:$AU$258=""Under 5"")"),2153.286251)</f>
        <v>2153.286251</v>
      </c>
      <c r="X22" s="538">
        <f>IFERROR(__xludf.DUMMYFUNCTION("FILTER('GBD estimates'!$BA$4:$BA$258,'GBD estimates'!$AV$4:$AV$258=X$3,'GBD estimates'!$AU$4:$AU$258=""Under 5"")"),4770.056621)</f>
        <v>4770.056621</v>
      </c>
      <c r="Y22" s="538">
        <f>IFERROR(__xludf.DUMMYFUNCTION("FILTER('GBD estimates'!$BA$4:$BA$258,'GBD estimates'!$AV$4:$AV$258=Y$3,'GBD estimates'!$AU$4:$AU$258=""Under 5"")"),5952.332882)</f>
        <v>5952.332882</v>
      </c>
      <c r="Z22" s="537">
        <v>99.0</v>
      </c>
      <c r="AA22" s="538">
        <f>IFERROR(__xludf.DUMMYFUNCTION("FILTER('GBD estimates'!$S$4:$S$309,'GBD estimates'!$M$4:$M$309=AA$2,'GBD estimates'!$O$4:$O$309=""&lt;5 years"")"),2278.182123)</f>
        <v>2278.182123</v>
      </c>
      <c r="AB22" s="537">
        <v>4689.0</v>
      </c>
      <c r="AC22" s="539"/>
      <c r="AD22" s="490" t="s">
        <v>306</v>
      </c>
      <c r="AE22" s="540" t="s">
        <v>313</v>
      </c>
    </row>
    <row r="23">
      <c r="A23" s="532"/>
      <c r="B23" s="513"/>
      <c r="C23" s="513"/>
      <c r="D23" s="513"/>
      <c r="E23" s="541" t="s">
        <v>314</v>
      </c>
      <c r="F23" s="542" t="s">
        <v>49</v>
      </c>
      <c r="G23" s="543" t="s">
        <v>68</v>
      </c>
      <c r="H23" s="544" t="s">
        <v>132</v>
      </c>
      <c r="I23" s="545">
        <v>0.0</v>
      </c>
      <c r="J23" s="545">
        <v>0.0</v>
      </c>
      <c r="K23" s="545">
        <v>0.0</v>
      </c>
      <c r="L23" s="537">
        <v>0.0</v>
      </c>
      <c r="M23" s="537">
        <v>0.0</v>
      </c>
      <c r="N23" s="537">
        <v>0.0</v>
      </c>
      <c r="O23" s="537">
        <v>0.0</v>
      </c>
      <c r="P23" s="537">
        <v>0.0</v>
      </c>
      <c r="Q23" s="545">
        <v>0.0</v>
      </c>
      <c r="R23" s="545">
        <v>0.0</v>
      </c>
      <c r="S23" s="545">
        <v>0.0</v>
      </c>
      <c r="T23" s="545">
        <v>0.0</v>
      </c>
      <c r="U23" s="545">
        <v>0.0</v>
      </c>
      <c r="V23" s="545">
        <v>0.0</v>
      </c>
      <c r="W23" s="545">
        <v>0.0</v>
      </c>
      <c r="X23" s="545">
        <v>0.0</v>
      </c>
      <c r="Y23" s="545">
        <v>0.0</v>
      </c>
      <c r="Z23" s="545">
        <v>0.0</v>
      </c>
      <c r="AA23" s="546">
        <f>IFERROR(__xludf.DUMMYFUNCTION("FILTER('GBD estimates'!$S$4:$S$309,'GBD estimates'!$M$4:$M$309=AA$2,'GBD estimates'!$O$4:$O$309=""0-6 days"")"),0.0)</f>
        <v>0</v>
      </c>
      <c r="AB23" s="537">
        <v>0.0</v>
      </c>
      <c r="AC23" s="547"/>
      <c r="AD23" s="490" t="s">
        <v>306</v>
      </c>
      <c r="AE23" s="540" t="s">
        <v>313</v>
      </c>
    </row>
    <row r="24">
      <c r="A24" s="532"/>
      <c r="B24" s="513"/>
      <c r="C24" s="513"/>
      <c r="D24" s="513"/>
      <c r="E24" s="541" t="s">
        <v>315</v>
      </c>
      <c r="F24" s="542" t="s">
        <v>49</v>
      </c>
      <c r="G24" s="543" t="s">
        <v>68</v>
      </c>
      <c r="H24" s="544" t="s">
        <v>132</v>
      </c>
      <c r="I24" s="545">
        <v>315.0</v>
      </c>
      <c r="J24" s="545">
        <v>24.0</v>
      </c>
      <c r="K24" s="545">
        <v>135.0</v>
      </c>
      <c r="L24" s="537">
        <v>165.0</v>
      </c>
      <c r="M24" s="537">
        <v>143.0</v>
      </c>
      <c r="N24" s="537">
        <v>104.0</v>
      </c>
      <c r="O24" s="537">
        <v>150.0</v>
      </c>
      <c r="P24" s="537">
        <v>164.0</v>
      </c>
      <c r="Q24" s="546">
        <f>IFERROR(__xludf.DUMMYFUNCTION("FILTER('GBD estimates'!$BA$4:$BA$258,'GBD estimates'!$AV$4:$AV$258=Q$3,'GBD estimates'!$AU$4:$AU$258=""7 to 27 days (late neonatal)"")"),159.3470041)</f>
        <v>159.3470041</v>
      </c>
      <c r="R24" s="546">
        <f>IFERROR(__xludf.DUMMYFUNCTION("FILTER('GBD estimates'!$BA$4:$BA$258,'GBD estimates'!$AV$4:$AV$258=R$3,'GBD estimates'!$AU$4:$AU$258=""7 to 27 days (late neonatal)"")"),95.61855998)</f>
        <v>95.61855998</v>
      </c>
      <c r="S24" s="546">
        <f>IFERROR(__xludf.DUMMYFUNCTION("FILTER('GBD estimates'!$BA$4:$BA$258,'GBD estimates'!$AV$4:$AV$258=S$3,'GBD estimates'!$AU$4:$AU$258=""7 to 27 days (late neonatal)"")"),143.5773073)</f>
        <v>143.5773073</v>
      </c>
      <c r="T24" s="546">
        <f>IFERROR(__xludf.DUMMYFUNCTION("FILTER('GBD estimates'!$BA$4:$BA$258,'GBD estimates'!$AV$4:$AV$258=T$3,'GBD estimates'!$AU$4:$AU$258=""7 to 27 days (late neonatal)"")"),129.0610436)</f>
        <v>129.0610436</v>
      </c>
      <c r="U24" s="546">
        <f>IFERROR(__xludf.DUMMYFUNCTION("FILTER('GBD estimates'!$BA$4:$BA$258,'GBD estimates'!$AV$4:$AV$258=U$3,'GBD estimates'!$AU$4:$AU$258=""7 to 27 days (late neonatal)"")"),69.97392707)</f>
        <v>69.97392707</v>
      </c>
      <c r="V24" s="546">
        <f>IFERROR(__xludf.DUMMYFUNCTION("FILTER('GBD estimates'!$BA$4:$BA$258,'GBD estimates'!$AV$4:$AV$258=V$3,'GBD estimates'!$AU$4:$AU$258=""7 to 27 days (late neonatal)"")"),102.3979599)</f>
        <v>102.3979599</v>
      </c>
      <c r="W24" s="546">
        <f>IFERROR(__xludf.DUMMYFUNCTION("FILTER('GBD estimates'!$BA$4:$BA$258,'GBD estimates'!$AV$4:$AV$258=W$3,'GBD estimates'!$AU$4:$AU$258=""7 to 27 days (late neonatal)"")"),117.5898727)</f>
        <v>117.5898727</v>
      </c>
      <c r="X24" s="546">
        <f>IFERROR(__xludf.DUMMYFUNCTION("FILTER('GBD estimates'!$BA$4:$BA$258,'GBD estimates'!$AV$4:$AV$258=X$3,'GBD estimates'!$AU$4:$AU$258=""7 to 27 days (late neonatal)"")"),256.0142374)</f>
        <v>256.0142374</v>
      </c>
      <c r="Y24" s="546">
        <f>IFERROR(__xludf.DUMMYFUNCTION("FILTER('GBD estimates'!$BA$4:$BA$258,'GBD estimates'!$AV$4:$AV$258=Y$3,'GBD estimates'!$AU$4:$AU$258=""7 to 27 days (late neonatal)"")"),152.644696)</f>
        <v>152.644696</v>
      </c>
      <c r="Z24" s="545">
        <v>7.0</v>
      </c>
      <c r="AA24" s="546">
        <f>IFERROR(__xludf.DUMMYFUNCTION("FILTER('GBD estimates'!$S$4:$S$309,'GBD estimates'!$M$4:$M$309=AA$2,'GBD estimates'!$O$4:$O$309=""7-27 days"")"),96.25746212)</f>
        <v>96.25746212</v>
      </c>
      <c r="AB24" s="537">
        <v>281.0</v>
      </c>
      <c r="AC24" s="547"/>
      <c r="AD24" s="490" t="s">
        <v>306</v>
      </c>
      <c r="AE24" s="540" t="s">
        <v>313</v>
      </c>
    </row>
    <row r="25">
      <c r="A25" s="532"/>
      <c r="B25" s="513"/>
      <c r="C25" s="513"/>
      <c r="D25" s="513"/>
      <c r="E25" s="541" t="s">
        <v>316</v>
      </c>
      <c r="F25" s="542" t="s">
        <v>49</v>
      </c>
      <c r="G25" s="543" t="s">
        <v>68</v>
      </c>
      <c r="H25" s="544" t="s">
        <v>132</v>
      </c>
      <c r="I25" s="545">
        <v>2269.0</v>
      </c>
      <c r="J25" s="545">
        <v>171.0</v>
      </c>
      <c r="K25" s="545">
        <v>1048.0</v>
      </c>
      <c r="L25" s="537">
        <v>1131.0</v>
      </c>
      <c r="M25" s="537">
        <v>985.0</v>
      </c>
      <c r="N25" s="537">
        <v>717.0</v>
      </c>
      <c r="O25" s="537">
        <v>1026.0</v>
      </c>
      <c r="P25" s="537">
        <v>1741.0</v>
      </c>
      <c r="Q25" s="546">
        <f>IFERROR(__xludf.DUMMYFUNCTION("FILTER('GBD estimates'!$BA$4:$BA$258,'GBD estimates'!$AV$4:$AV$258=Q$3,'GBD estimates'!$AU$4:$AU$258=""28 to 364 days (post neonatal)"")"),1316.323721)</f>
        <v>1316.323721</v>
      </c>
      <c r="R25" s="546">
        <f>IFERROR(__xludf.DUMMYFUNCTION("FILTER('GBD estimates'!$BA$4:$BA$258,'GBD estimates'!$AV$4:$AV$258=R$3,'GBD estimates'!$AU$4:$AU$258=""28 to 364 days (post neonatal)"")"),579.8918146)</f>
        <v>579.8918146</v>
      </c>
      <c r="S25" s="546">
        <f>IFERROR(__xludf.DUMMYFUNCTION("FILTER('GBD estimates'!$BA$4:$BA$258,'GBD estimates'!$AV$4:$AV$258=S$3,'GBD estimates'!$AU$4:$AU$258=""28 to 364 days (post neonatal)"")"),967.3492147)</f>
        <v>967.3492147</v>
      </c>
      <c r="T25" s="546">
        <f>IFERROR(__xludf.DUMMYFUNCTION("FILTER('GBD estimates'!$BA$4:$BA$258,'GBD estimates'!$AV$4:$AV$258=T$3,'GBD estimates'!$AU$4:$AU$258=""28 to 364 days (post neonatal)"")"),912.8296952)</f>
        <v>912.8296952</v>
      </c>
      <c r="U25" s="546">
        <f>IFERROR(__xludf.DUMMYFUNCTION("FILTER('GBD estimates'!$BA$4:$BA$258,'GBD estimates'!$AV$4:$AV$258=U$3,'GBD estimates'!$AU$4:$AU$258=""28 to 364 days (post neonatal)"")"),391.0566835)</f>
        <v>391.0566835</v>
      </c>
      <c r="V25" s="546">
        <f>IFERROR(__xludf.DUMMYFUNCTION("FILTER('GBD estimates'!$BA$4:$BA$258,'GBD estimates'!$AV$4:$AV$258=V$3,'GBD estimates'!$AU$4:$AU$258=""28 to 364 days (post neonatal)"")"),739.9298848)</f>
        <v>739.9298848</v>
      </c>
      <c r="W25" s="546">
        <f>IFERROR(__xludf.DUMMYFUNCTION("FILTER('GBD estimates'!$BA$4:$BA$258,'GBD estimates'!$AV$4:$AV$258=W$3,'GBD estimates'!$AU$4:$AU$258=""28 to 364 days (post neonatal)"")"),751.4804856)</f>
        <v>751.4804856</v>
      </c>
      <c r="X25" s="546">
        <f>IFERROR(__xludf.DUMMYFUNCTION("FILTER('GBD estimates'!$BA$4:$BA$258,'GBD estimates'!$AV$4:$AV$258=X$3,'GBD estimates'!$AU$4:$AU$258=""28 to 364 days (post neonatal)"")"),1789.39109)</f>
        <v>1789.39109</v>
      </c>
      <c r="Y25" s="546">
        <f>IFERROR(__xludf.DUMMYFUNCTION("FILTER('GBD estimates'!$BA$4:$BA$258,'GBD estimates'!$AV$4:$AV$258=Y$3,'GBD estimates'!$AU$4:$AU$258=""28 to 364 days (post neonatal)"")"),1280.356355)</f>
        <v>1280.356355</v>
      </c>
      <c r="Z25" s="545">
        <v>48.0</v>
      </c>
      <c r="AA25" s="546">
        <f>IFERROR(__xludf.DUMMYFUNCTION("FILTER('GBD estimates'!$S$4:$S$309,'GBD estimates'!$M$4:$M$309=AA$2,'GBD estimates'!$O$4:$O$309=""&lt;1 year"")-FILTER('GBD estimates'!$S$4:$S$309,'GBD estimates'!$M$4:$M$309=AA$2,'GBD estimates'!$O$4:$O$309=""&lt;28 days"")"),691.27791708)</f>
        <v>691.2779171</v>
      </c>
      <c r="AB25" s="537">
        <v>2056.0</v>
      </c>
      <c r="AC25" s="547"/>
      <c r="AD25" s="490" t="s">
        <v>306</v>
      </c>
      <c r="AE25" s="540" t="s">
        <v>313</v>
      </c>
    </row>
    <row r="26">
      <c r="A26" s="532"/>
      <c r="B26" s="513"/>
      <c r="C26" s="513"/>
      <c r="D26" s="513"/>
      <c r="E26" s="541" t="s">
        <v>317</v>
      </c>
      <c r="F26" s="542" t="s">
        <v>49</v>
      </c>
      <c r="G26" s="543" t="s">
        <v>68</v>
      </c>
      <c r="H26" s="544">
        <v>11.0</v>
      </c>
      <c r="I26" s="352" t="s">
        <v>132</v>
      </c>
      <c r="J26" s="352" t="s">
        <v>132</v>
      </c>
      <c r="K26" s="352" t="s">
        <v>132</v>
      </c>
      <c r="L26" s="352" t="s">
        <v>132</v>
      </c>
      <c r="M26" s="352" t="s">
        <v>132</v>
      </c>
      <c r="N26" s="352" t="s">
        <v>132</v>
      </c>
      <c r="O26" s="352" t="s">
        <v>132</v>
      </c>
      <c r="P26" s="352" t="s">
        <v>132</v>
      </c>
      <c r="Q26" s="352" t="s">
        <v>132</v>
      </c>
      <c r="R26" s="352" t="s">
        <v>132</v>
      </c>
      <c r="S26" s="352" t="s">
        <v>132</v>
      </c>
      <c r="T26" s="352" t="s">
        <v>132</v>
      </c>
      <c r="U26" s="352" t="s">
        <v>132</v>
      </c>
      <c r="V26" s="352" t="s">
        <v>132</v>
      </c>
      <c r="W26" s="352" t="s">
        <v>132</v>
      </c>
      <c r="X26" s="352" t="s">
        <v>132</v>
      </c>
      <c r="Y26" s="352" t="s">
        <v>132</v>
      </c>
      <c r="Z26" s="352" t="s">
        <v>132</v>
      </c>
      <c r="AA26" s="352" t="s">
        <v>132</v>
      </c>
      <c r="AB26" s="352" t="s">
        <v>132</v>
      </c>
      <c r="AC26" s="547"/>
      <c r="AD26" s="548"/>
      <c r="AE26" s="549"/>
    </row>
    <row r="27">
      <c r="A27" s="532"/>
      <c r="B27" s="513"/>
      <c r="C27" s="513"/>
      <c r="D27" s="513"/>
      <c r="E27" s="550" t="s">
        <v>318</v>
      </c>
      <c r="F27" s="551" t="s">
        <v>49</v>
      </c>
      <c r="G27" s="552" t="s">
        <v>68</v>
      </c>
      <c r="H27" s="553">
        <v>2.0</v>
      </c>
      <c r="I27" s="345" t="s">
        <v>132</v>
      </c>
      <c r="J27" s="345" t="s">
        <v>132</v>
      </c>
      <c r="K27" s="345" t="s">
        <v>132</v>
      </c>
      <c r="L27" s="345" t="s">
        <v>132</v>
      </c>
      <c r="M27" s="345" t="s">
        <v>132</v>
      </c>
      <c r="N27" s="345" t="s">
        <v>132</v>
      </c>
      <c r="O27" s="345" t="s">
        <v>132</v>
      </c>
      <c r="P27" s="345" t="s">
        <v>132</v>
      </c>
      <c r="Q27" s="345" t="s">
        <v>132</v>
      </c>
      <c r="R27" s="345" t="s">
        <v>132</v>
      </c>
      <c r="S27" s="345" t="s">
        <v>132</v>
      </c>
      <c r="T27" s="345" t="s">
        <v>132</v>
      </c>
      <c r="U27" s="345" t="s">
        <v>132</v>
      </c>
      <c r="V27" s="345" t="s">
        <v>132</v>
      </c>
      <c r="W27" s="345" t="s">
        <v>132</v>
      </c>
      <c r="X27" s="345" t="s">
        <v>132</v>
      </c>
      <c r="Y27" s="345" t="s">
        <v>132</v>
      </c>
      <c r="Z27" s="345" t="s">
        <v>132</v>
      </c>
      <c r="AA27" s="345" t="s">
        <v>132</v>
      </c>
      <c r="AB27" s="345" t="s">
        <v>132</v>
      </c>
      <c r="AC27" s="554"/>
      <c r="AD27" s="555"/>
      <c r="AE27" s="556"/>
    </row>
    <row r="28">
      <c r="A28" s="532"/>
      <c r="B28" s="513"/>
      <c r="C28" s="513"/>
      <c r="D28" s="513"/>
      <c r="E28" s="513"/>
      <c r="F28" s="557"/>
      <c r="G28" s="558"/>
      <c r="H28" s="527"/>
      <c r="I28" s="338"/>
      <c r="J28" s="338"/>
      <c r="K28" s="338"/>
      <c r="L28" s="338"/>
      <c r="M28" s="338"/>
      <c r="N28" s="338"/>
      <c r="O28" s="338"/>
      <c r="P28" s="338"/>
      <c r="Q28" s="338"/>
      <c r="R28" s="338"/>
      <c r="S28" s="338"/>
      <c r="T28" s="338"/>
      <c r="U28" s="338"/>
      <c r="V28" s="338"/>
      <c r="W28" s="338"/>
      <c r="X28" s="338"/>
      <c r="Y28" s="338"/>
      <c r="Z28" s="338"/>
      <c r="AA28" s="338"/>
      <c r="AB28" s="338"/>
      <c r="AC28" s="395"/>
      <c r="AD28" s="528"/>
      <c r="AE28" s="529"/>
    </row>
    <row r="29">
      <c r="A29" s="532"/>
      <c r="B29" s="513"/>
      <c r="C29" s="147" t="s">
        <v>319</v>
      </c>
      <c r="F29" s="557"/>
      <c r="G29" s="558"/>
      <c r="H29" s="527"/>
      <c r="I29" s="338"/>
      <c r="J29" s="338"/>
      <c r="K29" s="338"/>
      <c r="L29" s="338"/>
      <c r="M29" s="338"/>
      <c r="N29" s="338"/>
      <c r="O29" s="338"/>
      <c r="P29" s="338"/>
      <c r="Q29" s="338"/>
      <c r="R29" s="338"/>
      <c r="S29" s="338"/>
      <c r="T29" s="338"/>
      <c r="U29" s="338"/>
      <c r="V29" s="338"/>
      <c r="W29" s="338"/>
      <c r="X29" s="338"/>
      <c r="Y29" s="338"/>
      <c r="Z29" s="338"/>
      <c r="AA29" s="338"/>
      <c r="AB29" s="338"/>
      <c r="AC29" s="395"/>
      <c r="AD29" s="528"/>
      <c r="AE29" s="529"/>
    </row>
    <row r="30">
      <c r="A30" s="532"/>
      <c r="B30" s="513"/>
      <c r="C30" s="513"/>
      <c r="D30" s="513"/>
      <c r="E30" s="533" t="s">
        <v>320</v>
      </c>
      <c r="F30" s="534" t="s">
        <v>53</v>
      </c>
      <c r="G30" s="535" t="s">
        <v>68</v>
      </c>
      <c r="H30" s="536" t="s">
        <v>132</v>
      </c>
      <c r="I30" s="349">
        <v>335.0</v>
      </c>
      <c r="J30" s="349">
        <v>293.0</v>
      </c>
      <c r="K30" s="349">
        <v>295.0</v>
      </c>
      <c r="L30" s="537">
        <v>379.0</v>
      </c>
      <c r="M30" s="537">
        <v>407.0</v>
      </c>
      <c r="N30" s="537">
        <v>449.0</v>
      </c>
      <c r="O30" s="537">
        <v>485.0</v>
      </c>
      <c r="P30" s="537">
        <v>351.0</v>
      </c>
      <c r="Q30" s="349">
        <v>554.0</v>
      </c>
      <c r="R30" s="349">
        <v>357.0</v>
      </c>
      <c r="S30" s="349">
        <v>333.0</v>
      </c>
      <c r="T30" s="349">
        <v>716.0</v>
      </c>
      <c r="U30" s="349">
        <v>373.0</v>
      </c>
      <c r="V30" s="349">
        <v>361.0</v>
      </c>
      <c r="W30" s="349">
        <v>289.0</v>
      </c>
      <c r="X30" s="349">
        <v>366.0</v>
      </c>
      <c r="Y30" s="349">
        <v>588.0</v>
      </c>
      <c r="Z30" s="349">
        <v>280.0</v>
      </c>
      <c r="AA30" s="559">
        <f>IFERROR(__xludf.DUMMYFUNCTION("FILTER('GBD estimates'!$AD$4:$AD$54,'GBD estimates'!$X$4:$X$54=AA$2)"),194.2996635)</f>
        <v>194.2996635</v>
      </c>
      <c r="AB30" s="537">
        <v>248.0</v>
      </c>
      <c r="AC30" s="539"/>
      <c r="AD30" s="490" t="s">
        <v>306</v>
      </c>
      <c r="AE30" s="540" t="s">
        <v>313</v>
      </c>
    </row>
    <row r="31">
      <c r="A31" s="532"/>
      <c r="B31" s="513"/>
      <c r="C31" s="513"/>
      <c r="D31" s="513"/>
      <c r="E31" s="541" t="s">
        <v>321</v>
      </c>
      <c r="F31" s="542" t="s">
        <v>49</v>
      </c>
      <c r="G31" s="543" t="s">
        <v>68</v>
      </c>
      <c r="H31" s="544">
        <v>60.0</v>
      </c>
      <c r="I31" s="560" t="s">
        <v>132</v>
      </c>
      <c r="J31" s="560" t="s">
        <v>132</v>
      </c>
      <c r="K31" s="560" t="s">
        <v>132</v>
      </c>
      <c r="L31" s="560" t="s">
        <v>132</v>
      </c>
      <c r="M31" s="560" t="s">
        <v>132</v>
      </c>
      <c r="N31" s="560" t="s">
        <v>132</v>
      </c>
      <c r="O31" s="560" t="s">
        <v>132</v>
      </c>
      <c r="P31" s="560" t="s">
        <v>132</v>
      </c>
      <c r="Q31" s="560" t="s">
        <v>132</v>
      </c>
      <c r="R31" s="560" t="s">
        <v>132</v>
      </c>
      <c r="S31" s="560" t="s">
        <v>132</v>
      </c>
      <c r="T31" s="560" t="s">
        <v>132</v>
      </c>
      <c r="U31" s="560" t="s">
        <v>132</v>
      </c>
      <c r="V31" s="560" t="s">
        <v>132</v>
      </c>
      <c r="W31" s="560" t="s">
        <v>132</v>
      </c>
      <c r="X31" s="560" t="s">
        <v>132</v>
      </c>
      <c r="Y31" s="560" t="s">
        <v>132</v>
      </c>
      <c r="Z31" s="560" t="s">
        <v>132</v>
      </c>
      <c r="AA31" s="560" t="s">
        <v>132</v>
      </c>
      <c r="AB31" s="560" t="s">
        <v>132</v>
      </c>
      <c r="AC31" s="547"/>
      <c r="AD31" s="561"/>
      <c r="AE31" s="549"/>
    </row>
    <row r="32">
      <c r="A32" s="532"/>
      <c r="B32" s="513"/>
      <c r="C32" s="513"/>
      <c r="D32" s="513"/>
      <c r="E32" s="541" t="s">
        <v>322</v>
      </c>
      <c r="F32" s="542" t="s">
        <v>49</v>
      </c>
      <c r="G32" s="543" t="s">
        <v>68</v>
      </c>
      <c r="H32" s="544">
        <v>3.0</v>
      </c>
      <c r="I32" s="560" t="s">
        <v>132</v>
      </c>
      <c r="J32" s="560" t="s">
        <v>132</v>
      </c>
      <c r="K32" s="560" t="s">
        <v>132</v>
      </c>
      <c r="L32" s="560" t="s">
        <v>132</v>
      </c>
      <c r="M32" s="560" t="s">
        <v>132</v>
      </c>
      <c r="N32" s="560" t="s">
        <v>132</v>
      </c>
      <c r="O32" s="560" t="s">
        <v>132</v>
      </c>
      <c r="P32" s="560" t="s">
        <v>132</v>
      </c>
      <c r="Q32" s="560" t="s">
        <v>132</v>
      </c>
      <c r="R32" s="560" t="s">
        <v>132</v>
      </c>
      <c r="S32" s="560" t="s">
        <v>132</v>
      </c>
      <c r="T32" s="560" t="s">
        <v>132</v>
      </c>
      <c r="U32" s="560" t="s">
        <v>132</v>
      </c>
      <c r="V32" s="560" t="s">
        <v>132</v>
      </c>
      <c r="W32" s="560" t="s">
        <v>132</v>
      </c>
      <c r="X32" s="560" t="s">
        <v>132</v>
      </c>
      <c r="Y32" s="560" t="s">
        <v>132</v>
      </c>
      <c r="Z32" s="560" t="s">
        <v>132</v>
      </c>
      <c r="AA32" s="560" t="s">
        <v>132</v>
      </c>
      <c r="AB32" s="560" t="s">
        <v>132</v>
      </c>
      <c r="AC32" s="547"/>
      <c r="AD32" s="561"/>
      <c r="AE32" s="549"/>
    </row>
    <row r="33">
      <c r="A33" s="107"/>
      <c r="B33" s="108"/>
      <c r="C33" s="152"/>
      <c r="D33" s="108"/>
      <c r="E33" s="562" t="s">
        <v>323</v>
      </c>
      <c r="F33" s="164" t="s">
        <v>59</v>
      </c>
      <c r="G33" s="164" t="s">
        <v>68</v>
      </c>
      <c r="H33" s="563" t="s">
        <v>132</v>
      </c>
      <c r="I33" s="510">
        <v>0.0</v>
      </c>
      <c r="J33" s="510">
        <v>0.0</v>
      </c>
      <c r="K33" s="510">
        <v>0.0</v>
      </c>
      <c r="L33" s="510">
        <v>0.0</v>
      </c>
      <c r="M33" s="510">
        <v>0.0</v>
      </c>
      <c r="N33" s="510">
        <v>0.0</v>
      </c>
      <c r="O33" s="510">
        <v>0.0</v>
      </c>
      <c r="P33" s="510">
        <v>0.0</v>
      </c>
      <c r="Q33" s="510">
        <v>-0.05</v>
      </c>
      <c r="R33" s="510">
        <v>-0.05</v>
      </c>
      <c r="S33" s="510">
        <v>-0.3512063</v>
      </c>
      <c r="T33" s="510">
        <v>-0.05</v>
      </c>
      <c r="U33" s="510">
        <v>-0.05</v>
      </c>
      <c r="V33" s="510">
        <v>-0.05</v>
      </c>
      <c r="W33" s="510">
        <v>-0.05</v>
      </c>
      <c r="X33" s="510">
        <v>-0.05</v>
      </c>
      <c r="Y33" s="510">
        <v>-0.05</v>
      </c>
      <c r="Z33" s="510">
        <v>0.0</v>
      </c>
      <c r="AA33" s="510">
        <v>0.0</v>
      </c>
      <c r="AB33" s="510">
        <v>0.0</v>
      </c>
      <c r="AC33" s="511"/>
      <c r="AD33" s="564" t="s">
        <v>324</v>
      </c>
      <c r="AE33" s="565"/>
    </row>
    <row r="34">
      <c r="A34" s="532"/>
      <c r="B34" s="513"/>
      <c r="C34" s="513"/>
      <c r="D34" s="513"/>
      <c r="E34" s="513"/>
      <c r="F34" s="557"/>
      <c r="G34" s="558"/>
      <c r="H34" s="527"/>
      <c r="I34" s="566"/>
      <c r="J34" s="566"/>
      <c r="K34" s="566"/>
      <c r="L34" s="566"/>
      <c r="M34" s="566"/>
      <c r="N34" s="566"/>
      <c r="O34" s="566"/>
      <c r="P34" s="566"/>
      <c r="Q34" s="566"/>
      <c r="R34" s="566"/>
      <c r="S34" s="566"/>
      <c r="T34" s="566"/>
      <c r="U34" s="566"/>
      <c r="V34" s="566"/>
      <c r="W34" s="566"/>
      <c r="X34" s="566"/>
      <c r="Y34" s="566"/>
      <c r="Z34" s="566"/>
      <c r="AA34" s="566"/>
      <c r="AB34" s="566"/>
      <c r="AC34" s="395"/>
      <c r="AD34" s="528"/>
      <c r="AE34" s="529"/>
    </row>
    <row r="35">
      <c r="A35" s="532"/>
      <c r="B35" s="513"/>
      <c r="C35" s="152" t="s">
        <v>246</v>
      </c>
      <c r="F35" s="557"/>
      <c r="G35" s="558"/>
      <c r="H35" s="527"/>
      <c r="I35" s="566"/>
      <c r="J35" s="566"/>
      <c r="K35" s="566"/>
      <c r="L35" s="566"/>
      <c r="M35" s="566"/>
      <c r="N35" s="566"/>
      <c r="O35" s="566"/>
      <c r="P35" s="566"/>
      <c r="Q35" s="566"/>
      <c r="R35" s="566"/>
      <c r="S35" s="566"/>
      <c r="T35" s="566"/>
      <c r="U35" s="566"/>
      <c r="V35" s="566"/>
      <c r="W35" s="566"/>
      <c r="X35" s="566"/>
      <c r="Y35" s="566"/>
      <c r="Z35" s="566"/>
      <c r="AA35" s="566"/>
      <c r="AB35" s="566"/>
      <c r="AC35" s="395"/>
      <c r="AD35" s="528"/>
      <c r="AE35" s="529"/>
    </row>
    <row r="36">
      <c r="A36" s="532"/>
      <c r="B36" s="513"/>
      <c r="C36" s="147"/>
      <c r="D36" s="147"/>
      <c r="E36" s="567" t="s">
        <v>325</v>
      </c>
      <c r="F36" s="568" t="s">
        <v>49</v>
      </c>
      <c r="G36" s="569" t="s">
        <v>68</v>
      </c>
      <c r="H36" s="570" t="s">
        <v>132</v>
      </c>
      <c r="I36" s="571">
        <v>11943.0</v>
      </c>
      <c r="J36" s="571">
        <v>926.0</v>
      </c>
      <c r="K36" s="571">
        <v>5829.0</v>
      </c>
      <c r="L36" s="537">
        <v>3607.0</v>
      </c>
      <c r="M36" s="538">
        <v>3140.0</v>
      </c>
      <c r="N36" s="538">
        <v>2286.0</v>
      </c>
      <c r="O36" s="538">
        <v>3272.0</v>
      </c>
      <c r="P36" s="538">
        <v>9444.0</v>
      </c>
      <c r="Q36" s="572">
        <f>IFERROR(__xludf.DUMMYFUNCTION("FILTER('GBD estimates'!$BA$4:$BA$258,'GBD estimates'!$AV$4:$AV$258=Q$3,'GBD estimates'!$AU$4:$AU$258=""All ages"")"),8241.349008)</f>
        <v>8241.349008</v>
      </c>
      <c r="R36" s="572">
        <f>IFERROR(__xludf.DUMMYFUNCTION("FILTER('GBD estimates'!$BA$4:$BA$258,'GBD estimates'!$AV$4:$AV$258=R$3,'GBD estimates'!$AU$4:$AU$258=""All ages"")"),3790.634534)</f>
        <v>3790.634534</v>
      </c>
      <c r="S36" s="572">
        <f>IFERROR(__xludf.DUMMYFUNCTION("FILTER('GBD estimates'!$BA$4:$BA$258,'GBD estimates'!$AV$4:$AV$258=S$3,'GBD estimates'!$AU$4:$AU$258=""All ages"")"),5429.375255)</f>
        <v>5429.375255</v>
      </c>
      <c r="T36" s="572">
        <f>IFERROR(__xludf.DUMMYFUNCTION("FILTER('GBD estimates'!$BA$4:$BA$258,'GBD estimates'!$AV$4:$AV$258=T$3,'GBD estimates'!$AU$4:$AU$258=""All ages"")"),6060.643259)</f>
        <v>6060.643259</v>
      </c>
      <c r="U36" s="572">
        <f>IFERROR(__xludf.DUMMYFUNCTION("FILTER('GBD estimates'!$BA$4:$BA$258,'GBD estimates'!$AV$4:$AV$258=U$3,'GBD estimates'!$AU$4:$AU$258=""All ages"")"),3106.693896)</f>
        <v>3106.693896</v>
      </c>
      <c r="V36" s="572">
        <f>IFERROR(__xludf.DUMMYFUNCTION("FILTER('GBD estimates'!$BA$4:$BA$258,'GBD estimates'!$AV$4:$AV$258=V$3,'GBD estimates'!$AU$4:$AU$258=""All ages"")"),4403.622657)</f>
        <v>4403.622657</v>
      </c>
      <c r="W36" s="572">
        <f>IFERROR(__xludf.DUMMYFUNCTION("FILTER('GBD estimates'!$BA$4:$BA$258,'GBD estimates'!$AV$4:$AV$258=W$3,'GBD estimates'!$AU$4:$AU$258=""All ages"")"),6495.373611)</f>
        <v>6495.373611</v>
      </c>
      <c r="X36" s="572">
        <f>IFERROR(__xludf.DUMMYFUNCTION("FILTER('GBD estimates'!$BA$4:$BA$258,'GBD estimates'!$AV$4:$AV$258=X$3,'GBD estimates'!$AU$4:$AU$258=""All ages"")"),9889.762202)</f>
        <v>9889.762202</v>
      </c>
      <c r="Y36" s="572">
        <f>IFERROR(__xludf.DUMMYFUNCTION("FILTER('GBD estimates'!$BA$4:$BA$258,'GBD estimates'!$AV$4:$AV$258=Y$3,'GBD estimates'!$AU$4:$AU$258=""All ages"")"),8078.866903)</f>
        <v>8078.866903</v>
      </c>
      <c r="Z36" s="571">
        <v>135.0</v>
      </c>
      <c r="AA36" s="572">
        <f>IFERROR(__xludf.DUMMYFUNCTION("FILTER('GBD estimates'!$S$4:$S$309,'GBD estimates'!$M$4:$M$309=AA$2,'GBD estimates'!$O$4:$O$309=""All ages"")"),5776.359003)</f>
        <v>5776.359003</v>
      </c>
      <c r="AB36" s="537">
        <v>6280.0</v>
      </c>
      <c r="AC36" s="573"/>
      <c r="AD36" s="490" t="s">
        <v>306</v>
      </c>
      <c r="AE36" s="540" t="s">
        <v>313</v>
      </c>
    </row>
    <row r="37">
      <c r="A37" s="532"/>
      <c r="B37" s="513"/>
      <c r="C37" s="147"/>
      <c r="D37" s="147"/>
      <c r="E37" s="574"/>
      <c r="F37" s="557"/>
      <c r="G37" s="558"/>
      <c r="H37" s="527"/>
      <c r="I37" s="566"/>
      <c r="J37" s="566"/>
      <c r="K37" s="566"/>
      <c r="L37" s="566"/>
      <c r="M37" s="566"/>
      <c r="N37" s="566"/>
      <c r="O37" s="566"/>
      <c r="P37" s="566"/>
      <c r="Q37" s="566"/>
      <c r="R37" s="566"/>
      <c r="S37" s="566"/>
      <c r="T37" s="566"/>
      <c r="U37" s="566"/>
      <c r="V37" s="566"/>
      <c r="W37" s="566"/>
      <c r="X37" s="566"/>
      <c r="Y37" s="566"/>
      <c r="Z37" s="566"/>
      <c r="AA37" s="566"/>
      <c r="AB37" s="566"/>
      <c r="AC37" s="395"/>
      <c r="AD37" s="528"/>
      <c r="AE37" s="529"/>
    </row>
    <row r="38">
      <c r="A38" s="532"/>
      <c r="B38" s="513"/>
      <c r="C38" s="147" t="s">
        <v>250</v>
      </c>
      <c r="F38" s="557"/>
      <c r="G38" s="558"/>
      <c r="H38" s="527"/>
      <c r="I38" s="566"/>
      <c r="J38" s="566"/>
      <c r="K38" s="566"/>
      <c r="L38" s="566"/>
      <c r="M38" s="566"/>
      <c r="N38" s="566"/>
      <c r="O38" s="566"/>
      <c r="P38" s="566"/>
      <c r="Q38" s="566"/>
      <c r="R38" s="566"/>
      <c r="S38" s="566"/>
      <c r="T38" s="566"/>
      <c r="U38" s="566"/>
      <c r="V38" s="566"/>
      <c r="W38" s="566"/>
      <c r="X38" s="566"/>
      <c r="Y38" s="566"/>
      <c r="Z38" s="566"/>
      <c r="AA38" s="566"/>
      <c r="AB38" s="566"/>
      <c r="AC38" s="395"/>
      <c r="AD38" s="528"/>
      <c r="AE38" s="529"/>
    </row>
    <row r="39">
      <c r="A39" s="532"/>
      <c r="B39" s="513"/>
      <c r="C39" s="513"/>
      <c r="D39" s="513"/>
      <c r="E39" s="533" t="s">
        <v>326</v>
      </c>
      <c r="F39" s="534" t="s">
        <v>53</v>
      </c>
      <c r="G39" s="575" t="s">
        <v>68</v>
      </c>
      <c r="H39" s="576" t="s">
        <v>132</v>
      </c>
      <c r="I39" s="537">
        <v>72800.0</v>
      </c>
      <c r="J39" s="537">
        <v>47873.0</v>
      </c>
      <c r="K39" s="537">
        <v>78599.0</v>
      </c>
      <c r="L39" s="537">
        <v>76062.0</v>
      </c>
      <c r="M39" s="537">
        <v>91107.0</v>
      </c>
      <c r="N39" s="537">
        <v>96207.0</v>
      </c>
      <c r="O39" s="537">
        <v>93495.0</v>
      </c>
      <c r="P39" s="537">
        <v>82270.0</v>
      </c>
      <c r="Q39" s="538">
        <f>IFERROR(__xludf.DUMMYFUNCTION("FILTER('GBD estimates'!$CA$4:$CA$105,'GBD estimates'!$BV$4:$BV$105=Q$3,'GBD estimates'!$BU$4:$BU$105=""Under 5"")"),92549.9)</f>
        <v>92549.9</v>
      </c>
      <c r="R39" s="538">
        <f>IFERROR(__xludf.DUMMYFUNCTION("FILTER('GBD estimates'!$CA$4:$CA$105,'GBD estimates'!$BV$4:$BV$105=R$3,'GBD estimates'!$BU$4:$BU$105=""Under 5"")"),66346.67)</f>
        <v>66346.67</v>
      </c>
      <c r="S39" s="538">
        <f>IFERROR(__xludf.DUMMYFUNCTION("FILTER('GBD estimates'!$CA$4:$CA$105,'GBD estimates'!$BV$4:$BV$105=S$3,'GBD estimates'!$BU$4:$BU$105=""Under 5"")"),77203.83)</f>
        <v>77203.83</v>
      </c>
      <c r="T39" s="538">
        <f>IFERROR(__xludf.DUMMYFUNCTION("FILTER('GBD estimates'!$CA$4:$CA$105,'GBD estimates'!$BV$4:$BV$105=T$3,'GBD estimates'!$BU$4:$BU$105=""Under 5"")"),98746.64)</f>
        <v>98746.64</v>
      </c>
      <c r="U39" s="538">
        <f>IFERROR(__xludf.DUMMYFUNCTION("FILTER('GBD estimates'!$CA$4:$CA$105,'GBD estimates'!$BV$4:$BV$105=U$3,'GBD estimates'!$BU$4:$BU$105=""Under 5"")"),90253.5)</f>
        <v>90253.5</v>
      </c>
      <c r="V39" s="538">
        <f>IFERROR(__xludf.DUMMYFUNCTION("FILTER('GBD estimates'!$CA$4:$CA$105,'GBD estimates'!$BV$4:$BV$105=V$3,'GBD estimates'!$BU$4:$BU$105=""Under 5"")"),72018.194)</f>
        <v>72018.194</v>
      </c>
      <c r="W39" s="538">
        <f>IFERROR(__xludf.DUMMYFUNCTION("FILTER('GBD estimates'!$CA$4:$CA$105,'GBD estimates'!$BV$4:$BV$105=W$3,'GBD estimates'!$BU$4:$BU$105=""Under 5"")"),93840.62)</f>
        <v>93840.62</v>
      </c>
      <c r="X39" s="538">
        <f>IFERROR(__xludf.DUMMYFUNCTION("FILTER('GBD estimates'!$CA$4:$CA$105,'GBD estimates'!$BV$4:$BV$105=X$3,'GBD estimates'!$BU$4:$BU$105=""Under 5"")"),77809.67)</f>
        <v>77809.67</v>
      </c>
      <c r="Y39" s="538">
        <f>IFERROR(__xludf.DUMMYFUNCTION("FILTER('GBD estimates'!$CA$4:$CA$105,'GBD estimates'!$BV$4:$BV$105=Y$3,'GBD estimates'!$BU$4:$BU$105=""Under 5"")"),69826.126)</f>
        <v>69826.126</v>
      </c>
      <c r="Z39" s="537">
        <v>46489.0</v>
      </c>
      <c r="AA39" s="538">
        <f>IFERROR(__xludf.DUMMYFUNCTION("FILTER('GBD estimates'!$AO$4:$AO$156,'GBD estimates'!$AI$4:$AI$156=AA$2,'GBD estimates'!$AK$4:$AK$156=""&lt;5 years"")"),63337.56905)</f>
        <v>63337.56905</v>
      </c>
      <c r="AB39" s="537">
        <v>90318.0</v>
      </c>
      <c r="AC39" s="539"/>
      <c r="AD39" s="490" t="s">
        <v>306</v>
      </c>
      <c r="AE39" s="540" t="s">
        <v>313</v>
      </c>
    </row>
    <row r="40">
      <c r="A40" s="532"/>
      <c r="B40" s="513"/>
      <c r="C40" s="513"/>
      <c r="D40" s="513"/>
      <c r="E40" s="550" t="s">
        <v>327</v>
      </c>
      <c r="F40" s="551" t="s">
        <v>53</v>
      </c>
      <c r="G40" s="577" t="s">
        <v>68</v>
      </c>
      <c r="H40" s="578" t="s">
        <v>132</v>
      </c>
      <c r="I40" s="245">
        <v>30179.0</v>
      </c>
      <c r="J40" s="245">
        <v>21805.0</v>
      </c>
      <c r="K40" s="245">
        <v>32926.0</v>
      </c>
      <c r="L40" s="537">
        <v>31197.0</v>
      </c>
      <c r="M40" s="537">
        <v>37367.0</v>
      </c>
      <c r="N40" s="537">
        <v>39459.0</v>
      </c>
      <c r="O40" s="537">
        <v>38347.0</v>
      </c>
      <c r="P40" s="537">
        <v>34580.0</v>
      </c>
      <c r="Q40" s="579">
        <f>IFERROR(__xludf.DUMMYFUNCTION("FILTER('GBD estimates'!$CA$4:$CA$105,'GBD estimates'!$BV$4:$BV$105=Q$3,'GBD estimates'!$BU$4:$BU$105=""5 to 14"")"),39110.878)</f>
        <v>39110.878</v>
      </c>
      <c r="R40" s="579">
        <f>IFERROR(__xludf.DUMMYFUNCTION("FILTER('GBD estimates'!$CA$4:$CA$105,'GBD estimates'!$BV$4:$BV$105=R$3,'GBD estimates'!$BU$4:$BU$105=""5 to 14"")"),29057.47)</f>
        <v>29057.47</v>
      </c>
      <c r="S40" s="579">
        <f>IFERROR(__xludf.DUMMYFUNCTION("FILTER('GBD estimates'!$CA$4:$CA$105,'GBD estimates'!$BV$4:$BV$105=S$3,'GBD estimates'!$BU$4:$BU$105=""5 to 14"")"),32687.145)</f>
        <v>32687.145</v>
      </c>
      <c r="T40" s="579">
        <f>IFERROR(__xludf.DUMMYFUNCTION("FILTER('GBD estimates'!$CA$4:$CA$105,'GBD estimates'!$BV$4:$BV$105=T$3,'GBD estimates'!$BU$4:$BU$105=""5 to 14"")"),40692.243)</f>
        <v>40692.243</v>
      </c>
      <c r="U40" s="579">
        <f>IFERROR(__xludf.DUMMYFUNCTION("FILTER('GBD estimates'!$CA$4:$CA$105,'GBD estimates'!$BV$4:$BV$105=U$3,'GBD estimates'!$BU$4:$BU$105=""5 to 14"")"),36989.745)</f>
        <v>36989.745</v>
      </c>
      <c r="V40" s="579">
        <f>IFERROR(__xludf.DUMMYFUNCTION("FILTER('GBD estimates'!$CA$4:$CA$105,'GBD estimates'!$BV$4:$BV$105=V$3,'GBD estimates'!$BU$4:$BU$105=""5 to 14"")"),30377.278)</f>
        <v>30377.278</v>
      </c>
      <c r="W40" s="579">
        <f>IFERROR(__xludf.DUMMYFUNCTION("FILTER('GBD estimates'!$CA$4:$CA$105,'GBD estimates'!$BV$4:$BV$105=W$3,'GBD estimates'!$BU$4:$BU$105=""5 to 14"")"),38318.27)</f>
        <v>38318.27</v>
      </c>
      <c r="X40" s="579">
        <f>IFERROR(__xludf.DUMMYFUNCTION("FILTER('GBD estimates'!$CA$4:$CA$105,'GBD estimates'!$BV$4:$BV$105=X$3,'GBD estimates'!$BU$4:$BU$105=""5 to 14"")"),33155.254)</f>
        <v>33155.254</v>
      </c>
      <c r="Y40" s="579">
        <f>IFERROR(__xludf.DUMMYFUNCTION("FILTER('GBD estimates'!$CA$4:$CA$105,'GBD estimates'!$BV$4:$BV$105=Y$3,'GBD estimates'!$BU$4:$BU$105=""5 to 14"")"),30076.665)</f>
        <v>30076.665</v>
      </c>
      <c r="Z40" s="245">
        <v>19498.0</v>
      </c>
      <c r="AA40" s="579">
        <f>IFERROR(__xludf.DUMMYFUNCTION("FILTER('GBD estimates'!$AO$4:$AO$156,'GBD estimates'!$AI$4:$AI$156=AA$2,'GBD estimates'!$AK$4:$AK$156=""5-14 years"")"),26979.99336)</f>
        <v>26979.99336</v>
      </c>
      <c r="AB40" s="537">
        <v>38439.0</v>
      </c>
      <c r="AC40" s="554"/>
      <c r="AD40" s="490" t="s">
        <v>306</v>
      </c>
      <c r="AE40" s="540" t="s">
        <v>313</v>
      </c>
    </row>
    <row r="41">
      <c r="A41" s="532"/>
      <c r="B41" s="513"/>
      <c r="C41" s="513"/>
      <c r="D41" s="513"/>
      <c r="E41" s="513"/>
      <c r="F41" s="557"/>
      <c r="G41" s="558"/>
      <c r="H41" s="527"/>
      <c r="I41" s="338"/>
      <c r="J41" s="338"/>
      <c r="K41" s="338"/>
      <c r="L41" s="338"/>
      <c r="M41" s="338"/>
      <c r="N41" s="338"/>
      <c r="O41" s="338"/>
      <c r="P41" s="338"/>
      <c r="Q41" s="338"/>
      <c r="R41" s="338"/>
      <c r="S41" s="338"/>
      <c r="T41" s="338"/>
      <c r="U41" s="338"/>
      <c r="V41" s="338"/>
      <c r="W41" s="338"/>
      <c r="X41" s="338"/>
      <c r="Y41" s="338"/>
      <c r="Z41" s="338"/>
      <c r="AA41" s="338"/>
      <c r="AB41" s="338"/>
      <c r="AC41" s="395"/>
      <c r="AD41" s="528"/>
      <c r="AE41" s="529"/>
    </row>
    <row r="42">
      <c r="A42" s="103" t="s">
        <v>146</v>
      </c>
      <c r="B42" s="6"/>
      <c r="C42" s="6"/>
      <c r="D42" s="6"/>
      <c r="E42" s="6"/>
      <c r="F42" s="6"/>
      <c r="G42" s="370"/>
      <c r="H42" s="520"/>
      <c r="I42" s="521"/>
      <c r="J42" s="521"/>
      <c r="K42" s="521"/>
      <c r="L42" s="521"/>
      <c r="M42" s="521"/>
      <c r="N42" s="521"/>
      <c r="O42" s="521"/>
      <c r="P42" s="521"/>
      <c r="Q42" s="521"/>
      <c r="R42" s="521"/>
      <c r="S42" s="521"/>
      <c r="T42" s="521"/>
      <c r="U42" s="521"/>
      <c r="V42" s="521"/>
      <c r="W42" s="521"/>
      <c r="X42" s="521"/>
      <c r="Y42" s="521"/>
      <c r="Z42" s="521"/>
      <c r="AA42" s="521"/>
      <c r="AB42" s="521"/>
      <c r="AC42" s="522"/>
      <c r="AD42" s="523"/>
      <c r="AE42" s="524"/>
    </row>
    <row r="43">
      <c r="A43" s="107"/>
      <c r="B43" s="108"/>
      <c r="C43" s="190"/>
      <c r="D43" s="108"/>
      <c r="E43" s="484"/>
      <c r="F43" s="110"/>
      <c r="G43" s="111"/>
      <c r="H43" s="485"/>
      <c r="I43" s="263"/>
      <c r="J43" s="263"/>
      <c r="K43" s="263"/>
      <c r="L43" s="580"/>
      <c r="M43" s="263"/>
      <c r="N43" s="263"/>
      <c r="O43" s="263"/>
      <c r="P43" s="263"/>
      <c r="Q43" s="263"/>
      <c r="R43" s="263"/>
      <c r="S43" s="263"/>
      <c r="T43" s="263"/>
      <c r="U43" s="263"/>
      <c r="V43" s="263"/>
      <c r="W43" s="263"/>
      <c r="X43" s="263"/>
      <c r="Y43" s="263"/>
      <c r="Z43" s="263"/>
      <c r="AA43" s="263"/>
      <c r="AB43" s="263"/>
      <c r="AC43" s="53"/>
      <c r="AD43" s="486"/>
      <c r="AE43" s="487"/>
    </row>
    <row r="44">
      <c r="A44" s="107"/>
      <c r="B44" s="108"/>
      <c r="C44" s="194" t="s">
        <v>328</v>
      </c>
      <c r="F44" s="110"/>
      <c r="G44" s="111"/>
      <c r="H44" s="485"/>
      <c r="I44" s="263"/>
      <c r="J44" s="263"/>
      <c r="K44" s="263"/>
      <c r="L44" s="263"/>
      <c r="M44" s="263"/>
      <c r="N44" s="263"/>
      <c r="O44" s="263"/>
      <c r="P44" s="263"/>
      <c r="Q44" s="263"/>
      <c r="R44" s="263"/>
      <c r="S44" s="263"/>
      <c r="T44" s="263"/>
      <c r="U44" s="263"/>
      <c r="V44" s="263"/>
      <c r="W44" s="263"/>
      <c r="X44" s="263"/>
      <c r="Y44" s="263"/>
      <c r="Z44" s="263"/>
      <c r="AA44" s="263"/>
      <c r="AB44" s="263"/>
      <c r="AC44" s="53"/>
      <c r="AD44" s="486"/>
      <c r="AE44" s="487"/>
    </row>
    <row r="45">
      <c r="A45" s="107"/>
      <c r="B45" s="108"/>
      <c r="C45" s="152"/>
      <c r="D45" s="108"/>
      <c r="E45" s="514" t="s">
        <v>329</v>
      </c>
      <c r="F45" s="154" t="s">
        <v>59</v>
      </c>
      <c r="G45" s="179" t="s">
        <v>68</v>
      </c>
      <c r="H45" s="581">
        <v>0.75</v>
      </c>
      <c r="I45" s="130" t="s">
        <v>132</v>
      </c>
      <c r="J45" s="130" t="s">
        <v>132</v>
      </c>
      <c r="K45" s="130" t="s">
        <v>132</v>
      </c>
      <c r="L45" s="130" t="s">
        <v>132</v>
      </c>
      <c r="M45" s="130" t="s">
        <v>132</v>
      </c>
      <c r="N45" s="130" t="s">
        <v>132</v>
      </c>
      <c r="O45" s="130" t="s">
        <v>132</v>
      </c>
      <c r="P45" s="130" t="s">
        <v>132</v>
      </c>
      <c r="Q45" s="130" t="s">
        <v>132</v>
      </c>
      <c r="R45" s="130" t="s">
        <v>132</v>
      </c>
      <c r="S45" s="130" t="s">
        <v>132</v>
      </c>
      <c r="T45" s="130" t="s">
        <v>132</v>
      </c>
      <c r="U45" s="130" t="s">
        <v>132</v>
      </c>
      <c r="V45" s="130" t="s">
        <v>132</v>
      </c>
      <c r="W45" s="130" t="s">
        <v>132</v>
      </c>
      <c r="X45" s="130" t="s">
        <v>132</v>
      </c>
      <c r="Y45" s="130" t="s">
        <v>132</v>
      </c>
      <c r="Z45" s="130" t="s">
        <v>132</v>
      </c>
      <c r="AA45" s="130" t="s">
        <v>132</v>
      </c>
      <c r="AB45" s="130" t="s">
        <v>132</v>
      </c>
      <c r="AC45" s="498"/>
      <c r="AD45" s="582" t="s">
        <v>306</v>
      </c>
      <c r="AE45" s="583" t="s">
        <v>330</v>
      </c>
    </row>
    <row r="46">
      <c r="A46" s="107"/>
      <c r="B46" s="108"/>
      <c r="C46" s="152"/>
      <c r="D46" s="108"/>
      <c r="E46" s="584" t="s">
        <v>331</v>
      </c>
      <c r="F46" s="159" t="s">
        <v>59</v>
      </c>
      <c r="G46" s="212" t="s">
        <v>68</v>
      </c>
      <c r="H46" s="585">
        <v>0.8977</v>
      </c>
      <c r="I46" s="136" t="s">
        <v>132</v>
      </c>
      <c r="J46" s="136" t="s">
        <v>132</v>
      </c>
      <c r="K46" s="136" t="s">
        <v>132</v>
      </c>
      <c r="L46" s="136" t="s">
        <v>132</v>
      </c>
      <c r="M46" s="136" t="s">
        <v>132</v>
      </c>
      <c r="N46" s="136" t="s">
        <v>132</v>
      </c>
      <c r="O46" s="136" t="s">
        <v>132</v>
      </c>
      <c r="P46" s="136" t="s">
        <v>132</v>
      </c>
      <c r="Q46" s="136" t="s">
        <v>132</v>
      </c>
      <c r="R46" s="136" t="s">
        <v>132</v>
      </c>
      <c r="S46" s="136" t="s">
        <v>132</v>
      </c>
      <c r="T46" s="136" t="s">
        <v>132</v>
      </c>
      <c r="U46" s="136" t="s">
        <v>132</v>
      </c>
      <c r="V46" s="136" t="s">
        <v>132</v>
      </c>
      <c r="W46" s="136" t="s">
        <v>132</v>
      </c>
      <c r="X46" s="136" t="s">
        <v>132</v>
      </c>
      <c r="Y46" s="136" t="s">
        <v>132</v>
      </c>
      <c r="Z46" s="136" t="s">
        <v>132</v>
      </c>
      <c r="AA46" s="136" t="s">
        <v>132</v>
      </c>
      <c r="AB46" s="136" t="s">
        <v>132</v>
      </c>
      <c r="AC46" s="505"/>
      <c r="AD46" s="586" t="s">
        <v>306</v>
      </c>
      <c r="AE46" s="587" t="s">
        <v>83</v>
      </c>
    </row>
    <row r="47">
      <c r="A47" s="107"/>
      <c r="B47" s="108"/>
      <c r="C47" s="152"/>
      <c r="D47" s="108"/>
      <c r="E47" s="584" t="s">
        <v>332</v>
      </c>
      <c r="F47" s="159" t="s">
        <v>59</v>
      </c>
      <c r="G47" s="212" t="s">
        <v>68</v>
      </c>
      <c r="H47" s="585">
        <v>-0.05</v>
      </c>
      <c r="I47" s="136" t="s">
        <v>132</v>
      </c>
      <c r="J47" s="136" t="s">
        <v>132</v>
      </c>
      <c r="K47" s="136" t="s">
        <v>132</v>
      </c>
      <c r="L47" s="136" t="s">
        <v>132</v>
      </c>
      <c r="M47" s="136" t="s">
        <v>132</v>
      </c>
      <c r="N47" s="136" t="s">
        <v>132</v>
      </c>
      <c r="O47" s="136" t="s">
        <v>132</v>
      </c>
      <c r="P47" s="136" t="s">
        <v>132</v>
      </c>
      <c r="Q47" s="136" t="s">
        <v>132</v>
      </c>
      <c r="R47" s="136" t="s">
        <v>132</v>
      </c>
      <c r="S47" s="136" t="s">
        <v>132</v>
      </c>
      <c r="T47" s="136" t="s">
        <v>132</v>
      </c>
      <c r="U47" s="136" t="s">
        <v>132</v>
      </c>
      <c r="V47" s="136" t="s">
        <v>132</v>
      </c>
      <c r="W47" s="136" t="s">
        <v>132</v>
      </c>
      <c r="X47" s="136" t="s">
        <v>132</v>
      </c>
      <c r="Y47" s="136" t="s">
        <v>132</v>
      </c>
      <c r="Z47" s="136" t="s">
        <v>132</v>
      </c>
      <c r="AA47" s="136" t="s">
        <v>132</v>
      </c>
      <c r="AB47" s="136" t="s">
        <v>132</v>
      </c>
      <c r="AC47" s="505"/>
      <c r="AD47" s="588" t="s">
        <v>324</v>
      </c>
      <c r="AE47" s="589"/>
    </row>
    <row r="48">
      <c r="A48" s="107"/>
      <c r="B48" s="108"/>
      <c r="C48" s="152"/>
      <c r="D48" s="108"/>
      <c r="E48" s="584" t="s">
        <v>333</v>
      </c>
      <c r="F48" s="159" t="s">
        <v>59</v>
      </c>
      <c r="G48" s="212" t="s">
        <v>68</v>
      </c>
      <c r="H48" s="585">
        <v>0.0</v>
      </c>
      <c r="I48" s="136" t="s">
        <v>132</v>
      </c>
      <c r="J48" s="136" t="s">
        <v>132</v>
      </c>
      <c r="K48" s="136" t="s">
        <v>132</v>
      </c>
      <c r="L48" s="136" t="s">
        <v>132</v>
      </c>
      <c r="M48" s="136" t="s">
        <v>132</v>
      </c>
      <c r="N48" s="136" t="s">
        <v>132</v>
      </c>
      <c r="O48" s="136" t="s">
        <v>132</v>
      </c>
      <c r="P48" s="136" t="s">
        <v>132</v>
      </c>
      <c r="Q48" s="136" t="s">
        <v>132</v>
      </c>
      <c r="R48" s="136" t="s">
        <v>132</v>
      </c>
      <c r="S48" s="136" t="s">
        <v>132</v>
      </c>
      <c r="T48" s="136" t="s">
        <v>132</v>
      </c>
      <c r="U48" s="136" t="s">
        <v>132</v>
      </c>
      <c r="V48" s="136" t="s">
        <v>132</v>
      </c>
      <c r="W48" s="136" t="s">
        <v>132</v>
      </c>
      <c r="X48" s="136" t="s">
        <v>132</v>
      </c>
      <c r="Y48" s="136" t="s">
        <v>132</v>
      </c>
      <c r="Z48" s="136" t="s">
        <v>132</v>
      </c>
      <c r="AA48" s="136" t="s">
        <v>132</v>
      </c>
      <c r="AB48" s="136" t="s">
        <v>132</v>
      </c>
      <c r="AC48" s="505"/>
      <c r="AD48" s="588" t="s">
        <v>324</v>
      </c>
      <c r="AE48" s="589"/>
    </row>
    <row r="49">
      <c r="A49" s="107"/>
      <c r="B49" s="108"/>
      <c r="C49" s="152"/>
      <c r="D49" s="108"/>
      <c r="E49" s="584" t="s">
        <v>334</v>
      </c>
      <c r="F49" s="159" t="s">
        <v>59</v>
      </c>
      <c r="G49" s="212" t="s">
        <v>68</v>
      </c>
      <c r="H49" s="502" t="s">
        <v>132</v>
      </c>
      <c r="I49" s="503">
        <v>0.0</v>
      </c>
      <c r="J49" s="503">
        <v>0.0</v>
      </c>
      <c r="K49" s="503">
        <v>0.0</v>
      </c>
      <c r="L49" s="504">
        <v>-0.25</v>
      </c>
      <c r="M49" s="504">
        <v>-0.25</v>
      </c>
      <c r="N49" s="504">
        <v>-0.25</v>
      </c>
      <c r="O49" s="504">
        <v>-0.25</v>
      </c>
      <c r="P49" s="504">
        <v>-0.25</v>
      </c>
      <c r="Q49" s="503">
        <v>0.0</v>
      </c>
      <c r="R49" s="503">
        <v>0.0</v>
      </c>
      <c r="S49" s="503">
        <v>0.0</v>
      </c>
      <c r="T49" s="503">
        <v>0.0</v>
      </c>
      <c r="U49" s="503">
        <v>0.0</v>
      </c>
      <c r="V49" s="503">
        <v>0.0</v>
      </c>
      <c r="W49" s="503">
        <v>0.0</v>
      </c>
      <c r="X49" s="503">
        <v>0.0</v>
      </c>
      <c r="Y49" s="503">
        <v>0.0</v>
      </c>
      <c r="Z49" s="503">
        <v>0.0</v>
      </c>
      <c r="AA49" s="503">
        <v>0.0</v>
      </c>
      <c r="AB49" s="504">
        <v>-0.25</v>
      </c>
      <c r="AC49" s="505"/>
      <c r="AD49" s="588" t="s">
        <v>306</v>
      </c>
      <c r="AE49" s="589"/>
    </row>
    <row r="50">
      <c r="A50" s="107"/>
      <c r="B50" s="108"/>
      <c r="C50" s="152"/>
      <c r="D50" s="108"/>
      <c r="E50" s="584" t="s">
        <v>335</v>
      </c>
      <c r="F50" s="159" t="s">
        <v>59</v>
      </c>
      <c r="G50" s="212" t="s">
        <v>68</v>
      </c>
      <c r="H50" s="585">
        <v>1.0</v>
      </c>
      <c r="I50" s="136" t="s">
        <v>132</v>
      </c>
      <c r="J50" s="136" t="s">
        <v>132</v>
      </c>
      <c r="K50" s="136" t="s">
        <v>132</v>
      </c>
      <c r="L50" s="136" t="s">
        <v>132</v>
      </c>
      <c r="M50" s="136" t="s">
        <v>132</v>
      </c>
      <c r="N50" s="136" t="s">
        <v>132</v>
      </c>
      <c r="O50" s="136" t="s">
        <v>132</v>
      </c>
      <c r="P50" s="136" t="s">
        <v>132</v>
      </c>
      <c r="Q50" s="136" t="s">
        <v>132</v>
      </c>
      <c r="R50" s="136" t="s">
        <v>132</v>
      </c>
      <c r="S50" s="136" t="s">
        <v>132</v>
      </c>
      <c r="T50" s="136" t="s">
        <v>132</v>
      </c>
      <c r="U50" s="136" t="s">
        <v>132</v>
      </c>
      <c r="V50" s="136" t="s">
        <v>132</v>
      </c>
      <c r="W50" s="136" t="s">
        <v>132</v>
      </c>
      <c r="X50" s="136" t="s">
        <v>132</v>
      </c>
      <c r="Y50" s="136" t="s">
        <v>132</v>
      </c>
      <c r="Z50" s="136" t="s">
        <v>132</v>
      </c>
      <c r="AA50" s="136" t="s">
        <v>132</v>
      </c>
      <c r="AB50" s="136" t="s">
        <v>132</v>
      </c>
      <c r="AC50" s="505"/>
      <c r="AD50" s="588" t="s">
        <v>324</v>
      </c>
      <c r="AE50" s="589"/>
    </row>
    <row r="51">
      <c r="A51" s="107"/>
      <c r="B51" s="108"/>
      <c r="C51" s="152"/>
      <c r="D51" s="108"/>
      <c r="E51" s="590" t="s">
        <v>336</v>
      </c>
      <c r="F51" s="591" t="s">
        <v>59</v>
      </c>
      <c r="G51" s="592" t="s">
        <v>68</v>
      </c>
      <c r="H51" s="593" t="s">
        <v>132</v>
      </c>
      <c r="I51" s="503">
        <v>-0.14</v>
      </c>
      <c r="J51" s="503">
        <v>-0.02</v>
      </c>
      <c r="K51" s="503">
        <v>-0.12</v>
      </c>
      <c r="L51" s="503">
        <v>-0.11</v>
      </c>
      <c r="M51" s="503">
        <v>-0.11</v>
      </c>
      <c r="N51" s="503">
        <v>-0.11</v>
      </c>
      <c r="O51" s="503">
        <v>-0.11</v>
      </c>
      <c r="P51" s="503">
        <v>-0.17</v>
      </c>
      <c r="Q51" s="503">
        <v>-0.11</v>
      </c>
      <c r="R51" s="503">
        <v>-0.11</v>
      </c>
      <c r="S51" s="503">
        <v>-0.11</v>
      </c>
      <c r="T51" s="503">
        <v>-0.11</v>
      </c>
      <c r="U51" s="503">
        <v>-0.11</v>
      </c>
      <c r="V51" s="503">
        <v>-0.11</v>
      </c>
      <c r="W51" s="503">
        <v>-0.11</v>
      </c>
      <c r="X51" s="503">
        <v>-0.11</v>
      </c>
      <c r="Y51" s="503">
        <v>-0.11</v>
      </c>
      <c r="Z51" s="503">
        <v>-0.14</v>
      </c>
      <c r="AA51" s="503">
        <v>-0.13</v>
      </c>
      <c r="AB51" s="503">
        <v>-0.17</v>
      </c>
      <c r="AC51" s="505"/>
      <c r="AD51" s="588" t="s">
        <v>306</v>
      </c>
      <c r="AE51" s="594" t="s">
        <v>87</v>
      </c>
    </row>
    <row r="52">
      <c r="A52" s="107"/>
      <c r="B52" s="108"/>
      <c r="C52" s="152"/>
      <c r="D52" s="108"/>
      <c r="E52" s="584" t="s">
        <v>337</v>
      </c>
      <c r="F52" s="159" t="s">
        <v>49</v>
      </c>
      <c r="G52" s="212" t="s">
        <v>68</v>
      </c>
      <c r="H52" s="502">
        <v>0.75</v>
      </c>
      <c r="I52" s="136" t="s">
        <v>132</v>
      </c>
      <c r="J52" s="136" t="s">
        <v>132</v>
      </c>
      <c r="K52" s="136" t="s">
        <v>132</v>
      </c>
      <c r="L52" s="136" t="s">
        <v>132</v>
      </c>
      <c r="M52" s="136" t="s">
        <v>132</v>
      </c>
      <c r="N52" s="136" t="s">
        <v>132</v>
      </c>
      <c r="O52" s="136" t="s">
        <v>132</v>
      </c>
      <c r="P52" s="136" t="s">
        <v>132</v>
      </c>
      <c r="Q52" s="136" t="s">
        <v>132</v>
      </c>
      <c r="R52" s="136" t="s">
        <v>132</v>
      </c>
      <c r="S52" s="136" t="s">
        <v>132</v>
      </c>
      <c r="T52" s="136" t="s">
        <v>132</v>
      </c>
      <c r="U52" s="136" t="s">
        <v>132</v>
      </c>
      <c r="V52" s="136" t="s">
        <v>132</v>
      </c>
      <c r="W52" s="136" t="s">
        <v>132</v>
      </c>
      <c r="X52" s="136" t="s">
        <v>132</v>
      </c>
      <c r="Y52" s="136" t="s">
        <v>132</v>
      </c>
      <c r="Z52" s="136" t="s">
        <v>132</v>
      </c>
      <c r="AA52" s="136" t="s">
        <v>132</v>
      </c>
      <c r="AB52" s="136" t="s">
        <v>132</v>
      </c>
      <c r="AC52" s="505"/>
      <c r="AD52" s="588" t="s">
        <v>324</v>
      </c>
      <c r="AE52" s="589"/>
    </row>
    <row r="53">
      <c r="A53" s="107"/>
      <c r="B53" s="108"/>
      <c r="C53" s="152"/>
      <c r="D53" s="108"/>
      <c r="E53" s="562" t="s">
        <v>338</v>
      </c>
      <c r="F53" s="164" t="s">
        <v>59</v>
      </c>
      <c r="G53" s="219" t="s">
        <v>68</v>
      </c>
      <c r="H53" s="508" t="s">
        <v>132</v>
      </c>
      <c r="I53" s="509">
        <v>0.7</v>
      </c>
      <c r="J53" s="509">
        <v>0.7</v>
      </c>
      <c r="K53" s="509">
        <v>0.7</v>
      </c>
      <c r="L53" s="509">
        <f t="shared" ref="L53:P53" si="5">AVERAGE(33%, 70%)</f>
        <v>0.515</v>
      </c>
      <c r="M53" s="509">
        <f t="shared" si="5"/>
        <v>0.515</v>
      </c>
      <c r="N53" s="509">
        <f t="shared" si="5"/>
        <v>0.515</v>
      </c>
      <c r="O53" s="509">
        <f t="shared" si="5"/>
        <v>0.515</v>
      </c>
      <c r="P53" s="509">
        <f t="shared" si="5"/>
        <v>0.515</v>
      </c>
      <c r="Q53" s="509">
        <v>0.7</v>
      </c>
      <c r="R53" s="509">
        <v>0.7</v>
      </c>
      <c r="S53" s="509">
        <v>0.7</v>
      </c>
      <c r="T53" s="509">
        <v>0.7</v>
      </c>
      <c r="U53" s="509">
        <v>0.7</v>
      </c>
      <c r="V53" s="509">
        <v>0.7</v>
      </c>
      <c r="W53" s="509">
        <v>0.7</v>
      </c>
      <c r="X53" s="509">
        <v>0.7</v>
      </c>
      <c r="Y53" s="509">
        <v>0.7</v>
      </c>
      <c r="Z53" s="509">
        <v>0.7</v>
      </c>
      <c r="AA53" s="509">
        <v>0.7</v>
      </c>
      <c r="AB53" s="509">
        <v>0.62</v>
      </c>
      <c r="AC53" s="511"/>
      <c r="AD53" s="564" t="s">
        <v>324</v>
      </c>
      <c r="AE53" s="595"/>
    </row>
    <row r="54">
      <c r="A54" s="107"/>
      <c r="B54" s="108"/>
      <c r="C54" s="152"/>
      <c r="D54" s="108"/>
      <c r="E54" s="484"/>
      <c r="F54" s="110"/>
      <c r="G54" s="111"/>
      <c r="H54" s="485"/>
      <c r="I54" s="263"/>
      <c r="J54" s="263"/>
      <c r="K54" s="263"/>
      <c r="L54" s="263"/>
      <c r="M54" s="263"/>
      <c r="N54" s="263"/>
      <c r="O54" s="263"/>
      <c r="P54" s="263"/>
      <c r="Q54" s="263"/>
      <c r="R54" s="263"/>
      <c r="S54" s="263"/>
      <c r="T54" s="263"/>
      <c r="U54" s="263"/>
      <c r="V54" s="263"/>
      <c r="W54" s="263"/>
      <c r="X54" s="263"/>
      <c r="Y54" s="263"/>
      <c r="Z54" s="263"/>
      <c r="AA54" s="263"/>
      <c r="AB54" s="263"/>
      <c r="AC54" s="53"/>
      <c r="AD54" s="486"/>
      <c r="AE54" s="487"/>
    </row>
    <row r="55">
      <c r="A55" s="107"/>
      <c r="B55" s="108"/>
      <c r="C55" s="194" t="s">
        <v>339</v>
      </c>
      <c r="F55" s="110"/>
      <c r="G55" s="111"/>
      <c r="H55" s="485"/>
      <c r="I55" s="263"/>
      <c r="J55" s="263"/>
      <c r="K55" s="263"/>
      <c r="L55" s="263"/>
      <c r="M55" s="263"/>
      <c r="N55" s="263"/>
      <c r="O55" s="263"/>
      <c r="P55" s="263"/>
      <c r="Q55" s="263"/>
      <c r="R55" s="263"/>
      <c r="S55" s="263"/>
      <c r="T55" s="263"/>
      <c r="U55" s="263"/>
      <c r="V55" s="263"/>
      <c r="W55" s="263"/>
      <c r="X55" s="263"/>
      <c r="Y55" s="263"/>
      <c r="Z55" s="263"/>
      <c r="AA55" s="263"/>
      <c r="AB55" s="263"/>
      <c r="AC55" s="53"/>
      <c r="AD55" s="486"/>
      <c r="AE55" s="487"/>
    </row>
    <row r="56">
      <c r="A56" s="107"/>
      <c r="B56" s="108"/>
      <c r="C56" s="152"/>
      <c r="D56" s="108"/>
      <c r="E56" s="514" t="s">
        <v>340</v>
      </c>
      <c r="F56" s="154" t="s">
        <v>59</v>
      </c>
      <c r="G56" s="179" t="s">
        <v>68</v>
      </c>
      <c r="H56" s="581">
        <v>0.6</v>
      </c>
      <c r="I56" s="130" t="s">
        <v>132</v>
      </c>
      <c r="J56" s="130" t="s">
        <v>132</v>
      </c>
      <c r="K56" s="130" t="s">
        <v>132</v>
      </c>
      <c r="L56" s="130" t="s">
        <v>132</v>
      </c>
      <c r="M56" s="130" t="s">
        <v>132</v>
      </c>
      <c r="N56" s="130" t="s">
        <v>132</v>
      </c>
      <c r="O56" s="130" t="s">
        <v>132</v>
      </c>
      <c r="P56" s="130" t="s">
        <v>132</v>
      </c>
      <c r="Q56" s="130" t="s">
        <v>132</v>
      </c>
      <c r="R56" s="130" t="s">
        <v>132</v>
      </c>
      <c r="S56" s="130" t="s">
        <v>132</v>
      </c>
      <c r="T56" s="130" t="s">
        <v>132</v>
      </c>
      <c r="U56" s="130" t="s">
        <v>132</v>
      </c>
      <c r="V56" s="130" t="s">
        <v>132</v>
      </c>
      <c r="W56" s="130" t="s">
        <v>132</v>
      </c>
      <c r="X56" s="130" t="s">
        <v>132</v>
      </c>
      <c r="Y56" s="130" t="s">
        <v>132</v>
      </c>
      <c r="Z56" s="130" t="s">
        <v>132</v>
      </c>
      <c r="AA56" s="130" t="s">
        <v>132</v>
      </c>
      <c r="AB56" s="130" t="s">
        <v>132</v>
      </c>
      <c r="AC56" s="498"/>
      <c r="AD56" s="596" t="s">
        <v>341</v>
      </c>
      <c r="AE56" s="597"/>
    </row>
    <row r="57">
      <c r="A57" s="107"/>
      <c r="B57" s="108"/>
      <c r="C57" s="152"/>
      <c r="D57" s="108"/>
      <c r="E57" s="584" t="s">
        <v>342</v>
      </c>
      <c r="F57" s="159" t="s">
        <v>59</v>
      </c>
      <c r="G57" s="212" t="s">
        <v>68</v>
      </c>
      <c r="H57" s="585">
        <v>0.26</v>
      </c>
      <c r="I57" s="136" t="s">
        <v>132</v>
      </c>
      <c r="J57" s="136" t="s">
        <v>132</v>
      </c>
      <c r="K57" s="136" t="s">
        <v>132</v>
      </c>
      <c r="L57" s="136" t="s">
        <v>132</v>
      </c>
      <c r="M57" s="136" t="s">
        <v>132</v>
      </c>
      <c r="N57" s="136" t="s">
        <v>132</v>
      </c>
      <c r="O57" s="136" t="s">
        <v>132</v>
      </c>
      <c r="P57" s="136" t="s">
        <v>132</v>
      </c>
      <c r="Q57" s="136" t="s">
        <v>132</v>
      </c>
      <c r="R57" s="136" t="s">
        <v>132</v>
      </c>
      <c r="S57" s="136" t="s">
        <v>132</v>
      </c>
      <c r="T57" s="136" t="s">
        <v>132</v>
      </c>
      <c r="U57" s="136" t="s">
        <v>132</v>
      </c>
      <c r="V57" s="136" t="s">
        <v>132</v>
      </c>
      <c r="W57" s="136" t="s">
        <v>132</v>
      </c>
      <c r="X57" s="136" t="s">
        <v>132</v>
      </c>
      <c r="Y57" s="136" t="s">
        <v>132</v>
      </c>
      <c r="Z57" s="136" t="s">
        <v>132</v>
      </c>
      <c r="AA57" s="136" t="s">
        <v>132</v>
      </c>
      <c r="AB57" s="136" t="s">
        <v>132</v>
      </c>
      <c r="AC57" s="505"/>
      <c r="AD57" s="598" t="s">
        <v>341</v>
      </c>
      <c r="AE57" s="599"/>
    </row>
    <row r="58">
      <c r="A58" s="107"/>
      <c r="B58" s="108"/>
      <c r="C58" s="152"/>
      <c r="D58" s="108"/>
      <c r="E58" s="562" t="s">
        <v>343</v>
      </c>
      <c r="F58" s="164" t="s">
        <v>59</v>
      </c>
      <c r="G58" s="219" t="s">
        <v>68</v>
      </c>
      <c r="H58" s="600">
        <v>-0.6912579</v>
      </c>
      <c r="I58" s="142" t="s">
        <v>132</v>
      </c>
      <c r="J58" s="142" t="s">
        <v>132</v>
      </c>
      <c r="K58" s="142" t="s">
        <v>132</v>
      </c>
      <c r="L58" s="142" t="s">
        <v>132</v>
      </c>
      <c r="M58" s="142" t="s">
        <v>132</v>
      </c>
      <c r="N58" s="142" t="s">
        <v>132</v>
      </c>
      <c r="O58" s="142" t="s">
        <v>132</v>
      </c>
      <c r="P58" s="142" t="s">
        <v>132</v>
      </c>
      <c r="Q58" s="142" t="s">
        <v>132</v>
      </c>
      <c r="R58" s="142" t="s">
        <v>132</v>
      </c>
      <c r="S58" s="142" t="s">
        <v>132</v>
      </c>
      <c r="T58" s="142" t="s">
        <v>132</v>
      </c>
      <c r="U58" s="142" t="s">
        <v>132</v>
      </c>
      <c r="V58" s="142" t="s">
        <v>132</v>
      </c>
      <c r="W58" s="142" t="s">
        <v>132</v>
      </c>
      <c r="X58" s="142" t="s">
        <v>132</v>
      </c>
      <c r="Y58" s="142" t="s">
        <v>132</v>
      </c>
      <c r="Z58" s="142" t="s">
        <v>132</v>
      </c>
      <c r="AA58" s="142" t="s">
        <v>132</v>
      </c>
      <c r="AB58" s="142" t="s">
        <v>132</v>
      </c>
      <c r="AC58" s="511"/>
      <c r="AD58" s="490" t="s">
        <v>306</v>
      </c>
      <c r="AE58" s="601" t="s">
        <v>82</v>
      </c>
    </row>
    <row r="59">
      <c r="A59" s="107"/>
      <c r="B59" s="108"/>
      <c r="C59" s="152"/>
      <c r="D59" s="108"/>
      <c r="E59" s="484"/>
      <c r="F59" s="110"/>
      <c r="G59" s="111"/>
      <c r="H59" s="485"/>
      <c r="I59" s="263"/>
      <c r="J59" s="263"/>
      <c r="K59" s="263"/>
      <c r="L59" s="263"/>
      <c r="M59" s="263"/>
      <c r="N59" s="263"/>
      <c r="O59" s="263"/>
      <c r="P59" s="263"/>
      <c r="Q59" s="263"/>
      <c r="R59" s="263"/>
      <c r="S59" s="263"/>
      <c r="T59" s="263"/>
      <c r="U59" s="263"/>
      <c r="V59" s="263"/>
      <c r="W59" s="263"/>
      <c r="X59" s="263"/>
      <c r="Y59" s="263"/>
      <c r="Z59" s="263"/>
      <c r="AA59" s="263"/>
      <c r="AB59" s="263"/>
      <c r="AC59" s="53"/>
      <c r="AD59" s="486"/>
      <c r="AE59" s="487"/>
    </row>
    <row r="60">
      <c r="A60" s="107"/>
      <c r="B60" s="108"/>
      <c r="C60" s="115" t="s">
        <v>344</v>
      </c>
      <c r="F60" s="110"/>
      <c r="G60" s="111"/>
      <c r="H60" s="485"/>
      <c r="I60" s="602"/>
      <c r="J60" s="602"/>
      <c r="K60" s="602"/>
      <c r="L60" s="602"/>
      <c r="M60" s="602"/>
      <c r="N60" s="602"/>
      <c r="O60" s="602"/>
      <c r="P60" s="602"/>
      <c r="Q60" s="602"/>
      <c r="R60" s="602"/>
      <c r="S60" s="602"/>
      <c r="T60" s="602"/>
      <c r="U60" s="602"/>
      <c r="V60" s="602"/>
      <c r="W60" s="602"/>
      <c r="X60" s="602"/>
      <c r="Y60" s="602"/>
      <c r="Z60" s="602"/>
      <c r="AA60" s="602"/>
      <c r="AB60" s="602"/>
      <c r="AC60" s="53"/>
      <c r="AD60" s="486"/>
      <c r="AE60" s="487"/>
    </row>
    <row r="61">
      <c r="A61" s="107"/>
      <c r="B61" s="108"/>
      <c r="C61" s="152"/>
      <c r="D61" s="108"/>
      <c r="E61" s="514" t="s">
        <v>345</v>
      </c>
      <c r="F61" s="154" t="s">
        <v>49</v>
      </c>
      <c r="G61" s="179" t="s">
        <v>68</v>
      </c>
      <c r="H61" s="603" t="s">
        <v>132</v>
      </c>
      <c r="I61" s="604">
        <f>IFERROR(__xludf.DUMMYFUNCTION("FILTER('GBD estimates'!$H$4:$H$1992,'GBD estimates'!$B$4:$B$1992=I$2,'GBD estimates'!$D$4:$D$1992=""&lt;5 years"")"),4106465.0)</f>
        <v>4106465</v>
      </c>
      <c r="J61" s="604">
        <f>IFERROR(__xludf.DUMMYFUNCTION("FILTER('GBD estimates'!$H$4:$H$1992,'GBD estimates'!$B$4:$B$1992=J$2,'GBD estimates'!$D$4:$D$1992=""&lt;5 years"")"),3635515.0)</f>
        <v>3635515</v>
      </c>
      <c r="K61" s="604">
        <f>IFERROR(__xludf.DUMMYFUNCTION("FILTER('GBD estimates'!$H$4:$H$1992,'GBD estimates'!$B$4:$B$1992=K$2,'GBD estimates'!$D$4:$D$1992=""&lt;5 years"")"),4354391.0)</f>
        <v>4354391</v>
      </c>
      <c r="L61" s="604">
        <f>IFERROR(__xludf.DUMMYFUNCTION("FILTER('GBD estimates'!$H$4:$H$1992,'GBD estimates'!$B$4:$B$1992=L$2,'GBD estimates'!$D$4:$D$1992=""&lt;5 years"")"),1.356074E7)</f>
        <v>13560740</v>
      </c>
      <c r="M61" s="604">
        <f>IFERROR(__xludf.DUMMYFUNCTION("FILTER('GBD estimates'!$H$4:$H$1992,'GBD estimates'!$B$4:$B$1992=M$2,'GBD estimates'!$D$4:$D$1992=""&lt;5 years"")"),1.356074E7)</f>
        <v>13560740</v>
      </c>
      <c r="N61" s="604">
        <f>IFERROR(__xludf.DUMMYFUNCTION("FILTER('GBD estimates'!$H$4:$H$1992,'GBD estimates'!$B$4:$B$1992=N$2,'GBD estimates'!$D$4:$D$1992=""&lt;5 years"")"),1.356074E7)</f>
        <v>13560740</v>
      </c>
      <c r="O61" s="604">
        <f>IFERROR(__xludf.DUMMYFUNCTION("FILTER('GBD estimates'!$H$4:$H$1992,'GBD estimates'!$B$4:$B$1992=O$2,'GBD estimates'!$D$4:$D$1992=""&lt;5 years"")"),1.356074E7)</f>
        <v>13560740</v>
      </c>
      <c r="P61" s="604">
        <f>IFERROR(__xludf.DUMMYFUNCTION("FILTER('GBD estimates'!$H$4:$H$1992,'GBD estimates'!$B$4:$B$1992=P$2,'GBD estimates'!$D$4:$D$1992=""&lt;5 years"")"),5179217.0)</f>
        <v>5179217</v>
      </c>
      <c r="Q61" s="604">
        <f>IFERROR(__xludf.DUMMYFUNCTION("FILTER('GBD estimates'!$H$4:$H$1992,'GBD estimates'!$B$4:$B$1992=Q$2,'GBD estimates'!$D$4:$D$1992=""&lt;5 years"")"),3.7117842E7)</f>
        <v>37117842</v>
      </c>
      <c r="R61" s="604">
        <f>IFERROR(__xludf.DUMMYFUNCTION("FILTER('GBD estimates'!$H$4:$H$1992,'GBD estimates'!$B$4:$B$1992=R$2,'GBD estimates'!$D$4:$D$1992=""&lt;5 years"")"),3.7117842E7)</f>
        <v>37117842</v>
      </c>
      <c r="S61" s="604">
        <f>IFERROR(__xludf.DUMMYFUNCTION("FILTER('GBD estimates'!$H$4:$H$1992,'GBD estimates'!$B$4:$B$1992=S$2,'GBD estimates'!$D$4:$D$1992=""&lt;5 years"")"),3.7117842E7)</f>
        <v>37117842</v>
      </c>
      <c r="T61" s="604">
        <f>IFERROR(__xludf.DUMMYFUNCTION("FILTER('GBD estimates'!$H$4:$H$1992,'GBD estimates'!$B$4:$B$1992=T$2,'GBD estimates'!$D$4:$D$1992=""&lt;5 years"")"),3.7117842E7)</f>
        <v>37117842</v>
      </c>
      <c r="U61" s="604">
        <f>IFERROR(__xludf.DUMMYFUNCTION("FILTER('GBD estimates'!$H$4:$H$1992,'GBD estimates'!$B$4:$B$1992=U$2,'GBD estimates'!$D$4:$D$1992=""&lt;5 years"")"),3.7117842E7)</f>
        <v>37117842</v>
      </c>
      <c r="V61" s="604">
        <f>IFERROR(__xludf.DUMMYFUNCTION("FILTER('GBD estimates'!$H$4:$H$1992,'GBD estimates'!$B$4:$B$1992=V$2,'GBD estimates'!$D$4:$D$1992=""&lt;5 years"")"),3.7117842E7)</f>
        <v>37117842</v>
      </c>
      <c r="W61" s="604">
        <f>IFERROR(__xludf.DUMMYFUNCTION("FILTER('GBD estimates'!$H$4:$H$1992,'GBD estimates'!$B$4:$B$1992=W$2,'GBD estimates'!$D$4:$D$1992=""&lt;5 years"")"),3.7117842E7)</f>
        <v>37117842</v>
      </c>
      <c r="X61" s="604">
        <f>IFERROR(__xludf.DUMMYFUNCTION("FILTER('GBD estimates'!$H$4:$H$1992,'GBD estimates'!$B$4:$B$1992=X$2,'GBD estimates'!$D$4:$D$1992=""&lt;5 years"")"),3.7117842E7)</f>
        <v>37117842</v>
      </c>
      <c r="Y61" s="604">
        <f>IFERROR(__xludf.DUMMYFUNCTION("FILTER('GBD estimates'!$H$4:$H$1992,'GBD estimates'!$B$4:$B$1992=Y$2,'GBD estimates'!$D$4:$D$1992=""&lt;5 years"")"),3.7117842E7)</f>
        <v>37117842</v>
      </c>
      <c r="Z61" s="604">
        <f>IFERROR(__xludf.DUMMYFUNCTION("FILTER('GBD estimates'!$H$4:$H$1992,'GBD estimates'!$B$4:$B$1992=Z$2,'GBD estimates'!$D$4:$D$1992=""&lt;5 years"")"),1562334.0)</f>
        <v>1562334</v>
      </c>
      <c r="AA61" s="604">
        <f>IFERROR(__xludf.DUMMYFUNCTION("FILTER('GBD estimates'!$H$4:$H$1992,'GBD estimates'!$B$4:$B$1992=AA$2,'GBD estimates'!$D$4:$D$1992=""&lt;5 years"")"),1172510.0)</f>
        <v>1172510</v>
      </c>
      <c r="AB61" s="604">
        <f>IFERROR(__xludf.DUMMYFUNCTION("FILTER('GBD estimates'!$H$4:$H$1992,'GBD estimates'!$B$4:$B$1992=AB$2,'GBD estimates'!$D$4:$D$1992=""&lt;5 years"")"),7317718.0)</f>
        <v>7317718</v>
      </c>
      <c r="AC61" s="498"/>
      <c r="AD61" s="516" t="s">
        <v>346</v>
      </c>
      <c r="AE61" s="597"/>
    </row>
    <row r="62">
      <c r="A62" s="107"/>
      <c r="B62" s="108"/>
      <c r="C62" s="152"/>
      <c r="D62" s="108"/>
      <c r="E62" s="517" t="s">
        <v>347</v>
      </c>
      <c r="F62" s="119" t="s">
        <v>49</v>
      </c>
      <c r="G62" s="149" t="s">
        <v>68</v>
      </c>
      <c r="H62" s="605" t="s">
        <v>132</v>
      </c>
      <c r="I62" s="606">
        <f>IFERROR(__xludf.DUMMYFUNCTION("FILTER('GBD estimates'!$H$4:$H$1992,'GBD estimates'!$B$4:$B$1992=I$2,'GBD estimates'!$D$4:$D$1992=""5-14 years"")"),6265702.0)</f>
        <v>6265702</v>
      </c>
      <c r="J62" s="606">
        <f>IFERROR(__xludf.DUMMYFUNCTION("FILTER('GBD estimates'!$H$4:$H$1992,'GBD estimates'!$B$4:$B$1992=J$2,'GBD estimates'!$D$4:$D$1992=""5-14 years"")"),5379382.0)</f>
        <v>5379382</v>
      </c>
      <c r="K62" s="606">
        <f>IFERROR(__xludf.DUMMYFUNCTION("FILTER('GBD estimates'!$H$4:$H$1992,'GBD estimates'!$B$4:$B$1992=K$2,'GBD estimates'!$D$4:$D$1992=""5-14 years"")"),7217393.0)</f>
        <v>7217393</v>
      </c>
      <c r="L62" s="606">
        <f>IFERROR(__xludf.DUMMYFUNCTION("FILTER('GBD estimates'!$H$4:$H$1992,'GBD estimates'!$B$4:$B$1992=L$2,'GBD estimates'!$D$4:$D$1992=""5-14 years"")"),2.4438179E7)</f>
        <v>24438179</v>
      </c>
      <c r="M62" s="606">
        <f>IFERROR(__xludf.DUMMYFUNCTION("FILTER('GBD estimates'!$H$4:$H$1992,'GBD estimates'!$B$4:$B$1992=M$2,'GBD estimates'!$D$4:$D$1992=""5-14 years"")"),2.4438179E7)</f>
        <v>24438179</v>
      </c>
      <c r="N62" s="606">
        <f>IFERROR(__xludf.DUMMYFUNCTION("FILTER('GBD estimates'!$H$4:$H$1992,'GBD estimates'!$B$4:$B$1992=N$2,'GBD estimates'!$D$4:$D$1992=""5-14 years"")"),2.4438179E7)</f>
        <v>24438179</v>
      </c>
      <c r="O62" s="606">
        <f>IFERROR(__xludf.DUMMYFUNCTION("FILTER('GBD estimates'!$H$4:$H$1992,'GBD estimates'!$B$4:$B$1992=O$2,'GBD estimates'!$D$4:$D$1992=""5-14 years"")"),2.4438179E7)</f>
        <v>24438179</v>
      </c>
      <c r="P62" s="606">
        <f>IFERROR(__xludf.DUMMYFUNCTION("FILTER('GBD estimates'!$H$4:$H$1992,'GBD estimates'!$B$4:$B$1992=P$2,'GBD estimates'!$D$4:$D$1992=""5-14 years"")"),9086792.0)</f>
        <v>9086792</v>
      </c>
      <c r="Q62" s="606">
        <f>IFERROR(__xludf.DUMMYFUNCTION("FILTER('GBD estimates'!$H$4:$H$1992,'GBD estimates'!$B$4:$B$1992=Q$2,'GBD estimates'!$D$4:$D$1992=""5-14 years"")"),6.447122E7)</f>
        <v>64471220</v>
      </c>
      <c r="R62" s="606">
        <f>IFERROR(__xludf.DUMMYFUNCTION("FILTER('GBD estimates'!$H$4:$H$1992,'GBD estimates'!$B$4:$B$1992=R$2,'GBD estimates'!$D$4:$D$1992=""5-14 years"")"),6.447122E7)</f>
        <v>64471220</v>
      </c>
      <c r="S62" s="606">
        <f>IFERROR(__xludf.DUMMYFUNCTION("FILTER('GBD estimates'!$H$4:$H$1992,'GBD estimates'!$B$4:$B$1992=S$2,'GBD estimates'!$D$4:$D$1992=""5-14 years"")"),6.447122E7)</f>
        <v>64471220</v>
      </c>
      <c r="T62" s="606">
        <f>IFERROR(__xludf.DUMMYFUNCTION("FILTER('GBD estimates'!$H$4:$H$1992,'GBD estimates'!$B$4:$B$1992=T$2,'GBD estimates'!$D$4:$D$1992=""5-14 years"")"),6.447122E7)</f>
        <v>64471220</v>
      </c>
      <c r="U62" s="606">
        <f>IFERROR(__xludf.DUMMYFUNCTION("FILTER('GBD estimates'!$H$4:$H$1992,'GBD estimates'!$B$4:$B$1992=U$2,'GBD estimates'!$D$4:$D$1992=""5-14 years"")"),6.447122E7)</f>
        <v>64471220</v>
      </c>
      <c r="V62" s="606">
        <f>IFERROR(__xludf.DUMMYFUNCTION("FILTER('GBD estimates'!$H$4:$H$1992,'GBD estimates'!$B$4:$B$1992=V$2,'GBD estimates'!$D$4:$D$1992=""5-14 years"")"),6.447122E7)</f>
        <v>64471220</v>
      </c>
      <c r="W62" s="606">
        <f>IFERROR(__xludf.DUMMYFUNCTION("FILTER('GBD estimates'!$H$4:$H$1992,'GBD estimates'!$B$4:$B$1992=W$2,'GBD estimates'!$D$4:$D$1992=""5-14 years"")"),6.447122E7)</f>
        <v>64471220</v>
      </c>
      <c r="X62" s="606">
        <f>IFERROR(__xludf.DUMMYFUNCTION("FILTER('GBD estimates'!$H$4:$H$1992,'GBD estimates'!$B$4:$B$1992=X$2,'GBD estimates'!$D$4:$D$1992=""5-14 years"")"),6.447122E7)</f>
        <v>64471220</v>
      </c>
      <c r="Y62" s="606">
        <f>IFERROR(__xludf.DUMMYFUNCTION("FILTER('GBD estimates'!$H$4:$H$1992,'GBD estimates'!$B$4:$B$1992=Y$2,'GBD estimates'!$D$4:$D$1992=""5-14 years"")"),6.447122E7)</f>
        <v>64471220</v>
      </c>
      <c r="Z62" s="606">
        <f>IFERROR(__xludf.DUMMYFUNCTION("FILTER('GBD estimates'!$H$4:$H$1992,'GBD estimates'!$B$4:$B$1992=Z$2,'GBD estimates'!$D$4:$D$1992=""5-14 years"")"),2732617.0)</f>
        <v>2732617</v>
      </c>
      <c r="AA62" s="606">
        <f>IFERROR(__xludf.DUMMYFUNCTION("FILTER('GBD estimates'!$H$4:$H$1992,'GBD estimates'!$B$4:$B$1992=AA$2,'GBD estimates'!$D$4:$D$1992=""5-14 years"")"),2136532.0)</f>
        <v>2136532</v>
      </c>
      <c r="AB62" s="606">
        <f>IFERROR(__xludf.DUMMYFUNCTION("FILTER('GBD estimates'!$H$4:$H$1992,'GBD estimates'!$B$4:$B$1992=AB$2,'GBD estimates'!$D$4:$D$1992=""5-14 years"")"),1.2517987E7)</f>
        <v>12517987</v>
      </c>
      <c r="AC62" s="70"/>
      <c r="AD62" s="516" t="s">
        <v>346</v>
      </c>
      <c r="AE62" s="607"/>
    </row>
    <row r="63">
      <c r="A63" s="107"/>
      <c r="B63" s="108"/>
      <c r="C63" s="152"/>
      <c r="D63" s="108"/>
      <c r="E63" s="608"/>
      <c r="F63" s="125"/>
      <c r="G63" s="125"/>
      <c r="H63" s="609"/>
      <c r="I63" s="610"/>
      <c r="J63" s="610"/>
      <c r="K63" s="610"/>
      <c r="L63" s="610"/>
      <c r="M63" s="610"/>
      <c r="N63" s="610"/>
      <c r="O63" s="610"/>
      <c r="P63" s="610"/>
      <c r="Q63" s="610"/>
      <c r="R63" s="610"/>
      <c r="S63" s="610"/>
      <c r="T63" s="610"/>
      <c r="U63" s="610"/>
      <c r="V63" s="610"/>
      <c r="W63" s="610"/>
      <c r="X63" s="610"/>
      <c r="Y63" s="610"/>
      <c r="Z63" s="610"/>
      <c r="AA63" s="610"/>
      <c r="AB63" s="610"/>
      <c r="AC63" s="53"/>
      <c r="AD63" s="611"/>
      <c r="AE63" s="487"/>
    </row>
    <row r="64">
      <c r="A64" s="107"/>
      <c r="B64" s="108"/>
      <c r="C64" s="115" t="s">
        <v>169</v>
      </c>
      <c r="F64" s="125"/>
      <c r="G64" s="125"/>
      <c r="H64" s="609"/>
      <c r="I64" s="610"/>
      <c r="J64" s="610"/>
      <c r="K64" s="610"/>
      <c r="L64" s="610"/>
      <c r="M64" s="610"/>
      <c r="N64" s="610"/>
      <c r="O64" s="610"/>
      <c r="P64" s="610"/>
      <c r="Q64" s="610"/>
      <c r="R64" s="610"/>
      <c r="S64" s="610"/>
      <c r="T64" s="610"/>
      <c r="U64" s="610"/>
      <c r="V64" s="610"/>
      <c r="W64" s="610"/>
      <c r="X64" s="610"/>
      <c r="Y64" s="610"/>
      <c r="Z64" s="610"/>
      <c r="AA64" s="610"/>
      <c r="AB64" s="610"/>
      <c r="AC64" s="53"/>
      <c r="AD64" s="611"/>
      <c r="AE64" s="487"/>
    </row>
    <row r="65">
      <c r="A65" s="107"/>
      <c r="B65" s="108"/>
      <c r="C65" s="152"/>
      <c r="D65" s="108"/>
      <c r="E65" s="494" t="s">
        <v>348</v>
      </c>
      <c r="F65" s="612" t="s">
        <v>59</v>
      </c>
      <c r="G65" s="613" t="s">
        <v>68</v>
      </c>
      <c r="H65" s="614">
        <v>0.0064543</v>
      </c>
      <c r="I65" s="604" t="s">
        <v>132</v>
      </c>
      <c r="J65" s="604" t="s">
        <v>132</v>
      </c>
      <c r="K65" s="604" t="s">
        <v>132</v>
      </c>
      <c r="L65" s="604" t="s">
        <v>132</v>
      </c>
      <c r="M65" s="604" t="s">
        <v>132</v>
      </c>
      <c r="N65" s="604" t="s">
        <v>132</v>
      </c>
      <c r="O65" s="604" t="s">
        <v>132</v>
      </c>
      <c r="P65" s="604" t="s">
        <v>132</v>
      </c>
      <c r="Q65" s="604" t="s">
        <v>132</v>
      </c>
      <c r="R65" s="604" t="s">
        <v>132</v>
      </c>
      <c r="S65" s="604" t="s">
        <v>132</v>
      </c>
      <c r="T65" s="604" t="s">
        <v>132</v>
      </c>
      <c r="U65" s="604" t="s">
        <v>132</v>
      </c>
      <c r="V65" s="604" t="s">
        <v>132</v>
      </c>
      <c r="W65" s="604" t="s">
        <v>132</v>
      </c>
      <c r="X65" s="604" t="s">
        <v>132</v>
      </c>
      <c r="Y65" s="604" t="s">
        <v>132</v>
      </c>
      <c r="Z65" s="604" t="s">
        <v>132</v>
      </c>
      <c r="AA65" s="604" t="s">
        <v>132</v>
      </c>
      <c r="AB65" s="604" t="s">
        <v>132</v>
      </c>
      <c r="AC65" s="498"/>
      <c r="AD65" s="615" t="s">
        <v>324</v>
      </c>
      <c r="AE65" s="616" t="s">
        <v>84</v>
      </c>
    </row>
    <row r="66">
      <c r="A66" s="107"/>
      <c r="B66" s="108"/>
      <c r="C66" s="152"/>
      <c r="D66" s="108"/>
      <c r="E66" s="617" t="s">
        <v>349</v>
      </c>
      <c r="F66" s="591" t="s">
        <v>49</v>
      </c>
      <c r="G66" s="592" t="s">
        <v>68</v>
      </c>
      <c r="H66" s="618">
        <v>12.5</v>
      </c>
      <c r="I66" s="619" t="s">
        <v>132</v>
      </c>
      <c r="J66" s="619" t="s">
        <v>132</v>
      </c>
      <c r="K66" s="619" t="s">
        <v>132</v>
      </c>
      <c r="L66" s="619" t="s">
        <v>132</v>
      </c>
      <c r="M66" s="619" t="s">
        <v>132</v>
      </c>
      <c r="N66" s="619" t="s">
        <v>132</v>
      </c>
      <c r="O66" s="619" t="s">
        <v>132</v>
      </c>
      <c r="P66" s="619" t="s">
        <v>132</v>
      </c>
      <c r="Q66" s="619" t="s">
        <v>132</v>
      </c>
      <c r="R66" s="619" t="s">
        <v>132</v>
      </c>
      <c r="S66" s="619" t="s">
        <v>132</v>
      </c>
      <c r="T66" s="619" t="s">
        <v>132</v>
      </c>
      <c r="U66" s="619" t="s">
        <v>132</v>
      </c>
      <c r="V66" s="619" t="s">
        <v>132</v>
      </c>
      <c r="W66" s="619" t="s">
        <v>132</v>
      </c>
      <c r="X66" s="619" t="s">
        <v>132</v>
      </c>
      <c r="Y66" s="619" t="s">
        <v>132</v>
      </c>
      <c r="Z66" s="619" t="s">
        <v>132</v>
      </c>
      <c r="AA66" s="619" t="s">
        <v>132</v>
      </c>
      <c r="AB66" s="619" t="s">
        <v>132</v>
      </c>
      <c r="AC66" s="505"/>
      <c r="AD66" s="620" t="s">
        <v>324</v>
      </c>
      <c r="AE66" s="621"/>
    </row>
    <row r="67">
      <c r="A67" s="107"/>
      <c r="B67" s="108"/>
      <c r="C67" s="152"/>
      <c r="D67" s="108"/>
      <c r="E67" s="590" t="s">
        <v>350</v>
      </c>
      <c r="F67" s="591" t="s">
        <v>59</v>
      </c>
      <c r="G67" s="592" t="s">
        <v>68</v>
      </c>
      <c r="H67" s="622">
        <v>0.04</v>
      </c>
      <c r="I67" s="619" t="s">
        <v>132</v>
      </c>
      <c r="J67" s="619" t="s">
        <v>132</v>
      </c>
      <c r="K67" s="619" t="s">
        <v>132</v>
      </c>
      <c r="L67" s="619" t="s">
        <v>132</v>
      </c>
      <c r="M67" s="619" t="s">
        <v>132</v>
      </c>
      <c r="N67" s="619" t="s">
        <v>132</v>
      </c>
      <c r="O67" s="619" t="s">
        <v>132</v>
      </c>
      <c r="P67" s="619" t="s">
        <v>132</v>
      </c>
      <c r="Q67" s="619" t="s">
        <v>132</v>
      </c>
      <c r="R67" s="619" t="s">
        <v>132</v>
      </c>
      <c r="S67" s="619" t="s">
        <v>132</v>
      </c>
      <c r="T67" s="619" t="s">
        <v>132</v>
      </c>
      <c r="U67" s="619" t="s">
        <v>132</v>
      </c>
      <c r="V67" s="619" t="s">
        <v>132</v>
      </c>
      <c r="W67" s="619" t="s">
        <v>132</v>
      </c>
      <c r="X67" s="619" t="s">
        <v>132</v>
      </c>
      <c r="Y67" s="619" t="s">
        <v>132</v>
      </c>
      <c r="Z67" s="619" t="s">
        <v>132</v>
      </c>
      <c r="AA67" s="619" t="s">
        <v>132</v>
      </c>
      <c r="AB67" s="619" t="s">
        <v>132</v>
      </c>
      <c r="AC67" s="505"/>
      <c r="AD67" s="620" t="s">
        <v>306</v>
      </c>
      <c r="AE67" s="623" t="s">
        <v>90</v>
      </c>
    </row>
    <row r="68">
      <c r="A68" s="107"/>
      <c r="B68" s="108"/>
      <c r="C68" s="152"/>
      <c r="D68" s="108"/>
      <c r="E68" s="584" t="s">
        <v>351</v>
      </c>
      <c r="F68" s="591" t="s">
        <v>49</v>
      </c>
      <c r="G68" s="592" t="s">
        <v>68</v>
      </c>
      <c r="H68" s="624">
        <v>40.0</v>
      </c>
      <c r="I68" s="619" t="s">
        <v>132</v>
      </c>
      <c r="J68" s="619" t="s">
        <v>132</v>
      </c>
      <c r="K68" s="619" t="s">
        <v>132</v>
      </c>
      <c r="L68" s="619" t="s">
        <v>132</v>
      </c>
      <c r="M68" s="619" t="s">
        <v>132</v>
      </c>
      <c r="N68" s="619" t="s">
        <v>132</v>
      </c>
      <c r="O68" s="619" t="s">
        <v>132</v>
      </c>
      <c r="P68" s="619" t="s">
        <v>132</v>
      </c>
      <c r="Q68" s="619" t="s">
        <v>132</v>
      </c>
      <c r="R68" s="619" t="s">
        <v>132</v>
      </c>
      <c r="S68" s="619" t="s">
        <v>132</v>
      </c>
      <c r="T68" s="619" t="s">
        <v>132</v>
      </c>
      <c r="U68" s="619" t="s">
        <v>132</v>
      </c>
      <c r="V68" s="619" t="s">
        <v>132</v>
      </c>
      <c r="W68" s="619" t="s">
        <v>132</v>
      </c>
      <c r="X68" s="619" t="s">
        <v>132</v>
      </c>
      <c r="Y68" s="619" t="s">
        <v>132</v>
      </c>
      <c r="Z68" s="619" t="s">
        <v>132</v>
      </c>
      <c r="AA68" s="619" t="s">
        <v>132</v>
      </c>
      <c r="AB68" s="619" t="s">
        <v>132</v>
      </c>
      <c r="AC68" s="505"/>
      <c r="AD68" s="620" t="s">
        <v>324</v>
      </c>
      <c r="AE68" s="621"/>
    </row>
    <row r="69">
      <c r="A69" s="107"/>
      <c r="B69" s="108"/>
      <c r="C69" s="152"/>
      <c r="D69" s="108"/>
      <c r="E69" s="625" t="s">
        <v>352</v>
      </c>
      <c r="F69" s="626" t="s">
        <v>49</v>
      </c>
      <c r="G69" s="627" t="s">
        <v>68</v>
      </c>
      <c r="H69" s="628">
        <v>2.0</v>
      </c>
      <c r="I69" s="629" t="s">
        <v>132</v>
      </c>
      <c r="J69" s="629" t="s">
        <v>132</v>
      </c>
      <c r="K69" s="629" t="s">
        <v>132</v>
      </c>
      <c r="L69" s="629" t="s">
        <v>132</v>
      </c>
      <c r="M69" s="629" t="s">
        <v>132</v>
      </c>
      <c r="N69" s="629" t="s">
        <v>132</v>
      </c>
      <c r="O69" s="629" t="s">
        <v>132</v>
      </c>
      <c r="P69" s="629" t="s">
        <v>132</v>
      </c>
      <c r="Q69" s="629" t="s">
        <v>132</v>
      </c>
      <c r="R69" s="629" t="s">
        <v>132</v>
      </c>
      <c r="S69" s="629" t="s">
        <v>132</v>
      </c>
      <c r="T69" s="629" t="s">
        <v>132</v>
      </c>
      <c r="U69" s="629" t="s">
        <v>132</v>
      </c>
      <c r="V69" s="629" t="s">
        <v>132</v>
      </c>
      <c r="W69" s="629" t="s">
        <v>132</v>
      </c>
      <c r="X69" s="629" t="s">
        <v>132</v>
      </c>
      <c r="Y69" s="629" t="s">
        <v>132</v>
      </c>
      <c r="Z69" s="629" t="s">
        <v>132</v>
      </c>
      <c r="AA69" s="629" t="s">
        <v>132</v>
      </c>
      <c r="AB69" s="629" t="s">
        <v>132</v>
      </c>
      <c r="AC69" s="511"/>
      <c r="AD69" s="630" t="s">
        <v>306</v>
      </c>
      <c r="AE69" s="631" t="s">
        <v>91</v>
      </c>
    </row>
    <row r="70">
      <c r="A70" s="107"/>
      <c r="B70" s="108"/>
      <c r="C70" s="152"/>
      <c r="D70" s="108"/>
      <c r="E70" s="484"/>
      <c r="F70" s="110"/>
      <c r="G70" s="111"/>
      <c r="H70" s="485"/>
      <c r="I70" s="263"/>
      <c r="J70" s="263"/>
      <c r="K70" s="263"/>
      <c r="L70" s="263"/>
      <c r="M70" s="263"/>
      <c r="N70" s="263"/>
      <c r="O70" s="263"/>
      <c r="P70" s="263"/>
      <c r="Q70" s="263"/>
      <c r="R70" s="263"/>
      <c r="S70" s="263"/>
      <c r="T70" s="263"/>
      <c r="U70" s="263"/>
      <c r="V70" s="263"/>
      <c r="W70" s="263"/>
      <c r="X70" s="263"/>
      <c r="Y70" s="263"/>
      <c r="Z70" s="263"/>
      <c r="AA70" s="263"/>
      <c r="AB70" s="263"/>
      <c r="AC70" s="53"/>
      <c r="AD70" s="486"/>
      <c r="AE70" s="487"/>
    </row>
    <row r="71">
      <c r="A71" s="103" t="s">
        <v>177</v>
      </c>
      <c r="B71" s="6"/>
      <c r="C71" s="6"/>
      <c r="D71" s="6"/>
      <c r="E71" s="6"/>
      <c r="F71" s="6"/>
      <c r="G71" s="370"/>
      <c r="H71" s="480"/>
      <c r="I71" s="481"/>
      <c r="J71" s="481"/>
      <c r="K71" s="481"/>
      <c r="L71" s="481"/>
      <c r="M71" s="481"/>
      <c r="N71" s="481"/>
      <c r="O71" s="481"/>
      <c r="P71" s="481"/>
      <c r="Q71" s="481"/>
      <c r="R71" s="481"/>
      <c r="S71" s="481"/>
      <c r="T71" s="481"/>
      <c r="U71" s="481"/>
      <c r="V71" s="481"/>
      <c r="W71" s="481"/>
      <c r="X71" s="481"/>
      <c r="Y71" s="481"/>
      <c r="Z71" s="481"/>
      <c r="AA71" s="481"/>
      <c r="AB71" s="481"/>
      <c r="AC71" s="632"/>
      <c r="AD71" s="633"/>
      <c r="AE71" s="483"/>
    </row>
    <row r="72">
      <c r="A72" s="107"/>
      <c r="B72" s="108"/>
      <c r="C72" s="108"/>
      <c r="D72" s="108"/>
      <c r="E72" s="484"/>
      <c r="F72" s="110"/>
      <c r="G72" s="111"/>
      <c r="H72" s="485"/>
      <c r="I72" s="263"/>
      <c r="J72" s="263"/>
      <c r="K72" s="263"/>
      <c r="L72" s="263"/>
      <c r="M72" s="263"/>
      <c r="N72" s="263"/>
      <c r="O72" s="263"/>
      <c r="P72" s="263"/>
      <c r="Q72" s="263"/>
      <c r="R72" s="263"/>
      <c r="S72" s="263"/>
      <c r="T72" s="263"/>
      <c r="U72" s="263"/>
      <c r="V72" s="263"/>
      <c r="W72" s="263"/>
      <c r="X72" s="263"/>
      <c r="Y72" s="263"/>
      <c r="Z72" s="263"/>
      <c r="AA72" s="263"/>
      <c r="AB72" s="263"/>
      <c r="AC72" s="53"/>
      <c r="AD72" s="486"/>
      <c r="AE72" s="487"/>
    </row>
    <row r="73">
      <c r="A73" s="107"/>
      <c r="B73" s="108"/>
      <c r="C73" s="152" t="s">
        <v>177</v>
      </c>
      <c r="F73" s="110"/>
      <c r="G73" s="111"/>
      <c r="H73" s="485"/>
      <c r="I73" s="263"/>
      <c r="J73" s="263"/>
      <c r="K73" s="263"/>
      <c r="L73" s="263"/>
      <c r="M73" s="263"/>
      <c r="N73" s="263"/>
      <c r="O73" s="263"/>
      <c r="P73" s="263"/>
      <c r="Q73" s="263"/>
      <c r="R73" s="263"/>
      <c r="S73" s="263"/>
      <c r="T73" s="263"/>
      <c r="U73" s="263"/>
      <c r="V73" s="263"/>
      <c r="W73" s="263"/>
      <c r="X73" s="263"/>
      <c r="Y73" s="263"/>
      <c r="Z73" s="263"/>
      <c r="AA73" s="263"/>
      <c r="AB73" s="263"/>
      <c r="AC73" s="53"/>
      <c r="AD73" s="486"/>
      <c r="AE73" s="487"/>
    </row>
    <row r="74">
      <c r="A74" s="107"/>
      <c r="B74" s="108"/>
      <c r="C74" s="108"/>
      <c r="D74" s="108"/>
      <c r="E74" s="514" t="s">
        <v>353</v>
      </c>
      <c r="F74" s="154" t="s">
        <v>63</v>
      </c>
      <c r="G74" s="179" t="s">
        <v>68</v>
      </c>
      <c r="H74" s="634">
        <v>116.25262</v>
      </c>
      <c r="I74" s="130" t="s">
        <v>132</v>
      </c>
      <c r="J74" s="130" t="s">
        <v>132</v>
      </c>
      <c r="K74" s="130" t="s">
        <v>132</v>
      </c>
      <c r="L74" s="130" t="s">
        <v>132</v>
      </c>
      <c r="M74" s="130" t="s">
        <v>132</v>
      </c>
      <c r="N74" s="130" t="s">
        <v>132</v>
      </c>
      <c r="O74" s="130" t="s">
        <v>132</v>
      </c>
      <c r="P74" s="130" t="s">
        <v>132</v>
      </c>
      <c r="Q74" s="130" t="s">
        <v>132</v>
      </c>
      <c r="R74" s="130" t="s">
        <v>132</v>
      </c>
      <c r="S74" s="130" t="s">
        <v>132</v>
      </c>
      <c r="T74" s="130" t="s">
        <v>132</v>
      </c>
      <c r="U74" s="130" t="s">
        <v>132</v>
      </c>
      <c r="V74" s="130" t="s">
        <v>132</v>
      </c>
      <c r="W74" s="130" t="s">
        <v>132</v>
      </c>
      <c r="X74" s="130" t="s">
        <v>132</v>
      </c>
      <c r="Y74" s="130" t="s">
        <v>132</v>
      </c>
      <c r="Z74" s="130" t="s">
        <v>132</v>
      </c>
      <c r="AA74" s="130" t="s">
        <v>132</v>
      </c>
      <c r="AB74" s="130" t="s">
        <v>132</v>
      </c>
      <c r="AC74" s="635"/>
      <c r="AD74" s="516" t="s">
        <v>354</v>
      </c>
      <c r="AE74" s="636" t="s">
        <v>90</v>
      </c>
    </row>
    <row r="75">
      <c r="A75" s="107"/>
      <c r="B75" s="108"/>
      <c r="C75" s="108"/>
      <c r="D75" s="108"/>
      <c r="E75" s="637" t="s">
        <v>355</v>
      </c>
      <c r="F75" s="174" t="s">
        <v>63</v>
      </c>
      <c r="G75" s="175" t="s">
        <v>68</v>
      </c>
      <c r="H75" s="634">
        <v>73.1914</v>
      </c>
      <c r="I75" s="130" t="s">
        <v>132</v>
      </c>
      <c r="J75" s="130" t="s">
        <v>132</v>
      </c>
      <c r="K75" s="130" t="s">
        <v>132</v>
      </c>
      <c r="L75" s="130" t="s">
        <v>132</v>
      </c>
      <c r="M75" s="130" t="s">
        <v>132</v>
      </c>
      <c r="N75" s="130" t="s">
        <v>132</v>
      </c>
      <c r="O75" s="130" t="s">
        <v>132</v>
      </c>
      <c r="P75" s="130" t="s">
        <v>132</v>
      </c>
      <c r="Q75" s="130" t="s">
        <v>132</v>
      </c>
      <c r="R75" s="130" t="s">
        <v>132</v>
      </c>
      <c r="S75" s="130" t="s">
        <v>132</v>
      </c>
      <c r="T75" s="130" t="s">
        <v>132</v>
      </c>
      <c r="U75" s="130" t="s">
        <v>132</v>
      </c>
      <c r="V75" s="130" t="s">
        <v>132</v>
      </c>
      <c r="W75" s="130" t="s">
        <v>132</v>
      </c>
      <c r="X75" s="130" t="s">
        <v>132</v>
      </c>
      <c r="Y75" s="130" t="s">
        <v>132</v>
      </c>
      <c r="Z75" s="130" t="s">
        <v>132</v>
      </c>
      <c r="AA75" s="130" t="s">
        <v>132</v>
      </c>
      <c r="AB75" s="130" t="s">
        <v>132</v>
      </c>
      <c r="AC75" s="635"/>
      <c r="AD75" s="516" t="s">
        <v>354</v>
      </c>
      <c r="AE75" s="636" t="s">
        <v>90</v>
      </c>
    </row>
    <row r="76">
      <c r="A76" s="107"/>
      <c r="B76" s="108"/>
      <c r="C76" s="108"/>
      <c r="D76" s="108"/>
      <c r="E76" s="584" t="s">
        <v>356</v>
      </c>
      <c r="F76" s="159" t="s">
        <v>63</v>
      </c>
      <c r="G76" s="212" t="s">
        <v>68</v>
      </c>
      <c r="H76" s="638">
        <v>1.0</v>
      </c>
      <c r="I76" s="130" t="s">
        <v>132</v>
      </c>
      <c r="J76" s="130" t="s">
        <v>132</v>
      </c>
      <c r="K76" s="130" t="s">
        <v>132</v>
      </c>
      <c r="L76" s="130" t="s">
        <v>132</v>
      </c>
      <c r="M76" s="130" t="s">
        <v>132</v>
      </c>
      <c r="N76" s="130" t="s">
        <v>132</v>
      </c>
      <c r="O76" s="130" t="s">
        <v>132</v>
      </c>
      <c r="P76" s="130" t="s">
        <v>132</v>
      </c>
      <c r="Q76" s="130" t="s">
        <v>132</v>
      </c>
      <c r="R76" s="130" t="s">
        <v>132</v>
      </c>
      <c r="S76" s="130" t="s">
        <v>132</v>
      </c>
      <c r="T76" s="130" t="s">
        <v>132</v>
      </c>
      <c r="U76" s="130" t="s">
        <v>132</v>
      </c>
      <c r="V76" s="130" t="s">
        <v>132</v>
      </c>
      <c r="W76" s="130" t="s">
        <v>132</v>
      </c>
      <c r="X76" s="130" t="s">
        <v>132</v>
      </c>
      <c r="Y76" s="130" t="s">
        <v>132</v>
      </c>
      <c r="Z76" s="130" t="s">
        <v>132</v>
      </c>
      <c r="AA76" s="130" t="s">
        <v>132</v>
      </c>
      <c r="AB76" s="130" t="s">
        <v>132</v>
      </c>
      <c r="AC76" s="635"/>
      <c r="AD76" s="516" t="s">
        <v>354</v>
      </c>
      <c r="AE76" s="636" t="s">
        <v>90</v>
      </c>
    </row>
    <row r="77">
      <c r="A77" s="107"/>
      <c r="B77" s="108"/>
      <c r="C77" s="108"/>
      <c r="D77" s="108"/>
      <c r="E77" s="562" t="s">
        <v>357</v>
      </c>
      <c r="F77" s="164" t="s">
        <v>63</v>
      </c>
      <c r="G77" s="219" t="s">
        <v>68</v>
      </c>
      <c r="H77" s="639">
        <f>H76/ln(2)</f>
        <v>1.442695041</v>
      </c>
      <c r="I77" s="142" t="s">
        <v>132</v>
      </c>
      <c r="J77" s="142" t="s">
        <v>132</v>
      </c>
      <c r="K77" s="142" t="s">
        <v>132</v>
      </c>
      <c r="L77" s="142" t="s">
        <v>132</v>
      </c>
      <c r="M77" s="142" t="s">
        <v>132</v>
      </c>
      <c r="N77" s="142" t="s">
        <v>132</v>
      </c>
      <c r="O77" s="142" t="s">
        <v>132</v>
      </c>
      <c r="P77" s="142" t="s">
        <v>132</v>
      </c>
      <c r="Q77" s="142" t="s">
        <v>132</v>
      </c>
      <c r="R77" s="142" t="s">
        <v>132</v>
      </c>
      <c r="S77" s="142" t="s">
        <v>132</v>
      </c>
      <c r="T77" s="142" t="s">
        <v>132</v>
      </c>
      <c r="U77" s="142" t="s">
        <v>132</v>
      </c>
      <c r="V77" s="142" t="s">
        <v>132</v>
      </c>
      <c r="W77" s="142" t="s">
        <v>132</v>
      </c>
      <c r="X77" s="142" t="s">
        <v>132</v>
      </c>
      <c r="Y77" s="142" t="s">
        <v>132</v>
      </c>
      <c r="Z77" s="142" t="s">
        <v>132</v>
      </c>
      <c r="AA77" s="142" t="s">
        <v>132</v>
      </c>
      <c r="AB77" s="142" t="s">
        <v>132</v>
      </c>
      <c r="AC77" s="511"/>
      <c r="AD77" s="490" t="s">
        <v>354</v>
      </c>
      <c r="AE77" s="640" t="s">
        <v>90</v>
      </c>
    </row>
    <row r="78">
      <c r="A78" s="107"/>
      <c r="B78" s="108"/>
      <c r="C78" s="108"/>
      <c r="D78" s="108"/>
      <c r="E78" s="608"/>
      <c r="F78" s="125"/>
      <c r="G78" s="148"/>
      <c r="H78" s="641"/>
      <c r="I78" s="642"/>
      <c r="J78" s="642"/>
      <c r="K78" s="642"/>
      <c r="L78" s="642"/>
      <c r="M78" s="642"/>
      <c r="N78" s="642"/>
      <c r="O78" s="642"/>
      <c r="P78" s="642"/>
      <c r="Q78" s="642"/>
      <c r="R78" s="642"/>
      <c r="S78" s="642"/>
      <c r="T78" s="642"/>
      <c r="U78" s="642"/>
      <c r="V78" s="642"/>
      <c r="W78" s="642"/>
      <c r="X78" s="642"/>
      <c r="Y78" s="642"/>
      <c r="Z78" s="642"/>
      <c r="AA78" s="642"/>
      <c r="AB78" s="642"/>
      <c r="AC78" s="53"/>
      <c r="AD78" s="611"/>
      <c r="AE78" s="643"/>
    </row>
    <row r="79">
      <c r="A79" s="103" t="s">
        <v>185</v>
      </c>
      <c r="B79" s="6"/>
      <c r="C79" s="6"/>
      <c r="D79" s="6"/>
      <c r="E79" s="6"/>
      <c r="F79" s="6"/>
      <c r="G79" s="370"/>
      <c r="H79" s="480"/>
      <c r="I79" s="481"/>
      <c r="J79" s="481"/>
      <c r="K79" s="481"/>
      <c r="L79" s="481"/>
      <c r="M79" s="481"/>
      <c r="N79" s="481"/>
      <c r="O79" s="481"/>
      <c r="P79" s="481"/>
      <c r="Q79" s="481"/>
      <c r="R79" s="481"/>
      <c r="S79" s="481"/>
      <c r="T79" s="481"/>
      <c r="U79" s="481"/>
      <c r="V79" s="481"/>
      <c r="W79" s="481"/>
      <c r="X79" s="481"/>
      <c r="Y79" s="481"/>
      <c r="Z79" s="481"/>
      <c r="AA79" s="481"/>
      <c r="AB79" s="481"/>
      <c r="AC79" s="632"/>
      <c r="AD79" s="633"/>
      <c r="AE79" s="483"/>
    </row>
    <row r="80">
      <c r="A80" s="107"/>
      <c r="B80" s="108"/>
      <c r="C80" s="224"/>
      <c r="D80" s="108"/>
      <c r="E80" s="608"/>
      <c r="F80" s="125"/>
      <c r="G80" s="148"/>
      <c r="H80" s="644"/>
      <c r="I80" s="642"/>
      <c r="J80" s="642"/>
      <c r="K80" s="642"/>
      <c r="L80" s="642"/>
      <c r="M80" s="642"/>
      <c r="N80" s="642"/>
      <c r="O80" s="642"/>
      <c r="P80" s="642"/>
      <c r="Q80" s="642"/>
      <c r="R80" s="642"/>
      <c r="S80" s="642"/>
      <c r="T80" s="642"/>
      <c r="U80" s="642"/>
      <c r="V80" s="642"/>
      <c r="W80" s="642"/>
      <c r="X80" s="642"/>
      <c r="Y80" s="642"/>
      <c r="Z80" s="642"/>
      <c r="AA80" s="642"/>
      <c r="AB80" s="642"/>
      <c r="AC80" s="53"/>
      <c r="AD80" s="611"/>
      <c r="AE80" s="643"/>
    </row>
    <row r="81">
      <c r="A81" s="107"/>
      <c r="B81" s="108"/>
      <c r="C81" s="152" t="s">
        <v>358</v>
      </c>
      <c r="F81" s="125"/>
      <c r="G81" s="148"/>
      <c r="H81" s="641"/>
      <c r="I81" s="642"/>
      <c r="J81" s="642"/>
      <c r="K81" s="642"/>
      <c r="L81" s="642"/>
      <c r="M81" s="642"/>
      <c r="N81" s="642"/>
      <c r="O81" s="642"/>
      <c r="P81" s="642"/>
      <c r="Q81" s="642"/>
      <c r="R81" s="642"/>
      <c r="S81" s="642"/>
      <c r="T81" s="642"/>
      <c r="U81" s="642"/>
      <c r="V81" s="642"/>
      <c r="W81" s="642"/>
      <c r="X81" s="642"/>
      <c r="Y81" s="642"/>
      <c r="Z81" s="642"/>
      <c r="AA81" s="642"/>
      <c r="AB81" s="642"/>
      <c r="AC81" s="53"/>
      <c r="AD81" s="611"/>
      <c r="AE81" s="643"/>
    </row>
    <row r="82">
      <c r="A82" s="107"/>
      <c r="B82" s="108"/>
      <c r="C82" s="108"/>
      <c r="D82" s="108"/>
      <c r="E82" s="517" t="s">
        <v>359</v>
      </c>
      <c r="F82" s="119" t="s">
        <v>63</v>
      </c>
      <c r="G82" s="149" t="s">
        <v>68</v>
      </c>
      <c r="H82" s="645">
        <v>0.0033545</v>
      </c>
      <c r="I82" s="646" t="s">
        <v>132</v>
      </c>
      <c r="J82" s="646" t="s">
        <v>132</v>
      </c>
      <c r="K82" s="646" t="s">
        <v>132</v>
      </c>
      <c r="L82" s="646" t="s">
        <v>132</v>
      </c>
      <c r="M82" s="646" t="s">
        <v>132</v>
      </c>
      <c r="N82" s="646" t="s">
        <v>132</v>
      </c>
      <c r="O82" s="646" t="s">
        <v>132</v>
      </c>
      <c r="P82" s="646" t="s">
        <v>132</v>
      </c>
      <c r="Q82" s="646" t="s">
        <v>132</v>
      </c>
      <c r="R82" s="646" t="s">
        <v>132</v>
      </c>
      <c r="S82" s="646" t="s">
        <v>132</v>
      </c>
      <c r="T82" s="646" t="s">
        <v>132</v>
      </c>
      <c r="U82" s="646" t="s">
        <v>132</v>
      </c>
      <c r="V82" s="646" t="s">
        <v>132</v>
      </c>
      <c r="W82" s="646" t="s">
        <v>132</v>
      </c>
      <c r="X82" s="646" t="s">
        <v>132</v>
      </c>
      <c r="Y82" s="646" t="s">
        <v>132</v>
      </c>
      <c r="Z82" s="646" t="s">
        <v>132</v>
      </c>
      <c r="AA82" s="646" t="s">
        <v>132</v>
      </c>
      <c r="AB82" s="646" t="s">
        <v>132</v>
      </c>
      <c r="AC82" s="70"/>
      <c r="AD82" s="490" t="s">
        <v>306</v>
      </c>
      <c r="AE82" s="647" t="s">
        <v>360</v>
      </c>
    </row>
    <row r="83">
      <c r="A83" s="107"/>
      <c r="B83" s="108"/>
      <c r="C83" s="108"/>
      <c r="D83" s="108"/>
      <c r="E83" s="484"/>
      <c r="F83" s="110"/>
      <c r="G83" s="111"/>
      <c r="H83" s="485"/>
      <c r="I83" s="263"/>
      <c r="J83" s="263"/>
      <c r="K83" s="263"/>
      <c r="L83" s="263"/>
      <c r="M83" s="263"/>
      <c r="N83" s="263"/>
      <c r="O83" s="263"/>
      <c r="P83" s="263"/>
      <c r="Q83" s="263"/>
      <c r="R83" s="263"/>
      <c r="S83" s="263"/>
      <c r="T83" s="263"/>
      <c r="U83" s="263"/>
      <c r="V83" s="263"/>
      <c r="W83" s="263"/>
      <c r="X83" s="263"/>
      <c r="Y83" s="263"/>
      <c r="Z83" s="263"/>
      <c r="AA83" s="263"/>
      <c r="AB83" s="263"/>
      <c r="AC83" s="53"/>
      <c r="AD83" s="486"/>
      <c r="AE83" s="487"/>
    </row>
    <row r="84">
      <c r="A84" s="103" t="s">
        <v>203</v>
      </c>
      <c r="B84" s="6"/>
      <c r="C84" s="6"/>
      <c r="D84" s="6"/>
      <c r="E84" s="6"/>
      <c r="F84" s="6"/>
      <c r="G84" s="370"/>
      <c r="H84" s="480"/>
      <c r="I84" s="481"/>
      <c r="J84" s="481"/>
      <c r="K84" s="481"/>
      <c r="L84" s="481"/>
      <c r="M84" s="481"/>
      <c r="N84" s="481"/>
      <c r="O84" s="481"/>
      <c r="P84" s="481"/>
      <c r="Q84" s="481"/>
      <c r="R84" s="481"/>
      <c r="S84" s="481"/>
      <c r="T84" s="481"/>
      <c r="U84" s="481"/>
      <c r="V84" s="481"/>
      <c r="W84" s="481"/>
      <c r="X84" s="481"/>
      <c r="Y84" s="481"/>
      <c r="Z84" s="481"/>
      <c r="AA84" s="481"/>
      <c r="AB84" s="481"/>
      <c r="AC84" s="632"/>
      <c r="AD84" s="633"/>
      <c r="AE84" s="483"/>
    </row>
    <row r="85">
      <c r="A85" s="107"/>
      <c r="B85" s="108"/>
      <c r="C85" s="108"/>
      <c r="D85" s="108"/>
      <c r="E85" s="484"/>
      <c r="F85" s="110"/>
      <c r="G85" s="111"/>
      <c r="H85" s="485"/>
      <c r="I85" s="263"/>
      <c r="J85" s="263"/>
      <c r="K85" s="263"/>
      <c r="L85" s="263"/>
      <c r="M85" s="263"/>
      <c r="N85" s="263"/>
      <c r="O85" s="263"/>
      <c r="P85" s="263"/>
      <c r="Q85" s="263"/>
      <c r="R85" s="263"/>
      <c r="S85" s="263"/>
      <c r="T85" s="263"/>
      <c r="U85" s="263"/>
      <c r="V85" s="263"/>
      <c r="W85" s="263"/>
      <c r="X85" s="263"/>
      <c r="Y85" s="263"/>
      <c r="Z85" s="263"/>
      <c r="AA85" s="263"/>
      <c r="AB85" s="263"/>
      <c r="AC85" s="53"/>
      <c r="AD85" s="486"/>
      <c r="AE85" s="487"/>
    </row>
    <row r="86">
      <c r="A86" s="107"/>
      <c r="B86" s="108"/>
      <c r="C86" s="152" t="s">
        <v>204</v>
      </c>
      <c r="F86" s="110"/>
      <c r="G86" s="111"/>
      <c r="H86" s="485"/>
      <c r="I86" s="263"/>
      <c r="J86" s="263"/>
      <c r="K86" s="263"/>
      <c r="L86" s="263"/>
      <c r="M86" s="263"/>
      <c r="N86" s="263"/>
      <c r="O86" s="263"/>
      <c r="P86" s="263"/>
      <c r="Q86" s="263"/>
      <c r="R86" s="263"/>
      <c r="S86" s="263"/>
      <c r="T86" s="263"/>
      <c r="U86" s="263"/>
      <c r="V86" s="263"/>
      <c r="W86" s="263"/>
      <c r="X86" s="263"/>
      <c r="Y86" s="263"/>
      <c r="Z86" s="263"/>
      <c r="AA86" s="263"/>
      <c r="AB86" s="263"/>
      <c r="AC86" s="53"/>
      <c r="AD86" s="486"/>
      <c r="AE86" s="487"/>
    </row>
    <row r="87">
      <c r="A87" s="107"/>
      <c r="B87" s="108"/>
      <c r="C87" s="108"/>
      <c r="D87" s="295" t="s">
        <v>205</v>
      </c>
      <c r="E87" s="30"/>
      <c r="F87" s="296"/>
      <c r="G87" s="297"/>
      <c r="H87" s="581"/>
      <c r="I87" s="496"/>
      <c r="J87" s="496"/>
      <c r="K87" s="496"/>
      <c r="L87" s="496"/>
      <c r="M87" s="496"/>
      <c r="N87" s="496"/>
      <c r="O87" s="496"/>
      <c r="P87" s="496"/>
      <c r="Q87" s="496"/>
      <c r="R87" s="496"/>
      <c r="S87" s="496"/>
      <c r="T87" s="496"/>
      <c r="U87" s="496"/>
      <c r="V87" s="496"/>
      <c r="W87" s="496"/>
      <c r="X87" s="496"/>
      <c r="Y87" s="496"/>
      <c r="Z87" s="496"/>
      <c r="AA87" s="496"/>
      <c r="AB87" s="496"/>
      <c r="AC87" s="498"/>
      <c r="AD87" s="648"/>
      <c r="AE87" s="597"/>
    </row>
    <row r="88">
      <c r="A88" s="107"/>
      <c r="B88" s="108"/>
      <c r="C88" s="108"/>
      <c r="D88" s="108"/>
      <c r="E88" s="514" t="s">
        <v>361</v>
      </c>
      <c r="F88" s="154" t="s">
        <v>59</v>
      </c>
      <c r="G88" s="179" t="s">
        <v>68</v>
      </c>
      <c r="H88" s="581">
        <v>0.0</v>
      </c>
      <c r="I88" s="130" t="s">
        <v>132</v>
      </c>
      <c r="J88" s="130" t="s">
        <v>132</v>
      </c>
      <c r="K88" s="130" t="s">
        <v>132</v>
      </c>
      <c r="L88" s="130" t="s">
        <v>132</v>
      </c>
      <c r="M88" s="130" t="s">
        <v>132</v>
      </c>
      <c r="N88" s="130" t="s">
        <v>132</v>
      </c>
      <c r="O88" s="130" t="s">
        <v>132</v>
      </c>
      <c r="P88" s="130" t="s">
        <v>132</v>
      </c>
      <c r="Q88" s="130" t="s">
        <v>132</v>
      </c>
      <c r="R88" s="130" t="s">
        <v>132</v>
      </c>
      <c r="S88" s="130" t="s">
        <v>132</v>
      </c>
      <c r="T88" s="130" t="s">
        <v>132</v>
      </c>
      <c r="U88" s="130" t="s">
        <v>132</v>
      </c>
      <c r="V88" s="130" t="s">
        <v>132</v>
      </c>
      <c r="W88" s="130" t="s">
        <v>132</v>
      </c>
      <c r="X88" s="130" t="s">
        <v>132</v>
      </c>
      <c r="Y88" s="130" t="s">
        <v>132</v>
      </c>
      <c r="Z88" s="130" t="s">
        <v>132</v>
      </c>
      <c r="AA88" s="130" t="s">
        <v>132</v>
      </c>
      <c r="AB88" s="130" t="s">
        <v>132</v>
      </c>
      <c r="AC88" s="498"/>
      <c r="AD88" s="516" t="s">
        <v>324</v>
      </c>
      <c r="AE88" s="649"/>
    </row>
    <row r="89">
      <c r="A89" s="107"/>
      <c r="B89" s="108"/>
      <c r="C89" s="108"/>
      <c r="D89" s="108"/>
      <c r="E89" s="584" t="s">
        <v>362</v>
      </c>
      <c r="F89" s="159" t="s">
        <v>59</v>
      </c>
      <c r="G89" s="179" t="s">
        <v>68</v>
      </c>
      <c r="H89" s="585">
        <v>0.0</v>
      </c>
      <c r="I89" s="503" t="s">
        <v>132</v>
      </c>
      <c r="J89" s="503" t="s">
        <v>132</v>
      </c>
      <c r="K89" s="503" t="s">
        <v>132</v>
      </c>
      <c r="L89" s="503" t="s">
        <v>132</v>
      </c>
      <c r="M89" s="503" t="s">
        <v>132</v>
      </c>
      <c r="N89" s="503" t="s">
        <v>132</v>
      </c>
      <c r="O89" s="503" t="s">
        <v>132</v>
      </c>
      <c r="P89" s="503" t="s">
        <v>132</v>
      </c>
      <c r="Q89" s="503" t="s">
        <v>132</v>
      </c>
      <c r="R89" s="503" t="s">
        <v>132</v>
      </c>
      <c r="S89" s="503" t="s">
        <v>132</v>
      </c>
      <c r="T89" s="503" t="s">
        <v>132</v>
      </c>
      <c r="U89" s="503" t="s">
        <v>132</v>
      </c>
      <c r="V89" s="503" t="s">
        <v>132</v>
      </c>
      <c r="W89" s="503" t="s">
        <v>132</v>
      </c>
      <c r="X89" s="503" t="s">
        <v>132</v>
      </c>
      <c r="Y89" s="503" t="s">
        <v>132</v>
      </c>
      <c r="Z89" s="503" t="s">
        <v>132</v>
      </c>
      <c r="AA89" s="503" t="s">
        <v>132</v>
      </c>
      <c r="AB89" s="503" t="s">
        <v>132</v>
      </c>
      <c r="AC89" s="505"/>
      <c r="AD89" s="516" t="s">
        <v>324</v>
      </c>
      <c r="AE89" s="650"/>
    </row>
    <row r="90">
      <c r="A90" s="107"/>
      <c r="B90" s="108"/>
      <c r="C90" s="108"/>
      <c r="D90" s="108"/>
      <c r="E90" s="584" t="s">
        <v>363</v>
      </c>
      <c r="F90" s="159" t="s">
        <v>59</v>
      </c>
      <c r="G90" s="179" t="s">
        <v>68</v>
      </c>
      <c r="H90" s="585">
        <v>0.0</v>
      </c>
      <c r="I90" s="503" t="s">
        <v>132</v>
      </c>
      <c r="J90" s="503" t="s">
        <v>132</v>
      </c>
      <c r="K90" s="503" t="s">
        <v>132</v>
      </c>
      <c r="L90" s="503" t="s">
        <v>132</v>
      </c>
      <c r="M90" s="503" t="s">
        <v>132</v>
      </c>
      <c r="N90" s="503" t="s">
        <v>132</v>
      </c>
      <c r="O90" s="503" t="s">
        <v>132</v>
      </c>
      <c r="P90" s="503" t="s">
        <v>132</v>
      </c>
      <c r="Q90" s="503" t="s">
        <v>132</v>
      </c>
      <c r="R90" s="503" t="s">
        <v>132</v>
      </c>
      <c r="S90" s="503" t="s">
        <v>132</v>
      </c>
      <c r="T90" s="503" t="s">
        <v>132</v>
      </c>
      <c r="U90" s="503" t="s">
        <v>132</v>
      </c>
      <c r="V90" s="503" t="s">
        <v>132</v>
      </c>
      <c r="W90" s="503" t="s">
        <v>132</v>
      </c>
      <c r="X90" s="503" t="s">
        <v>132</v>
      </c>
      <c r="Y90" s="503" t="s">
        <v>132</v>
      </c>
      <c r="Z90" s="503" t="s">
        <v>132</v>
      </c>
      <c r="AA90" s="503" t="s">
        <v>132</v>
      </c>
      <c r="AB90" s="503" t="s">
        <v>132</v>
      </c>
      <c r="AC90" s="505"/>
      <c r="AD90" s="516" t="s">
        <v>324</v>
      </c>
      <c r="AE90" s="650"/>
    </row>
    <row r="91">
      <c r="A91" s="107"/>
      <c r="B91" s="108"/>
      <c r="C91" s="108"/>
      <c r="D91" s="295" t="s">
        <v>206</v>
      </c>
      <c r="E91" s="30"/>
      <c r="F91" s="154"/>
      <c r="G91" s="297"/>
      <c r="H91" s="651"/>
      <c r="I91" s="652"/>
      <c r="J91" s="652"/>
      <c r="K91" s="652"/>
      <c r="L91" s="652"/>
      <c r="M91" s="652"/>
      <c r="N91" s="652"/>
      <c r="O91" s="652"/>
      <c r="P91" s="652"/>
      <c r="Q91" s="652"/>
      <c r="R91" s="652"/>
      <c r="S91" s="652"/>
      <c r="T91" s="652"/>
      <c r="U91" s="652"/>
      <c r="V91" s="652"/>
      <c r="W91" s="652"/>
      <c r="X91" s="652"/>
      <c r="Y91" s="652"/>
      <c r="Z91" s="652"/>
      <c r="AA91" s="652"/>
      <c r="AB91" s="652"/>
      <c r="AC91" s="505"/>
      <c r="AD91" s="653"/>
      <c r="AE91" s="599"/>
    </row>
    <row r="92">
      <c r="A92" s="107"/>
      <c r="B92" s="108"/>
      <c r="C92" s="108"/>
      <c r="D92" s="108"/>
      <c r="E92" s="514" t="s">
        <v>364</v>
      </c>
      <c r="F92" s="154" t="s">
        <v>59</v>
      </c>
      <c r="G92" s="179" t="s">
        <v>68</v>
      </c>
      <c r="H92" s="585">
        <v>0.0</v>
      </c>
      <c r="I92" s="136" t="s">
        <v>132</v>
      </c>
      <c r="J92" s="136" t="s">
        <v>132</v>
      </c>
      <c r="K92" s="136" t="s">
        <v>132</v>
      </c>
      <c r="L92" s="136" t="s">
        <v>132</v>
      </c>
      <c r="M92" s="136" t="s">
        <v>132</v>
      </c>
      <c r="N92" s="136" t="s">
        <v>132</v>
      </c>
      <c r="O92" s="136" t="s">
        <v>132</v>
      </c>
      <c r="P92" s="136" t="s">
        <v>132</v>
      </c>
      <c r="Q92" s="136" t="s">
        <v>132</v>
      </c>
      <c r="R92" s="136" t="s">
        <v>132</v>
      </c>
      <c r="S92" s="136" t="s">
        <v>132</v>
      </c>
      <c r="T92" s="136" t="s">
        <v>132</v>
      </c>
      <c r="U92" s="136" t="s">
        <v>132</v>
      </c>
      <c r="V92" s="136" t="s">
        <v>132</v>
      </c>
      <c r="W92" s="136" t="s">
        <v>132</v>
      </c>
      <c r="X92" s="136" t="s">
        <v>132</v>
      </c>
      <c r="Y92" s="136" t="s">
        <v>132</v>
      </c>
      <c r="Z92" s="136" t="s">
        <v>132</v>
      </c>
      <c r="AA92" s="136" t="s">
        <v>132</v>
      </c>
      <c r="AB92" s="136" t="s">
        <v>132</v>
      </c>
      <c r="AC92" s="505"/>
      <c r="AD92" s="516" t="s">
        <v>324</v>
      </c>
      <c r="AE92" s="650"/>
    </row>
    <row r="93">
      <c r="A93" s="107"/>
      <c r="B93" s="108"/>
      <c r="C93" s="108"/>
      <c r="D93" s="108"/>
      <c r="E93" s="584" t="s">
        <v>365</v>
      </c>
      <c r="F93" s="159" t="s">
        <v>59</v>
      </c>
      <c r="G93" s="179" t="s">
        <v>68</v>
      </c>
      <c r="H93" s="585">
        <v>-0.02</v>
      </c>
      <c r="I93" s="136" t="s">
        <v>132</v>
      </c>
      <c r="J93" s="136" t="s">
        <v>132</v>
      </c>
      <c r="K93" s="136" t="s">
        <v>132</v>
      </c>
      <c r="L93" s="136" t="s">
        <v>132</v>
      </c>
      <c r="M93" s="136" t="s">
        <v>132</v>
      </c>
      <c r="N93" s="136" t="s">
        <v>132</v>
      </c>
      <c r="O93" s="136" t="s">
        <v>132</v>
      </c>
      <c r="P93" s="136" t="s">
        <v>132</v>
      </c>
      <c r="Q93" s="136" t="s">
        <v>132</v>
      </c>
      <c r="R93" s="136" t="s">
        <v>132</v>
      </c>
      <c r="S93" s="136" t="s">
        <v>132</v>
      </c>
      <c r="T93" s="136" t="s">
        <v>132</v>
      </c>
      <c r="U93" s="136" t="s">
        <v>132</v>
      </c>
      <c r="V93" s="136" t="s">
        <v>132</v>
      </c>
      <c r="W93" s="136" t="s">
        <v>132</v>
      </c>
      <c r="X93" s="136" t="s">
        <v>132</v>
      </c>
      <c r="Y93" s="136" t="s">
        <v>132</v>
      </c>
      <c r="Z93" s="136" t="s">
        <v>132</v>
      </c>
      <c r="AA93" s="136" t="s">
        <v>132</v>
      </c>
      <c r="AB93" s="136" t="s">
        <v>132</v>
      </c>
      <c r="AC93" s="505"/>
      <c r="AD93" s="516" t="s">
        <v>324</v>
      </c>
      <c r="AE93" s="650"/>
    </row>
    <row r="94">
      <c r="A94" s="107"/>
      <c r="B94" s="108"/>
      <c r="C94" s="108"/>
      <c r="D94" s="295" t="s">
        <v>207</v>
      </c>
      <c r="E94" s="30"/>
      <c r="F94" s="154"/>
      <c r="G94" s="297"/>
      <c r="H94" s="651"/>
      <c r="I94" s="652"/>
      <c r="J94" s="652"/>
      <c r="K94" s="652"/>
      <c r="L94" s="652"/>
      <c r="M94" s="652"/>
      <c r="N94" s="652"/>
      <c r="O94" s="652"/>
      <c r="P94" s="652"/>
      <c r="Q94" s="652"/>
      <c r="R94" s="652"/>
      <c r="S94" s="652"/>
      <c r="T94" s="652"/>
      <c r="U94" s="652"/>
      <c r="V94" s="652"/>
      <c r="W94" s="652"/>
      <c r="X94" s="652"/>
      <c r="Y94" s="652"/>
      <c r="Z94" s="652"/>
      <c r="AA94" s="652"/>
      <c r="AB94" s="652"/>
      <c r="AC94" s="505"/>
      <c r="AD94" s="516"/>
      <c r="AE94" s="599"/>
    </row>
    <row r="95">
      <c r="A95" s="107"/>
      <c r="B95" s="108"/>
      <c r="C95" s="108"/>
      <c r="D95" s="108"/>
      <c r="E95" s="514" t="s">
        <v>366</v>
      </c>
      <c r="F95" s="154" t="s">
        <v>59</v>
      </c>
      <c r="G95" s="179" t="s">
        <v>68</v>
      </c>
      <c r="H95" s="585">
        <v>-0.01</v>
      </c>
      <c r="I95" s="136" t="s">
        <v>132</v>
      </c>
      <c r="J95" s="136" t="s">
        <v>132</v>
      </c>
      <c r="K95" s="136" t="s">
        <v>132</v>
      </c>
      <c r="L95" s="136" t="s">
        <v>132</v>
      </c>
      <c r="M95" s="136" t="s">
        <v>132</v>
      </c>
      <c r="N95" s="136" t="s">
        <v>132</v>
      </c>
      <c r="O95" s="136" t="s">
        <v>132</v>
      </c>
      <c r="P95" s="136" t="s">
        <v>132</v>
      </c>
      <c r="Q95" s="136" t="s">
        <v>132</v>
      </c>
      <c r="R95" s="136" t="s">
        <v>132</v>
      </c>
      <c r="S95" s="136" t="s">
        <v>132</v>
      </c>
      <c r="T95" s="136" t="s">
        <v>132</v>
      </c>
      <c r="U95" s="136" t="s">
        <v>132</v>
      </c>
      <c r="V95" s="136" t="s">
        <v>132</v>
      </c>
      <c r="W95" s="136" t="s">
        <v>132</v>
      </c>
      <c r="X95" s="136" t="s">
        <v>132</v>
      </c>
      <c r="Y95" s="136" t="s">
        <v>132</v>
      </c>
      <c r="Z95" s="136" t="s">
        <v>132</v>
      </c>
      <c r="AA95" s="136" t="s">
        <v>132</v>
      </c>
      <c r="AB95" s="136" t="s">
        <v>132</v>
      </c>
      <c r="AC95" s="505"/>
      <c r="AD95" s="516" t="s">
        <v>324</v>
      </c>
      <c r="AE95" s="650"/>
    </row>
    <row r="96">
      <c r="A96" s="107"/>
      <c r="B96" s="108"/>
      <c r="C96" s="108"/>
      <c r="D96" s="108"/>
      <c r="E96" s="584" t="s">
        <v>367</v>
      </c>
      <c r="F96" s="159" t="s">
        <v>59</v>
      </c>
      <c r="G96" s="179" t="s">
        <v>68</v>
      </c>
      <c r="H96" s="585">
        <v>0.0</v>
      </c>
      <c r="I96" s="136" t="s">
        <v>132</v>
      </c>
      <c r="J96" s="136" t="s">
        <v>132</v>
      </c>
      <c r="K96" s="136" t="s">
        <v>132</v>
      </c>
      <c r="L96" s="136" t="s">
        <v>132</v>
      </c>
      <c r="M96" s="136" t="s">
        <v>132</v>
      </c>
      <c r="N96" s="136" t="s">
        <v>132</v>
      </c>
      <c r="O96" s="136" t="s">
        <v>132</v>
      </c>
      <c r="P96" s="136" t="s">
        <v>132</v>
      </c>
      <c r="Q96" s="136" t="s">
        <v>132</v>
      </c>
      <c r="R96" s="136" t="s">
        <v>132</v>
      </c>
      <c r="S96" s="136" t="s">
        <v>132</v>
      </c>
      <c r="T96" s="136" t="s">
        <v>132</v>
      </c>
      <c r="U96" s="136" t="s">
        <v>132</v>
      </c>
      <c r="V96" s="136" t="s">
        <v>132</v>
      </c>
      <c r="W96" s="136" t="s">
        <v>132</v>
      </c>
      <c r="X96" s="136" t="s">
        <v>132</v>
      </c>
      <c r="Y96" s="136" t="s">
        <v>132</v>
      </c>
      <c r="Z96" s="136" t="s">
        <v>132</v>
      </c>
      <c r="AA96" s="136" t="s">
        <v>132</v>
      </c>
      <c r="AB96" s="136" t="s">
        <v>132</v>
      </c>
      <c r="AC96" s="505"/>
      <c r="AD96" s="516" t="s">
        <v>324</v>
      </c>
      <c r="AE96" s="650"/>
    </row>
    <row r="97">
      <c r="A97" s="107"/>
      <c r="B97" s="108"/>
      <c r="C97" s="108"/>
      <c r="D97" s="108"/>
      <c r="E97" s="562" t="s">
        <v>368</v>
      </c>
      <c r="F97" s="164" t="s">
        <v>59</v>
      </c>
      <c r="G97" s="219" t="s">
        <v>68</v>
      </c>
      <c r="H97" s="600">
        <v>-0.05</v>
      </c>
      <c r="I97" s="142" t="s">
        <v>132</v>
      </c>
      <c r="J97" s="142" t="s">
        <v>132</v>
      </c>
      <c r="K97" s="142" t="s">
        <v>132</v>
      </c>
      <c r="L97" s="142" t="s">
        <v>132</v>
      </c>
      <c r="M97" s="142" t="s">
        <v>132</v>
      </c>
      <c r="N97" s="142" t="s">
        <v>132</v>
      </c>
      <c r="O97" s="142" t="s">
        <v>132</v>
      </c>
      <c r="P97" s="142" t="s">
        <v>132</v>
      </c>
      <c r="Q97" s="142" t="s">
        <v>132</v>
      </c>
      <c r="R97" s="142" t="s">
        <v>132</v>
      </c>
      <c r="S97" s="142" t="s">
        <v>132</v>
      </c>
      <c r="T97" s="142" t="s">
        <v>132</v>
      </c>
      <c r="U97" s="142" t="s">
        <v>132</v>
      </c>
      <c r="V97" s="142" t="s">
        <v>132</v>
      </c>
      <c r="W97" s="142" t="s">
        <v>132</v>
      </c>
      <c r="X97" s="142" t="s">
        <v>132</v>
      </c>
      <c r="Y97" s="142" t="s">
        <v>132</v>
      </c>
      <c r="Z97" s="142" t="s">
        <v>132</v>
      </c>
      <c r="AA97" s="142" t="s">
        <v>132</v>
      </c>
      <c r="AB97" s="142" t="s">
        <v>132</v>
      </c>
      <c r="AC97" s="511"/>
      <c r="AD97" s="564" t="s">
        <v>324</v>
      </c>
      <c r="AE97" s="654"/>
    </row>
    <row r="98">
      <c r="A98" s="107"/>
      <c r="B98" s="108"/>
      <c r="C98" s="147"/>
      <c r="D98" s="108"/>
      <c r="E98" s="484"/>
      <c r="F98" s="110"/>
      <c r="G98" s="111"/>
      <c r="H98" s="485"/>
      <c r="I98" s="263"/>
      <c r="J98" s="263"/>
      <c r="K98" s="263"/>
      <c r="L98" s="263"/>
      <c r="M98" s="263"/>
      <c r="N98" s="263"/>
      <c r="O98" s="263"/>
      <c r="P98" s="263"/>
      <c r="Q98" s="263"/>
      <c r="R98" s="263"/>
      <c r="S98" s="263"/>
      <c r="T98" s="263"/>
      <c r="U98" s="263"/>
      <c r="V98" s="263"/>
      <c r="W98" s="263"/>
      <c r="X98" s="263"/>
      <c r="Y98" s="263"/>
      <c r="Z98" s="263"/>
      <c r="AA98" s="263"/>
      <c r="AB98" s="263"/>
      <c r="AC98" s="53"/>
      <c r="AD98" s="486"/>
      <c r="AE98" s="487"/>
    </row>
    <row r="99">
      <c r="A99" s="107"/>
      <c r="B99" s="108"/>
      <c r="C99" s="147" t="s">
        <v>209</v>
      </c>
      <c r="F99" s="110"/>
      <c r="G99" s="111"/>
      <c r="H99" s="485"/>
      <c r="I99" s="655"/>
      <c r="J99" s="263"/>
      <c r="K99" s="263"/>
      <c r="L99" s="263"/>
      <c r="M99" s="263"/>
      <c r="N99" s="263"/>
      <c r="O99" s="263"/>
      <c r="P99" s="263"/>
      <c r="Q99" s="263"/>
      <c r="R99" s="263"/>
      <c r="S99" s="263"/>
      <c r="T99" s="263"/>
      <c r="U99" s="263"/>
      <c r="V99" s="263"/>
      <c r="W99" s="263"/>
      <c r="X99" s="263"/>
      <c r="Y99" s="263"/>
      <c r="Z99" s="263"/>
      <c r="AA99" s="263"/>
      <c r="AB99" s="263"/>
      <c r="AC99" s="53"/>
      <c r="AD99" s="486"/>
      <c r="AE99" s="487"/>
    </row>
    <row r="100">
      <c r="A100" s="107"/>
      <c r="B100" s="108"/>
      <c r="C100" s="108"/>
      <c r="D100" s="300"/>
      <c r="E100" s="514" t="s">
        <v>369</v>
      </c>
      <c r="F100" s="154" t="s">
        <v>59</v>
      </c>
      <c r="G100" s="179" t="s">
        <v>68</v>
      </c>
      <c r="H100" s="581">
        <v>0.09</v>
      </c>
      <c r="I100" s="496" t="s">
        <v>132</v>
      </c>
      <c r="J100" s="496" t="s">
        <v>132</v>
      </c>
      <c r="K100" s="496" t="s">
        <v>132</v>
      </c>
      <c r="L100" s="496" t="s">
        <v>132</v>
      </c>
      <c r="M100" s="496" t="s">
        <v>132</v>
      </c>
      <c r="N100" s="496" t="s">
        <v>132</v>
      </c>
      <c r="O100" s="496" t="s">
        <v>132</v>
      </c>
      <c r="P100" s="496" t="s">
        <v>132</v>
      </c>
      <c r="Q100" s="496" t="s">
        <v>132</v>
      </c>
      <c r="R100" s="496" t="s">
        <v>132</v>
      </c>
      <c r="S100" s="496" t="s">
        <v>132</v>
      </c>
      <c r="T100" s="496" t="s">
        <v>132</v>
      </c>
      <c r="U100" s="496" t="s">
        <v>132</v>
      </c>
      <c r="V100" s="496" t="s">
        <v>132</v>
      </c>
      <c r="W100" s="496" t="s">
        <v>132</v>
      </c>
      <c r="X100" s="496" t="s">
        <v>132</v>
      </c>
      <c r="Y100" s="496" t="s">
        <v>132</v>
      </c>
      <c r="Z100" s="496" t="s">
        <v>132</v>
      </c>
      <c r="AA100" s="496" t="s">
        <v>132</v>
      </c>
      <c r="AB100" s="496" t="s">
        <v>132</v>
      </c>
      <c r="AC100" s="498"/>
      <c r="AD100" s="516" t="s">
        <v>324</v>
      </c>
      <c r="AE100" s="583" t="s">
        <v>92</v>
      </c>
    </row>
    <row r="101">
      <c r="A101" s="107"/>
      <c r="B101" s="108"/>
      <c r="C101" s="108"/>
      <c r="D101" s="108"/>
      <c r="E101" s="514" t="s">
        <v>370</v>
      </c>
      <c r="F101" s="154" t="s">
        <v>59</v>
      </c>
      <c r="G101" s="179" t="s">
        <v>68</v>
      </c>
      <c r="H101" s="581">
        <v>0.09</v>
      </c>
      <c r="I101" s="496" t="s">
        <v>132</v>
      </c>
      <c r="J101" s="496" t="s">
        <v>132</v>
      </c>
      <c r="K101" s="496" t="s">
        <v>132</v>
      </c>
      <c r="L101" s="496" t="s">
        <v>132</v>
      </c>
      <c r="M101" s="496" t="s">
        <v>132</v>
      </c>
      <c r="N101" s="496" t="s">
        <v>132</v>
      </c>
      <c r="O101" s="496" t="s">
        <v>132</v>
      </c>
      <c r="P101" s="496" t="s">
        <v>132</v>
      </c>
      <c r="Q101" s="496" t="s">
        <v>132</v>
      </c>
      <c r="R101" s="496" t="s">
        <v>132</v>
      </c>
      <c r="S101" s="496" t="s">
        <v>132</v>
      </c>
      <c r="T101" s="496" t="s">
        <v>132</v>
      </c>
      <c r="U101" s="496" t="s">
        <v>132</v>
      </c>
      <c r="V101" s="496" t="s">
        <v>132</v>
      </c>
      <c r="W101" s="496" t="s">
        <v>132</v>
      </c>
      <c r="X101" s="496" t="s">
        <v>132</v>
      </c>
      <c r="Y101" s="496" t="s">
        <v>132</v>
      </c>
      <c r="Z101" s="496" t="s">
        <v>132</v>
      </c>
      <c r="AA101" s="496" t="s">
        <v>132</v>
      </c>
      <c r="AB101" s="496" t="s">
        <v>132</v>
      </c>
      <c r="AC101" s="498"/>
      <c r="AD101" s="516" t="s">
        <v>324</v>
      </c>
      <c r="AE101" s="583" t="s">
        <v>92</v>
      </c>
    </row>
    <row r="102">
      <c r="A102" s="107"/>
      <c r="B102" s="108"/>
      <c r="C102" s="108"/>
      <c r="D102" s="108"/>
      <c r="E102" s="514" t="s">
        <v>371</v>
      </c>
      <c r="F102" s="154" t="s">
        <v>59</v>
      </c>
      <c r="G102" s="179" t="s">
        <v>68</v>
      </c>
      <c r="H102" s="581">
        <v>0.05</v>
      </c>
      <c r="I102" s="496" t="s">
        <v>132</v>
      </c>
      <c r="J102" s="496" t="s">
        <v>132</v>
      </c>
      <c r="K102" s="496" t="s">
        <v>132</v>
      </c>
      <c r="L102" s="496" t="s">
        <v>132</v>
      </c>
      <c r="M102" s="496" t="s">
        <v>132</v>
      </c>
      <c r="N102" s="496" t="s">
        <v>132</v>
      </c>
      <c r="O102" s="496" t="s">
        <v>132</v>
      </c>
      <c r="P102" s="496" t="s">
        <v>132</v>
      </c>
      <c r="Q102" s="496" t="s">
        <v>132</v>
      </c>
      <c r="R102" s="496" t="s">
        <v>132</v>
      </c>
      <c r="S102" s="496" t="s">
        <v>132</v>
      </c>
      <c r="T102" s="496" t="s">
        <v>132</v>
      </c>
      <c r="U102" s="496" t="s">
        <v>132</v>
      </c>
      <c r="V102" s="496" t="s">
        <v>132</v>
      </c>
      <c r="W102" s="496" t="s">
        <v>132</v>
      </c>
      <c r="X102" s="496" t="s">
        <v>132</v>
      </c>
      <c r="Y102" s="496" t="s">
        <v>132</v>
      </c>
      <c r="Z102" s="496" t="s">
        <v>132</v>
      </c>
      <c r="AA102" s="496" t="s">
        <v>132</v>
      </c>
      <c r="AB102" s="496" t="s">
        <v>132</v>
      </c>
      <c r="AC102" s="498"/>
      <c r="AD102" s="516" t="s">
        <v>324</v>
      </c>
      <c r="AE102" s="583" t="s">
        <v>92</v>
      </c>
    </row>
    <row r="103">
      <c r="A103" s="107"/>
      <c r="B103" s="108"/>
      <c r="C103" s="108"/>
      <c r="D103" s="108"/>
      <c r="E103" s="514" t="s">
        <v>372</v>
      </c>
      <c r="F103" s="154" t="s">
        <v>59</v>
      </c>
      <c r="G103" s="179" t="s">
        <v>68</v>
      </c>
      <c r="H103" s="581">
        <v>0.2</v>
      </c>
      <c r="I103" s="496" t="s">
        <v>132</v>
      </c>
      <c r="J103" s="496" t="s">
        <v>132</v>
      </c>
      <c r="K103" s="496" t="s">
        <v>132</v>
      </c>
      <c r="L103" s="496" t="s">
        <v>132</v>
      </c>
      <c r="M103" s="496" t="s">
        <v>132</v>
      </c>
      <c r="N103" s="496" t="s">
        <v>132</v>
      </c>
      <c r="O103" s="496" t="s">
        <v>132</v>
      </c>
      <c r="P103" s="496" t="s">
        <v>132</v>
      </c>
      <c r="Q103" s="496" t="s">
        <v>132</v>
      </c>
      <c r="R103" s="496" t="s">
        <v>132</v>
      </c>
      <c r="S103" s="496" t="s">
        <v>132</v>
      </c>
      <c r="T103" s="496" t="s">
        <v>132</v>
      </c>
      <c r="U103" s="496" t="s">
        <v>132</v>
      </c>
      <c r="V103" s="496" t="s">
        <v>132</v>
      </c>
      <c r="W103" s="496" t="s">
        <v>132</v>
      </c>
      <c r="X103" s="496" t="s">
        <v>132</v>
      </c>
      <c r="Y103" s="496" t="s">
        <v>132</v>
      </c>
      <c r="Z103" s="496" t="s">
        <v>132</v>
      </c>
      <c r="AA103" s="496" t="s">
        <v>132</v>
      </c>
      <c r="AB103" s="496" t="s">
        <v>132</v>
      </c>
      <c r="AC103" s="498"/>
      <c r="AD103" s="516" t="s">
        <v>324</v>
      </c>
      <c r="AE103" s="583" t="s">
        <v>373</v>
      </c>
    </row>
    <row r="104">
      <c r="A104" s="107"/>
      <c r="B104" s="108"/>
      <c r="C104" s="108"/>
      <c r="D104" s="108"/>
      <c r="E104" s="514" t="s">
        <v>374</v>
      </c>
      <c r="F104" s="154" t="s">
        <v>59</v>
      </c>
      <c r="G104" s="179" t="s">
        <v>68</v>
      </c>
      <c r="H104" s="581">
        <v>-0.006</v>
      </c>
      <c r="I104" s="496" t="s">
        <v>132</v>
      </c>
      <c r="J104" s="496" t="s">
        <v>132</v>
      </c>
      <c r="K104" s="496" t="s">
        <v>132</v>
      </c>
      <c r="L104" s="496" t="s">
        <v>132</v>
      </c>
      <c r="M104" s="496" t="s">
        <v>132</v>
      </c>
      <c r="N104" s="496" t="s">
        <v>132</v>
      </c>
      <c r="O104" s="496" t="s">
        <v>132</v>
      </c>
      <c r="P104" s="496" t="s">
        <v>132</v>
      </c>
      <c r="Q104" s="496" t="s">
        <v>132</v>
      </c>
      <c r="R104" s="496" t="s">
        <v>132</v>
      </c>
      <c r="S104" s="496" t="s">
        <v>132</v>
      </c>
      <c r="T104" s="496" t="s">
        <v>132</v>
      </c>
      <c r="U104" s="496" t="s">
        <v>132</v>
      </c>
      <c r="V104" s="496" t="s">
        <v>132</v>
      </c>
      <c r="W104" s="496" t="s">
        <v>132</v>
      </c>
      <c r="X104" s="496" t="s">
        <v>132</v>
      </c>
      <c r="Y104" s="496" t="s">
        <v>132</v>
      </c>
      <c r="Z104" s="496" t="s">
        <v>132</v>
      </c>
      <c r="AA104" s="496" t="s">
        <v>132</v>
      </c>
      <c r="AB104" s="496" t="s">
        <v>132</v>
      </c>
      <c r="AC104" s="498"/>
      <c r="AD104" s="516" t="s">
        <v>324</v>
      </c>
      <c r="AE104" s="583" t="s">
        <v>92</v>
      </c>
    </row>
    <row r="105">
      <c r="A105" s="107"/>
      <c r="B105" s="108"/>
      <c r="C105" s="108"/>
      <c r="D105" s="108"/>
      <c r="E105" s="514" t="s">
        <v>375</v>
      </c>
      <c r="F105" s="154" t="s">
        <v>59</v>
      </c>
      <c r="G105" s="179" t="s">
        <v>68</v>
      </c>
      <c r="H105" s="581">
        <v>-0.035</v>
      </c>
      <c r="I105" s="496" t="s">
        <v>132</v>
      </c>
      <c r="J105" s="496" t="s">
        <v>132</v>
      </c>
      <c r="K105" s="496" t="s">
        <v>132</v>
      </c>
      <c r="L105" s="496" t="s">
        <v>132</v>
      </c>
      <c r="M105" s="496" t="s">
        <v>132</v>
      </c>
      <c r="N105" s="496" t="s">
        <v>132</v>
      </c>
      <c r="O105" s="496" t="s">
        <v>132</v>
      </c>
      <c r="P105" s="496" t="s">
        <v>132</v>
      </c>
      <c r="Q105" s="496" t="s">
        <v>132</v>
      </c>
      <c r="R105" s="496" t="s">
        <v>132</v>
      </c>
      <c r="S105" s="496" t="s">
        <v>132</v>
      </c>
      <c r="T105" s="496" t="s">
        <v>132</v>
      </c>
      <c r="U105" s="496" t="s">
        <v>132</v>
      </c>
      <c r="V105" s="496" t="s">
        <v>132</v>
      </c>
      <c r="W105" s="496" t="s">
        <v>132</v>
      </c>
      <c r="X105" s="496" t="s">
        <v>132</v>
      </c>
      <c r="Y105" s="496" t="s">
        <v>132</v>
      </c>
      <c r="Z105" s="496" t="s">
        <v>132</v>
      </c>
      <c r="AA105" s="496" t="s">
        <v>132</v>
      </c>
      <c r="AB105" s="496" t="s">
        <v>132</v>
      </c>
      <c r="AC105" s="498"/>
      <c r="AD105" s="516" t="s">
        <v>324</v>
      </c>
      <c r="AE105" s="583" t="s">
        <v>92</v>
      </c>
    </row>
    <row r="106">
      <c r="A106" s="107"/>
      <c r="B106" s="108"/>
      <c r="C106" s="108"/>
      <c r="D106" s="108"/>
      <c r="E106" s="514" t="s">
        <v>376</v>
      </c>
      <c r="F106" s="154" t="s">
        <v>59</v>
      </c>
      <c r="G106" s="179" t="s">
        <v>68</v>
      </c>
      <c r="H106" s="581">
        <v>-0.04</v>
      </c>
      <c r="I106" s="496" t="s">
        <v>132</v>
      </c>
      <c r="J106" s="496" t="s">
        <v>132</v>
      </c>
      <c r="K106" s="496" t="s">
        <v>132</v>
      </c>
      <c r="L106" s="496" t="s">
        <v>132</v>
      </c>
      <c r="M106" s="496" t="s">
        <v>132</v>
      </c>
      <c r="N106" s="496" t="s">
        <v>132</v>
      </c>
      <c r="O106" s="496" t="s">
        <v>132</v>
      </c>
      <c r="P106" s="496" t="s">
        <v>132</v>
      </c>
      <c r="Q106" s="496" t="s">
        <v>132</v>
      </c>
      <c r="R106" s="496" t="s">
        <v>132</v>
      </c>
      <c r="S106" s="496" t="s">
        <v>132</v>
      </c>
      <c r="T106" s="496" t="s">
        <v>132</v>
      </c>
      <c r="U106" s="496" t="s">
        <v>132</v>
      </c>
      <c r="V106" s="496" t="s">
        <v>132</v>
      </c>
      <c r="W106" s="496" t="s">
        <v>132</v>
      </c>
      <c r="X106" s="496" t="s">
        <v>132</v>
      </c>
      <c r="Y106" s="496" t="s">
        <v>132</v>
      </c>
      <c r="Z106" s="496" t="s">
        <v>132</v>
      </c>
      <c r="AA106" s="496" t="s">
        <v>132</v>
      </c>
      <c r="AB106" s="496" t="s">
        <v>132</v>
      </c>
      <c r="AC106" s="498"/>
      <c r="AD106" s="516" t="s">
        <v>324</v>
      </c>
      <c r="AE106" s="583" t="s">
        <v>92</v>
      </c>
    </row>
    <row r="107">
      <c r="A107" s="107"/>
      <c r="B107" s="108"/>
      <c r="C107" s="108"/>
      <c r="D107" s="108"/>
      <c r="E107" s="514" t="s">
        <v>377</v>
      </c>
      <c r="F107" s="154" t="s">
        <v>59</v>
      </c>
      <c r="G107" s="179" t="s">
        <v>68</v>
      </c>
      <c r="H107" s="581" t="s">
        <v>132</v>
      </c>
      <c r="I107" s="496">
        <v>-0.04</v>
      </c>
      <c r="J107" s="496">
        <v>-0.04</v>
      </c>
      <c r="K107" s="496">
        <v>-0.04</v>
      </c>
      <c r="L107" s="497">
        <v>-0.2</v>
      </c>
      <c r="M107" s="497">
        <v>-0.2</v>
      </c>
      <c r="N107" s="497">
        <v>-0.2</v>
      </c>
      <c r="O107" s="497">
        <v>-0.2</v>
      </c>
      <c r="P107" s="497">
        <v>-0.2</v>
      </c>
      <c r="Q107" s="496">
        <v>-0.04</v>
      </c>
      <c r="R107" s="496">
        <v>-0.04</v>
      </c>
      <c r="S107" s="496">
        <v>-0.04</v>
      </c>
      <c r="T107" s="496">
        <v>-0.04</v>
      </c>
      <c r="U107" s="496">
        <v>-0.04</v>
      </c>
      <c r="V107" s="496">
        <v>-0.04</v>
      </c>
      <c r="W107" s="496">
        <v>-0.04</v>
      </c>
      <c r="X107" s="496">
        <v>-0.04</v>
      </c>
      <c r="Y107" s="496">
        <v>-0.04</v>
      </c>
      <c r="Z107" s="496">
        <v>-0.04</v>
      </c>
      <c r="AA107" s="496">
        <v>-0.04</v>
      </c>
      <c r="AB107" s="497">
        <v>-0.2</v>
      </c>
      <c r="AC107" s="498"/>
      <c r="AD107" s="516" t="s">
        <v>324</v>
      </c>
      <c r="AE107" s="583" t="s">
        <v>92</v>
      </c>
    </row>
    <row r="108">
      <c r="A108" s="107"/>
      <c r="B108" s="108"/>
      <c r="C108" s="108"/>
      <c r="D108" s="108"/>
      <c r="E108" s="514" t="s">
        <v>378</v>
      </c>
      <c r="F108" s="154" t="s">
        <v>59</v>
      </c>
      <c r="G108" s="179" t="s">
        <v>68</v>
      </c>
      <c r="H108" s="581">
        <v>0.032</v>
      </c>
      <c r="I108" s="496" t="s">
        <v>132</v>
      </c>
      <c r="J108" s="496" t="s">
        <v>132</v>
      </c>
      <c r="K108" s="496" t="s">
        <v>132</v>
      </c>
      <c r="L108" s="496" t="s">
        <v>132</v>
      </c>
      <c r="M108" s="496" t="s">
        <v>132</v>
      </c>
      <c r="N108" s="496" t="s">
        <v>132</v>
      </c>
      <c r="O108" s="496" t="s">
        <v>132</v>
      </c>
      <c r="P108" s="496" t="s">
        <v>132</v>
      </c>
      <c r="Q108" s="496" t="s">
        <v>132</v>
      </c>
      <c r="R108" s="496" t="s">
        <v>132</v>
      </c>
      <c r="S108" s="496" t="s">
        <v>132</v>
      </c>
      <c r="T108" s="496" t="s">
        <v>132</v>
      </c>
      <c r="U108" s="496" t="s">
        <v>132</v>
      </c>
      <c r="V108" s="496" t="s">
        <v>132</v>
      </c>
      <c r="W108" s="496" t="s">
        <v>132</v>
      </c>
      <c r="X108" s="496" t="s">
        <v>132</v>
      </c>
      <c r="Y108" s="496" t="s">
        <v>132</v>
      </c>
      <c r="Z108" s="496" t="s">
        <v>132</v>
      </c>
      <c r="AA108" s="496" t="s">
        <v>132</v>
      </c>
      <c r="AB108" s="496" t="s">
        <v>132</v>
      </c>
      <c r="AC108" s="498"/>
      <c r="AD108" s="516" t="s">
        <v>324</v>
      </c>
      <c r="AE108" s="583" t="s">
        <v>92</v>
      </c>
    </row>
    <row r="109">
      <c r="A109" s="107"/>
      <c r="B109" s="108"/>
      <c r="C109" s="108"/>
      <c r="D109" s="108"/>
      <c r="E109" s="517" t="s">
        <v>379</v>
      </c>
      <c r="F109" s="119" t="s">
        <v>59</v>
      </c>
      <c r="G109" s="149" t="s">
        <v>68</v>
      </c>
      <c r="H109" s="656" t="s">
        <v>132</v>
      </c>
      <c r="I109" s="657">
        <v>-0.15</v>
      </c>
      <c r="J109" s="657">
        <v>-0.1</v>
      </c>
      <c r="K109" s="657">
        <v>-0.2</v>
      </c>
      <c r="L109" s="657">
        <v>0.0</v>
      </c>
      <c r="M109" s="657">
        <v>0.0</v>
      </c>
      <c r="N109" s="657">
        <v>0.0</v>
      </c>
      <c r="O109" s="657">
        <v>0.0</v>
      </c>
      <c r="P109" s="657">
        <v>0.0</v>
      </c>
      <c r="Q109" s="657">
        <v>0.0</v>
      </c>
      <c r="R109" s="657">
        <v>0.0</v>
      </c>
      <c r="S109" s="657">
        <v>0.0</v>
      </c>
      <c r="T109" s="657">
        <v>0.0</v>
      </c>
      <c r="U109" s="657">
        <v>0.0</v>
      </c>
      <c r="V109" s="657">
        <v>0.0</v>
      </c>
      <c r="W109" s="657">
        <v>0.0</v>
      </c>
      <c r="X109" s="657">
        <v>0.0</v>
      </c>
      <c r="Y109" s="657">
        <v>0.0</v>
      </c>
      <c r="Z109" s="657">
        <v>0.0</v>
      </c>
      <c r="AA109" s="657">
        <v>-0.05</v>
      </c>
      <c r="AB109" s="657">
        <v>0.0</v>
      </c>
      <c r="AC109" s="70"/>
      <c r="AD109" s="490" t="s">
        <v>324</v>
      </c>
      <c r="AE109" s="658" t="s">
        <v>92</v>
      </c>
    </row>
    <row r="110">
      <c r="A110" s="659"/>
      <c r="E110" s="660"/>
      <c r="H110" s="661"/>
      <c r="AC110" s="659"/>
      <c r="AE110" s="460"/>
    </row>
    <row r="111">
      <c r="A111" s="103" t="s">
        <v>213</v>
      </c>
      <c r="B111" s="6"/>
      <c r="C111" s="6"/>
      <c r="D111" s="6"/>
      <c r="E111" s="6"/>
      <c r="F111" s="6"/>
      <c r="G111" s="370"/>
      <c r="H111" s="480"/>
      <c r="I111" s="481"/>
      <c r="J111" s="481"/>
      <c r="K111" s="481"/>
      <c r="L111" s="481"/>
      <c r="M111" s="481"/>
      <c r="N111" s="481"/>
      <c r="O111" s="481"/>
      <c r="P111" s="481"/>
      <c r="Q111" s="481"/>
      <c r="R111" s="481"/>
      <c r="S111" s="481"/>
      <c r="T111" s="481"/>
      <c r="U111" s="481"/>
      <c r="V111" s="481"/>
      <c r="W111" s="481"/>
      <c r="X111" s="481"/>
      <c r="Y111" s="481"/>
      <c r="Z111" s="481"/>
      <c r="AA111" s="481"/>
      <c r="AB111" s="481"/>
      <c r="AC111" s="632"/>
      <c r="AD111" s="633"/>
      <c r="AE111" s="483"/>
    </row>
    <row r="112">
      <c r="A112" s="107"/>
      <c r="B112" s="108"/>
      <c r="C112" s="108"/>
      <c r="D112" s="108"/>
      <c r="E112" s="484"/>
      <c r="F112" s="110"/>
      <c r="G112" s="111"/>
      <c r="H112" s="662"/>
      <c r="I112" s="263"/>
      <c r="J112" s="263"/>
      <c r="K112" s="263"/>
      <c r="L112" s="263"/>
      <c r="M112" s="263"/>
      <c r="N112" s="263"/>
      <c r="O112" s="263"/>
      <c r="P112" s="263"/>
      <c r="Q112" s="263"/>
      <c r="R112" s="263"/>
      <c r="S112" s="263"/>
      <c r="T112" s="263"/>
      <c r="U112" s="263"/>
      <c r="V112" s="263"/>
      <c r="W112" s="263"/>
      <c r="X112" s="263"/>
      <c r="Y112" s="263"/>
      <c r="Z112" s="263"/>
      <c r="AA112" s="263"/>
      <c r="AB112" s="263"/>
      <c r="AC112" s="53"/>
      <c r="AD112" s="486"/>
      <c r="AE112" s="487"/>
    </row>
    <row r="113">
      <c r="A113" s="107"/>
      <c r="B113" s="108"/>
      <c r="C113" s="152" t="s">
        <v>255</v>
      </c>
      <c r="F113" s="110"/>
      <c r="G113" s="111"/>
      <c r="H113" s="485"/>
      <c r="I113" s="263"/>
      <c r="J113" s="263"/>
      <c r="K113" s="263"/>
      <c r="L113" s="263"/>
      <c r="M113" s="263"/>
      <c r="N113" s="263"/>
      <c r="O113" s="263"/>
      <c r="P113" s="263"/>
      <c r="Q113" s="263"/>
      <c r="R113" s="263"/>
      <c r="S113" s="263"/>
      <c r="T113" s="263"/>
      <c r="U113" s="263"/>
      <c r="V113" s="263"/>
      <c r="W113" s="263"/>
      <c r="X113" s="263"/>
      <c r="Y113" s="263"/>
      <c r="Z113" s="263"/>
      <c r="AA113" s="263"/>
      <c r="AB113" s="263"/>
      <c r="AC113" s="53"/>
      <c r="AD113" s="486"/>
      <c r="AE113" s="487"/>
    </row>
    <row r="114">
      <c r="A114" s="107"/>
      <c r="B114" s="108"/>
      <c r="C114" s="108"/>
      <c r="D114" s="108"/>
      <c r="E114" s="514" t="s">
        <v>380</v>
      </c>
      <c r="F114" s="154" t="s">
        <v>59</v>
      </c>
      <c r="G114" s="179" t="s">
        <v>68</v>
      </c>
      <c r="H114" s="495" t="s">
        <v>132</v>
      </c>
      <c r="I114" s="496">
        <v>0.0</v>
      </c>
      <c r="J114" s="663">
        <v>0.0</v>
      </c>
      <c r="K114" s="496">
        <v>0.0</v>
      </c>
      <c r="L114" s="663">
        <v>0.0</v>
      </c>
      <c r="M114" s="663">
        <v>0.0</v>
      </c>
      <c r="N114" s="663">
        <v>0.0</v>
      </c>
      <c r="O114" s="663">
        <v>0.0</v>
      </c>
      <c r="P114" s="663">
        <v>0.0</v>
      </c>
      <c r="Q114" s="663">
        <v>0.0</v>
      </c>
      <c r="R114" s="663">
        <v>0.0</v>
      </c>
      <c r="S114" s="663">
        <v>0.0</v>
      </c>
      <c r="T114" s="663">
        <v>0.0</v>
      </c>
      <c r="U114" s="663">
        <v>0.0</v>
      </c>
      <c r="V114" s="663">
        <v>0.0</v>
      </c>
      <c r="W114" s="663">
        <v>0.0</v>
      </c>
      <c r="X114" s="663">
        <v>0.0</v>
      </c>
      <c r="Y114" s="663">
        <v>0.0</v>
      </c>
      <c r="Z114" s="496">
        <v>0.0</v>
      </c>
      <c r="AA114" s="663">
        <v>0.0</v>
      </c>
      <c r="AB114" s="496">
        <v>0.0</v>
      </c>
      <c r="AC114" s="498"/>
      <c r="AD114" s="516" t="s">
        <v>306</v>
      </c>
      <c r="AE114" s="583" t="s">
        <v>86</v>
      </c>
    </row>
    <row r="115">
      <c r="A115" s="107"/>
      <c r="B115" s="108"/>
      <c r="C115" s="108"/>
      <c r="D115" s="108"/>
      <c r="E115" s="584" t="s">
        <v>381</v>
      </c>
      <c r="F115" s="159" t="s">
        <v>59</v>
      </c>
      <c r="G115" s="212" t="s">
        <v>68</v>
      </c>
      <c r="H115" s="502" t="s">
        <v>132</v>
      </c>
      <c r="I115" s="503">
        <v>0.5</v>
      </c>
      <c r="J115" s="503">
        <v>0.3</v>
      </c>
      <c r="K115" s="503">
        <v>0.4</v>
      </c>
      <c r="L115" s="503">
        <v>0.15</v>
      </c>
      <c r="M115" s="503">
        <v>0.15</v>
      </c>
      <c r="N115" s="503">
        <v>0.15</v>
      </c>
      <c r="O115" s="503">
        <v>0.15</v>
      </c>
      <c r="P115" s="503">
        <v>0.35</v>
      </c>
      <c r="Q115" s="503">
        <v>0.2</v>
      </c>
      <c r="R115" s="503">
        <v>0.1</v>
      </c>
      <c r="S115" s="503">
        <v>0.1</v>
      </c>
      <c r="T115" s="503">
        <v>0.2</v>
      </c>
      <c r="U115" s="503">
        <v>0.1</v>
      </c>
      <c r="V115" s="503">
        <v>0.2</v>
      </c>
      <c r="W115" s="503">
        <v>0.2</v>
      </c>
      <c r="X115" s="503">
        <v>0.2</v>
      </c>
      <c r="Y115" s="503">
        <v>0.2</v>
      </c>
      <c r="Z115" s="503">
        <v>0.15</v>
      </c>
      <c r="AA115" s="503">
        <v>0.65</v>
      </c>
      <c r="AB115" s="503">
        <v>0.4</v>
      </c>
      <c r="AC115" s="505"/>
      <c r="AD115" s="588" t="s">
        <v>306</v>
      </c>
      <c r="AE115" s="583" t="s">
        <v>86</v>
      </c>
    </row>
    <row r="116">
      <c r="A116" s="107"/>
      <c r="B116" s="108"/>
      <c r="C116" s="108"/>
      <c r="D116" s="108"/>
      <c r="E116" s="562" t="s">
        <v>258</v>
      </c>
      <c r="F116" s="164" t="s">
        <v>59</v>
      </c>
      <c r="G116" s="219" t="s">
        <v>68</v>
      </c>
      <c r="H116" s="508" t="s">
        <v>132</v>
      </c>
      <c r="I116" s="509">
        <v>0.0</v>
      </c>
      <c r="J116" s="509">
        <v>0.0</v>
      </c>
      <c r="K116" s="509">
        <v>0.0</v>
      </c>
      <c r="L116" s="509">
        <v>0.0</v>
      </c>
      <c r="M116" s="509">
        <v>0.0</v>
      </c>
      <c r="N116" s="509">
        <v>0.0</v>
      </c>
      <c r="O116" s="509">
        <v>0.0</v>
      </c>
      <c r="P116" s="509">
        <v>0.0</v>
      </c>
      <c r="Q116" s="509">
        <v>0.0</v>
      </c>
      <c r="R116" s="509">
        <v>0.0</v>
      </c>
      <c r="S116" s="509">
        <v>0.0</v>
      </c>
      <c r="T116" s="509">
        <v>0.0</v>
      </c>
      <c r="U116" s="509">
        <v>0.0</v>
      </c>
      <c r="V116" s="509">
        <v>0.0</v>
      </c>
      <c r="W116" s="509">
        <v>0.0</v>
      </c>
      <c r="X116" s="509">
        <v>0.0</v>
      </c>
      <c r="Y116" s="509">
        <v>0.0</v>
      </c>
      <c r="Z116" s="509">
        <v>0.0</v>
      </c>
      <c r="AA116" s="509">
        <v>0.0</v>
      </c>
      <c r="AB116" s="509">
        <v>0.0</v>
      </c>
      <c r="AC116" s="511"/>
      <c r="AD116" s="564" t="s">
        <v>306</v>
      </c>
      <c r="AE116" s="658" t="s">
        <v>86</v>
      </c>
    </row>
    <row r="117">
      <c r="A117" s="107"/>
      <c r="B117" s="108"/>
      <c r="C117" s="108"/>
      <c r="D117" s="108"/>
      <c r="E117" s="484"/>
      <c r="F117" s="110"/>
      <c r="G117" s="111"/>
      <c r="H117" s="485"/>
      <c r="I117" s="263"/>
      <c r="J117" s="263"/>
      <c r="K117" s="263"/>
      <c r="L117" s="263"/>
      <c r="M117" s="263"/>
      <c r="N117" s="263"/>
      <c r="O117" s="263"/>
      <c r="P117" s="263"/>
      <c r="Q117" s="263"/>
      <c r="R117" s="263"/>
      <c r="S117" s="263"/>
      <c r="T117" s="263"/>
      <c r="U117" s="263"/>
      <c r="V117" s="263"/>
      <c r="W117" s="263"/>
      <c r="X117" s="263"/>
      <c r="Y117" s="263"/>
      <c r="Z117" s="263"/>
      <c r="AA117" s="263"/>
      <c r="AB117" s="263"/>
      <c r="AC117" s="53"/>
      <c r="AD117" s="486"/>
      <c r="AE117" s="487"/>
    </row>
    <row r="118">
      <c r="A118" s="107"/>
      <c r="B118" s="108"/>
      <c r="C118" s="40" t="s">
        <v>257</v>
      </c>
      <c r="F118" s="10"/>
      <c r="G118" s="24"/>
      <c r="H118" s="485"/>
      <c r="I118" s="263"/>
      <c r="J118" s="263"/>
      <c r="K118" s="263"/>
      <c r="L118" s="263"/>
      <c r="M118" s="263"/>
      <c r="N118" s="263"/>
      <c r="O118" s="263"/>
      <c r="P118" s="263"/>
      <c r="Q118" s="263"/>
      <c r="R118" s="263"/>
      <c r="S118" s="263"/>
      <c r="T118" s="263"/>
      <c r="U118" s="263"/>
      <c r="V118" s="263"/>
      <c r="W118" s="263"/>
      <c r="X118" s="263"/>
      <c r="Y118" s="263"/>
      <c r="Z118" s="263"/>
      <c r="AA118" s="263"/>
      <c r="AB118" s="263"/>
      <c r="AC118" s="53"/>
      <c r="AD118" s="486"/>
      <c r="AE118" s="487"/>
    </row>
    <row r="119">
      <c r="A119" s="107"/>
      <c r="B119" s="108"/>
      <c r="C119" s="10"/>
      <c r="D119" s="10"/>
      <c r="E119" s="494" t="s">
        <v>380</v>
      </c>
      <c r="F119" s="400" t="s">
        <v>59</v>
      </c>
      <c r="G119" s="131" t="s">
        <v>68</v>
      </c>
      <c r="H119" s="581">
        <v>1.0</v>
      </c>
      <c r="I119" s="130" t="s">
        <v>132</v>
      </c>
      <c r="J119" s="130" t="s">
        <v>132</v>
      </c>
      <c r="K119" s="130" t="s">
        <v>132</v>
      </c>
      <c r="L119" s="130" t="s">
        <v>132</v>
      </c>
      <c r="M119" s="130" t="s">
        <v>132</v>
      </c>
      <c r="N119" s="130" t="s">
        <v>132</v>
      </c>
      <c r="O119" s="130" t="s">
        <v>132</v>
      </c>
      <c r="P119" s="130" t="s">
        <v>132</v>
      </c>
      <c r="Q119" s="130" t="s">
        <v>132</v>
      </c>
      <c r="R119" s="130" t="s">
        <v>132</v>
      </c>
      <c r="S119" s="130" t="s">
        <v>132</v>
      </c>
      <c r="T119" s="130" t="s">
        <v>132</v>
      </c>
      <c r="U119" s="130" t="s">
        <v>132</v>
      </c>
      <c r="V119" s="130" t="s">
        <v>132</v>
      </c>
      <c r="W119" s="130" t="s">
        <v>132</v>
      </c>
      <c r="X119" s="130" t="s">
        <v>132</v>
      </c>
      <c r="Y119" s="130" t="s">
        <v>132</v>
      </c>
      <c r="Z119" s="130" t="s">
        <v>132</v>
      </c>
      <c r="AA119" s="130" t="s">
        <v>132</v>
      </c>
      <c r="AB119" s="130" t="s">
        <v>132</v>
      </c>
      <c r="AC119" s="498"/>
      <c r="AD119" s="499" t="s">
        <v>306</v>
      </c>
      <c r="AE119" s="597"/>
    </row>
    <row r="120">
      <c r="A120" s="107"/>
      <c r="B120" s="108"/>
      <c r="C120" s="10"/>
      <c r="D120" s="10"/>
      <c r="E120" s="501" t="s">
        <v>381</v>
      </c>
      <c r="F120" s="402" t="s">
        <v>59</v>
      </c>
      <c r="G120" s="137" t="s">
        <v>68</v>
      </c>
      <c r="H120" s="585">
        <v>1.0</v>
      </c>
      <c r="I120" s="136" t="s">
        <v>132</v>
      </c>
      <c r="J120" s="136" t="s">
        <v>132</v>
      </c>
      <c r="K120" s="136" t="s">
        <v>132</v>
      </c>
      <c r="L120" s="136" t="s">
        <v>132</v>
      </c>
      <c r="M120" s="136" t="s">
        <v>132</v>
      </c>
      <c r="N120" s="136" t="s">
        <v>132</v>
      </c>
      <c r="O120" s="136" t="s">
        <v>132</v>
      </c>
      <c r="P120" s="136" t="s">
        <v>132</v>
      </c>
      <c r="Q120" s="136" t="s">
        <v>132</v>
      </c>
      <c r="R120" s="136" t="s">
        <v>132</v>
      </c>
      <c r="S120" s="136" t="s">
        <v>132</v>
      </c>
      <c r="T120" s="136" t="s">
        <v>132</v>
      </c>
      <c r="U120" s="136" t="s">
        <v>132</v>
      </c>
      <c r="V120" s="136" t="s">
        <v>132</v>
      </c>
      <c r="W120" s="136" t="s">
        <v>132</v>
      </c>
      <c r="X120" s="136" t="s">
        <v>132</v>
      </c>
      <c r="Y120" s="136" t="s">
        <v>132</v>
      </c>
      <c r="Z120" s="136" t="s">
        <v>132</v>
      </c>
      <c r="AA120" s="136" t="s">
        <v>132</v>
      </c>
      <c r="AB120" s="136" t="s">
        <v>132</v>
      </c>
      <c r="AC120" s="505"/>
      <c r="AD120" s="506" t="s">
        <v>306</v>
      </c>
      <c r="AE120" s="599"/>
    </row>
    <row r="121">
      <c r="A121" s="107"/>
      <c r="B121" s="108"/>
      <c r="C121" s="10"/>
      <c r="D121" s="10"/>
      <c r="E121" s="664" t="s">
        <v>256</v>
      </c>
      <c r="F121" s="405" t="s">
        <v>59</v>
      </c>
      <c r="G121" s="381" t="s">
        <v>68</v>
      </c>
      <c r="H121" s="600">
        <v>0.0</v>
      </c>
      <c r="I121" s="142" t="s">
        <v>132</v>
      </c>
      <c r="J121" s="142" t="s">
        <v>132</v>
      </c>
      <c r="K121" s="142" t="s">
        <v>132</v>
      </c>
      <c r="L121" s="142" t="s">
        <v>132</v>
      </c>
      <c r="M121" s="142" t="s">
        <v>132</v>
      </c>
      <c r="N121" s="142" t="s">
        <v>132</v>
      </c>
      <c r="O121" s="142" t="s">
        <v>132</v>
      </c>
      <c r="P121" s="142" t="s">
        <v>132</v>
      </c>
      <c r="Q121" s="142" t="s">
        <v>132</v>
      </c>
      <c r="R121" s="142" t="s">
        <v>132</v>
      </c>
      <c r="S121" s="142" t="s">
        <v>132</v>
      </c>
      <c r="T121" s="142" t="s">
        <v>132</v>
      </c>
      <c r="U121" s="142" t="s">
        <v>132</v>
      </c>
      <c r="V121" s="142" t="s">
        <v>132</v>
      </c>
      <c r="W121" s="142" t="s">
        <v>132</v>
      </c>
      <c r="X121" s="142" t="s">
        <v>132</v>
      </c>
      <c r="Y121" s="142" t="s">
        <v>132</v>
      </c>
      <c r="Z121" s="142" t="s">
        <v>132</v>
      </c>
      <c r="AA121" s="142" t="s">
        <v>132</v>
      </c>
      <c r="AB121" s="142" t="s">
        <v>132</v>
      </c>
      <c r="AC121" s="511"/>
      <c r="AD121" s="564" t="s">
        <v>306</v>
      </c>
      <c r="AE121" s="665"/>
    </row>
    <row r="122">
      <c r="A122" s="107"/>
      <c r="B122" s="108"/>
      <c r="C122" s="108"/>
      <c r="D122" s="108"/>
      <c r="E122" s="484"/>
      <c r="F122" s="110"/>
      <c r="G122" s="111"/>
      <c r="H122" s="485"/>
      <c r="I122" s="263"/>
      <c r="J122" s="263"/>
      <c r="K122" s="263"/>
      <c r="L122" s="263"/>
      <c r="M122" s="263"/>
      <c r="N122" s="263"/>
      <c r="O122" s="263"/>
      <c r="P122" s="263"/>
      <c r="Q122" s="263"/>
      <c r="R122" s="263"/>
      <c r="S122" s="263"/>
      <c r="T122" s="263"/>
      <c r="U122" s="263"/>
      <c r="V122" s="263"/>
      <c r="W122" s="263"/>
      <c r="X122" s="263"/>
      <c r="Y122" s="263"/>
      <c r="Z122" s="263"/>
      <c r="AA122" s="263"/>
      <c r="AB122" s="263"/>
      <c r="AC122" s="53"/>
      <c r="AD122" s="486"/>
      <c r="AE122" s="487"/>
    </row>
    <row r="123">
      <c r="A123" s="107"/>
      <c r="B123" s="108"/>
      <c r="C123" s="152" t="s">
        <v>264</v>
      </c>
      <c r="F123" s="125"/>
      <c r="G123" s="111"/>
      <c r="H123" s="485"/>
      <c r="I123" s="263"/>
      <c r="J123" s="263"/>
      <c r="K123" s="263"/>
      <c r="L123" s="263"/>
      <c r="M123" s="263"/>
      <c r="N123" s="263"/>
      <c r="O123" s="263"/>
      <c r="P123" s="263"/>
      <c r="Q123" s="263"/>
      <c r="R123" s="263"/>
      <c r="S123" s="263"/>
      <c r="T123" s="263"/>
      <c r="U123" s="263"/>
      <c r="V123" s="263"/>
      <c r="W123" s="263"/>
      <c r="X123" s="263"/>
      <c r="Y123" s="263"/>
      <c r="Z123" s="263"/>
      <c r="AA123" s="263"/>
      <c r="AB123" s="263"/>
      <c r="AC123" s="53"/>
      <c r="AD123" s="486"/>
      <c r="AE123" s="487"/>
    </row>
    <row r="124">
      <c r="A124" s="107"/>
      <c r="B124" s="108"/>
      <c r="C124" s="108"/>
      <c r="D124" s="108"/>
      <c r="E124" s="514" t="s">
        <v>382</v>
      </c>
      <c r="F124" s="154" t="s">
        <v>63</v>
      </c>
      <c r="G124" s="179" t="s">
        <v>68</v>
      </c>
      <c r="H124" s="666">
        <v>0.005057</v>
      </c>
      <c r="I124" s="400" t="s">
        <v>132</v>
      </c>
      <c r="J124" s="400" t="s">
        <v>132</v>
      </c>
      <c r="K124" s="400" t="s">
        <v>132</v>
      </c>
      <c r="L124" s="400" t="s">
        <v>132</v>
      </c>
      <c r="M124" s="400" t="s">
        <v>132</v>
      </c>
      <c r="N124" s="400" t="s">
        <v>132</v>
      </c>
      <c r="O124" s="400" t="s">
        <v>132</v>
      </c>
      <c r="P124" s="400" t="s">
        <v>132</v>
      </c>
      <c r="Q124" s="400" t="s">
        <v>132</v>
      </c>
      <c r="R124" s="400" t="s">
        <v>132</v>
      </c>
      <c r="S124" s="400" t="s">
        <v>132</v>
      </c>
      <c r="T124" s="400" t="s">
        <v>132</v>
      </c>
      <c r="U124" s="400" t="s">
        <v>132</v>
      </c>
      <c r="V124" s="400" t="s">
        <v>132</v>
      </c>
      <c r="W124" s="400" t="s">
        <v>132</v>
      </c>
      <c r="X124" s="400" t="s">
        <v>132</v>
      </c>
      <c r="Y124" s="400" t="s">
        <v>132</v>
      </c>
      <c r="Z124" s="400" t="s">
        <v>132</v>
      </c>
      <c r="AA124" s="400" t="s">
        <v>132</v>
      </c>
      <c r="AB124" s="400" t="s">
        <v>132</v>
      </c>
      <c r="AC124" s="498"/>
      <c r="AD124" s="516" t="s">
        <v>306</v>
      </c>
      <c r="AE124" s="68" t="s">
        <v>94</v>
      </c>
    </row>
    <row r="125">
      <c r="A125" s="107"/>
      <c r="B125" s="108"/>
      <c r="C125" s="108"/>
      <c r="D125" s="108"/>
      <c r="E125" s="517" t="s">
        <v>383</v>
      </c>
      <c r="F125" s="119" t="s">
        <v>63</v>
      </c>
      <c r="G125" s="149" t="s">
        <v>68</v>
      </c>
      <c r="H125" s="645">
        <v>0.015433</v>
      </c>
      <c r="I125" s="667" t="s">
        <v>132</v>
      </c>
      <c r="J125" s="667" t="s">
        <v>132</v>
      </c>
      <c r="K125" s="667" t="s">
        <v>132</v>
      </c>
      <c r="L125" s="667" t="s">
        <v>132</v>
      </c>
      <c r="M125" s="667" t="s">
        <v>132</v>
      </c>
      <c r="N125" s="667" t="s">
        <v>132</v>
      </c>
      <c r="O125" s="667" t="s">
        <v>132</v>
      </c>
      <c r="P125" s="667" t="s">
        <v>132</v>
      </c>
      <c r="Q125" s="667" t="s">
        <v>132</v>
      </c>
      <c r="R125" s="667" t="s">
        <v>132</v>
      </c>
      <c r="S125" s="667" t="s">
        <v>132</v>
      </c>
      <c r="T125" s="667" t="s">
        <v>132</v>
      </c>
      <c r="U125" s="667" t="s">
        <v>132</v>
      </c>
      <c r="V125" s="667" t="s">
        <v>132</v>
      </c>
      <c r="W125" s="667" t="s">
        <v>132</v>
      </c>
      <c r="X125" s="667" t="s">
        <v>132</v>
      </c>
      <c r="Y125" s="667" t="s">
        <v>132</v>
      </c>
      <c r="Z125" s="667" t="s">
        <v>132</v>
      </c>
      <c r="AA125" s="667" t="s">
        <v>132</v>
      </c>
      <c r="AB125" s="667" t="s">
        <v>132</v>
      </c>
      <c r="AC125" s="70"/>
      <c r="AD125" s="490" t="s">
        <v>306</v>
      </c>
      <c r="AE125" s="658" t="s">
        <v>95</v>
      </c>
    </row>
    <row r="126">
      <c r="A126" s="324"/>
      <c r="B126" s="325"/>
      <c r="C126" s="325"/>
      <c r="D126" s="325"/>
      <c r="E126" s="668"/>
      <c r="F126" s="327"/>
      <c r="G126" s="328"/>
      <c r="H126" s="669"/>
      <c r="I126" s="670"/>
      <c r="J126" s="670"/>
      <c r="K126" s="670"/>
      <c r="L126" s="670"/>
      <c r="M126" s="670"/>
      <c r="N126" s="670"/>
      <c r="O126" s="670"/>
      <c r="P126" s="670"/>
      <c r="Q126" s="670"/>
      <c r="R126" s="670"/>
      <c r="S126" s="670"/>
      <c r="T126" s="670"/>
      <c r="U126" s="670"/>
      <c r="V126" s="670"/>
      <c r="W126" s="670"/>
      <c r="X126" s="670"/>
      <c r="Y126" s="670"/>
      <c r="Z126" s="670"/>
      <c r="AA126" s="670"/>
      <c r="AB126" s="670"/>
      <c r="AC126" s="70"/>
      <c r="AD126" s="671"/>
      <c r="AE126" s="607"/>
    </row>
  </sheetData>
  <mergeCells count="31">
    <mergeCell ref="I1:R1"/>
    <mergeCell ref="S1:AB1"/>
    <mergeCell ref="A3:E3"/>
    <mergeCell ref="A5:G5"/>
    <mergeCell ref="C7:E7"/>
    <mergeCell ref="C10:E10"/>
    <mergeCell ref="C15:E15"/>
    <mergeCell ref="A19:G19"/>
    <mergeCell ref="C21:E21"/>
    <mergeCell ref="C29:E29"/>
    <mergeCell ref="C35:E35"/>
    <mergeCell ref="C38:E38"/>
    <mergeCell ref="A42:G42"/>
    <mergeCell ref="C44:E44"/>
    <mergeCell ref="C55:E55"/>
    <mergeCell ref="C60:E60"/>
    <mergeCell ref="C64:E64"/>
    <mergeCell ref="A71:G71"/>
    <mergeCell ref="C73:E73"/>
    <mergeCell ref="A79:G79"/>
    <mergeCell ref="C81:E81"/>
    <mergeCell ref="C113:E113"/>
    <mergeCell ref="C118:E118"/>
    <mergeCell ref="C123:E123"/>
    <mergeCell ref="A84:G84"/>
    <mergeCell ref="C86:E86"/>
    <mergeCell ref="D87:E87"/>
    <mergeCell ref="D91:E91"/>
    <mergeCell ref="D94:E94"/>
    <mergeCell ref="C99:E99"/>
    <mergeCell ref="A111:G111"/>
  </mergeCells>
  <hyperlinks>
    <hyperlink r:id="rId2" location="gid=211647678" ref="AE11"/>
    <hyperlink r:id="rId3" location="gid=211647678" ref="AE12"/>
    <hyperlink r:id="rId4" location="gid=211647678" ref="AE13"/>
    <hyperlink r:id="rId5" location="gid=211647678" ref="AE16"/>
    <hyperlink r:id="rId6" location="gid=211647678" ref="AE17"/>
    <hyperlink r:id="rId7" location="gid=845459846" ref="AE22"/>
    <hyperlink r:id="rId8" location="gid=845459846" ref="AE23"/>
    <hyperlink r:id="rId9" location="gid=845459846" ref="AE24"/>
    <hyperlink r:id="rId10" location="gid=845459846" ref="AE25"/>
    <hyperlink r:id="rId11" location="gid=845459846" ref="AE30"/>
    <hyperlink r:id="rId12" location="gid=845459846" ref="AE36"/>
    <hyperlink r:id="rId13" location="gid=845459846" ref="AE39"/>
    <hyperlink r:id="rId14" location="gid=845459846" ref="AE40"/>
    <hyperlink r:id="rId15" location="What_is_the_impact_of_SMC_on_malaria" ref="AE45"/>
    <hyperlink r:id="rId16" ref="AE46"/>
    <hyperlink r:id="rId17" location="gid=1508543722" ref="AE51"/>
    <hyperlink r:id="rId18" ref="AD56"/>
    <hyperlink r:id="rId19" ref="AD57"/>
    <hyperlink r:id="rId20" ref="AE58"/>
    <hyperlink r:id="rId21" ref="AE65"/>
    <hyperlink r:id="rId22" location="gid=1087538420" ref="AE67"/>
    <hyperlink r:id="rId23" location="gid=0" ref="AE69"/>
    <hyperlink r:id="rId24" location="gid=1087538420" ref="AE74"/>
    <hyperlink r:id="rId25" location="gid=1087538420" ref="AE75"/>
    <hyperlink r:id="rId26" location="gid=1087538420" ref="AE76"/>
    <hyperlink r:id="rId27" location="gid=1087538420" ref="AE77"/>
    <hyperlink r:id="rId28" location="gid=1266854728" ref="AE82"/>
    <hyperlink r:id="rId29" ref="AE100"/>
    <hyperlink r:id="rId30" ref="AE101"/>
    <hyperlink r:id="rId31" ref="AE102"/>
    <hyperlink r:id="rId32" ref="AE103"/>
    <hyperlink r:id="rId33" ref="AE104"/>
    <hyperlink r:id="rId34" ref="AE105"/>
    <hyperlink r:id="rId35" ref="AE106"/>
    <hyperlink r:id="rId36" ref="AE107"/>
    <hyperlink r:id="rId37" ref="AE108"/>
    <hyperlink r:id="rId38" ref="AE109"/>
    <hyperlink r:id="rId39" location="gid=0" ref="AE114"/>
    <hyperlink r:id="rId40" location="gid=0" ref="AE115"/>
    <hyperlink r:id="rId41" location="gid=0" ref="AE116"/>
    <hyperlink r:id="rId42" ref="AE124"/>
    <hyperlink r:id="rId43" ref="AE125"/>
  </hyperlinks>
  <drawing r:id="rId44"/>
  <legacyDrawing r:id="rId4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20.13"/>
    <col customWidth="1" min="3" max="3" width="6.5"/>
    <col customWidth="1" min="4" max="4" width="9.88"/>
    <col customWidth="1" min="5" max="5" width="6.75"/>
    <col customWidth="1" min="6" max="6" width="9.5"/>
    <col customWidth="1" min="7" max="7" width="8.0"/>
    <col customWidth="1" min="8" max="10" width="10.88"/>
    <col customWidth="1" min="11" max="11" width="2.88"/>
    <col customWidth="1" min="12" max="12" width="8.38"/>
    <col customWidth="1" min="13" max="13" width="19.5"/>
    <col customWidth="1" min="14" max="14" width="5.75"/>
    <col customWidth="1" min="15" max="15" width="10.13"/>
    <col customWidth="1" min="16" max="16" width="8.5"/>
    <col customWidth="1" min="17" max="17" width="8.25"/>
    <col customWidth="1" min="18" max="18" width="6.13"/>
    <col customWidth="1" min="19" max="21" width="7.75"/>
    <col customWidth="1" min="22" max="22" width="2.88"/>
    <col customWidth="1" min="23" max="23" width="8.38"/>
    <col customWidth="1" min="24" max="24" width="19.5"/>
    <col customWidth="1" min="25" max="25" width="5.75"/>
    <col customWidth="1" min="26" max="26" width="10.13"/>
    <col customWidth="1" min="27" max="27" width="8.25"/>
    <col customWidth="1" min="28" max="28" width="6.75"/>
    <col customWidth="1" min="29" max="29" width="6.13"/>
    <col customWidth="1" min="30" max="32" width="7.75"/>
    <col customWidth="1" min="33" max="33" width="2.63"/>
    <col customWidth="1" min="34" max="34" width="11.38"/>
    <col customWidth="1" min="35" max="35" width="19.5"/>
    <col customWidth="1" min="36" max="36" width="6.88"/>
    <col customWidth="1" min="37" max="37" width="10.88"/>
    <col customWidth="1" min="38" max="38" width="8.0"/>
    <col customWidth="1" min="39" max="39" width="7.63"/>
    <col customWidth="1" min="40" max="43" width="8.0"/>
    <col customWidth="1" min="44" max="44" width="2.63"/>
    <col customWidth="1" min="45" max="45" width="10.0"/>
    <col customWidth="1" min="46" max="46" width="6.38"/>
    <col customWidth="1" min="47" max="47" width="24.13"/>
    <col customWidth="1" min="48" max="48" width="10.88"/>
    <col customWidth="1" min="49" max="49" width="8.0"/>
    <col customWidth="1" min="50" max="50" width="7.63"/>
    <col customWidth="1" min="51" max="51" width="11.63"/>
    <col customWidth="1" min="52" max="55" width="7.25"/>
    <col customWidth="1" min="56" max="56" width="9.25"/>
    <col customWidth="1" min="57" max="57" width="2.63"/>
    <col customWidth="1" min="58" max="58" width="8.5"/>
    <col customWidth="1" min="59" max="59" width="6.38"/>
    <col customWidth="1" min="60" max="60" width="7.25"/>
    <col customWidth="1" min="61" max="61" width="10.88"/>
    <col customWidth="1" min="62" max="62" width="8.0"/>
    <col customWidth="1" min="63" max="63" width="15.38"/>
    <col customWidth="1" min="64" max="64" width="15.63"/>
    <col customWidth="1" min="65" max="68" width="7.25"/>
    <col customWidth="1" min="69" max="69" width="9.25"/>
    <col customWidth="1" min="70" max="70" width="2.63"/>
    <col customWidth="1" min="71" max="71" width="8.5"/>
    <col customWidth="1" min="72" max="72" width="6.38"/>
    <col customWidth="1" min="73" max="73" width="7.25"/>
    <col customWidth="1" min="74" max="74" width="10.88"/>
    <col customWidth="1" min="75" max="75" width="10.38"/>
    <col customWidth="1" min="76" max="76" width="15.38"/>
    <col customWidth="1" min="77" max="77" width="15.63"/>
    <col customWidth="1" min="78" max="81" width="7.25"/>
    <col customWidth="1" min="82" max="82" width="9.25"/>
    <col customWidth="1" min="83" max="83" width="2.63"/>
  </cols>
  <sheetData>
    <row r="1">
      <c r="A1" s="672"/>
      <c r="B1" s="673"/>
      <c r="C1" s="673"/>
      <c r="D1" s="673"/>
      <c r="E1" s="673"/>
      <c r="F1" s="673"/>
      <c r="G1" s="673"/>
      <c r="H1" s="674"/>
      <c r="I1" s="674"/>
      <c r="J1" s="674"/>
      <c r="K1" s="675"/>
      <c r="L1" s="673"/>
      <c r="M1" s="673"/>
      <c r="N1" s="673"/>
      <c r="O1" s="673"/>
      <c r="P1" s="673"/>
      <c r="Q1" s="673"/>
      <c r="R1" s="674"/>
      <c r="S1" s="674"/>
      <c r="T1" s="674"/>
      <c r="U1" s="674"/>
      <c r="V1" s="676"/>
      <c r="W1" s="673"/>
      <c r="X1" s="673"/>
      <c r="Y1" s="673"/>
      <c r="Z1" s="673"/>
      <c r="AA1" s="673"/>
      <c r="AB1" s="673"/>
      <c r="AC1" s="674"/>
      <c r="AD1" s="674"/>
      <c r="AE1" s="674"/>
      <c r="AF1" s="674"/>
      <c r="AG1" s="676"/>
      <c r="AH1" s="673"/>
      <c r="AI1" s="673"/>
      <c r="AJ1" s="673"/>
      <c r="AK1" s="673"/>
      <c r="AL1" s="673"/>
      <c r="AM1" s="673"/>
      <c r="AN1" s="674"/>
      <c r="AO1" s="674"/>
      <c r="AP1" s="674"/>
      <c r="AQ1" s="674"/>
      <c r="AR1" s="676"/>
      <c r="AS1" s="673"/>
      <c r="AT1" s="673"/>
      <c r="AU1" s="673"/>
      <c r="AV1" s="673"/>
      <c r="AW1" s="673"/>
      <c r="AX1" s="673"/>
      <c r="AY1" s="674"/>
      <c r="AZ1" s="677"/>
      <c r="BA1" s="674"/>
      <c r="BB1" s="674"/>
      <c r="BC1" s="674"/>
      <c r="BD1" s="674"/>
      <c r="BE1" s="676"/>
      <c r="BF1" s="673"/>
      <c r="BG1" s="673"/>
      <c r="BH1" s="673"/>
      <c r="BI1" s="673"/>
      <c r="BJ1" s="673"/>
      <c r="BK1" s="673"/>
      <c r="BL1" s="674"/>
      <c r="BM1" s="677"/>
      <c r="BN1" s="674"/>
      <c r="BO1" s="674"/>
      <c r="BP1" s="674"/>
      <c r="BQ1" s="674"/>
      <c r="BR1" s="676"/>
      <c r="BS1" s="673"/>
      <c r="BT1" s="673"/>
      <c r="BU1" s="673"/>
      <c r="BV1" s="673"/>
      <c r="BW1" s="673"/>
      <c r="BX1" s="673"/>
      <c r="BY1" s="674"/>
      <c r="BZ1" s="677"/>
      <c r="CA1" s="674"/>
      <c r="CB1" s="674"/>
      <c r="CC1" s="674"/>
      <c r="CD1" s="674"/>
      <c r="CE1" s="678"/>
    </row>
    <row r="2">
      <c r="A2" s="679"/>
      <c r="B2" s="680" t="s">
        <v>384</v>
      </c>
      <c r="C2" s="37"/>
      <c r="D2" s="37"/>
      <c r="E2" s="37"/>
      <c r="F2" s="37"/>
      <c r="G2" s="37"/>
      <c r="H2" s="37"/>
      <c r="I2" s="37"/>
      <c r="J2" s="681"/>
      <c r="K2" s="682"/>
      <c r="L2" s="683" t="s">
        <v>385</v>
      </c>
      <c r="M2" s="37"/>
      <c r="N2" s="37"/>
      <c r="O2" s="37"/>
      <c r="P2" s="37"/>
      <c r="Q2" s="37"/>
      <c r="R2" s="37"/>
      <c r="S2" s="37"/>
      <c r="T2" s="37"/>
      <c r="U2" s="681"/>
      <c r="V2" s="684"/>
      <c r="W2" s="683" t="s">
        <v>386</v>
      </c>
      <c r="X2" s="37"/>
      <c r="Y2" s="37"/>
      <c r="Z2" s="37"/>
      <c r="AA2" s="37"/>
      <c r="AB2" s="37"/>
      <c r="AC2" s="37"/>
      <c r="AD2" s="37"/>
      <c r="AE2" s="37"/>
      <c r="AF2" s="681"/>
      <c r="AG2" s="684"/>
      <c r="AH2" s="685" t="s">
        <v>387</v>
      </c>
      <c r="AI2" s="686"/>
      <c r="AJ2" s="686"/>
      <c r="AK2" s="686"/>
      <c r="AL2" s="686"/>
      <c r="AM2" s="686"/>
      <c r="AN2" s="686"/>
      <c r="AO2" s="686"/>
      <c r="AP2" s="686"/>
      <c r="AQ2" s="687"/>
      <c r="AR2" s="684"/>
      <c r="AS2" s="688" t="s">
        <v>388</v>
      </c>
      <c r="AT2" s="686"/>
      <c r="AU2" s="686"/>
      <c r="AV2" s="686"/>
      <c r="AW2" s="686"/>
      <c r="AX2" s="686"/>
      <c r="AY2" s="686"/>
      <c r="AZ2" s="686"/>
      <c r="BA2" s="686"/>
      <c r="BB2" s="686"/>
      <c r="BC2" s="686"/>
      <c r="BD2" s="687"/>
      <c r="BE2" s="684"/>
      <c r="BF2" s="688" t="s">
        <v>389</v>
      </c>
      <c r="BG2" s="686"/>
      <c r="BH2" s="686"/>
      <c r="BI2" s="686"/>
      <c r="BJ2" s="686"/>
      <c r="BK2" s="686"/>
      <c r="BL2" s="686"/>
      <c r="BM2" s="686"/>
      <c r="BN2" s="686"/>
      <c r="BO2" s="686"/>
      <c r="BP2" s="686"/>
      <c r="BQ2" s="687"/>
      <c r="BR2" s="684"/>
      <c r="BS2" s="688" t="s">
        <v>390</v>
      </c>
      <c r="BT2" s="686"/>
      <c r="BU2" s="686"/>
      <c r="BV2" s="686"/>
      <c r="BW2" s="686"/>
      <c r="BX2" s="686"/>
      <c r="BY2" s="686"/>
      <c r="BZ2" s="686"/>
      <c r="CA2" s="686"/>
      <c r="CB2" s="686"/>
      <c r="CC2" s="686"/>
      <c r="CD2" s="687"/>
      <c r="CE2" s="689"/>
    </row>
    <row r="3">
      <c r="A3" s="690"/>
      <c r="B3" s="691" t="s">
        <v>391</v>
      </c>
      <c r="C3" s="692" t="s">
        <v>392</v>
      </c>
      <c r="D3" s="692" t="s">
        <v>393</v>
      </c>
      <c r="E3" s="692" t="s">
        <v>394</v>
      </c>
      <c r="F3" s="692" t="s">
        <v>395</v>
      </c>
      <c r="G3" s="692" t="s">
        <v>396</v>
      </c>
      <c r="H3" s="693" t="s">
        <v>397</v>
      </c>
      <c r="I3" s="693" t="s">
        <v>398</v>
      </c>
      <c r="J3" s="694" t="s">
        <v>399</v>
      </c>
      <c r="K3" s="695"/>
      <c r="L3" s="696" t="s">
        <v>400</v>
      </c>
      <c r="M3" s="697" t="s">
        <v>401</v>
      </c>
      <c r="N3" s="697" t="s">
        <v>402</v>
      </c>
      <c r="O3" s="697" t="s">
        <v>403</v>
      </c>
      <c r="P3" s="697" t="s">
        <v>404</v>
      </c>
      <c r="Q3" s="697" t="s">
        <v>405</v>
      </c>
      <c r="R3" s="697" t="s">
        <v>406</v>
      </c>
      <c r="S3" s="698" t="s">
        <v>397</v>
      </c>
      <c r="T3" s="698" t="s">
        <v>398</v>
      </c>
      <c r="U3" s="699" t="s">
        <v>399</v>
      </c>
      <c r="W3" s="696" t="s">
        <v>400</v>
      </c>
      <c r="X3" s="697" t="s">
        <v>401</v>
      </c>
      <c r="Y3" s="697" t="s">
        <v>402</v>
      </c>
      <c r="Z3" s="697" t="s">
        <v>403</v>
      </c>
      <c r="AA3" s="697" t="s">
        <v>404</v>
      </c>
      <c r="AB3" s="697" t="s">
        <v>405</v>
      </c>
      <c r="AC3" s="697" t="s">
        <v>406</v>
      </c>
      <c r="AD3" s="698" t="s">
        <v>397</v>
      </c>
      <c r="AE3" s="698" t="s">
        <v>398</v>
      </c>
      <c r="AF3" s="699" t="s">
        <v>399</v>
      </c>
      <c r="AH3" s="691" t="s">
        <v>400</v>
      </c>
      <c r="AI3" s="692" t="s">
        <v>401</v>
      </c>
      <c r="AJ3" s="692" t="s">
        <v>402</v>
      </c>
      <c r="AK3" s="692" t="s">
        <v>403</v>
      </c>
      <c r="AL3" s="692" t="s">
        <v>404</v>
      </c>
      <c r="AM3" s="692" t="s">
        <v>405</v>
      </c>
      <c r="AN3" s="693" t="s">
        <v>406</v>
      </c>
      <c r="AO3" s="693" t="s">
        <v>397</v>
      </c>
      <c r="AP3" s="693" t="s">
        <v>398</v>
      </c>
      <c r="AQ3" s="694" t="s">
        <v>399</v>
      </c>
      <c r="AS3" s="696" t="s">
        <v>407</v>
      </c>
      <c r="AT3" s="697" t="s">
        <v>392</v>
      </c>
      <c r="AU3" s="697" t="s">
        <v>408</v>
      </c>
      <c r="AV3" s="697" t="s">
        <v>391</v>
      </c>
      <c r="AW3" s="697" t="s">
        <v>395</v>
      </c>
      <c r="AX3" s="697" t="s">
        <v>409</v>
      </c>
      <c r="AY3" s="698" t="s">
        <v>410</v>
      </c>
      <c r="AZ3" s="700" t="s">
        <v>394</v>
      </c>
      <c r="BA3" s="698" t="s">
        <v>411</v>
      </c>
      <c r="BB3" s="698" t="s">
        <v>412</v>
      </c>
      <c r="BC3" s="698" t="s">
        <v>413</v>
      </c>
      <c r="BD3" s="699" t="s">
        <v>414</v>
      </c>
      <c r="BF3" s="696" t="s">
        <v>407</v>
      </c>
      <c r="BG3" s="697" t="s">
        <v>392</v>
      </c>
      <c r="BH3" s="697" t="s">
        <v>408</v>
      </c>
      <c r="BI3" s="697" t="s">
        <v>391</v>
      </c>
      <c r="BJ3" s="697" t="s">
        <v>395</v>
      </c>
      <c r="BK3" s="697" t="s">
        <v>409</v>
      </c>
      <c r="BL3" s="698" t="s">
        <v>410</v>
      </c>
      <c r="BM3" s="700" t="s">
        <v>394</v>
      </c>
      <c r="BN3" s="698" t="s">
        <v>411</v>
      </c>
      <c r="BO3" s="698" t="s">
        <v>412</v>
      </c>
      <c r="BP3" s="698" t="s">
        <v>413</v>
      </c>
      <c r="BQ3" s="699" t="s">
        <v>414</v>
      </c>
      <c r="BS3" s="696" t="s">
        <v>407</v>
      </c>
      <c r="BT3" s="697" t="s">
        <v>392</v>
      </c>
      <c r="BU3" s="697" t="s">
        <v>408</v>
      </c>
      <c r="BV3" s="697" t="s">
        <v>391</v>
      </c>
      <c r="BW3" s="697" t="s">
        <v>395</v>
      </c>
      <c r="BX3" s="697" t="s">
        <v>409</v>
      </c>
      <c r="BY3" s="698" t="s">
        <v>410</v>
      </c>
      <c r="BZ3" s="700" t="s">
        <v>394</v>
      </c>
      <c r="CA3" s="698" t="s">
        <v>411</v>
      </c>
      <c r="CB3" s="698" t="s">
        <v>412</v>
      </c>
      <c r="CC3" s="698" t="s">
        <v>413</v>
      </c>
      <c r="CD3" s="699" t="s">
        <v>414</v>
      </c>
      <c r="CE3" s="460"/>
    </row>
    <row r="4">
      <c r="A4" s="690"/>
      <c r="B4" s="701" t="s">
        <v>415</v>
      </c>
      <c r="C4" s="702" t="s">
        <v>416</v>
      </c>
      <c r="D4" s="703" t="s">
        <v>417</v>
      </c>
      <c r="E4" s="704">
        <v>2021.0</v>
      </c>
      <c r="F4" s="702" t="s">
        <v>418</v>
      </c>
      <c r="G4" s="702" t="s">
        <v>50</v>
      </c>
      <c r="H4" s="705">
        <v>1158989.0</v>
      </c>
      <c r="I4" s="705">
        <v>1291610.0</v>
      </c>
      <c r="J4" s="706">
        <v>1029607.0</v>
      </c>
      <c r="K4" s="695"/>
      <c r="L4" s="707" t="s">
        <v>419</v>
      </c>
      <c r="M4" s="708" t="s">
        <v>415</v>
      </c>
      <c r="N4" s="708" t="s">
        <v>420</v>
      </c>
      <c r="O4" s="708" t="s">
        <v>421</v>
      </c>
      <c r="P4" s="708" t="s">
        <v>422</v>
      </c>
      <c r="Q4" s="708" t="s">
        <v>50</v>
      </c>
      <c r="R4" s="708">
        <v>2021.0</v>
      </c>
      <c r="S4" s="709">
        <v>10110.23089</v>
      </c>
      <c r="T4" s="709">
        <v>19641.92685</v>
      </c>
      <c r="U4" s="710">
        <v>4425.19042</v>
      </c>
      <c r="W4" s="707" t="s">
        <v>419</v>
      </c>
      <c r="X4" s="708" t="s">
        <v>415</v>
      </c>
      <c r="Y4" s="708" t="s">
        <v>420</v>
      </c>
      <c r="Z4" s="708" t="s">
        <v>421</v>
      </c>
      <c r="AA4" s="708" t="s">
        <v>422</v>
      </c>
      <c r="AB4" s="708" t="s">
        <v>423</v>
      </c>
      <c r="AC4" s="708">
        <v>2021.0</v>
      </c>
      <c r="AD4" s="709">
        <v>179.475857</v>
      </c>
      <c r="AE4" s="709">
        <v>348.6816171</v>
      </c>
      <c r="AF4" s="710">
        <v>78.5555594</v>
      </c>
      <c r="AH4" s="701" t="s">
        <v>424</v>
      </c>
      <c r="AI4" s="703" t="s">
        <v>415</v>
      </c>
      <c r="AJ4" s="703" t="s">
        <v>420</v>
      </c>
      <c r="AK4" s="703" t="s">
        <v>421</v>
      </c>
      <c r="AL4" s="703" t="s">
        <v>422</v>
      </c>
      <c r="AM4" s="703" t="s">
        <v>423</v>
      </c>
      <c r="AN4" s="704">
        <v>2021.0</v>
      </c>
      <c r="AO4" s="705">
        <v>60006.24721</v>
      </c>
      <c r="AP4" s="705">
        <v>93328.67683</v>
      </c>
      <c r="AQ4" s="706">
        <v>32968.93966</v>
      </c>
      <c r="AS4" s="707" t="s">
        <v>422</v>
      </c>
      <c r="AT4" s="708" t="s">
        <v>420</v>
      </c>
      <c r="AU4" s="708" t="s">
        <v>425</v>
      </c>
      <c r="AV4" s="708" t="s">
        <v>426</v>
      </c>
      <c r="AW4" s="708" t="s">
        <v>419</v>
      </c>
      <c r="AX4" s="708" t="s">
        <v>50</v>
      </c>
      <c r="AY4" s="708" t="s">
        <v>427</v>
      </c>
      <c r="AZ4" s="711" t="s">
        <v>428</v>
      </c>
      <c r="BA4" s="709">
        <v>2593.744741</v>
      </c>
      <c r="BB4" s="709">
        <v>1165.176854</v>
      </c>
      <c r="BC4" s="709">
        <v>4203.044017</v>
      </c>
      <c r="BD4" s="710" t="s">
        <v>429</v>
      </c>
      <c r="BF4" s="707" t="s">
        <v>422</v>
      </c>
      <c r="BG4" s="708" t="s">
        <v>420</v>
      </c>
      <c r="BH4" s="708" t="s">
        <v>425</v>
      </c>
      <c r="BI4" s="708" t="s">
        <v>426</v>
      </c>
      <c r="BJ4" s="708" t="s">
        <v>419</v>
      </c>
      <c r="BK4" s="708" t="s">
        <v>430</v>
      </c>
      <c r="BL4" s="708" t="s">
        <v>427</v>
      </c>
      <c r="BM4" s="711" t="s">
        <v>428</v>
      </c>
      <c r="BN4" s="709">
        <v>374.4658519</v>
      </c>
      <c r="BO4" s="709">
        <v>168.2196927</v>
      </c>
      <c r="BP4" s="709">
        <v>606.8046842</v>
      </c>
      <c r="BQ4" s="710" t="s">
        <v>429</v>
      </c>
      <c r="BS4" s="707" t="s">
        <v>422</v>
      </c>
      <c r="BT4" s="708" t="s">
        <v>420</v>
      </c>
      <c r="BU4" s="708" t="s">
        <v>425</v>
      </c>
      <c r="BV4" s="708" t="s">
        <v>426</v>
      </c>
      <c r="BW4" s="708" t="s">
        <v>424</v>
      </c>
      <c r="BX4" s="708" t="s">
        <v>430</v>
      </c>
      <c r="BY4" s="708" t="s">
        <v>427</v>
      </c>
      <c r="BZ4" s="711" t="s">
        <v>428</v>
      </c>
      <c r="CA4" s="709">
        <v>88566.28</v>
      </c>
      <c r="CB4" s="709">
        <v>29136.607</v>
      </c>
      <c r="CC4" s="709">
        <v>145462.94</v>
      </c>
      <c r="CD4" s="710" t="s">
        <v>429</v>
      </c>
      <c r="CE4" s="460"/>
    </row>
    <row r="5">
      <c r="A5" s="690"/>
      <c r="B5" s="712" t="s">
        <v>415</v>
      </c>
      <c r="C5" s="713" t="s">
        <v>416</v>
      </c>
      <c r="D5" s="714" t="s">
        <v>431</v>
      </c>
      <c r="E5" s="715">
        <v>2021.0</v>
      </c>
      <c r="F5" s="713" t="s">
        <v>418</v>
      </c>
      <c r="G5" s="713" t="s">
        <v>50</v>
      </c>
      <c r="H5" s="716">
        <v>1.8675719E7</v>
      </c>
      <c r="I5" s="716">
        <v>2.0812746E7</v>
      </c>
      <c r="J5" s="717">
        <v>1.6590888E7</v>
      </c>
      <c r="K5" s="695"/>
      <c r="L5" s="707" t="s">
        <v>419</v>
      </c>
      <c r="M5" s="708" t="s">
        <v>415</v>
      </c>
      <c r="N5" s="708" t="s">
        <v>420</v>
      </c>
      <c r="O5" s="708" t="s">
        <v>432</v>
      </c>
      <c r="P5" s="708" t="s">
        <v>422</v>
      </c>
      <c r="Q5" s="708" t="s">
        <v>50</v>
      </c>
      <c r="R5" s="708">
        <v>2021.0</v>
      </c>
      <c r="S5" s="709">
        <v>0.0</v>
      </c>
      <c r="T5" s="709">
        <v>0.0</v>
      </c>
      <c r="U5" s="710">
        <v>0.0</v>
      </c>
      <c r="W5" s="707" t="s">
        <v>419</v>
      </c>
      <c r="X5" s="708" t="s">
        <v>433</v>
      </c>
      <c r="Y5" s="708" t="s">
        <v>420</v>
      </c>
      <c r="Z5" s="708" t="s">
        <v>421</v>
      </c>
      <c r="AA5" s="708" t="s">
        <v>422</v>
      </c>
      <c r="AB5" s="708" t="s">
        <v>423</v>
      </c>
      <c r="AC5" s="708">
        <v>2021.0</v>
      </c>
      <c r="AD5" s="709">
        <v>0.001006205</v>
      </c>
      <c r="AE5" s="709">
        <v>0.002170408</v>
      </c>
      <c r="AF5" s="710">
        <v>1.89584E-4</v>
      </c>
      <c r="AH5" s="712" t="s">
        <v>424</v>
      </c>
      <c r="AI5" s="714" t="s">
        <v>415</v>
      </c>
      <c r="AJ5" s="714" t="s">
        <v>420</v>
      </c>
      <c r="AK5" s="714" t="s">
        <v>434</v>
      </c>
      <c r="AL5" s="714" t="s">
        <v>422</v>
      </c>
      <c r="AM5" s="714" t="s">
        <v>423</v>
      </c>
      <c r="AN5" s="715">
        <v>2021.0</v>
      </c>
      <c r="AO5" s="716">
        <v>25729.44891</v>
      </c>
      <c r="AP5" s="716">
        <v>44511.30354</v>
      </c>
      <c r="AQ5" s="717">
        <v>13280.04403</v>
      </c>
      <c r="AS5" s="707" t="s">
        <v>422</v>
      </c>
      <c r="AT5" s="708" t="s">
        <v>420</v>
      </c>
      <c r="AU5" s="708" t="s">
        <v>435</v>
      </c>
      <c r="AV5" s="708" t="s">
        <v>426</v>
      </c>
      <c r="AW5" s="708" t="s">
        <v>419</v>
      </c>
      <c r="AX5" s="708" t="s">
        <v>50</v>
      </c>
      <c r="AY5" s="708" t="s">
        <v>427</v>
      </c>
      <c r="AZ5" s="711" t="s">
        <v>428</v>
      </c>
      <c r="BA5" s="709">
        <v>133.6154066</v>
      </c>
      <c r="BB5" s="709">
        <v>45.76170674</v>
      </c>
      <c r="BC5" s="709">
        <v>254.084221</v>
      </c>
      <c r="BD5" s="710" t="s">
        <v>429</v>
      </c>
      <c r="BF5" s="707" t="s">
        <v>422</v>
      </c>
      <c r="BG5" s="708" t="s">
        <v>420</v>
      </c>
      <c r="BH5" s="708" t="s">
        <v>425</v>
      </c>
      <c r="BI5" s="708" t="s">
        <v>436</v>
      </c>
      <c r="BJ5" s="708" t="s">
        <v>419</v>
      </c>
      <c r="BK5" s="708" t="s">
        <v>430</v>
      </c>
      <c r="BL5" s="708" t="s">
        <v>427</v>
      </c>
      <c r="BM5" s="711" t="s">
        <v>428</v>
      </c>
      <c r="BN5" s="709">
        <v>389.2736394</v>
      </c>
      <c r="BO5" s="709">
        <v>120.6969852</v>
      </c>
      <c r="BP5" s="709">
        <v>778.1350456</v>
      </c>
      <c r="BQ5" s="710" t="s">
        <v>429</v>
      </c>
      <c r="BS5" s="707" t="s">
        <v>422</v>
      </c>
      <c r="BT5" s="708" t="s">
        <v>420</v>
      </c>
      <c r="BU5" s="708" t="s">
        <v>437</v>
      </c>
      <c r="BV5" s="708" t="s">
        <v>426</v>
      </c>
      <c r="BW5" s="708" t="s">
        <v>424</v>
      </c>
      <c r="BX5" s="708" t="s">
        <v>430</v>
      </c>
      <c r="BY5" s="708" t="s">
        <v>427</v>
      </c>
      <c r="BZ5" s="711" t="s">
        <v>428</v>
      </c>
      <c r="CA5" s="709">
        <v>36712.77</v>
      </c>
      <c r="CB5" s="709">
        <v>15750.63</v>
      </c>
      <c r="CC5" s="709">
        <v>73253.81</v>
      </c>
      <c r="CD5" s="710" t="s">
        <v>429</v>
      </c>
      <c r="CE5" s="460"/>
    </row>
    <row r="6">
      <c r="A6" s="690"/>
      <c r="B6" s="701" t="s">
        <v>415</v>
      </c>
      <c r="C6" s="702" t="s">
        <v>416</v>
      </c>
      <c r="D6" s="703" t="s">
        <v>438</v>
      </c>
      <c r="E6" s="704">
        <v>2021.0</v>
      </c>
      <c r="F6" s="702" t="s">
        <v>418</v>
      </c>
      <c r="G6" s="702" t="s">
        <v>50</v>
      </c>
      <c r="H6" s="705">
        <v>91094.0</v>
      </c>
      <c r="I6" s="705">
        <v>101517.0</v>
      </c>
      <c r="J6" s="706">
        <v>80924.0</v>
      </c>
      <c r="K6" s="695"/>
      <c r="L6" s="707" t="s">
        <v>419</v>
      </c>
      <c r="M6" s="708" t="s">
        <v>415</v>
      </c>
      <c r="N6" s="708" t="s">
        <v>420</v>
      </c>
      <c r="O6" s="708" t="s">
        <v>439</v>
      </c>
      <c r="P6" s="708" t="s">
        <v>422</v>
      </c>
      <c r="Q6" s="708" t="s">
        <v>50</v>
      </c>
      <c r="R6" s="708">
        <v>2021.0</v>
      </c>
      <c r="S6" s="709">
        <v>487.1370529</v>
      </c>
      <c r="T6" s="709">
        <v>1044.589972</v>
      </c>
      <c r="U6" s="710">
        <v>156.186368</v>
      </c>
      <c r="W6" s="707" t="s">
        <v>419</v>
      </c>
      <c r="X6" s="708" t="s">
        <v>440</v>
      </c>
      <c r="Y6" s="708" t="s">
        <v>420</v>
      </c>
      <c r="Z6" s="708" t="s">
        <v>421</v>
      </c>
      <c r="AA6" s="708" t="s">
        <v>422</v>
      </c>
      <c r="AB6" s="708" t="s">
        <v>423</v>
      </c>
      <c r="AC6" s="708">
        <v>2021.0</v>
      </c>
      <c r="AD6" s="709">
        <v>387.4847254</v>
      </c>
      <c r="AE6" s="709">
        <v>666.4975246</v>
      </c>
      <c r="AF6" s="710">
        <v>195.7308783</v>
      </c>
      <c r="AH6" s="701" t="s">
        <v>424</v>
      </c>
      <c r="AI6" s="703" t="s">
        <v>415</v>
      </c>
      <c r="AJ6" s="703" t="s">
        <v>420</v>
      </c>
      <c r="AK6" s="703" t="s">
        <v>417</v>
      </c>
      <c r="AL6" s="703" t="s">
        <v>422</v>
      </c>
      <c r="AM6" s="703" t="s">
        <v>423</v>
      </c>
      <c r="AN6" s="704">
        <v>2021.0</v>
      </c>
      <c r="AO6" s="705">
        <v>42363.51258</v>
      </c>
      <c r="AP6" s="705">
        <v>65885.90486</v>
      </c>
      <c r="AQ6" s="706">
        <v>23276.06706</v>
      </c>
      <c r="AS6" s="707" t="s">
        <v>422</v>
      </c>
      <c r="AT6" s="708" t="s">
        <v>420</v>
      </c>
      <c r="AU6" s="708" t="s">
        <v>441</v>
      </c>
      <c r="AV6" s="708" t="s">
        <v>426</v>
      </c>
      <c r="AW6" s="708" t="s">
        <v>419</v>
      </c>
      <c r="AX6" s="708" t="s">
        <v>50</v>
      </c>
      <c r="AY6" s="708" t="s">
        <v>427</v>
      </c>
      <c r="AZ6" s="711" t="s">
        <v>428</v>
      </c>
      <c r="BA6" s="709">
        <v>1034.765956</v>
      </c>
      <c r="BB6" s="709">
        <v>451.8012736</v>
      </c>
      <c r="BC6" s="709">
        <v>1726.394144</v>
      </c>
      <c r="BD6" s="710" t="s">
        <v>429</v>
      </c>
      <c r="BF6" s="707" t="s">
        <v>422</v>
      </c>
      <c r="BG6" s="708" t="s">
        <v>420</v>
      </c>
      <c r="BH6" s="708" t="s">
        <v>425</v>
      </c>
      <c r="BI6" s="708" t="s">
        <v>442</v>
      </c>
      <c r="BJ6" s="708" t="s">
        <v>419</v>
      </c>
      <c r="BK6" s="708" t="s">
        <v>430</v>
      </c>
      <c r="BL6" s="708" t="s">
        <v>427</v>
      </c>
      <c r="BM6" s="711" t="s">
        <v>428</v>
      </c>
      <c r="BN6" s="709">
        <v>351.1111447</v>
      </c>
      <c r="BO6" s="709">
        <v>150.1971746</v>
      </c>
      <c r="BP6" s="709">
        <v>589.8657953</v>
      </c>
      <c r="BQ6" s="710" t="s">
        <v>429</v>
      </c>
      <c r="BS6" s="707" t="s">
        <v>422</v>
      </c>
      <c r="BT6" s="708" t="s">
        <v>420</v>
      </c>
      <c r="BU6" s="708" t="s">
        <v>425</v>
      </c>
      <c r="BV6" s="708" t="s">
        <v>436</v>
      </c>
      <c r="BW6" s="708" t="s">
        <v>424</v>
      </c>
      <c r="BX6" s="708" t="s">
        <v>430</v>
      </c>
      <c r="BY6" s="708" t="s">
        <v>427</v>
      </c>
      <c r="BZ6" s="711" t="s">
        <v>428</v>
      </c>
      <c r="CA6" s="709">
        <v>67908.436</v>
      </c>
      <c r="CB6" s="709">
        <v>26816.18</v>
      </c>
      <c r="CC6" s="709">
        <v>123921.64</v>
      </c>
      <c r="CD6" s="710" t="s">
        <v>429</v>
      </c>
      <c r="CE6" s="460"/>
    </row>
    <row r="7">
      <c r="A7" s="690"/>
      <c r="B7" s="712" t="s">
        <v>415</v>
      </c>
      <c r="C7" s="713" t="s">
        <v>416</v>
      </c>
      <c r="D7" s="714" t="s">
        <v>421</v>
      </c>
      <c r="E7" s="715">
        <v>2021.0</v>
      </c>
      <c r="F7" s="713" t="s">
        <v>418</v>
      </c>
      <c r="G7" s="713" t="s">
        <v>50</v>
      </c>
      <c r="H7" s="716">
        <v>5633198.0</v>
      </c>
      <c r="I7" s="716">
        <v>6277794.0</v>
      </c>
      <c r="J7" s="717">
        <v>5004346.0</v>
      </c>
      <c r="K7" s="695"/>
      <c r="L7" s="707" t="s">
        <v>419</v>
      </c>
      <c r="M7" s="708" t="s">
        <v>415</v>
      </c>
      <c r="N7" s="708" t="s">
        <v>420</v>
      </c>
      <c r="O7" s="708" t="s">
        <v>443</v>
      </c>
      <c r="P7" s="708" t="s">
        <v>422</v>
      </c>
      <c r="Q7" s="708" t="s">
        <v>50</v>
      </c>
      <c r="R7" s="708">
        <v>2021.0</v>
      </c>
      <c r="S7" s="709">
        <v>18396.46228</v>
      </c>
      <c r="T7" s="709">
        <v>38747.94778</v>
      </c>
      <c r="U7" s="710">
        <v>7261.132285</v>
      </c>
      <c r="W7" s="707" t="s">
        <v>419</v>
      </c>
      <c r="X7" s="708" t="s">
        <v>444</v>
      </c>
      <c r="Y7" s="708" t="s">
        <v>420</v>
      </c>
      <c r="Z7" s="708" t="s">
        <v>421</v>
      </c>
      <c r="AA7" s="708" t="s">
        <v>422</v>
      </c>
      <c r="AB7" s="708" t="s">
        <v>423</v>
      </c>
      <c r="AC7" s="708">
        <v>2021.0</v>
      </c>
      <c r="AD7" s="709">
        <v>0.059899422</v>
      </c>
      <c r="AE7" s="709">
        <v>0.119769771</v>
      </c>
      <c r="AF7" s="710">
        <v>0.032095781</v>
      </c>
      <c r="AH7" s="712" t="s">
        <v>424</v>
      </c>
      <c r="AI7" s="714" t="s">
        <v>433</v>
      </c>
      <c r="AJ7" s="714" t="s">
        <v>420</v>
      </c>
      <c r="AK7" s="714" t="s">
        <v>421</v>
      </c>
      <c r="AL7" s="714" t="s">
        <v>422</v>
      </c>
      <c r="AM7" s="714" t="s">
        <v>423</v>
      </c>
      <c r="AN7" s="715">
        <v>2021.0</v>
      </c>
      <c r="AO7" s="716">
        <v>10.48257276</v>
      </c>
      <c r="AP7" s="716">
        <v>11.88200678</v>
      </c>
      <c r="AQ7" s="717">
        <v>9.227955785</v>
      </c>
      <c r="AS7" s="707" t="s">
        <v>422</v>
      </c>
      <c r="AT7" s="708" t="s">
        <v>420</v>
      </c>
      <c r="AU7" s="708" t="s">
        <v>445</v>
      </c>
      <c r="AV7" s="708" t="s">
        <v>426</v>
      </c>
      <c r="AW7" s="708" t="s">
        <v>419</v>
      </c>
      <c r="AX7" s="708" t="s">
        <v>50</v>
      </c>
      <c r="AY7" s="708" t="s">
        <v>427</v>
      </c>
      <c r="AZ7" s="711" t="s">
        <v>428</v>
      </c>
      <c r="BA7" s="709">
        <v>5451.20059</v>
      </c>
      <c r="BB7" s="709">
        <v>2172.752749</v>
      </c>
      <c r="BC7" s="709">
        <v>9547.941196</v>
      </c>
      <c r="BD7" s="710" t="s">
        <v>429</v>
      </c>
      <c r="BF7" s="707" t="s">
        <v>422</v>
      </c>
      <c r="BG7" s="708" t="s">
        <v>420</v>
      </c>
      <c r="BH7" s="708" t="s">
        <v>425</v>
      </c>
      <c r="BI7" s="708" t="s">
        <v>446</v>
      </c>
      <c r="BJ7" s="708" t="s">
        <v>419</v>
      </c>
      <c r="BK7" s="708" t="s">
        <v>430</v>
      </c>
      <c r="BL7" s="708" t="s">
        <v>427</v>
      </c>
      <c r="BM7" s="711" t="s">
        <v>428</v>
      </c>
      <c r="BN7" s="709">
        <v>256.7675162</v>
      </c>
      <c r="BO7" s="709">
        <v>102.0905958</v>
      </c>
      <c r="BP7" s="709">
        <v>447.8643967</v>
      </c>
      <c r="BQ7" s="710" t="s">
        <v>429</v>
      </c>
      <c r="BS7" s="707" t="s">
        <v>422</v>
      </c>
      <c r="BT7" s="708" t="s">
        <v>420</v>
      </c>
      <c r="BU7" s="708" t="s">
        <v>437</v>
      </c>
      <c r="BV7" s="708" t="s">
        <v>436</v>
      </c>
      <c r="BW7" s="708" t="s">
        <v>424</v>
      </c>
      <c r="BX7" s="708" t="s">
        <v>430</v>
      </c>
      <c r="BY7" s="708" t="s">
        <v>427</v>
      </c>
      <c r="BZ7" s="711" t="s">
        <v>428</v>
      </c>
      <c r="CA7" s="709">
        <v>29532.757</v>
      </c>
      <c r="CB7" s="709">
        <v>14830.467</v>
      </c>
      <c r="CC7" s="709">
        <v>62959.13</v>
      </c>
      <c r="CD7" s="710" t="s">
        <v>429</v>
      </c>
      <c r="CE7" s="460"/>
    </row>
    <row r="8">
      <c r="A8" s="690"/>
      <c r="B8" s="701" t="s">
        <v>415</v>
      </c>
      <c r="C8" s="702" t="s">
        <v>416</v>
      </c>
      <c r="D8" s="703" t="s">
        <v>447</v>
      </c>
      <c r="E8" s="704">
        <v>2021.0</v>
      </c>
      <c r="F8" s="702" t="s">
        <v>418</v>
      </c>
      <c r="G8" s="702" t="s">
        <v>50</v>
      </c>
      <c r="H8" s="705">
        <v>1.5245471E7</v>
      </c>
      <c r="I8" s="705">
        <v>1.698998E7</v>
      </c>
      <c r="J8" s="706">
        <v>1.3543569E7</v>
      </c>
      <c r="K8" s="695"/>
      <c r="L8" s="707" t="s">
        <v>419</v>
      </c>
      <c r="M8" s="708" t="s">
        <v>415</v>
      </c>
      <c r="N8" s="708" t="s">
        <v>420</v>
      </c>
      <c r="O8" s="708" t="s">
        <v>417</v>
      </c>
      <c r="P8" s="708" t="s">
        <v>422</v>
      </c>
      <c r="Q8" s="708" t="s">
        <v>50</v>
      </c>
      <c r="R8" s="708">
        <v>2021.0</v>
      </c>
      <c r="S8" s="709">
        <v>4423.869899</v>
      </c>
      <c r="T8" s="709">
        <v>8778.297581</v>
      </c>
      <c r="U8" s="710">
        <v>2030.18673</v>
      </c>
      <c r="W8" s="707" t="s">
        <v>419</v>
      </c>
      <c r="X8" s="708" t="s">
        <v>448</v>
      </c>
      <c r="Y8" s="708" t="s">
        <v>420</v>
      </c>
      <c r="Z8" s="708" t="s">
        <v>421</v>
      </c>
      <c r="AA8" s="708" t="s">
        <v>422</v>
      </c>
      <c r="AB8" s="708" t="s">
        <v>423</v>
      </c>
      <c r="AC8" s="708">
        <v>2021.0</v>
      </c>
      <c r="AD8" s="709">
        <v>1.286333147</v>
      </c>
      <c r="AE8" s="709">
        <v>2.771062905</v>
      </c>
      <c r="AF8" s="710">
        <v>0.603216683</v>
      </c>
      <c r="AH8" s="701" t="s">
        <v>424</v>
      </c>
      <c r="AI8" s="703" t="s">
        <v>433</v>
      </c>
      <c r="AJ8" s="703" t="s">
        <v>420</v>
      </c>
      <c r="AK8" s="703" t="s">
        <v>434</v>
      </c>
      <c r="AL8" s="703" t="s">
        <v>422</v>
      </c>
      <c r="AM8" s="703" t="s">
        <v>423</v>
      </c>
      <c r="AN8" s="704">
        <v>2021.0</v>
      </c>
      <c r="AO8" s="705">
        <v>20.83751821</v>
      </c>
      <c r="AP8" s="705">
        <v>23.58586382</v>
      </c>
      <c r="AQ8" s="706">
        <v>18.36091806</v>
      </c>
      <c r="AS8" s="707" t="s">
        <v>422</v>
      </c>
      <c r="AT8" s="708" t="s">
        <v>420</v>
      </c>
      <c r="AU8" s="708" t="s">
        <v>425</v>
      </c>
      <c r="AV8" s="708" t="s">
        <v>436</v>
      </c>
      <c r="AW8" s="708" t="s">
        <v>419</v>
      </c>
      <c r="AX8" s="708" t="s">
        <v>50</v>
      </c>
      <c r="AY8" s="708" t="s">
        <v>427</v>
      </c>
      <c r="AZ8" s="711" t="s">
        <v>428</v>
      </c>
      <c r="BA8" s="709">
        <v>2186.206183</v>
      </c>
      <c r="BB8" s="709">
        <v>677.8483528</v>
      </c>
      <c r="BC8" s="709">
        <v>4370.097216</v>
      </c>
      <c r="BD8" s="710" t="s">
        <v>429</v>
      </c>
      <c r="BF8" s="707" t="s">
        <v>422</v>
      </c>
      <c r="BG8" s="708" t="s">
        <v>420</v>
      </c>
      <c r="BH8" s="708" t="s">
        <v>425</v>
      </c>
      <c r="BI8" s="708" t="s">
        <v>115</v>
      </c>
      <c r="BJ8" s="708" t="s">
        <v>419</v>
      </c>
      <c r="BK8" s="708" t="s">
        <v>430</v>
      </c>
      <c r="BL8" s="708" t="s">
        <v>427</v>
      </c>
      <c r="BM8" s="711" t="s">
        <v>428</v>
      </c>
      <c r="BN8" s="709">
        <v>450.2168085</v>
      </c>
      <c r="BO8" s="709">
        <v>141.1198044</v>
      </c>
      <c r="BP8" s="709">
        <v>1018.984254</v>
      </c>
      <c r="BQ8" s="710" t="s">
        <v>429</v>
      </c>
      <c r="BS8" s="707" t="s">
        <v>422</v>
      </c>
      <c r="BT8" s="708" t="s">
        <v>420</v>
      </c>
      <c r="BU8" s="708" t="s">
        <v>425</v>
      </c>
      <c r="BV8" s="708" t="s">
        <v>442</v>
      </c>
      <c r="BW8" s="708" t="s">
        <v>424</v>
      </c>
      <c r="BX8" s="708" t="s">
        <v>430</v>
      </c>
      <c r="BY8" s="708" t="s">
        <v>427</v>
      </c>
      <c r="BZ8" s="711" t="s">
        <v>428</v>
      </c>
      <c r="CA8" s="709">
        <v>94265.46</v>
      </c>
      <c r="CB8" s="709">
        <v>32449.567</v>
      </c>
      <c r="CC8" s="709">
        <v>155934.23</v>
      </c>
      <c r="CD8" s="710" t="s">
        <v>429</v>
      </c>
      <c r="CE8" s="460"/>
    </row>
    <row r="9">
      <c r="A9" s="690"/>
      <c r="B9" s="712" t="s">
        <v>415</v>
      </c>
      <c r="C9" s="713" t="s">
        <v>416</v>
      </c>
      <c r="D9" s="714" t="s">
        <v>432</v>
      </c>
      <c r="E9" s="715">
        <v>2021.0</v>
      </c>
      <c r="F9" s="713" t="s">
        <v>418</v>
      </c>
      <c r="G9" s="713" t="s">
        <v>50</v>
      </c>
      <c r="H9" s="716">
        <v>22970.0</v>
      </c>
      <c r="I9" s="716">
        <v>25598.0</v>
      </c>
      <c r="J9" s="717">
        <v>20406.0</v>
      </c>
      <c r="K9" s="695"/>
      <c r="L9" s="707" t="s">
        <v>419</v>
      </c>
      <c r="M9" s="708" t="s">
        <v>415</v>
      </c>
      <c r="N9" s="708" t="s">
        <v>420</v>
      </c>
      <c r="O9" s="708" t="s">
        <v>438</v>
      </c>
      <c r="P9" s="708" t="s">
        <v>422</v>
      </c>
      <c r="Q9" s="708" t="s">
        <v>50</v>
      </c>
      <c r="R9" s="708">
        <v>2021.0</v>
      </c>
      <c r="S9" s="709">
        <v>487.1370529</v>
      </c>
      <c r="T9" s="709">
        <v>1044.589972</v>
      </c>
      <c r="U9" s="710">
        <v>156.186368</v>
      </c>
      <c r="W9" s="707" t="s">
        <v>419</v>
      </c>
      <c r="X9" s="708" t="s">
        <v>97</v>
      </c>
      <c r="Y9" s="708" t="s">
        <v>420</v>
      </c>
      <c r="Z9" s="708" t="s">
        <v>421</v>
      </c>
      <c r="AA9" s="708" t="s">
        <v>422</v>
      </c>
      <c r="AB9" s="708" t="s">
        <v>423</v>
      </c>
      <c r="AC9" s="708">
        <v>2021.0</v>
      </c>
      <c r="AD9" s="709">
        <v>506.6924117</v>
      </c>
      <c r="AE9" s="709">
        <v>843.7112903</v>
      </c>
      <c r="AF9" s="710">
        <v>239.581109</v>
      </c>
      <c r="AH9" s="712" t="s">
        <v>424</v>
      </c>
      <c r="AI9" s="714" t="s">
        <v>433</v>
      </c>
      <c r="AJ9" s="714" t="s">
        <v>420</v>
      </c>
      <c r="AK9" s="714" t="s">
        <v>417</v>
      </c>
      <c r="AL9" s="714" t="s">
        <v>422</v>
      </c>
      <c r="AM9" s="714" t="s">
        <v>423</v>
      </c>
      <c r="AN9" s="715">
        <v>2021.0</v>
      </c>
      <c r="AO9" s="716">
        <v>6.057690096</v>
      </c>
      <c r="AP9" s="716">
        <v>6.872665745</v>
      </c>
      <c r="AQ9" s="717">
        <v>5.32965338</v>
      </c>
      <c r="AS9" s="707" t="s">
        <v>422</v>
      </c>
      <c r="AT9" s="708" t="s">
        <v>420</v>
      </c>
      <c r="AU9" s="708" t="s">
        <v>435</v>
      </c>
      <c r="AV9" s="708" t="s">
        <v>436</v>
      </c>
      <c r="AW9" s="708" t="s">
        <v>419</v>
      </c>
      <c r="AX9" s="708" t="s">
        <v>50</v>
      </c>
      <c r="AY9" s="708" t="s">
        <v>427</v>
      </c>
      <c r="AZ9" s="711" t="s">
        <v>428</v>
      </c>
      <c r="BA9" s="709">
        <v>77.46986903</v>
      </c>
      <c r="BB9" s="709">
        <v>18.34860363</v>
      </c>
      <c r="BC9" s="709">
        <v>188.4138047</v>
      </c>
      <c r="BD9" s="710" t="s">
        <v>429</v>
      </c>
      <c r="BF9" s="707" t="s">
        <v>422</v>
      </c>
      <c r="BG9" s="708" t="s">
        <v>420</v>
      </c>
      <c r="BH9" s="708" t="s">
        <v>425</v>
      </c>
      <c r="BI9" s="708" t="s">
        <v>449</v>
      </c>
      <c r="BJ9" s="708" t="s">
        <v>419</v>
      </c>
      <c r="BK9" s="708" t="s">
        <v>430</v>
      </c>
      <c r="BL9" s="708" t="s">
        <v>427</v>
      </c>
      <c r="BM9" s="711" t="s">
        <v>428</v>
      </c>
      <c r="BN9" s="709">
        <v>243.1106107</v>
      </c>
      <c r="BO9" s="709">
        <v>64.15393881</v>
      </c>
      <c r="BP9" s="709">
        <v>480.4120535</v>
      </c>
      <c r="BQ9" s="710" t="s">
        <v>429</v>
      </c>
      <c r="BS9" s="707" t="s">
        <v>422</v>
      </c>
      <c r="BT9" s="708" t="s">
        <v>420</v>
      </c>
      <c r="BU9" s="708" t="s">
        <v>437</v>
      </c>
      <c r="BV9" s="708" t="s">
        <v>442</v>
      </c>
      <c r="BW9" s="708" t="s">
        <v>424</v>
      </c>
      <c r="BX9" s="708" t="s">
        <v>430</v>
      </c>
      <c r="BY9" s="708" t="s">
        <v>427</v>
      </c>
      <c r="BZ9" s="711" t="s">
        <v>428</v>
      </c>
      <c r="CA9" s="709">
        <v>38425.42</v>
      </c>
      <c r="CB9" s="709">
        <v>16095.942</v>
      </c>
      <c r="CC9" s="709">
        <v>78601.664</v>
      </c>
      <c r="CD9" s="710" t="s">
        <v>429</v>
      </c>
      <c r="CE9" s="460"/>
    </row>
    <row r="10">
      <c r="A10" s="690"/>
      <c r="B10" s="701" t="s">
        <v>415</v>
      </c>
      <c r="C10" s="702" t="s">
        <v>416</v>
      </c>
      <c r="D10" s="703" t="s">
        <v>450</v>
      </c>
      <c r="E10" s="704">
        <v>2021.0</v>
      </c>
      <c r="F10" s="702" t="s">
        <v>418</v>
      </c>
      <c r="G10" s="702" t="s">
        <v>50</v>
      </c>
      <c r="H10" s="705">
        <v>4380601.0</v>
      </c>
      <c r="I10" s="705">
        <v>4881865.0</v>
      </c>
      <c r="J10" s="706">
        <v>3891581.0</v>
      </c>
      <c r="K10" s="695"/>
      <c r="L10" s="707" t="s">
        <v>419</v>
      </c>
      <c r="M10" s="708" t="s">
        <v>433</v>
      </c>
      <c r="N10" s="708" t="s">
        <v>420</v>
      </c>
      <c r="O10" s="708" t="s">
        <v>421</v>
      </c>
      <c r="P10" s="708" t="s">
        <v>422</v>
      </c>
      <c r="Q10" s="708" t="s">
        <v>50</v>
      </c>
      <c r="R10" s="708">
        <v>2021.0</v>
      </c>
      <c r="S10" s="709">
        <v>0.144531961</v>
      </c>
      <c r="T10" s="709">
        <v>0.311758764</v>
      </c>
      <c r="U10" s="710">
        <v>0.027232028</v>
      </c>
      <c r="W10" s="707" t="s">
        <v>419</v>
      </c>
      <c r="X10" s="708" t="s">
        <v>451</v>
      </c>
      <c r="Y10" s="708" t="s">
        <v>420</v>
      </c>
      <c r="Z10" s="708" t="s">
        <v>421</v>
      </c>
      <c r="AA10" s="708" t="s">
        <v>422</v>
      </c>
      <c r="AB10" s="708" t="s">
        <v>423</v>
      </c>
      <c r="AC10" s="708">
        <v>2021.0</v>
      </c>
      <c r="AD10" s="709">
        <v>468.1229028</v>
      </c>
      <c r="AE10" s="709">
        <v>811.0551599</v>
      </c>
      <c r="AF10" s="710">
        <v>215.3454019</v>
      </c>
      <c r="AH10" s="701" t="s">
        <v>424</v>
      </c>
      <c r="AI10" s="703" t="s">
        <v>440</v>
      </c>
      <c r="AJ10" s="703" t="s">
        <v>420</v>
      </c>
      <c r="AK10" s="703" t="s">
        <v>421</v>
      </c>
      <c r="AL10" s="703" t="s">
        <v>422</v>
      </c>
      <c r="AM10" s="703" t="s">
        <v>423</v>
      </c>
      <c r="AN10" s="704">
        <v>2021.0</v>
      </c>
      <c r="AO10" s="705">
        <v>103355.3269</v>
      </c>
      <c r="AP10" s="705">
        <v>143353.4963</v>
      </c>
      <c r="AQ10" s="706">
        <v>59122.69025</v>
      </c>
      <c r="AS10" s="707" t="s">
        <v>422</v>
      </c>
      <c r="AT10" s="708" t="s">
        <v>420</v>
      </c>
      <c r="AU10" s="708" t="s">
        <v>441</v>
      </c>
      <c r="AV10" s="708" t="s">
        <v>436</v>
      </c>
      <c r="AW10" s="708" t="s">
        <v>419</v>
      </c>
      <c r="AX10" s="708" t="s">
        <v>50</v>
      </c>
      <c r="AY10" s="708" t="s">
        <v>427</v>
      </c>
      <c r="AZ10" s="711" t="s">
        <v>428</v>
      </c>
      <c r="BA10" s="709">
        <v>637.4524275</v>
      </c>
      <c r="BB10" s="709">
        <v>180.154657</v>
      </c>
      <c r="BC10" s="709">
        <v>1412.947999</v>
      </c>
      <c r="BD10" s="710" t="s">
        <v>429</v>
      </c>
      <c r="BF10" s="707" t="s">
        <v>422</v>
      </c>
      <c r="BG10" s="708" t="s">
        <v>420</v>
      </c>
      <c r="BH10" s="708" t="s">
        <v>425</v>
      </c>
      <c r="BI10" s="708" t="s">
        <v>452</v>
      </c>
      <c r="BJ10" s="708" t="s">
        <v>419</v>
      </c>
      <c r="BK10" s="708" t="s">
        <v>430</v>
      </c>
      <c r="BL10" s="708" t="s">
        <v>427</v>
      </c>
      <c r="BM10" s="711" t="s">
        <v>428</v>
      </c>
      <c r="BN10" s="709">
        <v>253.7526724</v>
      </c>
      <c r="BO10" s="709">
        <v>90.15525224</v>
      </c>
      <c r="BP10" s="709">
        <v>529.9869441</v>
      </c>
      <c r="BQ10" s="710" t="s">
        <v>429</v>
      </c>
      <c r="BS10" s="707" t="s">
        <v>422</v>
      </c>
      <c r="BT10" s="708" t="s">
        <v>420</v>
      </c>
      <c r="BU10" s="708" t="s">
        <v>425</v>
      </c>
      <c r="BV10" s="708" t="s">
        <v>446</v>
      </c>
      <c r="BW10" s="708" t="s">
        <v>424</v>
      </c>
      <c r="BX10" s="708" t="s">
        <v>430</v>
      </c>
      <c r="BY10" s="708" t="s">
        <v>427</v>
      </c>
      <c r="BZ10" s="711" t="s">
        <v>428</v>
      </c>
      <c r="CA10" s="709">
        <v>52168.65</v>
      </c>
      <c r="CB10" s="709">
        <v>16077.502</v>
      </c>
      <c r="CC10" s="709">
        <v>119193.27</v>
      </c>
      <c r="CD10" s="710" t="s">
        <v>429</v>
      </c>
      <c r="CE10" s="460"/>
    </row>
    <row r="11">
      <c r="A11" s="690"/>
      <c r="B11" s="712" t="s">
        <v>415</v>
      </c>
      <c r="C11" s="713" t="s">
        <v>416</v>
      </c>
      <c r="D11" s="714" t="s">
        <v>453</v>
      </c>
      <c r="E11" s="715">
        <v>2021.0</v>
      </c>
      <c r="F11" s="713" t="s">
        <v>418</v>
      </c>
      <c r="G11" s="713" t="s">
        <v>50</v>
      </c>
      <c r="H11" s="716">
        <v>7810850.0</v>
      </c>
      <c r="I11" s="716">
        <v>8704631.0</v>
      </c>
      <c r="J11" s="717">
        <v>6938899.0</v>
      </c>
      <c r="K11" s="695"/>
      <c r="L11" s="707" t="s">
        <v>419</v>
      </c>
      <c r="M11" s="708" t="s">
        <v>433</v>
      </c>
      <c r="N11" s="708" t="s">
        <v>420</v>
      </c>
      <c r="O11" s="708" t="s">
        <v>432</v>
      </c>
      <c r="P11" s="708" t="s">
        <v>422</v>
      </c>
      <c r="Q11" s="708" t="s">
        <v>50</v>
      </c>
      <c r="R11" s="708">
        <v>2021.0</v>
      </c>
      <c r="S11" s="709">
        <v>0.0</v>
      </c>
      <c r="T11" s="709">
        <v>0.0</v>
      </c>
      <c r="U11" s="710">
        <v>0.0</v>
      </c>
      <c r="W11" s="718" t="s">
        <v>419</v>
      </c>
      <c r="X11" s="719" t="s">
        <v>99</v>
      </c>
      <c r="Y11" s="719" t="s">
        <v>420</v>
      </c>
      <c r="Z11" s="719" t="s">
        <v>421</v>
      </c>
      <c r="AA11" s="719" t="s">
        <v>422</v>
      </c>
      <c r="AB11" s="719" t="s">
        <v>423</v>
      </c>
      <c r="AC11" s="720">
        <v>2021.0</v>
      </c>
      <c r="AD11" s="721">
        <v>304.0176706</v>
      </c>
      <c r="AE11" s="721">
        <v>515.7151553</v>
      </c>
      <c r="AF11" s="722">
        <v>133.6960095</v>
      </c>
      <c r="AH11" s="712" t="s">
        <v>424</v>
      </c>
      <c r="AI11" s="714" t="s">
        <v>440</v>
      </c>
      <c r="AJ11" s="714" t="s">
        <v>420</v>
      </c>
      <c r="AK11" s="714" t="s">
        <v>434</v>
      </c>
      <c r="AL11" s="714" t="s">
        <v>422</v>
      </c>
      <c r="AM11" s="714" t="s">
        <v>423</v>
      </c>
      <c r="AN11" s="715">
        <v>2021.0</v>
      </c>
      <c r="AO11" s="716">
        <v>42052.85011</v>
      </c>
      <c r="AP11" s="716">
        <v>83958.50276</v>
      </c>
      <c r="AQ11" s="717">
        <v>24410.30978</v>
      </c>
      <c r="AS11" s="707" t="s">
        <v>422</v>
      </c>
      <c r="AT11" s="708" t="s">
        <v>420</v>
      </c>
      <c r="AU11" s="708" t="s">
        <v>445</v>
      </c>
      <c r="AV11" s="708" t="s">
        <v>436</v>
      </c>
      <c r="AW11" s="708" t="s">
        <v>419</v>
      </c>
      <c r="AX11" s="708" t="s">
        <v>50</v>
      </c>
      <c r="AY11" s="708" t="s">
        <v>427</v>
      </c>
      <c r="AZ11" s="711" t="s">
        <v>428</v>
      </c>
      <c r="BA11" s="709">
        <v>3533.53738</v>
      </c>
      <c r="BB11" s="709">
        <v>999.0051375</v>
      </c>
      <c r="BC11" s="709">
        <v>7224.286273</v>
      </c>
      <c r="BD11" s="710" t="s">
        <v>429</v>
      </c>
      <c r="BF11" s="707" t="s">
        <v>422</v>
      </c>
      <c r="BG11" s="708" t="s">
        <v>420</v>
      </c>
      <c r="BH11" s="708" t="s">
        <v>425</v>
      </c>
      <c r="BI11" s="708" t="s">
        <v>116</v>
      </c>
      <c r="BJ11" s="708" t="s">
        <v>419</v>
      </c>
      <c r="BK11" s="708" t="s">
        <v>430</v>
      </c>
      <c r="BL11" s="708" t="s">
        <v>427</v>
      </c>
      <c r="BM11" s="711" t="s">
        <v>428</v>
      </c>
      <c r="BN11" s="709">
        <v>234.0815687</v>
      </c>
      <c r="BO11" s="709">
        <v>54.95883</v>
      </c>
      <c r="BP11" s="709">
        <v>519.3117312</v>
      </c>
      <c r="BQ11" s="710" t="s">
        <v>429</v>
      </c>
      <c r="BS11" s="707" t="s">
        <v>422</v>
      </c>
      <c r="BT11" s="708" t="s">
        <v>420</v>
      </c>
      <c r="BU11" s="708" t="s">
        <v>437</v>
      </c>
      <c r="BV11" s="708" t="s">
        <v>446</v>
      </c>
      <c r="BW11" s="708" t="s">
        <v>424</v>
      </c>
      <c r="BX11" s="708" t="s">
        <v>430</v>
      </c>
      <c r="BY11" s="708" t="s">
        <v>427</v>
      </c>
      <c r="BZ11" s="711" t="s">
        <v>428</v>
      </c>
      <c r="CA11" s="709">
        <v>22726.376</v>
      </c>
      <c r="CB11" s="709">
        <v>9114.0114</v>
      </c>
      <c r="CC11" s="709">
        <v>47103.268</v>
      </c>
      <c r="CD11" s="710" t="s">
        <v>429</v>
      </c>
      <c r="CE11" s="460"/>
    </row>
    <row r="12">
      <c r="A12" s="690"/>
      <c r="B12" s="701" t="s">
        <v>415</v>
      </c>
      <c r="C12" s="702" t="s">
        <v>416</v>
      </c>
      <c r="D12" s="703" t="s">
        <v>454</v>
      </c>
      <c r="E12" s="704">
        <v>2021.0</v>
      </c>
      <c r="F12" s="702" t="s">
        <v>418</v>
      </c>
      <c r="G12" s="702" t="s">
        <v>50</v>
      </c>
      <c r="H12" s="705">
        <v>1.0558881E7</v>
      </c>
      <c r="I12" s="705">
        <v>1.1767114E7</v>
      </c>
      <c r="J12" s="706">
        <v>9380159.0</v>
      </c>
      <c r="K12" s="695"/>
      <c r="L12" s="707" t="s">
        <v>419</v>
      </c>
      <c r="M12" s="708" t="s">
        <v>433</v>
      </c>
      <c r="N12" s="708" t="s">
        <v>420</v>
      </c>
      <c r="O12" s="708" t="s">
        <v>439</v>
      </c>
      <c r="P12" s="708" t="s">
        <v>422</v>
      </c>
      <c r="Q12" s="708" t="s">
        <v>50</v>
      </c>
      <c r="R12" s="708">
        <v>2021.0</v>
      </c>
      <c r="S12" s="709">
        <v>0.003476564</v>
      </c>
      <c r="T12" s="709">
        <v>0.006295218</v>
      </c>
      <c r="U12" s="710">
        <v>7.05775E-4</v>
      </c>
      <c r="W12" s="707" t="s">
        <v>419</v>
      </c>
      <c r="X12" s="708" t="s">
        <v>455</v>
      </c>
      <c r="Y12" s="708" t="s">
        <v>420</v>
      </c>
      <c r="Z12" s="708" t="s">
        <v>421</v>
      </c>
      <c r="AA12" s="708" t="s">
        <v>422</v>
      </c>
      <c r="AB12" s="708" t="s">
        <v>423</v>
      </c>
      <c r="AC12" s="708">
        <v>2021.0</v>
      </c>
      <c r="AD12" s="709">
        <v>0.079934864</v>
      </c>
      <c r="AE12" s="709">
        <v>0.380018151</v>
      </c>
      <c r="AF12" s="710">
        <v>0.003576038</v>
      </c>
      <c r="AH12" s="701" t="s">
        <v>424</v>
      </c>
      <c r="AI12" s="703" t="s">
        <v>440</v>
      </c>
      <c r="AJ12" s="703" t="s">
        <v>420</v>
      </c>
      <c r="AK12" s="703" t="s">
        <v>417</v>
      </c>
      <c r="AL12" s="703" t="s">
        <v>422</v>
      </c>
      <c r="AM12" s="703" t="s">
        <v>423</v>
      </c>
      <c r="AN12" s="704">
        <v>2021.0</v>
      </c>
      <c r="AO12" s="705">
        <v>73208.31829</v>
      </c>
      <c r="AP12" s="705">
        <v>101542.59</v>
      </c>
      <c r="AQ12" s="706">
        <v>41878.78955</v>
      </c>
      <c r="AS12" s="707" t="s">
        <v>422</v>
      </c>
      <c r="AT12" s="708" t="s">
        <v>420</v>
      </c>
      <c r="AU12" s="708" t="s">
        <v>425</v>
      </c>
      <c r="AV12" s="708" t="s">
        <v>442</v>
      </c>
      <c r="AW12" s="708" t="s">
        <v>419</v>
      </c>
      <c r="AX12" s="708" t="s">
        <v>50</v>
      </c>
      <c r="AY12" s="708" t="s">
        <v>427</v>
      </c>
      <c r="AZ12" s="711" t="s">
        <v>428</v>
      </c>
      <c r="BA12" s="709">
        <v>1052.527923</v>
      </c>
      <c r="BB12" s="709">
        <v>450.2469452</v>
      </c>
      <c r="BC12" s="709">
        <v>1768.24413</v>
      </c>
      <c r="BD12" s="710" t="s">
        <v>429</v>
      </c>
      <c r="BF12" s="707" t="s">
        <v>422</v>
      </c>
      <c r="BG12" s="708" t="s">
        <v>420</v>
      </c>
      <c r="BH12" s="708" t="s">
        <v>425</v>
      </c>
      <c r="BI12" s="708" t="s">
        <v>456</v>
      </c>
      <c r="BJ12" s="708" t="s">
        <v>419</v>
      </c>
      <c r="BK12" s="708" t="s">
        <v>430</v>
      </c>
      <c r="BL12" s="708" t="s">
        <v>427</v>
      </c>
      <c r="BM12" s="711" t="s">
        <v>428</v>
      </c>
      <c r="BN12" s="709">
        <v>278.4642292</v>
      </c>
      <c r="BO12" s="709">
        <v>114.9186331</v>
      </c>
      <c r="BP12" s="709">
        <v>494.0292365</v>
      </c>
      <c r="BQ12" s="710" t="s">
        <v>429</v>
      </c>
      <c r="BS12" s="707" t="s">
        <v>422</v>
      </c>
      <c r="BT12" s="708" t="s">
        <v>420</v>
      </c>
      <c r="BU12" s="708" t="s">
        <v>425</v>
      </c>
      <c r="BV12" s="708" t="s">
        <v>115</v>
      </c>
      <c r="BW12" s="708" t="s">
        <v>424</v>
      </c>
      <c r="BX12" s="708" t="s">
        <v>430</v>
      </c>
      <c r="BY12" s="708" t="s">
        <v>427</v>
      </c>
      <c r="BZ12" s="711" t="s">
        <v>428</v>
      </c>
      <c r="CA12" s="709">
        <v>92549.9</v>
      </c>
      <c r="CB12" s="709">
        <v>47740.695</v>
      </c>
      <c r="CC12" s="709">
        <v>143085.46</v>
      </c>
      <c r="CD12" s="710" t="s">
        <v>429</v>
      </c>
      <c r="CE12" s="460"/>
    </row>
    <row r="13">
      <c r="A13" s="690"/>
      <c r="B13" s="712" t="s">
        <v>415</v>
      </c>
      <c r="C13" s="713" t="s">
        <v>416</v>
      </c>
      <c r="D13" s="714" t="s">
        <v>457</v>
      </c>
      <c r="E13" s="715">
        <v>2021.0</v>
      </c>
      <c r="F13" s="713" t="s">
        <v>418</v>
      </c>
      <c r="G13" s="713" t="s">
        <v>50</v>
      </c>
      <c r="H13" s="716">
        <v>1137175.0</v>
      </c>
      <c r="I13" s="716">
        <v>1267300.0</v>
      </c>
      <c r="J13" s="717">
        <v>1010228.0</v>
      </c>
      <c r="K13" s="695"/>
      <c r="L13" s="707" t="s">
        <v>419</v>
      </c>
      <c r="M13" s="708" t="s">
        <v>433</v>
      </c>
      <c r="N13" s="708" t="s">
        <v>420</v>
      </c>
      <c r="O13" s="708" t="s">
        <v>443</v>
      </c>
      <c r="P13" s="708" t="s">
        <v>422</v>
      </c>
      <c r="Q13" s="708" t="s">
        <v>50</v>
      </c>
      <c r="R13" s="708">
        <v>2021.0</v>
      </c>
      <c r="S13" s="709">
        <v>603.3317412</v>
      </c>
      <c r="T13" s="709">
        <v>1210.782152</v>
      </c>
      <c r="U13" s="710">
        <v>146.9659344</v>
      </c>
      <c r="W13" s="707" t="s">
        <v>419</v>
      </c>
      <c r="X13" s="708" t="s">
        <v>458</v>
      </c>
      <c r="Y13" s="708" t="s">
        <v>420</v>
      </c>
      <c r="Z13" s="708" t="s">
        <v>421</v>
      </c>
      <c r="AA13" s="708" t="s">
        <v>422</v>
      </c>
      <c r="AB13" s="708" t="s">
        <v>423</v>
      </c>
      <c r="AC13" s="708">
        <v>2021.0</v>
      </c>
      <c r="AD13" s="709">
        <v>277.7223754</v>
      </c>
      <c r="AE13" s="709">
        <v>515.6229767</v>
      </c>
      <c r="AF13" s="710">
        <v>107.7590865</v>
      </c>
      <c r="AH13" s="712" t="s">
        <v>424</v>
      </c>
      <c r="AI13" s="714" t="s">
        <v>444</v>
      </c>
      <c r="AJ13" s="714" t="s">
        <v>420</v>
      </c>
      <c r="AK13" s="714" t="s">
        <v>421</v>
      </c>
      <c r="AL13" s="714" t="s">
        <v>422</v>
      </c>
      <c r="AM13" s="714" t="s">
        <v>423</v>
      </c>
      <c r="AN13" s="715">
        <v>2021.0</v>
      </c>
      <c r="AO13" s="716">
        <v>2.497721835</v>
      </c>
      <c r="AP13" s="716">
        <v>2.891139644</v>
      </c>
      <c r="AQ13" s="717">
        <v>2.179560353</v>
      </c>
      <c r="AS13" s="707" t="s">
        <v>422</v>
      </c>
      <c r="AT13" s="708" t="s">
        <v>420</v>
      </c>
      <c r="AU13" s="708" t="s">
        <v>435</v>
      </c>
      <c r="AV13" s="708" t="s">
        <v>442</v>
      </c>
      <c r="AW13" s="708" t="s">
        <v>419</v>
      </c>
      <c r="AX13" s="708" t="s">
        <v>50</v>
      </c>
      <c r="AY13" s="708" t="s">
        <v>427</v>
      </c>
      <c r="AZ13" s="711" t="s">
        <v>428</v>
      </c>
      <c r="BA13" s="709">
        <v>69.62770506</v>
      </c>
      <c r="BB13" s="709">
        <v>21.78497266</v>
      </c>
      <c r="BC13" s="709">
        <v>138.3128784</v>
      </c>
      <c r="BD13" s="710" t="s">
        <v>429</v>
      </c>
      <c r="BF13" s="707" t="s">
        <v>422</v>
      </c>
      <c r="BG13" s="708" t="s">
        <v>420</v>
      </c>
      <c r="BH13" s="708" t="s">
        <v>425</v>
      </c>
      <c r="BI13" s="708" t="s">
        <v>459</v>
      </c>
      <c r="BJ13" s="708" t="s">
        <v>419</v>
      </c>
      <c r="BK13" s="708" t="s">
        <v>430</v>
      </c>
      <c r="BL13" s="708" t="s">
        <v>427</v>
      </c>
      <c r="BM13" s="711" t="s">
        <v>428</v>
      </c>
      <c r="BN13" s="709">
        <v>312.0041153</v>
      </c>
      <c r="BO13" s="709">
        <v>90.15093734</v>
      </c>
      <c r="BP13" s="709">
        <v>605.5628328</v>
      </c>
      <c r="BQ13" s="710" t="s">
        <v>429</v>
      </c>
      <c r="BS13" s="707" t="s">
        <v>422</v>
      </c>
      <c r="BT13" s="708" t="s">
        <v>420</v>
      </c>
      <c r="BU13" s="708" t="s">
        <v>437</v>
      </c>
      <c r="BV13" s="708" t="s">
        <v>115</v>
      </c>
      <c r="BW13" s="708" t="s">
        <v>424</v>
      </c>
      <c r="BX13" s="708" t="s">
        <v>430</v>
      </c>
      <c r="BY13" s="708" t="s">
        <v>427</v>
      </c>
      <c r="BZ13" s="711" t="s">
        <v>428</v>
      </c>
      <c r="CA13" s="709">
        <v>39110.878</v>
      </c>
      <c r="CB13" s="709">
        <v>23023.334</v>
      </c>
      <c r="CC13" s="709">
        <v>78855.38</v>
      </c>
      <c r="CD13" s="710" t="s">
        <v>429</v>
      </c>
      <c r="CE13" s="460"/>
    </row>
    <row r="14">
      <c r="A14" s="690"/>
      <c r="B14" s="701" t="s">
        <v>415</v>
      </c>
      <c r="C14" s="702" t="s">
        <v>416</v>
      </c>
      <c r="D14" s="703" t="s">
        <v>460</v>
      </c>
      <c r="E14" s="704">
        <v>2021.0</v>
      </c>
      <c r="F14" s="702" t="s">
        <v>418</v>
      </c>
      <c r="G14" s="702" t="s">
        <v>50</v>
      </c>
      <c r="H14" s="705">
        <v>496653.0</v>
      </c>
      <c r="I14" s="705">
        <v>553484.0</v>
      </c>
      <c r="J14" s="706">
        <v>441210.0</v>
      </c>
      <c r="K14" s="695"/>
      <c r="L14" s="707" t="s">
        <v>419</v>
      </c>
      <c r="M14" s="708" t="s">
        <v>433</v>
      </c>
      <c r="N14" s="708" t="s">
        <v>420</v>
      </c>
      <c r="O14" s="708" t="s">
        <v>417</v>
      </c>
      <c r="P14" s="708" t="s">
        <v>422</v>
      </c>
      <c r="Q14" s="708" t="s">
        <v>50</v>
      </c>
      <c r="R14" s="708">
        <v>2021.0</v>
      </c>
      <c r="S14" s="709">
        <v>0.083706608</v>
      </c>
      <c r="T14" s="709">
        <v>0.185662527</v>
      </c>
      <c r="U14" s="710">
        <v>0.014568372</v>
      </c>
      <c r="W14" s="707" t="s">
        <v>419</v>
      </c>
      <c r="X14" s="708" t="s">
        <v>461</v>
      </c>
      <c r="Y14" s="708" t="s">
        <v>420</v>
      </c>
      <c r="Z14" s="708" t="s">
        <v>421</v>
      </c>
      <c r="AA14" s="708" t="s">
        <v>422</v>
      </c>
      <c r="AB14" s="708" t="s">
        <v>423</v>
      </c>
      <c r="AC14" s="708">
        <v>2021.0</v>
      </c>
      <c r="AD14" s="709">
        <v>325.4615422</v>
      </c>
      <c r="AE14" s="709">
        <v>724.793382</v>
      </c>
      <c r="AF14" s="710">
        <v>129.6388645</v>
      </c>
      <c r="AH14" s="701" t="s">
        <v>424</v>
      </c>
      <c r="AI14" s="703" t="s">
        <v>444</v>
      </c>
      <c r="AJ14" s="703" t="s">
        <v>420</v>
      </c>
      <c r="AK14" s="703" t="s">
        <v>434</v>
      </c>
      <c r="AL14" s="703" t="s">
        <v>422</v>
      </c>
      <c r="AM14" s="703" t="s">
        <v>423</v>
      </c>
      <c r="AN14" s="704">
        <v>2021.0</v>
      </c>
      <c r="AO14" s="705">
        <v>4.988547803</v>
      </c>
      <c r="AP14" s="705">
        <v>5.772815199</v>
      </c>
      <c r="AQ14" s="706">
        <v>4.354622095</v>
      </c>
      <c r="AS14" s="707" t="s">
        <v>422</v>
      </c>
      <c r="AT14" s="708" t="s">
        <v>420</v>
      </c>
      <c r="AU14" s="708" t="s">
        <v>441</v>
      </c>
      <c r="AV14" s="708" t="s">
        <v>442</v>
      </c>
      <c r="AW14" s="708" t="s">
        <v>419</v>
      </c>
      <c r="AX14" s="708" t="s">
        <v>50</v>
      </c>
      <c r="AY14" s="708" t="s">
        <v>427</v>
      </c>
      <c r="AZ14" s="711" t="s">
        <v>428</v>
      </c>
      <c r="BA14" s="709">
        <v>389.3330443</v>
      </c>
      <c r="BB14" s="709">
        <v>151.4585037</v>
      </c>
      <c r="BC14" s="709">
        <v>665.3486236</v>
      </c>
      <c r="BD14" s="710" t="s">
        <v>429</v>
      </c>
      <c r="BF14" s="707" t="s">
        <v>422</v>
      </c>
      <c r="BG14" s="708" t="s">
        <v>420</v>
      </c>
      <c r="BH14" s="708" t="s">
        <v>425</v>
      </c>
      <c r="BI14" s="708" t="s">
        <v>462</v>
      </c>
      <c r="BJ14" s="708" t="s">
        <v>419</v>
      </c>
      <c r="BK14" s="708" t="s">
        <v>430</v>
      </c>
      <c r="BL14" s="708" t="s">
        <v>427</v>
      </c>
      <c r="BM14" s="711" t="s">
        <v>428</v>
      </c>
      <c r="BN14" s="709">
        <v>334.7661198</v>
      </c>
      <c r="BO14" s="709">
        <v>122.8390003</v>
      </c>
      <c r="BP14" s="709">
        <v>671.7716832</v>
      </c>
      <c r="BQ14" s="710" t="s">
        <v>429</v>
      </c>
      <c r="BS14" s="707" t="s">
        <v>422</v>
      </c>
      <c r="BT14" s="708" t="s">
        <v>420</v>
      </c>
      <c r="BU14" s="708" t="s">
        <v>425</v>
      </c>
      <c r="BV14" s="708" t="s">
        <v>449</v>
      </c>
      <c r="BW14" s="708" t="s">
        <v>424</v>
      </c>
      <c r="BX14" s="708" t="s">
        <v>430</v>
      </c>
      <c r="BY14" s="708" t="s">
        <v>427</v>
      </c>
      <c r="BZ14" s="711" t="s">
        <v>428</v>
      </c>
      <c r="CA14" s="709">
        <v>71829.134</v>
      </c>
      <c r="CB14" s="709">
        <v>17317.624</v>
      </c>
      <c r="CC14" s="709">
        <v>144481.64</v>
      </c>
      <c r="CD14" s="710" t="s">
        <v>429</v>
      </c>
      <c r="CE14" s="460"/>
    </row>
    <row r="15">
      <c r="A15" s="690"/>
      <c r="B15" s="712" t="s">
        <v>415</v>
      </c>
      <c r="C15" s="713" t="s">
        <v>416</v>
      </c>
      <c r="D15" s="714" t="s">
        <v>463</v>
      </c>
      <c r="E15" s="715">
        <v>2021.0</v>
      </c>
      <c r="F15" s="713" t="s">
        <v>418</v>
      </c>
      <c r="G15" s="713" t="s">
        <v>50</v>
      </c>
      <c r="H15" s="716">
        <v>3430249.0</v>
      </c>
      <c r="I15" s="716">
        <v>3822765.0</v>
      </c>
      <c r="J15" s="717">
        <v>3047319.0</v>
      </c>
      <c r="K15" s="695"/>
      <c r="L15" s="707" t="s">
        <v>419</v>
      </c>
      <c r="M15" s="708" t="s">
        <v>433</v>
      </c>
      <c r="N15" s="708" t="s">
        <v>420</v>
      </c>
      <c r="O15" s="708" t="s">
        <v>438</v>
      </c>
      <c r="P15" s="708" t="s">
        <v>422</v>
      </c>
      <c r="Q15" s="708" t="s">
        <v>50</v>
      </c>
      <c r="R15" s="708">
        <v>2021.0</v>
      </c>
      <c r="S15" s="709">
        <v>0.003476564</v>
      </c>
      <c r="T15" s="709">
        <v>0.006295218</v>
      </c>
      <c r="U15" s="710">
        <v>7.05775E-4</v>
      </c>
      <c r="W15" s="707" t="s">
        <v>419</v>
      </c>
      <c r="X15" s="708" t="s">
        <v>98</v>
      </c>
      <c r="Y15" s="708" t="s">
        <v>420</v>
      </c>
      <c r="Z15" s="708" t="s">
        <v>421</v>
      </c>
      <c r="AA15" s="708" t="s">
        <v>422</v>
      </c>
      <c r="AB15" s="708" t="s">
        <v>423</v>
      </c>
      <c r="AC15" s="708">
        <v>2021.0</v>
      </c>
      <c r="AD15" s="709">
        <v>152.1356092</v>
      </c>
      <c r="AE15" s="709">
        <v>325.4377457</v>
      </c>
      <c r="AF15" s="710">
        <v>46.11772534</v>
      </c>
      <c r="AH15" s="712" t="s">
        <v>424</v>
      </c>
      <c r="AI15" s="714" t="s">
        <v>444</v>
      </c>
      <c r="AJ15" s="714" t="s">
        <v>420</v>
      </c>
      <c r="AK15" s="714" t="s">
        <v>417</v>
      </c>
      <c r="AL15" s="714" t="s">
        <v>422</v>
      </c>
      <c r="AM15" s="714" t="s">
        <v>423</v>
      </c>
      <c r="AN15" s="715">
        <v>2021.0</v>
      </c>
      <c r="AO15" s="716">
        <v>1.45129352</v>
      </c>
      <c r="AP15" s="716">
        <v>1.68019025</v>
      </c>
      <c r="AQ15" s="717">
        <v>1.266142518</v>
      </c>
      <c r="AS15" s="707" t="s">
        <v>422</v>
      </c>
      <c r="AT15" s="708" t="s">
        <v>420</v>
      </c>
      <c r="AU15" s="708" t="s">
        <v>445</v>
      </c>
      <c r="AV15" s="708" t="s">
        <v>442</v>
      </c>
      <c r="AW15" s="708" t="s">
        <v>419</v>
      </c>
      <c r="AX15" s="708" t="s">
        <v>50</v>
      </c>
      <c r="AY15" s="708" t="s">
        <v>427</v>
      </c>
      <c r="AZ15" s="711" t="s">
        <v>428</v>
      </c>
      <c r="BA15" s="709">
        <v>2671.728519</v>
      </c>
      <c r="BB15" s="709">
        <v>980.0455165</v>
      </c>
      <c r="BC15" s="709">
        <v>4933.862065</v>
      </c>
      <c r="BD15" s="710" t="s">
        <v>429</v>
      </c>
      <c r="BF15" s="707" t="s">
        <v>422</v>
      </c>
      <c r="BG15" s="708" t="s">
        <v>420</v>
      </c>
      <c r="BH15" s="708" t="s">
        <v>425</v>
      </c>
      <c r="BI15" s="708" t="s">
        <v>464</v>
      </c>
      <c r="BJ15" s="708" t="s">
        <v>419</v>
      </c>
      <c r="BK15" s="708" t="s">
        <v>430</v>
      </c>
      <c r="BL15" s="708" t="s">
        <v>427</v>
      </c>
      <c r="BM15" s="711" t="s">
        <v>428</v>
      </c>
      <c r="BN15" s="709">
        <v>314.0954429</v>
      </c>
      <c r="BO15" s="709">
        <v>99.68475806</v>
      </c>
      <c r="BP15" s="709">
        <v>612.8203236</v>
      </c>
      <c r="BQ15" s="710" t="s">
        <v>429</v>
      </c>
      <c r="BS15" s="707" t="s">
        <v>422</v>
      </c>
      <c r="BT15" s="708" t="s">
        <v>420</v>
      </c>
      <c r="BU15" s="708" t="s">
        <v>437</v>
      </c>
      <c r="BV15" s="708" t="s">
        <v>449</v>
      </c>
      <c r="BW15" s="708" t="s">
        <v>424</v>
      </c>
      <c r="BX15" s="708" t="s">
        <v>430</v>
      </c>
      <c r="BY15" s="708" t="s">
        <v>427</v>
      </c>
      <c r="BZ15" s="711" t="s">
        <v>428</v>
      </c>
      <c r="CA15" s="709">
        <v>30618.73</v>
      </c>
      <c r="CB15" s="709">
        <v>8337.102</v>
      </c>
      <c r="CC15" s="709">
        <v>66854.954</v>
      </c>
      <c r="CD15" s="710" t="s">
        <v>429</v>
      </c>
      <c r="CE15" s="460"/>
    </row>
    <row r="16">
      <c r="A16" s="690"/>
      <c r="B16" s="701" t="s">
        <v>415</v>
      </c>
      <c r="C16" s="702" t="s">
        <v>416</v>
      </c>
      <c r="D16" s="703" t="s">
        <v>465</v>
      </c>
      <c r="E16" s="704">
        <v>2021.0</v>
      </c>
      <c r="F16" s="702" t="s">
        <v>418</v>
      </c>
      <c r="G16" s="702" t="s">
        <v>50</v>
      </c>
      <c r="H16" s="705">
        <v>1.4662649E7</v>
      </c>
      <c r="I16" s="705">
        <v>1.6340467E7</v>
      </c>
      <c r="J16" s="706">
        <v>1.3025809E7</v>
      </c>
      <c r="K16" s="695"/>
      <c r="L16" s="707" t="s">
        <v>419</v>
      </c>
      <c r="M16" s="708" t="s">
        <v>440</v>
      </c>
      <c r="N16" s="708" t="s">
        <v>420</v>
      </c>
      <c r="O16" s="708" t="s">
        <v>421</v>
      </c>
      <c r="P16" s="708" t="s">
        <v>422</v>
      </c>
      <c r="Q16" s="708" t="s">
        <v>50</v>
      </c>
      <c r="R16" s="708">
        <v>2021.0</v>
      </c>
      <c r="S16" s="709">
        <v>9076.298253</v>
      </c>
      <c r="T16" s="709">
        <v>15611.79041</v>
      </c>
      <c r="U16" s="710">
        <v>4584.727378</v>
      </c>
      <c r="W16" s="707" t="s">
        <v>419</v>
      </c>
      <c r="X16" s="708" t="s">
        <v>466</v>
      </c>
      <c r="Y16" s="708" t="s">
        <v>420</v>
      </c>
      <c r="Z16" s="708" t="s">
        <v>421</v>
      </c>
      <c r="AA16" s="708" t="s">
        <v>422</v>
      </c>
      <c r="AB16" s="708" t="s">
        <v>423</v>
      </c>
      <c r="AC16" s="708">
        <v>2021.0</v>
      </c>
      <c r="AD16" s="709">
        <v>2.93198393</v>
      </c>
      <c r="AE16" s="709">
        <v>4.880274415</v>
      </c>
      <c r="AF16" s="710">
        <v>1.255050157</v>
      </c>
      <c r="AH16" s="701" t="s">
        <v>424</v>
      </c>
      <c r="AI16" s="703" t="s">
        <v>448</v>
      </c>
      <c r="AJ16" s="703" t="s">
        <v>420</v>
      </c>
      <c r="AK16" s="703" t="s">
        <v>421</v>
      </c>
      <c r="AL16" s="703" t="s">
        <v>422</v>
      </c>
      <c r="AM16" s="703" t="s">
        <v>423</v>
      </c>
      <c r="AN16" s="704">
        <v>2021.0</v>
      </c>
      <c r="AO16" s="705">
        <v>38.57398759</v>
      </c>
      <c r="AP16" s="705">
        <v>45.30511465</v>
      </c>
      <c r="AQ16" s="706">
        <v>32.53744066</v>
      </c>
      <c r="AS16" s="707" t="s">
        <v>422</v>
      </c>
      <c r="AT16" s="708" t="s">
        <v>420</v>
      </c>
      <c r="AU16" s="708" t="s">
        <v>425</v>
      </c>
      <c r="AV16" s="708" t="s">
        <v>446</v>
      </c>
      <c r="AW16" s="708" t="s">
        <v>419</v>
      </c>
      <c r="AX16" s="708" t="s">
        <v>50</v>
      </c>
      <c r="AY16" s="708" t="s">
        <v>427</v>
      </c>
      <c r="AZ16" s="711" t="s">
        <v>428</v>
      </c>
      <c r="BA16" s="709">
        <v>2422.921117</v>
      </c>
      <c r="BB16" s="709">
        <v>963.3518452</v>
      </c>
      <c r="BC16" s="709">
        <v>4226.158046</v>
      </c>
      <c r="BD16" s="710" t="s">
        <v>429</v>
      </c>
      <c r="BF16" s="707" t="s">
        <v>422</v>
      </c>
      <c r="BG16" s="708" t="s">
        <v>420</v>
      </c>
      <c r="BH16" s="708" t="s">
        <v>425</v>
      </c>
      <c r="BI16" s="708" t="s">
        <v>467</v>
      </c>
      <c r="BJ16" s="708" t="s">
        <v>419</v>
      </c>
      <c r="BK16" s="708" t="s">
        <v>430</v>
      </c>
      <c r="BL16" s="708" t="s">
        <v>427</v>
      </c>
      <c r="BM16" s="711" t="s">
        <v>428</v>
      </c>
      <c r="BN16" s="709">
        <v>375.0455941</v>
      </c>
      <c r="BO16" s="709">
        <v>187.8484495</v>
      </c>
      <c r="BP16" s="709">
        <v>622.7575114</v>
      </c>
      <c r="BQ16" s="710" t="s">
        <v>429</v>
      </c>
      <c r="BS16" s="707" t="s">
        <v>422</v>
      </c>
      <c r="BT16" s="708" t="s">
        <v>420</v>
      </c>
      <c r="BU16" s="708" t="s">
        <v>425</v>
      </c>
      <c r="BV16" s="708" t="s">
        <v>452</v>
      </c>
      <c r="BW16" s="708" t="s">
        <v>424</v>
      </c>
      <c r="BX16" s="708" t="s">
        <v>430</v>
      </c>
      <c r="BY16" s="708" t="s">
        <v>427</v>
      </c>
      <c r="BZ16" s="711" t="s">
        <v>428</v>
      </c>
      <c r="CA16" s="709">
        <v>69305.51</v>
      </c>
      <c r="CB16" s="709">
        <v>25776.955</v>
      </c>
      <c r="CC16" s="709">
        <v>130083.48</v>
      </c>
      <c r="CD16" s="710" t="s">
        <v>429</v>
      </c>
      <c r="CE16" s="460"/>
    </row>
    <row r="17">
      <c r="A17" s="690"/>
      <c r="B17" s="712" t="s">
        <v>415</v>
      </c>
      <c r="C17" s="713" t="s">
        <v>416</v>
      </c>
      <c r="D17" s="714" t="s">
        <v>468</v>
      </c>
      <c r="E17" s="715">
        <v>2021.0</v>
      </c>
      <c r="F17" s="713" t="s">
        <v>418</v>
      </c>
      <c r="G17" s="713" t="s">
        <v>50</v>
      </c>
      <c r="H17" s="716">
        <v>2748031.0</v>
      </c>
      <c r="I17" s="716">
        <v>3062483.0</v>
      </c>
      <c r="J17" s="717">
        <v>2441259.0</v>
      </c>
      <c r="K17" s="695"/>
      <c r="L17" s="707" t="s">
        <v>419</v>
      </c>
      <c r="M17" s="708" t="s">
        <v>440</v>
      </c>
      <c r="N17" s="708" t="s">
        <v>420</v>
      </c>
      <c r="O17" s="708" t="s">
        <v>432</v>
      </c>
      <c r="P17" s="708" t="s">
        <v>422</v>
      </c>
      <c r="Q17" s="708" t="s">
        <v>50</v>
      </c>
      <c r="R17" s="708">
        <v>2021.0</v>
      </c>
      <c r="S17" s="709">
        <v>0.0</v>
      </c>
      <c r="T17" s="709">
        <v>0.0</v>
      </c>
      <c r="U17" s="710">
        <v>0.0</v>
      </c>
      <c r="W17" s="723" t="s">
        <v>419</v>
      </c>
      <c r="X17" s="724" t="s">
        <v>469</v>
      </c>
      <c r="Y17" s="724" t="s">
        <v>420</v>
      </c>
      <c r="Z17" s="724" t="s">
        <v>421</v>
      </c>
      <c r="AA17" s="724" t="s">
        <v>422</v>
      </c>
      <c r="AB17" s="724" t="s">
        <v>423</v>
      </c>
      <c r="AC17" s="725">
        <v>2021.0</v>
      </c>
      <c r="AD17" s="726">
        <v>145.2217518</v>
      </c>
      <c r="AE17" s="726">
        <v>247.4426962</v>
      </c>
      <c r="AF17" s="727">
        <v>55.39498063</v>
      </c>
      <c r="AH17" s="712" t="s">
        <v>424</v>
      </c>
      <c r="AI17" s="714" t="s">
        <v>448</v>
      </c>
      <c r="AJ17" s="714" t="s">
        <v>420</v>
      </c>
      <c r="AK17" s="714" t="s">
        <v>434</v>
      </c>
      <c r="AL17" s="714" t="s">
        <v>422</v>
      </c>
      <c r="AM17" s="714" t="s">
        <v>423</v>
      </c>
      <c r="AN17" s="715">
        <v>2021.0</v>
      </c>
      <c r="AO17" s="716">
        <v>73.75787969</v>
      </c>
      <c r="AP17" s="716">
        <v>86.03835292</v>
      </c>
      <c r="AQ17" s="717">
        <v>62.63942097</v>
      </c>
      <c r="AS17" s="707" t="s">
        <v>422</v>
      </c>
      <c r="AT17" s="708" t="s">
        <v>420</v>
      </c>
      <c r="AU17" s="708" t="s">
        <v>435</v>
      </c>
      <c r="AV17" s="708" t="s">
        <v>446</v>
      </c>
      <c r="AW17" s="708" t="s">
        <v>419</v>
      </c>
      <c r="AX17" s="708" t="s">
        <v>50</v>
      </c>
      <c r="AY17" s="708" t="s">
        <v>427</v>
      </c>
      <c r="AZ17" s="711" t="s">
        <v>428</v>
      </c>
      <c r="BA17" s="709">
        <v>149.0607825</v>
      </c>
      <c r="BB17" s="709">
        <v>45.598182</v>
      </c>
      <c r="BC17" s="709">
        <v>326.466947</v>
      </c>
      <c r="BD17" s="710" t="s">
        <v>429</v>
      </c>
      <c r="BF17" s="707" t="s">
        <v>422</v>
      </c>
      <c r="BG17" s="708" t="s">
        <v>420</v>
      </c>
      <c r="BH17" s="708" t="s">
        <v>425</v>
      </c>
      <c r="BI17" s="708" t="s">
        <v>470</v>
      </c>
      <c r="BJ17" s="708" t="s">
        <v>419</v>
      </c>
      <c r="BK17" s="708" t="s">
        <v>430</v>
      </c>
      <c r="BL17" s="708" t="s">
        <v>427</v>
      </c>
      <c r="BM17" s="711" t="s">
        <v>428</v>
      </c>
      <c r="BN17" s="709">
        <v>220.6870725</v>
      </c>
      <c r="BO17" s="709">
        <v>90.54109925</v>
      </c>
      <c r="BP17" s="709">
        <v>406.7062363</v>
      </c>
      <c r="BQ17" s="710" t="s">
        <v>429</v>
      </c>
      <c r="BS17" s="707" t="s">
        <v>422</v>
      </c>
      <c r="BT17" s="708" t="s">
        <v>420</v>
      </c>
      <c r="BU17" s="708" t="s">
        <v>437</v>
      </c>
      <c r="BV17" s="708" t="s">
        <v>452</v>
      </c>
      <c r="BW17" s="708" t="s">
        <v>424</v>
      </c>
      <c r="BX17" s="708" t="s">
        <v>430</v>
      </c>
      <c r="BY17" s="708" t="s">
        <v>427</v>
      </c>
      <c r="BZ17" s="711" t="s">
        <v>428</v>
      </c>
      <c r="CA17" s="709">
        <v>29561.225</v>
      </c>
      <c r="CB17" s="709">
        <v>13390.35</v>
      </c>
      <c r="CC17" s="709">
        <v>63073.28</v>
      </c>
      <c r="CD17" s="710" t="s">
        <v>429</v>
      </c>
      <c r="CE17" s="460"/>
    </row>
    <row r="18">
      <c r="A18" s="690"/>
      <c r="B18" s="701" t="s">
        <v>415</v>
      </c>
      <c r="C18" s="702" t="s">
        <v>416</v>
      </c>
      <c r="D18" s="703" t="s">
        <v>471</v>
      </c>
      <c r="E18" s="704">
        <v>2021.0</v>
      </c>
      <c r="F18" s="702" t="s">
        <v>418</v>
      </c>
      <c r="G18" s="702" t="s">
        <v>50</v>
      </c>
      <c r="H18" s="705">
        <v>3337034.0</v>
      </c>
      <c r="I18" s="705">
        <v>3718885.0</v>
      </c>
      <c r="J18" s="706">
        <v>2964510.0</v>
      </c>
      <c r="K18" s="695"/>
      <c r="L18" s="707" t="s">
        <v>419</v>
      </c>
      <c r="M18" s="708" t="s">
        <v>440</v>
      </c>
      <c r="N18" s="708" t="s">
        <v>420</v>
      </c>
      <c r="O18" s="708" t="s">
        <v>439</v>
      </c>
      <c r="P18" s="708" t="s">
        <v>422</v>
      </c>
      <c r="Q18" s="708" t="s">
        <v>50</v>
      </c>
      <c r="R18" s="708">
        <v>2021.0</v>
      </c>
      <c r="S18" s="709">
        <v>351.7877306</v>
      </c>
      <c r="T18" s="709">
        <v>706.5084239</v>
      </c>
      <c r="U18" s="710">
        <v>113.8125143</v>
      </c>
      <c r="W18" s="707" t="s">
        <v>419</v>
      </c>
      <c r="X18" s="708" t="s">
        <v>472</v>
      </c>
      <c r="Y18" s="708" t="s">
        <v>420</v>
      </c>
      <c r="Z18" s="708" t="s">
        <v>421</v>
      </c>
      <c r="AA18" s="708" t="s">
        <v>422</v>
      </c>
      <c r="AB18" s="708" t="s">
        <v>423</v>
      </c>
      <c r="AC18" s="708">
        <v>2021.0</v>
      </c>
      <c r="AD18" s="709">
        <v>352.6089463</v>
      </c>
      <c r="AE18" s="709">
        <v>577.1210056</v>
      </c>
      <c r="AF18" s="710">
        <v>170.1959702</v>
      </c>
      <c r="AH18" s="701" t="s">
        <v>424</v>
      </c>
      <c r="AI18" s="703" t="s">
        <v>448</v>
      </c>
      <c r="AJ18" s="703" t="s">
        <v>420</v>
      </c>
      <c r="AK18" s="703" t="s">
        <v>417</v>
      </c>
      <c r="AL18" s="703" t="s">
        <v>422</v>
      </c>
      <c r="AM18" s="703" t="s">
        <v>423</v>
      </c>
      <c r="AN18" s="704">
        <v>2021.0</v>
      </c>
      <c r="AO18" s="705">
        <v>22.84818747</v>
      </c>
      <c r="AP18" s="705">
        <v>26.94621998</v>
      </c>
      <c r="AQ18" s="706">
        <v>19.19284567</v>
      </c>
      <c r="AS18" s="707" t="s">
        <v>422</v>
      </c>
      <c r="AT18" s="708" t="s">
        <v>420</v>
      </c>
      <c r="AU18" s="708" t="s">
        <v>441</v>
      </c>
      <c r="AV18" s="708" t="s">
        <v>446</v>
      </c>
      <c r="AW18" s="708" t="s">
        <v>419</v>
      </c>
      <c r="AX18" s="708" t="s">
        <v>50</v>
      </c>
      <c r="AY18" s="708" t="s">
        <v>427</v>
      </c>
      <c r="AZ18" s="711" t="s">
        <v>428</v>
      </c>
      <c r="BA18" s="709">
        <v>972.0763854</v>
      </c>
      <c r="BB18" s="709">
        <v>366.4713004</v>
      </c>
      <c r="BC18" s="709">
        <v>1735.809103</v>
      </c>
      <c r="BD18" s="710" t="s">
        <v>429</v>
      </c>
      <c r="BF18" s="707" t="s">
        <v>422</v>
      </c>
      <c r="BG18" s="708" t="s">
        <v>420</v>
      </c>
      <c r="BH18" s="708" t="s">
        <v>425</v>
      </c>
      <c r="BI18" s="708" t="s">
        <v>117</v>
      </c>
      <c r="BJ18" s="708" t="s">
        <v>419</v>
      </c>
      <c r="BK18" s="708" t="s">
        <v>430</v>
      </c>
      <c r="BL18" s="708" t="s">
        <v>427</v>
      </c>
      <c r="BM18" s="711" t="s">
        <v>428</v>
      </c>
      <c r="BN18" s="709">
        <v>272.7681721</v>
      </c>
      <c r="BO18" s="709">
        <v>91.99079436</v>
      </c>
      <c r="BP18" s="709">
        <v>495.4437207</v>
      </c>
      <c r="BQ18" s="710" t="s">
        <v>429</v>
      </c>
      <c r="BS18" s="707" t="s">
        <v>422</v>
      </c>
      <c r="BT18" s="708" t="s">
        <v>420</v>
      </c>
      <c r="BU18" s="708" t="s">
        <v>425</v>
      </c>
      <c r="BV18" s="708" t="s">
        <v>116</v>
      </c>
      <c r="BW18" s="708" t="s">
        <v>424</v>
      </c>
      <c r="BX18" s="708" t="s">
        <v>430</v>
      </c>
      <c r="BY18" s="708" t="s">
        <v>427</v>
      </c>
      <c r="BZ18" s="711" t="s">
        <v>428</v>
      </c>
      <c r="CA18" s="709">
        <v>66346.67</v>
      </c>
      <c r="CB18" s="709">
        <v>23054.895</v>
      </c>
      <c r="CC18" s="709">
        <v>131616.08</v>
      </c>
      <c r="CD18" s="710" t="s">
        <v>429</v>
      </c>
      <c r="CE18" s="460"/>
    </row>
    <row r="19">
      <c r="A19" s="690"/>
      <c r="B19" s="712" t="s">
        <v>415</v>
      </c>
      <c r="C19" s="713" t="s">
        <v>416</v>
      </c>
      <c r="D19" s="714" t="s">
        <v>473</v>
      </c>
      <c r="E19" s="715">
        <v>2021.0</v>
      </c>
      <c r="F19" s="713" t="s">
        <v>418</v>
      </c>
      <c r="G19" s="713" t="s">
        <v>50</v>
      </c>
      <c r="H19" s="716">
        <v>1.1282702E7</v>
      </c>
      <c r="I19" s="716">
        <v>1.257376E7</v>
      </c>
      <c r="J19" s="717">
        <v>1.0023177E7</v>
      </c>
      <c r="K19" s="695"/>
      <c r="L19" s="707" t="s">
        <v>419</v>
      </c>
      <c r="M19" s="708" t="s">
        <v>440</v>
      </c>
      <c r="N19" s="708" t="s">
        <v>420</v>
      </c>
      <c r="O19" s="708" t="s">
        <v>443</v>
      </c>
      <c r="P19" s="708" t="s">
        <v>422</v>
      </c>
      <c r="Q19" s="708" t="s">
        <v>50</v>
      </c>
      <c r="R19" s="708">
        <v>2021.0</v>
      </c>
      <c r="S19" s="709">
        <v>15653.76514</v>
      </c>
      <c r="T19" s="709">
        <v>28341.34705</v>
      </c>
      <c r="U19" s="710">
        <v>7166.430725</v>
      </c>
      <c r="W19" s="707" t="s">
        <v>419</v>
      </c>
      <c r="X19" s="708" t="s">
        <v>474</v>
      </c>
      <c r="Y19" s="708" t="s">
        <v>420</v>
      </c>
      <c r="Z19" s="708" t="s">
        <v>421</v>
      </c>
      <c r="AA19" s="708" t="s">
        <v>422</v>
      </c>
      <c r="AB19" s="708" t="s">
        <v>423</v>
      </c>
      <c r="AC19" s="708">
        <v>2021.0</v>
      </c>
      <c r="AD19" s="709">
        <v>12.29146861</v>
      </c>
      <c r="AE19" s="709">
        <v>19.89720792</v>
      </c>
      <c r="AF19" s="710">
        <v>6.561913242</v>
      </c>
      <c r="AH19" s="712" t="s">
        <v>424</v>
      </c>
      <c r="AI19" s="714" t="s">
        <v>97</v>
      </c>
      <c r="AJ19" s="714" t="s">
        <v>420</v>
      </c>
      <c r="AK19" s="714" t="s">
        <v>421</v>
      </c>
      <c r="AL19" s="714" t="s">
        <v>422</v>
      </c>
      <c r="AM19" s="714" t="s">
        <v>423</v>
      </c>
      <c r="AN19" s="715">
        <v>2021.0</v>
      </c>
      <c r="AO19" s="716">
        <v>98651.77857</v>
      </c>
      <c r="AP19" s="716">
        <v>150072.3502</v>
      </c>
      <c r="AQ19" s="717">
        <v>51997.04058</v>
      </c>
      <c r="AS19" s="707" t="s">
        <v>422</v>
      </c>
      <c r="AT19" s="708" t="s">
        <v>420</v>
      </c>
      <c r="AU19" s="708" t="s">
        <v>445</v>
      </c>
      <c r="AV19" s="708" t="s">
        <v>446</v>
      </c>
      <c r="AW19" s="708" t="s">
        <v>419</v>
      </c>
      <c r="AX19" s="708" t="s">
        <v>50</v>
      </c>
      <c r="AY19" s="708" t="s">
        <v>427</v>
      </c>
      <c r="AZ19" s="711" t="s">
        <v>428</v>
      </c>
      <c r="BA19" s="709">
        <v>5697.760386</v>
      </c>
      <c r="BB19" s="709">
        <v>2011.736564</v>
      </c>
      <c r="BC19" s="709">
        <v>11540.77253</v>
      </c>
      <c r="BD19" s="710" t="s">
        <v>429</v>
      </c>
      <c r="BF19" s="707" t="s">
        <v>422</v>
      </c>
      <c r="BG19" s="708" t="s">
        <v>420</v>
      </c>
      <c r="BH19" s="708" t="s">
        <v>425</v>
      </c>
      <c r="BI19" s="708" t="s">
        <v>475</v>
      </c>
      <c r="BJ19" s="708" t="s">
        <v>419</v>
      </c>
      <c r="BK19" s="708" t="s">
        <v>430</v>
      </c>
      <c r="BL19" s="708" t="s">
        <v>427</v>
      </c>
      <c r="BM19" s="711" t="s">
        <v>428</v>
      </c>
      <c r="BN19" s="709">
        <v>391.0731362</v>
      </c>
      <c r="BO19" s="709">
        <v>150.3348009</v>
      </c>
      <c r="BP19" s="709">
        <v>822.7549794</v>
      </c>
      <c r="BQ19" s="710" t="s">
        <v>429</v>
      </c>
      <c r="BS19" s="707" t="s">
        <v>422</v>
      </c>
      <c r="BT19" s="708" t="s">
        <v>420</v>
      </c>
      <c r="BU19" s="708" t="s">
        <v>437</v>
      </c>
      <c r="BV19" s="708" t="s">
        <v>116</v>
      </c>
      <c r="BW19" s="708" t="s">
        <v>424</v>
      </c>
      <c r="BX19" s="708" t="s">
        <v>430</v>
      </c>
      <c r="BY19" s="708" t="s">
        <v>427</v>
      </c>
      <c r="BZ19" s="711" t="s">
        <v>428</v>
      </c>
      <c r="CA19" s="709">
        <v>29057.47</v>
      </c>
      <c r="CB19" s="709">
        <v>13363.667</v>
      </c>
      <c r="CC19" s="709">
        <v>59416.455</v>
      </c>
      <c r="CD19" s="710" t="s">
        <v>429</v>
      </c>
      <c r="CE19" s="460"/>
    </row>
    <row r="20">
      <c r="A20" s="690"/>
      <c r="B20" s="701" t="s">
        <v>415</v>
      </c>
      <c r="C20" s="702" t="s">
        <v>416</v>
      </c>
      <c r="D20" s="703" t="s">
        <v>476</v>
      </c>
      <c r="E20" s="704">
        <v>2021.0</v>
      </c>
      <c r="F20" s="702" t="s">
        <v>418</v>
      </c>
      <c r="G20" s="702" t="s">
        <v>50</v>
      </c>
      <c r="H20" s="705">
        <v>2341918.0</v>
      </c>
      <c r="I20" s="705">
        <v>2609899.0</v>
      </c>
      <c r="J20" s="706">
        <v>2080482.0</v>
      </c>
      <c r="K20" s="695"/>
      <c r="L20" s="707" t="s">
        <v>419</v>
      </c>
      <c r="M20" s="708" t="s">
        <v>440</v>
      </c>
      <c r="N20" s="708" t="s">
        <v>420</v>
      </c>
      <c r="O20" s="708" t="s">
        <v>417</v>
      </c>
      <c r="P20" s="708" t="s">
        <v>422</v>
      </c>
      <c r="Q20" s="708" t="s">
        <v>50</v>
      </c>
      <c r="R20" s="708">
        <v>2021.0</v>
      </c>
      <c r="S20" s="709">
        <v>3511.669812</v>
      </c>
      <c r="T20" s="709">
        <v>6395.642137</v>
      </c>
      <c r="U20" s="710">
        <v>1607.084517</v>
      </c>
      <c r="W20" s="707" t="s">
        <v>419</v>
      </c>
      <c r="X20" s="708" t="s">
        <v>477</v>
      </c>
      <c r="Y20" s="708" t="s">
        <v>420</v>
      </c>
      <c r="Z20" s="708" t="s">
        <v>421</v>
      </c>
      <c r="AA20" s="708" t="s">
        <v>422</v>
      </c>
      <c r="AB20" s="708" t="s">
        <v>423</v>
      </c>
      <c r="AC20" s="708">
        <v>2021.0</v>
      </c>
      <c r="AD20" s="709">
        <v>240.0851703</v>
      </c>
      <c r="AE20" s="709">
        <v>428.5175773</v>
      </c>
      <c r="AF20" s="710">
        <v>112.5713639</v>
      </c>
      <c r="AH20" s="701" t="s">
        <v>424</v>
      </c>
      <c r="AI20" s="703" t="s">
        <v>97</v>
      </c>
      <c r="AJ20" s="703" t="s">
        <v>420</v>
      </c>
      <c r="AK20" s="703" t="s">
        <v>434</v>
      </c>
      <c r="AL20" s="703" t="s">
        <v>422</v>
      </c>
      <c r="AM20" s="703" t="s">
        <v>423</v>
      </c>
      <c r="AN20" s="704">
        <v>2021.0</v>
      </c>
      <c r="AO20" s="705">
        <v>40895.62741</v>
      </c>
      <c r="AP20" s="705">
        <v>73964.06637</v>
      </c>
      <c r="AQ20" s="706">
        <v>22717.11117</v>
      </c>
      <c r="AS20" s="707" t="s">
        <v>422</v>
      </c>
      <c r="AT20" s="708" t="s">
        <v>420</v>
      </c>
      <c r="AU20" s="708" t="s">
        <v>425</v>
      </c>
      <c r="AV20" s="708" t="s">
        <v>115</v>
      </c>
      <c r="AW20" s="708" t="s">
        <v>419</v>
      </c>
      <c r="AX20" s="708" t="s">
        <v>50</v>
      </c>
      <c r="AY20" s="708" t="s">
        <v>427</v>
      </c>
      <c r="AZ20" s="711" t="s">
        <v>428</v>
      </c>
      <c r="BA20" s="709">
        <v>6310.369098</v>
      </c>
      <c r="BB20" s="709">
        <v>1977.976025</v>
      </c>
      <c r="BC20" s="709">
        <v>14282.37824</v>
      </c>
      <c r="BD20" s="710" t="s">
        <v>429</v>
      </c>
      <c r="BF20" s="707" t="s">
        <v>422</v>
      </c>
      <c r="BG20" s="708" t="s">
        <v>420</v>
      </c>
      <c r="BH20" s="708" t="s">
        <v>425</v>
      </c>
      <c r="BI20" s="708" t="s">
        <v>478</v>
      </c>
      <c r="BJ20" s="708" t="s">
        <v>419</v>
      </c>
      <c r="BK20" s="708" t="s">
        <v>430</v>
      </c>
      <c r="BL20" s="708" t="s">
        <v>427</v>
      </c>
      <c r="BM20" s="711" t="s">
        <v>428</v>
      </c>
      <c r="BN20" s="709">
        <v>277.3349803</v>
      </c>
      <c r="BO20" s="709">
        <v>130.2219582</v>
      </c>
      <c r="BP20" s="709">
        <v>435.9271068</v>
      </c>
      <c r="BQ20" s="710" t="s">
        <v>429</v>
      </c>
      <c r="BS20" s="707" t="s">
        <v>422</v>
      </c>
      <c r="BT20" s="708" t="s">
        <v>420</v>
      </c>
      <c r="BU20" s="708" t="s">
        <v>425</v>
      </c>
      <c r="BV20" s="708" t="s">
        <v>456</v>
      </c>
      <c r="BW20" s="708" t="s">
        <v>424</v>
      </c>
      <c r="BX20" s="708" t="s">
        <v>430</v>
      </c>
      <c r="BY20" s="708" t="s">
        <v>427</v>
      </c>
      <c r="BZ20" s="711" t="s">
        <v>428</v>
      </c>
      <c r="CA20" s="709">
        <v>86661.977</v>
      </c>
      <c r="CB20" s="709">
        <v>28168.96</v>
      </c>
      <c r="CC20" s="709">
        <v>140949.19</v>
      </c>
      <c r="CD20" s="710" t="s">
        <v>429</v>
      </c>
      <c r="CE20" s="460"/>
    </row>
    <row r="21">
      <c r="A21" s="690"/>
      <c r="B21" s="712" t="s">
        <v>415</v>
      </c>
      <c r="C21" s="713" t="s">
        <v>416</v>
      </c>
      <c r="D21" s="714" t="s">
        <v>479</v>
      </c>
      <c r="E21" s="715">
        <v>2021.0</v>
      </c>
      <c r="F21" s="713" t="s">
        <v>418</v>
      </c>
      <c r="G21" s="713" t="s">
        <v>50</v>
      </c>
      <c r="H21" s="716">
        <v>2007276.0</v>
      </c>
      <c r="I21" s="716">
        <v>2236965.0</v>
      </c>
      <c r="J21" s="717">
        <v>1783197.0</v>
      </c>
      <c r="K21" s="695"/>
      <c r="L21" s="707" t="s">
        <v>419</v>
      </c>
      <c r="M21" s="708" t="s">
        <v>440</v>
      </c>
      <c r="N21" s="708" t="s">
        <v>420</v>
      </c>
      <c r="O21" s="708" t="s">
        <v>438</v>
      </c>
      <c r="P21" s="708" t="s">
        <v>422</v>
      </c>
      <c r="Q21" s="708" t="s">
        <v>50</v>
      </c>
      <c r="R21" s="708">
        <v>2021.0</v>
      </c>
      <c r="S21" s="709">
        <v>351.7877306</v>
      </c>
      <c r="T21" s="709">
        <v>706.5084239</v>
      </c>
      <c r="U21" s="710">
        <v>113.8125143</v>
      </c>
      <c r="W21" s="707" t="s">
        <v>419</v>
      </c>
      <c r="X21" s="708" t="s">
        <v>480</v>
      </c>
      <c r="Y21" s="708" t="s">
        <v>420</v>
      </c>
      <c r="Z21" s="708" t="s">
        <v>421</v>
      </c>
      <c r="AA21" s="708" t="s">
        <v>422</v>
      </c>
      <c r="AB21" s="708" t="s">
        <v>423</v>
      </c>
      <c r="AC21" s="708">
        <v>2021.0</v>
      </c>
      <c r="AD21" s="709">
        <v>1.735310479</v>
      </c>
      <c r="AE21" s="709">
        <v>2.917840522</v>
      </c>
      <c r="AF21" s="710">
        <v>1.019421394</v>
      </c>
      <c r="AH21" s="712" t="s">
        <v>424</v>
      </c>
      <c r="AI21" s="714" t="s">
        <v>97</v>
      </c>
      <c r="AJ21" s="714" t="s">
        <v>420</v>
      </c>
      <c r="AK21" s="714" t="s">
        <v>417</v>
      </c>
      <c r="AL21" s="714" t="s">
        <v>422</v>
      </c>
      <c r="AM21" s="714" t="s">
        <v>423</v>
      </c>
      <c r="AN21" s="715">
        <v>2021.0</v>
      </c>
      <c r="AO21" s="716">
        <v>70027.2965</v>
      </c>
      <c r="AP21" s="716">
        <v>106534.2009</v>
      </c>
      <c r="AQ21" s="717">
        <v>36911.95052</v>
      </c>
      <c r="AS21" s="707" t="s">
        <v>422</v>
      </c>
      <c r="AT21" s="708" t="s">
        <v>420</v>
      </c>
      <c r="AU21" s="708" t="s">
        <v>435</v>
      </c>
      <c r="AV21" s="708" t="s">
        <v>115</v>
      </c>
      <c r="AW21" s="708" t="s">
        <v>419</v>
      </c>
      <c r="AX21" s="708" t="s">
        <v>50</v>
      </c>
      <c r="AY21" s="708" t="s">
        <v>427</v>
      </c>
      <c r="AZ21" s="711" t="s">
        <v>428</v>
      </c>
      <c r="BA21" s="709">
        <v>159.3470041</v>
      </c>
      <c r="BB21" s="709">
        <v>32.47086295</v>
      </c>
      <c r="BC21" s="709">
        <v>420.4985358</v>
      </c>
      <c r="BD21" s="710" t="s">
        <v>429</v>
      </c>
      <c r="BF21" s="707" t="s">
        <v>422</v>
      </c>
      <c r="BG21" s="708" t="s">
        <v>420</v>
      </c>
      <c r="BH21" s="708" t="s">
        <v>425</v>
      </c>
      <c r="BI21" s="708" t="s">
        <v>481</v>
      </c>
      <c r="BJ21" s="708" t="s">
        <v>419</v>
      </c>
      <c r="BK21" s="708" t="s">
        <v>430</v>
      </c>
      <c r="BL21" s="708" t="s">
        <v>427</v>
      </c>
      <c r="BM21" s="711" t="s">
        <v>428</v>
      </c>
      <c r="BN21" s="709">
        <v>484.3759133</v>
      </c>
      <c r="BO21" s="709">
        <v>176.7138193</v>
      </c>
      <c r="BP21" s="709">
        <v>1057.029481</v>
      </c>
      <c r="BQ21" s="710" t="s">
        <v>429</v>
      </c>
      <c r="BS21" s="707" t="s">
        <v>422</v>
      </c>
      <c r="BT21" s="708" t="s">
        <v>420</v>
      </c>
      <c r="BU21" s="708" t="s">
        <v>437</v>
      </c>
      <c r="BV21" s="708" t="s">
        <v>456</v>
      </c>
      <c r="BW21" s="708" t="s">
        <v>424</v>
      </c>
      <c r="BX21" s="708" t="s">
        <v>430</v>
      </c>
      <c r="BY21" s="708" t="s">
        <v>427</v>
      </c>
      <c r="BZ21" s="711" t="s">
        <v>428</v>
      </c>
      <c r="CA21" s="709">
        <v>35910.887</v>
      </c>
      <c r="CB21" s="709">
        <v>18717.606</v>
      </c>
      <c r="CC21" s="709">
        <v>67469.305</v>
      </c>
      <c r="CD21" s="710" t="s">
        <v>429</v>
      </c>
      <c r="CE21" s="460"/>
    </row>
    <row r="22">
      <c r="A22" s="690"/>
      <c r="B22" s="701" t="s">
        <v>415</v>
      </c>
      <c r="C22" s="702" t="s">
        <v>416</v>
      </c>
      <c r="D22" s="703" t="s">
        <v>482</v>
      </c>
      <c r="E22" s="704">
        <v>2021.0</v>
      </c>
      <c r="F22" s="702" t="s">
        <v>418</v>
      </c>
      <c r="G22" s="702" t="s">
        <v>50</v>
      </c>
      <c r="H22" s="705">
        <v>1638675.0</v>
      </c>
      <c r="I22" s="705">
        <v>1826186.0</v>
      </c>
      <c r="J22" s="706">
        <v>1455744.0</v>
      </c>
      <c r="K22" s="695"/>
      <c r="L22" s="707" t="s">
        <v>419</v>
      </c>
      <c r="M22" s="708" t="s">
        <v>444</v>
      </c>
      <c r="N22" s="708" t="s">
        <v>420</v>
      </c>
      <c r="O22" s="708" t="s">
        <v>421</v>
      </c>
      <c r="P22" s="708" t="s">
        <v>422</v>
      </c>
      <c r="Q22" s="708" t="s">
        <v>50</v>
      </c>
      <c r="R22" s="708">
        <v>2021.0</v>
      </c>
      <c r="S22" s="709">
        <v>0.036556852</v>
      </c>
      <c r="T22" s="709">
        <v>0.073095961</v>
      </c>
      <c r="U22" s="710">
        <v>0.019588181</v>
      </c>
      <c r="W22" s="723" t="s">
        <v>419</v>
      </c>
      <c r="X22" s="724" t="s">
        <v>483</v>
      </c>
      <c r="Y22" s="724" t="s">
        <v>420</v>
      </c>
      <c r="Z22" s="724" t="s">
        <v>421</v>
      </c>
      <c r="AA22" s="724" t="s">
        <v>422</v>
      </c>
      <c r="AB22" s="724" t="s">
        <v>423</v>
      </c>
      <c r="AC22" s="725">
        <v>2021.0</v>
      </c>
      <c r="AD22" s="726">
        <v>1.050863354</v>
      </c>
      <c r="AE22" s="726">
        <v>3.02464505</v>
      </c>
      <c r="AF22" s="727">
        <v>0.333772943</v>
      </c>
      <c r="AH22" s="701" t="s">
        <v>424</v>
      </c>
      <c r="AI22" s="703" t="s">
        <v>451</v>
      </c>
      <c r="AJ22" s="703" t="s">
        <v>420</v>
      </c>
      <c r="AK22" s="703" t="s">
        <v>421</v>
      </c>
      <c r="AL22" s="703" t="s">
        <v>422</v>
      </c>
      <c r="AM22" s="703" t="s">
        <v>423</v>
      </c>
      <c r="AN22" s="704">
        <v>2021.0</v>
      </c>
      <c r="AO22" s="705">
        <v>76960.76972</v>
      </c>
      <c r="AP22" s="705">
        <v>121464.5355</v>
      </c>
      <c r="AQ22" s="706">
        <v>27346.24878</v>
      </c>
      <c r="AS22" s="707" t="s">
        <v>422</v>
      </c>
      <c r="AT22" s="708" t="s">
        <v>420</v>
      </c>
      <c r="AU22" s="708" t="s">
        <v>441</v>
      </c>
      <c r="AV22" s="708" t="s">
        <v>115</v>
      </c>
      <c r="AW22" s="708" t="s">
        <v>419</v>
      </c>
      <c r="AX22" s="708" t="s">
        <v>50</v>
      </c>
      <c r="AY22" s="708" t="s">
        <v>427</v>
      </c>
      <c r="AZ22" s="711" t="s">
        <v>428</v>
      </c>
      <c r="BA22" s="709">
        <v>1316.323721</v>
      </c>
      <c r="BB22" s="709">
        <v>342.623034</v>
      </c>
      <c r="BC22" s="709">
        <v>3316.141113</v>
      </c>
      <c r="BD22" s="710" t="s">
        <v>429</v>
      </c>
      <c r="BF22" s="707" t="s">
        <v>422</v>
      </c>
      <c r="BG22" s="708" t="s">
        <v>420</v>
      </c>
      <c r="BH22" s="708" t="s">
        <v>425</v>
      </c>
      <c r="BI22" s="708" t="s">
        <v>484</v>
      </c>
      <c r="BJ22" s="708" t="s">
        <v>419</v>
      </c>
      <c r="BK22" s="708" t="s">
        <v>430</v>
      </c>
      <c r="BL22" s="708" t="s">
        <v>427</v>
      </c>
      <c r="BM22" s="711" t="s">
        <v>428</v>
      </c>
      <c r="BN22" s="709">
        <v>369.3442574</v>
      </c>
      <c r="BO22" s="709">
        <v>124.7370115</v>
      </c>
      <c r="BP22" s="709">
        <v>701.5641131</v>
      </c>
      <c r="BQ22" s="710" t="s">
        <v>429</v>
      </c>
      <c r="BS22" s="707" t="s">
        <v>422</v>
      </c>
      <c r="BT22" s="708" t="s">
        <v>420</v>
      </c>
      <c r="BU22" s="708" t="s">
        <v>425</v>
      </c>
      <c r="BV22" s="708" t="s">
        <v>459</v>
      </c>
      <c r="BW22" s="708" t="s">
        <v>424</v>
      </c>
      <c r="BX22" s="708" t="s">
        <v>430</v>
      </c>
      <c r="BY22" s="708" t="s">
        <v>427</v>
      </c>
      <c r="BZ22" s="711" t="s">
        <v>428</v>
      </c>
      <c r="CA22" s="709">
        <v>66895.634</v>
      </c>
      <c r="CB22" s="709">
        <v>17612.02</v>
      </c>
      <c r="CC22" s="709">
        <v>136472.74</v>
      </c>
      <c r="CD22" s="710" t="s">
        <v>429</v>
      </c>
      <c r="CE22" s="460"/>
    </row>
    <row r="23">
      <c r="A23" s="690"/>
      <c r="B23" s="712" t="s">
        <v>415</v>
      </c>
      <c r="C23" s="713" t="s">
        <v>416</v>
      </c>
      <c r="D23" s="714" t="s">
        <v>485</v>
      </c>
      <c r="E23" s="715">
        <v>2021.0</v>
      </c>
      <c r="F23" s="713" t="s">
        <v>418</v>
      </c>
      <c r="G23" s="713" t="s">
        <v>50</v>
      </c>
      <c r="H23" s="716">
        <v>1379007.0</v>
      </c>
      <c r="I23" s="716">
        <v>1536804.0</v>
      </c>
      <c r="J23" s="717">
        <v>1225064.0</v>
      </c>
      <c r="K23" s="695"/>
      <c r="L23" s="707" t="s">
        <v>419</v>
      </c>
      <c r="M23" s="708" t="s">
        <v>444</v>
      </c>
      <c r="N23" s="708" t="s">
        <v>420</v>
      </c>
      <c r="O23" s="708" t="s">
        <v>432</v>
      </c>
      <c r="P23" s="708" t="s">
        <v>422</v>
      </c>
      <c r="Q23" s="708" t="s">
        <v>50</v>
      </c>
      <c r="R23" s="708">
        <v>2021.0</v>
      </c>
      <c r="S23" s="709">
        <v>0.0</v>
      </c>
      <c r="T23" s="709">
        <v>0.0</v>
      </c>
      <c r="U23" s="710">
        <v>0.0</v>
      </c>
      <c r="W23" s="707" t="s">
        <v>419</v>
      </c>
      <c r="X23" s="708" t="s">
        <v>486</v>
      </c>
      <c r="Y23" s="708" t="s">
        <v>420</v>
      </c>
      <c r="Z23" s="708" t="s">
        <v>421</v>
      </c>
      <c r="AA23" s="708" t="s">
        <v>422</v>
      </c>
      <c r="AB23" s="708" t="s">
        <v>423</v>
      </c>
      <c r="AC23" s="708">
        <v>2021.0</v>
      </c>
      <c r="AD23" s="709">
        <v>32.78602608</v>
      </c>
      <c r="AE23" s="709">
        <v>77.56740524</v>
      </c>
      <c r="AF23" s="710">
        <v>9.002419324</v>
      </c>
      <c r="AH23" s="712" t="s">
        <v>424</v>
      </c>
      <c r="AI23" s="714" t="s">
        <v>451</v>
      </c>
      <c r="AJ23" s="714" t="s">
        <v>420</v>
      </c>
      <c r="AK23" s="714" t="s">
        <v>434</v>
      </c>
      <c r="AL23" s="714" t="s">
        <v>422</v>
      </c>
      <c r="AM23" s="714" t="s">
        <v>423</v>
      </c>
      <c r="AN23" s="715">
        <v>2021.0</v>
      </c>
      <c r="AO23" s="716">
        <v>31637.31504</v>
      </c>
      <c r="AP23" s="716">
        <v>68885.43659</v>
      </c>
      <c r="AQ23" s="717">
        <v>17412.00609</v>
      </c>
      <c r="AS23" s="707" t="s">
        <v>422</v>
      </c>
      <c r="AT23" s="708" t="s">
        <v>420</v>
      </c>
      <c r="AU23" s="708" t="s">
        <v>445</v>
      </c>
      <c r="AV23" s="708" t="s">
        <v>115</v>
      </c>
      <c r="AW23" s="708" t="s">
        <v>419</v>
      </c>
      <c r="AX23" s="708" t="s">
        <v>50</v>
      </c>
      <c r="AY23" s="708" t="s">
        <v>427</v>
      </c>
      <c r="AZ23" s="711" t="s">
        <v>428</v>
      </c>
      <c r="BA23" s="709">
        <v>8241.349008</v>
      </c>
      <c r="BB23" s="709">
        <v>2447.102639</v>
      </c>
      <c r="BC23" s="709">
        <v>19269.99201</v>
      </c>
      <c r="BD23" s="710" t="s">
        <v>429</v>
      </c>
      <c r="BF23" s="707" t="s">
        <v>422</v>
      </c>
      <c r="BG23" s="708" t="s">
        <v>420</v>
      </c>
      <c r="BH23" s="708" t="s">
        <v>425</v>
      </c>
      <c r="BI23" s="708" t="s">
        <v>487</v>
      </c>
      <c r="BJ23" s="708" t="s">
        <v>419</v>
      </c>
      <c r="BK23" s="708" t="s">
        <v>430</v>
      </c>
      <c r="BL23" s="708" t="s">
        <v>427</v>
      </c>
      <c r="BM23" s="711" t="s">
        <v>428</v>
      </c>
      <c r="BN23" s="709">
        <v>563.3513959</v>
      </c>
      <c r="BO23" s="709">
        <v>151.8416432</v>
      </c>
      <c r="BP23" s="709">
        <v>1172.006675</v>
      </c>
      <c r="BQ23" s="710" t="s">
        <v>429</v>
      </c>
      <c r="BS23" s="707" t="s">
        <v>422</v>
      </c>
      <c r="BT23" s="708" t="s">
        <v>420</v>
      </c>
      <c r="BU23" s="708" t="s">
        <v>437</v>
      </c>
      <c r="BV23" s="708" t="s">
        <v>459</v>
      </c>
      <c r="BW23" s="708" t="s">
        <v>424</v>
      </c>
      <c r="BX23" s="708" t="s">
        <v>430</v>
      </c>
      <c r="BY23" s="708" t="s">
        <v>427</v>
      </c>
      <c r="BZ23" s="711" t="s">
        <v>428</v>
      </c>
      <c r="CA23" s="709">
        <v>28376.922</v>
      </c>
      <c r="CB23" s="709">
        <v>10638.099</v>
      </c>
      <c r="CC23" s="709">
        <v>61924.964</v>
      </c>
      <c r="CD23" s="710" t="s">
        <v>429</v>
      </c>
      <c r="CE23" s="460"/>
    </row>
    <row r="24">
      <c r="A24" s="690"/>
      <c r="B24" s="701" t="s">
        <v>415</v>
      </c>
      <c r="C24" s="702" t="s">
        <v>416</v>
      </c>
      <c r="D24" s="703" t="s">
        <v>488</v>
      </c>
      <c r="E24" s="704">
        <v>2021.0</v>
      </c>
      <c r="F24" s="702" t="s">
        <v>418</v>
      </c>
      <c r="G24" s="702" t="s">
        <v>50</v>
      </c>
      <c r="H24" s="705">
        <v>1117493.0</v>
      </c>
      <c r="I24" s="705">
        <v>1245365.0</v>
      </c>
      <c r="J24" s="706">
        <v>992743.0</v>
      </c>
      <c r="K24" s="695"/>
      <c r="L24" s="707" t="s">
        <v>419</v>
      </c>
      <c r="M24" s="708" t="s">
        <v>444</v>
      </c>
      <c r="N24" s="708" t="s">
        <v>420</v>
      </c>
      <c r="O24" s="708" t="s">
        <v>439</v>
      </c>
      <c r="P24" s="708" t="s">
        <v>422</v>
      </c>
      <c r="Q24" s="708" t="s">
        <v>50</v>
      </c>
      <c r="R24" s="708">
        <v>2021.0</v>
      </c>
      <c r="S24" s="709">
        <v>5.67658E-4</v>
      </c>
      <c r="T24" s="709">
        <v>8.69695E-4</v>
      </c>
      <c r="U24" s="710">
        <v>3.7326E-4</v>
      </c>
      <c r="W24" s="707" t="s">
        <v>419</v>
      </c>
      <c r="X24" s="708" t="s">
        <v>489</v>
      </c>
      <c r="Y24" s="708" t="s">
        <v>420</v>
      </c>
      <c r="Z24" s="708" t="s">
        <v>421</v>
      </c>
      <c r="AA24" s="708" t="s">
        <v>422</v>
      </c>
      <c r="AB24" s="708" t="s">
        <v>423</v>
      </c>
      <c r="AC24" s="708">
        <v>2021.0</v>
      </c>
      <c r="AD24" s="709">
        <v>115.1130542</v>
      </c>
      <c r="AE24" s="709">
        <v>229.8180071</v>
      </c>
      <c r="AF24" s="710">
        <v>39.29712157</v>
      </c>
      <c r="AH24" s="701" t="s">
        <v>424</v>
      </c>
      <c r="AI24" s="703" t="s">
        <v>451</v>
      </c>
      <c r="AJ24" s="703" t="s">
        <v>420</v>
      </c>
      <c r="AK24" s="703" t="s">
        <v>417</v>
      </c>
      <c r="AL24" s="703" t="s">
        <v>422</v>
      </c>
      <c r="AM24" s="703" t="s">
        <v>423</v>
      </c>
      <c r="AN24" s="704">
        <v>2021.0</v>
      </c>
      <c r="AO24" s="705">
        <v>54412.09733</v>
      </c>
      <c r="AP24" s="705">
        <v>85882.52296</v>
      </c>
      <c r="AQ24" s="706">
        <v>19335.39554</v>
      </c>
      <c r="AS24" s="707" t="s">
        <v>422</v>
      </c>
      <c r="AT24" s="708" t="s">
        <v>420</v>
      </c>
      <c r="AU24" s="708" t="s">
        <v>425</v>
      </c>
      <c r="AV24" s="708" t="s">
        <v>449</v>
      </c>
      <c r="AW24" s="708" t="s">
        <v>419</v>
      </c>
      <c r="AX24" s="708" t="s">
        <v>50</v>
      </c>
      <c r="AY24" s="708" t="s">
        <v>427</v>
      </c>
      <c r="AZ24" s="711" t="s">
        <v>428</v>
      </c>
      <c r="BA24" s="709">
        <v>263.5013517</v>
      </c>
      <c r="BB24" s="709">
        <v>69.5348078</v>
      </c>
      <c r="BC24" s="709">
        <v>520.7062953</v>
      </c>
      <c r="BD24" s="710" t="s">
        <v>429</v>
      </c>
      <c r="BF24" s="707" t="s">
        <v>422</v>
      </c>
      <c r="BG24" s="708" t="s">
        <v>420</v>
      </c>
      <c r="BH24" s="708" t="s">
        <v>425</v>
      </c>
      <c r="BI24" s="708" t="s">
        <v>490</v>
      </c>
      <c r="BJ24" s="708" t="s">
        <v>419</v>
      </c>
      <c r="BK24" s="708" t="s">
        <v>430</v>
      </c>
      <c r="BL24" s="708" t="s">
        <v>427</v>
      </c>
      <c r="BM24" s="711" t="s">
        <v>428</v>
      </c>
      <c r="BN24" s="709">
        <v>385.0839134</v>
      </c>
      <c r="BO24" s="709">
        <v>79.55602231</v>
      </c>
      <c r="BP24" s="709">
        <v>861.9133573</v>
      </c>
      <c r="BQ24" s="710" t="s">
        <v>429</v>
      </c>
      <c r="BS24" s="707" t="s">
        <v>422</v>
      </c>
      <c r="BT24" s="708" t="s">
        <v>420</v>
      </c>
      <c r="BU24" s="708" t="s">
        <v>425</v>
      </c>
      <c r="BV24" s="708" t="s">
        <v>462</v>
      </c>
      <c r="BW24" s="708" t="s">
        <v>424</v>
      </c>
      <c r="BX24" s="708" t="s">
        <v>430</v>
      </c>
      <c r="BY24" s="708" t="s">
        <v>427</v>
      </c>
      <c r="BZ24" s="711" t="s">
        <v>428</v>
      </c>
      <c r="CA24" s="709">
        <v>89416.7</v>
      </c>
      <c r="CB24" s="709">
        <v>28316.075</v>
      </c>
      <c r="CC24" s="709">
        <v>154224.1</v>
      </c>
      <c r="CD24" s="710" t="s">
        <v>429</v>
      </c>
      <c r="CE24" s="460"/>
    </row>
    <row r="25">
      <c r="A25" s="690"/>
      <c r="B25" s="712" t="s">
        <v>415</v>
      </c>
      <c r="C25" s="713" t="s">
        <v>416</v>
      </c>
      <c r="D25" s="714" t="s">
        <v>491</v>
      </c>
      <c r="E25" s="715">
        <v>2021.0</v>
      </c>
      <c r="F25" s="713" t="s">
        <v>418</v>
      </c>
      <c r="G25" s="713" t="s">
        <v>50</v>
      </c>
      <c r="H25" s="716">
        <v>864703.0</v>
      </c>
      <c r="I25" s="716">
        <v>963649.0</v>
      </c>
      <c r="J25" s="717">
        <v>768173.0</v>
      </c>
      <c r="K25" s="695"/>
      <c r="L25" s="707" t="s">
        <v>419</v>
      </c>
      <c r="M25" s="708" t="s">
        <v>444</v>
      </c>
      <c r="N25" s="708" t="s">
        <v>420</v>
      </c>
      <c r="O25" s="708" t="s">
        <v>443</v>
      </c>
      <c r="P25" s="708" t="s">
        <v>422</v>
      </c>
      <c r="Q25" s="708" t="s">
        <v>50</v>
      </c>
      <c r="R25" s="708">
        <v>2021.0</v>
      </c>
      <c r="S25" s="709">
        <v>0.098578494</v>
      </c>
      <c r="T25" s="709">
        <v>0.194929214</v>
      </c>
      <c r="U25" s="710">
        <v>0.057775865</v>
      </c>
      <c r="W25" s="707" t="s">
        <v>419</v>
      </c>
      <c r="X25" s="708" t="s">
        <v>492</v>
      </c>
      <c r="Y25" s="708" t="s">
        <v>420</v>
      </c>
      <c r="Z25" s="708" t="s">
        <v>421</v>
      </c>
      <c r="AA25" s="708" t="s">
        <v>422</v>
      </c>
      <c r="AB25" s="708" t="s">
        <v>423</v>
      </c>
      <c r="AC25" s="708">
        <v>2021.0</v>
      </c>
      <c r="AD25" s="709">
        <v>32.83453413</v>
      </c>
      <c r="AE25" s="709">
        <v>52.02446357</v>
      </c>
      <c r="AF25" s="710">
        <v>20.01139757</v>
      </c>
      <c r="AH25" s="712" t="s">
        <v>424</v>
      </c>
      <c r="AI25" s="714" t="s">
        <v>99</v>
      </c>
      <c r="AJ25" s="714" t="s">
        <v>420</v>
      </c>
      <c r="AK25" s="714" t="s">
        <v>421</v>
      </c>
      <c r="AL25" s="714" t="s">
        <v>422</v>
      </c>
      <c r="AM25" s="714" t="s">
        <v>423</v>
      </c>
      <c r="AN25" s="715">
        <v>2021.0</v>
      </c>
      <c r="AO25" s="716">
        <v>73308.84105</v>
      </c>
      <c r="AP25" s="716">
        <v>126103.7199</v>
      </c>
      <c r="AQ25" s="717">
        <v>27967.1847</v>
      </c>
      <c r="AS25" s="707" t="s">
        <v>422</v>
      </c>
      <c r="AT25" s="708" t="s">
        <v>420</v>
      </c>
      <c r="AU25" s="708" t="s">
        <v>435</v>
      </c>
      <c r="AV25" s="708" t="s">
        <v>449</v>
      </c>
      <c r="AW25" s="708" t="s">
        <v>419</v>
      </c>
      <c r="AX25" s="708" t="s">
        <v>50</v>
      </c>
      <c r="AY25" s="708" t="s">
        <v>427</v>
      </c>
      <c r="AZ25" s="711" t="s">
        <v>428</v>
      </c>
      <c r="BA25" s="709">
        <v>13.39593757</v>
      </c>
      <c r="BB25" s="709">
        <v>2.631174113</v>
      </c>
      <c r="BC25" s="709">
        <v>30.95951975</v>
      </c>
      <c r="BD25" s="710" t="s">
        <v>429</v>
      </c>
      <c r="BF25" s="707" t="s">
        <v>422</v>
      </c>
      <c r="BG25" s="708" t="s">
        <v>420</v>
      </c>
      <c r="BH25" s="708" t="s">
        <v>425</v>
      </c>
      <c r="BI25" s="708" t="s">
        <v>118</v>
      </c>
      <c r="BJ25" s="708" t="s">
        <v>419</v>
      </c>
      <c r="BK25" s="708" t="s">
        <v>430</v>
      </c>
      <c r="BL25" s="708" t="s">
        <v>427</v>
      </c>
      <c r="BM25" s="711" t="s">
        <v>428</v>
      </c>
      <c r="BN25" s="709">
        <v>387.7121125</v>
      </c>
      <c r="BO25" s="709">
        <v>117.7021814</v>
      </c>
      <c r="BP25" s="709">
        <v>825.0255936</v>
      </c>
      <c r="BQ25" s="710" t="s">
        <v>429</v>
      </c>
      <c r="BS25" s="707" t="s">
        <v>422</v>
      </c>
      <c r="BT25" s="708" t="s">
        <v>420</v>
      </c>
      <c r="BU25" s="708" t="s">
        <v>437</v>
      </c>
      <c r="BV25" s="708" t="s">
        <v>462</v>
      </c>
      <c r="BW25" s="708" t="s">
        <v>424</v>
      </c>
      <c r="BX25" s="708" t="s">
        <v>430</v>
      </c>
      <c r="BY25" s="708" t="s">
        <v>427</v>
      </c>
      <c r="BZ25" s="711" t="s">
        <v>428</v>
      </c>
      <c r="CA25" s="709">
        <v>37385.055</v>
      </c>
      <c r="CB25" s="709">
        <v>14427.494</v>
      </c>
      <c r="CC25" s="709">
        <v>88454.21</v>
      </c>
      <c r="CD25" s="710" t="s">
        <v>429</v>
      </c>
      <c r="CE25" s="460"/>
    </row>
    <row r="26">
      <c r="A26" s="690"/>
      <c r="B26" s="701" t="s">
        <v>415</v>
      </c>
      <c r="C26" s="702" t="s">
        <v>416</v>
      </c>
      <c r="D26" s="703" t="s">
        <v>493</v>
      </c>
      <c r="E26" s="704">
        <v>2021.0</v>
      </c>
      <c r="F26" s="702" t="s">
        <v>418</v>
      </c>
      <c r="G26" s="702" t="s">
        <v>50</v>
      </c>
      <c r="H26" s="705">
        <v>2397044.0</v>
      </c>
      <c r="I26" s="705">
        <v>2671334.0</v>
      </c>
      <c r="J26" s="706">
        <v>2129455.0</v>
      </c>
      <c r="K26" s="695"/>
      <c r="L26" s="707" t="s">
        <v>419</v>
      </c>
      <c r="M26" s="708" t="s">
        <v>444</v>
      </c>
      <c r="N26" s="708" t="s">
        <v>420</v>
      </c>
      <c r="O26" s="708" t="s">
        <v>417</v>
      </c>
      <c r="P26" s="708" t="s">
        <v>422</v>
      </c>
      <c r="Q26" s="708" t="s">
        <v>50</v>
      </c>
      <c r="R26" s="708">
        <v>2021.0</v>
      </c>
      <c r="S26" s="709">
        <v>0.014759874</v>
      </c>
      <c r="T26" s="709">
        <v>0.027850718</v>
      </c>
      <c r="U26" s="710">
        <v>0.007770261</v>
      </c>
      <c r="W26" s="707" t="s">
        <v>419</v>
      </c>
      <c r="X26" s="708" t="s">
        <v>494</v>
      </c>
      <c r="Y26" s="708" t="s">
        <v>420</v>
      </c>
      <c r="Z26" s="708" t="s">
        <v>421</v>
      </c>
      <c r="AA26" s="708" t="s">
        <v>422</v>
      </c>
      <c r="AB26" s="708" t="s">
        <v>423</v>
      </c>
      <c r="AC26" s="708">
        <v>2021.0</v>
      </c>
      <c r="AD26" s="709">
        <v>157.6453564</v>
      </c>
      <c r="AE26" s="709">
        <v>255.0262367</v>
      </c>
      <c r="AF26" s="710">
        <v>75.81215199</v>
      </c>
      <c r="AH26" s="701" t="s">
        <v>424</v>
      </c>
      <c r="AI26" s="703" t="s">
        <v>99</v>
      </c>
      <c r="AJ26" s="703" t="s">
        <v>420</v>
      </c>
      <c r="AK26" s="703" t="s">
        <v>434</v>
      </c>
      <c r="AL26" s="703" t="s">
        <v>422</v>
      </c>
      <c r="AM26" s="703" t="s">
        <v>423</v>
      </c>
      <c r="AN26" s="704">
        <v>2021.0</v>
      </c>
      <c r="AO26" s="705">
        <v>30710.08169</v>
      </c>
      <c r="AP26" s="705">
        <v>54765.23848</v>
      </c>
      <c r="AQ26" s="706">
        <v>13765.96478</v>
      </c>
      <c r="AS26" s="707" t="s">
        <v>422</v>
      </c>
      <c r="AT26" s="708" t="s">
        <v>420</v>
      </c>
      <c r="AU26" s="708" t="s">
        <v>441</v>
      </c>
      <c r="AV26" s="708" t="s">
        <v>449</v>
      </c>
      <c r="AW26" s="708" t="s">
        <v>419</v>
      </c>
      <c r="AX26" s="708" t="s">
        <v>50</v>
      </c>
      <c r="AY26" s="708" t="s">
        <v>427</v>
      </c>
      <c r="AZ26" s="711" t="s">
        <v>428</v>
      </c>
      <c r="BA26" s="709">
        <v>88.32319868</v>
      </c>
      <c r="BB26" s="709">
        <v>23.09657692</v>
      </c>
      <c r="BC26" s="709">
        <v>179.9474709</v>
      </c>
      <c r="BD26" s="710" t="s">
        <v>429</v>
      </c>
      <c r="BF26" s="707" t="s">
        <v>422</v>
      </c>
      <c r="BG26" s="708" t="s">
        <v>420</v>
      </c>
      <c r="BH26" s="708" t="s">
        <v>425</v>
      </c>
      <c r="BI26" s="708" t="s">
        <v>119</v>
      </c>
      <c r="BJ26" s="708" t="s">
        <v>419</v>
      </c>
      <c r="BK26" s="708" t="s">
        <v>430</v>
      </c>
      <c r="BL26" s="708" t="s">
        <v>427</v>
      </c>
      <c r="BM26" s="711" t="s">
        <v>428</v>
      </c>
      <c r="BN26" s="709">
        <v>277.0939949</v>
      </c>
      <c r="BO26" s="709">
        <v>107.7463804</v>
      </c>
      <c r="BP26" s="709">
        <v>492.8624703</v>
      </c>
      <c r="BQ26" s="710" t="s">
        <v>429</v>
      </c>
      <c r="BS26" s="707" t="s">
        <v>422</v>
      </c>
      <c r="BT26" s="708" t="s">
        <v>420</v>
      </c>
      <c r="BU26" s="708" t="s">
        <v>425</v>
      </c>
      <c r="BV26" s="708" t="s">
        <v>464</v>
      </c>
      <c r="BW26" s="708" t="s">
        <v>424</v>
      </c>
      <c r="BX26" s="708" t="s">
        <v>430</v>
      </c>
      <c r="BY26" s="708" t="s">
        <v>427</v>
      </c>
      <c r="BZ26" s="711" t="s">
        <v>428</v>
      </c>
      <c r="CA26" s="709">
        <v>71998.08</v>
      </c>
      <c r="CB26" s="709">
        <v>19658.029</v>
      </c>
      <c r="CC26" s="709">
        <v>130843.2</v>
      </c>
      <c r="CD26" s="710" t="s">
        <v>429</v>
      </c>
      <c r="CE26" s="460"/>
    </row>
    <row r="27">
      <c r="A27" s="690"/>
      <c r="B27" s="712" t="s">
        <v>415</v>
      </c>
      <c r="C27" s="713" t="s">
        <v>416</v>
      </c>
      <c r="D27" s="714" t="s">
        <v>434</v>
      </c>
      <c r="E27" s="715">
        <v>2021.0</v>
      </c>
      <c r="F27" s="713" t="s">
        <v>418</v>
      </c>
      <c r="G27" s="713" t="s">
        <v>50</v>
      </c>
      <c r="H27" s="716">
        <v>9612272.0</v>
      </c>
      <c r="I27" s="716">
        <v>1.0712186E7</v>
      </c>
      <c r="J27" s="717">
        <v>8539223.0</v>
      </c>
      <c r="K27" s="695"/>
      <c r="L27" s="707" t="s">
        <v>419</v>
      </c>
      <c r="M27" s="708" t="s">
        <v>444</v>
      </c>
      <c r="N27" s="708" t="s">
        <v>420</v>
      </c>
      <c r="O27" s="708" t="s">
        <v>438</v>
      </c>
      <c r="P27" s="708" t="s">
        <v>422</v>
      </c>
      <c r="Q27" s="708" t="s">
        <v>50</v>
      </c>
      <c r="R27" s="708">
        <v>2021.0</v>
      </c>
      <c r="S27" s="709">
        <v>5.67658E-4</v>
      </c>
      <c r="T27" s="709">
        <v>8.69695E-4</v>
      </c>
      <c r="U27" s="710">
        <v>3.7326E-4</v>
      </c>
      <c r="W27" s="707" t="s">
        <v>419</v>
      </c>
      <c r="X27" s="708" t="s">
        <v>495</v>
      </c>
      <c r="Y27" s="708" t="s">
        <v>420</v>
      </c>
      <c r="Z27" s="708" t="s">
        <v>421</v>
      </c>
      <c r="AA27" s="708" t="s">
        <v>422</v>
      </c>
      <c r="AB27" s="708" t="s">
        <v>423</v>
      </c>
      <c r="AC27" s="708">
        <v>2021.0</v>
      </c>
      <c r="AD27" s="709">
        <v>392.2461086</v>
      </c>
      <c r="AE27" s="709">
        <v>718.8494573</v>
      </c>
      <c r="AF27" s="710">
        <v>170.7040379</v>
      </c>
      <c r="AH27" s="712" t="s">
        <v>424</v>
      </c>
      <c r="AI27" s="714" t="s">
        <v>99</v>
      </c>
      <c r="AJ27" s="714" t="s">
        <v>420</v>
      </c>
      <c r="AK27" s="714" t="s">
        <v>417</v>
      </c>
      <c r="AL27" s="714" t="s">
        <v>422</v>
      </c>
      <c r="AM27" s="714" t="s">
        <v>423</v>
      </c>
      <c r="AN27" s="715">
        <v>2021.0</v>
      </c>
      <c r="AO27" s="716">
        <v>51858.48634</v>
      </c>
      <c r="AP27" s="716">
        <v>89214.06037</v>
      </c>
      <c r="AQ27" s="717">
        <v>19785.82477</v>
      </c>
      <c r="AS27" s="707" t="s">
        <v>422</v>
      </c>
      <c r="AT27" s="708" t="s">
        <v>420</v>
      </c>
      <c r="AU27" s="708" t="s">
        <v>445</v>
      </c>
      <c r="AV27" s="708" t="s">
        <v>449</v>
      </c>
      <c r="AW27" s="708" t="s">
        <v>419</v>
      </c>
      <c r="AX27" s="708" t="s">
        <v>50</v>
      </c>
      <c r="AY27" s="708" t="s">
        <v>427</v>
      </c>
      <c r="AZ27" s="711" t="s">
        <v>428</v>
      </c>
      <c r="BA27" s="709">
        <v>571.7047195</v>
      </c>
      <c r="BB27" s="709">
        <v>142.361994</v>
      </c>
      <c r="BC27" s="709">
        <v>1231.997531</v>
      </c>
      <c r="BD27" s="710" t="s">
        <v>429</v>
      </c>
      <c r="BF27" s="707" t="s">
        <v>422</v>
      </c>
      <c r="BG27" s="708" t="s">
        <v>420</v>
      </c>
      <c r="BH27" s="708" t="s">
        <v>425</v>
      </c>
      <c r="BI27" s="708" t="s">
        <v>496</v>
      </c>
      <c r="BJ27" s="708" t="s">
        <v>419</v>
      </c>
      <c r="BK27" s="708" t="s">
        <v>430</v>
      </c>
      <c r="BL27" s="708" t="s">
        <v>427</v>
      </c>
      <c r="BM27" s="711" t="s">
        <v>428</v>
      </c>
      <c r="BN27" s="709">
        <v>257.1720502</v>
      </c>
      <c r="BO27" s="709">
        <v>110.7029395</v>
      </c>
      <c r="BP27" s="709">
        <v>435.2413785</v>
      </c>
      <c r="BQ27" s="710" t="s">
        <v>429</v>
      </c>
      <c r="BS27" s="707" t="s">
        <v>422</v>
      </c>
      <c r="BT27" s="708" t="s">
        <v>420</v>
      </c>
      <c r="BU27" s="708" t="s">
        <v>437</v>
      </c>
      <c r="BV27" s="708" t="s">
        <v>464</v>
      </c>
      <c r="BW27" s="708" t="s">
        <v>424</v>
      </c>
      <c r="BX27" s="708" t="s">
        <v>430</v>
      </c>
      <c r="BY27" s="708" t="s">
        <v>427</v>
      </c>
      <c r="BZ27" s="711" t="s">
        <v>428</v>
      </c>
      <c r="CA27" s="709">
        <v>30104.026</v>
      </c>
      <c r="CB27" s="709">
        <v>12058.401</v>
      </c>
      <c r="CC27" s="709">
        <v>59363.8</v>
      </c>
      <c r="CD27" s="710" t="s">
        <v>429</v>
      </c>
      <c r="CE27" s="460"/>
    </row>
    <row r="28">
      <c r="A28" s="690"/>
      <c r="B28" s="701" t="s">
        <v>415</v>
      </c>
      <c r="C28" s="702" t="s">
        <v>416</v>
      </c>
      <c r="D28" s="703" t="s">
        <v>497</v>
      </c>
      <c r="E28" s="704">
        <v>2021.0</v>
      </c>
      <c r="F28" s="702" t="s">
        <v>418</v>
      </c>
      <c r="G28" s="702" t="s">
        <v>50</v>
      </c>
      <c r="H28" s="705">
        <v>694763.0</v>
      </c>
      <c r="I28" s="705">
        <v>774263.0</v>
      </c>
      <c r="J28" s="706">
        <v>617204.0</v>
      </c>
      <c r="K28" s="695"/>
      <c r="L28" s="707" t="s">
        <v>419</v>
      </c>
      <c r="M28" s="708" t="s">
        <v>448</v>
      </c>
      <c r="N28" s="708" t="s">
        <v>420</v>
      </c>
      <c r="O28" s="708" t="s">
        <v>421</v>
      </c>
      <c r="P28" s="708" t="s">
        <v>422</v>
      </c>
      <c r="Q28" s="708" t="s">
        <v>50</v>
      </c>
      <c r="R28" s="708">
        <v>2021.0</v>
      </c>
      <c r="S28" s="709">
        <v>3.029290776</v>
      </c>
      <c r="T28" s="709">
        <v>6.5258019</v>
      </c>
      <c r="U28" s="710">
        <v>1.420564133</v>
      </c>
      <c r="W28" s="707" t="s">
        <v>419</v>
      </c>
      <c r="X28" s="708" t="s">
        <v>498</v>
      </c>
      <c r="Y28" s="708" t="s">
        <v>420</v>
      </c>
      <c r="Z28" s="708" t="s">
        <v>421</v>
      </c>
      <c r="AA28" s="708" t="s">
        <v>422</v>
      </c>
      <c r="AB28" s="708" t="s">
        <v>423</v>
      </c>
      <c r="AC28" s="708">
        <v>2021.0</v>
      </c>
      <c r="AD28" s="709">
        <v>102.0070564</v>
      </c>
      <c r="AE28" s="709">
        <v>212.6656948</v>
      </c>
      <c r="AF28" s="710">
        <v>20.63967037</v>
      </c>
      <c r="AH28" s="701" t="s">
        <v>424</v>
      </c>
      <c r="AI28" s="703" t="s">
        <v>455</v>
      </c>
      <c r="AJ28" s="703" t="s">
        <v>420</v>
      </c>
      <c r="AK28" s="703" t="s">
        <v>421</v>
      </c>
      <c r="AL28" s="703" t="s">
        <v>422</v>
      </c>
      <c r="AM28" s="703" t="s">
        <v>423</v>
      </c>
      <c r="AN28" s="704">
        <v>2021.0</v>
      </c>
      <c r="AO28" s="705">
        <v>2.706532679</v>
      </c>
      <c r="AP28" s="705">
        <v>3.189028484</v>
      </c>
      <c r="AQ28" s="706">
        <v>2.240036294</v>
      </c>
      <c r="AS28" s="707" t="s">
        <v>422</v>
      </c>
      <c r="AT28" s="708" t="s">
        <v>420</v>
      </c>
      <c r="AU28" s="708" t="s">
        <v>425</v>
      </c>
      <c r="AV28" s="708" t="s">
        <v>452</v>
      </c>
      <c r="AW28" s="708" t="s">
        <v>419</v>
      </c>
      <c r="AX28" s="708" t="s">
        <v>50</v>
      </c>
      <c r="AY28" s="708" t="s">
        <v>427</v>
      </c>
      <c r="AZ28" s="711" t="s">
        <v>428</v>
      </c>
      <c r="BA28" s="709">
        <v>3842.440097</v>
      </c>
      <c r="BB28" s="709">
        <v>1365.172445</v>
      </c>
      <c r="BC28" s="709">
        <v>8025.306946</v>
      </c>
      <c r="BD28" s="710" t="s">
        <v>429</v>
      </c>
      <c r="BF28" s="707" t="s">
        <v>422</v>
      </c>
      <c r="BG28" s="708" t="s">
        <v>420</v>
      </c>
      <c r="BH28" s="708" t="s">
        <v>425</v>
      </c>
      <c r="BI28" s="708" t="s">
        <v>499</v>
      </c>
      <c r="BJ28" s="708" t="s">
        <v>419</v>
      </c>
      <c r="BK28" s="708" t="s">
        <v>430</v>
      </c>
      <c r="BL28" s="708" t="s">
        <v>427</v>
      </c>
      <c r="BM28" s="711" t="s">
        <v>428</v>
      </c>
      <c r="BN28" s="709">
        <v>268.7202753</v>
      </c>
      <c r="BO28" s="709">
        <v>135.5285893</v>
      </c>
      <c r="BP28" s="709">
        <v>421.6582244</v>
      </c>
      <c r="BQ28" s="710" t="s">
        <v>429</v>
      </c>
      <c r="BS28" s="707" t="s">
        <v>422</v>
      </c>
      <c r="BT28" s="708" t="s">
        <v>420</v>
      </c>
      <c r="BU28" s="708" t="s">
        <v>425</v>
      </c>
      <c r="BV28" s="708" t="s">
        <v>467</v>
      </c>
      <c r="BW28" s="708" t="s">
        <v>424</v>
      </c>
      <c r="BX28" s="708" t="s">
        <v>430</v>
      </c>
      <c r="BY28" s="708" t="s">
        <v>427</v>
      </c>
      <c r="BZ28" s="711" t="s">
        <v>428</v>
      </c>
      <c r="CA28" s="709">
        <v>101968.18</v>
      </c>
      <c r="CB28" s="709">
        <v>40797.186</v>
      </c>
      <c r="CC28" s="709">
        <v>174047.12</v>
      </c>
      <c r="CD28" s="710" t="s">
        <v>429</v>
      </c>
      <c r="CE28" s="460"/>
    </row>
    <row r="29">
      <c r="A29" s="690"/>
      <c r="B29" s="712" t="s">
        <v>415</v>
      </c>
      <c r="C29" s="713" t="s">
        <v>416</v>
      </c>
      <c r="D29" s="714" t="s">
        <v>500</v>
      </c>
      <c r="E29" s="715">
        <v>2021.0</v>
      </c>
      <c r="F29" s="713" t="s">
        <v>418</v>
      </c>
      <c r="G29" s="713" t="s">
        <v>50</v>
      </c>
      <c r="H29" s="716">
        <v>5231671.0</v>
      </c>
      <c r="I29" s="716">
        <v>5830321.0</v>
      </c>
      <c r="J29" s="717">
        <v>4647642.0</v>
      </c>
      <c r="K29" s="695"/>
      <c r="L29" s="707" t="s">
        <v>419</v>
      </c>
      <c r="M29" s="708" t="s">
        <v>448</v>
      </c>
      <c r="N29" s="708" t="s">
        <v>420</v>
      </c>
      <c r="O29" s="708" t="s">
        <v>432</v>
      </c>
      <c r="P29" s="708" t="s">
        <v>422</v>
      </c>
      <c r="Q29" s="708" t="s">
        <v>50</v>
      </c>
      <c r="R29" s="708">
        <v>2021.0</v>
      </c>
      <c r="S29" s="709">
        <v>0.0</v>
      </c>
      <c r="T29" s="709">
        <v>0.0</v>
      </c>
      <c r="U29" s="710">
        <v>0.0</v>
      </c>
      <c r="W29" s="707" t="s">
        <v>419</v>
      </c>
      <c r="X29" s="708" t="s">
        <v>501</v>
      </c>
      <c r="Y29" s="708" t="s">
        <v>420</v>
      </c>
      <c r="Z29" s="708" t="s">
        <v>421</v>
      </c>
      <c r="AA29" s="708" t="s">
        <v>422</v>
      </c>
      <c r="AB29" s="708" t="s">
        <v>423</v>
      </c>
      <c r="AC29" s="708">
        <v>2021.0</v>
      </c>
      <c r="AD29" s="709">
        <v>4.503651116</v>
      </c>
      <c r="AE29" s="709">
        <v>15.35540287</v>
      </c>
      <c r="AF29" s="710">
        <v>0.0</v>
      </c>
      <c r="AH29" s="712" t="s">
        <v>424</v>
      </c>
      <c r="AI29" s="714" t="s">
        <v>455</v>
      </c>
      <c r="AJ29" s="714" t="s">
        <v>420</v>
      </c>
      <c r="AK29" s="714" t="s">
        <v>434</v>
      </c>
      <c r="AL29" s="714" t="s">
        <v>422</v>
      </c>
      <c r="AM29" s="714" t="s">
        <v>423</v>
      </c>
      <c r="AN29" s="715">
        <v>2021.0</v>
      </c>
      <c r="AO29" s="716">
        <v>5.386803422</v>
      </c>
      <c r="AP29" s="716">
        <v>6.343440354</v>
      </c>
      <c r="AQ29" s="717">
        <v>4.461087779</v>
      </c>
      <c r="AS29" s="707" t="s">
        <v>422</v>
      </c>
      <c r="AT29" s="708" t="s">
        <v>420</v>
      </c>
      <c r="AU29" s="708" t="s">
        <v>435</v>
      </c>
      <c r="AV29" s="708" t="s">
        <v>452</v>
      </c>
      <c r="AW29" s="708" t="s">
        <v>419</v>
      </c>
      <c r="AX29" s="708" t="s">
        <v>50</v>
      </c>
      <c r="AY29" s="708" t="s">
        <v>427</v>
      </c>
      <c r="AZ29" s="711" t="s">
        <v>428</v>
      </c>
      <c r="BA29" s="709">
        <v>189.0192565</v>
      </c>
      <c r="BB29" s="709">
        <v>46.44490212</v>
      </c>
      <c r="BC29" s="709">
        <v>506.8276338</v>
      </c>
      <c r="BD29" s="710" t="s">
        <v>429</v>
      </c>
      <c r="BF29" s="707" t="s">
        <v>422</v>
      </c>
      <c r="BG29" s="708" t="s">
        <v>420</v>
      </c>
      <c r="BH29" s="708" t="s">
        <v>425</v>
      </c>
      <c r="BI29" s="708" t="s">
        <v>120</v>
      </c>
      <c r="BJ29" s="708" t="s">
        <v>419</v>
      </c>
      <c r="BK29" s="708" t="s">
        <v>430</v>
      </c>
      <c r="BL29" s="708" t="s">
        <v>427</v>
      </c>
      <c r="BM29" s="711" t="s">
        <v>428</v>
      </c>
      <c r="BN29" s="709">
        <v>229.1483197</v>
      </c>
      <c r="BO29" s="709">
        <v>65.38102228</v>
      </c>
      <c r="BP29" s="709">
        <v>443.9909638</v>
      </c>
      <c r="BQ29" s="710" t="s">
        <v>429</v>
      </c>
      <c r="BS29" s="707" t="s">
        <v>422</v>
      </c>
      <c r="BT29" s="708" t="s">
        <v>420</v>
      </c>
      <c r="BU29" s="708" t="s">
        <v>437</v>
      </c>
      <c r="BV29" s="708" t="s">
        <v>467</v>
      </c>
      <c r="BW29" s="708" t="s">
        <v>424</v>
      </c>
      <c r="BX29" s="708" t="s">
        <v>430</v>
      </c>
      <c r="BY29" s="708" t="s">
        <v>427</v>
      </c>
      <c r="BZ29" s="711" t="s">
        <v>428</v>
      </c>
      <c r="CA29" s="709">
        <v>41727.167</v>
      </c>
      <c r="CB29" s="709">
        <v>20133.139</v>
      </c>
      <c r="CC29" s="709">
        <v>79279.99</v>
      </c>
      <c r="CD29" s="710" t="s">
        <v>429</v>
      </c>
      <c r="CE29" s="460"/>
    </row>
    <row r="30">
      <c r="A30" s="690"/>
      <c r="B30" s="701" t="s">
        <v>415</v>
      </c>
      <c r="C30" s="702" t="s">
        <v>416</v>
      </c>
      <c r="D30" s="703" t="s">
        <v>502</v>
      </c>
      <c r="E30" s="704">
        <v>2021.0</v>
      </c>
      <c r="F30" s="702" t="s">
        <v>418</v>
      </c>
      <c r="G30" s="702" t="s">
        <v>50</v>
      </c>
      <c r="H30" s="705">
        <v>497780.0</v>
      </c>
      <c r="I30" s="705">
        <v>554740.0</v>
      </c>
      <c r="J30" s="706">
        <v>442211.0</v>
      </c>
      <c r="K30" s="695"/>
      <c r="L30" s="707" t="s">
        <v>419</v>
      </c>
      <c r="M30" s="708" t="s">
        <v>448</v>
      </c>
      <c r="N30" s="708" t="s">
        <v>420</v>
      </c>
      <c r="O30" s="708" t="s">
        <v>439</v>
      </c>
      <c r="P30" s="708" t="s">
        <v>422</v>
      </c>
      <c r="Q30" s="708" t="s">
        <v>50</v>
      </c>
      <c r="R30" s="708">
        <v>2021.0</v>
      </c>
      <c r="S30" s="709">
        <v>0.01143801</v>
      </c>
      <c r="T30" s="709">
        <v>0.019367407</v>
      </c>
      <c r="U30" s="710">
        <v>0.004346728</v>
      </c>
      <c r="W30" s="707" t="s">
        <v>419</v>
      </c>
      <c r="X30" s="708" t="s">
        <v>503</v>
      </c>
      <c r="Y30" s="708" t="s">
        <v>420</v>
      </c>
      <c r="Z30" s="708" t="s">
        <v>421</v>
      </c>
      <c r="AA30" s="708" t="s">
        <v>422</v>
      </c>
      <c r="AB30" s="708" t="s">
        <v>423</v>
      </c>
      <c r="AC30" s="708">
        <v>2021.0</v>
      </c>
      <c r="AD30" s="709">
        <v>77.01463156</v>
      </c>
      <c r="AE30" s="709">
        <v>119.4801555</v>
      </c>
      <c r="AF30" s="710">
        <v>45.7917195</v>
      </c>
      <c r="AH30" s="701" t="s">
        <v>424</v>
      </c>
      <c r="AI30" s="703" t="s">
        <v>455</v>
      </c>
      <c r="AJ30" s="703" t="s">
        <v>420</v>
      </c>
      <c r="AK30" s="703" t="s">
        <v>417</v>
      </c>
      <c r="AL30" s="703" t="s">
        <v>422</v>
      </c>
      <c r="AM30" s="703" t="s">
        <v>423</v>
      </c>
      <c r="AN30" s="704">
        <v>2021.0</v>
      </c>
      <c r="AO30" s="705">
        <v>1.562887576</v>
      </c>
      <c r="AP30" s="705">
        <v>1.842207429</v>
      </c>
      <c r="AQ30" s="706">
        <v>1.293005551</v>
      </c>
      <c r="AS30" s="707" t="s">
        <v>422</v>
      </c>
      <c r="AT30" s="708" t="s">
        <v>420</v>
      </c>
      <c r="AU30" s="708" t="s">
        <v>441</v>
      </c>
      <c r="AV30" s="708" t="s">
        <v>452</v>
      </c>
      <c r="AW30" s="708" t="s">
        <v>419</v>
      </c>
      <c r="AX30" s="708" t="s">
        <v>50</v>
      </c>
      <c r="AY30" s="708" t="s">
        <v>427</v>
      </c>
      <c r="AZ30" s="711" t="s">
        <v>428</v>
      </c>
      <c r="BA30" s="709">
        <v>1412.6365</v>
      </c>
      <c r="BB30" s="709">
        <v>463.7001497</v>
      </c>
      <c r="BC30" s="709">
        <v>3287.727424</v>
      </c>
      <c r="BD30" s="710" t="s">
        <v>429</v>
      </c>
      <c r="BF30" s="707" t="s">
        <v>422</v>
      </c>
      <c r="BG30" s="708" t="s">
        <v>420</v>
      </c>
      <c r="BH30" s="708" t="s">
        <v>425</v>
      </c>
      <c r="BI30" s="708" t="s">
        <v>504</v>
      </c>
      <c r="BJ30" s="708" t="s">
        <v>419</v>
      </c>
      <c r="BK30" s="708" t="s">
        <v>430</v>
      </c>
      <c r="BL30" s="708" t="s">
        <v>427</v>
      </c>
      <c r="BM30" s="711" t="s">
        <v>428</v>
      </c>
      <c r="BN30" s="709">
        <v>281.6655849</v>
      </c>
      <c r="BO30" s="709">
        <v>103.0897599</v>
      </c>
      <c r="BP30" s="709">
        <v>575.9607874</v>
      </c>
      <c r="BQ30" s="710" t="s">
        <v>429</v>
      </c>
      <c r="BS30" s="707" t="s">
        <v>422</v>
      </c>
      <c r="BT30" s="708" t="s">
        <v>420</v>
      </c>
      <c r="BU30" s="708" t="s">
        <v>425</v>
      </c>
      <c r="BV30" s="708" t="s">
        <v>470</v>
      </c>
      <c r="BW30" s="708" t="s">
        <v>424</v>
      </c>
      <c r="BX30" s="708" t="s">
        <v>430</v>
      </c>
      <c r="BY30" s="708" t="s">
        <v>427</v>
      </c>
      <c r="BZ30" s="711" t="s">
        <v>428</v>
      </c>
      <c r="CA30" s="709">
        <v>63853.294</v>
      </c>
      <c r="CB30" s="709">
        <v>20614.076</v>
      </c>
      <c r="CC30" s="709">
        <v>130593.74</v>
      </c>
      <c r="CD30" s="710" t="s">
        <v>429</v>
      </c>
      <c r="CE30" s="460"/>
    </row>
    <row r="31">
      <c r="A31" s="690"/>
      <c r="B31" s="712" t="s">
        <v>415</v>
      </c>
      <c r="C31" s="713" t="s">
        <v>416</v>
      </c>
      <c r="D31" s="714" t="s">
        <v>505</v>
      </c>
      <c r="E31" s="715">
        <v>2021.0</v>
      </c>
      <c r="F31" s="713" t="s">
        <v>418</v>
      </c>
      <c r="G31" s="713" t="s">
        <v>50</v>
      </c>
      <c r="H31" s="716">
        <v>571243.0</v>
      </c>
      <c r="I31" s="716">
        <v>636609.0</v>
      </c>
      <c r="J31" s="717">
        <v>507473.0</v>
      </c>
      <c r="K31" s="695"/>
      <c r="L31" s="707" t="s">
        <v>419</v>
      </c>
      <c r="M31" s="708" t="s">
        <v>448</v>
      </c>
      <c r="N31" s="708" t="s">
        <v>420</v>
      </c>
      <c r="O31" s="708" t="s">
        <v>443</v>
      </c>
      <c r="P31" s="708" t="s">
        <v>422</v>
      </c>
      <c r="Q31" s="708" t="s">
        <v>50</v>
      </c>
      <c r="R31" s="708">
        <v>2021.0</v>
      </c>
      <c r="S31" s="709">
        <v>7.77184611</v>
      </c>
      <c r="T31" s="709">
        <v>14.84615065</v>
      </c>
      <c r="U31" s="710">
        <v>3.652540745</v>
      </c>
      <c r="W31" s="707" t="s">
        <v>419</v>
      </c>
      <c r="X31" s="708" t="s">
        <v>506</v>
      </c>
      <c r="Y31" s="708" t="s">
        <v>420</v>
      </c>
      <c r="Z31" s="708" t="s">
        <v>421</v>
      </c>
      <c r="AA31" s="708" t="s">
        <v>422</v>
      </c>
      <c r="AB31" s="708" t="s">
        <v>423</v>
      </c>
      <c r="AC31" s="708">
        <v>2021.0</v>
      </c>
      <c r="AD31" s="709">
        <v>0.0</v>
      </c>
      <c r="AE31" s="709">
        <v>0.0</v>
      </c>
      <c r="AF31" s="710">
        <v>0.0</v>
      </c>
      <c r="AH31" s="712" t="s">
        <v>424</v>
      </c>
      <c r="AI31" s="714" t="s">
        <v>458</v>
      </c>
      <c r="AJ31" s="714" t="s">
        <v>420</v>
      </c>
      <c r="AK31" s="714" t="s">
        <v>421</v>
      </c>
      <c r="AL31" s="714" t="s">
        <v>422</v>
      </c>
      <c r="AM31" s="714" t="s">
        <v>423</v>
      </c>
      <c r="AN31" s="715">
        <v>2021.0</v>
      </c>
      <c r="AO31" s="716">
        <v>63047.49513</v>
      </c>
      <c r="AP31" s="716">
        <v>106593.9175</v>
      </c>
      <c r="AQ31" s="717">
        <v>30079.6314</v>
      </c>
      <c r="AS31" s="707" t="s">
        <v>422</v>
      </c>
      <c r="AT31" s="708" t="s">
        <v>420</v>
      </c>
      <c r="AU31" s="708" t="s">
        <v>445</v>
      </c>
      <c r="AV31" s="708" t="s">
        <v>452</v>
      </c>
      <c r="AW31" s="708" t="s">
        <v>419</v>
      </c>
      <c r="AX31" s="708" t="s">
        <v>50</v>
      </c>
      <c r="AY31" s="708" t="s">
        <v>427</v>
      </c>
      <c r="AZ31" s="711" t="s">
        <v>428</v>
      </c>
      <c r="BA31" s="709">
        <v>7697.572972</v>
      </c>
      <c r="BB31" s="709">
        <v>2492.404959</v>
      </c>
      <c r="BC31" s="709">
        <v>17546.58008</v>
      </c>
      <c r="BD31" s="710" t="s">
        <v>429</v>
      </c>
      <c r="BF31" s="707" t="s">
        <v>422</v>
      </c>
      <c r="BG31" s="708" t="s">
        <v>420</v>
      </c>
      <c r="BH31" s="708" t="s">
        <v>425</v>
      </c>
      <c r="BI31" s="708" t="s">
        <v>507</v>
      </c>
      <c r="BJ31" s="708" t="s">
        <v>419</v>
      </c>
      <c r="BK31" s="708" t="s">
        <v>430</v>
      </c>
      <c r="BL31" s="708" t="s">
        <v>427</v>
      </c>
      <c r="BM31" s="711" t="s">
        <v>428</v>
      </c>
      <c r="BN31" s="709">
        <v>270.5663709</v>
      </c>
      <c r="BO31" s="709">
        <v>127.5304798</v>
      </c>
      <c r="BP31" s="709">
        <v>467.3151412</v>
      </c>
      <c r="BQ31" s="710" t="s">
        <v>429</v>
      </c>
      <c r="BS31" s="707" t="s">
        <v>422</v>
      </c>
      <c r="BT31" s="708" t="s">
        <v>420</v>
      </c>
      <c r="BU31" s="708" t="s">
        <v>437</v>
      </c>
      <c r="BV31" s="708" t="s">
        <v>470</v>
      </c>
      <c r="BW31" s="708" t="s">
        <v>424</v>
      </c>
      <c r="BX31" s="708" t="s">
        <v>430</v>
      </c>
      <c r="BY31" s="708" t="s">
        <v>427</v>
      </c>
      <c r="BZ31" s="711" t="s">
        <v>428</v>
      </c>
      <c r="CA31" s="709">
        <v>27623.388</v>
      </c>
      <c r="CB31" s="709">
        <v>10539.623</v>
      </c>
      <c r="CC31" s="709">
        <v>60809.22</v>
      </c>
      <c r="CD31" s="710" t="s">
        <v>429</v>
      </c>
      <c r="CE31" s="460"/>
    </row>
    <row r="32">
      <c r="A32" s="690"/>
      <c r="B32" s="701" t="s">
        <v>415</v>
      </c>
      <c r="C32" s="702" t="s">
        <v>416</v>
      </c>
      <c r="D32" s="703" t="s">
        <v>508</v>
      </c>
      <c r="E32" s="704">
        <v>2021.0</v>
      </c>
      <c r="F32" s="702" t="s">
        <v>418</v>
      </c>
      <c r="G32" s="702" t="s">
        <v>50</v>
      </c>
      <c r="H32" s="705">
        <v>339799.0</v>
      </c>
      <c r="I32" s="705">
        <v>378682.0</v>
      </c>
      <c r="J32" s="706">
        <v>301866.0</v>
      </c>
      <c r="K32" s="695"/>
      <c r="L32" s="707" t="s">
        <v>419</v>
      </c>
      <c r="M32" s="708" t="s">
        <v>448</v>
      </c>
      <c r="N32" s="708" t="s">
        <v>420</v>
      </c>
      <c r="O32" s="708" t="s">
        <v>417</v>
      </c>
      <c r="P32" s="708" t="s">
        <v>422</v>
      </c>
      <c r="Q32" s="708" t="s">
        <v>50</v>
      </c>
      <c r="R32" s="708">
        <v>2021.0</v>
      </c>
      <c r="S32" s="709">
        <v>0.307939735</v>
      </c>
      <c r="T32" s="709">
        <v>0.542543334</v>
      </c>
      <c r="U32" s="710">
        <v>0.106363374</v>
      </c>
      <c r="W32" s="707" t="s">
        <v>419</v>
      </c>
      <c r="X32" s="708" t="s">
        <v>509</v>
      </c>
      <c r="Y32" s="708" t="s">
        <v>420</v>
      </c>
      <c r="Z32" s="708" t="s">
        <v>421</v>
      </c>
      <c r="AA32" s="708" t="s">
        <v>422</v>
      </c>
      <c r="AB32" s="708" t="s">
        <v>423</v>
      </c>
      <c r="AC32" s="708">
        <v>2021.0</v>
      </c>
      <c r="AD32" s="709">
        <v>336.0657018</v>
      </c>
      <c r="AE32" s="709">
        <v>609.6929959</v>
      </c>
      <c r="AF32" s="710">
        <v>110.8834852</v>
      </c>
      <c r="AH32" s="701" t="s">
        <v>424</v>
      </c>
      <c r="AI32" s="703" t="s">
        <v>458</v>
      </c>
      <c r="AJ32" s="703" t="s">
        <v>420</v>
      </c>
      <c r="AK32" s="703" t="s">
        <v>434</v>
      </c>
      <c r="AL32" s="703" t="s">
        <v>422</v>
      </c>
      <c r="AM32" s="703" t="s">
        <v>423</v>
      </c>
      <c r="AN32" s="704">
        <v>2021.0</v>
      </c>
      <c r="AO32" s="705">
        <v>27169.18566</v>
      </c>
      <c r="AP32" s="705">
        <v>52540.26608</v>
      </c>
      <c r="AQ32" s="706">
        <v>14571.38359</v>
      </c>
      <c r="AS32" s="707" t="s">
        <v>422</v>
      </c>
      <c r="AT32" s="708" t="s">
        <v>420</v>
      </c>
      <c r="AU32" s="708" t="s">
        <v>425</v>
      </c>
      <c r="AV32" s="708" t="s">
        <v>116</v>
      </c>
      <c r="AW32" s="708" t="s">
        <v>419</v>
      </c>
      <c r="AX32" s="708" t="s">
        <v>50</v>
      </c>
      <c r="AY32" s="708" t="s">
        <v>427</v>
      </c>
      <c r="AZ32" s="711" t="s">
        <v>428</v>
      </c>
      <c r="BA32" s="709">
        <v>1946.768516</v>
      </c>
      <c r="BB32" s="709">
        <v>457.0719536</v>
      </c>
      <c r="BC32" s="709">
        <v>4318.920681</v>
      </c>
      <c r="BD32" s="710" t="s">
        <v>429</v>
      </c>
      <c r="BF32" s="707" t="s">
        <v>422</v>
      </c>
      <c r="BG32" s="708" t="s">
        <v>420</v>
      </c>
      <c r="BH32" s="708" t="s">
        <v>425</v>
      </c>
      <c r="BI32" s="708" t="s">
        <v>510</v>
      </c>
      <c r="BJ32" s="708" t="s">
        <v>419</v>
      </c>
      <c r="BK32" s="708" t="s">
        <v>430</v>
      </c>
      <c r="BL32" s="708" t="s">
        <v>427</v>
      </c>
      <c r="BM32" s="711" t="s">
        <v>428</v>
      </c>
      <c r="BN32" s="709">
        <v>343.0091689</v>
      </c>
      <c r="BO32" s="709">
        <v>163.5369236</v>
      </c>
      <c r="BP32" s="709">
        <v>586.5583321</v>
      </c>
      <c r="BQ32" s="710" t="s">
        <v>429</v>
      </c>
      <c r="BS32" s="707" t="s">
        <v>422</v>
      </c>
      <c r="BT32" s="708" t="s">
        <v>420</v>
      </c>
      <c r="BU32" s="708" t="s">
        <v>425</v>
      </c>
      <c r="BV32" s="708" t="s">
        <v>117</v>
      </c>
      <c r="BW32" s="708" t="s">
        <v>424</v>
      </c>
      <c r="BX32" s="708" t="s">
        <v>430</v>
      </c>
      <c r="BY32" s="708" t="s">
        <v>427</v>
      </c>
      <c r="BZ32" s="711" t="s">
        <v>428</v>
      </c>
      <c r="CA32" s="709">
        <v>77203.83</v>
      </c>
      <c r="CB32" s="709">
        <v>19750.99</v>
      </c>
      <c r="CC32" s="709">
        <v>152563.99</v>
      </c>
      <c r="CD32" s="710" t="s">
        <v>429</v>
      </c>
      <c r="CE32" s="460"/>
    </row>
    <row r="33">
      <c r="A33" s="690"/>
      <c r="B33" s="712" t="s">
        <v>415</v>
      </c>
      <c r="C33" s="713" t="s">
        <v>416</v>
      </c>
      <c r="D33" s="714" t="s">
        <v>511</v>
      </c>
      <c r="E33" s="715">
        <v>2021.0</v>
      </c>
      <c r="F33" s="713" t="s">
        <v>418</v>
      </c>
      <c r="G33" s="713" t="s">
        <v>50</v>
      </c>
      <c r="H33" s="716">
        <v>401289.0</v>
      </c>
      <c r="I33" s="716">
        <v>447207.0</v>
      </c>
      <c r="J33" s="717">
        <v>356491.0</v>
      </c>
      <c r="K33" s="695"/>
      <c r="L33" s="707" t="s">
        <v>419</v>
      </c>
      <c r="M33" s="708" t="s">
        <v>448</v>
      </c>
      <c r="N33" s="708" t="s">
        <v>420</v>
      </c>
      <c r="O33" s="708" t="s">
        <v>438</v>
      </c>
      <c r="P33" s="708" t="s">
        <v>422</v>
      </c>
      <c r="Q33" s="708" t="s">
        <v>50</v>
      </c>
      <c r="R33" s="708">
        <v>2021.0</v>
      </c>
      <c r="S33" s="709">
        <v>0.01143801</v>
      </c>
      <c r="T33" s="709">
        <v>0.019367407</v>
      </c>
      <c r="U33" s="710">
        <v>0.004346728</v>
      </c>
      <c r="W33" s="707" t="s">
        <v>419</v>
      </c>
      <c r="X33" s="708" t="s">
        <v>512</v>
      </c>
      <c r="Y33" s="708" t="s">
        <v>420</v>
      </c>
      <c r="Z33" s="708" t="s">
        <v>421</v>
      </c>
      <c r="AA33" s="708" t="s">
        <v>422</v>
      </c>
      <c r="AB33" s="708" t="s">
        <v>423</v>
      </c>
      <c r="AC33" s="708">
        <v>2021.0</v>
      </c>
      <c r="AD33" s="709">
        <v>84.03160641</v>
      </c>
      <c r="AE33" s="709">
        <v>183.2291073</v>
      </c>
      <c r="AF33" s="710">
        <v>18.68571475</v>
      </c>
      <c r="AH33" s="712" t="s">
        <v>424</v>
      </c>
      <c r="AI33" s="714" t="s">
        <v>458</v>
      </c>
      <c r="AJ33" s="714" t="s">
        <v>420</v>
      </c>
      <c r="AK33" s="714" t="s">
        <v>417</v>
      </c>
      <c r="AL33" s="714" t="s">
        <v>422</v>
      </c>
      <c r="AM33" s="714" t="s">
        <v>423</v>
      </c>
      <c r="AN33" s="715">
        <v>2021.0</v>
      </c>
      <c r="AO33" s="716">
        <v>44531.07487</v>
      </c>
      <c r="AP33" s="716">
        <v>75295.96212</v>
      </c>
      <c r="AQ33" s="717">
        <v>21247.69256</v>
      </c>
      <c r="AS33" s="707" t="s">
        <v>422</v>
      </c>
      <c r="AT33" s="708" t="s">
        <v>420</v>
      </c>
      <c r="AU33" s="708" t="s">
        <v>435</v>
      </c>
      <c r="AV33" s="708" t="s">
        <v>116</v>
      </c>
      <c r="AW33" s="708" t="s">
        <v>419</v>
      </c>
      <c r="AX33" s="708" t="s">
        <v>50</v>
      </c>
      <c r="AY33" s="708" t="s">
        <v>427</v>
      </c>
      <c r="AZ33" s="711" t="s">
        <v>428</v>
      </c>
      <c r="BA33" s="709">
        <v>95.61855998</v>
      </c>
      <c r="BB33" s="709">
        <v>16.50742325</v>
      </c>
      <c r="BC33" s="709">
        <v>271.1002164</v>
      </c>
      <c r="BD33" s="710" t="s">
        <v>429</v>
      </c>
      <c r="BF33" s="707" t="s">
        <v>422</v>
      </c>
      <c r="BG33" s="708" t="s">
        <v>420</v>
      </c>
      <c r="BH33" s="708" t="s">
        <v>425</v>
      </c>
      <c r="BI33" s="708" t="s">
        <v>513</v>
      </c>
      <c r="BJ33" s="708" t="s">
        <v>419</v>
      </c>
      <c r="BK33" s="708" t="s">
        <v>430</v>
      </c>
      <c r="BL33" s="708" t="s">
        <v>427</v>
      </c>
      <c r="BM33" s="711" t="s">
        <v>428</v>
      </c>
      <c r="BN33" s="709">
        <v>259.3885194</v>
      </c>
      <c r="BO33" s="709">
        <v>133.9205772</v>
      </c>
      <c r="BP33" s="709">
        <v>400.0820532</v>
      </c>
      <c r="BQ33" s="710" t="s">
        <v>429</v>
      </c>
      <c r="BS33" s="707" t="s">
        <v>422</v>
      </c>
      <c r="BT33" s="708" t="s">
        <v>420</v>
      </c>
      <c r="BU33" s="708" t="s">
        <v>437</v>
      </c>
      <c r="BV33" s="708" t="s">
        <v>117</v>
      </c>
      <c r="BW33" s="708" t="s">
        <v>424</v>
      </c>
      <c r="BX33" s="708" t="s">
        <v>430</v>
      </c>
      <c r="BY33" s="708" t="s">
        <v>427</v>
      </c>
      <c r="BZ33" s="711" t="s">
        <v>428</v>
      </c>
      <c r="CA33" s="709">
        <v>32687.145</v>
      </c>
      <c r="CB33" s="709">
        <v>11643.523</v>
      </c>
      <c r="CC33" s="709">
        <v>71366.81</v>
      </c>
      <c r="CD33" s="710" t="s">
        <v>429</v>
      </c>
      <c r="CE33" s="460"/>
    </row>
    <row r="34">
      <c r="A34" s="690"/>
      <c r="B34" s="701" t="s">
        <v>415</v>
      </c>
      <c r="C34" s="702" t="s">
        <v>416</v>
      </c>
      <c r="D34" s="703" t="s">
        <v>514</v>
      </c>
      <c r="E34" s="704">
        <v>2021.0</v>
      </c>
      <c r="F34" s="702" t="s">
        <v>418</v>
      </c>
      <c r="G34" s="702" t="s">
        <v>50</v>
      </c>
      <c r="H34" s="705">
        <v>200126.0</v>
      </c>
      <c r="I34" s="705">
        <v>223026.0</v>
      </c>
      <c r="J34" s="706">
        <v>177785.0</v>
      </c>
      <c r="K34" s="695"/>
      <c r="L34" s="707" t="s">
        <v>419</v>
      </c>
      <c r="M34" s="708" t="s">
        <v>97</v>
      </c>
      <c r="N34" s="708" t="s">
        <v>420</v>
      </c>
      <c r="O34" s="708" t="s">
        <v>421</v>
      </c>
      <c r="P34" s="708" t="s">
        <v>422</v>
      </c>
      <c r="Q34" s="708" t="s">
        <v>50</v>
      </c>
      <c r="R34" s="708">
        <v>2021.0</v>
      </c>
      <c r="S34" s="709">
        <v>20807.14656</v>
      </c>
      <c r="T34" s="709">
        <v>34646.70886</v>
      </c>
      <c r="U34" s="710">
        <v>9838.314394</v>
      </c>
      <c r="W34" s="718" t="s">
        <v>419</v>
      </c>
      <c r="X34" s="719" t="s">
        <v>515</v>
      </c>
      <c r="Y34" s="719" t="s">
        <v>420</v>
      </c>
      <c r="Z34" s="719" t="s">
        <v>421</v>
      </c>
      <c r="AA34" s="719" t="s">
        <v>422</v>
      </c>
      <c r="AB34" s="719" t="s">
        <v>423</v>
      </c>
      <c r="AC34" s="720">
        <v>2021.0</v>
      </c>
      <c r="AD34" s="721">
        <v>166.3818337</v>
      </c>
      <c r="AE34" s="721">
        <v>316.2633709</v>
      </c>
      <c r="AF34" s="722">
        <v>65.59495192</v>
      </c>
      <c r="AH34" s="701" t="s">
        <v>424</v>
      </c>
      <c r="AI34" s="703" t="s">
        <v>461</v>
      </c>
      <c r="AJ34" s="703" t="s">
        <v>420</v>
      </c>
      <c r="AK34" s="703" t="s">
        <v>421</v>
      </c>
      <c r="AL34" s="703" t="s">
        <v>422</v>
      </c>
      <c r="AM34" s="703" t="s">
        <v>423</v>
      </c>
      <c r="AN34" s="704">
        <v>2021.0</v>
      </c>
      <c r="AO34" s="705">
        <v>84569.32231</v>
      </c>
      <c r="AP34" s="705">
        <v>136138.5793</v>
      </c>
      <c r="AQ34" s="706">
        <v>30041.3696</v>
      </c>
      <c r="AS34" s="707" t="s">
        <v>422</v>
      </c>
      <c r="AT34" s="708" t="s">
        <v>420</v>
      </c>
      <c r="AU34" s="708" t="s">
        <v>441</v>
      </c>
      <c r="AV34" s="708" t="s">
        <v>116</v>
      </c>
      <c r="AW34" s="708" t="s">
        <v>419</v>
      </c>
      <c r="AX34" s="708" t="s">
        <v>50</v>
      </c>
      <c r="AY34" s="708" t="s">
        <v>427</v>
      </c>
      <c r="AZ34" s="711" t="s">
        <v>428</v>
      </c>
      <c r="BA34" s="709">
        <v>579.8918146</v>
      </c>
      <c r="BB34" s="709">
        <v>114.988956</v>
      </c>
      <c r="BC34" s="709">
        <v>1450.88041</v>
      </c>
      <c r="BD34" s="710" t="s">
        <v>429</v>
      </c>
      <c r="BF34" s="707" t="s">
        <v>422</v>
      </c>
      <c r="BG34" s="708" t="s">
        <v>420</v>
      </c>
      <c r="BH34" s="708" t="s">
        <v>425</v>
      </c>
      <c r="BI34" s="708" t="s">
        <v>121</v>
      </c>
      <c r="BJ34" s="708" t="s">
        <v>419</v>
      </c>
      <c r="BK34" s="708" t="s">
        <v>430</v>
      </c>
      <c r="BL34" s="708" t="s">
        <v>427</v>
      </c>
      <c r="BM34" s="711" t="s">
        <v>428</v>
      </c>
      <c r="BN34" s="709">
        <v>272.0057684</v>
      </c>
      <c r="BO34" s="709">
        <v>143.1375456</v>
      </c>
      <c r="BP34" s="709">
        <v>438.3180906</v>
      </c>
      <c r="BQ34" s="710" t="s">
        <v>429</v>
      </c>
      <c r="BS34" s="707" t="s">
        <v>422</v>
      </c>
      <c r="BT34" s="708" t="s">
        <v>420</v>
      </c>
      <c r="BU34" s="708" t="s">
        <v>425</v>
      </c>
      <c r="BV34" s="708" t="s">
        <v>475</v>
      </c>
      <c r="BW34" s="708" t="s">
        <v>424</v>
      </c>
      <c r="BX34" s="708" t="s">
        <v>430</v>
      </c>
      <c r="BY34" s="708" t="s">
        <v>427</v>
      </c>
      <c r="BZ34" s="711" t="s">
        <v>428</v>
      </c>
      <c r="CA34" s="709">
        <v>85850.257</v>
      </c>
      <c r="CB34" s="709">
        <v>32740.71</v>
      </c>
      <c r="CC34" s="709">
        <v>140848.14</v>
      </c>
      <c r="CD34" s="710" t="s">
        <v>429</v>
      </c>
      <c r="CE34" s="460"/>
    </row>
    <row r="35">
      <c r="A35" s="690"/>
      <c r="B35" s="712" t="s">
        <v>415</v>
      </c>
      <c r="C35" s="713" t="s">
        <v>416</v>
      </c>
      <c r="D35" s="714" t="s">
        <v>439</v>
      </c>
      <c r="E35" s="715">
        <v>2021.0</v>
      </c>
      <c r="F35" s="713" t="s">
        <v>418</v>
      </c>
      <c r="G35" s="713" t="s">
        <v>50</v>
      </c>
      <c r="H35" s="716">
        <v>68124.0</v>
      </c>
      <c r="I35" s="716">
        <v>75919.0</v>
      </c>
      <c r="J35" s="717">
        <v>60519.0</v>
      </c>
      <c r="K35" s="695"/>
      <c r="L35" s="707" t="s">
        <v>419</v>
      </c>
      <c r="M35" s="708" t="s">
        <v>97</v>
      </c>
      <c r="N35" s="708" t="s">
        <v>420</v>
      </c>
      <c r="O35" s="708" t="s">
        <v>432</v>
      </c>
      <c r="P35" s="708" t="s">
        <v>422</v>
      </c>
      <c r="Q35" s="708" t="s">
        <v>50</v>
      </c>
      <c r="R35" s="708">
        <v>2021.0</v>
      </c>
      <c r="S35" s="709">
        <v>0.0</v>
      </c>
      <c r="T35" s="709">
        <v>0.0</v>
      </c>
      <c r="U35" s="710">
        <v>0.0</v>
      </c>
      <c r="W35" s="707" t="s">
        <v>419</v>
      </c>
      <c r="X35" s="708" t="s">
        <v>516</v>
      </c>
      <c r="Y35" s="708" t="s">
        <v>420</v>
      </c>
      <c r="Z35" s="708" t="s">
        <v>421</v>
      </c>
      <c r="AA35" s="708" t="s">
        <v>422</v>
      </c>
      <c r="AB35" s="708" t="s">
        <v>423</v>
      </c>
      <c r="AC35" s="708">
        <v>2021.0</v>
      </c>
      <c r="AD35" s="709">
        <v>370.0905565</v>
      </c>
      <c r="AE35" s="709">
        <v>719.9826005</v>
      </c>
      <c r="AF35" s="710">
        <v>174.2803703</v>
      </c>
      <c r="AH35" s="712" t="s">
        <v>424</v>
      </c>
      <c r="AI35" s="714" t="s">
        <v>461</v>
      </c>
      <c r="AJ35" s="714" t="s">
        <v>420</v>
      </c>
      <c r="AK35" s="714" t="s">
        <v>434</v>
      </c>
      <c r="AL35" s="714" t="s">
        <v>422</v>
      </c>
      <c r="AM35" s="714" t="s">
        <v>423</v>
      </c>
      <c r="AN35" s="715">
        <v>2021.0</v>
      </c>
      <c r="AO35" s="716">
        <v>34991.97296</v>
      </c>
      <c r="AP35" s="716">
        <v>70932.9998</v>
      </c>
      <c r="AQ35" s="717">
        <v>16225.09695</v>
      </c>
      <c r="AS35" s="707" t="s">
        <v>422</v>
      </c>
      <c r="AT35" s="708" t="s">
        <v>420</v>
      </c>
      <c r="AU35" s="708" t="s">
        <v>445</v>
      </c>
      <c r="AV35" s="708" t="s">
        <v>116</v>
      </c>
      <c r="AW35" s="708" t="s">
        <v>419</v>
      </c>
      <c r="AX35" s="708" t="s">
        <v>50</v>
      </c>
      <c r="AY35" s="708" t="s">
        <v>427</v>
      </c>
      <c r="AZ35" s="711" t="s">
        <v>428</v>
      </c>
      <c r="BA35" s="709">
        <v>3790.634534</v>
      </c>
      <c r="BB35" s="709">
        <v>789.1442943</v>
      </c>
      <c r="BC35" s="709">
        <v>8632.8122</v>
      </c>
      <c r="BD35" s="710" t="s">
        <v>429</v>
      </c>
      <c r="BF35" s="707" t="s">
        <v>422</v>
      </c>
      <c r="BG35" s="708" t="s">
        <v>420</v>
      </c>
      <c r="BH35" s="708" t="s">
        <v>425</v>
      </c>
      <c r="BI35" s="708" t="s">
        <v>122</v>
      </c>
      <c r="BJ35" s="708" t="s">
        <v>419</v>
      </c>
      <c r="BK35" s="708" t="s">
        <v>430</v>
      </c>
      <c r="BL35" s="708" t="s">
        <v>427</v>
      </c>
      <c r="BM35" s="711" t="s">
        <v>428</v>
      </c>
      <c r="BN35" s="709">
        <v>246.1656505</v>
      </c>
      <c r="BO35" s="709">
        <v>98.583782</v>
      </c>
      <c r="BP35" s="709">
        <v>477.0239228</v>
      </c>
      <c r="BQ35" s="710" t="s">
        <v>429</v>
      </c>
      <c r="BS35" s="707" t="s">
        <v>422</v>
      </c>
      <c r="BT35" s="708" t="s">
        <v>420</v>
      </c>
      <c r="BU35" s="708" t="s">
        <v>437</v>
      </c>
      <c r="BV35" s="708" t="s">
        <v>475</v>
      </c>
      <c r="BW35" s="708" t="s">
        <v>424</v>
      </c>
      <c r="BX35" s="708" t="s">
        <v>430</v>
      </c>
      <c r="BY35" s="708" t="s">
        <v>427</v>
      </c>
      <c r="BZ35" s="711" t="s">
        <v>428</v>
      </c>
      <c r="CA35" s="709">
        <v>36306.152</v>
      </c>
      <c r="CB35" s="709">
        <v>19037.075</v>
      </c>
      <c r="CC35" s="709">
        <v>72742.933</v>
      </c>
      <c r="CD35" s="710" t="s">
        <v>429</v>
      </c>
      <c r="CE35" s="460"/>
    </row>
    <row r="36">
      <c r="A36" s="690"/>
      <c r="B36" s="701" t="s">
        <v>415</v>
      </c>
      <c r="C36" s="702" t="s">
        <v>416</v>
      </c>
      <c r="D36" s="703" t="s">
        <v>517</v>
      </c>
      <c r="E36" s="704">
        <v>2021.0</v>
      </c>
      <c r="F36" s="702" t="s">
        <v>418</v>
      </c>
      <c r="G36" s="702" t="s">
        <v>50</v>
      </c>
      <c r="H36" s="705">
        <v>116785.0</v>
      </c>
      <c r="I36" s="705">
        <v>130148.0</v>
      </c>
      <c r="J36" s="706">
        <v>103748.0</v>
      </c>
      <c r="K36" s="695"/>
      <c r="L36" s="707" t="s">
        <v>419</v>
      </c>
      <c r="M36" s="708" t="s">
        <v>97</v>
      </c>
      <c r="N36" s="708" t="s">
        <v>420</v>
      </c>
      <c r="O36" s="708" t="s">
        <v>439</v>
      </c>
      <c r="P36" s="708" t="s">
        <v>422</v>
      </c>
      <c r="Q36" s="708" t="s">
        <v>50</v>
      </c>
      <c r="R36" s="708">
        <v>2021.0</v>
      </c>
      <c r="S36" s="709">
        <v>948.4930113</v>
      </c>
      <c r="T36" s="709">
        <v>1895.917709</v>
      </c>
      <c r="U36" s="710">
        <v>379.8567722</v>
      </c>
      <c r="W36" s="707" t="s">
        <v>419</v>
      </c>
      <c r="X36" s="708" t="s">
        <v>518</v>
      </c>
      <c r="Y36" s="708" t="s">
        <v>420</v>
      </c>
      <c r="Z36" s="708" t="s">
        <v>421</v>
      </c>
      <c r="AA36" s="708" t="s">
        <v>422</v>
      </c>
      <c r="AB36" s="708" t="s">
        <v>423</v>
      </c>
      <c r="AC36" s="708">
        <v>2021.0</v>
      </c>
      <c r="AD36" s="709">
        <v>22.07260082</v>
      </c>
      <c r="AE36" s="709">
        <v>47.40422903</v>
      </c>
      <c r="AF36" s="710">
        <v>3.205748559</v>
      </c>
      <c r="AH36" s="701" t="s">
        <v>424</v>
      </c>
      <c r="AI36" s="703" t="s">
        <v>461</v>
      </c>
      <c r="AJ36" s="703" t="s">
        <v>420</v>
      </c>
      <c r="AK36" s="703" t="s">
        <v>417</v>
      </c>
      <c r="AL36" s="703" t="s">
        <v>422</v>
      </c>
      <c r="AM36" s="703" t="s">
        <v>423</v>
      </c>
      <c r="AN36" s="704">
        <v>2021.0</v>
      </c>
      <c r="AO36" s="705">
        <v>59856.04692</v>
      </c>
      <c r="AP36" s="705">
        <v>96364.15782</v>
      </c>
      <c r="AQ36" s="706">
        <v>21264.44454</v>
      </c>
      <c r="AS36" s="707" t="s">
        <v>422</v>
      </c>
      <c r="AT36" s="708" t="s">
        <v>420</v>
      </c>
      <c r="AU36" s="708" t="s">
        <v>425</v>
      </c>
      <c r="AV36" s="708" t="s">
        <v>456</v>
      </c>
      <c r="AW36" s="708" t="s">
        <v>419</v>
      </c>
      <c r="AX36" s="708" t="s">
        <v>50</v>
      </c>
      <c r="AY36" s="708" t="s">
        <v>427</v>
      </c>
      <c r="AZ36" s="711" t="s">
        <v>428</v>
      </c>
      <c r="BA36" s="709">
        <v>882.6211636</v>
      </c>
      <c r="BB36" s="709">
        <v>364.2464887</v>
      </c>
      <c r="BC36" s="709">
        <v>1565.876741</v>
      </c>
      <c r="BD36" s="710" t="s">
        <v>429</v>
      </c>
      <c r="BF36" s="707" t="s">
        <v>422</v>
      </c>
      <c r="BG36" s="708" t="s">
        <v>420</v>
      </c>
      <c r="BH36" s="708" t="s">
        <v>425</v>
      </c>
      <c r="BI36" s="708" t="s">
        <v>519</v>
      </c>
      <c r="BJ36" s="708" t="s">
        <v>419</v>
      </c>
      <c r="BK36" s="708" t="s">
        <v>430</v>
      </c>
      <c r="BL36" s="708" t="s">
        <v>427</v>
      </c>
      <c r="BM36" s="711" t="s">
        <v>428</v>
      </c>
      <c r="BN36" s="709">
        <v>349.0819727</v>
      </c>
      <c r="BO36" s="709">
        <v>111.1915038</v>
      </c>
      <c r="BP36" s="709">
        <v>600.310027</v>
      </c>
      <c r="BQ36" s="710" t="s">
        <v>429</v>
      </c>
      <c r="BS36" s="707" t="s">
        <v>422</v>
      </c>
      <c r="BT36" s="708" t="s">
        <v>420</v>
      </c>
      <c r="BU36" s="708" t="s">
        <v>425</v>
      </c>
      <c r="BV36" s="708" t="s">
        <v>478</v>
      </c>
      <c r="BW36" s="708" t="s">
        <v>424</v>
      </c>
      <c r="BX36" s="708" t="s">
        <v>430</v>
      </c>
      <c r="BY36" s="708" t="s">
        <v>427</v>
      </c>
      <c r="BZ36" s="711" t="s">
        <v>428</v>
      </c>
      <c r="CA36" s="709">
        <v>79632.4</v>
      </c>
      <c r="CB36" s="709">
        <v>23356.107</v>
      </c>
      <c r="CC36" s="709">
        <v>141774.27</v>
      </c>
      <c r="CD36" s="710" t="s">
        <v>429</v>
      </c>
      <c r="CE36" s="460"/>
    </row>
    <row r="37">
      <c r="A37" s="690"/>
      <c r="B37" s="712" t="s">
        <v>415</v>
      </c>
      <c r="C37" s="713" t="s">
        <v>416</v>
      </c>
      <c r="D37" s="714" t="s">
        <v>520</v>
      </c>
      <c r="E37" s="715">
        <v>2021.0</v>
      </c>
      <c r="F37" s="713" t="s">
        <v>418</v>
      </c>
      <c r="G37" s="713" t="s">
        <v>50</v>
      </c>
      <c r="H37" s="716">
        <v>84378.0</v>
      </c>
      <c r="I37" s="716">
        <v>94033.0</v>
      </c>
      <c r="J37" s="717">
        <v>74959.0</v>
      </c>
      <c r="K37" s="695"/>
      <c r="L37" s="707" t="s">
        <v>419</v>
      </c>
      <c r="M37" s="708" t="s">
        <v>97</v>
      </c>
      <c r="N37" s="708" t="s">
        <v>420</v>
      </c>
      <c r="O37" s="708" t="s">
        <v>443</v>
      </c>
      <c r="P37" s="708" t="s">
        <v>422</v>
      </c>
      <c r="Q37" s="708" t="s">
        <v>50</v>
      </c>
      <c r="R37" s="708">
        <v>2021.0</v>
      </c>
      <c r="S37" s="709">
        <v>35962.56024</v>
      </c>
      <c r="T37" s="709">
        <v>64139.23697</v>
      </c>
      <c r="U37" s="710">
        <v>16365.36576</v>
      </c>
      <c r="W37" s="707" t="s">
        <v>419</v>
      </c>
      <c r="X37" s="708" t="s">
        <v>101</v>
      </c>
      <c r="Y37" s="708" t="s">
        <v>420</v>
      </c>
      <c r="Z37" s="708" t="s">
        <v>421</v>
      </c>
      <c r="AA37" s="708" t="s">
        <v>422</v>
      </c>
      <c r="AB37" s="708" t="s">
        <v>423</v>
      </c>
      <c r="AC37" s="708">
        <v>2021.0</v>
      </c>
      <c r="AD37" s="709">
        <v>208.8749323</v>
      </c>
      <c r="AE37" s="709">
        <v>434.7605861</v>
      </c>
      <c r="AF37" s="710">
        <v>70.12491284</v>
      </c>
      <c r="AH37" s="712" t="s">
        <v>424</v>
      </c>
      <c r="AI37" s="714" t="s">
        <v>98</v>
      </c>
      <c r="AJ37" s="714" t="s">
        <v>420</v>
      </c>
      <c r="AK37" s="714" t="s">
        <v>421</v>
      </c>
      <c r="AL37" s="714" t="s">
        <v>422</v>
      </c>
      <c r="AM37" s="714" t="s">
        <v>423</v>
      </c>
      <c r="AN37" s="715">
        <v>2021.0</v>
      </c>
      <c r="AO37" s="716">
        <v>44073.43006</v>
      </c>
      <c r="AP37" s="716">
        <v>79613.85443</v>
      </c>
      <c r="AQ37" s="717">
        <v>17054.81727</v>
      </c>
      <c r="AS37" s="707" t="s">
        <v>422</v>
      </c>
      <c r="AT37" s="708" t="s">
        <v>420</v>
      </c>
      <c r="AU37" s="708" t="s">
        <v>435</v>
      </c>
      <c r="AV37" s="708" t="s">
        <v>456</v>
      </c>
      <c r="AW37" s="708" t="s">
        <v>419</v>
      </c>
      <c r="AX37" s="708" t="s">
        <v>50</v>
      </c>
      <c r="AY37" s="708" t="s">
        <v>427</v>
      </c>
      <c r="AZ37" s="711" t="s">
        <v>428</v>
      </c>
      <c r="BA37" s="709">
        <v>50.3576613</v>
      </c>
      <c r="BB37" s="709">
        <v>15.48041802</v>
      </c>
      <c r="BC37" s="709">
        <v>107.795029</v>
      </c>
      <c r="BD37" s="710" t="s">
        <v>429</v>
      </c>
      <c r="BF37" s="707" t="s">
        <v>422</v>
      </c>
      <c r="BG37" s="708" t="s">
        <v>420</v>
      </c>
      <c r="BH37" s="708" t="s">
        <v>425</v>
      </c>
      <c r="BI37" s="708" t="s">
        <v>123</v>
      </c>
      <c r="BJ37" s="708" t="s">
        <v>419</v>
      </c>
      <c r="BK37" s="708" t="s">
        <v>430</v>
      </c>
      <c r="BL37" s="708" t="s">
        <v>427</v>
      </c>
      <c r="BM37" s="711" t="s">
        <v>428</v>
      </c>
      <c r="BN37" s="709">
        <v>401.0866985</v>
      </c>
      <c r="BO37" s="709">
        <v>99.87301806</v>
      </c>
      <c r="BP37" s="709">
        <v>1059.492491</v>
      </c>
      <c r="BQ37" s="710" t="s">
        <v>429</v>
      </c>
      <c r="BS37" s="707" t="s">
        <v>422</v>
      </c>
      <c r="BT37" s="708" t="s">
        <v>420</v>
      </c>
      <c r="BU37" s="708" t="s">
        <v>437</v>
      </c>
      <c r="BV37" s="708" t="s">
        <v>478</v>
      </c>
      <c r="BW37" s="708" t="s">
        <v>424</v>
      </c>
      <c r="BX37" s="708" t="s">
        <v>430</v>
      </c>
      <c r="BY37" s="708" t="s">
        <v>427</v>
      </c>
      <c r="BZ37" s="711" t="s">
        <v>428</v>
      </c>
      <c r="CA37" s="709">
        <v>33367.813</v>
      </c>
      <c r="CB37" s="709">
        <v>13653.432</v>
      </c>
      <c r="CC37" s="709">
        <v>70861.14</v>
      </c>
      <c r="CD37" s="710" t="s">
        <v>429</v>
      </c>
      <c r="CE37" s="460"/>
    </row>
    <row r="38">
      <c r="A38" s="690"/>
      <c r="B38" s="701" t="s">
        <v>415</v>
      </c>
      <c r="C38" s="702" t="s">
        <v>416</v>
      </c>
      <c r="D38" s="703" t="s">
        <v>521</v>
      </c>
      <c r="E38" s="704">
        <v>2021.0</v>
      </c>
      <c r="F38" s="702" t="s">
        <v>418</v>
      </c>
      <c r="G38" s="702" t="s">
        <v>50</v>
      </c>
      <c r="H38" s="705">
        <v>58283.0</v>
      </c>
      <c r="I38" s="705">
        <v>64953.0</v>
      </c>
      <c r="J38" s="706">
        <v>51777.0</v>
      </c>
      <c r="K38" s="695"/>
      <c r="L38" s="707" t="s">
        <v>419</v>
      </c>
      <c r="M38" s="708" t="s">
        <v>97</v>
      </c>
      <c r="N38" s="708" t="s">
        <v>420</v>
      </c>
      <c r="O38" s="708" t="s">
        <v>417</v>
      </c>
      <c r="P38" s="708" t="s">
        <v>422</v>
      </c>
      <c r="Q38" s="708" t="s">
        <v>50</v>
      </c>
      <c r="R38" s="708">
        <v>2021.0</v>
      </c>
      <c r="S38" s="709">
        <v>7780.009527</v>
      </c>
      <c r="T38" s="709">
        <v>13798.91921</v>
      </c>
      <c r="U38" s="710">
        <v>3662.341218</v>
      </c>
      <c r="W38" s="707" t="s">
        <v>419</v>
      </c>
      <c r="X38" s="708" t="s">
        <v>522</v>
      </c>
      <c r="Y38" s="708" t="s">
        <v>420</v>
      </c>
      <c r="Z38" s="708" t="s">
        <v>421</v>
      </c>
      <c r="AA38" s="708" t="s">
        <v>422</v>
      </c>
      <c r="AB38" s="708" t="s">
        <v>423</v>
      </c>
      <c r="AC38" s="708">
        <v>2021.0</v>
      </c>
      <c r="AD38" s="709">
        <v>4.929582363</v>
      </c>
      <c r="AE38" s="709">
        <v>22.86388084</v>
      </c>
      <c r="AF38" s="710">
        <v>1.342911834</v>
      </c>
      <c r="AH38" s="701" t="s">
        <v>424</v>
      </c>
      <c r="AI38" s="703" t="s">
        <v>98</v>
      </c>
      <c r="AJ38" s="703" t="s">
        <v>420</v>
      </c>
      <c r="AK38" s="703" t="s">
        <v>434</v>
      </c>
      <c r="AL38" s="703" t="s">
        <v>422</v>
      </c>
      <c r="AM38" s="703" t="s">
        <v>423</v>
      </c>
      <c r="AN38" s="704">
        <v>2021.0</v>
      </c>
      <c r="AO38" s="705">
        <v>20074.65275</v>
      </c>
      <c r="AP38" s="705">
        <v>42733.82025</v>
      </c>
      <c r="AQ38" s="706">
        <v>8495.55897</v>
      </c>
      <c r="AS38" s="707" t="s">
        <v>422</v>
      </c>
      <c r="AT38" s="708" t="s">
        <v>420</v>
      </c>
      <c r="AU38" s="708" t="s">
        <v>441</v>
      </c>
      <c r="AV38" s="708" t="s">
        <v>456</v>
      </c>
      <c r="AW38" s="708" t="s">
        <v>419</v>
      </c>
      <c r="AX38" s="708" t="s">
        <v>50</v>
      </c>
      <c r="AY38" s="708" t="s">
        <v>427</v>
      </c>
      <c r="AZ38" s="711" t="s">
        <v>428</v>
      </c>
      <c r="BA38" s="709">
        <v>344.8136034</v>
      </c>
      <c r="BB38" s="709">
        <v>139.1223808</v>
      </c>
      <c r="BC38" s="709">
        <v>634.6812374</v>
      </c>
      <c r="BD38" s="710" t="s">
        <v>429</v>
      </c>
      <c r="BF38" s="707" t="s">
        <v>422</v>
      </c>
      <c r="BG38" s="708" t="s">
        <v>420</v>
      </c>
      <c r="BH38" s="708" t="s">
        <v>425</v>
      </c>
      <c r="BI38" s="708" t="s">
        <v>523</v>
      </c>
      <c r="BJ38" s="708" t="s">
        <v>419</v>
      </c>
      <c r="BK38" s="708" t="s">
        <v>430</v>
      </c>
      <c r="BL38" s="708" t="s">
        <v>427</v>
      </c>
      <c r="BM38" s="711" t="s">
        <v>428</v>
      </c>
      <c r="BN38" s="709">
        <v>262.353772</v>
      </c>
      <c r="BO38" s="709">
        <v>80.99037133</v>
      </c>
      <c r="BP38" s="709">
        <v>520.1294459</v>
      </c>
      <c r="BQ38" s="710" t="s">
        <v>429</v>
      </c>
      <c r="BS38" s="707" t="s">
        <v>422</v>
      </c>
      <c r="BT38" s="708" t="s">
        <v>420</v>
      </c>
      <c r="BU38" s="708" t="s">
        <v>425</v>
      </c>
      <c r="BV38" s="708" t="s">
        <v>481</v>
      </c>
      <c r="BW38" s="708" t="s">
        <v>424</v>
      </c>
      <c r="BX38" s="708" t="s">
        <v>430</v>
      </c>
      <c r="BY38" s="708" t="s">
        <v>427</v>
      </c>
      <c r="BZ38" s="711" t="s">
        <v>428</v>
      </c>
      <c r="CA38" s="709">
        <v>87668.234</v>
      </c>
      <c r="CB38" s="709">
        <v>36473.665</v>
      </c>
      <c r="CC38" s="709">
        <v>159294.12</v>
      </c>
      <c r="CD38" s="710" t="s">
        <v>429</v>
      </c>
      <c r="CE38" s="460"/>
    </row>
    <row r="39">
      <c r="A39" s="690"/>
      <c r="B39" s="712" t="s">
        <v>415</v>
      </c>
      <c r="C39" s="713" t="s">
        <v>416</v>
      </c>
      <c r="D39" s="714" t="s">
        <v>524</v>
      </c>
      <c r="E39" s="715">
        <v>2021.0</v>
      </c>
      <c r="F39" s="713" t="s">
        <v>418</v>
      </c>
      <c r="G39" s="713" t="s">
        <v>50</v>
      </c>
      <c r="H39" s="716">
        <v>19653.0</v>
      </c>
      <c r="I39" s="716">
        <v>21901.0</v>
      </c>
      <c r="J39" s="717">
        <v>17459.0</v>
      </c>
      <c r="K39" s="695"/>
      <c r="L39" s="707" t="s">
        <v>419</v>
      </c>
      <c r="M39" s="708" t="s">
        <v>97</v>
      </c>
      <c r="N39" s="708" t="s">
        <v>420</v>
      </c>
      <c r="O39" s="708" t="s">
        <v>438</v>
      </c>
      <c r="P39" s="708" t="s">
        <v>422</v>
      </c>
      <c r="Q39" s="708" t="s">
        <v>50</v>
      </c>
      <c r="R39" s="708">
        <v>2021.0</v>
      </c>
      <c r="S39" s="709">
        <v>948.4930113</v>
      </c>
      <c r="T39" s="709">
        <v>1895.917709</v>
      </c>
      <c r="U39" s="710">
        <v>379.8567722</v>
      </c>
      <c r="W39" s="723" t="s">
        <v>419</v>
      </c>
      <c r="X39" s="724" t="s">
        <v>525</v>
      </c>
      <c r="Y39" s="724" t="s">
        <v>420</v>
      </c>
      <c r="Z39" s="724" t="s">
        <v>421</v>
      </c>
      <c r="AA39" s="724" t="s">
        <v>422</v>
      </c>
      <c r="AB39" s="724" t="s">
        <v>423</v>
      </c>
      <c r="AC39" s="725">
        <v>2021.0</v>
      </c>
      <c r="AD39" s="726">
        <v>0.045177947</v>
      </c>
      <c r="AE39" s="726">
        <v>0.101163915</v>
      </c>
      <c r="AF39" s="727">
        <v>0.010188302</v>
      </c>
      <c r="AH39" s="712" t="s">
        <v>424</v>
      </c>
      <c r="AI39" s="714" t="s">
        <v>98</v>
      </c>
      <c r="AJ39" s="714" t="s">
        <v>420</v>
      </c>
      <c r="AK39" s="714" t="s">
        <v>417</v>
      </c>
      <c r="AL39" s="714" t="s">
        <v>422</v>
      </c>
      <c r="AM39" s="714" t="s">
        <v>423</v>
      </c>
      <c r="AN39" s="715">
        <v>2021.0</v>
      </c>
      <c r="AO39" s="716">
        <v>31287.7588</v>
      </c>
      <c r="AP39" s="716">
        <v>56520.38478</v>
      </c>
      <c r="AQ39" s="717">
        <v>12096.67839</v>
      </c>
      <c r="AS39" s="707" t="s">
        <v>422</v>
      </c>
      <c r="AT39" s="708" t="s">
        <v>420</v>
      </c>
      <c r="AU39" s="708" t="s">
        <v>445</v>
      </c>
      <c r="AV39" s="708" t="s">
        <v>456</v>
      </c>
      <c r="AW39" s="708" t="s">
        <v>419</v>
      </c>
      <c r="AX39" s="708" t="s">
        <v>50</v>
      </c>
      <c r="AY39" s="708" t="s">
        <v>427</v>
      </c>
      <c r="AZ39" s="711" t="s">
        <v>428</v>
      </c>
      <c r="BA39" s="709">
        <v>2132.492669</v>
      </c>
      <c r="BB39" s="709">
        <v>725.4742027</v>
      </c>
      <c r="BC39" s="709">
        <v>4417.164883</v>
      </c>
      <c r="BD39" s="710" t="s">
        <v>429</v>
      </c>
      <c r="BF39" s="707" t="s">
        <v>422</v>
      </c>
      <c r="BG39" s="708" t="s">
        <v>420</v>
      </c>
      <c r="BH39" s="708" t="s">
        <v>425</v>
      </c>
      <c r="BI39" s="708" t="s">
        <v>526</v>
      </c>
      <c r="BJ39" s="708" t="s">
        <v>419</v>
      </c>
      <c r="BK39" s="708" t="s">
        <v>430</v>
      </c>
      <c r="BL39" s="708" t="s">
        <v>427</v>
      </c>
      <c r="BM39" s="711" t="s">
        <v>428</v>
      </c>
      <c r="BN39" s="709">
        <v>267.3063883</v>
      </c>
      <c r="BO39" s="709">
        <v>57.61687746</v>
      </c>
      <c r="BP39" s="709">
        <v>623.8713816</v>
      </c>
      <c r="BQ39" s="710" t="s">
        <v>429</v>
      </c>
      <c r="BS39" s="707" t="s">
        <v>422</v>
      </c>
      <c r="BT39" s="708" t="s">
        <v>420</v>
      </c>
      <c r="BU39" s="708" t="s">
        <v>437</v>
      </c>
      <c r="BV39" s="708" t="s">
        <v>481</v>
      </c>
      <c r="BW39" s="708" t="s">
        <v>424</v>
      </c>
      <c r="BX39" s="708" t="s">
        <v>430</v>
      </c>
      <c r="BY39" s="708" t="s">
        <v>427</v>
      </c>
      <c r="BZ39" s="711" t="s">
        <v>428</v>
      </c>
      <c r="CA39" s="709">
        <v>37760.34</v>
      </c>
      <c r="CB39" s="709">
        <v>17876.858</v>
      </c>
      <c r="CC39" s="709">
        <v>80828.51</v>
      </c>
      <c r="CD39" s="710" t="s">
        <v>429</v>
      </c>
      <c r="CE39" s="460"/>
    </row>
    <row r="40">
      <c r="A40" s="690"/>
      <c r="B40" s="701" t="s">
        <v>415</v>
      </c>
      <c r="C40" s="702" t="s">
        <v>416</v>
      </c>
      <c r="D40" s="703" t="s">
        <v>527</v>
      </c>
      <c r="E40" s="704">
        <v>2021.0</v>
      </c>
      <c r="F40" s="702" t="s">
        <v>418</v>
      </c>
      <c r="G40" s="702" t="s">
        <v>50</v>
      </c>
      <c r="H40" s="705">
        <v>5347.0</v>
      </c>
      <c r="I40" s="705">
        <v>5959.0</v>
      </c>
      <c r="J40" s="706">
        <v>4750.0</v>
      </c>
      <c r="K40" s="695"/>
      <c r="L40" s="707" t="s">
        <v>419</v>
      </c>
      <c r="M40" s="708" t="s">
        <v>451</v>
      </c>
      <c r="N40" s="708" t="s">
        <v>420</v>
      </c>
      <c r="O40" s="708" t="s">
        <v>421</v>
      </c>
      <c r="P40" s="708" t="s">
        <v>422</v>
      </c>
      <c r="Q40" s="708" t="s">
        <v>50</v>
      </c>
      <c r="R40" s="708">
        <v>2021.0</v>
      </c>
      <c r="S40" s="709">
        <v>10113.26514</v>
      </c>
      <c r="T40" s="709">
        <v>17521.92817</v>
      </c>
      <c r="U40" s="710">
        <v>4652.293517</v>
      </c>
      <c r="W40" s="707" t="s">
        <v>419</v>
      </c>
      <c r="X40" s="708" t="s">
        <v>504</v>
      </c>
      <c r="Y40" s="708" t="s">
        <v>420</v>
      </c>
      <c r="Z40" s="708" t="s">
        <v>421</v>
      </c>
      <c r="AA40" s="708" t="s">
        <v>422</v>
      </c>
      <c r="AB40" s="708" t="s">
        <v>423</v>
      </c>
      <c r="AC40" s="708">
        <v>2021.0</v>
      </c>
      <c r="AD40" s="709">
        <v>440.6142532</v>
      </c>
      <c r="AE40" s="709">
        <v>765.136529</v>
      </c>
      <c r="AF40" s="710">
        <v>164.935576</v>
      </c>
      <c r="AH40" s="701" t="s">
        <v>424</v>
      </c>
      <c r="AI40" s="703" t="s">
        <v>466</v>
      </c>
      <c r="AJ40" s="703" t="s">
        <v>420</v>
      </c>
      <c r="AK40" s="703" t="s">
        <v>421</v>
      </c>
      <c r="AL40" s="703" t="s">
        <v>422</v>
      </c>
      <c r="AM40" s="703" t="s">
        <v>423</v>
      </c>
      <c r="AN40" s="704">
        <v>2021.0</v>
      </c>
      <c r="AO40" s="705">
        <v>888.6039457</v>
      </c>
      <c r="AP40" s="705">
        <v>1152.952487</v>
      </c>
      <c r="AQ40" s="706">
        <v>679.5602729</v>
      </c>
      <c r="AS40" s="707" t="s">
        <v>422</v>
      </c>
      <c r="AT40" s="708" t="s">
        <v>420</v>
      </c>
      <c r="AU40" s="708" t="s">
        <v>425</v>
      </c>
      <c r="AV40" s="708" t="s">
        <v>459</v>
      </c>
      <c r="AW40" s="708" t="s">
        <v>419</v>
      </c>
      <c r="AX40" s="708" t="s">
        <v>50</v>
      </c>
      <c r="AY40" s="708" t="s">
        <v>427</v>
      </c>
      <c r="AZ40" s="711" t="s">
        <v>428</v>
      </c>
      <c r="BA40" s="709">
        <v>1869.014515</v>
      </c>
      <c r="BB40" s="709">
        <v>540.035859</v>
      </c>
      <c r="BC40" s="709">
        <v>3627.534602</v>
      </c>
      <c r="BD40" s="710" t="s">
        <v>429</v>
      </c>
      <c r="BF40" s="728" t="s">
        <v>422</v>
      </c>
      <c r="BG40" s="729" t="s">
        <v>420</v>
      </c>
      <c r="BH40" s="729" t="s">
        <v>425</v>
      </c>
      <c r="BI40" s="729" t="s">
        <v>528</v>
      </c>
      <c r="BJ40" s="729" t="s">
        <v>419</v>
      </c>
      <c r="BK40" s="729" t="s">
        <v>430</v>
      </c>
      <c r="BL40" s="729" t="s">
        <v>427</v>
      </c>
      <c r="BM40" s="730" t="s">
        <v>428</v>
      </c>
      <c r="BN40" s="731">
        <v>362.6090361</v>
      </c>
      <c r="BO40" s="731">
        <v>90.56508224</v>
      </c>
      <c r="BP40" s="731">
        <v>864.422523</v>
      </c>
      <c r="BQ40" s="732" t="s">
        <v>429</v>
      </c>
      <c r="BS40" s="707" t="s">
        <v>422</v>
      </c>
      <c r="BT40" s="708" t="s">
        <v>420</v>
      </c>
      <c r="BU40" s="708" t="s">
        <v>425</v>
      </c>
      <c r="BV40" s="708" t="s">
        <v>484</v>
      </c>
      <c r="BW40" s="708" t="s">
        <v>424</v>
      </c>
      <c r="BX40" s="708" t="s">
        <v>430</v>
      </c>
      <c r="BY40" s="708" t="s">
        <v>427</v>
      </c>
      <c r="BZ40" s="711" t="s">
        <v>428</v>
      </c>
      <c r="CA40" s="709">
        <v>98888.13</v>
      </c>
      <c r="CB40" s="709">
        <v>46155.638</v>
      </c>
      <c r="CC40" s="709">
        <v>148274.56</v>
      </c>
      <c r="CD40" s="710" t="s">
        <v>429</v>
      </c>
      <c r="CE40" s="460"/>
    </row>
    <row r="41">
      <c r="A41" s="690"/>
      <c r="B41" s="712" t="s">
        <v>415</v>
      </c>
      <c r="C41" s="713" t="s">
        <v>416</v>
      </c>
      <c r="D41" s="714" t="s">
        <v>529</v>
      </c>
      <c r="E41" s="715">
        <v>2021.0</v>
      </c>
      <c r="F41" s="713" t="s">
        <v>418</v>
      </c>
      <c r="G41" s="713" t="s">
        <v>50</v>
      </c>
      <c r="H41" s="716">
        <v>1095.0</v>
      </c>
      <c r="I41" s="716">
        <v>1220.0</v>
      </c>
      <c r="J41" s="717">
        <v>973.0</v>
      </c>
      <c r="K41" s="695"/>
      <c r="L41" s="707" t="s">
        <v>419</v>
      </c>
      <c r="M41" s="708" t="s">
        <v>451</v>
      </c>
      <c r="N41" s="708" t="s">
        <v>420</v>
      </c>
      <c r="O41" s="708" t="s">
        <v>432</v>
      </c>
      <c r="P41" s="708" t="s">
        <v>422</v>
      </c>
      <c r="Q41" s="708" t="s">
        <v>50</v>
      </c>
      <c r="R41" s="708">
        <v>2021.0</v>
      </c>
      <c r="S41" s="709">
        <v>0.0</v>
      </c>
      <c r="T41" s="709">
        <v>0.0</v>
      </c>
      <c r="U41" s="710">
        <v>0.0</v>
      </c>
      <c r="W41" s="723" t="s">
        <v>419</v>
      </c>
      <c r="X41" s="724" t="s">
        <v>102</v>
      </c>
      <c r="Y41" s="724" t="s">
        <v>420</v>
      </c>
      <c r="Z41" s="724" t="s">
        <v>421</v>
      </c>
      <c r="AA41" s="724" t="s">
        <v>422</v>
      </c>
      <c r="AB41" s="724" t="s">
        <v>423</v>
      </c>
      <c r="AC41" s="725">
        <v>2021.0</v>
      </c>
      <c r="AD41" s="726">
        <v>338.64025</v>
      </c>
      <c r="AE41" s="726">
        <v>656.7191367</v>
      </c>
      <c r="AF41" s="727">
        <v>118.4098107</v>
      </c>
      <c r="AH41" s="712" t="s">
        <v>424</v>
      </c>
      <c r="AI41" s="714" t="s">
        <v>466</v>
      </c>
      <c r="AJ41" s="714" t="s">
        <v>420</v>
      </c>
      <c r="AK41" s="714" t="s">
        <v>434</v>
      </c>
      <c r="AL41" s="714" t="s">
        <v>422</v>
      </c>
      <c r="AM41" s="714" t="s">
        <v>423</v>
      </c>
      <c r="AN41" s="715">
        <v>2021.0</v>
      </c>
      <c r="AO41" s="716">
        <v>1151.416303</v>
      </c>
      <c r="AP41" s="716">
        <v>1416.28649</v>
      </c>
      <c r="AQ41" s="717">
        <v>931.5776415</v>
      </c>
      <c r="AS41" s="707" t="s">
        <v>422</v>
      </c>
      <c r="AT41" s="708" t="s">
        <v>420</v>
      </c>
      <c r="AU41" s="708" t="s">
        <v>435</v>
      </c>
      <c r="AV41" s="708" t="s">
        <v>459</v>
      </c>
      <c r="AW41" s="708" t="s">
        <v>419</v>
      </c>
      <c r="AX41" s="708" t="s">
        <v>50</v>
      </c>
      <c r="AY41" s="708" t="s">
        <v>427</v>
      </c>
      <c r="AZ41" s="711" t="s">
        <v>428</v>
      </c>
      <c r="BA41" s="709">
        <v>104.6479636</v>
      </c>
      <c r="BB41" s="709">
        <v>20.31091695</v>
      </c>
      <c r="BC41" s="709">
        <v>279.7413788</v>
      </c>
      <c r="BD41" s="710" t="s">
        <v>429</v>
      </c>
      <c r="BS41" s="707" t="s">
        <v>422</v>
      </c>
      <c r="BT41" s="708" t="s">
        <v>420</v>
      </c>
      <c r="BU41" s="708" t="s">
        <v>437</v>
      </c>
      <c r="BV41" s="708" t="s">
        <v>484</v>
      </c>
      <c r="BW41" s="708" t="s">
        <v>424</v>
      </c>
      <c r="BX41" s="708" t="s">
        <v>430</v>
      </c>
      <c r="BY41" s="708" t="s">
        <v>427</v>
      </c>
      <c r="BZ41" s="711" t="s">
        <v>428</v>
      </c>
      <c r="CA41" s="709">
        <v>40574.977</v>
      </c>
      <c r="CB41" s="709">
        <v>19975.06</v>
      </c>
      <c r="CC41" s="709">
        <v>78311.71</v>
      </c>
      <c r="CD41" s="710" t="s">
        <v>429</v>
      </c>
      <c r="CE41" s="460"/>
    </row>
    <row r="42">
      <c r="A42" s="690"/>
      <c r="B42" s="701" t="s">
        <v>415</v>
      </c>
      <c r="C42" s="702" t="s">
        <v>416</v>
      </c>
      <c r="D42" s="703" t="s">
        <v>443</v>
      </c>
      <c r="E42" s="704">
        <v>2021.0</v>
      </c>
      <c r="F42" s="702" t="s">
        <v>418</v>
      </c>
      <c r="G42" s="702" t="s">
        <v>50</v>
      </c>
      <c r="H42" s="705">
        <v>3.2706452E7</v>
      </c>
      <c r="I42" s="705">
        <v>3.6448988E7</v>
      </c>
      <c r="J42" s="706">
        <v>2.9055324E7</v>
      </c>
      <c r="K42" s="695"/>
      <c r="L42" s="707" t="s">
        <v>419</v>
      </c>
      <c r="M42" s="708" t="s">
        <v>451</v>
      </c>
      <c r="N42" s="708" t="s">
        <v>420</v>
      </c>
      <c r="O42" s="708" t="s">
        <v>439</v>
      </c>
      <c r="P42" s="708" t="s">
        <v>422</v>
      </c>
      <c r="Q42" s="708" t="s">
        <v>50</v>
      </c>
      <c r="R42" s="708">
        <v>2021.0</v>
      </c>
      <c r="S42" s="709">
        <v>752.708262</v>
      </c>
      <c r="T42" s="709">
        <v>1584.183093</v>
      </c>
      <c r="U42" s="710">
        <v>269.788971</v>
      </c>
      <c r="W42" s="718" t="s">
        <v>419</v>
      </c>
      <c r="X42" s="719" t="s">
        <v>530</v>
      </c>
      <c r="Y42" s="719" t="s">
        <v>420</v>
      </c>
      <c r="Z42" s="719" t="s">
        <v>421</v>
      </c>
      <c r="AA42" s="719" t="s">
        <v>422</v>
      </c>
      <c r="AB42" s="719" t="s">
        <v>423</v>
      </c>
      <c r="AC42" s="720">
        <v>2021.0</v>
      </c>
      <c r="AD42" s="721">
        <v>5.461936999</v>
      </c>
      <c r="AE42" s="721">
        <v>17.20650128</v>
      </c>
      <c r="AF42" s="722">
        <v>0.271291814</v>
      </c>
      <c r="AH42" s="701" t="s">
        <v>424</v>
      </c>
      <c r="AI42" s="703" t="s">
        <v>466</v>
      </c>
      <c r="AJ42" s="703" t="s">
        <v>420</v>
      </c>
      <c r="AK42" s="703" t="s">
        <v>417</v>
      </c>
      <c r="AL42" s="703" t="s">
        <v>422</v>
      </c>
      <c r="AM42" s="703" t="s">
        <v>423</v>
      </c>
      <c r="AN42" s="704">
        <v>2021.0</v>
      </c>
      <c r="AO42" s="705">
        <v>611.8966687</v>
      </c>
      <c r="AP42" s="705">
        <v>795.5508287</v>
      </c>
      <c r="AQ42" s="706">
        <v>466.905865</v>
      </c>
      <c r="AS42" s="707" t="s">
        <v>422</v>
      </c>
      <c r="AT42" s="708" t="s">
        <v>420</v>
      </c>
      <c r="AU42" s="708" t="s">
        <v>441</v>
      </c>
      <c r="AV42" s="708" t="s">
        <v>459</v>
      </c>
      <c r="AW42" s="708" t="s">
        <v>419</v>
      </c>
      <c r="AX42" s="708" t="s">
        <v>50</v>
      </c>
      <c r="AY42" s="708" t="s">
        <v>427</v>
      </c>
      <c r="AZ42" s="711" t="s">
        <v>428</v>
      </c>
      <c r="BA42" s="709">
        <v>688.3322392</v>
      </c>
      <c r="BB42" s="709">
        <v>167.1927905</v>
      </c>
      <c r="BC42" s="709">
        <v>1449.419783</v>
      </c>
      <c r="BD42" s="710" t="s">
        <v>429</v>
      </c>
      <c r="BS42" s="707" t="s">
        <v>422</v>
      </c>
      <c r="BT42" s="708" t="s">
        <v>420</v>
      </c>
      <c r="BU42" s="708" t="s">
        <v>425</v>
      </c>
      <c r="BV42" s="708" t="s">
        <v>487</v>
      </c>
      <c r="BW42" s="708" t="s">
        <v>424</v>
      </c>
      <c r="BX42" s="708" t="s">
        <v>430</v>
      </c>
      <c r="BY42" s="708" t="s">
        <v>427</v>
      </c>
      <c r="BZ42" s="711" t="s">
        <v>428</v>
      </c>
      <c r="CA42" s="709">
        <v>94880.84</v>
      </c>
      <c r="CB42" s="709">
        <v>36542.162</v>
      </c>
      <c r="CC42" s="709">
        <v>166354.88</v>
      </c>
      <c r="CD42" s="710" t="s">
        <v>429</v>
      </c>
      <c r="CE42" s="460"/>
    </row>
    <row r="43">
      <c r="A43" s="690"/>
      <c r="B43" s="712" t="s">
        <v>433</v>
      </c>
      <c r="C43" s="713" t="s">
        <v>416</v>
      </c>
      <c r="D43" s="714" t="s">
        <v>417</v>
      </c>
      <c r="E43" s="715">
        <v>2021.0</v>
      </c>
      <c r="F43" s="713" t="s">
        <v>418</v>
      </c>
      <c r="G43" s="713" t="s">
        <v>50</v>
      </c>
      <c r="H43" s="716">
        <v>2769278.0</v>
      </c>
      <c r="I43" s="716">
        <v>3124589.0</v>
      </c>
      <c r="J43" s="717">
        <v>2404338.0</v>
      </c>
      <c r="K43" s="695"/>
      <c r="L43" s="707" t="s">
        <v>419</v>
      </c>
      <c r="M43" s="708" t="s">
        <v>451</v>
      </c>
      <c r="N43" s="708" t="s">
        <v>420</v>
      </c>
      <c r="O43" s="708" t="s">
        <v>443</v>
      </c>
      <c r="P43" s="708" t="s">
        <v>422</v>
      </c>
      <c r="Q43" s="708" t="s">
        <v>50</v>
      </c>
      <c r="R43" s="708">
        <v>2021.0</v>
      </c>
      <c r="S43" s="709">
        <v>13547.09884</v>
      </c>
      <c r="T43" s="709">
        <v>26039.34948</v>
      </c>
      <c r="U43" s="710">
        <v>5803.4297</v>
      </c>
      <c r="W43" s="707" t="s">
        <v>419</v>
      </c>
      <c r="X43" s="708" t="s">
        <v>531</v>
      </c>
      <c r="Y43" s="708" t="s">
        <v>420</v>
      </c>
      <c r="Z43" s="708" t="s">
        <v>421</v>
      </c>
      <c r="AA43" s="708" t="s">
        <v>422</v>
      </c>
      <c r="AB43" s="708" t="s">
        <v>423</v>
      </c>
      <c r="AC43" s="708">
        <v>2021.0</v>
      </c>
      <c r="AD43" s="709">
        <v>101.2447541</v>
      </c>
      <c r="AE43" s="709">
        <v>163.4383988</v>
      </c>
      <c r="AF43" s="710">
        <v>58.49252632</v>
      </c>
      <c r="AH43" s="712" t="s">
        <v>424</v>
      </c>
      <c r="AI43" s="714" t="s">
        <v>469</v>
      </c>
      <c r="AJ43" s="714" t="s">
        <v>420</v>
      </c>
      <c r="AK43" s="714" t="s">
        <v>421</v>
      </c>
      <c r="AL43" s="714" t="s">
        <v>422</v>
      </c>
      <c r="AM43" s="714" t="s">
        <v>423</v>
      </c>
      <c r="AN43" s="715">
        <v>2021.0</v>
      </c>
      <c r="AO43" s="716">
        <v>63029.10018</v>
      </c>
      <c r="AP43" s="716">
        <v>108337.0572</v>
      </c>
      <c r="AQ43" s="717">
        <v>31219.97559</v>
      </c>
      <c r="AS43" s="707" t="s">
        <v>422</v>
      </c>
      <c r="AT43" s="708" t="s">
        <v>420</v>
      </c>
      <c r="AU43" s="708" t="s">
        <v>445</v>
      </c>
      <c r="AV43" s="708" t="s">
        <v>459</v>
      </c>
      <c r="AW43" s="708" t="s">
        <v>419</v>
      </c>
      <c r="AX43" s="708" t="s">
        <v>50</v>
      </c>
      <c r="AY43" s="708" t="s">
        <v>427</v>
      </c>
      <c r="AZ43" s="711" t="s">
        <v>428</v>
      </c>
      <c r="BA43" s="709">
        <v>3714.148391</v>
      </c>
      <c r="BB43" s="709">
        <v>962.5646219</v>
      </c>
      <c r="BC43" s="709">
        <v>7999.36926</v>
      </c>
      <c r="BD43" s="710" t="s">
        <v>429</v>
      </c>
      <c r="BS43" s="707" t="s">
        <v>422</v>
      </c>
      <c r="BT43" s="708" t="s">
        <v>420</v>
      </c>
      <c r="BU43" s="708" t="s">
        <v>437</v>
      </c>
      <c r="BV43" s="708" t="s">
        <v>487</v>
      </c>
      <c r="BW43" s="708" t="s">
        <v>424</v>
      </c>
      <c r="BX43" s="708" t="s">
        <v>430</v>
      </c>
      <c r="BY43" s="708" t="s">
        <v>427</v>
      </c>
      <c r="BZ43" s="711" t="s">
        <v>428</v>
      </c>
      <c r="CA43" s="709">
        <v>40314.21</v>
      </c>
      <c r="CB43" s="709">
        <v>16800.79</v>
      </c>
      <c r="CC43" s="709">
        <v>84448.224</v>
      </c>
      <c r="CD43" s="710" t="s">
        <v>429</v>
      </c>
      <c r="CE43" s="460"/>
    </row>
    <row r="44">
      <c r="A44" s="690"/>
      <c r="B44" s="701" t="s">
        <v>433</v>
      </c>
      <c r="C44" s="702" t="s">
        <v>416</v>
      </c>
      <c r="D44" s="703" t="s">
        <v>431</v>
      </c>
      <c r="E44" s="704">
        <v>2021.0</v>
      </c>
      <c r="F44" s="702" t="s">
        <v>418</v>
      </c>
      <c r="G44" s="702" t="s">
        <v>50</v>
      </c>
      <c r="H44" s="705">
        <v>6.0989067E7</v>
      </c>
      <c r="I44" s="705">
        <v>6.8814257E7</v>
      </c>
      <c r="J44" s="706">
        <v>5.2951833E7</v>
      </c>
      <c r="K44" s="695"/>
      <c r="L44" s="707" t="s">
        <v>419</v>
      </c>
      <c r="M44" s="708" t="s">
        <v>451</v>
      </c>
      <c r="N44" s="708" t="s">
        <v>420</v>
      </c>
      <c r="O44" s="708" t="s">
        <v>417</v>
      </c>
      <c r="P44" s="708" t="s">
        <v>422</v>
      </c>
      <c r="Q44" s="708" t="s">
        <v>50</v>
      </c>
      <c r="R44" s="708">
        <v>2021.0</v>
      </c>
      <c r="S44" s="709">
        <v>5215.743526</v>
      </c>
      <c r="T44" s="709">
        <v>9250.525072</v>
      </c>
      <c r="U44" s="710">
        <v>2223.196829</v>
      </c>
      <c r="W44" s="707" t="s">
        <v>419</v>
      </c>
      <c r="X44" s="708" t="s">
        <v>532</v>
      </c>
      <c r="Y44" s="708" t="s">
        <v>420</v>
      </c>
      <c r="Z44" s="708" t="s">
        <v>421</v>
      </c>
      <c r="AA44" s="708" t="s">
        <v>422</v>
      </c>
      <c r="AB44" s="708" t="s">
        <v>423</v>
      </c>
      <c r="AC44" s="708">
        <v>2021.0</v>
      </c>
      <c r="AD44" s="709">
        <v>19.68703219</v>
      </c>
      <c r="AE44" s="709">
        <v>32.3125677</v>
      </c>
      <c r="AF44" s="710">
        <v>6.999413023</v>
      </c>
      <c r="AH44" s="701" t="s">
        <v>424</v>
      </c>
      <c r="AI44" s="703" t="s">
        <v>469</v>
      </c>
      <c r="AJ44" s="703" t="s">
        <v>420</v>
      </c>
      <c r="AK44" s="703" t="s">
        <v>434</v>
      </c>
      <c r="AL44" s="703" t="s">
        <v>422</v>
      </c>
      <c r="AM44" s="703" t="s">
        <v>423</v>
      </c>
      <c r="AN44" s="704">
        <v>2021.0</v>
      </c>
      <c r="AO44" s="705">
        <v>26419.33892</v>
      </c>
      <c r="AP44" s="705">
        <v>50002.19318</v>
      </c>
      <c r="AQ44" s="706">
        <v>13584.1713</v>
      </c>
      <c r="AS44" s="707" t="s">
        <v>422</v>
      </c>
      <c r="AT44" s="708" t="s">
        <v>420</v>
      </c>
      <c r="AU44" s="708" t="s">
        <v>425</v>
      </c>
      <c r="AV44" s="708" t="s">
        <v>462</v>
      </c>
      <c r="AW44" s="708" t="s">
        <v>419</v>
      </c>
      <c r="AX44" s="708" t="s">
        <v>50</v>
      </c>
      <c r="AY44" s="708" t="s">
        <v>427</v>
      </c>
      <c r="AZ44" s="711" t="s">
        <v>428</v>
      </c>
      <c r="BA44" s="709">
        <v>1739.340733</v>
      </c>
      <c r="BB44" s="709">
        <v>638.2332746</v>
      </c>
      <c r="BC44" s="709">
        <v>3490.31692</v>
      </c>
      <c r="BD44" s="710" t="s">
        <v>429</v>
      </c>
      <c r="BS44" s="707" t="s">
        <v>422</v>
      </c>
      <c r="BT44" s="708" t="s">
        <v>420</v>
      </c>
      <c r="BU44" s="708" t="s">
        <v>425</v>
      </c>
      <c r="BV44" s="708" t="s">
        <v>490</v>
      </c>
      <c r="BW44" s="708" t="s">
        <v>424</v>
      </c>
      <c r="BX44" s="708" t="s">
        <v>430</v>
      </c>
      <c r="BY44" s="708" t="s">
        <v>427</v>
      </c>
      <c r="BZ44" s="711" t="s">
        <v>428</v>
      </c>
      <c r="CA44" s="709">
        <v>78589.98</v>
      </c>
      <c r="CB44" s="709">
        <v>28015.086</v>
      </c>
      <c r="CC44" s="709">
        <v>143559.5</v>
      </c>
      <c r="CD44" s="710" t="s">
        <v>429</v>
      </c>
      <c r="CE44" s="460"/>
    </row>
    <row r="45">
      <c r="A45" s="690"/>
      <c r="B45" s="712" t="s">
        <v>433</v>
      </c>
      <c r="C45" s="713" t="s">
        <v>416</v>
      </c>
      <c r="D45" s="714" t="s">
        <v>438</v>
      </c>
      <c r="E45" s="715">
        <v>2021.0</v>
      </c>
      <c r="F45" s="713" t="s">
        <v>418</v>
      </c>
      <c r="G45" s="713" t="s">
        <v>50</v>
      </c>
      <c r="H45" s="716">
        <v>211307.0</v>
      </c>
      <c r="I45" s="716">
        <v>238419.0</v>
      </c>
      <c r="J45" s="717">
        <v>183461.0</v>
      </c>
      <c r="K45" s="695"/>
      <c r="L45" s="707" t="s">
        <v>419</v>
      </c>
      <c r="M45" s="708" t="s">
        <v>451</v>
      </c>
      <c r="N45" s="708" t="s">
        <v>420</v>
      </c>
      <c r="O45" s="708" t="s">
        <v>438</v>
      </c>
      <c r="P45" s="708" t="s">
        <v>422</v>
      </c>
      <c r="Q45" s="708" t="s">
        <v>50</v>
      </c>
      <c r="R45" s="708">
        <v>2021.0</v>
      </c>
      <c r="S45" s="709">
        <v>752.708262</v>
      </c>
      <c r="T45" s="709">
        <v>1584.183093</v>
      </c>
      <c r="U45" s="710">
        <v>269.788971</v>
      </c>
      <c r="W45" s="707" t="s">
        <v>419</v>
      </c>
      <c r="X45" s="708" t="s">
        <v>533</v>
      </c>
      <c r="Y45" s="708" t="s">
        <v>420</v>
      </c>
      <c r="Z45" s="708" t="s">
        <v>421</v>
      </c>
      <c r="AA45" s="708" t="s">
        <v>422</v>
      </c>
      <c r="AB45" s="708" t="s">
        <v>423</v>
      </c>
      <c r="AC45" s="708">
        <v>2021.0</v>
      </c>
      <c r="AD45" s="709">
        <v>72.95593532</v>
      </c>
      <c r="AE45" s="709">
        <v>110.5683617</v>
      </c>
      <c r="AF45" s="710">
        <v>27.44367236</v>
      </c>
      <c r="AH45" s="712" t="s">
        <v>424</v>
      </c>
      <c r="AI45" s="714" t="s">
        <v>469</v>
      </c>
      <c r="AJ45" s="714" t="s">
        <v>420</v>
      </c>
      <c r="AK45" s="714" t="s">
        <v>417</v>
      </c>
      <c r="AL45" s="714" t="s">
        <v>422</v>
      </c>
      <c r="AM45" s="714" t="s">
        <v>423</v>
      </c>
      <c r="AN45" s="715">
        <v>2021.0</v>
      </c>
      <c r="AO45" s="716">
        <v>44405.48371</v>
      </c>
      <c r="AP45" s="716">
        <v>76331.11346</v>
      </c>
      <c r="AQ45" s="717">
        <v>21996.67921</v>
      </c>
      <c r="AS45" s="707" t="s">
        <v>422</v>
      </c>
      <c r="AT45" s="708" t="s">
        <v>420</v>
      </c>
      <c r="AU45" s="708" t="s">
        <v>435</v>
      </c>
      <c r="AV45" s="708" t="s">
        <v>462</v>
      </c>
      <c r="AW45" s="708" t="s">
        <v>419</v>
      </c>
      <c r="AX45" s="708" t="s">
        <v>50</v>
      </c>
      <c r="AY45" s="708" t="s">
        <v>427</v>
      </c>
      <c r="AZ45" s="711" t="s">
        <v>428</v>
      </c>
      <c r="BA45" s="709">
        <v>94.69980369</v>
      </c>
      <c r="BB45" s="709">
        <v>24.80601328</v>
      </c>
      <c r="BC45" s="709">
        <v>259.1882809</v>
      </c>
      <c r="BD45" s="710" t="s">
        <v>429</v>
      </c>
      <c r="BS45" s="707" t="s">
        <v>422</v>
      </c>
      <c r="BT45" s="708" t="s">
        <v>420</v>
      </c>
      <c r="BU45" s="708" t="s">
        <v>437</v>
      </c>
      <c r="BV45" s="708" t="s">
        <v>490</v>
      </c>
      <c r="BW45" s="708" t="s">
        <v>424</v>
      </c>
      <c r="BX45" s="708" t="s">
        <v>430</v>
      </c>
      <c r="BY45" s="708" t="s">
        <v>427</v>
      </c>
      <c r="BZ45" s="711" t="s">
        <v>428</v>
      </c>
      <c r="CA45" s="709">
        <v>34047.428</v>
      </c>
      <c r="CB45" s="709">
        <v>13441.722</v>
      </c>
      <c r="CC45" s="709">
        <v>74786.98</v>
      </c>
      <c r="CD45" s="710" t="s">
        <v>429</v>
      </c>
      <c r="CE45" s="460"/>
    </row>
    <row r="46">
      <c r="A46" s="690"/>
      <c r="B46" s="701" t="s">
        <v>433</v>
      </c>
      <c r="C46" s="702" t="s">
        <v>416</v>
      </c>
      <c r="D46" s="703" t="s">
        <v>421</v>
      </c>
      <c r="E46" s="704">
        <v>2021.0</v>
      </c>
      <c r="F46" s="702" t="s">
        <v>418</v>
      </c>
      <c r="G46" s="702" t="s">
        <v>50</v>
      </c>
      <c r="H46" s="705">
        <v>1.4364063E7</v>
      </c>
      <c r="I46" s="705">
        <v>1.6207041E7</v>
      </c>
      <c r="J46" s="706">
        <v>1.2471144E7</v>
      </c>
      <c r="K46" s="695"/>
      <c r="L46" s="707" t="s">
        <v>419</v>
      </c>
      <c r="M46" s="708" t="s">
        <v>99</v>
      </c>
      <c r="N46" s="708" t="s">
        <v>420</v>
      </c>
      <c r="O46" s="708" t="s">
        <v>421</v>
      </c>
      <c r="P46" s="708" t="s">
        <v>422</v>
      </c>
      <c r="Q46" s="708" t="s">
        <v>50</v>
      </c>
      <c r="R46" s="708">
        <v>2021.0</v>
      </c>
      <c r="S46" s="709">
        <v>13238.11893</v>
      </c>
      <c r="T46" s="709">
        <v>22456.25575</v>
      </c>
      <c r="U46" s="710">
        <v>5821.647378</v>
      </c>
      <c r="W46" s="707" t="s">
        <v>419</v>
      </c>
      <c r="X46" s="708" t="s">
        <v>534</v>
      </c>
      <c r="Y46" s="708" t="s">
        <v>420</v>
      </c>
      <c r="Z46" s="708" t="s">
        <v>421</v>
      </c>
      <c r="AA46" s="708" t="s">
        <v>422</v>
      </c>
      <c r="AB46" s="708" t="s">
        <v>423</v>
      </c>
      <c r="AC46" s="708">
        <v>2021.0</v>
      </c>
      <c r="AD46" s="709">
        <v>472.1894117</v>
      </c>
      <c r="AE46" s="709">
        <v>894.0346292</v>
      </c>
      <c r="AF46" s="710">
        <v>165.7354598</v>
      </c>
      <c r="AH46" s="701" t="s">
        <v>424</v>
      </c>
      <c r="AI46" s="703" t="s">
        <v>472</v>
      </c>
      <c r="AJ46" s="703" t="s">
        <v>420</v>
      </c>
      <c r="AK46" s="703" t="s">
        <v>421</v>
      </c>
      <c r="AL46" s="703" t="s">
        <v>422</v>
      </c>
      <c r="AM46" s="703" t="s">
        <v>423</v>
      </c>
      <c r="AN46" s="704">
        <v>2021.0</v>
      </c>
      <c r="AO46" s="705">
        <v>83305.67948</v>
      </c>
      <c r="AP46" s="705">
        <v>120816.7917</v>
      </c>
      <c r="AQ46" s="706">
        <v>52568.77857</v>
      </c>
      <c r="AS46" s="707" t="s">
        <v>422</v>
      </c>
      <c r="AT46" s="708" t="s">
        <v>420</v>
      </c>
      <c r="AU46" s="708" t="s">
        <v>441</v>
      </c>
      <c r="AV46" s="708" t="s">
        <v>462</v>
      </c>
      <c r="AW46" s="708" t="s">
        <v>419</v>
      </c>
      <c r="AX46" s="708" t="s">
        <v>50</v>
      </c>
      <c r="AY46" s="708" t="s">
        <v>427</v>
      </c>
      <c r="AZ46" s="711" t="s">
        <v>428</v>
      </c>
      <c r="BA46" s="709">
        <v>689.4913707</v>
      </c>
      <c r="BB46" s="709">
        <v>246.4574462</v>
      </c>
      <c r="BC46" s="709">
        <v>1525.455465</v>
      </c>
      <c r="BD46" s="710" t="s">
        <v>429</v>
      </c>
      <c r="BS46" s="707" t="s">
        <v>422</v>
      </c>
      <c r="BT46" s="708" t="s">
        <v>420</v>
      </c>
      <c r="BU46" s="708" t="s">
        <v>425</v>
      </c>
      <c r="BV46" s="708" t="s">
        <v>118</v>
      </c>
      <c r="BW46" s="708" t="s">
        <v>424</v>
      </c>
      <c r="BX46" s="708" t="s">
        <v>430</v>
      </c>
      <c r="BY46" s="708" t="s">
        <v>427</v>
      </c>
      <c r="BZ46" s="711" t="s">
        <v>428</v>
      </c>
      <c r="CA46" s="709">
        <v>98746.64</v>
      </c>
      <c r="CB46" s="709">
        <v>35277.06</v>
      </c>
      <c r="CC46" s="709">
        <v>158329.99</v>
      </c>
      <c r="CD46" s="710" t="s">
        <v>429</v>
      </c>
      <c r="CE46" s="460"/>
    </row>
    <row r="47">
      <c r="A47" s="690"/>
      <c r="B47" s="712" t="s">
        <v>433</v>
      </c>
      <c r="C47" s="713" t="s">
        <v>416</v>
      </c>
      <c r="D47" s="714" t="s">
        <v>447</v>
      </c>
      <c r="E47" s="715">
        <v>2021.0</v>
      </c>
      <c r="F47" s="713" t="s">
        <v>418</v>
      </c>
      <c r="G47" s="713" t="s">
        <v>50</v>
      </c>
      <c r="H47" s="716">
        <v>4.5765985E7</v>
      </c>
      <c r="I47" s="716">
        <v>5.163798E7</v>
      </c>
      <c r="J47" s="717">
        <v>3.9734872E7</v>
      </c>
      <c r="K47" s="695"/>
      <c r="L47" s="707" t="s">
        <v>419</v>
      </c>
      <c r="M47" s="708" t="s">
        <v>99</v>
      </c>
      <c r="N47" s="708" t="s">
        <v>420</v>
      </c>
      <c r="O47" s="708" t="s">
        <v>432</v>
      </c>
      <c r="P47" s="708" t="s">
        <v>422</v>
      </c>
      <c r="Q47" s="708" t="s">
        <v>50</v>
      </c>
      <c r="R47" s="708">
        <v>2021.0</v>
      </c>
      <c r="S47" s="709">
        <v>0.0</v>
      </c>
      <c r="T47" s="709">
        <v>0.0</v>
      </c>
      <c r="U47" s="710">
        <v>0.0</v>
      </c>
      <c r="W47" s="707" t="s">
        <v>419</v>
      </c>
      <c r="X47" s="708" t="s">
        <v>535</v>
      </c>
      <c r="Y47" s="708" t="s">
        <v>420</v>
      </c>
      <c r="Z47" s="708" t="s">
        <v>421</v>
      </c>
      <c r="AA47" s="708" t="s">
        <v>422</v>
      </c>
      <c r="AB47" s="708" t="s">
        <v>423</v>
      </c>
      <c r="AC47" s="708">
        <v>2021.0</v>
      </c>
      <c r="AD47" s="709">
        <v>29.21055252</v>
      </c>
      <c r="AE47" s="709">
        <v>69.16841109</v>
      </c>
      <c r="AF47" s="710">
        <v>10.02610034</v>
      </c>
      <c r="AH47" s="712" t="s">
        <v>424</v>
      </c>
      <c r="AI47" s="714" t="s">
        <v>472</v>
      </c>
      <c r="AJ47" s="714" t="s">
        <v>420</v>
      </c>
      <c r="AK47" s="714" t="s">
        <v>434</v>
      </c>
      <c r="AL47" s="714" t="s">
        <v>422</v>
      </c>
      <c r="AM47" s="714" t="s">
        <v>423</v>
      </c>
      <c r="AN47" s="715">
        <v>2021.0</v>
      </c>
      <c r="AO47" s="716">
        <v>34167.68785</v>
      </c>
      <c r="AP47" s="716">
        <v>64393.89469</v>
      </c>
      <c r="AQ47" s="717">
        <v>18899.96599</v>
      </c>
      <c r="AS47" s="707" t="s">
        <v>422</v>
      </c>
      <c r="AT47" s="708" t="s">
        <v>420</v>
      </c>
      <c r="AU47" s="708" t="s">
        <v>445</v>
      </c>
      <c r="AV47" s="708" t="s">
        <v>462</v>
      </c>
      <c r="AW47" s="708" t="s">
        <v>419</v>
      </c>
      <c r="AX47" s="708" t="s">
        <v>50</v>
      </c>
      <c r="AY47" s="708" t="s">
        <v>427</v>
      </c>
      <c r="AZ47" s="711" t="s">
        <v>428</v>
      </c>
      <c r="BA47" s="709">
        <v>3496.137775</v>
      </c>
      <c r="BB47" s="709">
        <v>1234.258781</v>
      </c>
      <c r="BC47" s="709">
        <v>7888.066973</v>
      </c>
      <c r="BD47" s="710" t="s">
        <v>429</v>
      </c>
      <c r="BS47" s="707" t="s">
        <v>422</v>
      </c>
      <c r="BT47" s="708" t="s">
        <v>420</v>
      </c>
      <c r="BU47" s="708" t="s">
        <v>437</v>
      </c>
      <c r="BV47" s="708" t="s">
        <v>118</v>
      </c>
      <c r="BW47" s="708" t="s">
        <v>424</v>
      </c>
      <c r="BX47" s="708" t="s">
        <v>430</v>
      </c>
      <c r="BY47" s="708" t="s">
        <v>427</v>
      </c>
      <c r="BZ47" s="711" t="s">
        <v>428</v>
      </c>
      <c r="CA47" s="709">
        <v>40692.243</v>
      </c>
      <c r="CB47" s="709">
        <v>18281.454</v>
      </c>
      <c r="CC47" s="709">
        <v>78292.453</v>
      </c>
      <c r="CD47" s="710" t="s">
        <v>429</v>
      </c>
      <c r="CE47" s="460"/>
    </row>
    <row r="48">
      <c r="A48" s="690"/>
      <c r="B48" s="701" t="s">
        <v>433</v>
      </c>
      <c r="C48" s="702" t="s">
        <v>416</v>
      </c>
      <c r="D48" s="703" t="s">
        <v>432</v>
      </c>
      <c r="E48" s="704">
        <v>2021.0</v>
      </c>
      <c r="F48" s="702" t="s">
        <v>418</v>
      </c>
      <c r="G48" s="702" t="s">
        <v>50</v>
      </c>
      <c r="H48" s="705">
        <v>53178.0</v>
      </c>
      <c r="I48" s="705">
        <v>60001.0</v>
      </c>
      <c r="J48" s="706">
        <v>46170.0</v>
      </c>
      <c r="K48" s="695"/>
      <c r="L48" s="707" t="s">
        <v>419</v>
      </c>
      <c r="M48" s="708" t="s">
        <v>99</v>
      </c>
      <c r="N48" s="708" t="s">
        <v>420</v>
      </c>
      <c r="O48" s="708" t="s">
        <v>439</v>
      </c>
      <c r="P48" s="708" t="s">
        <v>422</v>
      </c>
      <c r="Q48" s="708" t="s">
        <v>50</v>
      </c>
      <c r="R48" s="708">
        <v>2021.0</v>
      </c>
      <c r="S48" s="709">
        <v>645.2021212</v>
      </c>
      <c r="T48" s="709">
        <v>1303.687063</v>
      </c>
      <c r="U48" s="710">
        <v>216.0865215</v>
      </c>
      <c r="W48" s="707" t="s">
        <v>419</v>
      </c>
      <c r="X48" s="708" t="s">
        <v>536</v>
      </c>
      <c r="Y48" s="708" t="s">
        <v>420</v>
      </c>
      <c r="Z48" s="708" t="s">
        <v>421</v>
      </c>
      <c r="AA48" s="708" t="s">
        <v>422</v>
      </c>
      <c r="AB48" s="708" t="s">
        <v>423</v>
      </c>
      <c r="AC48" s="708">
        <v>2021.0</v>
      </c>
      <c r="AD48" s="709">
        <v>0.122871719</v>
      </c>
      <c r="AE48" s="709">
        <v>0.553244948</v>
      </c>
      <c r="AF48" s="710">
        <v>0.026255054</v>
      </c>
      <c r="AH48" s="701" t="s">
        <v>424</v>
      </c>
      <c r="AI48" s="703" t="s">
        <v>472</v>
      </c>
      <c r="AJ48" s="703" t="s">
        <v>420</v>
      </c>
      <c r="AK48" s="703" t="s">
        <v>417</v>
      </c>
      <c r="AL48" s="703" t="s">
        <v>422</v>
      </c>
      <c r="AM48" s="703" t="s">
        <v>423</v>
      </c>
      <c r="AN48" s="704">
        <v>2021.0</v>
      </c>
      <c r="AO48" s="705">
        <v>58790.15763</v>
      </c>
      <c r="AP48" s="705">
        <v>85265.85486</v>
      </c>
      <c r="AQ48" s="706">
        <v>37100.1562</v>
      </c>
      <c r="AS48" s="707" t="s">
        <v>422</v>
      </c>
      <c r="AT48" s="708" t="s">
        <v>420</v>
      </c>
      <c r="AU48" s="708" t="s">
        <v>425</v>
      </c>
      <c r="AV48" s="708" t="s">
        <v>464</v>
      </c>
      <c r="AW48" s="708" t="s">
        <v>419</v>
      </c>
      <c r="AX48" s="708" t="s">
        <v>50</v>
      </c>
      <c r="AY48" s="708" t="s">
        <v>427</v>
      </c>
      <c r="AZ48" s="711" t="s">
        <v>428</v>
      </c>
      <c r="BA48" s="709">
        <v>1590.361559</v>
      </c>
      <c r="BB48" s="709">
        <v>504.7345031</v>
      </c>
      <c r="BC48" s="709">
        <v>3102.897249</v>
      </c>
      <c r="BD48" s="710" t="s">
        <v>429</v>
      </c>
      <c r="BS48" s="707" t="s">
        <v>422</v>
      </c>
      <c r="BT48" s="708" t="s">
        <v>420</v>
      </c>
      <c r="BU48" s="708" t="s">
        <v>425</v>
      </c>
      <c r="BV48" s="708" t="s">
        <v>119</v>
      </c>
      <c r="BW48" s="708" t="s">
        <v>424</v>
      </c>
      <c r="BX48" s="708" t="s">
        <v>430</v>
      </c>
      <c r="BY48" s="708" t="s">
        <v>427</v>
      </c>
      <c r="BZ48" s="711" t="s">
        <v>428</v>
      </c>
      <c r="CA48" s="709">
        <v>90253.5</v>
      </c>
      <c r="CB48" s="709">
        <v>37416.062</v>
      </c>
      <c r="CC48" s="709">
        <v>156479.5</v>
      </c>
      <c r="CD48" s="710" t="s">
        <v>429</v>
      </c>
      <c r="CE48" s="460"/>
    </row>
    <row r="49">
      <c r="A49" s="690"/>
      <c r="B49" s="712" t="s">
        <v>433</v>
      </c>
      <c r="C49" s="713" t="s">
        <v>416</v>
      </c>
      <c r="D49" s="714" t="s">
        <v>450</v>
      </c>
      <c r="E49" s="715">
        <v>2021.0</v>
      </c>
      <c r="F49" s="713" t="s">
        <v>418</v>
      </c>
      <c r="G49" s="713" t="s">
        <v>50</v>
      </c>
      <c r="H49" s="716">
        <v>1.5880776E7</v>
      </c>
      <c r="I49" s="716">
        <v>1.7918355E7</v>
      </c>
      <c r="J49" s="717">
        <v>1.3787982E7</v>
      </c>
      <c r="K49" s="695"/>
      <c r="L49" s="707" t="s">
        <v>419</v>
      </c>
      <c r="M49" s="708" t="s">
        <v>99</v>
      </c>
      <c r="N49" s="708" t="s">
        <v>420</v>
      </c>
      <c r="O49" s="708" t="s">
        <v>443</v>
      </c>
      <c r="P49" s="708" t="s">
        <v>422</v>
      </c>
      <c r="Q49" s="708" t="s">
        <v>50</v>
      </c>
      <c r="R49" s="708">
        <v>2021.0</v>
      </c>
      <c r="S49" s="709">
        <v>27762.9321</v>
      </c>
      <c r="T49" s="709">
        <v>52331.20121</v>
      </c>
      <c r="U49" s="710">
        <v>11228.68163</v>
      </c>
      <c r="W49" s="707" t="s">
        <v>419</v>
      </c>
      <c r="X49" s="708" t="s">
        <v>103</v>
      </c>
      <c r="Y49" s="708" t="s">
        <v>420</v>
      </c>
      <c r="Z49" s="708" t="s">
        <v>421</v>
      </c>
      <c r="AA49" s="708" t="s">
        <v>422</v>
      </c>
      <c r="AB49" s="708" t="s">
        <v>423</v>
      </c>
      <c r="AC49" s="708">
        <v>2021.0</v>
      </c>
      <c r="AD49" s="709">
        <v>351.3933147</v>
      </c>
      <c r="AE49" s="709">
        <v>671.8904422</v>
      </c>
      <c r="AF49" s="710">
        <v>151.6128927</v>
      </c>
      <c r="AH49" s="712" t="s">
        <v>424</v>
      </c>
      <c r="AI49" s="714" t="s">
        <v>474</v>
      </c>
      <c r="AJ49" s="714" t="s">
        <v>420</v>
      </c>
      <c r="AK49" s="714" t="s">
        <v>421</v>
      </c>
      <c r="AL49" s="714" t="s">
        <v>422</v>
      </c>
      <c r="AM49" s="714" t="s">
        <v>423</v>
      </c>
      <c r="AN49" s="715">
        <v>2021.0</v>
      </c>
      <c r="AO49" s="716">
        <v>10292.60311</v>
      </c>
      <c r="AP49" s="716">
        <v>11809.74387</v>
      </c>
      <c r="AQ49" s="717">
        <v>8972.550947</v>
      </c>
      <c r="AS49" s="707" t="s">
        <v>422</v>
      </c>
      <c r="AT49" s="708" t="s">
        <v>420</v>
      </c>
      <c r="AU49" s="708" t="s">
        <v>435</v>
      </c>
      <c r="AV49" s="708" t="s">
        <v>464</v>
      </c>
      <c r="AW49" s="708" t="s">
        <v>419</v>
      </c>
      <c r="AX49" s="708" t="s">
        <v>50</v>
      </c>
      <c r="AY49" s="708" t="s">
        <v>427</v>
      </c>
      <c r="AZ49" s="711" t="s">
        <v>428</v>
      </c>
      <c r="BA49" s="709">
        <v>87.96971569</v>
      </c>
      <c r="BB49" s="709">
        <v>19.70013025</v>
      </c>
      <c r="BC49" s="709">
        <v>212.4445587</v>
      </c>
      <c r="BD49" s="710" t="s">
        <v>429</v>
      </c>
      <c r="BS49" s="707" t="s">
        <v>422</v>
      </c>
      <c r="BT49" s="708" t="s">
        <v>420</v>
      </c>
      <c r="BU49" s="708" t="s">
        <v>437</v>
      </c>
      <c r="BV49" s="708" t="s">
        <v>119</v>
      </c>
      <c r="BW49" s="708" t="s">
        <v>424</v>
      </c>
      <c r="BX49" s="708" t="s">
        <v>430</v>
      </c>
      <c r="BY49" s="708" t="s">
        <v>427</v>
      </c>
      <c r="BZ49" s="711" t="s">
        <v>428</v>
      </c>
      <c r="CA49" s="709">
        <v>36989.745</v>
      </c>
      <c r="CB49" s="709">
        <v>16910.844</v>
      </c>
      <c r="CC49" s="709">
        <v>76788.17</v>
      </c>
      <c r="CD49" s="710" t="s">
        <v>429</v>
      </c>
      <c r="CE49" s="460"/>
    </row>
    <row r="50">
      <c r="A50" s="690"/>
      <c r="B50" s="701" t="s">
        <v>433</v>
      </c>
      <c r="C50" s="702" t="s">
        <v>416</v>
      </c>
      <c r="D50" s="703" t="s">
        <v>453</v>
      </c>
      <c r="E50" s="704">
        <v>2021.0</v>
      </c>
      <c r="F50" s="702" t="s">
        <v>418</v>
      </c>
      <c r="G50" s="702" t="s">
        <v>50</v>
      </c>
      <c r="H50" s="705">
        <v>3.1103858E7</v>
      </c>
      <c r="I50" s="705">
        <v>3.5094632E7</v>
      </c>
      <c r="J50" s="706">
        <v>2.7004943E7</v>
      </c>
      <c r="K50" s="695"/>
      <c r="L50" s="707" t="s">
        <v>419</v>
      </c>
      <c r="M50" s="708" t="s">
        <v>99</v>
      </c>
      <c r="N50" s="708" t="s">
        <v>420</v>
      </c>
      <c r="O50" s="708" t="s">
        <v>417</v>
      </c>
      <c r="P50" s="708" t="s">
        <v>422</v>
      </c>
      <c r="Q50" s="708" t="s">
        <v>50</v>
      </c>
      <c r="R50" s="708">
        <v>2021.0</v>
      </c>
      <c r="S50" s="709">
        <v>5638.900057</v>
      </c>
      <c r="T50" s="709">
        <v>10018.38389</v>
      </c>
      <c r="U50" s="710">
        <v>2340.955444</v>
      </c>
      <c r="W50" s="707" t="s">
        <v>419</v>
      </c>
      <c r="X50" s="708" t="s">
        <v>104</v>
      </c>
      <c r="Y50" s="708" t="s">
        <v>420</v>
      </c>
      <c r="Z50" s="708" t="s">
        <v>421</v>
      </c>
      <c r="AA50" s="708" t="s">
        <v>422</v>
      </c>
      <c r="AB50" s="708" t="s">
        <v>423</v>
      </c>
      <c r="AC50" s="708">
        <v>2021.0</v>
      </c>
      <c r="AD50" s="709">
        <v>194.2996635</v>
      </c>
      <c r="AE50" s="709">
        <v>338.4447821</v>
      </c>
      <c r="AF50" s="710">
        <v>63.69016447</v>
      </c>
      <c r="AH50" s="701" t="s">
        <v>424</v>
      </c>
      <c r="AI50" s="703" t="s">
        <v>474</v>
      </c>
      <c r="AJ50" s="703" t="s">
        <v>420</v>
      </c>
      <c r="AK50" s="703" t="s">
        <v>434</v>
      </c>
      <c r="AL50" s="703" t="s">
        <v>422</v>
      </c>
      <c r="AM50" s="703" t="s">
        <v>423</v>
      </c>
      <c r="AN50" s="704">
        <v>2021.0</v>
      </c>
      <c r="AO50" s="705">
        <v>8688.325962</v>
      </c>
      <c r="AP50" s="705">
        <v>9661.124744</v>
      </c>
      <c r="AQ50" s="706">
        <v>7844.500488</v>
      </c>
      <c r="AS50" s="707" t="s">
        <v>422</v>
      </c>
      <c r="AT50" s="708" t="s">
        <v>420</v>
      </c>
      <c r="AU50" s="708" t="s">
        <v>441</v>
      </c>
      <c r="AV50" s="708" t="s">
        <v>464</v>
      </c>
      <c r="AW50" s="708" t="s">
        <v>419</v>
      </c>
      <c r="AX50" s="708" t="s">
        <v>50</v>
      </c>
      <c r="AY50" s="708" t="s">
        <v>427</v>
      </c>
      <c r="AZ50" s="711" t="s">
        <v>428</v>
      </c>
      <c r="BA50" s="709">
        <v>518.5583476</v>
      </c>
      <c r="BB50" s="709">
        <v>147.0615945</v>
      </c>
      <c r="BC50" s="709">
        <v>1018.151927</v>
      </c>
      <c r="BD50" s="710" t="s">
        <v>429</v>
      </c>
      <c r="BS50" s="707" t="s">
        <v>422</v>
      </c>
      <c r="BT50" s="708" t="s">
        <v>420</v>
      </c>
      <c r="BU50" s="708" t="s">
        <v>425</v>
      </c>
      <c r="BV50" s="708" t="s">
        <v>496</v>
      </c>
      <c r="BW50" s="708" t="s">
        <v>424</v>
      </c>
      <c r="BX50" s="708" t="s">
        <v>430</v>
      </c>
      <c r="BY50" s="708" t="s">
        <v>427</v>
      </c>
      <c r="BZ50" s="711" t="s">
        <v>428</v>
      </c>
      <c r="CA50" s="709">
        <v>91406.107</v>
      </c>
      <c r="CB50" s="709">
        <v>39503.232</v>
      </c>
      <c r="CC50" s="709">
        <v>154655.2</v>
      </c>
      <c r="CD50" s="710" t="s">
        <v>429</v>
      </c>
      <c r="CE50" s="460"/>
    </row>
    <row r="51">
      <c r="A51" s="690"/>
      <c r="B51" s="712" t="s">
        <v>433</v>
      </c>
      <c r="C51" s="713" t="s">
        <v>416</v>
      </c>
      <c r="D51" s="714" t="s">
        <v>454</v>
      </c>
      <c r="E51" s="715">
        <v>2021.0</v>
      </c>
      <c r="F51" s="713" t="s">
        <v>418</v>
      </c>
      <c r="G51" s="713" t="s">
        <v>50</v>
      </c>
      <c r="H51" s="716">
        <v>4.5795079E7</v>
      </c>
      <c r="I51" s="716">
        <v>5.1670807E7</v>
      </c>
      <c r="J51" s="717">
        <v>3.9760132E7</v>
      </c>
      <c r="K51" s="695"/>
      <c r="L51" s="707" t="s">
        <v>419</v>
      </c>
      <c r="M51" s="708" t="s">
        <v>99</v>
      </c>
      <c r="N51" s="708" t="s">
        <v>420</v>
      </c>
      <c r="O51" s="708" t="s">
        <v>438</v>
      </c>
      <c r="P51" s="708" t="s">
        <v>422</v>
      </c>
      <c r="Q51" s="708" t="s">
        <v>50</v>
      </c>
      <c r="R51" s="708">
        <v>2021.0</v>
      </c>
      <c r="S51" s="709">
        <v>645.2021212</v>
      </c>
      <c r="T51" s="709">
        <v>1303.687063</v>
      </c>
      <c r="U51" s="710">
        <v>216.0865215</v>
      </c>
      <c r="W51" s="718" t="s">
        <v>419</v>
      </c>
      <c r="X51" s="719" t="s">
        <v>105</v>
      </c>
      <c r="Y51" s="719" t="s">
        <v>420</v>
      </c>
      <c r="Z51" s="719" t="s">
        <v>421</v>
      </c>
      <c r="AA51" s="719" t="s">
        <v>422</v>
      </c>
      <c r="AB51" s="719" t="s">
        <v>423</v>
      </c>
      <c r="AC51" s="720">
        <v>2021.0</v>
      </c>
      <c r="AD51" s="721">
        <v>454.7401698</v>
      </c>
      <c r="AE51" s="721">
        <v>771.7227077</v>
      </c>
      <c r="AF51" s="722">
        <v>157.460622</v>
      </c>
      <c r="AH51" s="712" t="s">
        <v>424</v>
      </c>
      <c r="AI51" s="714" t="s">
        <v>474</v>
      </c>
      <c r="AJ51" s="714" t="s">
        <v>420</v>
      </c>
      <c r="AK51" s="714" t="s">
        <v>417</v>
      </c>
      <c r="AL51" s="714" t="s">
        <v>422</v>
      </c>
      <c r="AM51" s="714" t="s">
        <v>423</v>
      </c>
      <c r="AN51" s="715">
        <v>2021.0</v>
      </c>
      <c r="AO51" s="716">
        <v>7200.37809</v>
      </c>
      <c r="AP51" s="716">
        <v>8271.088682</v>
      </c>
      <c r="AQ51" s="717">
        <v>6270.173763</v>
      </c>
      <c r="AS51" s="707" t="s">
        <v>422</v>
      </c>
      <c r="AT51" s="708" t="s">
        <v>420</v>
      </c>
      <c r="AU51" s="708" t="s">
        <v>445</v>
      </c>
      <c r="AV51" s="708" t="s">
        <v>464</v>
      </c>
      <c r="AW51" s="708" t="s">
        <v>419</v>
      </c>
      <c r="AX51" s="708" t="s">
        <v>50</v>
      </c>
      <c r="AY51" s="708" t="s">
        <v>427</v>
      </c>
      <c r="AZ51" s="711" t="s">
        <v>428</v>
      </c>
      <c r="BA51" s="709">
        <v>3539.254855</v>
      </c>
      <c r="BB51" s="709">
        <v>989.7004277</v>
      </c>
      <c r="BC51" s="709">
        <v>7362.364134</v>
      </c>
      <c r="BD51" s="710" t="s">
        <v>429</v>
      </c>
      <c r="BS51" s="707" t="s">
        <v>422</v>
      </c>
      <c r="BT51" s="708" t="s">
        <v>420</v>
      </c>
      <c r="BU51" s="708" t="s">
        <v>437</v>
      </c>
      <c r="BV51" s="708" t="s">
        <v>496</v>
      </c>
      <c r="BW51" s="708" t="s">
        <v>424</v>
      </c>
      <c r="BX51" s="708" t="s">
        <v>430</v>
      </c>
      <c r="BY51" s="708" t="s">
        <v>427</v>
      </c>
      <c r="BZ51" s="711" t="s">
        <v>428</v>
      </c>
      <c r="CA51" s="709">
        <v>37886.384</v>
      </c>
      <c r="CB51" s="709">
        <v>18801.087</v>
      </c>
      <c r="CC51" s="709">
        <v>86080.26</v>
      </c>
      <c r="CD51" s="710" t="s">
        <v>429</v>
      </c>
      <c r="CE51" s="460"/>
    </row>
    <row r="52">
      <c r="A52" s="690"/>
      <c r="B52" s="701" t="s">
        <v>433</v>
      </c>
      <c r="C52" s="702" t="s">
        <v>416</v>
      </c>
      <c r="D52" s="703" t="s">
        <v>457</v>
      </c>
      <c r="E52" s="704">
        <v>2021.0</v>
      </c>
      <c r="F52" s="702" t="s">
        <v>418</v>
      </c>
      <c r="G52" s="702" t="s">
        <v>50</v>
      </c>
      <c r="H52" s="705">
        <v>2820063.0</v>
      </c>
      <c r="I52" s="705">
        <v>3181891.0</v>
      </c>
      <c r="J52" s="706">
        <v>2448431.0</v>
      </c>
      <c r="K52" s="695"/>
      <c r="L52" s="707" t="s">
        <v>419</v>
      </c>
      <c r="M52" s="708" t="s">
        <v>455</v>
      </c>
      <c r="N52" s="708" t="s">
        <v>420</v>
      </c>
      <c r="O52" s="708" t="s">
        <v>421</v>
      </c>
      <c r="P52" s="708" t="s">
        <v>422</v>
      </c>
      <c r="Q52" s="708" t="s">
        <v>50</v>
      </c>
      <c r="R52" s="708">
        <v>2021.0</v>
      </c>
      <c r="S52" s="709">
        <v>0.035218716</v>
      </c>
      <c r="T52" s="709">
        <v>0.167433215</v>
      </c>
      <c r="U52" s="710">
        <v>0.001575576</v>
      </c>
      <c r="W52" s="707" t="s">
        <v>419</v>
      </c>
      <c r="X52" s="708" t="s">
        <v>537</v>
      </c>
      <c r="Y52" s="708" t="s">
        <v>420</v>
      </c>
      <c r="Z52" s="708" t="s">
        <v>421</v>
      </c>
      <c r="AA52" s="708" t="s">
        <v>422</v>
      </c>
      <c r="AB52" s="708" t="s">
        <v>423</v>
      </c>
      <c r="AC52" s="708">
        <v>2021.0</v>
      </c>
      <c r="AD52" s="709">
        <v>129.4207658</v>
      </c>
      <c r="AE52" s="709">
        <v>257.6675958</v>
      </c>
      <c r="AF52" s="710">
        <v>42.14055811</v>
      </c>
      <c r="AH52" s="701" t="s">
        <v>424</v>
      </c>
      <c r="AI52" s="703" t="s">
        <v>477</v>
      </c>
      <c r="AJ52" s="703" t="s">
        <v>420</v>
      </c>
      <c r="AK52" s="703" t="s">
        <v>421</v>
      </c>
      <c r="AL52" s="703" t="s">
        <v>422</v>
      </c>
      <c r="AM52" s="703" t="s">
        <v>423</v>
      </c>
      <c r="AN52" s="704">
        <v>2021.0</v>
      </c>
      <c r="AO52" s="705">
        <v>64636.33415</v>
      </c>
      <c r="AP52" s="705">
        <v>114403.0234</v>
      </c>
      <c r="AQ52" s="706">
        <v>16330.97823</v>
      </c>
      <c r="AS52" s="707" t="s">
        <v>422</v>
      </c>
      <c r="AT52" s="708" t="s">
        <v>420</v>
      </c>
      <c r="AU52" s="708" t="s">
        <v>425</v>
      </c>
      <c r="AV52" s="708" t="s">
        <v>467</v>
      </c>
      <c r="AW52" s="708" t="s">
        <v>419</v>
      </c>
      <c r="AX52" s="708" t="s">
        <v>50</v>
      </c>
      <c r="AY52" s="708" t="s">
        <v>427</v>
      </c>
      <c r="AZ52" s="711" t="s">
        <v>428</v>
      </c>
      <c r="BA52" s="709">
        <v>848.8242534</v>
      </c>
      <c r="BB52" s="709">
        <v>425.1491616</v>
      </c>
      <c r="BC52" s="709">
        <v>1409.459778</v>
      </c>
      <c r="BD52" s="710" t="s">
        <v>429</v>
      </c>
      <c r="BS52" s="707" t="s">
        <v>422</v>
      </c>
      <c r="BT52" s="708" t="s">
        <v>420</v>
      </c>
      <c r="BU52" s="708" t="s">
        <v>425</v>
      </c>
      <c r="BV52" s="708" t="s">
        <v>499</v>
      </c>
      <c r="BW52" s="708" t="s">
        <v>424</v>
      </c>
      <c r="BX52" s="708" t="s">
        <v>430</v>
      </c>
      <c r="BY52" s="708" t="s">
        <v>427</v>
      </c>
      <c r="BZ52" s="711" t="s">
        <v>428</v>
      </c>
      <c r="CA52" s="709">
        <v>45418.07</v>
      </c>
      <c r="CB52" s="709">
        <v>13202.894</v>
      </c>
      <c r="CC52" s="709">
        <v>111729.62</v>
      </c>
      <c r="CD52" s="710" t="s">
        <v>429</v>
      </c>
      <c r="CE52" s="460"/>
    </row>
    <row r="53">
      <c r="A53" s="690"/>
      <c r="B53" s="712" t="s">
        <v>433</v>
      </c>
      <c r="C53" s="713" t="s">
        <v>416</v>
      </c>
      <c r="D53" s="714" t="s">
        <v>460</v>
      </c>
      <c r="E53" s="715">
        <v>2021.0</v>
      </c>
      <c r="F53" s="713" t="s">
        <v>418</v>
      </c>
      <c r="G53" s="713" t="s">
        <v>50</v>
      </c>
      <c r="H53" s="716">
        <v>1170675.0</v>
      </c>
      <c r="I53" s="716">
        <v>1320879.0</v>
      </c>
      <c r="J53" s="717">
        <v>1016402.0</v>
      </c>
      <c r="K53" s="695"/>
      <c r="L53" s="707" t="s">
        <v>419</v>
      </c>
      <c r="M53" s="708" t="s">
        <v>455</v>
      </c>
      <c r="N53" s="708" t="s">
        <v>420</v>
      </c>
      <c r="O53" s="708" t="s">
        <v>432</v>
      </c>
      <c r="P53" s="708" t="s">
        <v>422</v>
      </c>
      <c r="Q53" s="708" t="s">
        <v>50</v>
      </c>
      <c r="R53" s="708">
        <v>2021.0</v>
      </c>
      <c r="S53" s="709">
        <v>0.0</v>
      </c>
      <c r="T53" s="709">
        <v>0.0</v>
      </c>
      <c r="U53" s="710">
        <v>0.0</v>
      </c>
      <c r="W53" s="707" t="s">
        <v>419</v>
      </c>
      <c r="X53" s="708" t="s">
        <v>538</v>
      </c>
      <c r="Y53" s="708" t="s">
        <v>420</v>
      </c>
      <c r="Z53" s="708" t="s">
        <v>421</v>
      </c>
      <c r="AA53" s="708" t="s">
        <v>422</v>
      </c>
      <c r="AB53" s="708" t="s">
        <v>423</v>
      </c>
      <c r="AC53" s="708">
        <v>2021.0</v>
      </c>
      <c r="AD53" s="709">
        <v>110.2101084</v>
      </c>
      <c r="AE53" s="709">
        <v>224.5153108</v>
      </c>
      <c r="AF53" s="710">
        <v>29.91420807</v>
      </c>
      <c r="AH53" s="712" t="s">
        <v>424</v>
      </c>
      <c r="AI53" s="714" t="s">
        <v>477</v>
      </c>
      <c r="AJ53" s="714" t="s">
        <v>420</v>
      </c>
      <c r="AK53" s="714" t="s">
        <v>434</v>
      </c>
      <c r="AL53" s="714" t="s">
        <v>422</v>
      </c>
      <c r="AM53" s="714" t="s">
        <v>423</v>
      </c>
      <c r="AN53" s="715">
        <v>2021.0</v>
      </c>
      <c r="AO53" s="716">
        <v>25792.66576</v>
      </c>
      <c r="AP53" s="716">
        <v>53774.16194</v>
      </c>
      <c r="AQ53" s="717">
        <v>10156.15453</v>
      </c>
      <c r="AS53" s="707" t="s">
        <v>422</v>
      </c>
      <c r="AT53" s="708" t="s">
        <v>420</v>
      </c>
      <c r="AU53" s="708" t="s">
        <v>435</v>
      </c>
      <c r="AV53" s="708" t="s">
        <v>467</v>
      </c>
      <c r="AW53" s="708" t="s">
        <v>419</v>
      </c>
      <c r="AX53" s="708" t="s">
        <v>50</v>
      </c>
      <c r="AY53" s="708" t="s">
        <v>427</v>
      </c>
      <c r="AZ53" s="711" t="s">
        <v>428</v>
      </c>
      <c r="BA53" s="709">
        <v>53.05547795</v>
      </c>
      <c r="BB53" s="709">
        <v>20.35099032</v>
      </c>
      <c r="BC53" s="709">
        <v>108.8312189</v>
      </c>
      <c r="BD53" s="710" t="s">
        <v>429</v>
      </c>
      <c r="BS53" s="707" t="s">
        <v>422</v>
      </c>
      <c r="BT53" s="708" t="s">
        <v>420</v>
      </c>
      <c r="BU53" s="708" t="s">
        <v>437</v>
      </c>
      <c r="BV53" s="708" t="s">
        <v>499</v>
      </c>
      <c r="BW53" s="708" t="s">
        <v>424</v>
      </c>
      <c r="BX53" s="708" t="s">
        <v>430</v>
      </c>
      <c r="BY53" s="708" t="s">
        <v>427</v>
      </c>
      <c r="BZ53" s="711" t="s">
        <v>428</v>
      </c>
      <c r="CA53" s="709">
        <v>20617.607</v>
      </c>
      <c r="CB53" s="709">
        <v>9010.466</v>
      </c>
      <c r="CC53" s="709">
        <v>41167.885</v>
      </c>
      <c r="CD53" s="710" t="s">
        <v>429</v>
      </c>
      <c r="CE53" s="460"/>
    </row>
    <row r="54">
      <c r="A54" s="690"/>
      <c r="B54" s="701" t="s">
        <v>433</v>
      </c>
      <c r="C54" s="702" t="s">
        <v>416</v>
      </c>
      <c r="D54" s="703" t="s">
        <v>463</v>
      </c>
      <c r="E54" s="704">
        <v>2021.0</v>
      </c>
      <c r="F54" s="702" t="s">
        <v>418</v>
      </c>
      <c r="G54" s="702" t="s">
        <v>50</v>
      </c>
      <c r="H54" s="705">
        <v>1.5223082E7</v>
      </c>
      <c r="I54" s="705">
        <v>1.7176277E7</v>
      </c>
      <c r="J54" s="706">
        <v>1.3216961E7</v>
      </c>
      <c r="K54" s="695"/>
      <c r="L54" s="707" t="s">
        <v>419</v>
      </c>
      <c r="M54" s="708" t="s">
        <v>455</v>
      </c>
      <c r="N54" s="708" t="s">
        <v>420</v>
      </c>
      <c r="O54" s="708" t="s">
        <v>439</v>
      </c>
      <c r="P54" s="708" t="s">
        <v>422</v>
      </c>
      <c r="Q54" s="708" t="s">
        <v>50</v>
      </c>
      <c r="R54" s="708">
        <v>2021.0</v>
      </c>
      <c r="S54" s="709">
        <v>0.00129358</v>
      </c>
      <c r="T54" s="709">
        <v>0.006135171</v>
      </c>
      <c r="U54" s="710">
        <v>6.6E-5</v>
      </c>
      <c r="W54" s="728" t="s">
        <v>419</v>
      </c>
      <c r="X54" s="729" t="s">
        <v>539</v>
      </c>
      <c r="Y54" s="729" t="s">
        <v>420</v>
      </c>
      <c r="Z54" s="729" t="s">
        <v>421</v>
      </c>
      <c r="AA54" s="729" t="s">
        <v>422</v>
      </c>
      <c r="AB54" s="729" t="s">
        <v>423</v>
      </c>
      <c r="AC54" s="729">
        <v>2021.0</v>
      </c>
      <c r="AD54" s="731">
        <v>46.19234061</v>
      </c>
      <c r="AE54" s="731">
        <v>92.68688612</v>
      </c>
      <c r="AF54" s="732">
        <v>20.12269104</v>
      </c>
      <c r="AH54" s="701" t="s">
        <v>424</v>
      </c>
      <c r="AI54" s="703" t="s">
        <v>477</v>
      </c>
      <c r="AJ54" s="703" t="s">
        <v>420</v>
      </c>
      <c r="AK54" s="703" t="s">
        <v>417</v>
      </c>
      <c r="AL54" s="703" t="s">
        <v>422</v>
      </c>
      <c r="AM54" s="703" t="s">
        <v>423</v>
      </c>
      <c r="AN54" s="704">
        <v>2021.0</v>
      </c>
      <c r="AO54" s="705">
        <v>45445.91637</v>
      </c>
      <c r="AP54" s="705">
        <v>80437.60687</v>
      </c>
      <c r="AQ54" s="706">
        <v>11334.84187</v>
      </c>
      <c r="AS54" s="707" t="s">
        <v>422</v>
      </c>
      <c r="AT54" s="708" t="s">
        <v>420</v>
      </c>
      <c r="AU54" s="708" t="s">
        <v>441</v>
      </c>
      <c r="AV54" s="708" t="s">
        <v>467</v>
      </c>
      <c r="AW54" s="708" t="s">
        <v>419</v>
      </c>
      <c r="AX54" s="708" t="s">
        <v>50</v>
      </c>
      <c r="AY54" s="708" t="s">
        <v>427</v>
      </c>
      <c r="AZ54" s="711" t="s">
        <v>428</v>
      </c>
      <c r="BA54" s="709">
        <v>317.8980518</v>
      </c>
      <c r="BB54" s="709">
        <v>157.0418431</v>
      </c>
      <c r="BC54" s="709">
        <v>536.184119</v>
      </c>
      <c r="BD54" s="710" t="s">
        <v>429</v>
      </c>
      <c r="BS54" s="707" t="s">
        <v>422</v>
      </c>
      <c r="BT54" s="708" t="s">
        <v>420</v>
      </c>
      <c r="BU54" s="708" t="s">
        <v>425</v>
      </c>
      <c r="BV54" s="708" t="s">
        <v>120</v>
      </c>
      <c r="BW54" s="708" t="s">
        <v>424</v>
      </c>
      <c r="BX54" s="708" t="s">
        <v>430</v>
      </c>
      <c r="BY54" s="708" t="s">
        <v>427</v>
      </c>
      <c r="BZ54" s="711" t="s">
        <v>428</v>
      </c>
      <c r="CA54" s="709">
        <v>72018.194</v>
      </c>
      <c r="CB54" s="709">
        <v>26455.316</v>
      </c>
      <c r="CC54" s="709">
        <v>135790.56</v>
      </c>
      <c r="CD54" s="710" t="s">
        <v>429</v>
      </c>
      <c r="CE54" s="460"/>
    </row>
    <row r="55">
      <c r="A55" s="690"/>
      <c r="B55" s="712" t="s">
        <v>433</v>
      </c>
      <c r="C55" s="713" t="s">
        <v>416</v>
      </c>
      <c r="D55" s="714" t="s">
        <v>465</v>
      </c>
      <c r="E55" s="715">
        <v>2021.0</v>
      </c>
      <c r="F55" s="713" t="s">
        <v>418</v>
      </c>
      <c r="G55" s="713" t="s">
        <v>50</v>
      </c>
      <c r="H55" s="716">
        <v>8.7962646E7</v>
      </c>
      <c r="I55" s="716">
        <v>9.9248676E7</v>
      </c>
      <c r="J55" s="717">
        <v>7.6370792E7</v>
      </c>
      <c r="K55" s="695"/>
      <c r="L55" s="707" t="s">
        <v>419</v>
      </c>
      <c r="M55" s="708" t="s">
        <v>455</v>
      </c>
      <c r="N55" s="708" t="s">
        <v>420</v>
      </c>
      <c r="O55" s="708" t="s">
        <v>443</v>
      </c>
      <c r="P55" s="708" t="s">
        <v>422</v>
      </c>
      <c r="Q55" s="708" t="s">
        <v>50</v>
      </c>
      <c r="R55" s="708">
        <v>2021.0</v>
      </c>
      <c r="S55" s="709">
        <v>0.046077629</v>
      </c>
      <c r="T55" s="709">
        <v>0.216534527</v>
      </c>
      <c r="U55" s="710">
        <v>0.002223319</v>
      </c>
      <c r="AH55" s="712" t="s">
        <v>424</v>
      </c>
      <c r="AI55" s="714" t="s">
        <v>480</v>
      </c>
      <c r="AJ55" s="714" t="s">
        <v>420</v>
      </c>
      <c r="AK55" s="714" t="s">
        <v>421</v>
      </c>
      <c r="AL55" s="714" t="s">
        <v>422</v>
      </c>
      <c r="AM55" s="714" t="s">
        <v>423</v>
      </c>
      <c r="AN55" s="715">
        <v>2021.0</v>
      </c>
      <c r="AO55" s="716">
        <v>269.3669218</v>
      </c>
      <c r="AP55" s="716">
        <v>290.4338604</v>
      </c>
      <c r="AQ55" s="717">
        <v>250.1527862</v>
      </c>
      <c r="AS55" s="707" t="s">
        <v>422</v>
      </c>
      <c r="AT55" s="708" t="s">
        <v>420</v>
      </c>
      <c r="AU55" s="708" t="s">
        <v>445</v>
      </c>
      <c r="AV55" s="708" t="s">
        <v>467</v>
      </c>
      <c r="AW55" s="708" t="s">
        <v>419</v>
      </c>
      <c r="AX55" s="708" t="s">
        <v>50</v>
      </c>
      <c r="AY55" s="708" t="s">
        <v>427</v>
      </c>
      <c r="AZ55" s="711" t="s">
        <v>428</v>
      </c>
      <c r="BA55" s="709">
        <v>2040.255162</v>
      </c>
      <c r="BB55" s="709">
        <v>912.1554407</v>
      </c>
      <c r="BC55" s="709">
        <v>3646.008301</v>
      </c>
      <c r="BD55" s="710" t="s">
        <v>429</v>
      </c>
      <c r="BS55" s="707" t="s">
        <v>422</v>
      </c>
      <c r="BT55" s="708" t="s">
        <v>420</v>
      </c>
      <c r="BU55" s="708" t="s">
        <v>437</v>
      </c>
      <c r="BV55" s="708" t="s">
        <v>120</v>
      </c>
      <c r="BW55" s="708" t="s">
        <v>424</v>
      </c>
      <c r="BX55" s="708" t="s">
        <v>430</v>
      </c>
      <c r="BY55" s="708" t="s">
        <v>427</v>
      </c>
      <c r="BZ55" s="711" t="s">
        <v>428</v>
      </c>
      <c r="CA55" s="709">
        <v>30377.278</v>
      </c>
      <c r="CB55" s="709">
        <v>13783.501</v>
      </c>
      <c r="CC55" s="709">
        <v>51881.25</v>
      </c>
      <c r="CD55" s="710" t="s">
        <v>429</v>
      </c>
      <c r="CE55" s="460"/>
    </row>
    <row r="56">
      <c r="A56" s="690"/>
      <c r="B56" s="701" t="s">
        <v>433</v>
      </c>
      <c r="C56" s="702" t="s">
        <v>416</v>
      </c>
      <c r="D56" s="703" t="s">
        <v>468</v>
      </c>
      <c r="E56" s="704">
        <v>2021.0</v>
      </c>
      <c r="F56" s="702" t="s">
        <v>418</v>
      </c>
      <c r="G56" s="702" t="s">
        <v>50</v>
      </c>
      <c r="H56" s="705">
        <v>1.4691221E7</v>
      </c>
      <c r="I56" s="705">
        <v>1.6576175E7</v>
      </c>
      <c r="J56" s="706">
        <v>1.2755189E7</v>
      </c>
      <c r="K56" s="695"/>
      <c r="L56" s="707" t="s">
        <v>419</v>
      </c>
      <c r="M56" s="708" t="s">
        <v>455</v>
      </c>
      <c r="N56" s="708" t="s">
        <v>420</v>
      </c>
      <c r="O56" s="708" t="s">
        <v>417</v>
      </c>
      <c r="P56" s="708" t="s">
        <v>422</v>
      </c>
      <c r="Q56" s="708" t="s">
        <v>50</v>
      </c>
      <c r="R56" s="708">
        <v>2021.0</v>
      </c>
      <c r="S56" s="709">
        <v>0.021702421</v>
      </c>
      <c r="T56" s="709">
        <v>0.10795701</v>
      </c>
      <c r="U56" s="710">
        <v>9.27823E-4</v>
      </c>
      <c r="AH56" s="701" t="s">
        <v>424</v>
      </c>
      <c r="AI56" s="703" t="s">
        <v>480</v>
      </c>
      <c r="AJ56" s="703" t="s">
        <v>420</v>
      </c>
      <c r="AK56" s="703" t="s">
        <v>434</v>
      </c>
      <c r="AL56" s="703" t="s">
        <v>422</v>
      </c>
      <c r="AM56" s="703" t="s">
        <v>423</v>
      </c>
      <c r="AN56" s="704">
        <v>2021.0</v>
      </c>
      <c r="AO56" s="705">
        <v>449.9864036</v>
      </c>
      <c r="AP56" s="705">
        <v>479.6218936</v>
      </c>
      <c r="AQ56" s="706">
        <v>422.4162245</v>
      </c>
      <c r="AS56" s="707" t="s">
        <v>422</v>
      </c>
      <c r="AT56" s="708" t="s">
        <v>420</v>
      </c>
      <c r="AU56" s="708" t="s">
        <v>425</v>
      </c>
      <c r="AV56" s="708" t="s">
        <v>470</v>
      </c>
      <c r="AW56" s="708" t="s">
        <v>419</v>
      </c>
      <c r="AX56" s="708" t="s">
        <v>50</v>
      </c>
      <c r="AY56" s="708" t="s">
        <v>427</v>
      </c>
      <c r="AZ56" s="711" t="s">
        <v>428</v>
      </c>
      <c r="BA56" s="709">
        <v>1391.57947</v>
      </c>
      <c r="BB56" s="709">
        <v>570.9221365</v>
      </c>
      <c r="BC56" s="709">
        <v>2564.554609</v>
      </c>
      <c r="BD56" s="710" t="s">
        <v>429</v>
      </c>
      <c r="BS56" s="707" t="s">
        <v>422</v>
      </c>
      <c r="BT56" s="708" t="s">
        <v>420</v>
      </c>
      <c r="BU56" s="708" t="s">
        <v>425</v>
      </c>
      <c r="BV56" s="708" t="s">
        <v>504</v>
      </c>
      <c r="BW56" s="708" t="s">
        <v>424</v>
      </c>
      <c r="BX56" s="708" t="s">
        <v>430</v>
      </c>
      <c r="BY56" s="708" t="s">
        <v>427</v>
      </c>
      <c r="BZ56" s="711" t="s">
        <v>428</v>
      </c>
      <c r="CA56" s="709">
        <v>90486.72</v>
      </c>
      <c r="CB56" s="709">
        <v>41157.883</v>
      </c>
      <c r="CC56" s="709">
        <v>152768.29</v>
      </c>
      <c r="CD56" s="710" t="s">
        <v>429</v>
      </c>
      <c r="CE56" s="460"/>
    </row>
    <row r="57">
      <c r="A57" s="690"/>
      <c r="B57" s="712" t="s">
        <v>433</v>
      </c>
      <c r="C57" s="713" t="s">
        <v>416</v>
      </c>
      <c r="D57" s="714" t="s">
        <v>471</v>
      </c>
      <c r="E57" s="715">
        <v>2021.0</v>
      </c>
      <c r="F57" s="713" t="s">
        <v>418</v>
      </c>
      <c r="G57" s="713" t="s">
        <v>50</v>
      </c>
      <c r="H57" s="716">
        <v>8774722.0</v>
      </c>
      <c r="I57" s="716">
        <v>9900561.0</v>
      </c>
      <c r="J57" s="717">
        <v>7618375.0</v>
      </c>
      <c r="K57" s="695"/>
      <c r="L57" s="707" t="s">
        <v>419</v>
      </c>
      <c r="M57" s="708" t="s">
        <v>455</v>
      </c>
      <c r="N57" s="708" t="s">
        <v>420</v>
      </c>
      <c r="O57" s="708" t="s">
        <v>438</v>
      </c>
      <c r="P57" s="708" t="s">
        <v>422</v>
      </c>
      <c r="Q57" s="708" t="s">
        <v>50</v>
      </c>
      <c r="R57" s="708">
        <v>2021.0</v>
      </c>
      <c r="S57" s="709">
        <v>0.00129358</v>
      </c>
      <c r="T57" s="709">
        <v>0.006135171</v>
      </c>
      <c r="U57" s="710">
        <v>6.6E-5</v>
      </c>
      <c r="AH57" s="712" t="s">
        <v>424</v>
      </c>
      <c r="AI57" s="714" t="s">
        <v>480</v>
      </c>
      <c r="AJ57" s="714" t="s">
        <v>420</v>
      </c>
      <c r="AK57" s="714" t="s">
        <v>417</v>
      </c>
      <c r="AL57" s="714" t="s">
        <v>422</v>
      </c>
      <c r="AM57" s="714" t="s">
        <v>423</v>
      </c>
      <c r="AN57" s="715">
        <v>2021.0</v>
      </c>
      <c r="AO57" s="716">
        <v>171.6765993</v>
      </c>
      <c r="AP57" s="716">
        <v>186.1046052</v>
      </c>
      <c r="AQ57" s="717">
        <v>158.4435127</v>
      </c>
      <c r="AS57" s="707" t="s">
        <v>422</v>
      </c>
      <c r="AT57" s="708" t="s">
        <v>420</v>
      </c>
      <c r="AU57" s="708" t="s">
        <v>435</v>
      </c>
      <c r="AV57" s="708" t="s">
        <v>470</v>
      </c>
      <c r="AW57" s="708" t="s">
        <v>419</v>
      </c>
      <c r="AX57" s="708" t="s">
        <v>50</v>
      </c>
      <c r="AY57" s="708" t="s">
        <v>427</v>
      </c>
      <c r="AZ57" s="711" t="s">
        <v>428</v>
      </c>
      <c r="BA57" s="709">
        <v>103.435042</v>
      </c>
      <c r="BB57" s="709">
        <v>32.48542227</v>
      </c>
      <c r="BC57" s="709">
        <v>263.5537225</v>
      </c>
      <c r="BD57" s="710" t="s">
        <v>429</v>
      </c>
      <c r="BS57" s="707" t="s">
        <v>422</v>
      </c>
      <c r="BT57" s="708" t="s">
        <v>420</v>
      </c>
      <c r="BU57" s="708" t="s">
        <v>437</v>
      </c>
      <c r="BV57" s="708" t="s">
        <v>504</v>
      </c>
      <c r="BW57" s="708" t="s">
        <v>424</v>
      </c>
      <c r="BX57" s="708" t="s">
        <v>430</v>
      </c>
      <c r="BY57" s="708" t="s">
        <v>427</v>
      </c>
      <c r="BZ57" s="711" t="s">
        <v>428</v>
      </c>
      <c r="CA57" s="709">
        <v>37631.333</v>
      </c>
      <c r="CB57" s="709">
        <v>18929.213</v>
      </c>
      <c r="CC57" s="709">
        <v>72336.47</v>
      </c>
      <c r="CD57" s="710" t="s">
        <v>429</v>
      </c>
      <c r="CE57" s="460"/>
    </row>
    <row r="58">
      <c r="A58" s="690"/>
      <c r="B58" s="701" t="s">
        <v>433</v>
      </c>
      <c r="C58" s="702" t="s">
        <v>416</v>
      </c>
      <c r="D58" s="703" t="s">
        <v>473</v>
      </c>
      <c r="E58" s="704">
        <v>2021.0</v>
      </c>
      <c r="F58" s="702" t="s">
        <v>418</v>
      </c>
      <c r="G58" s="702" t="s">
        <v>50</v>
      </c>
      <c r="H58" s="705">
        <v>8.8955828E7</v>
      </c>
      <c r="I58" s="705">
        <v>1.00369288E8</v>
      </c>
      <c r="J58" s="706">
        <v>7.7233091E7</v>
      </c>
      <c r="K58" s="695"/>
      <c r="L58" s="707" t="s">
        <v>419</v>
      </c>
      <c r="M58" s="708" t="s">
        <v>458</v>
      </c>
      <c r="N58" s="708" t="s">
        <v>420</v>
      </c>
      <c r="O58" s="708" t="s">
        <v>421</v>
      </c>
      <c r="P58" s="708" t="s">
        <v>422</v>
      </c>
      <c r="Q58" s="708" t="s">
        <v>50</v>
      </c>
      <c r="R58" s="708">
        <v>2021.0</v>
      </c>
      <c r="S58" s="709">
        <v>13507.62013</v>
      </c>
      <c r="T58" s="709">
        <v>25078.42335</v>
      </c>
      <c r="U58" s="710">
        <v>5241.093033</v>
      </c>
      <c r="AH58" s="701" t="s">
        <v>424</v>
      </c>
      <c r="AI58" s="703" t="s">
        <v>483</v>
      </c>
      <c r="AJ58" s="703" t="s">
        <v>420</v>
      </c>
      <c r="AK58" s="703" t="s">
        <v>421</v>
      </c>
      <c r="AL58" s="703" t="s">
        <v>422</v>
      </c>
      <c r="AM58" s="703" t="s">
        <v>423</v>
      </c>
      <c r="AN58" s="704">
        <v>2021.0</v>
      </c>
      <c r="AO58" s="705">
        <v>38.84625396</v>
      </c>
      <c r="AP58" s="705">
        <v>48.7366113</v>
      </c>
      <c r="AQ58" s="706">
        <v>30.21009395</v>
      </c>
      <c r="AS58" s="707" t="s">
        <v>422</v>
      </c>
      <c r="AT58" s="708" t="s">
        <v>420</v>
      </c>
      <c r="AU58" s="708" t="s">
        <v>441</v>
      </c>
      <c r="AV58" s="708" t="s">
        <v>470</v>
      </c>
      <c r="AW58" s="708" t="s">
        <v>419</v>
      </c>
      <c r="AX58" s="708" t="s">
        <v>50</v>
      </c>
      <c r="AY58" s="708" t="s">
        <v>427</v>
      </c>
      <c r="AZ58" s="711" t="s">
        <v>428</v>
      </c>
      <c r="BA58" s="709">
        <v>556.8733604</v>
      </c>
      <c r="BB58" s="709">
        <v>208.8174084</v>
      </c>
      <c r="BC58" s="709">
        <v>1029.753952</v>
      </c>
      <c r="BD58" s="710" t="s">
        <v>429</v>
      </c>
      <c r="BS58" s="707" t="s">
        <v>422</v>
      </c>
      <c r="BT58" s="708" t="s">
        <v>420</v>
      </c>
      <c r="BU58" s="708" t="s">
        <v>425</v>
      </c>
      <c r="BV58" s="708" t="s">
        <v>507</v>
      </c>
      <c r="BW58" s="708" t="s">
        <v>424</v>
      </c>
      <c r="BX58" s="708" t="s">
        <v>430</v>
      </c>
      <c r="BY58" s="708" t="s">
        <v>427</v>
      </c>
      <c r="BZ58" s="711" t="s">
        <v>428</v>
      </c>
      <c r="CA58" s="709">
        <v>83240.736</v>
      </c>
      <c r="CB58" s="709">
        <v>34830.073</v>
      </c>
      <c r="CC58" s="709">
        <v>141478.9</v>
      </c>
      <c r="CD58" s="710" t="s">
        <v>429</v>
      </c>
      <c r="CE58" s="460"/>
    </row>
    <row r="59">
      <c r="A59" s="690"/>
      <c r="B59" s="712" t="s">
        <v>433</v>
      </c>
      <c r="C59" s="713" t="s">
        <v>416</v>
      </c>
      <c r="D59" s="714" t="s">
        <v>476</v>
      </c>
      <c r="E59" s="715">
        <v>2021.0</v>
      </c>
      <c r="F59" s="713" t="s">
        <v>418</v>
      </c>
      <c r="G59" s="713" t="s">
        <v>50</v>
      </c>
      <c r="H59" s="716">
        <v>1.4108716E7</v>
      </c>
      <c r="I59" s="716">
        <v>1.5918932E7</v>
      </c>
      <c r="J59" s="717">
        <v>1.2249447E7</v>
      </c>
      <c r="K59" s="695"/>
      <c r="L59" s="707" t="s">
        <v>419</v>
      </c>
      <c r="M59" s="708" t="s">
        <v>458</v>
      </c>
      <c r="N59" s="708" t="s">
        <v>420</v>
      </c>
      <c r="O59" s="708" t="s">
        <v>432</v>
      </c>
      <c r="P59" s="708" t="s">
        <v>422</v>
      </c>
      <c r="Q59" s="708" t="s">
        <v>50</v>
      </c>
      <c r="R59" s="708">
        <v>2021.0</v>
      </c>
      <c r="S59" s="709">
        <v>0.0</v>
      </c>
      <c r="T59" s="709">
        <v>0.0</v>
      </c>
      <c r="U59" s="710">
        <v>0.0</v>
      </c>
      <c r="AH59" s="712" t="s">
        <v>424</v>
      </c>
      <c r="AI59" s="714" t="s">
        <v>483</v>
      </c>
      <c r="AJ59" s="714" t="s">
        <v>420</v>
      </c>
      <c r="AK59" s="714" t="s">
        <v>434</v>
      </c>
      <c r="AL59" s="714" t="s">
        <v>422</v>
      </c>
      <c r="AM59" s="714" t="s">
        <v>423</v>
      </c>
      <c r="AN59" s="715">
        <v>2021.0</v>
      </c>
      <c r="AO59" s="716">
        <v>74.21635717</v>
      </c>
      <c r="AP59" s="716">
        <v>92.20736645</v>
      </c>
      <c r="AQ59" s="717">
        <v>58.29388614</v>
      </c>
      <c r="AS59" s="707" t="s">
        <v>422</v>
      </c>
      <c r="AT59" s="708" t="s">
        <v>420</v>
      </c>
      <c r="AU59" s="708" t="s">
        <v>445</v>
      </c>
      <c r="AV59" s="708" t="s">
        <v>470</v>
      </c>
      <c r="AW59" s="708" t="s">
        <v>419</v>
      </c>
      <c r="AX59" s="708" t="s">
        <v>50</v>
      </c>
      <c r="AY59" s="708" t="s">
        <v>427</v>
      </c>
      <c r="AZ59" s="711" t="s">
        <v>428</v>
      </c>
      <c r="BA59" s="709">
        <v>3812.956356</v>
      </c>
      <c r="BB59" s="709">
        <v>1366.450317</v>
      </c>
      <c r="BC59" s="709">
        <v>8368.901077</v>
      </c>
      <c r="BD59" s="710" t="s">
        <v>429</v>
      </c>
      <c r="BS59" s="707" t="s">
        <v>422</v>
      </c>
      <c r="BT59" s="708" t="s">
        <v>420</v>
      </c>
      <c r="BU59" s="708" t="s">
        <v>437</v>
      </c>
      <c r="BV59" s="708" t="s">
        <v>507</v>
      </c>
      <c r="BW59" s="708" t="s">
        <v>424</v>
      </c>
      <c r="BX59" s="708" t="s">
        <v>430</v>
      </c>
      <c r="BY59" s="708" t="s">
        <v>427</v>
      </c>
      <c r="BZ59" s="711" t="s">
        <v>428</v>
      </c>
      <c r="CA59" s="709">
        <v>34523.973</v>
      </c>
      <c r="CB59" s="709">
        <v>18356.518</v>
      </c>
      <c r="CC59" s="709">
        <v>62573.39</v>
      </c>
      <c r="CD59" s="710" t="s">
        <v>429</v>
      </c>
      <c r="CE59" s="460"/>
    </row>
    <row r="60">
      <c r="A60" s="690"/>
      <c r="B60" s="701" t="s">
        <v>433</v>
      </c>
      <c r="C60" s="702" t="s">
        <v>416</v>
      </c>
      <c r="D60" s="703" t="s">
        <v>479</v>
      </c>
      <c r="E60" s="704">
        <v>2021.0</v>
      </c>
      <c r="F60" s="702" t="s">
        <v>418</v>
      </c>
      <c r="G60" s="702" t="s">
        <v>50</v>
      </c>
      <c r="H60" s="705">
        <v>1.3187642E7</v>
      </c>
      <c r="I60" s="705">
        <v>1.487968E7</v>
      </c>
      <c r="J60" s="706">
        <v>1.1449754E7</v>
      </c>
      <c r="K60" s="695"/>
      <c r="L60" s="707" t="s">
        <v>419</v>
      </c>
      <c r="M60" s="708" t="s">
        <v>458</v>
      </c>
      <c r="N60" s="708" t="s">
        <v>420</v>
      </c>
      <c r="O60" s="708" t="s">
        <v>439</v>
      </c>
      <c r="P60" s="708" t="s">
        <v>422</v>
      </c>
      <c r="Q60" s="708" t="s">
        <v>50</v>
      </c>
      <c r="R60" s="708">
        <v>2021.0</v>
      </c>
      <c r="S60" s="709">
        <v>595.3461291</v>
      </c>
      <c r="T60" s="709">
        <v>1215.227672</v>
      </c>
      <c r="U60" s="710">
        <v>171.6499399</v>
      </c>
      <c r="AH60" s="701" t="s">
        <v>424</v>
      </c>
      <c r="AI60" s="703" t="s">
        <v>483</v>
      </c>
      <c r="AJ60" s="703" t="s">
        <v>420</v>
      </c>
      <c r="AK60" s="703" t="s">
        <v>417</v>
      </c>
      <c r="AL60" s="703" t="s">
        <v>422</v>
      </c>
      <c r="AM60" s="703" t="s">
        <v>423</v>
      </c>
      <c r="AN60" s="704">
        <v>2021.0</v>
      </c>
      <c r="AO60" s="705">
        <v>23.06099086</v>
      </c>
      <c r="AP60" s="705">
        <v>29.101726</v>
      </c>
      <c r="AQ60" s="706">
        <v>17.8261562</v>
      </c>
      <c r="AS60" s="707" t="s">
        <v>422</v>
      </c>
      <c r="AT60" s="708" t="s">
        <v>420</v>
      </c>
      <c r="AU60" s="708" t="s">
        <v>425</v>
      </c>
      <c r="AV60" s="708" t="s">
        <v>117</v>
      </c>
      <c r="AW60" s="708" t="s">
        <v>419</v>
      </c>
      <c r="AX60" s="708" t="s">
        <v>50</v>
      </c>
      <c r="AY60" s="708" t="s">
        <v>427</v>
      </c>
      <c r="AZ60" s="711" t="s">
        <v>428</v>
      </c>
      <c r="BA60" s="709">
        <v>2525.95462</v>
      </c>
      <c r="BB60" s="709">
        <v>851.8756794</v>
      </c>
      <c r="BC60" s="709">
        <v>4588.02926</v>
      </c>
      <c r="BD60" s="710" t="s">
        <v>429</v>
      </c>
      <c r="BS60" s="707" t="s">
        <v>422</v>
      </c>
      <c r="BT60" s="708" t="s">
        <v>420</v>
      </c>
      <c r="BU60" s="708" t="s">
        <v>425</v>
      </c>
      <c r="BV60" s="708" t="s">
        <v>510</v>
      </c>
      <c r="BW60" s="708" t="s">
        <v>424</v>
      </c>
      <c r="BX60" s="708" t="s">
        <v>430</v>
      </c>
      <c r="BY60" s="708" t="s">
        <v>427</v>
      </c>
      <c r="BZ60" s="711" t="s">
        <v>428</v>
      </c>
      <c r="CA60" s="709">
        <v>92528.385</v>
      </c>
      <c r="CB60" s="709">
        <v>36280.528</v>
      </c>
      <c r="CC60" s="709">
        <v>160501.78</v>
      </c>
      <c r="CD60" s="710" t="s">
        <v>429</v>
      </c>
      <c r="CE60" s="460"/>
    </row>
    <row r="61">
      <c r="A61" s="690"/>
      <c r="B61" s="712" t="s">
        <v>433</v>
      </c>
      <c r="C61" s="713" t="s">
        <v>416</v>
      </c>
      <c r="D61" s="714" t="s">
        <v>482</v>
      </c>
      <c r="E61" s="715">
        <v>2021.0</v>
      </c>
      <c r="F61" s="713" t="s">
        <v>418</v>
      </c>
      <c r="G61" s="713" t="s">
        <v>50</v>
      </c>
      <c r="H61" s="716">
        <v>1.1603427E7</v>
      </c>
      <c r="I61" s="716">
        <v>1.3092202E7</v>
      </c>
      <c r="J61" s="717">
        <v>1.0074309E7</v>
      </c>
      <c r="K61" s="695"/>
      <c r="L61" s="707" t="s">
        <v>419</v>
      </c>
      <c r="M61" s="708" t="s">
        <v>458</v>
      </c>
      <c r="N61" s="708" t="s">
        <v>420</v>
      </c>
      <c r="O61" s="708" t="s">
        <v>443</v>
      </c>
      <c r="P61" s="708" t="s">
        <v>422</v>
      </c>
      <c r="Q61" s="708" t="s">
        <v>50</v>
      </c>
      <c r="R61" s="708">
        <v>2021.0</v>
      </c>
      <c r="S61" s="709">
        <v>28945.61298</v>
      </c>
      <c r="T61" s="709">
        <v>58505.86529</v>
      </c>
      <c r="U61" s="710">
        <v>11324.32729</v>
      </c>
      <c r="AH61" s="712" t="s">
        <v>424</v>
      </c>
      <c r="AI61" s="714" t="s">
        <v>486</v>
      </c>
      <c r="AJ61" s="714" t="s">
        <v>420</v>
      </c>
      <c r="AK61" s="714" t="s">
        <v>421</v>
      </c>
      <c r="AL61" s="714" t="s">
        <v>422</v>
      </c>
      <c r="AM61" s="714" t="s">
        <v>423</v>
      </c>
      <c r="AN61" s="715">
        <v>2021.0</v>
      </c>
      <c r="AO61" s="716">
        <v>1936.505719</v>
      </c>
      <c r="AP61" s="716">
        <v>2470.675829</v>
      </c>
      <c r="AQ61" s="717">
        <v>1443.0547</v>
      </c>
      <c r="AS61" s="707" t="s">
        <v>422</v>
      </c>
      <c r="AT61" s="708" t="s">
        <v>420</v>
      </c>
      <c r="AU61" s="708" t="s">
        <v>435</v>
      </c>
      <c r="AV61" s="708" t="s">
        <v>117</v>
      </c>
      <c r="AW61" s="708" t="s">
        <v>419</v>
      </c>
      <c r="AX61" s="708" t="s">
        <v>50</v>
      </c>
      <c r="AY61" s="708" t="s">
        <v>427</v>
      </c>
      <c r="AZ61" s="711" t="s">
        <v>428</v>
      </c>
      <c r="BA61" s="709">
        <v>143.5773073</v>
      </c>
      <c r="BB61" s="709">
        <v>32.36375766</v>
      </c>
      <c r="BC61" s="709">
        <v>354.1133724</v>
      </c>
      <c r="BD61" s="710" t="s">
        <v>429</v>
      </c>
      <c r="BS61" s="707" t="s">
        <v>422</v>
      </c>
      <c r="BT61" s="708" t="s">
        <v>420</v>
      </c>
      <c r="BU61" s="708" t="s">
        <v>437</v>
      </c>
      <c r="BV61" s="708" t="s">
        <v>510</v>
      </c>
      <c r="BW61" s="708" t="s">
        <v>424</v>
      </c>
      <c r="BX61" s="708" t="s">
        <v>430</v>
      </c>
      <c r="BY61" s="708" t="s">
        <v>427</v>
      </c>
      <c r="BZ61" s="711" t="s">
        <v>428</v>
      </c>
      <c r="CA61" s="709">
        <v>37997.198</v>
      </c>
      <c r="CB61" s="709">
        <v>16739.279</v>
      </c>
      <c r="CC61" s="709">
        <v>73710.257</v>
      </c>
      <c r="CD61" s="710" t="s">
        <v>429</v>
      </c>
      <c r="CE61" s="460"/>
    </row>
    <row r="62">
      <c r="A62" s="690"/>
      <c r="B62" s="701" t="s">
        <v>433</v>
      </c>
      <c r="C62" s="702" t="s">
        <v>416</v>
      </c>
      <c r="D62" s="703" t="s">
        <v>485</v>
      </c>
      <c r="E62" s="704">
        <v>2021.0</v>
      </c>
      <c r="F62" s="702" t="s">
        <v>418</v>
      </c>
      <c r="G62" s="702" t="s">
        <v>50</v>
      </c>
      <c r="H62" s="705">
        <v>1.020277E7</v>
      </c>
      <c r="I62" s="705">
        <v>1.1511834E7</v>
      </c>
      <c r="J62" s="706">
        <v>8858233.0</v>
      </c>
      <c r="K62" s="695"/>
      <c r="L62" s="707" t="s">
        <v>419</v>
      </c>
      <c r="M62" s="708" t="s">
        <v>458</v>
      </c>
      <c r="N62" s="708" t="s">
        <v>420</v>
      </c>
      <c r="O62" s="708" t="s">
        <v>417</v>
      </c>
      <c r="P62" s="708" t="s">
        <v>422</v>
      </c>
      <c r="Q62" s="708" t="s">
        <v>50</v>
      </c>
      <c r="R62" s="708">
        <v>2021.0</v>
      </c>
      <c r="S62" s="709">
        <v>5166.796497</v>
      </c>
      <c r="T62" s="709">
        <v>10242.92316</v>
      </c>
      <c r="U62" s="710">
        <v>1859.786989</v>
      </c>
      <c r="AH62" s="701" t="s">
        <v>424</v>
      </c>
      <c r="AI62" s="703" t="s">
        <v>486</v>
      </c>
      <c r="AJ62" s="703" t="s">
        <v>420</v>
      </c>
      <c r="AK62" s="703" t="s">
        <v>434</v>
      </c>
      <c r="AL62" s="703" t="s">
        <v>422</v>
      </c>
      <c r="AM62" s="703" t="s">
        <v>423</v>
      </c>
      <c r="AN62" s="704">
        <v>2021.0</v>
      </c>
      <c r="AO62" s="705">
        <v>2149.400601</v>
      </c>
      <c r="AP62" s="705">
        <v>2592.146579</v>
      </c>
      <c r="AQ62" s="706">
        <v>1774.281973</v>
      </c>
      <c r="AS62" s="707" t="s">
        <v>422</v>
      </c>
      <c r="AT62" s="708" t="s">
        <v>420</v>
      </c>
      <c r="AU62" s="708" t="s">
        <v>441</v>
      </c>
      <c r="AV62" s="708" t="s">
        <v>117</v>
      </c>
      <c r="AW62" s="708" t="s">
        <v>419</v>
      </c>
      <c r="AX62" s="708" t="s">
        <v>50</v>
      </c>
      <c r="AY62" s="708" t="s">
        <v>427</v>
      </c>
      <c r="AZ62" s="711" t="s">
        <v>428</v>
      </c>
      <c r="BA62" s="709">
        <v>967.3492147</v>
      </c>
      <c r="BB62" s="709">
        <v>294.9101625</v>
      </c>
      <c r="BC62" s="709">
        <v>1873.783568</v>
      </c>
      <c r="BD62" s="710" t="s">
        <v>429</v>
      </c>
      <c r="BS62" s="707" t="s">
        <v>422</v>
      </c>
      <c r="BT62" s="708" t="s">
        <v>420</v>
      </c>
      <c r="BU62" s="708" t="s">
        <v>425</v>
      </c>
      <c r="BV62" s="708" t="s">
        <v>513</v>
      </c>
      <c r="BW62" s="708" t="s">
        <v>424</v>
      </c>
      <c r="BX62" s="708" t="s">
        <v>430</v>
      </c>
      <c r="BY62" s="708" t="s">
        <v>427</v>
      </c>
      <c r="BZ62" s="711" t="s">
        <v>428</v>
      </c>
      <c r="CA62" s="709">
        <v>101932.72</v>
      </c>
      <c r="CB62" s="709">
        <v>48638.964</v>
      </c>
      <c r="CC62" s="709">
        <v>166441.06</v>
      </c>
      <c r="CD62" s="710" t="s">
        <v>429</v>
      </c>
      <c r="CE62" s="460"/>
    </row>
    <row r="63">
      <c r="A63" s="690"/>
      <c r="B63" s="712" t="s">
        <v>433</v>
      </c>
      <c r="C63" s="713" t="s">
        <v>416</v>
      </c>
      <c r="D63" s="714" t="s">
        <v>488</v>
      </c>
      <c r="E63" s="715">
        <v>2021.0</v>
      </c>
      <c r="F63" s="713" t="s">
        <v>418</v>
      </c>
      <c r="G63" s="713" t="s">
        <v>50</v>
      </c>
      <c r="H63" s="716">
        <v>8945788.0</v>
      </c>
      <c r="I63" s="716">
        <v>1.0093576E7</v>
      </c>
      <c r="J63" s="717">
        <v>7766898.0</v>
      </c>
      <c r="K63" s="695"/>
      <c r="L63" s="707" t="s">
        <v>419</v>
      </c>
      <c r="M63" s="708" t="s">
        <v>458</v>
      </c>
      <c r="N63" s="708" t="s">
        <v>420</v>
      </c>
      <c r="O63" s="708" t="s">
        <v>438</v>
      </c>
      <c r="P63" s="708" t="s">
        <v>422</v>
      </c>
      <c r="Q63" s="708" t="s">
        <v>50</v>
      </c>
      <c r="R63" s="708">
        <v>2021.0</v>
      </c>
      <c r="S63" s="709">
        <v>595.3461291</v>
      </c>
      <c r="T63" s="709">
        <v>1215.227672</v>
      </c>
      <c r="U63" s="710">
        <v>171.6499399</v>
      </c>
      <c r="AH63" s="712" t="s">
        <v>424</v>
      </c>
      <c r="AI63" s="714" t="s">
        <v>486</v>
      </c>
      <c r="AJ63" s="714" t="s">
        <v>420</v>
      </c>
      <c r="AK63" s="714" t="s">
        <v>417</v>
      </c>
      <c r="AL63" s="714" t="s">
        <v>422</v>
      </c>
      <c r="AM63" s="714" t="s">
        <v>423</v>
      </c>
      <c r="AN63" s="715">
        <v>2021.0</v>
      </c>
      <c r="AO63" s="716">
        <v>1190.2988</v>
      </c>
      <c r="AP63" s="716">
        <v>1602.923837</v>
      </c>
      <c r="AQ63" s="717">
        <v>823.3178799</v>
      </c>
      <c r="AS63" s="707" t="s">
        <v>422</v>
      </c>
      <c r="AT63" s="708" t="s">
        <v>420</v>
      </c>
      <c r="AU63" s="708" t="s">
        <v>445</v>
      </c>
      <c r="AV63" s="708" t="s">
        <v>117</v>
      </c>
      <c r="AW63" s="708" t="s">
        <v>419</v>
      </c>
      <c r="AX63" s="708" t="s">
        <v>50</v>
      </c>
      <c r="AY63" s="708" t="s">
        <v>427</v>
      </c>
      <c r="AZ63" s="711" t="s">
        <v>428</v>
      </c>
      <c r="BA63" s="709">
        <v>5429.375255</v>
      </c>
      <c r="BB63" s="709">
        <v>1742.913819</v>
      </c>
      <c r="BC63" s="709">
        <v>10493.67302</v>
      </c>
      <c r="BD63" s="710" t="s">
        <v>429</v>
      </c>
      <c r="BS63" s="707" t="s">
        <v>422</v>
      </c>
      <c r="BT63" s="708" t="s">
        <v>420</v>
      </c>
      <c r="BU63" s="708" t="s">
        <v>437</v>
      </c>
      <c r="BV63" s="708" t="s">
        <v>513</v>
      </c>
      <c r="BW63" s="708" t="s">
        <v>424</v>
      </c>
      <c r="BX63" s="708" t="s">
        <v>430</v>
      </c>
      <c r="BY63" s="708" t="s">
        <v>427</v>
      </c>
      <c r="BZ63" s="711" t="s">
        <v>428</v>
      </c>
      <c r="CA63" s="709">
        <v>41577.712</v>
      </c>
      <c r="CB63" s="709">
        <v>21247.976</v>
      </c>
      <c r="CC63" s="709">
        <v>86982.26</v>
      </c>
      <c r="CD63" s="710" t="s">
        <v>429</v>
      </c>
      <c r="CE63" s="460"/>
    </row>
    <row r="64">
      <c r="A64" s="690"/>
      <c r="B64" s="701" t="s">
        <v>433</v>
      </c>
      <c r="C64" s="702" t="s">
        <v>416</v>
      </c>
      <c r="D64" s="703" t="s">
        <v>491</v>
      </c>
      <c r="E64" s="704">
        <v>2021.0</v>
      </c>
      <c r="F64" s="702" t="s">
        <v>418</v>
      </c>
      <c r="G64" s="702" t="s">
        <v>50</v>
      </c>
      <c r="H64" s="705">
        <v>7541338.0</v>
      </c>
      <c r="I64" s="705">
        <v>8508928.0</v>
      </c>
      <c r="J64" s="706">
        <v>6547529.0</v>
      </c>
      <c r="K64" s="695"/>
      <c r="L64" s="707" t="s">
        <v>419</v>
      </c>
      <c r="M64" s="708" t="s">
        <v>461</v>
      </c>
      <c r="N64" s="708" t="s">
        <v>420</v>
      </c>
      <c r="O64" s="708" t="s">
        <v>421</v>
      </c>
      <c r="P64" s="708" t="s">
        <v>422</v>
      </c>
      <c r="Q64" s="708" t="s">
        <v>50</v>
      </c>
      <c r="R64" s="708">
        <v>2021.0</v>
      </c>
      <c r="S64" s="709">
        <v>2730.109577</v>
      </c>
      <c r="T64" s="709">
        <v>6079.874568</v>
      </c>
      <c r="U64" s="710">
        <v>1087.465828</v>
      </c>
      <c r="AH64" s="701" t="s">
        <v>424</v>
      </c>
      <c r="AI64" s="703" t="s">
        <v>489</v>
      </c>
      <c r="AJ64" s="703" t="s">
        <v>420</v>
      </c>
      <c r="AK64" s="703" t="s">
        <v>421</v>
      </c>
      <c r="AL64" s="703" t="s">
        <v>422</v>
      </c>
      <c r="AM64" s="703" t="s">
        <v>423</v>
      </c>
      <c r="AN64" s="704">
        <v>2021.0</v>
      </c>
      <c r="AO64" s="705">
        <v>67263.47932</v>
      </c>
      <c r="AP64" s="705">
        <v>122358.6417</v>
      </c>
      <c r="AQ64" s="706">
        <v>15398.68849</v>
      </c>
      <c r="AS64" s="707" t="s">
        <v>422</v>
      </c>
      <c r="AT64" s="708" t="s">
        <v>420</v>
      </c>
      <c r="AU64" s="708" t="s">
        <v>425</v>
      </c>
      <c r="AV64" s="708" t="s">
        <v>475</v>
      </c>
      <c r="AW64" s="708" t="s">
        <v>419</v>
      </c>
      <c r="AX64" s="708" t="s">
        <v>50</v>
      </c>
      <c r="AY64" s="708" t="s">
        <v>427</v>
      </c>
      <c r="AZ64" s="711" t="s">
        <v>428</v>
      </c>
      <c r="BA64" s="709">
        <v>2553.685498</v>
      </c>
      <c r="BB64" s="709">
        <v>981.6777615</v>
      </c>
      <c r="BC64" s="709">
        <v>5372.54356</v>
      </c>
      <c r="BD64" s="710" t="s">
        <v>429</v>
      </c>
      <c r="BS64" s="707" t="s">
        <v>422</v>
      </c>
      <c r="BT64" s="708" t="s">
        <v>420</v>
      </c>
      <c r="BU64" s="708" t="s">
        <v>425</v>
      </c>
      <c r="BV64" s="708" t="s">
        <v>121</v>
      </c>
      <c r="BW64" s="708" t="s">
        <v>424</v>
      </c>
      <c r="BX64" s="708" t="s">
        <v>430</v>
      </c>
      <c r="BY64" s="708" t="s">
        <v>427</v>
      </c>
      <c r="BZ64" s="711" t="s">
        <v>428</v>
      </c>
      <c r="CA64" s="709">
        <v>93840.62</v>
      </c>
      <c r="CB64" s="709">
        <v>40285.04</v>
      </c>
      <c r="CC64" s="709">
        <v>158974.86</v>
      </c>
      <c r="CD64" s="710" t="s">
        <v>429</v>
      </c>
      <c r="CE64" s="460"/>
    </row>
    <row r="65">
      <c r="A65" s="690"/>
      <c r="B65" s="712" t="s">
        <v>433</v>
      </c>
      <c r="C65" s="713" t="s">
        <v>416</v>
      </c>
      <c r="D65" s="714" t="s">
        <v>493</v>
      </c>
      <c r="E65" s="715">
        <v>2021.0</v>
      </c>
      <c r="F65" s="713" t="s">
        <v>418</v>
      </c>
      <c r="G65" s="713" t="s">
        <v>50</v>
      </c>
      <c r="H65" s="716">
        <v>2.3537833E7</v>
      </c>
      <c r="I65" s="716">
        <v>2.655785E7</v>
      </c>
      <c r="J65" s="717">
        <v>2.0435981E7</v>
      </c>
      <c r="K65" s="695"/>
      <c r="L65" s="707" t="s">
        <v>419</v>
      </c>
      <c r="M65" s="708" t="s">
        <v>461</v>
      </c>
      <c r="N65" s="708" t="s">
        <v>420</v>
      </c>
      <c r="O65" s="708" t="s">
        <v>432</v>
      </c>
      <c r="P65" s="708" t="s">
        <v>422</v>
      </c>
      <c r="Q65" s="708" t="s">
        <v>50</v>
      </c>
      <c r="R65" s="708">
        <v>2021.0</v>
      </c>
      <c r="S65" s="709">
        <v>0.0</v>
      </c>
      <c r="T65" s="709">
        <v>0.0</v>
      </c>
      <c r="U65" s="710">
        <v>0.0</v>
      </c>
      <c r="AH65" s="712" t="s">
        <v>424</v>
      </c>
      <c r="AI65" s="714" t="s">
        <v>489</v>
      </c>
      <c r="AJ65" s="714" t="s">
        <v>420</v>
      </c>
      <c r="AK65" s="714" t="s">
        <v>434</v>
      </c>
      <c r="AL65" s="714" t="s">
        <v>422</v>
      </c>
      <c r="AM65" s="714" t="s">
        <v>423</v>
      </c>
      <c r="AN65" s="715">
        <v>2021.0</v>
      </c>
      <c r="AO65" s="716">
        <v>27897.47423</v>
      </c>
      <c r="AP65" s="716">
        <v>62349.85013</v>
      </c>
      <c r="AQ65" s="717">
        <v>12783.67884</v>
      </c>
      <c r="AS65" s="707" t="s">
        <v>422</v>
      </c>
      <c r="AT65" s="708" t="s">
        <v>420</v>
      </c>
      <c r="AU65" s="708" t="s">
        <v>435</v>
      </c>
      <c r="AV65" s="708" t="s">
        <v>475</v>
      </c>
      <c r="AW65" s="708" t="s">
        <v>419</v>
      </c>
      <c r="AX65" s="708" t="s">
        <v>50</v>
      </c>
      <c r="AY65" s="708" t="s">
        <v>427</v>
      </c>
      <c r="AZ65" s="711" t="s">
        <v>428</v>
      </c>
      <c r="BA65" s="709">
        <v>81.95572512</v>
      </c>
      <c r="BB65" s="709">
        <v>22.57206063</v>
      </c>
      <c r="BC65" s="709">
        <v>212.0958429</v>
      </c>
      <c r="BD65" s="710" t="s">
        <v>429</v>
      </c>
      <c r="BS65" s="707" t="s">
        <v>422</v>
      </c>
      <c r="BT65" s="708" t="s">
        <v>420</v>
      </c>
      <c r="BU65" s="708" t="s">
        <v>437</v>
      </c>
      <c r="BV65" s="708" t="s">
        <v>121</v>
      </c>
      <c r="BW65" s="708" t="s">
        <v>424</v>
      </c>
      <c r="BX65" s="708" t="s">
        <v>430</v>
      </c>
      <c r="BY65" s="708" t="s">
        <v>427</v>
      </c>
      <c r="BZ65" s="711" t="s">
        <v>428</v>
      </c>
      <c r="CA65" s="709">
        <v>38318.27</v>
      </c>
      <c r="CB65" s="709">
        <v>20152.485</v>
      </c>
      <c r="CC65" s="709">
        <v>83289.534</v>
      </c>
      <c r="CD65" s="710" t="s">
        <v>429</v>
      </c>
      <c r="CE65" s="460"/>
    </row>
    <row r="66">
      <c r="A66" s="690"/>
      <c r="B66" s="701" t="s">
        <v>433</v>
      </c>
      <c r="C66" s="702" t="s">
        <v>416</v>
      </c>
      <c r="D66" s="703" t="s">
        <v>434</v>
      </c>
      <c r="E66" s="704">
        <v>2021.0</v>
      </c>
      <c r="F66" s="702" t="s">
        <v>418</v>
      </c>
      <c r="G66" s="702" t="s">
        <v>50</v>
      </c>
      <c r="H66" s="705">
        <v>3.1401922E7</v>
      </c>
      <c r="I66" s="705">
        <v>3.5430939E7</v>
      </c>
      <c r="J66" s="706">
        <v>2.7263728E7</v>
      </c>
      <c r="K66" s="695"/>
      <c r="L66" s="707" t="s">
        <v>419</v>
      </c>
      <c r="M66" s="708" t="s">
        <v>461</v>
      </c>
      <c r="N66" s="708" t="s">
        <v>420</v>
      </c>
      <c r="O66" s="708" t="s">
        <v>439</v>
      </c>
      <c r="P66" s="708" t="s">
        <v>422</v>
      </c>
      <c r="Q66" s="708" t="s">
        <v>50</v>
      </c>
      <c r="R66" s="708">
        <v>2021.0</v>
      </c>
      <c r="S66" s="709">
        <v>190.1046143</v>
      </c>
      <c r="T66" s="709">
        <v>450.0638029</v>
      </c>
      <c r="U66" s="710">
        <v>66.91983913</v>
      </c>
      <c r="AH66" s="701" t="s">
        <v>424</v>
      </c>
      <c r="AI66" s="703" t="s">
        <v>489</v>
      </c>
      <c r="AJ66" s="703" t="s">
        <v>420</v>
      </c>
      <c r="AK66" s="703" t="s">
        <v>417</v>
      </c>
      <c r="AL66" s="703" t="s">
        <v>422</v>
      </c>
      <c r="AM66" s="703" t="s">
        <v>423</v>
      </c>
      <c r="AN66" s="704">
        <v>2021.0</v>
      </c>
      <c r="AO66" s="705">
        <v>47391.82588</v>
      </c>
      <c r="AP66" s="705">
        <v>86238.47014</v>
      </c>
      <c r="AQ66" s="706">
        <v>10433.71727</v>
      </c>
      <c r="AS66" s="707" t="s">
        <v>422</v>
      </c>
      <c r="AT66" s="708" t="s">
        <v>420</v>
      </c>
      <c r="AU66" s="708" t="s">
        <v>441</v>
      </c>
      <c r="AV66" s="708" t="s">
        <v>475</v>
      </c>
      <c r="AW66" s="708" t="s">
        <v>419</v>
      </c>
      <c r="AX66" s="708" t="s">
        <v>50</v>
      </c>
      <c r="AY66" s="708" t="s">
        <v>427</v>
      </c>
      <c r="AZ66" s="711" t="s">
        <v>428</v>
      </c>
      <c r="BA66" s="709">
        <v>602.9545809</v>
      </c>
      <c r="BB66" s="709">
        <v>208.1923455</v>
      </c>
      <c r="BC66" s="709">
        <v>1402.965372</v>
      </c>
      <c r="BD66" s="710" t="s">
        <v>429</v>
      </c>
      <c r="BS66" s="707" t="s">
        <v>422</v>
      </c>
      <c r="BT66" s="708" t="s">
        <v>420</v>
      </c>
      <c r="BU66" s="708" t="s">
        <v>425</v>
      </c>
      <c r="BV66" s="708" t="s">
        <v>122</v>
      </c>
      <c r="BW66" s="708" t="s">
        <v>424</v>
      </c>
      <c r="BX66" s="708" t="s">
        <v>430</v>
      </c>
      <c r="BY66" s="708" t="s">
        <v>427</v>
      </c>
      <c r="BZ66" s="711" t="s">
        <v>428</v>
      </c>
      <c r="CA66" s="709">
        <v>77809.67</v>
      </c>
      <c r="CB66" s="709">
        <v>36044.65</v>
      </c>
      <c r="CC66" s="709">
        <v>144067.28</v>
      </c>
      <c r="CD66" s="710" t="s">
        <v>429</v>
      </c>
      <c r="CE66" s="460"/>
    </row>
    <row r="67">
      <c r="A67" s="690"/>
      <c r="B67" s="712" t="s">
        <v>433</v>
      </c>
      <c r="C67" s="713" t="s">
        <v>416</v>
      </c>
      <c r="D67" s="714" t="s">
        <v>497</v>
      </c>
      <c r="E67" s="715">
        <v>2021.0</v>
      </c>
      <c r="F67" s="713" t="s">
        <v>418</v>
      </c>
      <c r="G67" s="713" t="s">
        <v>50</v>
      </c>
      <c r="H67" s="716">
        <v>6457630.0</v>
      </c>
      <c r="I67" s="716">
        <v>7286175.0</v>
      </c>
      <c r="J67" s="717">
        <v>5606634.0</v>
      </c>
      <c r="K67" s="695"/>
      <c r="L67" s="707" t="s">
        <v>419</v>
      </c>
      <c r="M67" s="708" t="s">
        <v>461</v>
      </c>
      <c r="N67" s="708" t="s">
        <v>420</v>
      </c>
      <c r="O67" s="708" t="s">
        <v>443</v>
      </c>
      <c r="P67" s="708" t="s">
        <v>422</v>
      </c>
      <c r="Q67" s="708" t="s">
        <v>50</v>
      </c>
      <c r="R67" s="708">
        <v>2021.0</v>
      </c>
      <c r="S67" s="709">
        <v>5040.926316</v>
      </c>
      <c r="T67" s="709">
        <v>11682.10419</v>
      </c>
      <c r="U67" s="710">
        <v>1825.640892</v>
      </c>
      <c r="AH67" s="712" t="s">
        <v>424</v>
      </c>
      <c r="AI67" s="714" t="s">
        <v>492</v>
      </c>
      <c r="AJ67" s="714" t="s">
        <v>420</v>
      </c>
      <c r="AK67" s="714" t="s">
        <v>421</v>
      </c>
      <c r="AL67" s="714" t="s">
        <v>422</v>
      </c>
      <c r="AM67" s="714" t="s">
        <v>423</v>
      </c>
      <c r="AN67" s="715">
        <v>2021.0</v>
      </c>
      <c r="AO67" s="716">
        <v>6807.375441</v>
      </c>
      <c r="AP67" s="716">
        <v>8465.230011</v>
      </c>
      <c r="AQ67" s="717">
        <v>5462.794131</v>
      </c>
      <c r="AS67" s="707" t="s">
        <v>422</v>
      </c>
      <c r="AT67" s="708" t="s">
        <v>420</v>
      </c>
      <c r="AU67" s="708" t="s">
        <v>445</v>
      </c>
      <c r="AV67" s="708" t="s">
        <v>475</v>
      </c>
      <c r="AW67" s="708" t="s">
        <v>419</v>
      </c>
      <c r="AX67" s="708" t="s">
        <v>50</v>
      </c>
      <c r="AY67" s="708" t="s">
        <v>427</v>
      </c>
      <c r="AZ67" s="711" t="s">
        <v>428</v>
      </c>
      <c r="BA67" s="709">
        <v>3671.276569</v>
      </c>
      <c r="BB67" s="709">
        <v>1342.759683</v>
      </c>
      <c r="BC67" s="709">
        <v>8118.871607</v>
      </c>
      <c r="BD67" s="710" t="s">
        <v>429</v>
      </c>
      <c r="BS67" s="707" t="s">
        <v>422</v>
      </c>
      <c r="BT67" s="708" t="s">
        <v>420</v>
      </c>
      <c r="BU67" s="708" t="s">
        <v>437</v>
      </c>
      <c r="BV67" s="708" t="s">
        <v>122</v>
      </c>
      <c r="BW67" s="708" t="s">
        <v>424</v>
      </c>
      <c r="BX67" s="708" t="s">
        <v>430</v>
      </c>
      <c r="BY67" s="708" t="s">
        <v>427</v>
      </c>
      <c r="BZ67" s="711" t="s">
        <v>428</v>
      </c>
      <c r="CA67" s="709">
        <v>33155.254</v>
      </c>
      <c r="CB67" s="709">
        <v>15449.059</v>
      </c>
      <c r="CC67" s="709">
        <v>60957.53</v>
      </c>
      <c r="CD67" s="710" t="s">
        <v>429</v>
      </c>
      <c r="CE67" s="460"/>
    </row>
    <row r="68">
      <c r="A68" s="690"/>
      <c r="B68" s="701" t="s">
        <v>433</v>
      </c>
      <c r="C68" s="702" t="s">
        <v>416</v>
      </c>
      <c r="D68" s="703" t="s">
        <v>500</v>
      </c>
      <c r="E68" s="704">
        <v>2021.0</v>
      </c>
      <c r="F68" s="702" t="s">
        <v>418</v>
      </c>
      <c r="G68" s="702" t="s">
        <v>50</v>
      </c>
      <c r="H68" s="705">
        <v>1.5521146E7</v>
      </c>
      <c r="I68" s="705">
        <v>1.7512584E7</v>
      </c>
      <c r="J68" s="706">
        <v>1.3475745E7</v>
      </c>
      <c r="K68" s="695"/>
      <c r="L68" s="707" t="s">
        <v>419</v>
      </c>
      <c r="M68" s="708" t="s">
        <v>461</v>
      </c>
      <c r="N68" s="708" t="s">
        <v>420</v>
      </c>
      <c r="O68" s="708" t="s">
        <v>417</v>
      </c>
      <c r="P68" s="708" t="s">
        <v>422</v>
      </c>
      <c r="Q68" s="708" t="s">
        <v>50</v>
      </c>
      <c r="R68" s="708">
        <v>2021.0</v>
      </c>
      <c r="S68" s="709">
        <v>1273.812614</v>
      </c>
      <c r="T68" s="709">
        <v>2922.844271</v>
      </c>
      <c r="U68" s="710">
        <v>471.8918613</v>
      </c>
      <c r="AH68" s="701" t="s">
        <v>424</v>
      </c>
      <c r="AI68" s="703" t="s">
        <v>492</v>
      </c>
      <c r="AJ68" s="703" t="s">
        <v>420</v>
      </c>
      <c r="AK68" s="703" t="s">
        <v>434</v>
      </c>
      <c r="AL68" s="703" t="s">
        <v>422</v>
      </c>
      <c r="AM68" s="703" t="s">
        <v>423</v>
      </c>
      <c r="AN68" s="704">
        <v>2021.0</v>
      </c>
      <c r="AO68" s="705">
        <v>5647.995388</v>
      </c>
      <c r="AP68" s="705">
        <v>6721.839653</v>
      </c>
      <c r="AQ68" s="706">
        <v>4753.699028</v>
      </c>
      <c r="AS68" s="707" t="s">
        <v>422</v>
      </c>
      <c r="AT68" s="708" t="s">
        <v>420</v>
      </c>
      <c r="AU68" s="708" t="s">
        <v>425</v>
      </c>
      <c r="AV68" s="708" t="s">
        <v>478</v>
      </c>
      <c r="AW68" s="708" t="s">
        <v>419</v>
      </c>
      <c r="AX68" s="708" t="s">
        <v>50</v>
      </c>
      <c r="AY68" s="708" t="s">
        <v>427</v>
      </c>
      <c r="AZ68" s="711" t="s">
        <v>428</v>
      </c>
      <c r="BA68" s="709">
        <v>4274.906573</v>
      </c>
      <c r="BB68" s="709">
        <v>2007.271872</v>
      </c>
      <c r="BC68" s="709">
        <v>6719.482887</v>
      </c>
      <c r="BD68" s="710" t="s">
        <v>429</v>
      </c>
      <c r="BS68" s="707" t="s">
        <v>422</v>
      </c>
      <c r="BT68" s="708" t="s">
        <v>420</v>
      </c>
      <c r="BU68" s="708" t="s">
        <v>425</v>
      </c>
      <c r="BV68" s="708" t="s">
        <v>519</v>
      </c>
      <c r="BW68" s="708" t="s">
        <v>424</v>
      </c>
      <c r="BX68" s="708" t="s">
        <v>430</v>
      </c>
      <c r="BY68" s="708" t="s">
        <v>427</v>
      </c>
      <c r="BZ68" s="711" t="s">
        <v>428</v>
      </c>
      <c r="CA68" s="709">
        <v>66079.25</v>
      </c>
      <c r="CB68" s="709">
        <v>17370.424</v>
      </c>
      <c r="CC68" s="709">
        <v>137654.83</v>
      </c>
      <c r="CD68" s="710" t="s">
        <v>429</v>
      </c>
      <c r="CE68" s="460"/>
    </row>
    <row r="69">
      <c r="A69" s="690"/>
      <c r="B69" s="712" t="s">
        <v>433</v>
      </c>
      <c r="C69" s="713" t="s">
        <v>416</v>
      </c>
      <c r="D69" s="714" t="s">
        <v>502</v>
      </c>
      <c r="E69" s="715">
        <v>2021.0</v>
      </c>
      <c r="F69" s="713" t="s">
        <v>418</v>
      </c>
      <c r="G69" s="713" t="s">
        <v>50</v>
      </c>
      <c r="H69" s="716">
        <v>5311107.0</v>
      </c>
      <c r="I69" s="716">
        <v>5992547.0</v>
      </c>
      <c r="J69" s="717">
        <v>4611201.0</v>
      </c>
      <c r="K69" s="695"/>
      <c r="L69" s="707" t="s">
        <v>419</v>
      </c>
      <c r="M69" s="708" t="s">
        <v>461</v>
      </c>
      <c r="N69" s="708" t="s">
        <v>420</v>
      </c>
      <c r="O69" s="708" t="s">
        <v>438</v>
      </c>
      <c r="P69" s="708" t="s">
        <v>422</v>
      </c>
      <c r="Q69" s="708" t="s">
        <v>50</v>
      </c>
      <c r="R69" s="708">
        <v>2021.0</v>
      </c>
      <c r="S69" s="709">
        <v>190.1046143</v>
      </c>
      <c r="T69" s="709">
        <v>450.0638029</v>
      </c>
      <c r="U69" s="710">
        <v>66.91983913</v>
      </c>
      <c r="AH69" s="712" t="s">
        <v>424</v>
      </c>
      <c r="AI69" s="714" t="s">
        <v>492</v>
      </c>
      <c r="AJ69" s="714" t="s">
        <v>420</v>
      </c>
      <c r="AK69" s="714" t="s">
        <v>417</v>
      </c>
      <c r="AL69" s="714" t="s">
        <v>422</v>
      </c>
      <c r="AM69" s="714" t="s">
        <v>423</v>
      </c>
      <c r="AN69" s="715">
        <v>2021.0</v>
      </c>
      <c r="AO69" s="716">
        <v>4777.103109</v>
      </c>
      <c r="AP69" s="716">
        <v>5948.812357</v>
      </c>
      <c r="AQ69" s="717">
        <v>3827.84264</v>
      </c>
      <c r="AS69" s="707" t="s">
        <v>422</v>
      </c>
      <c r="AT69" s="708" t="s">
        <v>420</v>
      </c>
      <c r="AU69" s="708" t="s">
        <v>435</v>
      </c>
      <c r="AV69" s="708" t="s">
        <v>478</v>
      </c>
      <c r="AW69" s="708" t="s">
        <v>419</v>
      </c>
      <c r="AX69" s="708" t="s">
        <v>50</v>
      </c>
      <c r="AY69" s="708" t="s">
        <v>427</v>
      </c>
      <c r="AZ69" s="711" t="s">
        <v>428</v>
      </c>
      <c r="BA69" s="709">
        <v>250.7206773</v>
      </c>
      <c r="BB69" s="709">
        <v>83.10300074</v>
      </c>
      <c r="BC69" s="709">
        <v>457.2812971</v>
      </c>
      <c r="BD69" s="710" t="s">
        <v>429</v>
      </c>
      <c r="BS69" s="707" t="s">
        <v>422</v>
      </c>
      <c r="BT69" s="708" t="s">
        <v>420</v>
      </c>
      <c r="BU69" s="708" t="s">
        <v>437</v>
      </c>
      <c r="BV69" s="708" t="s">
        <v>519</v>
      </c>
      <c r="BW69" s="708" t="s">
        <v>424</v>
      </c>
      <c r="BX69" s="708" t="s">
        <v>430</v>
      </c>
      <c r="BY69" s="708" t="s">
        <v>427</v>
      </c>
      <c r="BZ69" s="711" t="s">
        <v>428</v>
      </c>
      <c r="CA69" s="709">
        <v>27694.473</v>
      </c>
      <c r="CB69" s="709">
        <v>11299.493</v>
      </c>
      <c r="CC69" s="709">
        <v>57866.055</v>
      </c>
      <c r="CD69" s="710" t="s">
        <v>429</v>
      </c>
      <c r="CE69" s="460"/>
    </row>
    <row r="70">
      <c r="A70" s="690"/>
      <c r="B70" s="701" t="s">
        <v>433</v>
      </c>
      <c r="C70" s="702" t="s">
        <v>416</v>
      </c>
      <c r="D70" s="703" t="s">
        <v>505</v>
      </c>
      <c r="E70" s="704">
        <v>2021.0</v>
      </c>
      <c r="F70" s="702" t="s">
        <v>418</v>
      </c>
      <c r="G70" s="702" t="s">
        <v>50</v>
      </c>
      <c r="H70" s="705">
        <v>1387296.0</v>
      </c>
      <c r="I70" s="705">
        <v>1565292.0</v>
      </c>
      <c r="J70" s="706">
        <v>1204476.0</v>
      </c>
      <c r="K70" s="695"/>
      <c r="L70" s="707" t="s">
        <v>419</v>
      </c>
      <c r="M70" s="708" t="s">
        <v>98</v>
      </c>
      <c r="N70" s="708" t="s">
        <v>420</v>
      </c>
      <c r="O70" s="708" t="s">
        <v>421</v>
      </c>
      <c r="P70" s="708" t="s">
        <v>422</v>
      </c>
      <c r="Q70" s="708" t="s">
        <v>50</v>
      </c>
      <c r="R70" s="708">
        <v>2021.0</v>
      </c>
      <c r="S70" s="709">
        <v>5530.913131</v>
      </c>
      <c r="T70" s="709">
        <v>11831.33857</v>
      </c>
      <c r="U70" s="710">
        <v>1676.616894</v>
      </c>
      <c r="AH70" s="701" t="s">
        <v>424</v>
      </c>
      <c r="AI70" s="703" t="s">
        <v>494</v>
      </c>
      <c r="AJ70" s="703" t="s">
        <v>420</v>
      </c>
      <c r="AK70" s="703" t="s">
        <v>421</v>
      </c>
      <c r="AL70" s="703" t="s">
        <v>422</v>
      </c>
      <c r="AM70" s="703" t="s">
        <v>423</v>
      </c>
      <c r="AN70" s="704">
        <v>2021.0</v>
      </c>
      <c r="AO70" s="705">
        <v>40439.04861</v>
      </c>
      <c r="AP70" s="705">
        <v>70276.29996</v>
      </c>
      <c r="AQ70" s="706">
        <v>17977.41479</v>
      </c>
      <c r="AS70" s="707" t="s">
        <v>422</v>
      </c>
      <c r="AT70" s="708" t="s">
        <v>420</v>
      </c>
      <c r="AU70" s="708" t="s">
        <v>441</v>
      </c>
      <c r="AV70" s="708" t="s">
        <v>478</v>
      </c>
      <c r="AW70" s="708" t="s">
        <v>419</v>
      </c>
      <c r="AX70" s="708" t="s">
        <v>50</v>
      </c>
      <c r="AY70" s="708" t="s">
        <v>427</v>
      </c>
      <c r="AZ70" s="711" t="s">
        <v>428</v>
      </c>
      <c r="BA70" s="709">
        <v>1728.499142</v>
      </c>
      <c r="BB70" s="709">
        <v>760.3268089</v>
      </c>
      <c r="BC70" s="709">
        <v>2747.640828</v>
      </c>
      <c r="BD70" s="710" t="s">
        <v>429</v>
      </c>
      <c r="BS70" s="707" t="s">
        <v>422</v>
      </c>
      <c r="BT70" s="708" t="s">
        <v>420</v>
      </c>
      <c r="BU70" s="708" t="s">
        <v>425</v>
      </c>
      <c r="BV70" s="708" t="s">
        <v>123</v>
      </c>
      <c r="BW70" s="708" t="s">
        <v>424</v>
      </c>
      <c r="BX70" s="708" t="s">
        <v>430</v>
      </c>
      <c r="BY70" s="708" t="s">
        <v>427</v>
      </c>
      <c r="BZ70" s="711" t="s">
        <v>428</v>
      </c>
      <c r="CA70" s="709">
        <v>69826.126</v>
      </c>
      <c r="CB70" s="709">
        <v>23392.65</v>
      </c>
      <c r="CC70" s="709">
        <v>133891.17</v>
      </c>
      <c r="CD70" s="710" t="s">
        <v>429</v>
      </c>
      <c r="CE70" s="460"/>
    </row>
    <row r="71">
      <c r="A71" s="690"/>
      <c r="B71" s="712" t="s">
        <v>433</v>
      </c>
      <c r="C71" s="713" t="s">
        <v>416</v>
      </c>
      <c r="D71" s="714" t="s">
        <v>508</v>
      </c>
      <c r="E71" s="715">
        <v>2021.0</v>
      </c>
      <c r="F71" s="713" t="s">
        <v>418</v>
      </c>
      <c r="G71" s="713" t="s">
        <v>50</v>
      </c>
      <c r="H71" s="716">
        <v>4227758.0</v>
      </c>
      <c r="I71" s="716">
        <v>4770200.0</v>
      </c>
      <c r="J71" s="717">
        <v>3670618.0</v>
      </c>
      <c r="K71" s="695"/>
      <c r="L71" s="707" t="s">
        <v>419</v>
      </c>
      <c r="M71" s="708" t="s">
        <v>98</v>
      </c>
      <c r="N71" s="708" t="s">
        <v>420</v>
      </c>
      <c r="O71" s="708" t="s">
        <v>432</v>
      </c>
      <c r="P71" s="708" t="s">
        <v>422</v>
      </c>
      <c r="Q71" s="708" t="s">
        <v>50</v>
      </c>
      <c r="R71" s="708">
        <v>2021.0</v>
      </c>
      <c r="S71" s="709">
        <v>0.0</v>
      </c>
      <c r="T71" s="709">
        <v>0.0</v>
      </c>
      <c r="U71" s="710">
        <v>0.0</v>
      </c>
      <c r="AH71" s="712" t="s">
        <v>424</v>
      </c>
      <c r="AI71" s="714" t="s">
        <v>494</v>
      </c>
      <c r="AJ71" s="714" t="s">
        <v>420</v>
      </c>
      <c r="AK71" s="714" t="s">
        <v>434</v>
      </c>
      <c r="AL71" s="714" t="s">
        <v>422</v>
      </c>
      <c r="AM71" s="714" t="s">
        <v>423</v>
      </c>
      <c r="AN71" s="715">
        <v>2021.0</v>
      </c>
      <c r="AO71" s="716">
        <v>18247.98826</v>
      </c>
      <c r="AP71" s="716">
        <v>30492.5872</v>
      </c>
      <c r="AQ71" s="717">
        <v>11523.69463</v>
      </c>
      <c r="AS71" s="707" t="s">
        <v>422</v>
      </c>
      <c r="AT71" s="708" t="s">
        <v>420</v>
      </c>
      <c r="AU71" s="708" t="s">
        <v>445</v>
      </c>
      <c r="AV71" s="708" t="s">
        <v>478</v>
      </c>
      <c r="AW71" s="708" t="s">
        <v>419</v>
      </c>
      <c r="AX71" s="708" t="s">
        <v>50</v>
      </c>
      <c r="AY71" s="708" t="s">
        <v>427</v>
      </c>
      <c r="AZ71" s="711" t="s">
        <v>428</v>
      </c>
      <c r="BA71" s="709">
        <v>10910.61422</v>
      </c>
      <c r="BB71" s="709">
        <v>4575.448695</v>
      </c>
      <c r="BC71" s="709">
        <v>19229.82082</v>
      </c>
      <c r="BD71" s="710" t="s">
        <v>429</v>
      </c>
      <c r="BS71" s="707" t="s">
        <v>422</v>
      </c>
      <c r="BT71" s="708" t="s">
        <v>420</v>
      </c>
      <c r="BU71" s="708" t="s">
        <v>437</v>
      </c>
      <c r="BV71" s="708" t="s">
        <v>123</v>
      </c>
      <c r="BW71" s="708" t="s">
        <v>424</v>
      </c>
      <c r="BX71" s="708" t="s">
        <v>430</v>
      </c>
      <c r="BY71" s="708" t="s">
        <v>427</v>
      </c>
      <c r="BZ71" s="711" t="s">
        <v>428</v>
      </c>
      <c r="CA71" s="709">
        <v>30076.665</v>
      </c>
      <c r="CB71" s="709">
        <v>12425.185</v>
      </c>
      <c r="CC71" s="709">
        <v>61950.17</v>
      </c>
      <c r="CD71" s="710" t="s">
        <v>429</v>
      </c>
      <c r="CE71" s="460"/>
    </row>
    <row r="72">
      <c r="A72" s="690"/>
      <c r="B72" s="701" t="s">
        <v>433</v>
      </c>
      <c r="C72" s="702" t="s">
        <v>416</v>
      </c>
      <c r="D72" s="703" t="s">
        <v>511</v>
      </c>
      <c r="E72" s="704">
        <v>2021.0</v>
      </c>
      <c r="F72" s="702" t="s">
        <v>418</v>
      </c>
      <c r="G72" s="702" t="s">
        <v>50</v>
      </c>
      <c r="H72" s="705">
        <v>7369652.0</v>
      </c>
      <c r="I72" s="705">
        <v>8315214.0</v>
      </c>
      <c r="J72" s="706">
        <v>6398468.0</v>
      </c>
      <c r="K72" s="695"/>
      <c r="L72" s="707" t="s">
        <v>419</v>
      </c>
      <c r="M72" s="708" t="s">
        <v>98</v>
      </c>
      <c r="N72" s="708" t="s">
        <v>420</v>
      </c>
      <c r="O72" s="708" t="s">
        <v>439</v>
      </c>
      <c r="P72" s="708" t="s">
        <v>422</v>
      </c>
      <c r="Q72" s="708" t="s">
        <v>50</v>
      </c>
      <c r="R72" s="708">
        <v>2021.0</v>
      </c>
      <c r="S72" s="709">
        <v>232.2827413</v>
      </c>
      <c r="T72" s="709">
        <v>516.6069449</v>
      </c>
      <c r="U72" s="710">
        <v>67.97614051</v>
      </c>
      <c r="AH72" s="701" t="s">
        <v>424</v>
      </c>
      <c r="AI72" s="703" t="s">
        <v>494</v>
      </c>
      <c r="AJ72" s="703" t="s">
        <v>420</v>
      </c>
      <c r="AK72" s="703" t="s">
        <v>417</v>
      </c>
      <c r="AL72" s="703" t="s">
        <v>422</v>
      </c>
      <c r="AM72" s="703" t="s">
        <v>423</v>
      </c>
      <c r="AN72" s="704">
        <v>2021.0</v>
      </c>
      <c r="AO72" s="705">
        <v>28531.63968</v>
      </c>
      <c r="AP72" s="705">
        <v>49620.05135</v>
      </c>
      <c r="AQ72" s="706">
        <v>12693.3297</v>
      </c>
      <c r="AS72" s="707" t="s">
        <v>422</v>
      </c>
      <c r="AT72" s="708" t="s">
        <v>420</v>
      </c>
      <c r="AU72" s="708" t="s">
        <v>425</v>
      </c>
      <c r="AV72" s="708" t="s">
        <v>481</v>
      </c>
      <c r="AW72" s="708" t="s">
        <v>419</v>
      </c>
      <c r="AX72" s="708" t="s">
        <v>50</v>
      </c>
      <c r="AY72" s="708" t="s">
        <v>427</v>
      </c>
      <c r="AZ72" s="711" t="s">
        <v>428</v>
      </c>
      <c r="BA72" s="709">
        <v>5568.85435</v>
      </c>
      <c r="BB72" s="709">
        <v>2031.673116</v>
      </c>
      <c r="BC72" s="709">
        <v>12152.63407</v>
      </c>
      <c r="BD72" s="710" t="s">
        <v>429</v>
      </c>
      <c r="BS72" s="707" t="s">
        <v>422</v>
      </c>
      <c r="BT72" s="708" t="s">
        <v>420</v>
      </c>
      <c r="BU72" s="708" t="s">
        <v>425</v>
      </c>
      <c r="BV72" s="708" t="s">
        <v>523</v>
      </c>
      <c r="BW72" s="708" t="s">
        <v>424</v>
      </c>
      <c r="BX72" s="708" t="s">
        <v>430</v>
      </c>
      <c r="BY72" s="708" t="s">
        <v>427</v>
      </c>
      <c r="BZ72" s="711" t="s">
        <v>428</v>
      </c>
      <c r="CA72" s="709">
        <v>76697.18</v>
      </c>
      <c r="CB72" s="709">
        <v>39309.216</v>
      </c>
      <c r="CC72" s="709">
        <v>129008.67</v>
      </c>
      <c r="CD72" s="710" t="s">
        <v>429</v>
      </c>
      <c r="CE72" s="460"/>
    </row>
    <row r="73">
      <c r="A73" s="690"/>
      <c r="B73" s="712" t="s">
        <v>433</v>
      </c>
      <c r="C73" s="713" t="s">
        <v>416</v>
      </c>
      <c r="D73" s="714" t="s">
        <v>514</v>
      </c>
      <c r="E73" s="715">
        <v>2021.0</v>
      </c>
      <c r="F73" s="713" t="s">
        <v>418</v>
      </c>
      <c r="G73" s="713" t="s">
        <v>50</v>
      </c>
      <c r="H73" s="716">
        <v>3198253.0</v>
      </c>
      <c r="I73" s="716">
        <v>3608605.0</v>
      </c>
      <c r="J73" s="717">
        <v>2776782.0</v>
      </c>
      <c r="K73" s="695"/>
      <c r="L73" s="707" t="s">
        <v>419</v>
      </c>
      <c r="M73" s="708" t="s">
        <v>98</v>
      </c>
      <c r="N73" s="708" t="s">
        <v>420</v>
      </c>
      <c r="O73" s="708" t="s">
        <v>443</v>
      </c>
      <c r="P73" s="708" t="s">
        <v>422</v>
      </c>
      <c r="Q73" s="708" t="s">
        <v>50</v>
      </c>
      <c r="R73" s="708">
        <v>2021.0</v>
      </c>
      <c r="S73" s="709">
        <v>8798.15584</v>
      </c>
      <c r="T73" s="709">
        <v>18325.7549</v>
      </c>
      <c r="U73" s="710">
        <v>2705.789015</v>
      </c>
      <c r="AH73" s="712" t="s">
        <v>424</v>
      </c>
      <c r="AI73" s="714" t="s">
        <v>495</v>
      </c>
      <c r="AJ73" s="714" t="s">
        <v>420</v>
      </c>
      <c r="AK73" s="714" t="s">
        <v>421</v>
      </c>
      <c r="AL73" s="714" t="s">
        <v>422</v>
      </c>
      <c r="AM73" s="714" t="s">
        <v>423</v>
      </c>
      <c r="AN73" s="715">
        <v>2021.0</v>
      </c>
      <c r="AO73" s="716">
        <v>86789.91307</v>
      </c>
      <c r="AP73" s="716">
        <v>138613.9304</v>
      </c>
      <c r="AQ73" s="717">
        <v>37729.90135</v>
      </c>
      <c r="AS73" s="707" t="s">
        <v>422</v>
      </c>
      <c r="AT73" s="708" t="s">
        <v>420</v>
      </c>
      <c r="AU73" s="708" t="s">
        <v>435</v>
      </c>
      <c r="AV73" s="708" t="s">
        <v>481</v>
      </c>
      <c r="AW73" s="708" t="s">
        <v>419</v>
      </c>
      <c r="AX73" s="708" t="s">
        <v>50</v>
      </c>
      <c r="AY73" s="708" t="s">
        <v>427</v>
      </c>
      <c r="AZ73" s="711" t="s">
        <v>428</v>
      </c>
      <c r="BA73" s="709">
        <v>132.0697812</v>
      </c>
      <c r="BB73" s="709">
        <v>32.44795191</v>
      </c>
      <c r="BC73" s="709">
        <v>337.9213185</v>
      </c>
      <c r="BD73" s="710" t="s">
        <v>429</v>
      </c>
      <c r="BS73" s="707" t="s">
        <v>422</v>
      </c>
      <c r="BT73" s="708" t="s">
        <v>420</v>
      </c>
      <c r="BU73" s="708" t="s">
        <v>437</v>
      </c>
      <c r="BV73" s="708" t="s">
        <v>523</v>
      </c>
      <c r="BW73" s="708" t="s">
        <v>424</v>
      </c>
      <c r="BX73" s="708" t="s">
        <v>430</v>
      </c>
      <c r="BY73" s="708" t="s">
        <v>427</v>
      </c>
      <c r="BZ73" s="711" t="s">
        <v>428</v>
      </c>
      <c r="CA73" s="709">
        <v>32632.12</v>
      </c>
      <c r="CB73" s="709">
        <v>17321.187</v>
      </c>
      <c r="CC73" s="709">
        <v>67882.85</v>
      </c>
      <c r="CD73" s="710" t="s">
        <v>429</v>
      </c>
      <c r="CE73" s="460"/>
    </row>
    <row r="74">
      <c r="A74" s="690"/>
      <c r="B74" s="701" t="s">
        <v>433</v>
      </c>
      <c r="C74" s="702" t="s">
        <v>416</v>
      </c>
      <c r="D74" s="703" t="s">
        <v>439</v>
      </c>
      <c r="E74" s="704">
        <v>2021.0</v>
      </c>
      <c r="F74" s="702" t="s">
        <v>418</v>
      </c>
      <c r="G74" s="702" t="s">
        <v>50</v>
      </c>
      <c r="H74" s="705">
        <v>158129.0</v>
      </c>
      <c r="I74" s="705">
        <v>178417.0</v>
      </c>
      <c r="J74" s="706">
        <v>137290.0</v>
      </c>
      <c r="K74" s="695"/>
      <c r="L74" s="707" t="s">
        <v>419</v>
      </c>
      <c r="M74" s="708" t="s">
        <v>98</v>
      </c>
      <c r="N74" s="708" t="s">
        <v>420</v>
      </c>
      <c r="O74" s="708" t="s">
        <v>417</v>
      </c>
      <c r="P74" s="708" t="s">
        <v>422</v>
      </c>
      <c r="Q74" s="708" t="s">
        <v>50</v>
      </c>
      <c r="R74" s="708">
        <v>2021.0</v>
      </c>
      <c r="S74" s="709">
        <v>1860.809084</v>
      </c>
      <c r="T74" s="709">
        <v>4057.655928</v>
      </c>
      <c r="U74" s="710">
        <v>564.9350501</v>
      </c>
      <c r="AH74" s="701" t="s">
        <v>424</v>
      </c>
      <c r="AI74" s="703" t="s">
        <v>495</v>
      </c>
      <c r="AJ74" s="703" t="s">
        <v>420</v>
      </c>
      <c r="AK74" s="703" t="s">
        <v>434</v>
      </c>
      <c r="AL74" s="703" t="s">
        <v>422</v>
      </c>
      <c r="AM74" s="703" t="s">
        <v>423</v>
      </c>
      <c r="AN74" s="704">
        <v>2021.0</v>
      </c>
      <c r="AO74" s="705">
        <v>36170.21849</v>
      </c>
      <c r="AP74" s="705">
        <v>62606.63574</v>
      </c>
      <c r="AQ74" s="706">
        <v>18896.67222</v>
      </c>
      <c r="AS74" s="707" t="s">
        <v>422</v>
      </c>
      <c r="AT74" s="708" t="s">
        <v>420</v>
      </c>
      <c r="AU74" s="708" t="s">
        <v>441</v>
      </c>
      <c r="AV74" s="708" t="s">
        <v>481</v>
      </c>
      <c r="AW74" s="708" t="s">
        <v>419</v>
      </c>
      <c r="AX74" s="708" t="s">
        <v>50</v>
      </c>
      <c r="AY74" s="708" t="s">
        <v>427</v>
      </c>
      <c r="AZ74" s="711" t="s">
        <v>428</v>
      </c>
      <c r="BA74" s="709">
        <v>1078.909057</v>
      </c>
      <c r="BB74" s="709">
        <v>322.549395</v>
      </c>
      <c r="BC74" s="709">
        <v>2563.216589</v>
      </c>
      <c r="BD74" s="710" t="s">
        <v>429</v>
      </c>
      <c r="BS74" s="707" t="s">
        <v>422</v>
      </c>
      <c r="BT74" s="708" t="s">
        <v>420</v>
      </c>
      <c r="BU74" s="708" t="s">
        <v>425</v>
      </c>
      <c r="BV74" s="708" t="s">
        <v>526</v>
      </c>
      <c r="BW74" s="708" t="s">
        <v>424</v>
      </c>
      <c r="BX74" s="708" t="s">
        <v>430</v>
      </c>
      <c r="BY74" s="708" t="s">
        <v>427</v>
      </c>
      <c r="BZ74" s="711" t="s">
        <v>428</v>
      </c>
      <c r="CA74" s="709">
        <v>64158.684</v>
      </c>
      <c r="CB74" s="709">
        <v>21231.18</v>
      </c>
      <c r="CC74" s="709">
        <v>119547.36</v>
      </c>
      <c r="CD74" s="710" t="s">
        <v>429</v>
      </c>
      <c r="CE74" s="460"/>
    </row>
    <row r="75">
      <c r="A75" s="690"/>
      <c r="B75" s="712" t="s">
        <v>433</v>
      </c>
      <c r="C75" s="713" t="s">
        <v>416</v>
      </c>
      <c r="D75" s="714" t="s">
        <v>517</v>
      </c>
      <c r="E75" s="715">
        <v>2021.0</v>
      </c>
      <c r="F75" s="713" t="s">
        <v>418</v>
      </c>
      <c r="G75" s="713" t="s">
        <v>50</v>
      </c>
      <c r="H75" s="716">
        <v>2216574.0</v>
      </c>
      <c r="I75" s="716">
        <v>2500971.0</v>
      </c>
      <c r="J75" s="717">
        <v>1924470.0</v>
      </c>
      <c r="K75" s="695"/>
      <c r="L75" s="707" t="s">
        <v>419</v>
      </c>
      <c r="M75" s="708" t="s">
        <v>98</v>
      </c>
      <c r="N75" s="708" t="s">
        <v>420</v>
      </c>
      <c r="O75" s="708" t="s">
        <v>438</v>
      </c>
      <c r="P75" s="708" t="s">
        <v>422</v>
      </c>
      <c r="Q75" s="708" t="s">
        <v>50</v>
      </c>
      <c r="R75" s="708">
        <v>2021.0</v>
      </c>
      <c r="S75" s="709">
        <v>232.2827413</v>
      </c>
      <c r="T75" s="709">
        <v>516.6069449</v>
      </c>
      <c r="U75" s="710">
        <v>67.97614051</v>
      </c>
      <c r="AH75" s="712" t="s">
        <v>424</v>
      </c>
      <c r="AI75" s="714" t="s">
        <v>495</v>
      </c>
      <c r="AJ75" s="714" t="s">
        <v>420</v>
      </c>
      <c r="AK75" s="714" t="s">
        <v>417</v>
      </c>
      <c r="AL75" s="714" t="s">
        <v>422</v>
      </c>
      <c r="AM75" s="714" t="s">
        <v>423</v>
      </c>
      <c r="AN75" s="715">
        <v>2021.0</v>
      </c>
      <c r="AO75" s="716">
        <v>61381.23392</v>
      </c>
      <c r="AP75" s="716">
        <v>98036.34402</v>
      </c>
      <c r="AQ75" s="717">
        <v>26684.91962</v>
      </c>
      <c r="AS75" s="707" t="s">
        <v>422</v>
      </c>
      <c r="AT75" s="708" t="s">
        <v>420</v>
      </c>
      <c r="AU75" s="708" t="s">
        <v>445</v>
      </c>
      <c r="AV75" s="708" t="s">
        <v>481</v>
      </c>
      <c r="AW75" s="708" t="s">
        <v>419</v>
      </c>
      <c r="AX75" s="708" t="s">
        <v>50</v>
      </c>
      <c r="AY75" s="708" t="s">
        <v>427</v>
      </c>
      <c r="AZ75" s="711" t="s">
        <v>428</v>
      </c>
      <c r="BA75" s="709">
        <v>7479.084952</v>
      </c>
      <c r="BB75" s="709">
        <v>2605.695552</v>
      </c>
      <c r="BC75" s="709">
        <v>16565.86865</v>
      </c>
      <c r="BD75" s="710" t="s">
        <v>429</v>
      </c>
      <c r="BS75" s="707" t="s">
        <v>422</v>
      </c>
      <c r="BT75" s="708" t="s">
        <v>420</v>
      </c>
      <c r="BU75" s="708" t="s">
        <v>437</v>
      </c>
      <c r="BV75" s="708" t="s">
        <v>526</v>
      </c>
      <c r="BW75" s="708" t="s">
        <v>424</v>
      </c>
      <c r="BX75" s="708" t="s">
        <v>430</v>
      </c>
      <c r="BY75" s="708" t="s">
        <v>427</v>
      </c>
      <c r="BZ75" s="711" t="s">
        <v>428</v>
      </c>
      <c r="CA75" s="709">
        <v>28004.04</v>
      </c>
      <c r="CB75" s="709">
        <v>14295.003</v>
      </c>
      <c r="CC75" s="709">
        <v>54063.225</v>
      </c>
      <c r="CD75" s="710" t="s">
        <v>429</v>
      </c>
      <c r="CE75" s="460"/>
    </row>
    <row r="76">
      <c r="A76" s="690"/>
      <c r="B76" s="701" t="s">
        <v>433</v>
      </c>
      <c r="C76" s="702" t="s">
        <v>416</v>
      </c>
      <c r="D76" s="703" t="s">
        <v>520</v>
      </c>
      <c r="E76" s="704">
        <v>2021.0</v>
      </c>
      <c r="F76" s="702" t="s">
        <v>418</v>
      </c>
      <c r="G76" s="702" t="s">
        <v>50</v>
      </c>
      <c r="H76" s="705">
        <v>1954825.0</v>
      </c>
      <c r="I76" s="705">
        <v>2205638.0</v>
      </c>
      <c r="J76" s="706">
        <v>1697215.0</v>
      </c>
      <c r="K76" s="695"/>
      <c r="L76" s="707" t="s">
        <v>419</v>
      </c>
      <c r="M76" s="708" t="s">
        <v>466</v>
      </c>
      <c r="N76" s="708" t="s">
        <v>420</v>
      </c>
      <c r="O76" s="708" t="s">
        <v>421</v>
      </c>
      <c r="P76" s="708" t="s">
        <v>422</v>
      </c>
      <c r="Q76" s="708" t="s">
        <v>50</v>
      </c>
      <c r="R76" s="708">
        <v>2021.0</v>
      </c>
      <c r="S76" s="709">
        <v>2.383909514</v>
      </c>
      <c r="T76" s="709">
        <v>3.968006949</v>
      </c>
      <c r="U76" s="710">
        <v>1.020444205</v>
      </c>
      <c r="AH76" s="701" t="s">
        <v>424</v>
      </c>
      <c r="AI76" s="703" t="s">
        <v>498</v>
      </c>
      <c r="AJ76" s="703" t="s">
        <v>420</v>
      </c>
      <c r="AK76" s="703" t="s">
        <v>421</v>
      </c>
      <c r="AL76" s="703" t="s">
        <v>422</v>
      </c>
      <c r="AM76" s="703" t="s">
        <v>423</v>
      </c>
      <c r="AN76" s="704">
        <v>2021.0</v>
      </c>
      <c r="AO76" s="705">
        <v>21779.23626</v>
      </c>
      <c r="AP76" s="705">
        <v>58541.36172</v>
      </c>
      <c r="AQ76" s="706">
        <v>4655.116394</v>
      </c>
      <c r="AS76" s="707" t="s">
        <v>422</v>
      </c>
      <c r="AT76" s="708" t="s">
        <v>420</v>
      </c>
      <c r="AU76" s="708" t="s">
        <v>425</v>
      </c>
      <c r="AV76" s="708" t="s">
        <v>484</v>
      </c>
      <c r="AW76" s="708" t="s">
        <v>419</v>
      </c>
      <c r="AX76" s="708" t="s">
        <v>50</v>
      </c>
      <c r="AY76" s="708" t="s">
        <v>427</v>
      </c>
      <c r="AZ76" s="711" t="s">
        <v>428</v>
      </c>
      <c r="BA76" s="709">
        <v>7208.870689</v>
      </c>
      <c r="BB76" s="709">
        <v>2434.620191</v>
      </c>
      <c r="BC76" s="709">
        <v>13693.14636</v>
      </c>
      <c r="BD76" s="710" t="s">
        <v>429</v>
      </c>
      <c r="BS76" s="707" t="s">
        <v>422</v>
      </c>
      <c r="BT76" s="708" t="s">
        <v>420</v>
      </c>
      <c r="BU76" s="708" t="s">
        <v>425</v>
      </c>
      <c r="BV76" s="708" t="s">
        <v>528</v>
      </c>
      <c r="BW76" s="708" t="s">
        <v>424</v>
      </c>
      <c r="BX76" s="708" t="s">
        <v>430</v>
      </c>
      <c r="BY76" s="708" t="s">
        <v>427</v>
      </c>
      <c r="BZ76" s="711" t="s">
        <v>428</v>
      </c>
      <c r="CA76" s="709">
        <v>72281.03</v>
      </c>
      <c r="CB76" s="709">
        <v>22912.629</v>
      </c>
      <c r="CC76" s="709">
        <v>134755.5</v>
      </c>
      <c r="CD76" s="710" t="s">
        <v>429</v>
      </c>
      <c r="CE76" s="460"/>
    </row>
    <row r="77">
      <c r="A77" s="690"/>
      <c r="B77" s="712" t="s">
        <v>433</v>
      </c>
      <c r="C77" s="713" t="s">
        <v>416</v>
      </c>
      <c r="D77" s="714" t="s">
        <v>521</v>
      </c>
      <c r="E77" s="715">
        <v>2021.0</v>
      </c>
      <c r="F77" s="713" t="s">
        <v>418</v>
      </c>
      <c r="G77" s="713" t="s">
        <v>50</v>
      </c>
      <c r="H77" s="716">
        <v>1230806.0</v>
      </c>
      <c r="I77" s="716">
        <v>1388725.0</v>
      </c>
      <c r="J77" s="717">
        <v>1068609.0</v>
      </c>
      <c r="K77" s="695"/>
      <c r="L77" s="707" t="s">
        <v>419</v>
      </c>
      <c r="M77" s="708" t="s">
        <v>466</v>
      </c>
      <c r="N77" s="708" t="s">
        <v>420</v>
      </c>
      <c r="O77" s="708" t="s">
        <v>432</v>
      </c>
      <c r="P77" s="708" t="s">
        <v>422</v>
      </c>
      <c r="Q77" s="708" t="s">
        <v>50</v>
      </c>
      <c r="R77" s="708">
        <v>2021.0</v>
      </c>
      <c r="S77" s="709">
        <v>0.0</v>
      </c>
      <c r="T77" s="709">
        <v>0.0</v>
      </c>
      <c r="U77" s="710">
        <v>0.0</v>
      </c>
      <c r="AH77" s="712" t="s">
        <v>424</v>
      </c>
      <c r="AI77" s="714" t="s">
        <v>498</v>
      </c>
      <c r="AJ77" s="714" t="s">
        <v>420</v>
      </c>
      <c r="AK77" s="714" t="s">
        <v>434</v>
      </c>
      <c r="AL77" s="714" t="s">
        <v>422</v>
      </c>
      <c r="AM77" s="714" t="s">
        <v>423</v>
      </c>
      <c r="AN77" s="715">
        <v>2021.0</v>
      </c>
      <c r="AO77" s="716">
        <v>10676.42059</v>
      </c>
      <c r="AP77" s="716">
        <v>29877.18672</v>
      </c>
      <c r="AQ77" s="717">
        <v>3278.423688</v>
      </c>
      <c r="AS77" s="707" t="s">
        <v>422</v>
      </c>
      <c r="AT77" s="708" t="s">
        <v>420</v>
      </c>
      <c r="AU77" s="708" t="s">
        <v>435</v>
      </c>
      <c r="AV77" s="708" t="s">
        <v>484</v>
      </c>
      <c r="AW77" s="708" t="s">
        <v>419</v>
      </c>
      <c r="AX77" s="708" t="s">
        <v>50</v>
      </c>
      <c r="AY77" s="708" t="s">
        <v>427</v>
      </c>
      <c r="AZ77" s="711" t="s">
        <v>428</v>
      </c>
      <c r="BA77" s="709">
        <v>300.8215881</v>
      </c>
      <c r="BB77" s="709">
        <v>74.44191236</v>
      </c>
      <c r="BC77" s="709">
        <v>743.8772494</v>
      </c>
      <c r="BD77" s="710" t="s">
        <v>429</v>
      </c>
      <c r="BS77" s="728" t="s">
        <v>422</v>
      </c>
      <c r="BT77" s="729" t="s">
        <v>420</v>
      </c>
      <c r="BU77" s="729" t="s">
        <v>437</v>
      </c>
      <c r="BV77" s="729" t="s">
        <v>528</v>
      </c>
      <c r="BW77" s="729" t="s">
        <v>424</v>
      </c>
      <c r="BX77" s="729" t="s">
        <v>430</v>
      </c>
      <c r="BY77" s="729" t="s">
        <v>427</v>
      </c>
      <c r="BZ77" s="730" t="s">
        <v>428</v>
      </c>
      <c r="CA77" s="731">
        <v>30568.558</v>
      </c>
      <c r="CB77" s="731">
        <v>13890.761</v>
      </c>
      <c r="CC77" s="731">
        <v>54403.87</v>
      </c>
      <c r="CD77" s="732" t="s">
        <v>429</v>
      </c>
      <c r="CE77" s="460"/>
    </row>
    <row r="78">
      <c r="A78" s="690"/>
      <c r="B78" s="701" t="s">
        <v>433</v>
      </c>
      <c r="C78" s="702" t="s">
        <v>416</v>
      </c>
      <c r="D78" s="703" t="s">
        <v>524</v>
      </c>
      <c r="E78" s="704">
        <v>2021.0</v>
      </c>
      <c r="F78" s="702" t="s">
        <v>418</v>
      </c>
      <c r="G78" s="702" t="s">
        <v>50</v>
      </c>
      <c r="H78" s="705">
        <v>534438.0</v>
      </c>
      <c r="I78" s="705">
        <v>603009.0</v>
      </c>
      <c r="J78" s="706">
        <v>464009.0</v>
      </c>
      <c r="K78" s="695"/>
      <c r="L78" s="707" t="s">
        <v>419</v>
      </c>
      <c r="M78" s="708" t="s">
        <v>466</v>
      </c>
      <c r="N78" s="708" t="s">
        <v>420</v>
      </c>
      <c r="O78" s="708" t="s">
        <v>439</v>
      </c>
      <c r="P78" s="708" t="s">
        <v>422</v>
      </c>
      <c r="Q78" s="708" t="s">
        <v>50</v>
      </c>
      <c r="R78" s="708">
        <v>2021.0</v>
      </c>
      <c r="S78" s="709">
        <v>0.0449732</v>
      </c>
      <c r="T78" s="709">
        <v>0.076371979</v>
      </c>
      <c r="U78" s="710">
        <v>0.020080347</v>
      </c>
      <c r="AH78" s="701" t="s">
        <v>424</v>
      </c>
      <c r="AI78" s="703" t="s">
        <v>498</v>
      </c>
      <c r="AJ78" s="703" t="s">
        <v>420</v>
      </c>
      <c r="AK78" s="703" t="s">
        <v>417</v>
      </c>
      <c r="AL78" s="703" t="s">
        <v>422</v>
      </c>
      <c r="AM78" s="703" t="s">
        <v>423</v>
      </c>
      <c r="AN78" s="704">
        <v>2021.0</v>
      </c>
      <c r="AO78" s="705">
        <v>15395.50729</v>
      </c>
      <c r="AP78" s="705">
        <v>41410.79117</v>
      </c>
      <c r="AQ78" s="706">
        <v>3110.356418</v>
      </c>
      <c r="AS78" s="707" t="s">
        <v>422</v>
      </c>
      <c r="AT78" s="708" t="s">
        <v>420</v>
      </c>
      <c r="AU78" s="708" t="s">
        <v>441</v>
      </c>
      <c r="AV78" s="708" t="s">
        <v>484</v>
      </c>
      <c r="AW78" s="708" t="s">
        <v>419</v>
      </c>
      <c r="AX78" s="708" t="s">
        <v>50</v>
      </c>
      <c r="AY78" s="708" t="s">
        <v>427</v>
      </c>
      <c r="AZ78" s="711" t="s">
        <v>428</v>
      </c>
      <c r="BA78" s="709">
        <v>2247.072333</v>
      </c>
      <c r="BB78" s="709">
        <v>662.2830636</v>
      </c>
      <c r="BC78" s="709">
        <v>4778.900068</v>
      </c>
      <c r="BD78" s="710" t="s">
        <v>429</v>
      </c>
      <c r="CE78" s="460"/>
    </row>
    <row r="79">
      <c r="A79" s="690"/>
      <c r="B79" s="712" t="s">
        <v>433</v>
      </c>
      <c r="C79" s="713" t="s">
        <v>416</v>
      </c>
      <c r="D79" s="714" t="s">
        <v>527</v>
      </c>
      <c r="E79" s="715">
        <v>2021.0</v>
      </c>
      <c r="F79" s="713" t="s">
        <v>418</v>
      </c>
      <c r="G79" s="713" t="s">
        <v>50</v>
      </c>
      <c r="H79" s="716">
        <v>164527.0</v>
      </c>
      <c r="I79" s="716">
        <v>185636.0</v>
      </c>
      <c r="J79" s="717">
        <v>142845.0</v>
      </c>
      <c r="K79" s="695"/>
      <c r="L79" s="707" t="s">
        <v>419</v>
      </c>
      <c r="M79" s="708" t="s">
        <v>466</v>
      </c>
      <c r="N79" s="708" t="s">
        <v>420</v>
      </c>
      <c r="O79" s="708" t="s">
        <v>443</v>
      </c>
      <c r="P79" s="708" t="s">
        <v>422</v>
      </c>
      <c r="Q79" s="708" t="s">
        <v>50</v>
      </c>
      <c r="R79" s="708">
        <v>2021.0</v>
      </c>
      <c r="S79" s="709">
        <v>29.65859479</v>
      </c>
      <c r="T79" s="709">
        <v>50.20960216</v>
      </c>
      <c r="U79" s="710">
        <v>13.31785332</v>
      </c>
      <c r="AH79" s="712" t="s">
        <v>424</v>
      </c>
      <c r="AI79" s="714" t="s">
        <v>501</v>
      </c>
      <c r="AJ79" s="714" t="s">
        <v>420</v>
      </c>
      <c r="AK79" s="714" t="s">
        <v>421</v>
      </c>
      <c r="AL79" s="714" t="s">
        <v>422</v>
      </c>
      <c r="AM79" s="714" t="s">
        <v>423</v>
      </c>
      <c r="AN79" s="715">
        <v>2021.0</v>
      </c>
      <c r="AO79" s="716">
        <v>154.310033</v>
      </c>
      <c r="AP79" s="716">
        <v>607.4788403</v>
      </c>
      <c r="AQ79" s="717">
        <v>38.15210403</v>
      </c>
      <c r="AS79" s="707" t="s">
        <v>422</v>
      </c>
      <c r="AT79" s="708" t="s">
        <v>420</v>
      </c>
      <c r="AU79" s="708" t="s">
        <v>445</v>
      </c>
      <c r="AV79" s="708" t="s">
        <v>484</v>
      </c>
      <c r="AW79" s="708" t="s">
        <v>419</v>
      </c>
      <c r="AX79" s="708" t="s">
        <v>50</v>
      </c>
      <c r="AY79" s="708" t="s">
        <v>427</v>
      </c>
      <c r="AZ79" s="711" t="s">
        <v>428</v>
      </c>
      <c r="BA79" s="709">
        <v>11930.93573</v>
      </c>
      <c r="BB79" s="709">
        <v>3825.442662</v>
      </c>
      <c r="BC79" s="709">
        <v>23628.24859</v>
      </c>
      <c r="BD79" s="710" t="s">
        <v>429</v>
      </c>
      <c r="CE79" s="460"/>
    </row>
    <row r="80">
      <c r="A80" s="690"/>
      <c r="B80" s="701" t="s">
        <v>433</v>
      </c>
      <c r="C80" s="702" t="s">
        <v>416</v>
      </c>
      <c r="D80" s="703" t="s">
        <v>529</v>
      </c>
      <c r="E80" s="704">
        <v>2021.0</v>
      </c>
      <c r="F80" s="702" t="s">
        <v>418</v>
      </c>
      <c r="G80" s="702" t="s">
        <v>50</v>
      </c>
      <c r="H80" s="705">
        <v>25053.0</v>
      </c>
      <c r="I80" s="705">
        <v>28268.0</v>
      </c>
      <c r="J80" s="706">
        <v>21752.0</v>
      </c>
      <c r="K80" s="695"/>
      <c r="L80" s="707" t="s">
        <v>419</v>
      </c>
      <c r="M80" s="708" t="s">
        <v>466</v>
      </c>
      <c r="N80" s="708" t="s">
        <v>420</v>
      </c>
      <c r="O80" s="708" t="s">
        <v>417</v>
      </c>
      <c r="P80" s="708" t="s">
        <v>422</v>
      </c>
      <c r="Q80" s="708" t="s">
        <v>50</v>
      </c>
      <c r="R80" s="708">
        <v>2021.0</v>
      </c>
      <c r="S80" s="709">
        <v>0.951292425</v>
      </c>
      <c r="T80" s="709">
        <v>1.555543958</v>
      </c>
      <c r="U80" s="710">
        <v>0.401372859</v>
      </c>
      <c r="AH80" s="701" t="s">
        <v>424</v>
      </c>
      <c r="AI80" s="703" t="s">
        <v>501</v>
      </c>
      <c r="AJ80" s="703" t="s">
        <v>420</v>
      </c>
      <c r="AK80" s="703" t="s">
        <v>434</v>
      </c>
      <c r="AL80" s="703" t="s">
        <v>422</v>
      </c>
      <c r="AM80" s="703" t="s">
        <v>423</v>
      </c>
      <c r="AN80" s="704">
        <v>2021.0</v>
      </c>
      <c r="AO80" s="705">
        <v>204.7982527</v>
      </c>
      <c r="AP80" s="705">
        <v>608.7151199</v>
      </c>
      <c r="AQ80" s="706">
        <v>69.45974153</v>
      </c>
      <c r="AS80" s="707" t="s">
        <v>422</v>
      </c>
      <c r="AT80" s="708" t="s">
        <v>420</v>
      </c>
      <c r="AU80" s="708" t="s">
        <v>425</v>
      </c>
      <c r="AV80" s="708" t="s">
        <v>487</v>
      </c>
      <c r="AW80" s="708" t="s">
        <v>419</v>
      </c>
      <c r="AX80" s="708" t="s">
        <v>50</v>
      </c>
      <c r="AY80" s="708" t="s">
        <v>427</v>
      </c>
      <c r="AZ80" s="711" t="s">
        <v>428</v>
      </c>
      <c r="BA80" s="709">
        <v>19224.00525</v>
      </c>
      <c r="BB80" s="709">
        <v>5181.498737</v>
      </c>
      <c r="BC80" s="709">
        <v>39993.97648</v>
      </c>
      <c r="BD80" s="710" t="s">
        <v>429</v>
      </c>
      <c r="CE80" s="460"/>
    </row>
    <row r="81">
      <c r="A81" s="690"/>
      <c r="B81" s="712" t="s">
        <v>433</v>
      </c>
      <c r="C81" s="713" t="s">
        <v>416</v>
      </c>
      <c r="D81" s="714" t="s">
        <v>443</v>
      </c>
      <c r="E81" s="715">
        <v>2021.0</v>
      </c>
      <c r="F81" s="713" t="s">
        <v>418</v>
      </c>
      <c r="G81" s="713" t="s">
        <v>50</v>
      </c>
      <c r="H81" s="716">
        <v>1.64636116E8</v>
      </c>
      <c r="I81" s="716">
        <v>1.8575972E8</v>
      </c>
      <c r="J81" s="717">
        <v>1.42940113E8</v>
      </c>
      <c r="K81" s="695"/>
      <c r="L81" s="707" t="s">
        <v>419</v>
      </c>
      <c r="M81" s="708" t="s">
        <v>466</v>
      </c>
      <c r="N81" s="708" t="s">
        <v>420</v>
      </c>
      <c r="O81" s="708" t="s">
        <v>438</v>
      </c>
      <c r="P81" s="708" t="s">
        <v>422</v>
      </c>
      <c r="Q81" s="708" t="s">
        <v>50</v>
      </c>
      <c r="R81" s="708">
        <v>2021.0</v>
      </c>
      <c r="S81" s="709">
        <v>0.0449732</v>
      </c>
      <c r="T81" s="709">
        <v>0.076371979</v>
      </c>
      <c r="U81" s="710">
        <v>0.020080347</v>
      </c>
      <c r="AH81" s="712" t="s">
        <v>424</v>
      </c>
      <c r="AI81" s="714" t="s">
        <v>501</v>
      </c>
      <c r="AJ81" s="714" t="s">
        <v>420</v>
      </c>
      <c r="AK81" s="714" t="s">
        <v>417</v>
      </c>
      <c r="AL81" s="714" t="s">
        <v>422</v>
      </c>
      <c r="AM81" s="714" t="s">
        <v>423</v>
      </c>
      <c r="AN81" s="715">
        <v>2021.0</v>
      </c>
      <c r="AO81" s="716">
        <v>101.7851768</v>
      </c>
      <c r="AP81" s="716">
        <v>414.9909613</v>
      </c>
      <c r="AQ81" s="717">
        <v>23.31772883</v>
      </c>
      <c r="AS81" s="707" t="s">
        <v>422</v>
      </c>
      <c r="AT81" s="708" t="s">
        <v>420</v>
      </c>
      <c r="AU81" s="708" t="s">
        <v>435</v>
      </c>
      <c r="AV81" s="708" t="s">
        <v>487</v>
      </c>
      <c r="AW81" s="708" t="s">
        <v>419</v>
      </c>
      <c r="AX81" s="708" t="s">
        <v>50</v>
      </c>
      <c r="AY81" s="708" t="s">
        <v>427</v>
      </c>
      <c r="AZ81" s="711" t="s">
        <v>428</v>
      </c>
      <c r="BA81" s="709">
        <v>621.8782614</v>
      </c>
      <c r="BB81" s="709">
        <v>112.1053983</v>
      </c>
      <c r="BC81" s="709">
        <v>1661.288814</v>
      </c>
      <c r="BD81" s="710" t="s">
        <v>429</v>
      </c>
      <c r="CE81" s="460"/>
    </row>
    <row r="82">
      <c r="A82" s="690"/>
      <c r="B82" s="701" t="s">
        <v>440</v>
      </c>
      <c r="C82" s="702" t="s">
        <v>416</v>
      </c>
      <c r="D82" s="703" t="s">
        <v>417</v>
      </c>
      <c r="E82" s="704">
        <v>2021.0</v>
      </c>
      <c r="F82" s="702" t="s">
        <v>418</v>
      </c>
      <c r="G82" s="702" t="s">
        <v>50</v>
      </c>
      <c r="H82" s="705">
        <v>499223.0</v>
      </c>
      <c r="I82" s="705">
        <v>559969.0</v>
      </c>
      <c r="J82" s="706">
        <v>438016.0</v>
      </c>
      <c r="K82" s="695"/>
      <c r="L82" s="707" t="s">
        <v>419</v>
      </c>
      <c r="M82" s="708" t="s">
        <v>469</v>
      </c>
      <c r="N82" s="708" t="s">
        <v>420</v>
      </c>
      <c r="O82" s="708" t="s">
        <v>421</v>
      </c>
      <c r="P82" s="708" t="s">
        <v>422</v>
      </c>
      <c r="Q82" s="708" t="s">
        <v>50</v>
      </c>
      <c r="R82" s="708">
        <v>2021.0</v>
      </c>
      <c r="S82" s="709">
        <v>919.0251332</v>
      </c>
      <c r="T82" s="709">
        <v>1565.922831</v>
      </c>
      <c r="U82" s="710">
        <v>350.5630445</v>
      </c>
      <c r="AH82" s="701" t="s">
        <v>424</v>
      </c>
      <c r="AI82" s="703" t="s">
        <v>503</v>
      </c>
      <c r="AJ82" s="703" t="s">
        <v>420</v>
      </c>
      <c r="AK82" s="703" t="s">
        <v>421</v>
      </c>
      <c r="AL82" s="703" t="s">
        <v>422</v>
      </c>
      <c r="AM82" s="703" t="s">
        <v>423</v>
      </c>
      <c r="AN82" s="704">
        <v>2021.0</v>
      </c>
      <c r="AO82" s="705">
        <v>14491.62872</v>
      </c>
      <c r="AP82" s="705">
        <v>23613.30195</v>
      </c>
      <c r="AQ82" s="706">
        <v>5461.319651</v>
      </c>
      <c r="AS82" s="707" t="s">
        <v>422</v>
      </c>
      <c r="AT82" s="708" t="s">
        <v>420</v>
      </c>
      <c r="AU82" s="708" t="s">
        <v>441</v>
      </c>
      <c r="AV82" s="708" t="s">
        <v>487</v>
      </c>
      <c r="AW82" s="708" t="s">
        <v>419</v>
      </c>
      <c r="AX82" s="708" t="s">
        <v>50</v>
      </c>
      <c r="AY82" s="708" t="s">
        <v>427</v>
      </c>
      <c r="AZ82" s="711" t="s">
        <v>428</v>
      </c>
      <c r="BA82" s="709">
        <v>4286.431374</v>
      </c>
      <c r="BB82" s="709">
        <v>846.0098526</v>
      </c>
      <c r="BC82" s="709">
        <v>10202.92213</v>
      </c>
      <c r="BD82" s="710" t="s">
        <v>429</v>
      </c>
      <c r="CE82" s="460"/>
    </row>
    <row r="83">
      <c r="A83" s="690"/>
      <c r="B83" s="712" t="s">
        <v>440</v>
      </c>
      <c r="C83" s="713" t="s">
        <v>416</v>
      </c>
      <c r="D83" s="714" t="s">
        <v>431</v>
      </c>
      <c r="E83" s="715">
        <v>2021.0</v>
      </c>
      <c r="F83" s="713" t="s">
        <v>418</v>
      </c>
      <c r="G83" s="713" t="s">
        <v>50</v>
      </c>
      <c r="H83" s="716">
        <v>7516302.0</v>
      </c>
      <c r="I83" s="716">
        <v>8430890.0</v>
      </c>
      <c r="J83" s="717">
        <v>6594772.0</v>
      </c>
      <c r="K83" s="695"/>
      <c r="L83" s="707" t="s">
        <v>419</v>
      </c>
      <c r="M83" s="708" t="s">
        <v>469</v>
      </c>
      <c r="N83" s="708" t="s">
        <v>420</v>
      </c>
      <c r="O83" s="708" t="s">
        <v>432</v>
      </c>
      <c r="P83" s="708" t="s">
        <v>422</v>
      </c>
      <c r="Q83" s="708" t="s">
        <v>50</v>
      </c>
      <c r="R83" s="708">
        <v>2021.0</v>
      </c>
      <c r="S83" s="709">
        <v>0.0</v>
      </c>
      <c r="T83" s="709">
        <v>0.0</v>
      </c>
      <c r="U83" s="710">
        <v>0.0</v>
      </c>
      <c r="AH83" s="712" t="s">
        <v>424</v>
      </c>
      <c r="AI83" s="714" t="s">
        <v>503</v>
      </c>
      <c r="AJ83" s="714" t="s">
        <v>420</v>
      </c>
      <c r="AK83" s="714" t="s">
        <v>434</v>
      </c>
      <c r="AL83" s="714" t="s">
        <v>422</v>
      </c>
      <c r="AM83" s="714" t="s">
        <v>423</v>
      </c>
      <c r="AN83" s="715">
        <v>2021.0</v>
      </c>
      <c r="AO83" s="716">
        <v>6839.677747</v>
      </c>
      <c r="AP83" s="716">
        <v>11966.86617</v>
      </c>
      <c r="AQ83" s="717">
        <v>4472.724728</v>
      </c>
      <c r="AS83" s="707" t="s">
        <v>422</v>
      </c>
      <c r="AT83" s="708" t="s">
        <v>420</v>
      </c>
      <c r="AU83" s="708" t="s">
        <v>445</v>
      </c>
      <c r="AV83" s="708" t="s">
        <v>487</v>
      </c>
      <c r="AW83" s="708" t="s">
        <v>419</v>
      </c>
      <c r="AX83" s="708" t="s">
        <v>50</v>
      </c>
      <c r="AY83" s="708" t="s">
        <v>427</v>
      </c>
      <c r="AZ83" s="711" t="s">
        <v>428</v>
      </c>
      <c r="BA83" s="709">
        <v>25832.69125</v>
      </c>
      <c r="BB83" s="709">
        <v>6680.456311</v>
      </c>
      <c r="BC83" s="709">
        <v>54167.49632</v>
      </c>
      <c r="BD83" s="710" t="s">
        <v>429</v>
      </c>
      <c r="CE83" s="460"/>
    </row>
    <row r="84">
      <c r="A84" s="690"/>
      <c r="B84" s="701" t="s">
        <v>440</v>
      </c>
      <c r="C84" s="702" t="s">
        <v>416</v>
      </c>
      <c r="D84" s="703" t="s">
        <v>438</v>
      </c>
      <c r="E84" s="704">
        <v>2021.0</v>
      </c>
      <c r="F84" s="702" t="s">
        <v>418</v>
      </c>
      <c r="G84" s="702" t="s">
        <v>50</v>
      </c>
      <c r="H84" s="705">
        <v>39293.0</v>
      </c>
      <c r="I84" s="705">
        <v>44074.0</v>
      </c>
      <c r="J84" s="706">
        <v>34475.0</v>
      </c>
      <c r="K84" s="695"/>
      <c r="L84" s="707" t="s">
        <v>419</v>
      </c>
      <c r="M84" s="708" t="s">
        <v>469</v>
      </c>
      <c r="N84" s="708" t="s">
        <v>420</v>
      </c>
      <c r="O84" s="708" t="s">
        <v>439</v>
      </c>
      <c r="P84" s="708" t="s">
        <v>422</v>
      </c>
      <c r="Q84" s="708" t="s">
        <v>50</v>
      </c>
      <c r="R84" s="708">
        <v>2021.0</v>
      </c>
      <c r="S84" s="709">
        <v>55.48683793</v>
      </c>
      <c r="T84" s="709">
        <v>112.5636555</v>
      </c>
      <c r="U84" s="710">
        <v>19.30556307</v>
      </c>
      <c r="AH84" s="701" t="s">
        <v>424</v>
      </c>
      <c r="AI84" s="703" t="s">
        <v>503</v>
      </c>
      <c r="AJ84" s="703" t="s">
        <v>420</v>
      </c>
      <c r="AK84" s="703" t="s">
        <v>417</v>
      </c>
      <c r="AL84" s="703" t="s">
        <v>422</v>
      </c>
      <c r="AM84" s="703" t="s">
        <v>423</v>
      </c>
      <c r="AN84" s="704">
        <v>2021.0</v>
      </c>
      <c r="AO84" s="705">
        <v>10263.74811</v>
      </c>
      <c r="AP84" s="705">
        <v>16760.26979</v>
      </c>
      <c r="AQ84" s="706">
        <v>3584.147137</v>
      </c>
      <c r="AS84" s="707" t="s">
        <v>422</v>
      </c>
      <c r="AT84" s="708" t="s">
        <v>420</v>
      </c>
      <c r="AU84" s="708" t="s">
        <v>425</v>
      </c>
      <c r="AV84" s="708" t="s">
        <v>490</v>
      </c>
      <c r="AW84" s="708" t="s">
        <v>419</v>
      </c>
      <c r="AX84" s="708" t="s">
        <v>50</v>
      </c>
      <c r="AY84" s="708" t="s">
        <v>427</v>
      </c>
      <c r="AZ84" s="711" t="s">
        <v>428</v>
      </c>
      <c r="BA84" s="709">
        <v>8099.527936</v>
      </c>
      <c r="BB84" s="709">
        <v>1673.313797</v>
      </c>
      <c r="BC84" s="709">
        <v>18128.75343</v>
      </c>
      <c r="BD84" s="710" t="s">
        <v>429</v>
      </c>
      <c r="CE84" s="460"/>
    </row>
    <row r="85">
      <c r="A85" s="690"/>
      <c r="B85" s="712" t="s">
        <v>440</v>
      </c>
      <c r="C85" s="713" t="s">
        <v>416</v>
      </c>
      <c r="D85" s="714" t="s">
        <v>421</v>
      </c>
      <c r="E85" s="715">
        <v>2021.0</v>
      </c>
      <c r="F85" s="713" t="s">
        <v>418</v>
      </c>
      <c r="G85" s="713" t="s">
        <v>50</v>
      </c>
      <c r="H85" s="716">
        <v>2342363.0</v>
      </c>
      <c r="I85" s="716">
        <v>2627383.0</v>
      </c>
      <c r="J85" s="717">
        <v>2055180.0</v>
      </c>
      <c r="K85" s="695"/>
      <c r="L85" s="707" t="s">
        <v>419</v>
      </c>
      <c r="M85" s="708" t="s">
        <v>469</v>
      </c>
      <c r="N85" s="708" t="s">
        <v>420</v>
      </c>
      <c r="O85" s="708" t="s">
        <v>443</v>
      </c>
      <c r="P85" s="708" t="s">
        <v>422</v>
      </c>
      <c r="Q85" s="708" t="s">
        <v>50</v>
      </c>
      <c r="R85" s="708">
        <v>2021.0</v>
      </c>
      <c r="S85" s="709">
        <v>2439.276172</v>
      </c>
      <c r="T85" s="709">
        <v>4789.946423</v>
      </c>
      <c r="U85" s="710">
        <v>893.2947751</v>
      </c>
      <c r="AH85" s="712" t="s">
        <v>424</v>
      </c>
      <c r="AI85" s="714" t="s">
        <v>506</v>
      </c>
      <c r="AJ85" s="714" t="s">
        <v>420</v>
      </c>
      <c r="AK85" s="714" t="s">
        <v>421</v>
      </c>
      <c r="AL85" s="714" t="s">
        <v>422</v>
      </c>
      <c r="AM85" s="714" t="s">
        <v>423</v>
      </c>
      <c r="AN85" s="715">
        <v>2021.0</v>
      </c>
      <c r="AO85" s="716">
        <v>0.0</v>
      </c>
      <c r="AP85" s="716">
        <v>0.0</v>
      </c>
      <c r="AQ85" s="717">
        <v>0.0</v>
      </c>
      <c r="AS85" s="707" t="s">
        <v>422</v>
      </c>
      <c r="AT85" s="708" t="s">
        <v>420</v>
      </c>
      <c r="AU85" s="708" t="s">
        <v>435</v>
      </c>
      <c r="AV85" s="708" t="s">
        <v>490</v>
      </c>
      <c r="AW85" s="708" t="s">
        <v>419</v>
      </c>
      <c r="AX85" s="708" t="s">
        <v>50</v>
      </c>
      <c r="AY85" s="708" t="s">
        <v>427</v>
      </c>
      <c r="AZ85" s="711" t="s">
        <v>428</v>
      </c>
      <c r="BA85" s="709">
        <v>236.4692219</v>
      </c>
      <c r="BB85" s="709">
        <v>34.62674473</v>
      </c>
      <c r="BC85" s="709">
        <v>677.3675042</v>
      </c>
      <c r="BD85" s="710" t="s">
        <v>429</v>
      </c>
      <c r="CE85" s="460"/>
    </row>
    <row r="86">
      <c r="A86" s="690"/>
      <c r="B86" s="701" t="s">
        <v>440</v>
      </c>
      <c r="C86" s="702" t="s">
        <v>416</v>
      </c>
      <c r="D86" s="703" t="s">
        <v>447</v>
      </c>
      <c r="E86" s="704">
        <v>2021.0</v>
      </c>
      <c r="F86" s="702" t="s">
        <v>418</v>
      </c>
      <c r="G86" s="702" t="s">
        <v>50</v>
      </c>
      <c r="H86" s="705">
        <v>6080396.0</v>
      </c>
      <c r="I86" s="705">
        <v>6820262.0</v>
      </c>
      <c r="J86" s="706">
        <v>5334914.0</v>
      </c>
      <c r="K86" s="695"/>
      <c r="L86" s="707" t="s">
        <v>419</v>
      </c>
      <c r="M86" s="708" t="s">
        <v>469</v>
      </c>
      <c r="N86" s="708" t="s">
        <v>420</v>
      </c>
      <c r="O86" s="708" t="s">
        <v>417</v>
      </c>
      <c r="P86" s="708" t="s">
        <v>422</v>
      </c>
      <c r="Q86" s="708" t="s">
        <v>50</v>
      </c>
      <c r="R86" s="708">
        <v>2021.0</v>
      </c>
      <c r="S86" s="709">
        <v>396.3535471</v>
      </c>
      <c r="T86" s="709">
        <v>736.8233071</v>
      </c>
      <c r="U86" s="710">
        <v>143.1581298</v>
      </c>
      <c r="AH86" s="701" t="s">
        <v>424</v>
      </c>
      <c r="AI86" s="703" t="s">
        <v>506</v>
      </c>
      <c r="AJ86" s="703" t="s">
        <v>420</v>
      </c>
      <c r="AK86" s="703" t="s">
        <v>434</v>
      </c>
      <c r="AL86" s="703" t="s">
        <v>422</v>
      </c>
      <c r="AM86" s="703" t="s">
        <v>423</v>
      </c>
      <c r="AN86" s="704">
        <v>2021.0</v>
      </c>
      <c r="AO86" s="705">
        <v>0.0</v>
      </c>
      <c r="AP86" s="705">
        <v>0.0</v>
      </c>
      <c r="AQ86" s="706">
        <v>0.0</v>
      </c>
      <c r="AS86" s="707" t="s">
        <v>422</v>
      </c>
      <c r="AT86" s="708" t="s">
        <v>420</v>
      </c>
      <c r="AU86" s="708" t="s">
        <v>441</v>
      </c>
      <c r="AV86" s="708" t="s">
        <v>490</v>
      </c>
      <c r="AW86" s="708" t="s">
        <v>419</v>
      </c>
      <c r="AX86" s="708" t="s">
        <v>50</v>
      </c>
      <c r="AY86" s="708" t="s">
        <v>427</v>
      </c>
      <c r="AZ86" s="711" t="s">
        <v>428</v>
      </c>
      <c r="BA86" s="709">
        <v>1815.546123</v>
      </c>
      <c r="BB86" s="709">
        <v>306.9792897</v>
      </c>
      <c r="BC86" s="709">
        <v>4663.5993</v>
      </c>
      <c r="BD86" s="710" t="s">
        <v>429</v>
      </c>
      <c r="CE86" s="460"/>
    </row>
    <row r="87">
      <c r="A87" s="690"/>
      <c r="B87" s="712" t="s">
        <v>440</v>
      </c>
      <c r="C87" s="713" t="s">
        <v>416</v>
      </c>
      <c r="D87" s="714" t="s">
        <v>432</v>
      </c>
      <c r="E87" s="715">
        <v>2021.0</v>
      </c>
      <c r="F87" s="713" t="s">
        <v>418</v>
      </c>
      <c r="G87" s="713" t="s">
        <v>50</v>
      </c>
      <c r="H87" s="716">
        <v>9940.0</v>
      </c>
      <c r="I87" s="716">
        <v>11150.0</v>
      </c>
      <c r="J87" s="717">
        <v>8721.0</v>
      </c>
      <c r="K87" s="695"/>
      <c r="L87" s="707" t="s">
        <v>419</v>
      </c>
      <c r="M87" s="708" t="s">
        <v>469</v>
      </c>
      <c r="N87" s="708" t="s">
        <v>420</v>
      </c>
      <c r="O87" s="708" t="s">
        <v>438</v>
      </c>
      <c r="P87" s="708" t="s">
        <v>422</v>
      </c>
      <c r="Q87" s="708" t="s">
        <v>50</v>
      </c>
      <c r="R87" s="708">
        <v>2021.0</v>
      </c>
      <c r="S87" s="709">
        <v>55.48683793</v>
      </c>
      <c r="T87" s="709">
        <v>112.5636555</v>
      </c>
      <c r="U87" s="710">
        <v>19.30556307</v>
      </c>
      <c r="AH87" s="712" t="s">
        <v>424</v>
      </c>
      <c r="AI87" s="714" t="s">
        <v>506</v>
      </c>
      <c r="AJ87" s="714" t="s">
        <v>420</v>
      </c>
      <c r="AK87" s="714" t="s">
        <v>417</v>
      </c>
      <c r="AL87" s="714" t="s">
        <v>422</v>
      </c>
      <c r="AM87" s="714" t="s">
        <v>423</v>
      </c>
      <c r="AN87" s="715">
        <v>2021.0</v>
      </c>
      <c r="AO87" s="716">
        <v>0.0</v>
      </c>
      <c r="AP87" s="716">
        <v>0.0</v>
      </c>
      <c r="AQ87" s="717">
        <v>0.0</v>
      </c>
      <c r="AS87" s="707" t="s">
        <v>422</v>
      </c>
      <c r="AT87" s="708" t="s">
        <v>420</v>
      </c>
      <c r="AU87" s="708" t="s">
        <v>445</v>
      </c>
      <c r="AV87" s="708" t="s">
        <v>490</v>
      </c>
      <c r="AW87" s="708" t="s">
        <v>419</v>
      </c>
      <c r="AX87" s="708" t="s">
        <v>50</v>
      </c>
      <c r="AY87" s="708" t="s">
        <v>427</v>
      </c>
      <c r="AZ87" s="711" t="s">
        <v>428</v>
      </c>
      <c r="BA87" s="709">
        <v>11187.13111</v>
      </c>
      <c r="BB87" s="709">
        <v>2138.550136</v>
      </c>
      <c r="BC87" s="709">
        <v>26220.10431</v>
      </c>
      <c r="BD87" s="710" t="s">
        <v>429</v>
      </c>
      <c r="CE87" s="460"/>
    </row>
    <row r="88">
      <c r="A88" s="690"/>
      <c r="B88" s="701" t="s">
        <v>440</v>
      </c>
      <c r="C88" s="702" t="s">
        <v>416</v>
      </c>
      <c r="D88" s="703" t="s">
        <v>450</v>
      </c>
      <c r="E88" s="704">
        <v>2021.0</v>
      </c>
      <c r="F88" s="702" t="s">
        <v>418</v>
      </c>
      <c r="G88" s="702" t="s">
        <v>50</v>
      </c>
      <c r="H88" s="705">
        <v>1707799.0</v>
      </c>
      <c r="I88" s="705">
        <v>1915605.0</v>
      </c>
      <c r="J88" s="706">
        <v>1498416.0</v>
      </c>
      <c r="K88" s="695"/>
      <c r="L88" s="707" t="s">
        <v>419</v>
      </c>
      <c r="M88" s="708" t="s">
        <v>472</v>
      </c>
      <c r="N88" s="708" t="s">
        <v>420</v>
      </c>
      <c r="O88" s="708" t="s">
        <v>421</v>
      </c>
      <c r="P88" s="708" t="s">
        <v>422</v>
      </c>
      <c r="Q88" s="708" t="s">
        <v>50</v>
      </c>
      <c r="R88" s="708">
        <v>2021.0</v>
      </c>
      <c r="S88" s="709">
        <v>47816.38361</v>
      </c>
      <c r="T88" s="709">
        <v>78261.881</v>
      </c>
      <c r="U88" s="710">
        <v>23079.83358</v>
      </c>
      <c r="AH88" s="701" t="s">
        <v>424</v>
      </c>
      <c r="AI88" s="703" t="s">
        <v>509</v>
      </c>
      <c r="AJ88" s="703" t="s">
        <v>420</v>
      </c>
      <c r="AK88" s="703" t="s">
        <v>421</v>
      </c>
      <c r="AL88" s="703" t="s">
        <v>422</v>
      </c>
      <c r="AM88" s="703" t="s">
        <v>423</v>
      </c>
      <c r="AN88" s="704">
        <v>2021.0</v>
      </c>
      <c r="AO88" s="705">
        <v>105234.3508</v>
      </c>
      <c r="AP88" s="705">
        <v>156927.3057</v>
      </c>
      <c r="AQ88" s="706">
        <v>39616.68643</v>
      </c>
      <c r="AS88" s="707" t="s">
        <v>422</v>
      </c>
      <c r="AT88" s="708" t="s">
        <v>420</v>
      </c>
      <c r="AU88" s="708" t="s">
        <v>425</v>
      </c>
      <c r="AV88" s="708" t="s">
        <v>118</v>
      </c>
      <c r="AW88" s="708" t="s">
        <v>419</v>
      </c>
      <c r="AX88" s="708" t="s">
        <v>50</v>
      </c>
      <c r="AY88" s="708" t="s">
        <v>427</v>
      </c>
      <c r="AZ88" s="711" t="s">
        <v>428</v>
      </c>
      <c r="BA88" s="709">
        <v>3863.160124</v>
      </c>
      <c r="BB88" s="709">
        <v>1172.783514</v>
      </c>
      <c r="BC88" s="709">
        <v>8220.547853</v>
      </c>
      <c r="BD88" s="710" t="s">
        <v>429</v>
      </c>
      <c r="CE88" s="460"/>
    </row>
    <row r="89">
      <c r="A89" s="690"/>
      <c r="B89" s="712" t="s">
        <v>440</v>
      </c>
      <c r="C89" s="713" t="s">
        <v>416</v>
      </c>
      <c r="D89" s="714" t="s">
        <v>453</v>
      </c>
      <c r="E89" s="715">
        <v>2021.0</v>
      </c>
      <c r="F89" s="713" t="s">
        <v>418</v>
      </c>
      <c r="G89" s="713" t="s">
        <v>50</v>
      </c>
      <c r="H89" s="716">
        <v>3143705.0</v>
      </c>
      <c r="I89" s="716">
        <v>3526233.0</v>
      </c>
      <c r="J89" s="717">
        <v>2758274.0</v>
      </c>
      <c r="K89" s="695"/>
      <c r="L89" s="707" t="s">
        <v>419</v>
      </c>
      <c r="M89" s="708" t="s">
        <v>472</v>
      </c>
      <c r="N89" s="708" t="s">
        <v>420</v>
      </c>
      <c r="O89" s="708" t="s">
        <v>432</v>
      </c>
      <c r="P89" s="708" t="s">
        <v>422</v>
      </c>
      <c r="Q89" s="708" t="s">
        <v>50</v>
      </c>
      <c r="R89" s="708">
        <v>2021.0</v>
      </c>
      <c r="S89" s="709">
        <v>0.0</v>
      </c>
      <c r="T89" s="709">
        <v>0.0</v>
      </c>
      <c r="U89" s="710">
        <v>0.0</v>
      </c>
      <c r="AH89" s="712" t="s">
        <v>424</v>
      </c>
      <c r="AI89" s="714" t="s">
        <v>509</v>
      </c>
      <c r="AJ89" s="714" t="s">
        <v>420</v>
      </c>
      <c r="AK89" s="714" t="s">
        <v>434</v>
      </c>
      <c r="AL89" s="714" t="s">
        <v>422</v>
      </c>
      <c r="AM89" s="714" t="s">
        <v>423</v>
      </c>
      <c r="AN89" s="715">
        <v>2021.0</v>
      </c>
      <c r="AO89" s="716">
        <v>43093.53058</v>
      </c>
      <c r="AP89" s="716">
        <v>83457.46623</v>
      </c>
      <c r="AQ89" s="717">
        <v>19197.83076</v>
      </c>
      <c r="AS89" s="707" t="s">
        <v>422</v>
      </c>
      <c r="AT89" s="708" t="s">
        <v>420</v>
      </c>
      <c r="AU89" s="708" t="s">
        <v>435</v>
      </c>
      <c r="AV89" s="708" t="s">
        <v>118</v>
      </c>
      <c r="AW89" s="708" t="s">
        <v>419</v>
      </c>
      <c r="AX89" s="708" t="s">
        <v>50</v>
      </c>
      <c r="AY89" s="708" t="s">
        <v>427</v>
      </c>
      <c r="AZ89" s="711" t="s">
        <v>428</v>
      </c>
      <c r="BA89" s="709">
        <v>129.0610436</v>
      </c>
      <c r="BB89" s="709">
        <v>29.33366295</v>
      </c>
      <c r="BC89" s="709">
        <v>296.8006949</v>
      </c>
      <c r="BD89" s="710" t="s">
        <v>429</v>
      </c>
      <c r="CE89" s="460"/>
    </row>
    <row r="90">
      <c r="A90" s="690"/>
      <c r="B90" s="701" t="s">
        <v>440</v>
      </c>
      <c r="C90" s="702" t="s">
        <v>416</v>
      </c>
      <c r="D90" s="703" t="s">
        <v>454</v>
      </c>
      <c r="E90" s="704">
        <v>2021.0</v>
      </c>
      <c r="F90" s="702" t="s">
        <v>418</v>
      </c>
      <c r="G90" s="702" t="s">
        <v>50</v>
      </c>
      <c r="H90" s="705">
        <v>4378775.0</v>
      </c>
      <c r="I90" s="705">
        <v>4911586.0</v>
      </c>
      <c r="J90" s="706">
        <v>3841919.0</v>
      </c>
      <c r="K90" s="695"/>
      <c r="L90" s="707" t="s">
        <v>419</v>
      </c>
      <c r="M90" s="708" t="s">
        <v>472</v>
      </c>
      <c r="N90" s="708" t="s">
        <v>420</v>
      </c>
      <c r="O90" s="708" t="s">
        <v>439</v>
      </c>
      <c r="P90" s="708" t="s">
        <v>422</v>
      </c>
      <c r="Q90" s="708" t="s">
        <v>50</v>
      </c>
      <c r="R90" s="708">
        <v>2021.0</v>
      </c>
      <c r="S90" s="709">
        <v>2849.055252</v>
      </c>
      <c r="T90" s="709">
        <v>5849.835606</v>
      </c>
      <c r="U90" s="710">
        <v>984.7987445</v>
      </c>
      <c r="AH90" s="701" t="s">
        <v>424</v>
      </c>
      <c r="AI90" s="703" t="s">
        <v>509</v>
      </c>
      <c r="AJ90" s="703" t="s">
        <v>420</v>
      </c>
      <c r="AK90" s="703" t="s">
        <v>417</v>
      </c>
      <c r="AL90" s="703" t="s">
        <v>422</v>
      </c>
      <c r="AM90" s="703" t="s">
        <v>423</v>
      </c>
      <c r="AN90" s="704">
        <v>2021.0</v>
      </c>
      <c r="AO90" s="705">
        <v>74352.30001</v>
      </c>
      <c r="AP90" s="705">
        <v>110881.0355</v>
      </c>
      <c r="AQ90" s="706">
        <v>27992.19163</v>
      </c>
      <c r="AS90" s="707" t="s">
        <v>422</v>
      </c>
      <c r="AT90" s="708" t="s">
        <v>420</v>
      </c>
      <c r="AU90" s="708" t="s">
        <v>441</v>
      </c>
      <c r="AV90" s="708" t="s">
        <v>118</v>
      </c>
      <c r="AW90" s="708" t="s">
        <v>419</v>
      </c>
      <c r="AX90" s="708" t="s">
        <v>50</v>
      </c>
      <c r="AY90" s="708" t="s">
        <v>427</v>
      </c>
      <c r="AZ90" s="711" t="s">
        <v>428</v>
      </c>
      <c r="BA90" s="709">
        <v>912.8296952</v>
      </c>
      <c r="BB90" s="709">
        <v>243.9826821</v>
      </c>
      <c r="BC90" s="709">
        <v>2165.722712</v>
      </c>
      <c r="BD90" s="710" t="s">
        <v>429</v>
      </c>
      <c r="CE90" s="460"/>
    </row>
    <row r="91">
      <c r="A91" s="690"/>
      <c r="B91" s="712" t="s">
        <v>440</v>
      </c>
      <c r="C91" s="713" t="s">
        <v>416</v>
      </c>
      <c r="D91" s="714" t="s">
        <v>457</v>
      </c>
      <c r="E91" s="715">
        <v>2021.0</v>
      </c>
      <c r="F91" s="713" t="s">
        <v>418</v>
      </c>
      <c r="G91" s="713" t="s">
        <v>50</v>
      </c>
      <c r="H91" s="716">
        <v>480672.0</v>
      </c>
      <c r="I91" s="716">
        <v>539161.0</v>
      </c>
      <c r="J91" s="717">
        <v>421740.0</v>
      </c>
      <c r="K91" s="695"/>
      <c r="L91" s="707" t="s">
        <v>419</v>
      </c>
      <c r="M91" s="708" t="s">
        <v>472</v>
      </c>
      <c r="N91" s="708" t="s">
        <v>420</v>
      </c>
      <c r="O91" s="708" t="s">
        <v>443</v>
      </c>
      <c r="P91" s="708" t="s">
        <v>422</v>
      </c>
      <c r="Q91" s="708" t="s">
        <v>50</v>
      </c>
      <c r="R91" s="708">
        <v>2021.0</v>
      </c>
      <c r="S91" s="709">
        <v>62358.60893</v>
      </c>
      <c r="T91" s="709">
        <v>112100.2081</v>
      </c>
      <c r="U91" s="710">
        <v>27976.27996</v>
      </c>
      <c r="AH91" s="712" t="s">
        <v>424</v>
      </c>
      <c r="AI91" s="714" t="s">
        <v>512</v>
      </c>
      <c r="AJ91" s="714" t="s">
        <v>420</v>
      </c>
      <c r="AK91" s="714" t="s">
        <v>421</v>
      </c>
      <c r="AL91" s="714" t="s">
        <v>422</v>
      </c>
      <c r="AM91" s="714" t="s">
        <v>423</v>
      </c>
      <c r="AN91" s="715">
        <v>2021.0</v>
      </c>
      <c r="AO91" s="716">
        <v>20164.30226</v>
      </c>
      <c r="AP91" s="716">
        <v>38978.04337</v>
      </c>
      <c r="AQ91" s="717">
        <v>7381.68242</v>
      </c>
      <c r="AS91" s="707" t="s">
        <v>422</v>
      </c>
      <c r="AT91" s="708" t="s">
        <v>420</v>
      </c>
      <c r="AU91" s="708" t="s">
        <v>445</v>
      </c>
      <c r="AV91" s="708" t="s">
        <v>118</v>
      </c>
      <c r="AW91" s="708" t="s">
        <v>419</v>
      </c>
      <c r="AX91" s="708" t="s">
        <v>50</v>
      </c>
      <c r="AY91" s="708" t="s">
        <v>427</v>
      </c>
      <c r="AZ91" s="711" t="s">
        <v>428</v>
      </c>
      <c r="BA91" s="709">
        <v>6060.643259</v>
      </c>
      <c r="BB91" s="709">
        <v>1801.66976</v>
      </c>
      <c r="BC91" s="709">
        <v>13048.5491</v>
      </c>
      <c r="BD91" s="710" t="s">
        <v>429</v>
      </c>
      <c r="CE91" s="460"/>
    </row>
    <row r="92">
      <c r="A92" s="690"/>
      <c r="B92" s="701" t="s">
        <v>440</v>
      </c>
      <c r="C92" s="702" t="s">
        <v>416</v>
      </c>
      <c r="D92" s="703" t="s">
        <v>460</v>
      </c>
      <c r="E92" s="704">
        <v>2021.0</v>
      </c>
      <c r="F92" s="702" t="s">
        <v>418</v>
      </c>
      <c r="G92" s="702" t="s">
        <v>50</v>
      </c>
      <c r="H92" s="705">
        <v>213950.0</v>
      </c>
      <c r="I92" s="705">
        <v>239984.0</v>
      </c>
      <c r="J92" s="706">
        <v>187719.0</v>
      </c>
      <c r="K92" s="695"/>
      <c r="L92" s="707" t="s">
        <v>419</v>
      </c>
      <c r="M92" s="708" t="s">
        <v>472</v>
      </c>
      <c r="N92" s="708" t="s">
        <v>420</v>
      </c>
      <c r="O92" s="708" t="s">
        <v>417</v>
      </c>
      <c r="P92" s="708" t="s">
        <v>422</v>
      </c>
      <c r="Q92" s="708" t="s">
        <v>50</v>
      </c>
      <c r="R92" s="708">
        <v>2021.0</v>
      </c>
      <c r="S92" s="709">
        <v>22403.93795</v>
      </c>
      <c r="T92" s="709">
        <v>39356.54623</v>
      </c>
      <c r="U92" s="710">
        <v>10110.46286</v>
      </c>
      <c r="AH92" s="701" t="s">
        <v>424</v>
      </c>
      <c r="AI92" s="703" t="s">
        <v>512</v>
      </c>
      <c r="AJ92" s="703" t="s">
        <v>420</v>
      </c>
      <c r="AK92" s="703" t="s">
        <v>434</v>
      </c>
      <c r="AL92" s="703" t="s">
        <v>422</v>
      </c>
      <c r="AM92" s="703" t="s">
        <v>423</v>
      </c>
      <c r="AN92" s="704">
        <v>2021.0</v>
      </c>
      <c r="AO92" s="705">
        <v>9819.73764</v>
      </c>
      <c r="AP92" s="705">
        <v>16559.25356</v>
      </c>
      <c r="AQ92" s="706">
        <v>4665.033413</v>
      </c>
      <c r="AS92" s="707" t="s">
        <v>422</v>
      </c>
      <c r="AT92" s="708" t="s">
        <v>420</v>
      </c>
      <c r="AU92" s="708" t="s">
        <v>425</v>
      </c>
      <c r="AV92" s="708" t="s">
        <v>119</v>
      </c>
      <c r="AW92" s="708" t="s">
        <v>419</v>
      </c>
      <c r="AX92" s="708" t="s">
        <v>50</v>
      </c>
      <c r="AY92" s="708" t="s">
        <v>427</v>
      </c>
      <c r="AZ92" s="711" t="s">
        <v>428</v>
      </c>
      <c r="BA92" s="709">
        <v>1159.106488</v>
      </c>
      <c r="BB92" s="709">
        <v>450.7117832</v>
      </c>
      <c r="BC92" s="709">
        <v>2061.68339</v>
      </c>
      <c r="BD92" s="710" t="s">
        <v>429</v>
      </c>
      <c r="CE92" s="460"/>
    </row>
    <row r="93">
      <c r="A93" s="690"/>
      <c r="B93" s="712" t="s">
        <v>440</v>
      </c>
      <c r="C93" s="713" t="s">
        <v>416</v>
      </c>
      <c r="D93" s="714" t="s">
        <v>463</v>
      </c>
      <c r="E93" s="715">
        <v>2021.0</v>
      </c>
      <c r="F93" s="713" t="s">
        <v>418</v>
      </c>
      <c r="G93" s="713" t="s">
        <v>50</v>
      </c>
      <c r="H93" s="716">
        <v>1435906.0</v>
      </c>
      <c r="I93" s="716">
        <v>1610628.0</v>
      </c>
      <c r="J93" s="717">
        <v>1259858.0</v>
      </c>
      <c r="K93" s="695"/>
      <c r="L93" s="707" t="s">
        <v>419</v>
      </c>
      <c r="M93" s="708" t="s">
        <v>472</v>
      </c>
      <c r="N93" s="708" t="s">
        <v>420</v>
      </c>
      <c r="O93" s="708" t="s">
        <v>438</v>
      </c>
      <c r="P93" s="708" t="s">
        <v>422</v>
      </c>
      <c r="Q93" s="708" t="s">
        <v>50</v>
      </c>
      <c r="R93" s="708">
        <v>2021.0</v>
      </c>
      <c r="S93" s="709">
        <v>2849.055252</v>
      </c>
      <c r="T93" s="709">
        <v>5849.835606</v>
      </c>
      <c r="U93" s="710">
        <v>984.7987445</v>
      </c>
      <c r="AH93" s="712" t="s">
        <v>424</v>
      </c>
      <c r="AI93" s="714" t="s">
        <v>512</v>
      </c>
      <c r="AJ93" s="714" t="s">
        <v>420</v>
      </c>
      <c r="AK93" s="714" t="s">
        <v>417</v>
      </c>
      <c r="AL93" s="714" t="s">
        <v>422</v>
      </c>
      <c r="AM93" s="714" t="s">
        <v>423</v>
      </c>
      <c r="AN93" s="715">
        <v>2021.0</v>
      </c>
      <c r="AO93" s="716">
        <v>14209.138</v>
      </c>
      <c r="AP93" s="716">
        <v>27489.7136</v>
      </c>
      <c r="AQ93" s="717">
        <v>4831.397203</v>
      </c>
      <c r="AS93" s="707" t="s">
        <v>422</v>
      </c>
      <c r="AT93" s="708" t="s">
        <v>420</v>
      </c>
      <c r="AU93" s="708" t="s">
        <v>435</v>
      </c>
      <c r="AV93" s="708" t="s">
        <v>119</v>
      </c>
      <c r="AW93" s="708" t="s">
        <v>419</v>
      </c>
      <c r="AX93" s="708" t="s">
        <v>50</v>
      </c>
      <c r="AY93" s="708" t="s">
        <v>427</v>
      </c>
      <c r="AZ93" s="711" t="s">
        <v>428</v>
      </c>
      <c r="BA93" s="709">
        <v>69.97392707</v>
      </c>
      <c r="BB93" s="709">
        <v>20.68683946</v>
      </c>
      <c r="BC93" s="709">
        <v>156.7993218</v>
      </c>
      <c r="BD93" s="710" t="s">
        <v>429</v>
      </c>
      <c r="CE93" s="460"/>
    </row>
    <row r="94">
      <c r="A94" s="690"/>
      <c r="B94" s="701" t="s">
        <v>440</v>
      </c>
      <c r="C94" s="702" t="s">
        <v>416</v>
      </c>
      <c r="D94" s="703" t="s">
        <v>465</v>
      </c>
      <c r="E94" s="704">
        <v>2021.0</v>
      </c>
      <c r="F94" s="702" t="s">
        <v>418</v>
      </c>
      <c r="G94" s="702" t="s">
        <v>50</v>
      </c>
      <c r="H94" s="705">
        <v>6251957.0</v>
      </c>
      <c r="I94" s="705">
        <v>7012699.0</v>
      </c>
      <c r="J94" s="706">
        <v>5485441.0</v>
      </c>
      <c r="K94" s="695"/>
      <c r="L94" s="707" t="s">
        <v>419</v>
      </c>
      <c r="M94" s="708" t="s">
        <v>474</v>
      </c>
      <c r="N94" s="708" t="s">
        <v>420</v>
      </c>
      <c r="O94" s="708" t="s">
        <v>421</v>
      </c>
      <c r="P94" s="708" t="s">
        <v>422</v>
      </c>
      <c r="Q94" s="708" t="s">
        <v>50</v>
      </c>
      <c r="R94" s="708">
        <v>2021.0</v>
      </c>
      <c r="S94" s="709">
        <v>17.90814487</v>
      </c>
      <c r="T94" s="709">
        <v>28.98938224</v>
      </c>
      <c r="U94" s="710">
        <v>9.56042737</v>
      </c>
      <c r="AH94" s="701" t="s">
        <v>424</v>
      </c>
      <c r="AI94" s="703" t="s">
        <v>515</v>
      </c>
      <c r="AJ94" s="703" t="s">
        <v>420</v>
      </c>
      <c r="AK94" s="703" t="s">
        <v>421</v>
      </c>
      <c r="AL94" s="703" t="s">
        <v>422</v>
      </c>
      <c r="AM94" s="703" t="s">
        <v>423</v>
      </c>
      <c r="AN94" s="704">
        <v>2021.0</v>
      </c>
      <c r="AO94" s="705">
        <v>55876.47685</v>
      </c>
      <c r="AP94" s="705">
        <v>116802.2247</v>
      </c>
      <c r="AQ94" s="706">
        <v>29462.63247</v>
      </c>
      <c r="AS94" s="707" t="s">
        <v>422</v>
      </c>
      <c r="AT94" s="708" t="s">
        <v>420</v>
      </c>
      <c r="AU94" s="708" t="s">
        <v>441</v>
      </c>
      <c r="AV94" s="708" t="s">
        <v>119</v>
      </c>
      <c r="AW94" s="708" t="s">
        <v>419</v>
      </c>
      <c r="AX94" s="708" t="s">
        <v>50</v>
      </c>
      <c r="AY94" s="708" t="s">
        <v>427</v>
      </c>
      <c r="AZ94" s="711" t="s">
        <v>428</v>
      </c>
      <c r="BA94" s="709">
        <v>391.0566835</v>
      </c>
      <c r="BB94" s="709">
        <v>141.700339</v>
      </c>
      <c r="BC94" s="709">
        <v>716.3949024</v>
      </c>
      <c r="BD94" s="710" t="s">
        <v>429</v>
      </c>
      <c r="CE94" s="460"/>
    </row>
    <row r="95">
      <c r="A95" s="690"/>
      <c r="B95" s="712" t="s">
        <v>440</v>
      </c>
      <c r="C95" s="713" t="s">
        <v>416</v>
      </c>
      <c r="D95" s="714" t="s">
        <v>468</v>
      </c>
      <c r="E95" s="715">
        <v>2021.0</v>
      </c>
      <c r="F95" s="713" t="s">
        <v>418</v>
      </c>
      <c r="G95" s="713" t="s">
        <v>50</v>
      </c>
      <c r="H95" s="716">
        <v>1235070.0</v>
      </c>
      <c r="I95" s="716">
        <v>1385354.0</v>
      </c>
      <c r="J95" s="717">
        <v>1083645.0</v>
      </c>
      <c r="K95" s="695"/>
      <c r="L95" s="707" t="s">
        <v>419</v>
      </c>
      <c r="M95" s="708" t="s">
        <v>474</v>
      </c>
      <c r="N95" s="708" t="s">
        <v>420</v>
      </c>
      <c r="O95" s="708" t="s">
        <v>432</v>
      </c>
      <c r="P95" s="708" t="s">
        <v>422</v>
      </c>
      <c r="Q95" s="708" t="s">
        <v>50</v>
      </c>
      <c r="R95" s="708">
        <v>2021.0</v>
      </c>
      <c r="S95" s="709">
        <v>0.0</v>
      </c>
      <c r="T95" s="709">
        <v>0.0</v>
      </c>
      <c r="U95" s="710">
        <v>0.0</v>
      </c>
      <c r="AH95" s="712" t="s">
        <v>424</v>
      </c>
      <c r="AI95" s="714" t="s">
        <v>515</v>
      </c>
      <c r="AJ95" s="714" t="s">
        <v>420</v>
      </c>
      <c r="AK95" s="714" t="s">
        <v>434</v>
      </c>
      <c r="AL95" s="714" t="s">
        <v>422</v>
      </c>
      <c r="AM95" s="714" t="s">
        <v>423</v>
      </c>
      <c r="AN95" s="715">
        <v>2021.0</v>
      </c>
      <c r="AO95" s="716">
        <v>24556.20678</v>
      </c>
      <c r="AP95" s="716">
        <v>43424.67066</v>
      </c>
      <c r="AQ95" s="717">
        <v>13525.20112</v>
      </c>
      <c r="AS95" s="707" t="s">
        <v>422</v>
      </c>
      <c r="AT95" s="708" t="s">
        <v>420</v>
      </c>
      <c r="AU95" s="708" t="s">
        <v>445</v>
      </c>
      <c r="AV95" s="708" t="s">
        <v>119</v>
      </c>
      <c r="AW95" s="708" t="s">
        <v>419</v>
      </c>
      <c r="AX95" s="708" t="s">
        <v>50</v>
      </c>
      <c r="AY95" s="708" t="s">
        <v>427</v>
      </c>
      <c r="AZ95" s="711" t="s">
        <v>428</v>
      </c>
      <c r="BA95" s="709">
        <v>3106.693896</v>
      </c>
      <c r="BB95" s="709">
        <v>1109.555131</v>
      </c>
      <c r="BC95" s="709">
        <v>6320.473301</v>
      </c>
      <c r="BD95" s="710" t="s">
        <v>429</v>
      </c>
      <c r="CE95" s="460"/>
    </row>
    <row r="96">
      <c r="A96" s="690"/>
      <c r="B96" s="701" t="s">
        <v>440</v>
      </c>
      <c r="C96" s="702" t="s">
        <v>416</v>
      </c>
      <c r="D96" s="703" t="s">
        <v>471</v>
      </c>
      <c r="E96" s="704">
        <v>2021.0</v>
      </c>
      <c r="F96" s="702" t="s">
        <v>418</v>
      </c>
      <c r="G96" s="702" t="s">
        <v>50</v>
      </c>
      <c r="H96" s="705">
        <v>1362467.0</v>
      </c>
      <c r="I96" s="705">
        <v>1528253.0</v>
      </c>
      <c r="J96" s="706">
        <v>1195423.0</v>
      </c>
      <c r="K96" s="695"/>
      <c r="L96" s="707" t="s">
        <v>419</v>
      </c>
      <c r="M96" s="708" t="s">
        <v>474</v>
      </c>
      <c r="N96" s="708" t="s">
        <v>420</v>
      </c>
      <c r="O96" s="708" t="s">
        <v>439</v>
      </c>
      <c r="P96" s="708" t="s">
        <v>422</v>
      </c>
      <c r="Q96" s="708" t="s">
        <v>50</v>
      </c>
      <c r="R96" s="708">
        <v>2021.0</v>
      </c>
      <c r="S96" s="709">
        <v>0.34900474</v>
      </c>
      <c r="T96" s="709">
        <v>0.48196042</v>
      </c>
      <c r="U96" s="710">
        <v>0.205205931</v>
      </c>
      <c r="AH96" s="701" t="s">
        <v>424</v>
      </c>
      <c r="AI96" s="703" t="s">
        <v>515</v>
      </c>
      <c r="AJ96" s="703" t="s">
        <v>420</v>
      </c>
      <c r="AK96" s="703" t="s">
        <v>417</v>
      </c>
      <c r="AL96" s="703" t="s">
        <v>422</v>
      </c>
      <c r="AM96" s="703" t="s">
        <v>423</v>
      </c>
      <c r="AN96" s="704">
        <v>2021.0</v>
      </c>
      <c r="AO96" s="705">
        <v>39451.69113</v>
      </c>
      <c r="AP96" s="705">
        <v>82469.25914</v>
      </c>
      <c r="AQ96" s="706">
        <v>20802.35607</v>
      </c>
      <c r="AS96" s="707" t="s">
        <v>422</v>
      </c>
      <c r="AT96" s="708" t="s">
        <v>420</v>
      </c>
      <c r="AU96" s="708" t="s">
        <v>425</v>
      </c>
      <c r="AV96" s="708" t="s">
        <v>496</v>
      </c>
      <c r="AW96" s="708" t="s">
        <v>419</v>
      </c>
      <c r="AX96" s="708" t="s">
        <v>50</v>
      </c>
      <c r="AY96" s="708" t="s">
        <v>427</v>
      </c>
      <c r="AZ96" s="711" t="s">
        <v>428</v>
      </c>
      <c r="BA96" s="709">
        <v>1176.893012</v>
      </c>
      <c r="BB96" s="709">
        <v>506.608381</v>
      </c>
      <c r="BC96" s="709">
        <v>1991.789297</v>
      </c>
      <c r="BD96" s="710" t="s">
        <v>429</v>
      </c>
      <c r="CE96" s="460"/>
    </row>
    <row r="97">
      <c r="A97" s="690"/>
      <c r="B97" s="712" t="s">
        <v>440</v>
      </c>
      <c r="C97" s="713" t="s">
        <v>416</v>
      </c>
      <c r="D97" s="714" t="s">
        <v>473</v>
      </c>
      <c r="E97" s="715">
        <v>2021.0</v>
      </c>
      <c r="F97" s="713" t="s">
        <v>418</v>
      </c>
      <c r="G97" s="713" t="s">
        <v>50</v>
      </c>
      <c r="H97" s="716">
        <v>4747803.0</v>
      </c>
      <c r="I97" s="716">
        <v>5325519.0</v>
      </c>
      <c r="J97" s="717">
        <v>4165703.0</v>
      </c>
      <c r="K97" s="695"/>
      <c r="L97" s="707" t="s">
        <v>419</v>
      </c>
      <c r="M97" s="708" t="s">
        <v>474</v>
      </c>
      <c r="N97" s="708" t="s">
        <v>420</v>
      </c>
      <c r="O97" s="708" t="s">
        <v>443</v>
      </c>
      <c r="P97" s="708" t="s">
        <v>422</v>
      </c>
      <c r="Q97" s="708" t="s">
        <v>50</v>
      </c>
      <c r="R97" s="708">
        <v>2021.0</v>
      </c>
      <c r="S97" s="709">
        <v>181.1989786</v>
      </c>
      <c r="T97" s="709">
        <v>273.6525686</v>
      </c>
      <c r="U97" s="710">
        <v>99.85087996</v>
      </c>
      <c r="AH97" s="712" t="s">
        <v>424</v>
      </c>
      <c r="AI97" s="714" t="s">
        <v>516</v>
      </c>
      <c r="AJ97" s="714" t="s">
        <v>420</v>
      </c>
      <c r="AK97" s="714" t="s">
        <v>421</v>
      </c>
      <c r="AL97" s="714" t="s">
        <v>422</v>
      </c>
      <c r="AM97" s="714" t="s">
        <v>423</v>
      </c>
      <c r="AN97" s="715">
        <v>2021.0</v>
      </c>
      <c r="AO97" s="716">
        <v>66516.54484</v>
      </c>
      <c r="AP97" s="716">
        <v>111277.129</v>
      </c>
      <c r="AQ97" s="717">
        <v>34755.79172</v>
      </c>
      <c r="AS97" s="707" t="s">
        <v>422</v>
      </c>
      <c r="AT97" s="708" t="s">
        <v>420</v>
      </c>
      <c r="AU97" s="708" t="s">
        <v>435</v>
      </c>
      <c r="AV97" s="708" t="s">
        <v>496</v>
      </c>
      <c r="AW97" s="708" t="s">
        <v>419</v>
      </c>
      <c r="AX97" s="708" t="s">
        <v>50</v>
      </c>
      <c r="AY97" s="708" t="s">
        <v>427</v>
      </c>
      <c r="AZ97" s="711" t="s">
        <v>428</v>
      </c>
      <c r="BA97" s="709">
        <v>82.88424098</v>
      </c>
      <c r="BB97" s="709">
        <v>28.95063184</v>
      </c>
      <c r="BC97" s="709">
        <v>177.5172425</v>
      </c>
      <c r="BD97" s="710" t="s">
        <v>429</v>
      </c>
      <c r="CE97" s="460"/>
    </row>
    <row r="98">
      <c r="A98" s="690"/>
      <c r="B98" s="701" t="s">
        <v>440</v>
      </c>
      <c r="C98" s="702" t="s">
        <v>416</v>
      </c>
      <c r="D98" s="703" t="s">
        <v>476</v>
      </c>
      <c r="E98" s="704">
        <v>2021.0</v>
      </c>
      <c r="F98" s="702" t="s">
        <v>418</v>
      </c>
      <c r="G98" s="702" t="s">
        <v>50</v>
      </c>
      <c r="H98" s="705">
        <v>1050674.0</v>
      </c>
      <c r="I98" s="705">
        <v>1178521.0</v>
      </c>
      <c r="J98" s="706">
        <v>921857.0</v>
      </c>
      <c r="K98" s="695"/>
      <c r="L98" s="718" t="s">
        <v>419</v>
      </c>
      <c r="M98" s="719" t="s">
        <v>474</v>
      </c>
      <c r="N98" s="719" t="s">
        <v>420</v>
      </c>
      <c r="O98" s="719" t="s">
        <v>417</v>
      </c>
      <c r="P98" s="719" t="s">
        <v>422</v>
      </c>
      <c r="Q98" s="719" t="s">
        <v>50</v>
      </c>
      <c r="R98" s="720">
        <v>2021.0</v>
      </c>
      <c r="S98" s="721">
        <v>6.746343749</v>
      </c>
      <c r="T98" s="721">
        <v>10.29272439</v>
      </c>
      <c r="U98" s="722">
        <v>3.711414888</v>
      </c>
      <c r="AH98" s="701" t="s">
        <v>424</v>
      </c>
      <c r="AI98" s="703" t="s">
        <v>516</v>
      </c>
      <c r="AJ98" s="703" t="s">
        <v>420</v>
      </c>
      <c r="AK98" s="703" t="s">
        <v>434</v>
      </c>
      <c r="AL98" s="703" t="s">
        <v>422</v>
      </c>
      <c r="AM98" s="703" t="s">
        <v>423</v>
      </c>
      <c r="AN98" s="704">
        <v>2021.0</v>
      </c>
      <c r="AO98" s="705">
        <v>28920.43529</v>
      </c>
      <c r="AP98" s="705">
        <v>52330.45913</v>
      </c>
      <c r="AQ98" s="706">
        <v>17081.46125</v>
      </c>
      <c r="AS98" s="707" t="s">
        <v>422</v>
      </c>
      <c r="AT98" s="708" t="s">
        <v>420</v>
      </c>
      <c r="AU98" s="708" t="s">
        <v>441</v>
      </c>
      <c r="AV98" s="708" t="s">
        <v>496</v>
      </c>
      <c r="AW98" s="708" t="s">
        <v>419</v>
      </c>
      <c r="AX98" s="708" t="s">
        <v>50</v>
      </c>
      <c r="AY98" s="708" t="s">
        <v>427</v>
      </c>
      <c r="AZ98" s="711" t="s">
        <v>428</v>
      </c>
      <c r="BA98" s="709">
        <v>434.1806065</v>
      </c>
      <c r="BB98" s="709">
        <v>167.7067745</v>
      </c>
      <c r="BC98" s="709">
        <v>762.9429789</v>
      </c>
      <c r="BD98" s="710" t="s">
        <v>429</v>
      </c>
      <c r="CE98" s="460"/>
    </row>
    <row r="99">
      <c r="A99" s="690"/>
      <c r="B99" s="712" t="s">
        <v>440</v>
      </c>
      <c r="C99" s="713" t="s">
        <v>416</v>
      </c>
      <c r="D99" s="714" t="s">
        <v>479</v>
      </c>
      <c r="E99" s="715">
        <v>2021.0</v>
      </c>
      <c r="F99" s="713" t="s">
        <v>418</v>
      </c>
      <c r="G99" s="713" t="s">
        <v>50</v>
      </c>
      <c r="H99" s="716">
        <v>842066.0</v>
      </c>
      <c r="I99" s="716">
        <v>944529.0</v>
      </c>
      <c r="J99" s="717">
        <v>738825.0</v>
      </c>
      <c r="K99" s="695"/>
      <c r="L99" s="707" t="s">
        <v>419</v>
      </c>
      <c r="M99" s="708" t="s">
        <v>474</v>
      </c>
      <c r="N99" s="708" t="s">
        <v>420</v>
      </c>
      <c r="O99" s="708" t="s">
        <v>438</v>
      </c>
      <c r="P99" s="708" t="s">
        <v>422</v>
      </c>
      <c r="Q99" s="708" t="s">
        <v>50</v>
      </c>
      <c r="R99" s="708">
        <v>2021.0</v>
      </c>
      <c r="S99" s="709">
        <v>0.34900474</v>
      </c>
      <c r="T99" s="709">
        <v>0.48196042</v>
      </c>
      <c r="U99" s="710">
        <v>0.205205931</v>
      </c>
      <c r="AH99" s="712" t="s">
        <v>424</v>
      </c>
      <c r="AI99" s="714" t="s">
        <v>516</v>
      </c>
      <c r="AJ99" s="714" t="s">
        <v>420</v>
      </c>
      <c r="AK99" s="714" t="s">
        <v>417</v>
      </c>
      <c r="AL99" s="714" t="s">
        <v>422</v>
      </c>
      <c r="AM99" s="714" t="s">
        <v>423</v>
      </c>
      <c r="AN99" s="715">
        <v>2021.0</v>
      </c>
      <c r="AO99" s="716">
        <v>47180.09516</v>
      </c>
      <c r="AP99" s="716">
        <v>78933.34218</v>
      </c>
      <c r="AQ99" s="717">
        <v>24650.82287</v>
      </c>
      <c r="AS99" s="707" t="s">
        <v>422</v>
      </c>
      <c r="AT99" s="708" t="s">
        <v>420</v>
      </c>
      <c r="AU99" s="708" t="s">
        <v>445</v>
      </c>
      <c r="AV99" s="708" t="s">
        <v>496</v>
      </c>
      <c r="AW99" s="708" t="s">
        <v>419</v>
      </c>
      <c r="AX99" s="708" t="s">
        <v>50</v>
      </c>
      <c r="AY99" s="708" t="s">
        <v>427</v>
      </c>
      <c r="AZ99" s="711" t="s">
        <v>428</v>
      </c>
      <c r="BA99" s="709">
        <v>3180.531529</v>
      </c>
      <c r="BB99" s="709">
        <v>1222.564763</v>
      </c>
      <c r="BC99" s="709">
        <v>6044.924041</v>
      </c>
      <c r="BD99" s="710" t="s">
        <v>429</v>
      </c>
      <c r="CE99" s="460"/>
    </row>
    <row r="100">
      <c r="A100" s="690"/>
      <c r="B100" s="701" t="s">
        <v>440</v>
      </c>
      <c r="C100" s="702" t="s">
        <v>416</v>
      </c>
      <c r="D100" s="703" t="s">
        <v>482</v>
      </c>
      <c r="E100" s="704">
        <v>2021.0</v>
      </c>
      <c r="F100" s="702" t="s">
        <v>418</v>
      </c>
      <c r="G100" s="702" t="s">
        <v>50</v>
      </c>
      <c r="H100" s="705">
        <v>678829.0</v>
      </c>
      <c r="I100" s="705">
        <v>761429.0</v>
      </c>
      <c r="J100" s="706">
        <v>595602.0</v>
      </c>
      <c r="K100" s="695"/>
      <c r="L100" s="707" t="s">
        <v>419</v>
      </c>
      <c r="M100" s="708" t="s">
        <v>477</v>
      </c>
      <c r="N100" s="708" t="s">
        <v>420</v>
      </c>
      <c r="O100" s="708" t="s">
        <v>421</v>
      </c>
      <c r="P100" s="708" t="s">
        <v>422</v>
      </c>
      <c r="Q100" s="708" t="s">
        <v>50</v>
      </c>
      <c r="R100" s="708">
        <v>2021.0</v>
      </c>
      <c r="S100" s="709">
        <v>449.7718055</v>
      </c>
      <c r="T100" s="709">
        <v>802.7781316</v>
      </c>
      <c r="U100" s="710">
        <v>210.8894337</v>
      </c>
      <c r="AH100" s="701" t="s">
        <v>424</v>
      </c>
      <c r="AI100" s="703" t="s">
        <v>518</v>
      </c>
      <c r="AJ100" s="703" t="s">
        <v>420</v>
      </c>
      <c r="AK100" s="703" t="s">
        <v>421</v>
      </c>
      <c r="AL100" s="703" t="s">
        <v>422</v>
      </c>
      <c r="AM100" s="703" t="s">
        <v>423</v>
      </c>
      <c r="AN100" s="704">
        <v>2021.0</v>
      </c>
      <c r="AO100" s="705">
        <v>1674.915912</v>
      </c>
      <c r="AP100" s="705">
        <v>2219.260684</v>
      </c>
      <c r="AQ100" s="706">
        <v>1253.644222</v>
      </c>
      <c r="AS100" s="707" t="s">
        <v>422</v>
      </c>
      <c r="AT100" s="708" t="s">
        <v>420</v>
      </c>
      <c r="AU100" s="708" t="s">
        <v>425</v>
      </c>
      <c r="AV100" s="708" t="s">
        <v>499</v>
      </c>
      <c r="AW100" s="708" t="s">
        <v>419</v>
      </c>
      <c r="AX100" s="708" t="s">
        <v>50</v>
      </c>
      <c r="AY100" s="708" t="s">
        <v>427</v>
      </c>
      <c r="AZ100" s="711" t="s">
        <v>428</v>
      </c>
      <c r="BA100" s="709">
        <v>1797.846542</v>
      </c>
      <c r="BB100" s="709">
        <v>906.7406814</v>
      </c>
      <c r="BC100" s="709">
        <v>2821.062831</v>
      </c>
      <c r="BD100" s="710" t="s">
        <v>429</v>
      </c>
      <c r="CE100" s="460"/>
    </row>
    <row r="101">
      <c r="A101" s="690"/>
      <c r="B101" s="712" t="s">
        <v>440</v>
      </c>
      <c r="C101" s="713" t="s">
        <v>416</v>
      </c>
      <c r="D101" s="714" t="s">
        <v>485</v>
      </c>
      <c r="E101" s="715">
        <v>2021.0</v>
      </c>
      <c r="F101" s="713" t="s">
        <v>418</v>
      </c>
      <c r="G101" s="713" t="s">
        <v>50</v>
      </c>
      <c r="H101" s="716">
        <v>562428.0</v>
      </c>
      <c r="I101" s="716">
        <v>630864.0</v>
      </c>
      <c r="J101" s="717">
        <v>493472.0</v>
      </c>
      <c r="K101" s="695"/>
      <c r="L101" s="707" t="s">
        <v>419</v>
      </c>
      <c r="M101" s="708" t="s">
        <v>477</v>
      </c>
      <c r="N101" s="708" t="s">
        <v>420</v>
      </c>
      <c r="O101" s="708" t="s">
        <v>432</v>
      </c>
      <c r="P101" s="708" t="s">
        <v>422</v>
      </c>
      <c r="Q101" s="708" t="s">
        <v>50</v>
      </c>
      <c r="R101" s="708">
        <v>2021.0</v>
      </c>
      <c r="S101" s="709">
        <v>0.0</v>
      </c>
      <c r="T101" s="709">
        <v>0.0</v>
      </c>
      <c r="U101" s="710">
        <v>0.0</v>
      </c>
      <c r="AH101" s="712" t="s">
        <v>424</v>
      </c>
      <c r="AI101" s="714" t="s">
        <v>518</v>
      </c>
      <c r="AJ101" s="714" t="s">
        <v>420</v>
      </c>
      <c r="AK101" s="714" t="s">
        <v>434</v>
      </c>
      <c r="AL101" s="714" t="s">
        <v>422</v>
      </c>
      <c r="AM101" s="714" t="s">
        <v>423</v>
      </c>
      <c r="AN101" s="715">
        <v>2021.0</v>
      </c>
      <c r="AO101" s="716">
        <v>1890.472908</v>
      </c>
      <c r="AP101" s="716">
        <v>2357.011181</v>
      </c>
      <c r="AQ101" s="717">
        <v>1511.185654</v>
      </c>
      <c r="AS101" s="707" t="s">
        <v>422</v>
      </c>
      <c r="AT101" s="708" t="s">
        <v>420</v>
      </c>
      <c r="AU101" s="708" t="s">
        <v>435</v>
      </c>
      <c r="AV101" s="708" t="s">
        <v>499</v>
      </c>
      <c r="AW101" s="708" t="s">
        <v>419</v>
      </c>
      <c r="AX101" s="708" t="s">
        <v>50</v>
      </c>
      <c r="AY101" s="708" t="s">
        <v>427</v>
      </c>
      <c r="AZ101" s="711" t="s">
        <v>428</v>
      </c>
      <c r="BA101" s="709">
        <v>138.7505995</v>
      </c>
      <c r="BB101" s="709">
        <v>51.93021458</v>
      </c>
      <c r="BC101" s="709">
        <v>282.1705189</v>
      </c>
      <c r="BD101" s="710" t="s">
        <v>429</v>
      </c>
      <c r="CE101" s="460"/>
    </row>
    <row r="102">
      <c r="A102" s="690"/>
      <c r="B102" s="701" t="s">
        <v>440</v>
      </c>
      <c r="C102" s="702" t="s">
        <v>416</v>
      </c>
      <c r="D102" s="703" t="s">
        <v>488</v>
      </c>
      <c r="E102" s="704">
        <v>2021.0</v>
      </c>
      <c r="F102" s="702" t="s">
        <v>418</v>
      </c>
      <c r="G102" s="702" t="s">
        <v>50</v>
      </c>
      <c r="H102" s="705">
        <v>446984.0</v>
      </c>
      <c r="I102" s="705">
        <v>501374.0</v>
      </c>
      <c r="J102" s="706">
        <v>392182.0</v>
      </c>
      <c r="K102" s="695"/>
      <c r="L102" s="707" t="s">
        <v>419</v>
      </c>
      <c r="M102" s="708" t="s">
        <v>477</v>
      </c>
      <c r="N102" s="708" t="s">
        <v>420</v>
      </c>
      <c r="O102" s="708" t="s">
        <v>439</v>
      </c>
      <c r="P102" s="708" t="s">
        <v>422</v>
      </c>
      <c r="Q102" s="708" t="s">
        <v>50</v>
      </c>
      <c r="R102" s="708">
        <v>2021.0</v>
      </c>
      <c r="S102" s="709">
        <v>28.32291716</v>
      </c>
      <c r="T102" s="709">
        <v>63.39149134</v>
      </c>
      <c r="U102" s="710">
        <v>12.43152831</v>
      </c>
      <c r="AH102" s="701" t="s">
        <v>424</v>
      </c>
      <c r="AI102" s="703" t="s">
        <v>518</v>
      </c>
      <c r="AJ102" s="703" t="s">
        <v>420</v>
      </c>
      <c r="AK102" s="703" t="s">
        <v>417</v>
      </c>
      <c r="AL102" s="703" t="s">
        <v>422</v>
      </c>
      <c r="AM102" s="703" t="s">
        <v>423</v>
      </c>
      <c r="AN102" s="704">
        <v>2021.0</v>
      </c>
      <c r="AO102" s="705">
        <v>1158.831157</v>
      </c>
      <c r="AP102" s="705">
        <v>1538.939206</v>
      </c>
      <c r="AQ102" s="706">
        <v>865.1570277</v>
      </c>
      <c r="AS102" s="707" t="s">
        <v>422</v>
      </c>
      <c r="AT102" s="708" t="s">
        <v>420</v>
      </c>
      <c r="AU102" s="708" t="s">
        <v>441</v>
      </c>
      <c r="AV102" s="708" t="s">
        <v>499</v>
      </c>
      <c r="AW102" s="708" t="s">
        <v>419</v>
      </c>
      <c r="AX102" s="708" t="s">
        <v>50</v>
      </c>
      <c r="AY102" s="708" t="s">
        <v>427</v>
      </c>
      <c r="AZ102" s="711" t="s">
        <v>428</v>
      </c>
      <c r="BA102" s="709">
        <v>752.801614</v>
      </c>
      <c r="BB102" s="709">
        <v>349.8429766</v>
      </c>
      <c r="BC102" s="709">
        <v>1200.902577</v>
      </c>
      <c r="BD102" s="710" t="s">
        <v>429</v>
      </c>
      <c r="CE102" s="460"/>
    </row>
    <row r="103">
      <c r="A103" s="690"/>
      <c r="B103" s="712" t="s">
        <v>440</v>
      </c>
      <c r="C103" s="713" t="s">
        <v>416</v>
      </c>
      <c r="D103" s="714" t="s">
        <v>491</v>
      </c>
      <c r="E103" s="715">
        <v>2021.0</v>
      </c>
      <c r="F103" s="713" t="s">
        <v>418</v>
      </c>
      <c r="G103" s="713" t="s">
        <v>50</v>
      </c>
      <c r="H103" s="716">
        <v>339760.0</v>
      </c>
      <c r="I103" s="716">
        <v>381102.0</v>
      </c>
      <c r="J103" s="717">
        <v>298104.0</v>
      </c>
      <c r="K103" s="695"/>
      <c r="L103" s="707" t="s">
        <v>419</v>
      </c>
      <c r="M103" s="708" t="s">
        <v>477</v>
      </c>
      <c r="N103" s="708" t="s">
        <v>420</v>
      </c>
      <c r="O103" s="708" t="s">
        <v>443</v>
      </c>
      <c r="P103" s="708" t="s">
        <v>422</v>
      </c>
      <c r="Q103" s="708" t="s">
        <v>50</v>
      </c>
      <c r="R103" s="708">
        <v>2021.0</v>
      </c>
      <c r="S103" s="709">
        <v>924.4108206</v>
      </c>
      <c r="T103" s="709">
        <v>1950.493302</v>
      </c>
      <c r="U103" s="710">
        <v>383.7983768</v>
      </c>
      <c r="AH103" s="712" t="s">
        <v>424</v>
      </c>
      <c r="AI103" s="714" t="s">
        <v>101</v>
      </c>
      <c r="AJ103" s="714" t="s">
        <v>420</v>
      </c>
      <c r="AK103" s="714" t="s">
        <v>421</v>
      </c>
      <c r="AL103" s="714" t="s">
        <v>422</v>
      </c>
      <c r="AM103" s="714" t="s">
        <v>423</v>
      </c>
      <c r="AN103" s="715">
        <v>2021.0</v>
      </c>
      <c r="AO103" s="716">
        <v>83207.62432</v>
      </c>
      <c r="AP103" s="716">
        <v>113066.14</v>
      </c>
      <c r="AQ103" s="717">
        <v>53235.35329</v>
      </c>
      <c r="AS103" s="707" t="s">
        <v>422</v>
      </c>
      <c r="AT103" s="708" t="s">
        <v>420</v>
      </c>
      <c r="AU103" s="708" t="s">
        <v>445</v>
      </c>
      <c r="AV103" s="708" t="s">
        <v>499</v>
      </c>
      <c r="AW103" s="708" t="s">
        <v>419</v>
      </c>
      <c r="AX103" s="708" t="s">
        <v>50</v>
      </c>
      <c r="AY103" s="708" t="s">
        <v>427</v>
      </c>
      <c r="AZ103" s="711" t="s">
        <v>428</v>
      </c>
      <c r="BA103" s="709">
        <v>5058.218425</v>
      </c>
      <c r="BB103" s="709">
        <v>2370.425293</v>
      </c>
      <c r="BC103" s="709">
        <v>8865.325136</v>
      </c>
      <c r="BD103" s="710" t="s">
        <v>429</v>
      </c>
      <c r="CE103" s="460"/>
    </row>
    <row r="104">
      <c r="A104" s="690"/>
      <c r="B104" s="701" t="s">
        <v>440</v>
      </c>
      <c r="C104" s="702" t="s">
        <v>416</v>
      </c>
      <c r="D104" s="703" t="s">
        <v>493</v>
      </c>
      <c r="E104" s="704">
        <v>2021.0</v>
      </c>
      <c r="F104" s="702" t="s">
        <v>418</v>
      </c>
      <c r="G104" s="702" t="s">
        <v>50</v>
      </c>
      <c r="H104" s="705">
        <v>943016.0</v>
      </c>
      <c r="I104" s="705">
        <v>1057763.0</v>
      </c>
      <c r="J104" s="706">
        <v>827398.0</v>
      </c>
      <c r="K104" s="695"/>
      <c r="L104" s="707" t="s">
        <v>419</v>
      </c>
      <c r="M104" s="708" t="s">
        <v>477</v>
      </c>
      <c r="N104" s="708" t="s">
        <v>420</v>
      </c>
      <c r="O104" s="708" t="s">
        <v>417</v>
      </c>
      <c r="P104" s="708" t="s">
        <v>422</v>
      </c>
      <c r="Q104" s="708" t="s">
        <v>50</v>
      </c>
      <c r="R104" s="708">
        <v>2021.0</v>
      </c>
      <c r="S104" s="709">
        <v>234.3582161</v>
      </c>
      <c r="T104" s="709">
        <v>454.149292</v>
      </c>
      <c r="U104" s="710">
        <v>114.6988968</v>
      </c>
      <c r="AH104" s="701" t="s">
        <v>424</v>
      </c>
      <c r="AI104" s="703" t="s">
        <v>101</v>
      </c>
      <c r="AJ104" s="703" t="s">
        <v>420</v>
      </c>
      <c r="AK104" s="703" t="s">
        <v>434</v>
      </c>
      <c r="AL104" s="703" t="s">
        <v>422</v>
      </c>
      <c r="AM104" s="703" t="s">
        <v>423</v>
      </c>
      <c r="AN104" s="704">
        <v>2021.0</v>
      </c>
      <c r="AO104" s="705">
        <v>34974.13668</v>
      </c>
      <c r="AP104" s="705">
        <v>59021.81214</v>
      </c>
      <c r="AQ104" s="706">
        <v>20408.24845</v>
      </c>
      <c r="AS104" s="707" t="s">
        <v>422</v>
      </c>
      <c r="AT104" s="708" t="s">
        <v>420</v>
      </c>
      <c r="AU104" s="708" t="s">
        <v>425</v>
      </c>
      <c r="AV104" s="708" t="s">
        <v>120</v>
      </c>
      <c r="AW104" s="708" t="s">
        <v>419</v>
      </c>
      <c r="AX104" s="708" t="s">
        <v>50</v>
      </c>
      <c r="AY104" s="708" t="s">
        <v>427</v>
      </c>
      <c r="AZ104" s="711" t="s">
        <v>428</v>
      </c>
      <c r="BA104" s="709">
        <v>2235.297195</v>
      </c>
      <c r="BB104" s="709">
        <v>637.7791288</v>
      </c>
      <c r="BC104" s="709">
        <v>4331.045312</v>
      </c>
      <c r="BD104" s="710" t="s">
        <v>429</v>
      </c>
      <c r="CE104" s="460"/>
    </row>
    <row r="105">
      <c r="A105" s="63"/>
      <c r="B105" s="712" t="s">
        <v>440</v>
      </c>
      <c r="C105" s="713" t="s">
        <v>416</v>
      </c>
      <c r="D105" s="714" t="s">
        <v>434</v>
      </c>
      <c r="E105" s="715">
        <v>2021.0</v>
      </c>
      <c r="F105" s="713" t="s">
        <v>418</v>
      </c>
      <c r="G105" s="713" t="s">
        <v>50</v>
      </c>
      <c r="H105" s="716">
        <v>3738033.0</v>
      </c>
      <c r="I105" s="716">
        <v>4192879.0</v>
      </c>
      <c r="J105" s="717">
        <v>3279735.0</v>
      </c>
      <c r="K105" s="695"/>
      <c r="L105" s="707" t="s">
        <v>419</v>
      </c>
      <c r="M105" s="708" t="s">
        <v>477</v>
      </c>
      <c r="N105" s="708" t="s">
        <v>420</v>
      </c>
      <c r="O105" s="708" t="s">
        <v>438</v>
      </c>
      <c r="P105" s="708" t="s">
        <v>422</v>
      </c>
      <c r="Q105" s="708" t="s">
        <v>50</v>
      </c>
      <c r="R105" s="708">
        <v>2021.0</v>
      </c>
      <c r="S105" s="709">
        <v>28.32291716</v>
      </c>
      <c r="T105" s="709">
        <v>63.39149134</v>
      </c>
      <c r="U105" s="710">
        <v>12.43152831</v>
      </c>
      <c r="AH105" s="701" t="s">
        <v>424</v>
      </c>
      <c r="AI105" s="703" t="s">
        <v>101</v>
      </c>
      <c r="AJ105" s="703" t="s">
        <v>420</v>
      </c>
      <c r="AK105" s="703" t="s">
        <v>417</v>
      </c>
      <c r="AL105" s="703" t="s">
        <v>422</v>
      </c>
      <c r="AM105" s="703" t="s">
        <v>423</v>
      </c>
      <c r="AN105" s="704">
        <v>2021.0</v>
      </c>
      <c r="AO105" s="705">
        <v>58725.58103</v>
      </c>
      <c r="AP105" s="705">
        <v>79801.6604</v>
      </c>
      <c r="AQ105" s="706">
        <v>37573.31403</v>
      </c>
      <c r="AS105" s="707" t="s">
        <v>422</v>
      </c>
      <c r="AT105" s="708" t="s">
        <v>420</v>
      </c>
      <c r="AU105" s="708" t="s">
        <v>435</v>
      </c>
      <c r="AV105" s="708" t="s">
        <v>120</v>
      </c>
      <c r="AW105" s="708" t="s">
        <v>419</v>
      </c>
      <c r="AX105" s="708" t="s">
        <v>50</v>
      </c>
      <c r="AY105" s="708" t="s">
        <v>427</v>
      </c>
      <c r="AZ105" s="711" t="s">
        <v>428</v>
      </c>
      <c r="BA105" s="709">
        <v>102.3979599</v>
      </c>
      <c r="BB105" s="709">
        <v>22.98481656</v>
      </c>
      <c r="BC105" s="709">
        <v>229.3464181</v>
      </c>
      <c r="BD105" s="710" t="s">
        <v>429</v>
      </c>
      <c r="CE105" s="460"/>
    </row>
    <row r="106">
      <c r="A106" s="63"/>
      <c r="B106" s="701" t="s">
        <v>440</v>
      </c>
      <c r="C106" s="702" t="s">
        <v>416</v>
      </c>
      <c r="D106" s="703" t="s">
        <v>497</v>
      </c>
      <c r="E106" s="704">
        <v>2021.0</v>
      </c>
      <c r="F106" s="702" t="s">
        <v>418</v>
      </c>
      <c r="G106" s="702" t="s">
        <v>50</v>
      </c>
      <c r="H106" s="705">
        <v>260331.0</v>
      </c>
      <c r="I106" s="705">
        <v>292009.0</v>
      </c>
      <c r="J106" s="706">
        <v>228414.0</v>
      </c>
      <c r="K106" s="695"/>
      <c r="L106" s="707" t="s">
        <v>419</v>
      </c>
      <c r="M106" s="708" t="s">
        <v>480</v>
      </c>
      <c r="N106" s="708" t="s">
        <v>420</v>
      </c>
      <c r="O106" s="708" t="s">
        <v>421</v>
      </c>
      <c r="P106" s="708" t="s">
        <v>422</v>
      </c>
      <c r="Q106" s="708" t="s">
        <v>50</v>
      </c>
      <c r="R106" s="708">
        <v>2021.0</v>
      </c>
      <c r="S106" s="709">
        <v>15.93077785</v>
      </c>
      <c r="T106" s="709">
        <v>26.78683136</v>
      </c>
      <c r="U106" s="710">
        <v>9.35865712</v>
      </c>
      <c r="AH106" s="712" t="s">
        <v>424</v>
      </c>
      <c r="AI106" s="714" t="s">
        <v>522</v>
      </c>
      <c r="AJ106" s="714" t="s">
        <v>420</v>
      </c>
      <c r="AK106" s="714" t="s">
        <v>421</v>
      </c>
      <c r="AL106" s="714" t="s">
        <v>422</v>
      </c>
      <c r="AM106" s="714" t="s">
        <v>423</v>
      </c>
      <c r="AN106" s="715">
        <v>2021.0</v>
      </c>
      <c r="AO106" s="716">
        <v>451.9999198</v>
      </c>
      <c r="AP106" s="716">
        <v>576.8200854</v>
      </c>
      <c r="AQ106" s="717">
        <v>350.3101829</v>
      </c>
      <c r="AS106" s="707" t="s">
        <v>422</v>
      </c>
      <c r="AT106" s="708" t="s">
        <v>420</v>
      </c>
      <c r="AU106" s="708" t="s">
        <v>441</v>
      </c>
      <c r="AV106" s="708" t="s">
        <v>120</v>
      </c>
      <c r="AW106" s="708" t="s">
        <v>419</v>
      </c>
      <c r="AX106" s="708" t="s">
        <v>50</v>
      </c>
      <c r="AY106" s="708" t="s">
        <v>427</v>
      </c>
      <c r="AZ106" s="711" t="s">
        <v>428</v>
      </c>
      <c r="BA106" s="709">
        <v>739.9298848</v>
      </c>
      <c r="BB106" s="709">
        <v>189.8243636</v>
      </c>
      <c r="BC106" s="709">
        <v>1474.449822</v>
      </c>
      <c r="BD106" s="710" t="s">
        <v>429</v>
      </c>
      <c r="CE106" s="460"/>
    </row>
    <row r="107">
      <c r="A107" s="690"/>
      <c r="B107" s="712" t="s">
        <v>440</v>
      </c>
      <c r="C107" s="713" t="s">
        <v>416</v>
      </c>
      <c r="D107" s="714" t="s">
        <v>500</v>
      </c>
      <c r="E107" s="715">
        <v>2021.0</v>
      </c>
      <c r="F107" s="713" t="s">
        <v>418</v>
      </c>
      <c r="G107" s="713" t="s">
        <v>50</v>
      </c>
      <c r="H107" s="716">
        <v>2030234.0</v>
      </c>
      <c r="I107" s="716">
        <v>2277274.0</v>
      </c>
      <c r="J107" s="717">
        <v>1781319.0</v>
      </c>
      <c r="K107" s="695"/>
      <c r="L107" s="707" t="s">
        <v>419</v>
      </c>
      <c r="M107" s="708" t="s">
        <v>480</v>
      </c>
      <c r="N107" s="708" t="s">
        <v>420</v>
      </c>
      <c r="O107" s="708" t="s">
        <v>432</v>
      </c>
      <c r="P107" s="708" t="s">
        <v>422</v>
      </c>
      <c r="Q107" s="708" t="s">
        <v>50</v>
      </c>
      <c r="R107" s="708">
        <v>2021.0</v>
      </c>
      <c r="S107" s="709">
        <v>0.0</v>
      </c>
      <c r="T107" s="709">
        <v>0.0</v>
      </c>
      <c r="U107" s="710">
        <v>0.0</v>
      </c>
      <c r="AH107" s="701" t="s">
        <v>424</v>
      </c>
      <c r="AI107" s="703" t="s">
        <v>522</v>
      </c>
      <c r="AJ107" s="703" t="s">
        <v>420</v>
      </c>
      <c r="AK107" s="703" t="s">
        <v>434</v>
      </c>
      <c r="AL107" s="703" t="s">
        <v>422</v>
      </c>
      <c r="AM107" s="703" t="s">
        <v>423</v>
      </c>
      <c r="AN107" s="704">
        <v>2021.0</v>
      </c>
      <c r="AO107" s="705">
        <v>669.2755348</v>
      </c>
      <c r="AP107" s="705">
        <v>817.8483777</v>
      </c>
      <c r="AQ107" s="706">
        <v>542.6183558</v>
      </c>
      <c r="AS107" s="707" t="s">
        <v>422</v>
      </c>
      <c r="AT107" s="708" t="s">
        <v>420</v>
      </c>
      <c r="AU107" s="708" t="s">
        <v>445</v>
      </c>
      <c r="AV107" s="708" t="s">
        <v>120</v>
      </c>
      <c r="AW107" s="708" t="s">
        <v>419</v>
      </c>
      <c r="AX107" s="708" t="s">
        <v>50</v>
      </c>
      <c r="AY107" s="708" t="s">
        <v>427</v>
      </c>
      <c r="AZ107" s="711" t="s">
        <v>428</v>
      </c>
      <c r="BA107" s="709">
        <v>4403.622657</v>
      </c>
      <c r="BB107" s="709">
        <v>1130.126686</v>
      </c>
      <c r="BC107" s="709">
        <v>8540.555992</v>
      </c>
      <c r="BD107" s="710" t="s">
        <v>429</v>
      </c>
      <c r="CE107" s="460"/>
    </row>
    <row r="108">
      <c r="A108" s="690"/>
      <c r="B108" s="701" t="s">
        <v>440</v>
      </c>
      <c r="C108" s="702" t="s">
        <v>416</v>
      </c>
      <c r="D108" s="703" t="s">
        <v>502</v>
      </c>
      <c r="E108" s="704">
        <v>2021.0</v>
      </c>
      <c r="F108" s="702" t="s">
        <v>418</v>
      </c>
      <c r="G108" s="702" t="s">
        <v>50</v>
      </c>
      <c r="H108" s="705">
        <v>196511.0</v>
      </c>
      <c r="I108" s="705">
        <v>220422.0</v>
      </c>
      <c r="J108" s="706">
        <v>172418.0</v>
      </c>
      <c r="K108" s="695"/>
      <c r="L108" s="707" t="s">
        <v>419</v>
      </c>
      <c r="M108" s="708" t="s">
        <v>480</v>
      </c>
      <c r="N108" s="708" t="s">
        <v>420</v>
      </c>
      <c r="O108" s="708" t="s">
        <v>439</v>
      </c>
      <c r="P108" s="708" t="s">
        <v>422</v>
      </c>
      <c r="Q108" s="708" t="s">
        <v>50</v>
      </c>
      <c r="R108" s="708">
        <v>2021.0</v>
      </c>
      <c r="S108" s="709">
        <v>0.20477913</v>
      </c>
      <c r="T108" s="709">
        <v>0.344170869</v>
      </c>
      <c r="U108" s="710">
        <v>0.10166795</v>
      </c>
      <c r="AH108" s="712" t="s">
        <v>424</v>
      </c>
      <c r="AI108" s="714" t="s">
        <v>522</v>
      </c>
      <c r="AJ108" s="714" t="s">
        <v>420</v>
      </c>
      <c r="AK108" s="714" t="s">
        <v>417</v>
      </c>
      <c r="AL108" s="714" t="s">
        <v>422</v>
      </c>
      <c r="AM108" s="714" t="s">
        <v>423</v>
      </c>
      <c r="AN108" s="715">
        <v>2021.0</v>
      </c>
      <c r="AO108" s="716">
        <v>304.8375602</v>
      </c>
      <c r="AP108" s="716">
        <v>395.7332052</v>
      </c>
      <c r="AQ108" s="717">
        <v>231.8220346</v>
      </c>
      <c r="AS108" s="707" t="s">
        <v>422</v>
      </c>
      <c r="AT108" s="708" t="s">
        <v>420</v>
      </c>
      <c r="AU108" s="708" t="s">
        <v>425</v>
      </c>
      <c r="AV108" s="708" t="s">
        <v>504</v>
      </c>
      <c r="AW108" s="708" t="s">
        <v>419</v>
      </c>
      <c r="AX108" s="708" t="s">
        <v>50</v>
      </c>
      <c r="AY108" s="708" t="s">
        <v>427</v>
      </c>
      <c r="AZ108" s="711" t="s">
        <v>428</v>
      </c>
      <c r="BA108" s="709">
        <v>5937.394359</v>
      </c>
      <c r="BB108" s="709">
        <v>2173.089621</v>
      </c>
      <c r="BC108" s="709">
        <v>12141.01585</v>
      </c>
      <c r="BD108" s="710" t="s">
        <v>429</v>
      </c>
      <c r="CE108" s="460"/>
    </row>
    <row r="109">
      <c r="A109" s="690"/>
      <c r="B109" s="712" t="s">
        <v>440</v>
      </c>
      <c r="C109" s="713" t="s">
        <v>416</v>
      </c>
      <c r="D109" s="714" t="s">
        <v>505</v>
      </c>
      <c r="E109" s="715">
        <v>2021.0</v>
      </c>
      <c r="F109" s="713" t="s">
        <v>418</v>
      </c>
      <c r="G109" s="713" t="s">
        <v>50</v>
      </c>
      <c r="H109" s="716">
        <v>245980.0</v>
      </c>
      <c r="I109" s="716">
        <v>275911.0</v>
      </c>
      <c r="J109" s="717">
        <v>215822.0</v>
      </c>
      <c r="K109" s="695"/>
      <c r="L109" s="707" t="s">
        <v>419</v>
      </c>
      <c r="M109" s="708" t="s">
        <v>480</v>
      </c>
      <c r="N109" s="708" t="s">
        <v>420</v>
      </c>
      <c r="O109" s="708" t="s">
        <v>443</v>
      </c>
      <c r="P109" s="708" t="s">
        <v>422</v>
      </c>
      <c r="Q109" s="708" t="s">
        <v>50</v>
      </c>
      <c r="R109" s="708">
        <v>2021.0</v>
      </c>
      <c r="S109" s="709">
        <v>158.2121024</v>
      </c>
      <c r="T109" s="709">
        <v>259.5661694</v>
      </c>
      <c r="U109" s="710">
        <v>97.79856542</v>
      </c>
      <c r="AH109" s="701" t="s">
        <v>424</v>
      </c>
      <c r="AI109" s="703" t="s">
        <v>525</v>
      </c>
      <c r="AJ109" s="703" t="s">
        <v>420</v>
      </c>
      <c r="AK109" s="703" t="s">
        <v>421</v>
      </c>
      <c r="AL109" s="703" t="s">
        <v>422</v>
      </c>
      <c r="AM109" s="703" t="s">
        <v>423</v>
      </c>
      <c r="AN109" s="704">
        <v>2021.0</v>
      </c>
      <c r="AO109" s="705">
        <v>2.51802779</v>
      </c>
      <c r="AP109" s="705">
        <v>2.908234428</v>
      </c>
      <c r="AQ109" s="706">
        <v>2.164820119</v>
      </c>
      <c r="AS109" s="707" t="s">
        <v>422</v>
      </c>
      <c r="AT109" s="708" t="s">
        <v>420</v>
      </c>
      <c r="AU109" s="708" t="s">
        <v>435</v>
      </c>
      <c r="AV109" s="708" t="s">
        <v>504</v>
      </c>
      <c r="AW109" s="708" t="s">
        <v>419</v>
      </c>
      <c r="AX109" s="708" t="s">
        <v>50</v>
      </c>
      <c r="AY109" s="708" t="s">
        <v>427</v>
      </c>
      <c r="AZ109" s="711" t="s">
        <v>428</v>
      </c>
      <c r="BA109" s="709">
        <v>237.8327731</v>
      </c>
      <c r="BB109" s="709">
        <v>66.33080089</v>
      </c>
      <c r="BC109" s="709">
        <v>635.6950181</v>
      </c>
      <c r="BD109" s="710" t="s">
        <v>429</v>
      </c>
      <c r="CE109" s="460"/>
    </row>
    <row r="110">
      <c r="A110" s="690"/>
      <c r="B110" s="701" t="s">
        <v>440</v>
      </c>
      <c r="C110" s="702" t="s">
        <v>416</v>
      </c>
      <c r="D110" s="703" t="s">
        <v>508</v>
      </c>
      <c r="E110" s="704">
        <v>2021.0</v>
      </c>
      <c r="F110" s="702" t="s">
        <v>418</v>
      </c>
      <c r="G110" s="702" t="s">
        <v>50</v>
      </c>
      <c r="H110" s="705">
        <v>146413.0</v>
      </c>
      <c r="I110" s="705">
        <v>164229.0</v>
      </c>
      <c r="J110" s="706">
        <v>128462.0</v>
      </c>
      <c r="K110" s="695"/>
      <c r="L110" s="707" t="s">
        <v>419</v>
      </c>
      <c r="M110" s="708" t="s">
        <v>480</v>
      </c>
      <c r="N110" s="708" t="s">
        <v>420</v>
      </c>
      <c r="O110" s="708" t="s">
        <v>417</v>
      </c>
      <c r="P110" s="708" t="s">
        <v>422</v>
      </c>
      <c r="Q110" s="708" t="s">
        <v>50</v>
      </c>
      <c r="R110" s="708">
        <v>2021.0</v>
      </c>
      <c r="S110" s="709">
        <v>4.277026572</v>
      </c>
      <c r="T110" s="709">
        <v>7.052093713</v>
      </c>
      <c r="U110" s="710">
        <v>2.22478302</v>
      </c>
      <c r="AH110" s="712" t="s">
        <v>424</v>
      </c>
      <c r="AI110" s="714" t="s">
        <v>525</v>
      </c>
      <c r="AJ110" s="714" t="s">
        <v>420</v>
      </c>
      <c r="AK110" s="714" t="s">
        <v>434</v>
      </c>
      <c r="AL110" s="714" t="s">
        <v>422</v>
      </c>
      <c r="AM110" s="714" t="s">
        <v>423</v>
      </c>
      <c r="AN110" s="715">
        <v>2021.0</v>
      </c>
      <c r="AO110" s="716">
        <v>5.025605347</v>
      </c>
      <c r="AP110" s="716">
        <v>5.802056325</v>
      </c>
      <c r="AQ110" s="717">
        <v>4.322540256</v>
      </c>
      <c r="AS110" s="707" t="s">
        <v>422</v>
      </c>
      <c r="AT110" s="708" t="s">
        <v>420</v>
      </c>
      <c r="AU110" s="708" t="s">
        <v>441</v>
      </c>
      <c r="AV110" s="708" t="s">
        <v>504</v>
      </c>
      <c r="AW110" s="708" t="s">
        <v>419</v>
      </c>
      <c r="AX110" s="708" t="s">
        <v>50</v>
      </c>
      <c r="AY110" s="708" t="s">
        <v>427</v>
      </c>
      <c r="AZ110" s="711" t="s">
        <v>428</v>
      </c>
      <c r="BA110" s="709">
        <v>1671.008088</v>
      </c>
      <c r="BB110" s="709">
        <v>529.1665054</v>
      </c>
      <c r="BC110" s="709">
        <v>3975.46593</v>
      </c>
      <c r="BD110" s="710" t="s">
        <v>429</v>
      </c>
      <c r="CE110" s="460"/>
    </row>
    <row r="111">
      <c r="A111" s="690"/>
      <c r="B111" s="712" t="s">
        <v>440</v>
      </c>
      <c r="C111" s="713" t="s">
        <v>416</v>
      </c>
      <c r="D111" s="714" t="s">
        <v>511</v>
      </c>
      <c r="E111" s="715">
        <v>2021.0</v>
      </c>
      <c r="F111" s="713" t="s">
        <v>418</v>
      </c>
      <c r="G111" s="713" t="s">
        <v>50</v>
      </c>
      <c r="H111" s="716">
        <v>223806.0</v>
      </c>
      <c r="I111" s="716">
        <v>251039.0</v>
      </c>
      <c r="J111" s="717">
        <v>196367.0</v>
      </c>
      <c r="K111" s="695"/>
      <c r="L111" s="707" t="s">
        <v>419</v>
      </c>
      <c r="M111" s="708" t="s">
        <v>480</v>
      </c>
      <c r="N111" s="708" t="s">
        <v>420</v>
      </c>
      <c r="O111" s="708" t="s">
        <v>438</v>
      </c>
      <c r="P111" s="708" t="s">
        <v>422</v>
      </c>
      <c r="Q111" s="708" t="s">
        <v>50</v>
      </c>
      <c r="R111" s="708">
        <v>2021.0</v>
      </c>
      <c r="S111" s="709">
        <v>0.20477913</v>
      </c>
      <c r="T111" s="709">
        <v>0.344170869</v>
      </c>
      <c r="U111" s="710">
        <v>0.10166795</v>
      </c>
      <c r="AH111" s="701" t="s">
        <v>424</v>
      </c>
      <c r="AI111" s="703" t="s">
        <v>525</v>
      </c>
      <c r="AJ111" s="703" t="s">
        <v>420</v>
      </c>
      <c r="AK111" s="703" t="s">
        <v>417</v>
      </c>
      <c r="AL111" s="703" t="s">
        <v>422</v>
      </c>
      <c r="AM111" s="703" t="s">
        <v>423</v>
      </c>
      <c r="AN111" s="704">
        <v>2021.0</v>
      </c>
      <c r="AO111" s="705">
        <v>1.468664556</v>
      </c>
      <c r="AP111" s="705">
        <v>1.696648028</v>
      </c>
      <c r="AQ111" s="706">
        <v>1.262229112</v>
      </c>
      <c r="AS111" s="707" t="s">
        <v>422</v>
      </c>
      <c r="AT111" s="708" t="s">
        <v>420</v>
      </c>
      <c r="AU111" s="708" t="s">
        <v>445</v>
      </c>
      <c r="AV111" s="708" t="s">
        <v>504</v>
      </c>
      <c r="AW111" s="708" t="s">
        <v>419</v>
      </c>
      <c r="AX111" s="708" t="s">
        <v>50</v>
      </c>
      <c r="AY111" s="708" t="s">
        <v>427</v>
      </c>
      <c r="AZ111" s="711" t="s">
        <v>428</v>
      </c>
      <c r="BA111" s="709">
        <v>10250.80395</v>
      </c>
      <c r="BB111" s="709">
        <v>3576.621631</v>
      </c>
      <c r="BC111" s="709">
        <v>21952.50452</v>
      </c>
      <c r="BD111" s="710" t="s">
        <v>429</v>
      </c>
      <c r="CE111" s="460"/>
    </row>
    <row r="112">
      <c r="A112" s="690"/>
      <c r="B112" s="701" t="s">
        <v>440</v>
      </c>
      <c r="C112" s="702" t="s">
        <v>416</v>
      </c>
      <c r="D112" s="703" t="s">
        <v>514</v>
      </c>
      <c r="E112" s="704">
        <v>2021.0</v>
      </c>
      <c r="F112" s="702" t="s">
        <v>418</v>
      </c>
      <c r="G112" s="702" t="s">
        <v>50</v>
      </c>
      <c r="H112" s="705">
        <v>96735.0</v>
      </c>
      <c r="I112" s="705">
        <v>108506.0</v>
      </c>
      <c r="J112" s="706">
        <v>84875.0</v>
      </c>
      <c r="K112" s="695"/>
      <c r="L112" s="707" t="s">
        <v>419</v>
      </c>
      <c r="M112" s="708" t="s">
        <v>483</v>
      </c>
      <c r="N112" s="708" t="s">
        <v>420</v>
      </c>
      <c r="O112" s="708" t="s">
        <v>421</v>
      </c>
      <c r="P112" s="708" t="s">
        <v>422</v>
      </c>
      <c r="Q112" s="708" t="s">
        <v>50</v>
      </c>
      <c r="R112" s="708">
        <v>2021.0</v>
      </c>
      <c r="S112" s="709">
        <v>1.475581468</v>
      </c>
      <c r="T112" s="709">
        <v>4.247088993</v>
      </c>
      <c r="U112" s="710">
        <v>0.46867099</v>
      </c>
      <c r="AH112" s="712" t="s">
        <v>424</v>
      </c>
      <c r="AI112" s="714" t="s">
        <v>504</v>
      </c>
      <c r="AJ112" s="714" t="s">
        <v>420</v>
      </c>
      <c r="AK112" s="714" t="s">
        <v>421</v>
      </c>
      <c r="AL112" s="714" t="s">
        <v>422</v>
      </c>
      <c r="AM112" s="714" t="s">
        <v>423</v>
      </c>
      <c r="AN112" s="715">
        <v>2021.0</v>
      </c>
      <c r="AO112" s="716">
        <v>74463.18082</v>
      </c>
      <c r="AP112" s="716">
        <v>123618.0192</v>
      </c>
      <c r="AQ112" s="717">
        <v>30946.92462</v>
      </c>
      <c r="AS112" s="707" t="s">
        <v>422</v>
      </c>
      <c r="AT112" s="708" t="s">
        <v>420</v>
      </c>
      <c r="AU112" s="708" t="s">
        <v>425</v>
      </c>
      <c r="AV112" s="708" t="s">
        <v>507</v>
      </c>
      <c r="AW112" s="708" t="s">
        <v>419</v>
      </c>
      <c r="AX112" s="708" t="s">
        <v>50</v>
      </c>
      <c r="AY112" s="708" t="s">
        <v>427</v>
      </c>
      <c r="AZ112" s="711" t="s">
        <v>428</v>
      </c>
      <c r="BA112" s="709">
        <v>4663.359934</v>
      </c>
      <c r="BB112" s="709">
        <v>2198.05783</v>
      </c>
      <c r="BC112" s="709">
        <v>8054.432999</v>
      </c>
      <c r="BD112" s="710" t="s">
        <v>429</v>
      </c>
      <c r="CE112" s="460"/>
    </row>
    <row r="113">
      <c r="A113" s="690"/>
      <c r="B113" s="712" t="s">
        <v>440</v>
      </c>
      <c r="C113" s="713" t="s">
        <v>416</v>
      </c>
      <c r="D113" s="714" t="s">
        <v>439</v>
      </c>
      <c r="E113" s="715">
        <v>2021.0</v>
      </c>
      <c r="F113" s="713" t="s">
        <v>418</v>
      </c>
      <c r="G113" s="713" t="s">
        <v>50</v>
      </c>
      <c r="H113" s="716">
        <v>29353.0</v>
      </c>
      <c r="I113" s="716">
        <v>32925.0</v>
      </c>
      <c r="J113" s="717">
        <v>25754.0</v>
      </c>
      <c r="K113" s="695"/>
      <c r="L113" s="707" t="s">
        <v>419</v>
      </c>
      <c r="M113" s="708" t="s">
        <v>483</v>
      </c>
      <c r="N113" s="708" t="s">
        <v>420</v>
      </c>
      <c r="O113" s="708" t="s">
        <v>432</v>
      </c>
      <c r="P113" s="708" t="s">
        <v>422</v>
      </c>
      <c r="Q113" s="708" t="s">
        <v>50</v>
      </c>
      <c r="R113" s="708">
        <v>2021.0</v>
      </c>
      <c r="S113" s="709">
        <v>0.0</v>
      </c>
      <c r="T113" s="709">
        <v>0.0</v>
      </c>
      <c r="U113" s="710">
        <v>0.0</v>
      </c>
      <c r="AH113" s="701" t="s">
        <v>424</v>
      </c>
      <c r="AI113" s="703" t="s">
        <v>504</v>
      </c>
      <c r="AJ113" s="703" t="s">
        <v>420</v>
      </c>
      <c r="AK113" s="703" t="s">
        <v>434</v>
      </c>
      <c r="AL113" s="703" t="s">
        <v>422</v>
      </c>
      <c r="AM113" s="703" t="s">
        <v>423</v>
      </c>
      <c r="AN113" s="704">
        <v>2021.0</v>
      </c>
      <c r="AO113" s="705">
        <v>31681.20771</v>
      </c>
      <c r="AP113" s="705">
        <v>60408.77032</v>
      </c>
      <c r="AQ113" s="706">
        <v>15081.26047</v>
      </c>
      <c r="AS113" s="707" t="s">
        <v>422</v>
      </c>
      <c r="AT113" s="708" t="s">
        <v>420</v>
      </c>
      <c r="AU113" s="708" t="s">
        <v>435</v>
      </c>
      <c r="AV113" s="708" t="s">
        <v>507</v>
      </c>
      <c r="AW113" s="708" t="s">
        <v>419</v>
      </c>
      <c r="AX113" s="708" t="s">
        <v>50</v>
      </c>
      <c r="AY113" s="708" t="s">
        <v>427</v>
      </c>
      <c r="AZ113" s="711" t="s">
        <v>428</v>
      </c>
      <c r="BA113" s="709">
        <v>309.1050714</v>
      </c>
      <c r="BB113" s="709">
        <v>116.5574575</v>
      </c>
      <c r="BC113" s="709">
        <v>685.4971528</v>
      </c>
      <c r="BD113" s="710" t="s">
        <v>429</v>
      </c>
      <c r="CE113" s="460"/>
    </row>
    <row r="114">
      <c r="A114" s="690"/>
      <c r="B114" s="701" t="s">
        <v>440</v>
      </c>
      <c r="C114" s="702" t="s">
        <v>416</v>
      </c>
      <c r="D114" s="703" t="s">
        <v>517</v>
      </c>
      <c r="E114" s="704">
        <v>2021.0</v>
      </c>
      <c r="F114" s="702" t="s">
        <v>418</v>
      </c>
      <c r="G114" s="702" t="s">
        <v>50</v>
      </c>
      <c r="H114" s="705">
        <v>67425.0</v>
      </c>
      <c r="I114" s="705">
        <v>75629.0</v>
      </c>
      <c r="J114" s="706">
        <v>59158.0</v>
      </c>
      <c r="K114" s="695"/>
      <c r="L114" s="707" t="s">
        <v>419</v>
      </c>
      <c r="M114" s="708" t="s">
        <v>483</v>
      </c>
      <c r="N114" s="708" t="s">
        <v>420</v>
      </c>
      <c r="O114" s="708" t="s">
        <v>439</v>
      </c>
      <c r="P114" s="708" t="s">
        <v>422</v>
      </c>
      <c r="Q114" s="708" t="s">
        <v>50</v>
      </c>
      <c r="R114" s="708">
        <v>2021.0</v>
      </c>
      <c r="S114" s="709">
        <v>0.00643496</v>
      </c>
      <c r="T114" s="709">
        <v>0.019357511</v>
      </c>
      <c r="U114" s="710">
        <v>0.001588428</v>
      </c>
      <c r="AH114" s="712" t="s">
        <v>424</v>
      </c>
      <c r="AI114" s="714" t="s">
        <v>504</v>
      </c>
      <c r="AJ114" s="714" t="s">
        <v>420</v>
      </c>
      <c r="AK114" s="714" t="s">
        <v>417</v>
      </c>
      <c r="AL114" s="714" t="s">
        <v>422</v>
      </c>
      <c r="AM114" s="714" t="s">
        <v>423</v>
      </c>
      <c r="AN114" s="715">
        <v>2021.0</v>
      </c>
      <c r="AO114" s="716">
        <v>52846.53278</v>
      </c>
      <c r="AP114" s="716">
        <v>87738.66311</v>
      </c>
      <c r="AQ114" s="717">
        <v>21964.77352</v>
      </c>
      <c r="AS114" s="707" t="s">
        <v>422</v>
      </c>
      <c r="AT114" s="708" t="s">
        <v>420</v>
      </c>
      <c r="AU114" s="708" t="s">
        <v>441</v>
      </c>
      <c r="AV114" s="708" t="s">
        <v>507</v>
      </c>
      <c r="AW114" s="708" t="s">
        <v>419</v>
      </c>
      <c r="AX114" s="708" t="s">
        <v>50</v>
      </c>
      <c r="AY114" s="708" t="s">
        <v>427</v>
      </c>
      <c r="AZ114" s="711" t="s">
        <v>428</v>
      </c>
      <c r="BA114" s="709">
        <v>1689.303147</v>
      </c>
      <c r="BB114" s="709">
        <v>696.7308565</v>
      </c>
      <c r="BC114" s="709">
        <v>3034.14265</v>
      </c>
      <c r="BD114" s="710" t="s">
        <v>429</v>
      </c>
      <c r="CE114" s="460"/>
    </row>
    <row r="115">
      <c r="A115" s="690"/>
      <c r="B115" s="712" t="s">
        <v>440</v>
      </c>
      <c r="C115" s="713" t="s">
        <v>416</v>
      </c>
      <c r="D115" s="714" t="s">
        <v>520</v>
      </c>
      <c r="E115" s="715">
        <v>2021.0</v>
      </c>
      <c r="F115" s="713" t="s">
        <v>418</v>
      </c>
      <c r="G115" s="713" t="s">
        <v>50</v>
      </c>
      <c r="H115" s="716">
        <v>59646.0</v>
      </c>
      <c r="I115" s="716">
        <v>66904.0</v>
      </c>
      <c r="J115" s="717">
        <v>52333.0</v>
      </c>
      <c r="K115" s="695"/>
      <c r="L115" s="707" t="s">
        <v>419</v>
      </c>
      <c r="M115" s="708" t="s">
        <v>483</v>
      </c>
      <c r="N115" s="708" t="s">
        <v>420</v>
      </c>
      <c r="O115" s="708" t="s">
        <v>443</v>
      </c>
      <c r="P115" s="708" t="s">
        <v>422</v>
      </c>
      <c r="Q115" s="708" t="s">
        <v>50</v>
      </c>
      <c r="R115" s="708">
        <v>2021.0</v>
      </c>
      <c r="S115" s="709">
        <v>3.719744975</v>
      </c>
      <c r="T115" s="709">
        <v>10.66981931</v>
      </c>
      <c r="U115" s="710">
        <v>1.152592075</v>
      </c>
      <c r="AH115" s="701" t="s">
        <v>424</v>
      </c>
      <c r="AI115" s="703" t="s">
        <v>102</v>
      </c>
      <c r="AJ115" s="703" t="s">
        <v>420</v>
      </c>
      <c r="AK115" s="703" t="s">
        <v>421</v>
      </c>
      <c r="AL115" s="703" t="s">
        <v>422</v>
      </c>
      <c r="AM115" s="703" t="s">
        <v>423</v>
      </c>
      <c r="AN115" s="704">
        <v>2021.0</v>
      </c>
      <c r="AO115" s="705">
        <v>81460.95283</v>
      </c>
      <c r="AP115" s="705">
        <v>126877.801</v>
      </c>
      <c r="AQ115" s="706">
        <v>50916.84922</v>
      </c>
      <c r="AS115" s="707" t="s">
        <v>422</v>
      </c>
      <c r="AT115" s="708" t="s">
        <v>420</v>
      </c>
      <c r="AU115" s="708" t="s">
        <v>445</v>
      </c>
      <c r="AV115" s="708" t="s">
        <v>507</v>
      </c>
      <c r="AW115" s="708" t="s">
        <v>419</v>
      </c>
      <c r="AX115" s="708" t="s">
        <v>50</v>
      </c>
      <c r="AY115" s="708" t="s">
        <v>427</v>
      </c>
      <c r="AZ115" s="711" t="s">
        <v>428</v>
      </c>
      <c r="BA115" s="709">
        <v>11859.61383</v>
      </c>
      <c r="BB115" s="709">
        <v>5216.775177</v>
      </c>
      <c r="BC115" s="709">
        <v>22054.10318</v>
      </c>
      <c r="BD115" s="710" t="s">
        <v>429</v>
      </c>
      <c r="CE115" s="460"/>
    </row>
    <row r="116">
      <c r="A116" s="690"/>
      <c r="B116" s="701" t="s">
        <v>440</v>
      </c>
      <c r="C116" s="702" t="s">
        <v>416</v>
      </c>
      <c r="D116" s="703" t="s">
        <v>521</v>
      </c>
      <c r="E116" s="704">
        <v>2021.0</v>
      </c>
      <c r="F116" s="702" t="s">
        <v>418</v>
      </c>
      <c r="G116" s="702" t="s">
        <v>50</v>
      </c>
      <c r="H116" s="705">
        <v>36983.0</v>
      </c>
      <c r="I116" s="705">
        <v>41483.0</v>
      </c>
      <c r="J116" s="706">
        <v>32449.0</v>
      </c>
      <c r="K116" s="695"/>
      <c r="L116" s="707" t="s">
        <v>419</v>
      </c>
      <c r="M116" s="708" t="s">
        <v>483</v>
      </c>
      <c r="N116" s="708" t="s">
        <v>420</v>
      </c>
      <c r="O116" s="708" t="s">
        <v>417</v>
      </c>
      <c r="P116" s="708" t="s">
        <v>422</v>
      </c>
      <c r="Q116" s="708" t="s">
        <v>50</v>
      </c>
      <c r="R116" s="708">
        <v>2021.0</v>
      </c>
      <c r="S116" s="709">
        <v>0.355594832</v>
      </c>
      <c r="T116" s="709">
        <v>0.986337479</v>
      </c>
      <c r="U116" s="710">
        <v>0.098737241</v>
      </c>
      <c r="AH116" s="712" t="s">
        <v>424</v>
      </c>
      <c r="AI116" s="714" t="s">
        <v>102</v>
      </c>
      <c r="AJ116" s="714" t="s">
        <v>420</v>
      </c>
      <c r="AK116" s="714" t="s">
        <v>434</v>
      </c>
      <c r="AL116" s="714" t="s">
        <v>422</v>
      </c>
      <c r="AM116" s="714" t="s">
        <v>423</v>
      </c>
      <c r="AN116" s="715">
        <v>2021.0</v>
      </c>
      <c r="AO116" s="716">
        <v>34120.08711</v>
      </c>
      <c r="AP116" s="716">
        <v>57579.00483</v>
      </c>
      <c r="AQ116" s="717">
        <v>21402.8475</v>
      </c>
      <c r="AS116" s="707" t="s">
        <v>422</v>
      </c>
      <c r="AT116" s="708" t="s">
        <v>420</v>
      </c>
      <c r="AU116" s="708" t="s">
        <v>425</v>
      </c>
      <c r="AV116" s="708" t="s">
        <v>510</v>
      </c>
      <c r="AW116" s="708" t="s">
        <v>419</v>
      </c>
      <c r="AX116" s="708" t="s">
        <v>50</v>
      </c>
      <c r="AY116" s="708" t="s">
        <v>427</v>
      </c>
      <c r="AZ116" s="711" t="s">
        <v>428</v>
      </c>
      <c r="BA116" s="709">
        <v>1681.549146</v>
      </c>
      <c r="BB116" s="709">
        <v>801.7143538</v>
      </c>
      <c r="BC116" s="709">
        <v>2875.511071</v>
      </c>
      <c r="BD116" s="710" t="s">
        <v>429</v>
      </c>
      <c r="CE116" s="460"/>
    </row>
    <row r="117">
      <c r="A117" s="690"/>
      <c r="B117" s="712" t="s">
        <v>440</v>
      </c>
      <c r="C117" s="713" t="s">
        <v>416</v>
      </c>
      <c r="D117" s="714" t="s">
        <v>524</v>
      </c>
      <c r="E117" s="715">
        <v>2021.0</v>
      </c>
      <c r="F117" s="713" t="s">
        <v>418</v>
      </c>
      <c r="G117" s="713" t="s">
        <v>50</v>
      </c>
      <c r="H117" s="716">
        <v>16094.0</v>
      </c>
      <c r="I117" s="716">
        <v>18052.0</v>
      </c>
      <c r="J117" s="717">
        <v>14121.0</v>
      </c>
      <c r="K117" s="695"/>
      <c r="L117" s="707" t="s">
        <v>419</v>
      </c>
      <c r="M117" s="708" t="s">
        <v>483</v>
      </c>
      <c r="N117" s="708" t="s">
        <v>420</v>
      </c>
      <c r="O117" s="708" t="s">
        <v>438</v>
      </c>
      <c r="P117" s="708" t="s">
        <v>422</v>
      </c>
      <c r="Q117" s="708" t="s">
        <v>50</v>
      </c>
      <c r="R117" s="708">
        <v>2021.0</v>
      </c>
      <c r="S117" s="709">
        <v>0.00643496</v>
      </c>
      <c r="T117" s="709">
        <v>0.019357511</v>
      </c>
      <c r="U117" s="710">
        <v>0.001588428</v>
      </c>
      <c r="AH117" s="701" t="s">
        <v>424</v>
      </c>
      <c r="AI117" s="703" t="s">
        <v>102</v>
      </c>
      <c r="AJ117" s="703" t="s">
        <v>420</v>
      </c>
      <c r="AK117" s="703" t="s">
        <v>417</v>
      </c>
      <c r="AL117" s="703" t="s">
        <v>422</v>
      </c>
      <c r="AM117" s="703" t="s">
        <v>423</v>
      </c>
      <c r="AN117" s="704">
        <v>2021.0</v>
      </c>
      <c r="AO117" s="705">
        <v>57771.32099</v>
      </c>
      <c r="AP117" s="705">
        <v>89807.93477</v>
      </c>
      <c r="AQ117" s="706">
        <v>35784.10252</v>
      </c>
      <c r="AS117" s="707" t="s">
        <v>422</v>
      </c>
      <c r="AT117" s="708" t="s">
        <v>420</v>
      </c>
      <c r="AU117" s="708" t="s">
        <v>435</v>
      </c>
      <c r="AV117" s="708" t="s">
        <v>510</v>
      </c>
      <c r="AW117" s="708" t="s">
        <v>419</v>
      </c>
      <c r="AX117" s="708" t="s">
        <v>50</v>
      </c>
      <c r="AY117" s="708" t="s">
        <v>427</v>
      </c>
      <c r="AZ117" s="711" t="s">
        <v>428</v>
      </c>
      <c r="BA117" s="709">
        <v>99.06535537</v>
      </c>
      <c r="BB117" s="709">
        <v>35.07697813</v>
      </c>
      <c r="BC117" s="709">
        <v>217.8088736</v>
      </c>
      <c r="BD117" s="710" t="s">
        <v>429</v>
      </c>
      <c r="CE117" s="460"/>
    </row>
    <row r="118">
      <c r="A118" s="690"/>
      <c r="B118" s="701" t="s">
        <v>440</v>
      </c>
      <c r="C118" s="702" t="s">
        <v>416</v>
      </c>
      <c r="D118" s="703" t="s">
        <v>527</v>
      </c>
      <c r="E118" s="704">
        <v>2021.0</v>
      </c>
      <c r="F118" s="702" t="s">
        <v>418</v>
      </c>
      <c r="G118" s="702" t="s">
        <v>50</v>
      </c>
      <c r="H118" s="705">
        <v>5177.0</v>
      </c>
      <c r="I118" s="705">
        <v>5807.0</v>
      </c>
      <c r="J118" s="706">
        <v>4542.0</v>
      </c>
      <c r="K118" s="695"/>
      <c r="L118" s="707" t="s">
        <v>419</v>
      </c>
      <c r="M118" s="708" t="s">
        <v>486</v>
      </c>
      <c r="N118" s="708" t="s">
        <v>420</v>
      </c>
      <c r="O118" s="708" t="s">
        <v>421</v>
      </c>
      <c r="P118" s="708" t="s">
        <v>422</v>
      </c>
      <c r="Q118" s="708" t="s">
        <v>50</v>
      </c>
      <c r="R118" s="708">
        <v>2021.0</v>
      </c>
      <c r="S118" s="709">
        <v>5234.326911</v>
      </c>
      <c r="T118" s="709">
        <v>12383.72579</v>
      </c>
      <c r="U118" s="710">
        <v>1437.246637</v>
      </c>
      <c r="AH118" s="712" t="s">
        <v>424</v>
      </c>
      <c r="AI118" s="714" t="s">
        <v>530</v>
      </c>
      <c r="AJ118" s="714" t="s">
        <v>420</v>
      </c>
      <c r="AK118" s="714" t="s">
        <v>421</v>
      </c>
      <c r="AL118" s="714" t="s">
        <v>422</v>
      </c>
      <c r="AM118" s="714" t="s">
        <v>423</v>
      </c>
      <c r="AN118" s="715">
        <v>2021.0</v>
      </c>
      <c r="AO118" s="716">
        <v>1474.334949</v>
      </c>
      <c r="AP118" s="716">
        <v>2500.180511</v>
      </c>
      <c r="AQ118" s="717">
        <v>943.1626201</v>
      </c>
      <c r="AS118" s="707" t="s">
        <v>422</v>
      </c>
      <c r="AT118" s="708" t="s">
        <v>420</v>
      </c>
      <c r="AU118" s="708" t="s">
        <v>441</v>
      </c>
      <c r="AV118" s="708" t="s">
        <v>510</v>
      </c>
      <c r="AW118" s="708" t="s">
        <v>419</v>
      </c>
      <c r="AX118" s="708" t="s">
        <v>50</v>
      </c>
      <c r="AY118" s="708" t="s">
        <v>427</v>
      </c>
      <c r="AZ118" s="711" t="s">
        <v>428</v>
      </c>
      <c r="BA118" s="709">
        <v>501.5638838</v>
      </c>
      <c r="BB118" s="709">
        <v>209.460953</v>
      </c>
      <c r="BC118" s="709">
        <v>890.310888</v>
      </c>
      <c r="BD118" s="710" t="s">
        <v>429</v>
      </c>
      <c r="CE118" s="460"/>
    </row>
    <row r="119">
      <c r="A119" s="690"/>
      <c r="B119" s="712" t="s">
        <v>440</v>
      </c>
      <c r="C119" s="713" t="s">
        <v>416</v>
      </c>
      <c r="D119" s="714" t="s">
        <v>529</v>
      </c>
      <c r="E119" s="715">
        <v>2021.0</v>
      </c>
      <c r="F119" s="713" t="s">
        <v>418</v>
      </c>
      <c r="G119" s="713" t="s">
        <v>50</v>
      </c>
      <c r="H119" s="716">
        <v>1392.0</v>
      </c>
      <c r="I119" s="716">
        <v>1562.0</v>
      </c>
      <c r="J119" s="717">
        <v>1222.0</v>
      </c>
      <c r="K119" s="695"/>
      <c r="L119" s="707" t="s">
        <v>419</v>
      </c>
      <c r="M119" s="708" t="s">
        <v>486</v>
      </c>
      <c r="N119" s="708" t="s">
        <v>420</v>
      </c>
      <c r="O119" s="708" t="s">
        <v>432</v>
      </c>
      <c r="P119" s="708" t="s">
        <v>422</v>
      </c>
      <c r="Q119" s="708" t="s">
        <v>50</v>
      </c>
      <c r="R119" s="708">
        <v>2021.0</v>
      </c>
      <c r="S119" s="709">
        <v>0.0</v>
      </c>
      <c r="T119" s="709">
        <v>0.0</v>
      </c>
      <c r="U119" s="710">
        <v>0.0</v>
      </c>
      <c r="AH119" s="701" t="s">
        <v>424</v>
      </c>
      <c r="AI119" s="703" t="s">
        <v>530</v>
      </c>
      <c r="AJ119" s="703" t="s">
        <v>420</v>
      </c>
      <c r="AK119" s="703" t="s">
        <v>434</v>
      </c>
      <c r="AL119" s="703" t="s">
        <v>422</v>
      </c>
      <c r="AM119" s="703" t="s">
        <v>423</v>
      </c>
      <c r="AN119" s="704">
        <v>2021.0</v>
      </c>
      <c r="AO119" s="705">
        <v>1436.182847</v>
      </c>
      <c r="AP119" s="705">
        <v>1929.306478</v>
      </c>
      <c r="AQ119" s="706">
        <v>1071.574588</v>
      </c>
      <c r="AS119" s="707" t="s">
        <v>422</v>
      </c>
      <c r="AT119" s="708" t="s">
        <v>420</v>
      </c>
      <c r="AU119" s="708" t="s">
        <v>445</v>
      </c>
      <c r="AV119" s="708" t="s">
        <v>510</v>
      </c>
      <c r="AW119" s="708" t="s">
        <v>419</v>
      </c>
      <c r="AX119" s="708" t="s">
        <v>50</v>
      </c>
      <c r="AY119" s="708" t="s">
        <v>427</v>
      </c>
      <c r="AZ119" s="711" t="s">
        <v>428</v>
      </c>
      <c r="BA119" s="709">
        <v>3737.227801</v>
      </c>
      <c r="BB119" s="709">
        <v>1599.998573</v>
      </c>
      <c r="BC119" s="709">
        <v>7485.006413</v>
      </c>
      <c r="BD119" s="710" t="s">
        <v>429</v>
      </c>
      <c r="CE119" s="460"/>
    </row>
    <row r="120">
      <c r="A120" s="690"/>
      <c r="B120" s="701" t="s">
        <v>440</v>
      </c>
      <c r="C120" s="702" t="s">
        <v>416</v>
      </c>
      <c r="D120" s="703" t="s">
        <v>443</v>
      </c>
      <c r="E120" s="704">
        <v>2021.0</v>
      </c>
      <c r="F120" s="702" t="s">
        <v>418</v>
      </c>
      <c r="G120" s="702" t="s">
        <v>50</v>
      </c>
      <c r="H120" s="705">
        <v>1.3499175E7</v>
      </c>
      <c r="I120" s="705">
        <v>1.5141762E7</v>
      </c>
      <c r="J120" s="706">
        <v>1.1844121E7</v>
      </c>
      <c r="K120" s="695"/>
      <c r="L120" s="707" t="s">
        <v>419</v>
      </c>
      <c r="M120" s="708" t="s">
        <v>486</v>
      </c>
      <c r="N120" s="708" t="s">
        <v>420</v>
      </c>
      <c r="O120" s="708" t="s">
        <v>439</v>
      </c>
      <c r="P120" s="708" t="s">
        <v>422</v>
      </c>
      <c r="Q120" s="708" t="s">
        <v>50</v>
      </c>
      <c r="R120" s="708">
        <v>2021.0</v>
      </c>
      <c r="S120" s="709">
        <v>398.1038587</v>
      </c>
      <c r="T120" s="709">
        <v>914.8940435</v>
      </c>
      <c r="U120" s="710">
        <v>111.7638824</v>
      </c>
      <c r="AH120" s="712" t="s">
        <v>424</v>
      </c>
      <c r="AI120" s="714" t="s">
        <v>530</v>
      </c>
      <c r="AJ120" s="714" t="s">
        <v>420</v>
      </c>
      <c r="AK120" s="714" t="s">
        <v>417</v>
      </c>
      <c r="AL120" s="714" t="s">
        <v>422</v>
      </c>
      <c r="AM120" s="714" t="s">
        <v>423</v>
      </c>
      <c r="AN120" s="715">
        <v>2021.0</v>
      </c>
      <c r="AO120" s="716">
        <v>1025.627701</v>
      </c>
      <c r="AP120" s="716">
        <v>1769.193798</v>
      </c>
      <c r="AQ120" s="717">
        <v>645.8563357</v>
      </c>
      <c r="AS120" s="707" t="s">
        <v>422</v>
      </c>
      <c r="AT120" s="708" t="s">
        <v>420</v>
      </c>
      <c r="AU120" s="708" t="s">
        <v>425</v>
      </c>
      <c r="AV120" s="708" t="s">
        <v>513</v>
      </c>
      <c r="AW120" s="708" t="s">
        <v>419</v>
      </c>
      <c r="AX120" s="708" t="s">
        <v>50</v>
      </c>
      <c r="AY120" s="708" t="s">
        <v>427</v>
      </c>
      <c r="AZ120" s="711" t="s">
        <v>428</v>
      </c>
      <c r="BA120" s="709">
        <v>1465.715</v>
      </c>
      <c r="BB120" s="709">
        <v>756.7389612</v>
      </c>
      <c r="BC120" s="709">
        <v>2260.725602</v>
      </c>
      <c r="BD120" s="710" t="s">
        <v>429</v>
      </c>
      <c r="CE120" s="460"/>
    </row>
    <row r="121">
      <c r="A121" s="690"/>
      <c r="B121" s="712" t="s">
        <v>444</v>
      </c>
      <c r="C121" s="713" t="s">
        <v>416</v>
      </c>
      <c r="D121" s="714" t="s">
        <v>417</v>
      </c>
      <c r="E121" s="715">
        <v>2021.0</v>
      </c>
      <c r="F121" s="713" t="s">
        <v>418</v>
      </c>
      <c r="G121" s="713" t="s">
        <v>50</v>
      </c>
      <c r="H121" s="716">
        <v>12216.0</v>
      </c>
      <c r="I121" s="716">
        <v>13283.0</v>
      </c>
      <c r="J121" s="717">
        <v>11057.0</v>
      </c>
      <c r="K121" s="695"/>
      <c r="L121" s="707" t="s">
        <v>419</v>
      </c>
      <c r="M121" s="708" t="s">
        <v>486</v>
      </c>
      <c r="N121" s="708" t="s">
        <v>420</v>
      </c>
      <c r="O121" s="708" t="s">
        <v>443</v>
      </c>
      <c r="P121" s="708" t="s">
        <v>422</v>
      </c>
      <c r="Q121" s="708" t="s">
        <v>50</v>
      </c>
      <c r="R121" s="708">
        <v>2021.0</v>
      </c>
      <c r="S121" s="709">
        <v>6054.430045</v>
      </c>
      <c r="T121" s="709">
        <v>14426.50067</v>
      </c>
      <c r="U121" s="710">
        <v>1638.78735</v>
      </c>
      <c r="AH121" s="701" t="s">
        <v>424</v>
      </c>
      <c r="AI121" s="703" t="s">
        <v>531</v>
      </c>
      <c r="AJ121" s="703" t="s">
        <v>420</v>
      </c>
      <c r="AK121" s="703" t="s">
        <v>421</v>
      </c>
      <c r="AL121" s="703" t="s">
        <v>422</v>
      </c>
      <c r="AM121" s="703" t="s">
        <v>423</v>
      </c>
      <c r="AN121" s="704">
        <v>2021.0</v>
      </c>
      <c r="AO121" s="705">
        <v>7979.384045</v>
      </c>
      <c r="AP121" s="705">
        <v>13745.13265</v>
      </c>
      <c r="AQ121" s="706">
        <v>2742.963163</v>
      </c>
      <c r="AS121" s="707" t="s">
        <v>422</v>
      </c>
      <c r="AT121" s="708" t="s">
        <v>420</v>
      </c>
      <c r="AU121" s="708" t="s">
        <v>435</v>
      </c>
      <c r="AV121" s="708" t="s">
        <v>513</v>
      </c>
      <c r="AW121" s="708" t="s">
        <v>419</v>
      </c>
      <c r="AX121" s="708" t="s">
        <v>50</v>
      </c>
      <c r="AY121" s="708" t="s">
        <v>427</v>
      </c>
      <c r="AZ121" s="711" t="s">
        <v>428</v>
      </c>
      <c r="BA121" s="709">
        <v>131.1416201</v>
      </c>
      <c r="BB121" s="709">
        <v>51.20151019</v>
      </c>
      <c r="BC121" s="709">
        <v>257.573192</v>
      </c>
      <c r="BD121" s="710" t="s">
        <v>429</v>
      </c>
      <c r="CE121" s="460"/>
    </row>
    <row r="122">
      <c r="A122" s="690"/>
      <c r="B122" s="701" t="s">
        <v>444</v>
      </c>
      <c r="C122" s="702" t="s">
        <v>416</v>
      </c>
      <c r="D122" s="703" t="s">
        <v>431</v>
      </c>
      <c r="E122" s="704">
        <v>2021.0</v>
      </c>
      <c r="F122" s="702" t="s">
        <v>418</v>
      </c>
      <c r="G122" s="702" t="s">
        <v>50</v>
      </c>
      <c r="H122" s="705">
        <v>254976.0</v>
      </c>
      <c r="I122" s="705">
        <v>277228.0</v>
      </c>
      <c r="J122" s="706">
        <v>230777.0</v>
      </c>
      <c r="K122" s="695"/>
      <c r="L122" s="707" t="s">
        <v>419</v>
      </c>
      <c r="M122" s="708" t="s">
        <v>486</v>
      </c>
      <c r="N122" s="708" t="s">
        <v>420</v>
      </c>
      <c r="O122" s="708" t="s">
        <v>417</v>
      </c>
      <c r="P122" s="708" t="s">
        <v>422</v>
      </c>
      <c r="Q122" s="708" t="s">
        <v>50</v>
      </c>
      <c r="R122" s="708">
        <v>2021.0</v>
      </c>
      <c r="S122" s="709">
        <v>2520.938194</v>
      </c>
      <c r="T122" s="709">
        <v>5952.462739</v>
      </c>
      <c r="U122" s="710">
        <v>706.5673236</v>
      </c>
      <c r="AH122" s="712" t="s">
        <v>424</v>
      </c>
      <c r="AI122" s="714" t="s">
        <v>531</v>
      </c>
      <c r="AJ122" s="714" t="s">
        <v>420</v>
      </c>
      <c r="AK122" s="714" t="s">
        <v>434</v>
      </c>
      <c r="AL122" s="714" t="s">
        <v>422</v>
      </c>
      <c r="AM122" s="714" t="s">
        <v>423</v>
      </c>
      <c r="AN122" s="715">
        <v>2021.0</v>
      </c>
      <c r="AO122" s="716">
        <v>4114.007429</v>
      </c>
      <c r="AP122" s="716">
        <v>6215.672425</v>
      </c>
      <c r="AQ122" s="717">
        <v>2857.568043</v>
      </c>
      <c r="AS122" s="707" t="s">
        <v>422</v>
      </c>
      <c r="AT122" s="708" t="s">
        <v>420</v>
      </c>
      <c r="AU122" s="708" t="s">
        <v>441</v>
      </c>
      <c r="AV122" s="708" t="s">
        <v>513</v>
      </c>
      <c r="AW122" s="708" t="s">
        <v>419</v>
      </c>
      <c r="AX122" s="708" t="s">
        <v>50</v>
      </c>
      <c r="AY122" s="708" t="s">
        <v>427</v>
      </c>
      <c r="AZ122" s="711" t="s">
        <v>428</v>
      </c>
      <c r="BA122" s="709">
        <v>576.7310788</v>
      </c>
      <c r="BB122" s="709">
        <v>279.9130011</v>
      </c>
      <c r="BC122" s="709">
        <v>890.1461527</v>
      </c>
      <c r="BD122" s="710" t="s">
        <v>429</v>
      </c>
      <c r="CE122" s="460"/>
    </row>
    <row r="123">
      <c r="A123" s="690"/>
      <c r="B123" s="712" t="s">
        <v>444</v>
      </c>
      <c r="C123" s="713" t="s">
        <v>416</v>
      </c>
      <c r="D123" s="714" t="s">
        <v>438</v>
      </c>
      <c r="E123" s="715">
        <v>2021.0</v>
      </c>
      <c r="F123" s="713" t="s">
        <v>418</v>
      </c>
      <c r="G123" s="713" t="s">
        <v>50</v>
      </c>
      <c r="H123" s="716">
        <v>942.0</v>
      </c>
      <c r="I123" s="716">
        <v>1024.0</v>
      </c>
      <c r="J123" s="717">
        <v>853.0</v>
      </c>
      <c r="K123" s="695"/>
      <c r="L123" s="707" t="s">
        <v>419</v>
      </c>
      <c r="M123" s="708" t="s">
        <v>486</v>
      </c>
      <c r="N123" s="708" t="s">
        <v>420</v>
      </c>
      <c r="O123" s="708" t="s">
        <v>438</v>
      </c>
      <c r="P123" s="708" t="s">
        <v>422</v>
      </c>
      <c r="Q123" s="708" t="s">
        <v>50</v>
      </c>
      <c r="R123" s="708">
        <v>2021.0</v>
      </c>
      <c r="S123" s="709">
        <v>398.1038587</v>
      </c>
      <c r="T123" s="709">
        <v>914.8940435</v>
      </c>
      <c r="U123" s="710">
        <v>111.7638824</v>
      </c>
      <c r="AH123" s="701" t="s">
        <v>424</v>
      </c>
      <c r="AI123" s="703" t="s">
        <v>531</v>
      </c>
      <c r="AJ123" s="703" t="s">
        <v>420</v>
      </c>
      <c r="AK123" s="703" t="s">
        <v>417</v>
      </c>
      <c r="AL123" s="703" t="s">
        <v>422</v>
      </c>
      <c r="AM123" s="703" t="s">
        <v>423</v>
      </c>
      <c r="AN123" s="704">
        <v>2021.0</v>
      </c>
      <c r="AO123" s="705">
        <v>5610.386601</v>
      </c>
      <c r="AP123" s="705">
        <v>9711.855495</v>
      </c>
      <c r="AQ123" s="706">
        <v>1691.862402</v>
      </c>
      <c r="AS123" s="707" t="s">
        <v>422</v>
      </c>
      <c r="AT123" s="708" t="s">
        <v>420</v>
      </c>
      <c r="AU123" s="708" t="s">
        <v>445</v>
      </c>
      <c r="AV123" s="708" t="s">
        <v>513</v>
      </c>
      <c r="AW123" s="708" t="s">
        <v>419</v>
      </c>
      <c r="AX123" s="708" t="s">
        <v>50</v>
      </c>
      <c r="AY123" s="708" t="s">
        <v>427</v>
      </c>
      <c r="AZ123" s="711" t="s">
        <v>428</v>
      </c>
      <c r="BA123" s="709">
        <v>5147.318112</v>
      </c>
      <c r="BB123" s="709">
        <v>2454.541118</v>
      </c>
      <c r="BC123" s="709">
        <v>8847.10465</v>
      </c>
      <c r="BD123" s="710" t="s">
        <v>429</v>
      </c>
      <c r="CE123" s="460"/>
    </row>
    <row r="124">
      <c r="A124" s="690"/>
      <c r="B124" s="701" t="s">
        <v>444</v>
      </c>
      <c r="C124" s="702" t="s">
        <v>416</v>
      </c>
      <c r="D124" s="703" t="s">
        <v>421</v>
      </c>
      <c r="E124" s="704">
        <v>2021.0</v>
      </c>
      <c r="F124" s="702" t="s">
        <v>418</v>
      </c>
      <c r="G124" s="702" t="s">
        <v>50</v>
      </c>
      <c r="H124" s="705">
        <v>61030.0</v>
      </c>
      <c r="I124" s="705">
        <v>66357.0</v>
      </c>
      <c r="J124" s="706">
        <v>55238.0</v>
      </c>
      <c r="K124" s="695"/>
      <c r="L124" s="707" t="s">
        <v>419</v>
      </c>
      <c r="M124" s="708" t="s">
        <v>489</v>
      </c>
      <c r="N124" s="708" t="s">
        <v>420</v>
      </c>
      <c r="O124" s="708" t="s">
        <v>421</v>
      </c>
      <c r="P124" s="708" t="s">
        <v>422</v>
      </c>
      <c r="Q124" s="708" t="s">
        <v>50</v>
      </c>
      <c r="R124" s="708">
        <v>2021.0</v>
      </c>
      <c r="S124" s="709">
        <v>245.811162</v>
      </c>
      <c r="T124" s="709">
        <v>490.7508689</v>
      </c>
      <c r="U124" s="710">
        <v>83.91464533</v>
      </c>
      <c r="AH124" s="712" t="s">
        <v>424</v>
      </c>
      <c r="AI124" s="714" t="s">
        <v>532</v>
      </c>
      <c r="AJ124" s="714" t="s">
        <v>420</v>
      </c>
      <c r="AK124" s="714" t="s">
        <v>421</v>
      </c>
      <c r="AL124" s="714" t="s">
        <v>422</v>
      </c>
      <c r="AM124" s="714" t="s">
        <v>423</v>
      </c>
      <c r="AN124" s="715">
        <v>2021.0</v>
      </c>
      <c r="AO124" s="716">
        <v>1306.067069</v>
      </c>
      <c r="AP124" s="716">
        <v>1617.315225</v>
      </c>
      <c r="AQ124" s="717">
        <v>1047.074634</v>
      </c>
      <c r="AS124" s="707" t="s">
        <v>422</v>
      </c>
      <c r="AT124" s="708" t="s">
        <v>420</v>
      </c>
      <c r="AU124" s="708" t="s">
        <v>425</v>
      </c>
      <c r="AV124" s="708" t="s">
        <v>121</v>
      </c>
      <c r="AW124" s="708" t="s">
        <v>419</v>
      </c>
      <c r="AX124" s="708" t="s">
        <v>50</v>
      </c>
      <c r="AY124" s="708" t="s">
        <v>427</v>
      </c>
      <c r="AZ124" s="711" t="s">
        <v>428</v>
      </c>
      <c r="BA124" s="709">
        <v>2153.286251</v>
      </c>
      <c r="BB124" s="709">
        <v>1133.123429</v>
      </c>
      <c r="BC124" s="709">
        <v>3469.868759</v>
      </c>
      <c r="BD124" s="710" t="s">
        <v>429</v>
      </c>
      <c r="CE124" s="460"/>
    </row>
    <row r="125">
      <c r="A125" s="690"/>
      <c r="B125" s="712" t="s">
        <v>444</v>
      </c>
      <c r="C125" s="713" t="s">
        <v>416</v>
      </c>
      <c r="D125" s="714" t="s">
        <v>447</v>
      </c>
      <c r="E125" s="715">
        <v>2021.0</v>
      </c>
      <c r="F125" s="713" t="s">
        <v>418</v>
      </c>
      <c r="G125" s="713" t="s">
        <v>50</v>
      </c>
      <c r="H125" s="716">
        <v>187166.0</v>
      </c>
      <c r="I125" s="716">
        <v>203501.0</v>
      </c>
      <c r="J125" s="717">
        <v>169403.0</v>
      </c>
      <c r="K125" s="695"/>
      <c r="L125" s="707" t="s">
        <v>419</v>
      </c>
      <c r="M125" s="708" t="s">
        <v>489</v>
      </c>
      <c r="N125" s="708" t="s">
        <v>420</v>
      </c>
      <c r="O125" s="708" t="s">
        <v>432</v>
      </c>
      <c r="P125" s="708" t="s">
        <v>422</v>
      </c>
      <c r="Q125" s="708" t="s">
        <v>50</v>
      </c>
      <c r="R125" s="708">
        <v>2021.0</v>
      </c>
      <c r="S125" s="709">
        <v>0.0</v>
      </c>
      <c r="T125" s="709">
        <v>0.0</v>
      </c>
      <c r="U125" s="710">
        <v>0.0</v>
      </c>
      <c r="AH125" s="701" t="s">
        <v>424</v>
      </c>
      <c r="AI125" s="703" t="s">
        <v>532</v>
      </c>
      <c r="AJ125" s="703" t="s">
        <v>420</v>
      </c>
      <c r="AK125" s="703" t="s">
        <v>434</v>
      </c>
      <c r="AL125" s="703" t="s">
        <v>422</v>
      </c>
      <c r="AM125" s="703" t="s">
        <v>423</v>
      </c>
      <c r="AN125" s="704">
        <v>2021.0</v>
      </c>
      <c r="AO125" s="705">
        <v>1559.117823</v>
      </c>
      <c r="AP125" s="705">
        <v>1843.987403</v>
      </c>
      <c r="AQ125" s="706">
        <v>1312.700375</v>
      </c>
      <c r="AS125" s="707" t="s">
        <v>422</v>
      </c>
      <c r="AT125" s="708" t="s">
        <v>420</v>
      </c>
      <c r="AU125" s="708" t="s">
        <v>435</v>
      </c>
      <c r="AV125" s="708" t="s">
        <v>121</v>
      </c>
      <c r="AW125" s="708" t="s">
        <v>419</v>
      </c>
      <c r="AX125" s="708" t="s">
        <v>50</v>
      </c>
      <c r="AY125" s="708" t="s">
        <v>427</v>
      </c>
      <c r="AZ125" s="711" t="s">
        <v>428</v>
      </c>
      <c r="BA125" s="709">
        <v>117.5898727</v>
      </c>
      <c r="BB125" s="709">
        <v>47.88730653</v>
      </c>
      <c r="BC125" s="709">
        <v>198.500106</v>
      </c>
      <c r="BD125" s="710" t="s">
        <v>429</v>
      </c>
      <c r="CE125" s="460"/>
    </row>
    <row r="126">
      <c r="A126" s="690"/>
      <c r="B126" s="701" t="s">
        <v>444</v>
      </c>
      <c r="C126" s="702" t="s">
        <v>416</v>
      </c>
      <c r="D126" s="703" t="s">
        <v>432</v>
      </c>
      <c r="E126" s="704">
        <v>2021.0</v>
      </c>
      <c r="F126" s="702" t="s">
        <v>418</v>
      </c>
      <c r="G126" s="702" t="s">
        <v>50</v>
      </c>
      <c r="H126" s="705">
        <v>237.0</v>
      </c>
      <c r="I126" s="705">
        <v>258.0</v>
      </c>
      <c r="J126" s="706">
        <v>215.0</v>
      </c>
      <c r="K126" s="695"/>
      <c r="L126" s="707" t="s">
        <v>419</v>
      </c>
      <c r="M126" s="708" t="s">
        <v>489</v>
      </c>
      <c r="N126" s="708" t="s">
        <v>420</v>
      </c>
      <c r="O126" s="708" t="s">
        <v>439</v>
      </c>
      <c r="P126" s="708" t="s">
        <v>422</v>
      </c>
      <c r="Q126" s="708" t="s">
        <v>50</v>
      </c>
      <c r="R126" s="708">
        <v>2021.0</v>
      </c>
      <c r="S126" s="709">
        <v>24.28137406</v>
      </c>
      <c r="T126" s="709">
        <v>55.62049684</v>
      </c>
      <c r="U126" s="710">
        <v>9.165933844</v>
      </c>
      <c r="AH126" s="712" t="s">
        <v>424</v>
      </c>
      <c r="AI126" s="714" t="s">
        <v>532</v>
      </c>
      <c r="AJ126" s="714" t="s">
        <v>420</v>
      </c>
      <c r="AK126" s="714" t="s">
        <v>417</v>
      </c>
      <c r="AL126" s="714" t="s">
        <v>422</v>
      </c>
      <c r="AM126" s="714" t="s">
        <v>423</v>
      </c>
      <c r="AN126" s="715">
        <v>2021.0</v>
      </c>
      <c r="AO126" s="716">
        <v>899.5948541</v>
      </c>
      <c r="AP126" s="716">
        <v>1115.957227</v>
      </c>
      <c r="AQ126" s="717">
        <v>719.7994933</v>
      </c>
      <c r="AS126" s="707" t="s">
        <v>422</v>
      </c>
      <c r="AT126" s="708" t="s">
        <v>420</v>
      </c>
      <c r="AU126" s="708" t="s">
        <v>441</v>
      </c>
      <c r="AV126" s="708" t="s">
        <v>121</v>
      </c>
      <c r="AW126" s="708" t="s">
        <v>419</v>
      </c>
      <c r="AX126" s="708" t="s">
        <v>50</v>
      </c>
      <c r="AY126" s="708" t="s">
        <v>427</v>
      </c>
      <c r="AZ126" s="711" t="s">
        <v>428</v>
      </c>
      <c r="BA126" s="709">
        <v>751.4804856</v>
      </c>
      <c r="BB126" s="709">
        <v>381.0200393</v>
      </c>
      <c r="BC126" s="709">
        <v>1211.680672</v>
      </c>
      <c r="BD126" s="710" t="s">
        <v>429</v>
      </c>
      <c r="CE126" s="460"/>
    </row>
    <row r="127">
      <c r="A127" s="690"/>
      <c r="B127" s="712" t="s">
        <v>444</v>
      </c>
      <c r="C127" s="713" t="s">
        <v>416</v>
      </c>
      <c r="D127" s="714" t="s">
        <v>450</v>
      </c>
      <c r="E127" s="715">
        <v>2021.0</v>
      </c>
      <c r="F127" s="713" t="s">
        <v>418</v>
      </c>
      <c r="G127" s="713" t="s">
        <v>50</v>
      </c>
      <c r="H127" s="716">
        <v>64748.0</v>
      </c>
      <c r="I127" s="716">
        <v>70398.0</v>
      </c>
      <c r="J127" s="717">
        <v>58603.0</v>
      </c>
      <c r="K127" s="695"/>
      <c r="L127" s="707" t="s">
        <v>419</v>
      </c>
      <c r="M127" s="708" t="s">
        <v>489</v>
      </c>
      <c r="N127" s="708" t="s">
        <v>420</v>
      </c>
      <c r="O127" s="708" t="s">
        <v>443</v>
      </c>
      <c r="P127" s="708" t="s">
        <v>422</v>
      </c>
      <c r="Q127" s="708" t="s">
        <v>50</v>
      </c>
      <c r="R127" s="708">
        <v>2021.0</v>
      </c>
      <c r="S127" s="709">
        <v>747.468367</v>
      </c>
      <c r="T127" s="709">
        <v>1859.592127</v>
      </c>
      <c r="U127" s="710">
        <v>233.2729489</v>
      </c>
      <c r="AH127" s="701" t="s">
        <v>424</v>
      </c>
      <c r="AI127" s="703" t="s">
        <v>533</v>
      </c>
      <c r="AJ127" s="703" t="s">
        <v>420</v>
      </c>
      <c r="AK127" s="703" t="s">
        <v>421</v>
      </c>
      <c r="AL127" s="703" t="s">
        <v>422</v>
      </c>
      <c r="AM127" s="703" t="s">
        <v>423</v>
      </c>
      <c r="AN127" s="704">
        <v>2021.0</v>
      </c>
      <c r="AO127" s="705">
        <v>6177.856316</v>
      </c>
      <c r="AP127" s="705">
        <v>7613.824217</v>
      </c>
      <c r="AQ127" s="706">
        <v>4843.824904</v>
      </c>
      <c r="AS127" s="707" t="s">
        <v>422</v>
      </c>
      <c r="AT127" s="708" t="s">
        <v>420</v>
      </c>
      <c r="AU127" s="708" t="s">
        <v>445</v>
      </c>
      <c r="AV127" s="708" t="s">
        <v>121</v>
      </c>
      <c r="AW127" s="708" t="s">
        <v>419</v>
      </c>
      <c r="AX127" s="708" t="s">
        <v>50</v>
      </c>
      <c r="AY127" s="708" t="s">
        <v>427</v>
      </c>
      <c r="AZ127" s="711" t="s">
        <v>428</v>
      </c>
      <c r="BA127" s="709">
        <v>6495.373611</v>
      </c>
      <c r="BB127" s="709">
        <v>3189.575504</v>
      </c>
      <c r="BC127" s="709">
        <v>11291.4647</v>
      </c>
      <c r="BD127" s="710" t="s">
        <v>429</v>
      </c>
      <c r="CE127" s="460"/>
    </row>
    <row r="128">
      <c r="A128" s="690"/>
      <c r="B128" s="701" t="s">
        <v>444</v>
      </c>
      <c r="C128" s="702" t="s">
        <v>416</v>
      </c>
      <c r="D128" s="703" t="s">
        <v>453</v>
      </c>
      <c r="E128" s="704">
        <v>2021.0</v>
      </c>
      <c r="F128" s="702" t="s">
        <v>418</v>
      </c>
      <c r="G128" s="702" t="s">
        <v>50</v>
      </c>
      <c r="H128" s="705">
        <v>132557.0</v>
      </c>
      <c r="I128" s="705">
        <v>144126.0</v>
      </c>
      <c r="J128" s="706">
        <v>119977.0</v>
      </c>
      <c r="K128" s="695"/>
      <c r="L128" s="707" t="s">
        <v>419</v>
      </c>
      <c r="M128" s="708" t="s">
        <v>489</v>
      </c>
      <c r="N128" s="708" t="s">
        <v>420</v>
      </c>
      <c r="O128" s="708" t="s">
        <v>417</v>
      </c>
      <c r="P128" s="708" t="s">
        <v>422</v>
      </c>
      <c r="Q128" s="708" t="s">
        <v>50</v>
      </c>
      <c r="R128" s="708">
        <v>2021.0</v>
      </c>
      <c r="S128" s="709">
        <v>122.9160455</v>
      </c>
      <c r="T128" s="709">
        <v>254.1764357</v>
      </c>
      <c r="U128" s="710">
        <v>41.87822055</v>
      </c>
      <c r="AH128" s="712" t="s">
        <v>424</v>
      </c>
      <c r="AI128" s="714" t="s">
        <v>533</v>
      </c>
      <c r="AJ128" s="714" t="s">
        <v>420</v>
      </c>
      <c r="AK128" s="714" t="s">
        <v>434</v>
      </c>
      <c r="AL128" s="714" t="s">
        <v>422</v>
      </c>
      <c r="AM128" s="714" t="s">
        <v>423</v>
      </c>
      <c r="AN128" s="715">
        <v>2021.0</v>
      </c>
      <c r="AO128" s="716">
        <v>5231.188031</v>
      </c>
      <c r="AP128" s="716">
        <v>6178.277472</v>
      </c>
      <c r="AQ128" s="717">
        <v>4325.337151</v>
      </c>
      <c r="AS128" s="707" t="s">
        <v>422</v>
      </c>
      <c r="AT128" s="708" t="s">
        <v>420</v>
      </c>
      <c r="AU128" s="708" t="s">
        <v>425</v>
      </c>
      <c r="AV128" s="708" t="s">
        <v>122</v>
      </c>
      <c r="AW128" s="708" t="s">
        <v>419</v>
      </c>
      <c r="AX128" s="708" t="s">
        <v>50</v>
      </c>
      <c r="AY128" s="708" t="s">
        <v>427</v>
      </c>
      <c r="AZ128" s="711" t="s">
        <v>428</v>
      </c>
      <c r="BA128" s="709">
        <v>4770.056621</v>
      </c>
      <c r="BB128" s="709">
        <v>1910.299919</v>
      </c>
      <c r="BC128" s="709">
        <v>9243.495658</v>
      </c>
      <c r="BD128" s="710" t="s">
        <v>429</v>
      </c>
      <c r="CE128" s="460"/>
    </row>
    <row r="129">
      <c r="A129" s="690"/>
      <c r="B129" s="712" t="s">
        <v>444</v>
      </c>
      <c r="C129" s="713" t="s">
        <v>416</v>
      </c>
      <c r="D129" s="714" t="s">
        <v>454</v>
      </c>
      <c r="E129" s="715">
        <v>2021.0</v>
      </c>
      <c r="F129" s="713" t="s">
        <v>418</v>
      </c>
      <c r="G129" s="713" t="s">
        <v>50</v>
      </c>
      <c r="H129" s="716">
        <v>204698.0</v>
      </c>
      <c r="I129" s="716">
        <v>222562.0</v>
      </c>
      <c r="J129" s="717">
        <v>185271.0</v>
      </c>
      <c r="K129" s="695"/>
      <c r="L129" s="707" t="s">
        <v>419</v>
      </c>
      <c r="M129" s="708" t="s">
        <v>489</v>
      </c>
      <c r="N129" s="708" t="s">
        <v>420</v>
      </c>
      <c r="O129" s="708" t="s">
        <v>438</v>
      </c>
      <c r="P129" s="708" t="s">
        <v>422</v>
      </c>
      <c r="Q129" s="708" t="s">
        <v>50</v>
      </c>
      <c r="R129" s="708">
        <v>2021.0</v>
      </c>
      <c r="S129" s="709">
        <v>24.28137406</v>
      </c>
      <c r="T129" s="709">
        <v>55.62049684</v>
      </c>
      <c r="U129" s="710">
        <v>9.165933844</v>
      </c>
      <c r="AH129" s="701" t="s">
        <v>424</v>
      </c>
      <c r="AI129" s="703" t="s">
        <v>533</v>
      </c>
      <c r="AJ129" s="703" t="s">
        <v>420</v>
      </c>
      <c r="AK129" s="703" t="s">
        <v>417</v>
      </c>
      <c r="AL129" s="703" t="s">
        <v>422</v>
      </c>
      <c r="AM129" s="703" t="s">
        <v>423</v>
      </c>
      <c r="AN129" s="704">
        <v>2021.0</v>
      </c>
      <c r="AO129" s="705">
        <v>4327.013801</v>
      </c>
      <c r="AP129" s="705">
        <v>5340.066473</v>
      </c>
      <c r="AQ129" s="706">
        <v>3386.681758</v>
      </c>
      <c r="AS129" s="707" t="s">
        <v>422</v>
      </c>
      <c r="AT129" s="708" t="s">
        <v>420</v>
      </c>
      <c r="AU129" s="708" t="s">
        <v>435</v>
      </c>
      <c r="AV129" s="708" t="s">
        <v>122</v>
      </c>
      <c r="AW129" s="708" t="s">
        <v>419</v>
      </c>
      <c r="AX129" s="708" t="s">
        <v>50</v>
      </c>
      <c r="AY129" s="708" t="s">
        <v>427</v>
      </c>
      <c r="AZ129" s="711" t="s">
        <v>428</v>
      </c>
      <c r="BA129" s="709">
        <v>256.0142374</v>
      </c>
      <c r="BB129" s="709">
        <v>68.73336194</v>
      </c>
      <c r="BC129" s="709">
        <v>635.801372</v>
      </c>
      <c r="BD129" s="710" t="s">
        <v>429</v>
      </c>
      <c r="CE129" s="460"/>
    </row>
    <row r="130">
      <c r="A130" s="690"/>
      <c r="B130" s="701" t="s">
        <v>444</v>
      </c>
      <c r="C130" s="702" t="s">
        <v>416</v>
      </c>
      <c r="D130" s="703" t="s">
        <v>457</v>
      </c>
      <c r="E130" s="704">
        <v>2021.0</v>
      </c>
      <c r="F130" s="702" t="s">
        <v>418</v>
      </c>
      <c r="G130" s="702" t="s">
        <v>50</v>
      </c>
      <c r="H130" s="705">
        <v>12189.0</v>
      </c>
      <c r="I130" s="705">
        <v>13252.0</v>
      </c>
      <c r="J130" s="706">
        <v>11032.0</v>
      </c>
      <c r="K130" s="695"/>
      <c r="L130" s="707" t="s">
        <v>419</v>
      </c>
      <c r="M130" s="708" t="s">
        <v>492</v>
      </c>
      <c r="N130" s="708" t="s">
        <v>420</v>
      </c>
      <c r="O130" s="708" t="s">
        <v>421</v>
      </c>
      <c r="P130" s="708" t="s">
        <v>422</v>
      </c>
      <c r="Q130" s="708" t="s">
        <v>50</v>
      </c>
      <c r="R130" s="708">
        <v>2021.0</v>
      </c>
      <c r="S130" s="709">
        <v>117.4128382</v>
      </c>
      <c r="T130" s="709">
        <v>186.0340061</v>
      </c>
      <c r="U130" s="710">
        <v>71.55865147</v>
      </c>
      <c r="AH130" s="712" t="s">
        <v>424</v>
      </c>
      <c r="AI130" s="714" t="s">
        <v>534</v>
      </c>
      <c r="AJ130" s="714" t="s">
        <v>420</v>
      </c>
      <c r="AK130" s="714" t="s">
        <v>421</v>
      </c>
      <c r="AL130" s="714" t="s">
        <v>422</v>
      </c>
      <c r="AM130" s="714" t="s">
        <v>423</v>
      </c>
      <c r="AN130" s="715">
        <v>2021.0</v>
      </c>
      <c r="AO130" s="716">
        <v>93117.49505</v>
      </c>
      <c r="AP130" s="716">
        <v>151243.5803</v>
      </c>
      <c r="AQ130" s="717">
        <v>37381.30771</v>
      </c>
      <c r="AS130" s="707" t="s">
        <v>422</v>
      </c>
      <c r="AT130" s="708" t="s">
        <v>420</v>
      </c>
      <c r="AU130" s="708" t="s">
        <v>441</v>
      </c>
      <c r="AV130" s="708" t="s">
        <v>122</v>
      </c>
      <c r="AW130" s="708" t="s">
        <v>419</v>
      </c>
      <c r="AX130" s="708" t="s">
        <v>50</v>
      </c>
      <c r="AY130" s="708" t="s">
        <v>427</v>
      </c>
      <c r="AZ130" s="711" t="s">
        <v>428</v>
      </c>
      <c r="BA130" s="709">
        <v>1789.39109</v>
      </c>
      <c r="BB130" s="709">
        <v>628.7148836</v>
      </c>
      <c r="BC130" s="709">
        <v>3864.446282</v>
      </c>
      <c r="BD130" s="710" t="s">
        <v>429</v>
      </c>
      <c r="CE130" s="460"/>
    </row>
    <row r="131">
      <c r="A131" s="690"/>
      <c r="B131" s="712" t="s">
        <v>444</v>
      </c>
      <c r="C131" s="713" t="s">
        <v>416</v>
      </c>
      <c r="D131" s="714" t="s">
        <v>460</v>
      </c>
      <c r="E131" s="715">
        <v>2021.0</v>
      </c>
      <c r="F131" s="713" t="s">
        <v>418</v>
      </c>
      <c r="G131" s="713" t="s">
        <v>50</v>
      </c>
      <c r="H131" s="716">
        <v>5189.0</v>
      </c>
      <c r="I131" s="716">
        <v>5642.0</v>
      </c>
      <c r="J131" s="717">
        <v>4696.0</v>
      </c>
      <c r="K131" s="695"/>
      <c r="L131" s="707" t="s">
        <v>419</v>
      </c>
      <c r="M131" s="708" t="s">
        <v>492</v>
      </c>
      <c r="N131" s="708" t="s">
        <v>420</v>
      </c>
      <c r="O131" s="708" t="s">
        <v>432</v>
      </c>
      <c r="P131" s="708" t="s">
        <v>422</v>
      </c>
      <c r="Q131" s="708" t="s">
        <v>50</v>
      </c>
      <c r="R131" s="708">
        <v>2021.0</v>
      </c>
      <c r="S131" s="709">
        <v>0.0</v>
      </c>
      <c r="T131" s="709">
        <v>0.0</v>
      </c>
      <c r="U131" s="710">
        <v>0.0</v>
      </c>
      <c r="AH131" s="701" t="s">
        <v>424</v>
      </c>
      <c r="AI131" s="703" t="s">
        <v>534</v>
      </c>
      <c r="AJ131" s="703" t="s">
        <v>420</v>
      </c>
      <c r="AK131" s="703" t="s">
        <v>434</v>
      </c>
      <c r="AL131" s="703" t="s">
        <v>422</v>
      </c>
      <c r="AM131" s="703" t="s">
        <v>423</v>
      </c>
      <c r="AN131" s="704">
        <v>2021.0</v>
      </c>
      <c r="AO131" s="705">
        <v>38239.49981</v>
      </c>
      <c r="AP131" s="705">
        <v>73506.2527</v>
      </c>
      <c r="AQ131" s="706">
        <v>18640.0648</v>
      </c>
      <c r="AS131" s="707" t="s">
        <v>422</v>
      </c>
      <c r="AT131" s="708" t="s">
        <v>420</v>
      </c>
      <c r="AU131" s="708" t="s">
        <v>445</v>
      </c>
      <c r="AV131" s="708" t="s">
        <v>122</v>
      </c>
      <c r="AW131" s="708" t="s">
        <v>419</v>
      </c>
      <c r="AX131" s="708" t="s">
        <v>50</v>
      </c>
      <c r="AY131" s="708" t="s">
        <v>427</v>
      </c>
      <c r="AZ131" s="711" t="s">
        <v>428</v>
      </c>
      <c r="BA131" s="709">
        <v>9889.762202</v>
      </c>
      <c r="BB131" s="709">
        <v>3573.152527</v>
      </c>
      <c r="BC131" s="709">
        <v>20032.89018</v>
      </c>
      <c r="BD131" s="710" t="s">
        <v>429</v>
      </c>
      <c r="CE131" s="460"/>
    </row>
    <row r="132">
      <c r="A132" s="690"/>
      <c r="B132" s="701" t="s">
        <v>444</v>
      </c>
      <c r="C132" s="702" t="s">
        <v>416</v>
      </c>
      <c r="D132" s="703" t="s">
        <v>463</v>
      </c>
      <c r="E132" s="704">
        <v>2021.0</v>
      </c>
      <c r="F132" s="702" t="s">
        <v>418</v>
      </c>
      <c r="G132" s="702" t="s">
        <v>50</v>
      </c>
      <c r="H132" s="705">
        <v>67809.0</v>
      </c>
      <c r="I132" s="705">
        <v>73727.0</v>
      </c>
      <c r="J132" s="706">
        <v>61374.0</v>
      </c>
      <c r="K132" s="695"/>
      <c r="L132" s="707" t="s">
        <v>419</v>
      </c>
      <c r="M132" s="708" t="s">
        <v>492</v>
      </c>
      <c r="N132" s="708" t="s">
        <v>420</v>
      </c>
      <c r="O132" s="708" t="s">
        <v>439</v>
      </c>
      <c r="P132" s="708" t="s">
        <v>422</v>
      </c>
      <c r="Q132" s="708" t="s">
        <v>50</v>
      </c>
      <c r="R132" s="708">
        <v>2021.0</v>
      </c>
      <c r="S132" s="709">
        <v>5.118282584</v>
      </c>
      <c r="T132" s="709">
        <v>8.191291978</v>
      </c>
      <c r="U132" s="710">
        <v>3.202786461</v>
      </c>
      <c r="AH132" s="712" t="s">
        <v>424</v>
      </c>
      <c r="AI132" s="714" t="s">
        <v>534</v>
      </c>
      <c r="AJ132" s="714" t="s">
        <v>420</v>
      </c>
      <c r="AK132" s="714" t="s">
        <v>417</v>
      </c>
      <c r="AL132" s="714" t="s">
        <v>422</v>
      </c>
      <c r="AM132" s="714" t="s">
        <v>423</v>
      </c>
      <c r="AN132" s="715">
        <v>2021.0</v>
      </c>
      <c r="AO132" s="716">
        <v>65907.12236</v>
      </c>
      <c r="AP132" s="716">
        <v>107051.6909</v>
      </c>
      <c r="AQ132" s="717">
        <v>26458.85655</v>
      </c>
      <c r="AS132" s="707" t="s">
        <v>422</v>
      </c>
      <c r="AT132" s="708" t="s">
        <v>420</v>
      </c>
      <c r="AU132" s="708" t="s">
        <v>425</v>
      </c>
      <c r="AV132" s="708" t="s">
        <v>519</v>
      </c>
      <c r="AW132" s="708" t="s">
        <v>419</v>
      </c>
      <c r="AX132" s="708" t="s">
        <v>50</v>
      </c>
      <c r="AY132" s="708" t="s">
        <v>427</v>
      </c>
      <c r="AZ132" s="711" t="s">
        <v>428</v>
      </c>
      <c r="BA132" s="709">
        <v>1682.390707</v>
      </c>
      <c r="BB132" s="709">
        <v>535.884312</v>
      </c>
      <c r="BC132" s="709">
        <v>2893.177219</v>
      </c>
      <c r="BD132" s="710" t="s">
        <v>429</v>
      </c>
      <c r="CE132" s="460"/>
    </row>
    <row r="133">
      <c r="A133" s="690"/>
      <c r="B133" s="712" t="s">
        <v>444</v>
      </c>
      <c r="C133" s="713" t="s">
        <v>416</v>
      </c>
      <c r="D133" s="714" t="s">
        <v>465</v>
      </c>
      <c r="E133" s="715">
        <v>2021.0</v>
      </c>
      <c r="F133" s="713" t="s">
        <v>418</v>
      </c>
      <c r="G133" s="713" t="s">
        <v>50</v>
      </c>
      <c r="H133" s="716">
        <v>437570.0</v>
      </c>
      <c r="I133" s="716">
        <v>475758.0</v>
      </c>
      <c r="J133" s="717">
        <v>396043.0</v>
      </c>
      <c r="K133" s="695"/>
      <c r="L133" s="707" t="s">
        <v>419</v>
      </c>
      <c r="M133" s="708" t="s">
        <v>492</v>
      </c>
      <c r="N133" s="708" t="s">
        <v>420</v>
      </c>
      <c r="O133" s="708" t="s">
        <v>443</v>
      </c>
      <c r="P133" s="708" t="s">
        <v>422</v>
      </c>
      <c r="Q133" s="708" t="s">
        <v>50</v>
      </c>
      <c r="R133" s="708">
        <v>2021.0</v>
      </c>
      <c r="S133" s="709">
        <v>553.3844757</v>
      </c>
      <c r="T133" s="709">
        <v>890.5441138</v>
      </c>
      <c r="U133" s="710">
        <v>366.1396475</v>
      </c>
      <c r="AH133" s="701" t="s">
        <v>424</v>
      </c>
      <c r="AI133" s="703" t="s">
        <v>535</v>
      </c>
      <c r="AJ133" s="703" t="s">
        <v>420</v>
      </c>
      <c r="AK133" s="703" t="s">
        <v>421</v>
      </c>
      <c r="AL133" s="703" t="s">
        <v>422</v>
      </c>
      <c r="AM133" s="703" t="s">
        <v>423</v>
      </c>
      <c r="AN133" s="704">
        <v>2021.0</v>
      </c>
      <c r="AO133" s="705">
        <v>12058.50257</v>
      </c>
      <c r="AP133" s="705">
        <v>22090.49411</v>
      </c>
      <c r="AQ133" s="706">
        <v>4445.343115</v>
      </c>
      <c r="AS133" s="707" t="s">
        <v>422</v>
      </c>
      <c r="AT133" s="708" t="s">
        <v>420</v>
      </c>
      <c r="AU133" s="708" t="s">
        <v>435</v>
      </c>
      <c r="AV133" s="708" t="s">
        <v>519</v>
      </c>
      <c r="AW133" s="708" t="s">
        <v>419</v>
      </c>
      <c r="AX133" s="708" t="s">
        <v>50</v>
      </c>
      <c r="AY133" s="708" t="s">
        <v>427</v>
      </c>
      <c r="AZ133" s="711" t="s">
        <v>428</v>
      </c>
      <c r="BA133" s="709">
        <v>96.03131687</v>
      </c>
      <c r="BB133" s="709">
        <v>21.24702022</v>
      </c>
      <c r="BC133" s="709">
        <v>200.1603636</v>
      </c>
      <c r="BD133" s="710" t="s">
        <v>429</v>
      </c>
      <c r="CE133" s="460"/>
    </row>
    <row r="134">
      <c r="A134" s="690"/>
      <c r="B134" s="701" t="s">
        <v>444</v>
      </c>
      <c r="C134" s="702" t="s">
        <v>416</v>
      </c>
      <c r="D134" s="703" t="s">
        <v>468</v>
      </c>
      <c r="E134" s="704">
        <v>2021.0</v>
      </c>
      <c r="F134" s="702" t="s">
        <v>418</v>
      </c>
      <c r="G134" s="702" t="s">
        <v>50</v>
      </c>
      <c r="H134" s="705">
        <v>72141.0</v>
      </c>
      <c r="I134" s="705">
        <v>78437.0</v>
      </c>
      <c r="J134" s="706">
        <v>65294.0</v>
      </c>
      <c r="K134" s="695"/>
      <c r="L134" s="707" t="s">
        <v>419</v>
      </c>
      <c r="M134" s="708" t="s">
        <v>492</v>
      </c>
      <c r="N134" s="708" t="s">
        <v>420</v>
      </c>
      <c r="O134" s="708" t="s">
        <v>417</v>
      </c>
      <c r="P134" s="708" t="s">
        <v>422</v>
      </c>
      <c r="Q134" s="708" t="s">
        <v>50</v>
      </c>
      <c r="R134" s="708">
        <v>2021.0</v>
      </c>
      <c r="S134" s="709">
        <v>40.55999939</v>
      </c>
      <c r="T134" s="709">
        <v>64.16124132</v>
      </c>
      <c r="U134" s="710">
        <v>24.48883319</v>
      </c>
      <c r="AH134" s="712" t="s">
        <v>424</v>
      </c>
      <c r="AI134" s="714" t="s">
        <v>535</v>
      </c>
      <c r="AJ134" s="714" t="s">
        <v>420</v>
      </c>
      <c r="AK134" s="714" t="s">
        <v>434</v>
      </c>
      <c r="AL134" s="714" t="s">
        <v>422</v>
      </c>
      <c r="AM134" s="714" t="s">
        <v>423</v>
      </c>
      <c r="AN134" s="715">
        <v>2021.0</v>
      </c>
      <c r="AO134" s="716">
        <v>6161.96933</v>
      </c>
      <c r="AP134" s="716">
        <v>9670.973743</v>
      </c>
      <c r="AQ134" s="717">
        <v>3458.321124</v>
      </c>
      <c r="AS134" s="707" t="s">
        <v>422</v>
      </c>
      <c r="AT134" s="708" t="s">
        <v>420</v>
      </c>
      <c r="AU134" s="708" t="s">
        <v>441</v>
      </c>
      <c r="AV134" s="708" t="s">
        <v>519</v>
      </c>
      <c r="AW134" s="708" t="s">
        <v>419</v>
      </c>
      <c r="AX134" s="708" t="s">
        <v>50</v>
      </c>
      <c r="AY134" s="708" t="s">
        <v>427</v>
      </c>
      <c r="AZ134" s="711" t="s">
        <v>428</v>
      </c>
      <c r="BA134" s="709">
        <v>629.8630288</v>
      </c>
      <c r="BB134" s="709">
        <v>184.9434443</v>
      </c>
      <c r="BC134" s="709">
        <v>1099.444647</v>
      </c>
      <c r="BD134" s="710" t="s">
        <v>429</v>
      </c>
      <c r="CE134" s="460"/>
    </row>
    <row r="135">
      <c r="A135" s="690"/>
      <c r="B135" s="712" t="s">
        <v>444</v>
      </c>
      <c r="C135" s="713" t="s">
        <v>416</v>
      </c>
      <c r="D135" s="714" t="s">
        <v>471</v>
      </c>
      <c r="E135" s="715">
        <v>2021.0</v>
      </c>
      <c r="F135" s="713" t="s">
        <v>418</v>
      </c>
      <c r="G135" s="713" t="s">
        <v>50</v>
      </c>
      <c r="H135" s="716">
        <v>36625.0</v>
      </c>
      <c r="I135" s="716">
        <v>39822.0</v>
      </c>
      <c r="J135" s="717">
        <v>33149.0</v>
      </c>
      <c r="K135" s="695"/>
      <c r="L135" s="707" t="s">
        <v>419</v>
      </c>
      <c r="M135" s="708" t="s">
        <v>492</v>
      </c>
      <c r="N135" s="708" t="s">
        <v>420</v>
      </c>
      <c r="O135" s="708" t="s">
        <v>438</v>
      </c>
      <c r="P135" s="708" t="s">
        <v>422</v>
      </c>
      <c r="Q135" s="708" t="s">
        <v>50</v>
      </c>
      <c r="R135" s="708">
        <v>2021.0</v>
      </c>
      <c r="S135" s="709">
        <v>5.118282584</v>
      </c>
      <c r="T135" s="709">
        <v>8.191291978</v>
      </c>
      <c r="U135" s="710">
        <v>3.202786461</v>
      </c>
      <c r="AH135" s="701" t="s">
        <v>424</v>
      </c>
      <c r="AI135" s="703" t="s">
        <v>535</v>
      </c>
      <c r="AJ135" s="703" t="s">
        <v>420</v>
      </c>
      <c r="AK135" s="703" t="s">
        <v>417</v>
      </c>
      <c r="AL135" s="703" t="s">
        <v>422</v>
      </c>
      <c r="AM135" s="703" t="s">
        <v>423</v>
      </c>
      <c r="AN135" s="704">
        <v>2021.0</v>
      </c>
      <c r="AO135" s="705">
        <v>8527.512748</v>
      </c>
      <c r="AP135" s="705">
        <v>15666.28132</v>
      </c>
      <c r="AQ135" s="706">
        <v>3115.514034</v>
      </c>
      <c r="AS135" s="707" t="s">
        <v>422</v>
      </c>
      <c r="AT135" s="708" t="s">
        <v>420</v>
      </c>
      <c r="AU135" s="708" t="s">
        <v>445</v>
      </c>
      <c r="AV135" s="708" t="s">
        <v>519</v>
      </c>
      <c r="AW135" s="708" t="s">
        <v>419</v>
      </c>
      <c r="AX135" s="708" t="s">
        <v>50</v>
      </c>
      <c r="AY135" s="708" t="s">
        <v>427</v>
      </c>
      <c r="AZ135" s="711" t="s">
        <v>428</v>
      </c>
      <c r="BA135" s="709">
        <v>3714.719919</v>
      </c>
      <c r="BB135" s="709">
        <v>1053.111775</v>
      </c>
      <c r="BC135" s="709">
        <v>7055.690925</v>
      </c>
      <c r="BD135" s="710" t="s">
        <v>429</v>
      </c>
      <c r="CE135" s="460"/>
    </row>
    <row r="136">
      <c r="A136" s="690"/>
      <c r="B136" s="701" t="s">
        <v>444</v>
      </c>
      <c r="C136" s="702" t="s">
        <v>416</v>
      </c>
      <c r="D136" s="703" t="s">
        <v>473</v>
      </c>
      <c r="E136" s="704">
        <v>2021.0</v>
      </c>
      <c r="F136" s="702" t="s">
        <v>418</v>
      </c>
      <c r="G136" s="702" t="s">
        <v>50</v>
      </c>
      <c r="H136" s="705">
        <v>429784.0</v>
      </c>
      <c r="I136" s="705">
        <v>467292.0</v>
      </c>
      <c r="J136" s="706">
        <v>388995.0</v>
      </c>
      <c r="K136" s="695"/>
      <c r="L136" s="707" t="s">
        <v>419</v>
      </c>
      <c r="M136" s="708" t="s">
        <v>494</v>
      </c>
      <c r="N136" s="708" t="s">
        <v>420</v>
      </c>
      <c r="O136" s="708" t="s">
        <v>421</v>
      </c>
      <c r="P136" s="708" t="s">
        <v>422</v>
      </c>
      <c r="Q136" s="708" t="s">
        <v>50</v>
      </c>
      <c r="R136" s="708">
        <v>2021.0</v>
      </c>
      <c r="S136" s="709">
        <v>7314.956735</v>
      </c>
      <c r="T136" s="709">
        <v>11833.56066</v>
      </c>
      <c r="U136" s="710">
        <v>3517.785898</v>
      </c>
      <c r="AH136" s="712" t="s">
        <v>424</v>
      </c>
      <c r="AI136" s="714" t="s">
        <v>536</v>
      </c>
      <c r="AJ136" s="714" t="s">
        <v>420</v>
      </c>
      <c r="AK136" s="714" t="s">
        <v>421</v>
      </c>
      <c r="AL136" s="714" t="s">
        <v>422</v>
      </c>
      <c r="AM136" s="714" t="s">
        <v>423</v>
      </c>
      <c r="AN136" s="715">
        <v>2021.0</v>
      </c>
      <c r="AO136" s="716">
        <v>16.73195045</v>
      </c>
      <c r="AP136" s="716">
        <v>21.80070707</v>
      </c>
      <c r="AQ136" s="717">
        <v>12.52265378</v>
      </c>
      <c r="AS136" s="707" t="s">
        <v>422</v>
      </c>
      <c r="AT136" s="708" t="s">
        <v>420</v>
      </c>
      <c r="AU136" s="708" t="s">
        <v>425</v>
      </c>
      <c r="AV136" s="708" t="s">
        <v>123</v>
      </c>
      <c r="AW136" s="708" t="s">
        <v>419</v>
      </c>
      <c r="AX136" s="708" t="s">
        <v>50</v>
      </c>
      <c r="AY136" s="708" t="s">
        <v>427</v>
      </c>
      <c r="AZ136" s="711" t="s">
        <v>428</v>
      </c>
      <c r="BA136" s="709">
        <v>5952.332882</v>
      </c>
      <c r="BB136" s="709">
        <v>1482.166952</v>
      </c>
      <c r="BC136" s="709">
        <v>15723.41346</v>
      </c>
      <c r="BD136" s="710" t="s">
        <v>429</v>
      </c>
      <c r="CE136" s="460"/>
    </row>
    <row r="137">
      <c r="A137" s="690"/>
      <c r="B137" s="712" t="s">
        <v>444</v>
      </c>
      <c r="C137" s="713" t="s">
        <v>416</v>
      </c>
      <c r="D137" s="714" t="s">
        <v>476</v>
      </c>
      <c r="E137" s="715">
        <v>2021.0</v>
      </c>
      <c r="F137" s="713" t="s">
        <v>418</v>
      </c>
      <c r="G137" s="713" t="s">
        <v>50</v>
      </c>
      <c r="H137" s="716">
        <v>74310.0</v>
      </c>
      <c r="I137" s="716">
        <v>80795.0</v>
      </c>
      <c r="J137" s="717">
        <v>67258.0</v>
      </c>
      <c r="K137" s="695"/>
      <c r="L137" s="707" t="s">
        <v>419</v>
      </c>
      <c r="M137" s="708" t="s">
        <v>494</v>
      </c>
      <c r="N137" s="708" t="s">
        <v>420</v>
      </c>
      <c r="O137" s="708" t="s">
        <v>432</v>
      </c>
      <c r="P137" s="708" t="s">
        <v>422</v>
      </c>
      <c r="Q137" s="708" t="s">
        <v>50</v>
      </c>
      <c r="R137" s="708">
        <v>2021.0</v>
      </c>
      <c r="S137" s="709">
        <v>0.0</v>
      </c>
      <c r="T137" s="709">
        <v>0.0</v>
      </c>
      <c r="U137" s="710">
        <v>0.0</v>
      </c>
      <c r="AH137" s="701" t="s">
        <v>424</v>
      </c>
      <c r="AI137" s="703" t="s">
        <v>536</v>
      </c>
      <c r="AJ137" s="703" t="s">
        <v>420</v>
      </c>
      <c r="AK137" s="703" t="s">
        <v>434</v>
      </c>
      <c r="AL137" s="703" t="s">
        <v>422</v>
      </c>
      <c r="AM137" s="703" t="s">
        <v>423</v>
      </c>
      <c r="AN137" s="704">
        <v>2021.0</v>
      </c>
      <c r="AO137" s="705">
        <v>31.04246861</v>
      </c>
      <c r="AP137" s="705">
        <v>39.23153113</v>
      </c>
      <c r="AQ137" s="706">
        <v>23.65675988</v>
      </c>
      <c r="AS137" s="707" t="s">
        <v>422</v>
      </c>
      <c r="AT137" s="708" t="s">
        <v>420</v>
      </c>
      <c r="AU137" s="708" t="s">
        <v>435</v>
      </c>
      <c r="AV137" s="708" t="s">
        <v>123</v>
      </c>
      <c r="AW137" s="708" t="s">
        <v>419</v>
      </c>
      <c r="AX137" s="708" t="s">
        <v>50</v>
      </c>
      <c r="AY137" s="708" t="s">
        <v>427</v>
      </c>
      <c r="AZ137" s="711" t="s">
        <v>428</v>
      </c>
      <c r="BA137" s="709">
        <v>152.644696</v>
      </c>
      <c r="BB137" s="709">
        <v>29.74809301</v>
      </c>
      <c r="BC137" s="709">
        <v>483.5189433</v>
      </c>
      <c r="BD137" s="710" t="s">
        <v>429</v>
      </c>
      <c r="CE137" s="460"/>
    </row>
    <row r="138">
      <c r="A138" s="690"/>
      <c r="B138" s="701" t="s">
        <v>444</v>
      </c>
      <c r="C138" s="702" t="s">
        <v>416</v>
      </c>
      <c r="D138" s="703" t="s">
        <v>479</v>
      </c>
      <c r="E138" s="704">
        <v>2021.0</v>
      </c>
      <c r="F138" s="702" t="s">
        <v>418</v>
      </c>
      <c r="G138" s="702" t="s">
        <v>50</v>
      </c>
      <c r="H138" s="705">
        <v>70989.0</v>
      </c>
      <c r="I138" s="705">
        <v>77184.0</v>
      </c>
      <c r="J138" s="706">
        <v>64252.0</v>
      </c>
      <c r="K138" s="695"/>
      <c r="L138" s="707" t="s">
        <v>419</v>
      </c>
      <c r="M138" s="708" t="s">
        <v>494</v>
      </c>
      <c r="N138" s="708" t="s">
        <v>420</v>
      </c>
      <c r="O138" s="708" t="s">
        <v>439</v>
      </c>
      <c r="P138" s="708" t="s">
        <v>422</v>
      </c>
      <c r="Q138" s="708" t="s">
        <v>50</v>
      </c>
      <c r="R138" s="708">
        <v>2021.0</v>
      </c>
      <c r="S138" s="709">
        <v>383.5491921</v>
      </c>
      <c r="T138" s="709">
        <v>734.8551764</v>
      </c>
      <c r="U138" s="710">
        <v>146.6844647</v>
      </c>
      <c r="AH138" s="712" t="s">
        <v>424</v>
      </c>
      <c r="AI138" s="714" t="s">
        <v>536</v>
      </c>
      <c r="AJ138" s="714" t="s">
        <v>420</v>
      </c>
      <c r="AK138" s="714" t="s">
        <v>417</v>
      </c>
      <c r="AL138" s="714" t="s">
        <v>422</v>
      </c>
      <c r="AM138" s="714" t="s">
        <v>423</v>
      </c>
      <c r="AN138" s="715">
        <v>2021.0</v>
      </c>
      <c r="AO138" s="716">
        <v>10.2101726</v>
      </c>
      <c r="AP138" s="716">
        <v>13.51237503</v>
      </c>
      <c r="AQ138" s="717">
        <v>7.582923028</v>
      </c>
      <c r="AS138" s="707" t="s">
        <v>422</v>
      </c>
      <c r="AT138" s="708" t="s">
        <v>420</v>
      </c>
      <c r="AU138" s="708" t="s">
        <v>441</v>
      </c>
      <c r="AV138" s="708" t="s">
        <v>123</v>
      </c>
      <c r="AW138" s="708" t="s">
        <v>419</v>
      </c>
      <c r="AX138" s="708" t="s">
        <v>50</v>
      </c>
      <c r="AY138" s="708" t="s">
        <v>427</v>
      </c>
      <c r="AZ138" s="711" t="s">
        <v>428</v>
      </c>
      <c r="BA138" s="709">
        <v>1280.356355</v>
      </c>
      <c r="BB138" s="709">
        <v>257.2642132</v>
      </c>
      <c r="BC138" s="709">
        <v>3870.447665</v>
      </c>
      <c r="BD138" s="710" t="s">
        <v>429</v>
      </c>
      <c r="CE138" s="460"/>
    </row>
    <row r="139">
      <c r="A139" s="690"/>
      <c r="B139" s="712" t="s">
        <v>444</v>
      </c>
      <c r="C139" s="713" t="s">
        <v>416</v>
      </c>
      <c r="D139" s="714" t="s">
        <v>482</v>
      </c>
      <c r="E139" s="715">
        <v>2021.0</v>
      </c>
      <c r="F139" s="713" t="s">
        <v>418</v>
      </c>
      <c r="G139" s="713" t="s">
        <v>50</v>
      </c>
      <c r="H139" s="716">
        <v>61343.0</v>
      </c>
      <c r="I139" s="716">
        <v>66697.0</v>
      </c>
      <c r="J139" s="717">
        <v>55521.0</v>
      </c>
      <c r="K139" s="695"/>
      <c r="L139" s="707" t="s">
        <v>419</v>
      </c>
      <c r="M139" s="708" t="s">
        <v>494</v>
      </c>
      <c r="N139" s="708" t="s">
        <v>420</v>
      </c>
      <c r="O139" s="708" t="s">
        <v>443</v>
      </c>
      <c r="P139" s="708" t="s">
        <v>422</v>
      </c>
      <c r="Q139" s="708" t="s">
        <v>50</v>
      </c>
      <c r="R139" s="708">
        <v>2021.0</v>
      </c>
      <c r="S139" s="709">
        <v>15733.63782</v>
      </c>
      <c r="T139" s="709">
        <v>29505.89659</v>
      </c>
      <c r="U139" s="710">
        <v>7035.633535</v>
      </c>
      <c r="AH139" s="701" t="s">
        <v>424</v>
      </c>
      <c r="AI139" s="703" t="s">
        <v>103</v>
      </c>
      <c r="AJ139" s="703" t="s">
        <v>420</v>
      </c>
      <c r="AK139" s="703" t="s">
        <v>421</v>
      </c>
      <c r="AL139" s="703" t="s">
        <v>422</v>
      </c>
      <c r="AM139" s="703" t="s">
        <v>423</v>
      </c>
      <c r="AN139" s="704">
        <v>2021.0</v>
      </c>
      <c r="AO139" s="705">
        <v>70024.86165</v>
      </c>
      <c r="AP139" s="705">
        <v>117286.5021</v>
      </c>
      <c r="AQ139" s="706">
        <v>32217.65148</v>
      </c>
      <c r="AS139" s="707" t="s">
        <v>422</v>
      </c>
      <c r="AT139" s="708" t="s">
        <v>420</v>
      </c>
      <c r="AU139" s="708" t="s">
        <v>445</v>
      </c>
      <c r="AV139" s="708" t="s">
        <v>123</v>
      </c>
      <c r="AW139" s="708" t="s">
        <v>419</v>
      </c>
      <c r="AX139" s="708" t="s">
        <v>50</v>
      </c>
      <c r="AY139" s="708" t="s">
        <v>427</v>
      </c>
      <c r="AZ139" s="711" t="s">
        <v>428</v>
      </c>
      <c r="BA139" s="709">
        <v>8078.866903</v>
      </c>
      <c r="BB139" s="709">
        <v>1957.984699</v>
      </c>
      <c r="BC139" s="709">
        <v>22027.99563</v>
      </c>
      <c r="BD139" s="710" t="s">
        <v>429</v>
      </c>
      <c r="CE139" s="460"/>
    </row>
    <row r="140">
      <c r="A140" s="690"/>
      <c r="B140" s="701" t="s">
        <v>444</v>
      </c>
      <c r="C140" s="702" t="s">
        <v>416</v>
      </c>
      <c r="D140" s="703" t="s">
        <v>485</v>
      </c>
      <c r="E140" s="704">
        <v>2021.0</v>
      </c>
      <c r="F140" s="702" t="s">
        <v>418</v>
      </c>
      <c r="G140" s="702" t="s">
        <v>50</v>
      </c>
      <c r="H140" s="705">
        <v>50917.0</v>
      </c>
      <c r="I140" s="705">
        <v>55360.0</v>
      </c>
      <c r="J140" s="706">
        <v>46084.0</v>
      </c>
      <c r="K140" s="695"/>
      <c r="L140" s="707" t="s">
        <v>419</v>
      </c>
      <c r="M140" s="708" t="s">
        <v>494</v>
      </c>
      <c r="N140" s="708" t="s">
        <v>420</v>
      </c>
      <c r="O140" s="708" t="s">
        <v>417</v>
      </c>
      <c r="P140" s="708" t="s">
        <v>422</v>
      </c>
      <c r="Q140" s="708" t="s">
        <v>50</v>
      </c>
      <c r="R140" s="708">
        <v>2021.0</v>
      </c>
      <c r="S140" s="709">
        <v>2788.053574</v>
      </c>
      <c r="T140" s="709">
        <v>4740.164001</v>
      </c>
      <c r="U140" s="710">
        <v>1226.378588</v>
      </c>
      <c r="AH140" s="712" t="s">
        <v>424</v>
      </c>
      <c r="AI140" s="714" t="s">
        <v>103</v>
      </c>
      <c r="AJ140" s="714" t="s">
        <v>420</v>
      </c>
      <c r="AK140" s="714" t="s">
        <v>434</v>
      </c>
      <c r="AL140" s="714" t="s">
        <v>422</v>
      </c>
      <c r="AM140" s="714" t="s">
        <v>423</v>
      </c>
      <c r="AN140" s="715">
        <v>2021.0</v>
      </c>
      <c r="AO140" s="716">
        <v>29369.73005</v>
      </c>
      <c r="AP140" s="716">
        <v>54393.3577</v>
      </c>
      <c r="AQ140" s="717">
        <v>13268.87368</v>
      </c>
      <c r="AS140" s="707" t="s">
        <v>422</v>
      </c>
      <c r="AT140" s="708" t="s">
        <v>420</v>
      </c>
      <c r="AU140" s="708" t="s">
        <v>425</v>
      </c>
      <c r="AV140" s="708" t="s">
        <v>523</v>
      </c>
      <c r="AW140" s="708" t="s">
        <v>419</v>
      </c>
      <c r="AX140" s="708" t="s">
        <v>50</v>
      </c>
      <c r="AY140" s="708" t="s">
        <v>427</v>
      </c>
      <c r="AZ140" s="711" t="s">
        <v>428</v>
      </c>
      <c r="BA140" s="709">
        <v>3875.4396</v>
      </c>
      <c r="BB140" s="709">
        <v>1196.374231</v>
      </c>
      <c r="BC140" s="709">
        <v>7683.252414</v>
      </c>
      <c r="BD140" s="710" t="s">
        <v>429</v>
      </c>
      <c r="CE140" s="460"/>
    </row>
    <row r="141">
      <c r="A141" s="690"/>
      <c r="B141" s="712" t="s">
        <v>444</v>
      </c>
      <c r="C141" s="713" t="s">
        <v>416</v>
      </c>
      <c r="D141" s="714" t="s">
        <v>488</v>
      </c>
      <c r="E141" s="715">
        <v>2021.0</v>
      </c>
      <c r="F141" s="713" t="s">
        <v>418</v>
      </c>
      <c r="G141" s="713" t="s">
        <v>50</v>
      </c>
      <c r="H141" s="716">
        <v>40061.0</v>
      </c>
      <c r="I141" s="716">
        <v>43557.0</v>
      </c>
      <c r="J141" s="717">
        <v>36259.0</v>
      </c>
      <c r="K141" s="695"/>
      <c r="L141" s="707" t="s">
        <v>419</v>
      </c>
      <c r="M141" s="708" t="s">
        <v>494</v>
      </c>
      <c r="N141" s="708" t="s">
        <v>420</v>
      </c>
      <c r="O141" s="708" t="s">
        <v>438</v>
      </c>
      <c r="P141" s="708" t="s">
        <v>422</v>
      </c>
      <c r="Q141" s="708" t="s">
        <v>50</v>
      </c>
      <c r="R141" s="708">
        <v>2021.0</v>
      </c>
      <c r="S141" s="709">
        <v>383.5491921</v>
      </c>
      <c r="T141" s="709">
        <v>734.8551764</v>
      </c>
      <c r="U141" s="710">
        <v>146.6844647</v>
      </c>
      <c r="AH141" s="701" t="s">
        <v>424</v>
      </c>
      <c r="AI141" s="703" t="s">
        <v>103</v>
      </c>
      <c r="AJ141" s="703" t="s">
        <v>420</v>
      </c>
      <c r="AK141" s="703" t="s">
        <v>417</v>
      </c>
      <c r="AL141" s="703" t="s">
        <v>422</v>
      </c>
      <c r="AM141" s="703" t="s">
        <v>423</v>
      </c>
      <c r="AN141" s="704">
        <v>2021.0</v>
      </c>
      <c r="AO141" s="705">
        <v>49852.06714</v>
      </c>
      <c r="AP141" s="705">
        <v>83502.05654</v>
      </c>
      <c r="AQ141" s="706">
        <v>22937.38155</v>
      </c>
      <c r="AS141" s="707" t="s">
        <v>422</v>
      </c>
      <c r="AT141" s="708" t="s">
        <v>420</v>
      </c>
      <c r="AU141" s="708" t="s">
        <v>435</v>
      </c>
      <c r="AV141" s="708" t="s">
        <v>523</v>
      </c>
      <c r="AW141" s="708" t="s">
        <v>419</v>
      </c>
      <c r="AX141" s="708" t="s">
        <v>50</v>
      </c>
      <c r="AY141" s="708" t="s">
        <v>427</v>
      </c>
      <c r="AZ141" s="711" t="s">
        <v>428</v>
      </c>
      <c r="BA141" s="709">
        <v>131.0824424</v>
      </c>
      <c r="BB141" s="709">
        <v>28.47715767</v>
      </c>
      <c r="BC141" s="709">
        <v>287.3738456</v>
      </c>
      <c r="BD141" s="710" t="s">
        <v>429</v>
      </c>
      <c r="CE141" s="460"/>
    </row>
    <row r="142">
      <c r="A142" s="690"/>
      <c r="B142" s="701" t="s">
        <v>444</v>
      </c>
      <c r="C142" s="702" t="s">
        <v>416</v>
      </c>
      <c r="D142" s="703" t="s">
        <v>491</v>
      </c>
      <c r="E142" s="704">
        <v>2021.0</v>
      </c>
      <c r="F142" s="702" t="s">
        <v>418</v>
      </c>
      <c r="G142" s="702" t="s">
        <v>50</v>
      </c>
      <c r="H142" s="705">
        <v>32574.0</v>
      </c>
      <c r="I142" s="705">
        <v>35416.0</v>
      </c>
      <c r="J142" s="706">
        <v>29482.0</v>
      </c>
      <c r="K142" s="695"/>
      <c r="L142" s="707" t="s">
        <v>419</v>
      </c>
      <c r="M142" s="708" t="s">
        <v>495</v>
      </c>
      <c r="N142" s="708" t="s">
        <v>420</v>
      </c>
      <c r="O142" s="708" t="s">
        <v>421</v>
      </c>
      <c r="P142" s="708" t="s">
        <v>422</v>
      </c>
      <c r="Q142" s="708" t="s">
        <v>50</v>
      </c>
      <c r="R142" s="708">
        <v>2021.0</v>
      </c>
      <c r="S142" s="709">
        <v>8827.404592</v>
      </c>
      <c r="T142" s="709">
        <v>16177.53462</v>
      </c>
      <c r="U142" s="710">
        <v>3841.653429</v>
      </c>
      <c r="AH142" s="712" t="s">
        <v>424</v>
      </c>
      <c r="AI142" s="714" t="s">
        <v>104</v>
      </c>
      <c r="AJ142" s="714" t="s">
        <v>420</v>
      </c>
      <c r="AK142" s="714" t="s">
        <v>421</v>
      </c>
      <c r="AL142" s="714" t="s">
        <v>422</v>
      </c>
      <c r="AM142" s="714" t="s">
        <v>423</v>
      </c>
      <c r="AN142" s="715">
        <v>2021.0</v>
      </c>
      <c r="AO142" s="716">
        <v>63337.56905</v>
      </c>
      <c r="AP142" s="716">
        <v>102133.8384</v>
      </c>
      <c r="AQ142" s="717">
        <v>23212.0715</v>
      </c>
      <c r="AS142" s="707" t="s">
        <v>422</v>
      </c>
      <c r="AT142" s="708" t="s">
        <v>420</v>
      </c>
      <c r="AU142" s="708" t="s">
        <v>441</v>
      </c>
      <c r="AV142" s="708" t="s">
        <v>523</v>
      </c>
      <c r="AW142" s="708" t="s">
        <v>419</v>
      </c>
      <c r="AX142" s="708" t="s">
        <v>50</v>
      </c>
      <c r="AY142" s="708" t="s">
        <v>427</v>
      </c>
      <c r="AZ142" s="711" t="s">
        <v>428</v>
      </c>
      <c r="BA142" s="709">
        <v>1060.169114</v>
      </c>
      <c r="BB142" s="709">
        <v>330.3348798</v>
      </c>
      <c r="BC142" s="709">
        <v>2275.758469</v>
      </c>
      <c r="BD142" s="710" t="s">
        <v>429</v>
      </c>
      <c r="CE142" s="460"/>
    </row>
    <row r="143">
      <c r="A143" s="690"/>
      <c r="B143" s="712" t="s">
        <v>444</v>
      </c>
      <c r="C143" s="713" t="s">
        <v>416</v>
      </c>
      <c r="D143" s="714" t="s">
        <v>493</v>
      </c>
      <c r="E143" s="715">
        <v>2021.0</v>
      </c>
      <c r="F143" s="713" t="s">
        <v>418</v>
      </c>
      <c r="G143" s="713" t="s">
        <v>50</v>
      </c>
      <c r="H143" s="716">
        <v>99926.0</v>
      </c>
      <c r="I143" s="716">
        <v>108647.0</v>
      </c>
      <c r="J143" s="717">
        <v>90443.0</v>
      </c>
      <c r="K143" s="695"/>
      <c r="L143" s="707" t="s">
        <v>419</v>
      </c>
      <c r="M143" s="708" t="s">
        <v>495</v>
      </c>
      <c r="N143" s="708" t="s">
        <v>420</v>
      </c>
      <c r="O143" s="708" t="s">
        <v>432</v>
      </c>
      <c r="P143" s="708" t="s">
        <v>422</v>
      </c>
      <c r="Q143" s="708" t="s">
        <v>50</v>
      </c>
      <c r="R143" s="708">
        <v>2021.0</v>
      </c>
      <c r="S143" s="709">
        <v>0.0</v>
      </c>
      <c r="T143" s="709">
        <v>0.0</v>
      </c>
      <c r="U143" s="710">
        <v>0.0</v>
      </c>
      <c r="AH143" s="701" t="s">
        <v>424</v>
      </c>
      <c r="AI143" s="703" t="s">
        <v>104</v>
      </c>
      <c r="AJ143" s="703" t="s">
        <v>420</v>
      </c>
      <c r="AK143" s="703" t="s">
        <v>434</v>
      </c>
      <c r="AL143" s="703" t="s">
        <v>422</v>
      </c>
      <c r="AM143" s="703" t="s">
        <v>423</v>
      </c>
      <c r="AN143" s="704">
        <v>2021.0</v>
      </c>
      <c r="AO143" s="705">
        <v>26979.99336</v>
      </c>
      <c r="AP143" s="705">
        <v>53693.50095</v>
      </c>
      <c r="AQ143" s="706">
        <v>14520.87967</v>
      </c>
      <c r="AS143" s="707" t="s">
        <v>422</v>
      </c>
      <c r="AT143" s="708" t="s">
        <v>420</v>
      </c>
      <c r="AU143" s="708" t="s">
        <v>445</v>
      </c>
      <c r="AV143" s="708" t="s">
        <v>523</v>
      </c>
      <c r="AW143" s="708" t="s">
        <v>419</v>
      </c>
      <c r="AX143" s="708" t="s">
        <v>50</v>
      </c>
      <c r="AY143" s="708" t="s">
        <v>427</v>
      </c>
      <c r="AZ143" s="711" t="s">
        <v>428</v>
      </c>
      <c r="BA143" s="709">
        <v>6183.053054</v>
      </c>
      <c r="BB143" s="709">
        <v>1918.748147</v>
      </c>
      <c r="BC143" s="709">
        <v>12615.49123</v>
      </c>
      <c r="BD143" s="710" t="s">
        <v>429</v>
      </c>
      <c r="CE143" s="460"/>
    </row>
    <row r="144">
      <c r="A144" s="690"/>
      <c r="B144" s="701" t="s">
        <v>444</v>
      </c>
      <c r="C144" s="702" t="s">
        <v>416</v>
      </c>
      <c r="D144" s="703" t="s">
        <v>434</v>
      </c>
      <c r="E144" s="704">
        <v>2021.0</v>
      </c>
      <c r="F144" s="702" t="s">
        <v>418</v>
      </c>
      <c r="G144" s="702" t="s">
        <v>50</v>
      </c>
      <c r="H144" s="705">
        <v>126136.0</v>
      </c>
      <c r="I144" s="705">
        <v>137144.0</v>
      </c>
      <c r="J144" s="706">
        <v>114165.0</v>
      </c>
      <c r="K144" s="695"/>
      <c r="L144" s="707" t="s">
        <v>419</v>
      </c>
      <c r="M144" s="708" t="s">
        <v>495</v>
      </c>
      <c r="N144" s="708" t="s">
        <v>420</v>
      </c>
      <c r="O144" s="708" t="s">
        <v>439</v>
      </c>
      <c r="P144" s="708" t="s">
        <v>422</v>
      </c>
      <c r="Q144" s="708" t="s">
        <v>50</v>
      </c>
      <c r="R144" s="708">
        <v>2021.0</v>
      </c>
      <c r="S144" s="709">
        <v>581.4959224</v>
      </c>
      <c r="T144" s="709">
        <v>1183.737033</v>
      </c>
      <c r="U144" s="710">
        <v>197.1068765</v>
      </c>
      <c r="AH144" s="712" t="s">
        <v>424</v>
      </c>
      <c r="AI144" s="714" t="s">
        <v>104</v>
      </c>
      <c r="AJ144" s="714" t="s">
        <v>420</v>
      </c>
      <c r="AK144" s="714" t="s">
        <v>417</v>
      </c>
      <c r="AL144" s="714" t="s">
        <v>422</v>
      </c>
      <c r="AM144" s="714" t="s">
        <v>423</v>
      </c>
      <c r="AN144" s="715">
        <v>2021.0</v>
      </c>
      <c r="AO144" s="716">
        <v>44694.66609</v>
      </c>
      <c r="AP144" s="716">
        <v>72077.92174</v>
      </c>
      <c r="AQ144" s="717">
        <v>16478.55073</v>
      </c>
      <c r="AS144" s="707" t="s">
        <v>422</v>
      </c>
      <c r="AT144" s="708" t="s">
        <v>420</v>
      </c>
      <c r="AU144" s="708" t="s">
        <v>425</v>
      </c>
      <c r="AV144" s="708" t="s">
        <v>526</v>
      </c>
      <c r="AW144" s="708" t="s">
        <v>419</v>
      </c>
      <c r="AX144" s="708" t="s">
        <v>50</v>
      </c>
      <c r="AY144" s="708" t="s">
        <v>427</v>
      </c>
      <c r="AZ144" s="711" t="s">
        <v>428</v>
      </c>
      <c r="BA144" s="709">
        <v>2273.335599</v>
      </c>
      <c r="BB144" s="709">
        <v>490.0088602</v>
      </c>
      <c r="BC144" s="709">
        <v>5305.780495</v>
      </c>
      <c r="BD144" s="710" t="s">
        <v>429</v>
      </c>
      <c r="CE144" s="460"/>
    </row>
    <row r="145">
      <c r="A145" s="690"/>
      <c r="B145" s="712" t="s">
        <v>444</v>
      </c>
      <c r="C145" s="713" t="s">
        <v>416</v>
      </c>
      <c r="D145" s="714" t="s">
        <v>497</v>
      </c>
      <c r="E145" s="715">
        <v>2021.0</v>
      </c>
      <c r="F145" s="713" t="s">
        <v>418</v>
      </c>
      <c r="G145" s="713" t="s">
        <v>50</v>
      </c>
      <c r="H145" s="716">
        <v>27147.0</v>
      </c>
      <c r="I145" s="716">
        <v>29516.0</v>
      </c>
      <c r="J145" s="717">
        <v>24571.0</v>
      </c>
      <c r="K145" s="695"/>
      <c r="L145" s="707" t="s">
        <v>419</v>
      </c>
      <c r="M145" s="708" t="s">
        <v>495</v>
      </c>
      <c r="N145" s="708" t="s">
        <v>420</v>
      </c>
      <c r="O145" s="708" t="s">
        <v>443</v>
      </c>
      <c r="P145" s="708" t="s">
        <v>422</v>
      </c>
      <c r="Q145" s="708" t="s">
        <v>50</v>
      </c>
      <c r="R145" s="708">
        <v>2021.0</v>
      </c>
      <c r="S145" s="709">
        <v>12582.80609</v>
      </c>
      <c r="T145" s="709">
        <v>24520.91234</v>
      </c>
      <c r="U145" s="710">
        <v>5127.808775</v>
      </c>
      <c r="AH145" s="701" t="s">
        <v>424</v>
      </c>
      <c r="AI145" s="703" t="s">
        <v>105</v>
      </c>
      <c r="AJ145" s="703" t="s">
        <v>420</v>
      </c>
      <c r="AK145" s="703" t="s">
        <v>421</v>
      </c>
      <c r="AL145" s="703" t="s">
        <v>422</v>
      </c>
      <c r="AM145" s="703" t="s">
        <v>423</v>
      </c>
      <c r="AN145" s="704">
        <v>2021.0</v>
      </c>
      <c r="AO145" s="705">
        <v>59212.37644</v>
      </c>
      <c r="AP145" s="705">
        <v>90793.65837</v>
      </c>
      <c r="AQ145" s="706">
        <v>32721.12447</v>
      </c>
      <c r="AS145" s="707" t="s">
        <v>422</v>
      </c>
      <c r="AT145" s="708" t="s">
        <v>420</v>
      </c>
      <c r="AU145" s="708" t="s">
        <v>435</v>
      </c>
      <c r="AV145" s="708" t="s">
        <v>526</v>
      </c>
      <c r="AW145" s="708" t="s">
        <v>419</v>
      </c>
      <c r="AX145" s="708" t="s">
        <v>50</v>
      </c>
      <c r="AY145" s="708" t="s">
        <v>427</v>
      </c>
      <c r="AZ145" s="711" t="s">
        <v>428</v>
      </c>
      <c r="BA145" s="709">
        <v>72.24562394</v>
      </c>
      <c r="BB145" s="709">
        <v>10.26058212</v>
      </c>
      <c r="BC145" s="709">
        <v>207.1724161</v>
      </c>
      <c r="BD145" s="710" t="s">
        <v>429</v>
      </c>
      <c r="CE145" s="460"/>
    </row>
    <row r="146">
      <c r="A146" s="690"/>
      <c r="B146" s="701" t="s">
        <v>444</v>
      </c>
      <c r="C146" s="702" t="s">
        <v>416</v>
      </c>
      <c r="D146" s="703" t="s">
        <v>500</v>
      </c>
      <c r="E146" s="704">
        <v>2021.0</v>
      </c>
      <c r="F146" s="702" t="s">
        <v>418</v>
      </c>
      <c r="G146" s="702" t="s">
        <v>50</v>
      </c>
      <c r="H146" s="705">
        <v>61388.0</v>
      </c>
      <c r="I146" s="705">
        <v>66746.0</v>
      </c>
      <c r="J146" s="706">
        <v>55562.0</v>
      </c>
      <c r="K146" s="695"/>
      <c r="L146" s="707" t="s">
        <v>419</v>
      </c>
      <c r="M146" s="708" t="s">
        <v>495</v>
      </c>
      <c r="N146" s="708" t="s">
        <v>420</v>
      </c>
      <c r="O146" s="708" t="s">
        <v>417</v>
      </c>
      <c r="P146" s="708" t="s">
        <v>422</v>
      </c>
      <c r="Q146" s="708" t="s">
        <v>50</v>
      </c>
      <c r="R146" s="708">
        <v>2021.0</v>
      </c>
      <c r="S146" s="709">
        <v>3838.034164</v>
      </c>
      <c r="T146" s="709">
        <v>7171.520553</v>
      </c>
      <c r="U146" s="710">
        <v>1571.780023</v>
      </c>
      <c r="AH146" s="712" t="s">
        <v>424</v>
      </c>
      <c r="AI146" s="714" t="s">
        <v>105</v>
      </c>
      <c r="AJ146" s="714" t="s">
        <v>420</v>
      </c>
      <c r="AK146" s="714" t="s">
        <v>434</v>
      </c>
      <c r="AL146" s="714" t="s">
        <v>422</v>
      </c>
      <c r="AM146" s="714" t="s">
        <v>423</v>
      </c>
      <c r="AN146" s="715">
        <v>2021.0</v>
      </c>
      <c r="AO146" s="716">
        <v>25211.34042</v>
      </c>
      <c r="AP146" s="716">
        <v>42740.55352</v>
      </c>
      <c r="AQ146" s="717">
        <v>15561.49648</v>
      </c>
      <c r="AS146" s="707" t="s">
        <v>422</v>
      </c>
      <c r="AT146" s="708" t="s">
        <v>420</v>
      </c>
      <c r="AU146" s="708" t="s">
        <v>441</v>
      </c>
      <c r="AV146" s="708" t="s">
        <v>526</v>
      </c>
      <c r="AW146" s="708" t="s">
        <v>419</v>
      </c>
      <c r="AX146" s="708" t="s">
        <v>50</v>
      </c>
      <c r="AY146" s="708" t="s">
        <v>427</v>
      </c>
      <c r="AZ146" s="711" t="s">
        <v>428</v>
      </c>
      <c r="BA146" s="709">
        <v>525.3718152</v>
      </c>
      <c r="BB146" s="709">
        <v>97.59190845</v>
      </c>
      <c r="BC146" s="709">
        <v>1385.658162</v>
      </c>
      <c r="BD146" s="710" t="s">
        <v>429</v>
      </c>
      <c r="CE146" s="460"/>
    </row>
    <row r="147">
      <c r="A147" s="690"/>
      <c r="B147" s="712" t="s">
        <v>444</v>
      </c>
      <c r="C147" s="713" t="s">
        <v>416</v>
      </c>
      <c r="D147" s="714" t="s">
        <v>502</v>
      </c>
      <c r="E147" s="715">
        <v>2021.0</v>
      </c>
      <c r="F147" s="713" t="s">
        <v>418</v>
      </c>
      <c r="G147" s="713" t="s">
        <v>50</v>
      </c>
      <c r="H147" s="716">
        <v>22349.0</v>
      </c>
      <c r="I147" s="716">
        <v>24299.0</v>
      </c>
      <c r="J147" s="717">
        <v>20228.0</v>
      </c>
      <c r="K147" s="695"/>
      <c r="L147" s="707" t="s">
        <v>419</v>
      </c>
      <c r="M147" s="708" t="s">
        <v>495</v>
      </c>
      <c r="N147" s="708" t="s">
        <v>420</v>
      </c>
      <c r="O147" s="708" t="s">
        <v>438</v>
      </c>
      <c r="P147" s="708" t="s">
        <v>422</v>
      </c>
      <c r="Q147" s="708" t="s">
        <v>50</v>
      </c>
      <c r="R147" s="708">
        <v>2021.0</v>
      </c>
      <c r="S147" s="709">
        <v>581.4959224</v>
      </c>
      <c r="T147" s="709">
        <v>1183.737033</v>
      </c>
      <c r="U147" s="710">
        <v>197.1068765</v>
      </c>
      <c r="AH147" s="701" t="s">
        <v>424</v>
      </c>
      <c r="AI147" s="703" t="s">
        <v>105</v>
      </c>
      <c r="AJ147" s="703" t="s">
        <v>420</v>
      </c>
      <c r="AK147" s="703" t="s">
        <v>417</v>
      </c>
      <c r="AL147" s="703" t="s">
        <v>422</v>
      </c>
      <c r="AM147" s="703" t="s">
        <v>423</v>
      </c>
      <c r="AN147" s="704">
        <v>2021.0</v>
      </c>
      <c r="AO147" s="705">
        <v>41891.8556</v>
      </c>
      <c r="AP147" s="705">
        <v>64237.67758</v>
      </c>
      <c r="AQ147" s="706">
        <v>23150.61516</v>
      </c>
      <c r="AS147" s="707" t="s">
        <v>422</v>
      </c>
      <c r="AT147" s="708" t="s">
        <v>420</v>
      </c>
      <c r="AU147" s="708" t="s">
        <v>445</v>
      </c>
      <c r="AV147" s="708" t="s">
        <v>526</v>
      </c>
      <c r="AW147" s="708" t="s">
        <v>419</v>
      </c>
      <c r="AX147" s="708" t="s">
        <v>50</v>
      </c>
      <c r="AY147" s="708" t="s">
        <v>427</v>
      </c>
      <c r="AZ147" s="711" t="s">
        <v>428</v>
      </c>
      <c r="BA147" s="709">
        <v>3454.342019</v>
      </c>
      <c r="BB147" s="709">
        <v>703.9691919</v>
      </c>
      <c r="BC147" s="709">
        <v>8666.981192</v>
      </c>
      <c r="BD147" s="710" t="s">
        <v>429</v>
      </c>
      <c r="CE147" s="460"/>
    </row>
    <row r="148">
      <c r="A148" s="690"/>
      <c r="B148" s="701" t="s">
        <v>444</v>
      </c>
      <c r="C148" s="702" t="s">
        <v>416</v>
      </c>
      <c r="D148" s="703" t="s">
        <v>505</v>
      </c>
      <c r="E148" s="704">
        <v>2021.0</v>
      </c>
      <c r="F148" s="702" t="s">
        <v>418</v>
      </c>
      <c r="G148" s="702" t="s">
        <v>50</v>
      </c>
      <c r="H148" s="705">
        <v>6086.0</v>
      </c>
      <c r="I148" s="705">
        <v>6617.0</v>
      </c>
      <c r="J148" s="706">
        <v>5508.0</v>
      </c>
      <c r="K148" s="695"/>
      <c r="L148" s="707" t="s">
        <v>419</v>
      </c>
      <c r="M148" s="708" t="s">
        <v>498</v>
      </c>
      <c r="N148" s="708" t="s">
        <v>420</v>
      </c>
      <c r="O148" s="708" t="s">
        <v>421</v>
      </c>
      <c r="P148" s="708" t="s">
        <v>422</v>
      </c>
      <c r="Q148" s="708" t="s">
        <v>50</v>
      </c>
      <c r="R148" s="708">
        <v>2021.0</v>
      </c>
      <c r="S148" s="709">
        <v>339.3320228</v>
      </c>
      <c r="T148" s="709">
        <v>707.4440043</v>
      </c>
      <c r="U148" s="710">
        <v>68.65898642</v>
      </c>
      <c r="AH148" s="712" t="s">
        <v>424</v>
      </c>
      <c r="AI148" s="714" t="s">
        <v>537</v>
      </c>
      <c r="AJ148" s="714" t="s">
        <v>420</v>
      </c>
      <c r="AK148" s="714" t="s">
        <v>421</v>
      </c>
      <c r="AL148" s="714" t="s">
        <v>422</v>
      </c>
      <c r="AM148" s="714" t="s">
        <v>423</v>
      </c>
      <c r="AN148" s="715">
        <v>2021.0</v>
      </c>
      <c r="AO148" s="716">
        <v>27551.70707</v>
      </c>
      <c r="AP148" s="716">
        <v>49459.723</v>
      </c>
      <c r="AQ148" s="717">
        <v>11299.06254</v>
      </c>
      <c r="AS148" s="707" t="s">
        <v>422</v>
      </c>
      <c r="AT148" s="708" t="s">
        <v>420</v>
      </c>
      <c r="AU148" s="708" t="s">
        <v>425</v>
      </c>
      <c r="AV148" s="708" t="s">
        <v>528</v>
      </c>
      <c r="AW148" s="708" t="s">
        <v>419</v>
      </c>
      <c r="AX148" s="708" t="s">
        <v>50</v>
      </c>
      <c r="AY148" s="708" t="s">
        <v>427</v>
      </c>
      <c r="AZ148" s="711" t="s">
        <v>428</v>
      </c>
      <c r="BA148" s="709">
        <v>2904.764329</v>
      </c>
      <c r="BB148" s="709">
        <v>725.4927324</v>
      </c>
      <c r="BC148" s="709">
        <v>6924.658408</v>
      </c>
      <c r="BD148" s="710" t="s">
        <v>429</v>
      </c>
      <c r="CE148" s="460"/>
    </row>
    <row r="149">
      <c r="A149" s="690"/>
      <c r="B149" s="712" t="s">
        <v>444</v>
      </c>
      <c r="C149" s="713" t="s">
        <v>416</v>
      </c>
      <c r="D149" s="714" t="s">
        <v>508</v>
      </c>
      <c r="E149" s="715">
        <v>2021.0</v>
      </c>
      <c r="F149" s="713" t="s">
        <v>418</v>
      </c>
      <c r="G149" s="713" t="s">
        <v>50</v>
      </c>
      <c r="H149" s="716">
        <v>17857.0</v>
      </c>
      <c r="I149" s="716">
        <v>19415.0</v>
      </c>
      <c r="J149" s="717">
        <v>16162.0</v>
      </c>
      <c r="K149" s="695"/>
      <c r="L149" s="707" t="s">
        <v>419</v>
      </c>
      <c r="M149" s="708" t="s">
        <v>498</v>
      </c>
      <c r="N149" s="708" t="s">
        <v>420</v>
      </c>
      <c r="O149" s="708" t="s">
        <v>432</v>
      </c>
      <c r="P149" s="708" t="s">
        <v>422</v>
      </c>
      <c r="Q149" s="708" t="s">
        <v>50</v>
      </c>
      <c r="R149" s="708">
        <v>2021.0</v>
      </c>
      <c r="S149" s="709">
        <v>0.0</v>
      </c>
      <c r="T149" s="709">
        <v>0.0</v>
      </c>
      <c r="U149" s="710">
        <v>0.0</v>
      </c>
      <c r="AH149" s="701" t="s">
        <v>424</v>
      </c>
      <c r="AI149" s="703" t="s">
        <v>537</v>
      </c>
      <c r="AJ149" s="703" t="s">
        <v>420</v>
      </c>
      <c r="AK149" s="703" t="s">
        <v>434</v>
      </c>
      <c r="AL149" s="703" t="s">
        <v>422</v>
      </c>
      <c r="AM149" s="703" t="s">
        <v>423</v>
      </c>
      <c r="AN149" s="704">
        <v>2021.0</v>
      </c>
      <c r="AO149" s="705">
        <v>13053.66167</v>
      </c>
      <c r="AP149" s="705">
        <v>21743.36968</v>
      </c>
      <c r="AQ149" s="706">
        <v>8083.544131</v>
      </c>
      <c r="AS149" s="707" t="s">
        <v>422</v>
      </c>
      <c r="AT149" s="708" t="s">
        <v>420</v>
      </c>
      <c r="AU149" s="708" t="s">
        <v>435</v>
      </c>
      <c r="AV149" s="708" t="s">
        <v>528</v>
      </c>
      <c r="AW149" s="708" t="s">
        <v>419</v>
      </c>
      <c r="AX149" s="708" t="s">
        <v>50</v>
      </c>
      <c r="AY149" s="708" t="s">
        <v>427</v>
      </c>
      <c r="AZ149" s="711" t="s">
        <v>428</v>
      </c>
      <c r="BA149" s="709">
        <v>67.86158528</v>
      </c>
      <c r="BB149" s="709">
        <v>13.30225672</v>
      </c>
      <c r="BC149" s="709">
        <v>183.5454242</v>
      </c>
      <c r="BD149" s="710" t="s">
        <v>429</v>
      </c>
      <c r="CE149" s="460"/>
    </row>
    <row r="150">
      <c r="A150" s="690"/>
      <c r="B150" s="701" t="s">
        <v>444</v>
      </c>
      <c r="C150" s="702" t="s">
        <v>416</v>
      </c>
      <c r="D150" s="703" t="s">
        <v>511</v>
      </c>
      <c r="E150" s="704">
        <v>2021.0</v>
      </c>
      <c r="F150" s="702" t="s">
        <v>418</v>
      </c>
      <c r="G150" s="702" t="s">
        <v>50</v>
      </c>
      <c r="H150" s="705">
        <v>32237.0</v>
      </c>
      <c r="I150" s="705">
        <v>35051.0</v>
      </c>
      <c r="J150" s="706">
        <v>29178.0</v>
      </c>
      <c r="K150" s="695"/>
      <c r="L150" s="707" t="s">
        <v>419</v>
      </c>
      <c r="M150" s="708" t="s">
        <v>498</v>
      </c>
      <c r="N150" s="708" t="s">
        <v>420</v>
      </c>
      <c r="O150" s="708" t="s">
        <v>439</v>
      </c>
      <c r="P150" s="708" t="s">
        <v>422</v>
      </c>
      <c r="Q150" s="708" t="s">
        <v>50</v>
      </c>
      <c r="R150" s="708">
        <v>2021.0</v>
      </c>
      <c r="S150" s="709">
        <v>24.63881179</v>
      </c>
      <c r="T150" s="709">
        <v>55.52162793</v>
      </c>
      <c r="U150" s="710">
        <v>3.966417089</v>
      </c>
      <c r="AH150" s="712" t="s">
        <v>424</v>
      </c>
      <c r="AI150" s="714" t="s">
        <v>537</v>
      </c>
      <c r="AJ150" s="714" t="s">
        <v>420</v>
      </c>
      <c r="AK150" s="714" t="s">
        <v>417</v>
      </c>
      <c r="AL150" s="714" t="s">
        <v>422</v>
      </c>
      <c r="AM150" s="714" t="s">
        <v>423</v>
      </c>
      <c r="AN150" s="715">
        <v>2021.0</v>
      </c>
      <c r="AO150" s="716">
        <v>19461.38694</v>
      </c>
      <c r="AP150" s="716">
        <v>34969.91393</v>
      </c>
      <c r="AQ150" s="717">
        <v>7797.437753</v>
      </c>
      <c r="AS150" s="707" t="s">
        <v>422</v>
      </c>
      <c r="AT150" s="708" t="s">
        <v>420</v>
      </c>
      <c r="AU150" s="708" t="s">
        <v>441</v>
      </c>
      <c r="AV150" s="708" t="s">
        <v>528</v>
      </c>
      <c r="AW150" s="708" t="s">
        <v>419</v>
      </c>
      <c r="AX150" s="708" t="s">
        <v>50</v>
      </c>
      <c r="AY150" s="708" t="s">
        <v>427</v>
      </c>
      <c r="AZ150" s="711" t="s">
        <v>428</v>
      </c>
      <c r="BA150" s="709">
        <v>570.4463855</v>
      </c>
      <c r="BB150" s="709">
        <v>127.0388078</v>
      </c>
      <c r="BC150" s="709">
        <v>1528.138248</v>
      </c>
      <c r="BD150" s="710" t="s">
        <v>429</v>
      </c>
      <c r="CE150" s="460"/>
    </row>
    <row r="151">
      <c r="A151" s="690"/>
      <c r="B151" s="712" t="s">
        <v>444</v>
      </c>
      <c r="C151" s="713" t="s">
        <v>416</v>
      </c>
      <c r="D151" s="714" t="s">
        <v>514</v>
      </c>
      <c r="E151" s="715">
        <v>2021.0</v>
      </c>
      <c r="F151" s="713" t="s">
        <v>418</v>
      </c>
      <c r="G151" s="713" t="s">
        <v>50</v>
      </c>
      <c r="H151" s="716">
        <v>13125.0</v>
      </c>
      <c r="I151" s="716">
        <v>14270.0</v>
      </c>
      <c r="J151" s="717">
        <v>11879.0</v>
      </c>
      <c r="K151" s="695"/>
      <c r="L151" s="707" t="s">
        <v>419</v>
      </c>
      <c r="M151" s="708" t="s">
        <v>498</v>
      </c>
      <c r="N151" s="708" t="s">
        <v>420</v>
      </c>
      <c r="O151" s="708" t="s">
        <v>443</v>
      </c>
      <c r="P151" s="708" t="s">
        <v>422</v>
      </c>
      <c r="Q151" s="708" t="s">
        <v>50</v>
      </c>
      <c r="R151" s="708">
        <v>2021.0</v>
      </c>
      <c r="S151" s="709">
        <v>578.677639</v>
      </c>
      <c r="T151" s="709">
        <v>1309.204247</v>
      </c>
      <c r="U151" s="710">
        <v>127.1915199</v>
      </c>
      <c r="AH151" s="701" t="s">
        <v>424</v>
      </c>
      <c r="AI151" s="703" t="s">
        <v>538</v>
      </c>
      <c r="AJ151" s="703" t="s">
        <v>420</v>
      </c>
      <c r="AK151" s="703" t="s">
        <v>421</v>
      </c>
      <c r="AL151" s="703" t="s">
        <v>422</v>
      </c>
      <c r="AM151" s="703" t="s">
        <v>423</v>
      </c>
      <c r="AN151" s="704">
        <v>2021.0</v>
      </c>
      <c r="AO151" s="705">
        <v>43799.87333</v>
      </c>
      <c r="AP151" s="705">
        <v>69558.6475</v>
      </c>
      <c r="AQ151" s="706">
        <v>22322.19892</v>
      </c>
      <c r="AS151" s="728" t="s">
        <v>422</v>
      </c>
      <c r="AT151" s="729" t="s">
        <v>420</v>
      </c>
      <c r="AU151" s="729" t="s">
        <v>445</v>
      </c>
      <c r="AV151" s="729" t="s">
        <v>528</v>
      </c>
      <c r="AW151" s="729" t="s">
        <v>419</v>
      </c>
      <c r="AX151" s="729" t="s">
        <v>50</v>
      </c>
      <c r="AY151" s="729" t="s">
        <v>427</v>
      </c>
      <c r="AZ151" s="730" t="s">
        <v>428</v>
      </c>
      <c r="BA151" s="731">
        <v>3907.981166</v>
      </c>
      <c r="BB151" s="731">
        <v>919.8723932</v>
      </c>
      <c r="BC151" s="731">
        <v>9250.990456</v>
      </c>
      <c r="BD151" s="732" t="s">
        <v>429</v>
      </c>
      <c r="CE151" s="460"/>
    </row>
    <row r="152">
      <c r="A152" s="690"/>
      <c r="B152" s="701" t="s">
        <v>444</v>
      </c>
      <c r="C152" s="702" t="s">
        <v>416</v>
      </c>
      <c r="D152" s="703" t="s">
        <v>439</v>
      </c>
      <c r="E152" s="704">
        <v>2021.0</v>
      </c>
      <c r="F152" s="702" t="s">
        <v>418</v>
      </c>
      <c r="G152" s="702" t="s">
        <v>50</v>
      </c>
      <c r="H152" s="705">
        <v>705.0</v>
      </c>
      <c r="I152" s="705">
        <v>766.0</v>
      </c>
      <c r="J152" s="706">
        <v>638.0</v>
      </c>
      <c r="K152" s="695"/>
      <c r="L152" s="707" t="s">
        <v>419</v>
      </c>
      <c r="M152" s="708" t="s">
        <v>498</v>
      </c>
      <c r="N152" s="708" t="s">
        <v>420</v>
      </c>
      <c r="O152" s="708" t="s">
        <v>417</v>
      </c>
      <c r="P152" s="708" t="s">
        <v>422</v>
      </c>
      <c r="Q152" s="708" t="s">
        <v>50</v>
      </c>
      <c r="R152" s="708">
        <v>2021.0</v>
      </c>
      <c r="S152" s="709">
        <v>145.8852373</v>
      </c>
      <c r="T152" s="709">
        <v>317.3280628</v>
      </c>
      <c r="U152" s="710">
        <v>28.80232137</v>
      </c>
      <c r="AH152" s="712" t="s">
        <v>424</v>
      </c>
      <c r="AI152" s="714" t="s">
        <v>538</v>
      </c>
      <c r="AJ152" s="714" t="s">
        <v>420</v>
      </c>
      <c r="AK152" s="714" t="s">
        <v>434</v>
      </c>
      <c r="AL152" s="714" t="s">
        <v>422</v>
      </c>
      <c r="AM152" s="714" t="s">
        <v>423</v>
      </c>
      <c r="AN152" s="715">
        <v>2021.0</v>
      </c>
      <c r="AO152" s="716">
        <v>19439.57051</v>
      </c>
      <c r="AP152" s="716">
        <v>34075.85211</v>
      </c>
      <c r="AQ152" s="717">
        <v>10623.19137</v>
      </c>
      <c r="CE152" s="460"/>
    </row>
    <row r="153">
      <c r="A153" s="690"/>
      <c r="B153" s="712" t="s">
        <v>444</v>
      </c>
      <c r="C153" s="713" t="s">
        <v>416</v>
      </c>
      <c r="D153" s="714" t="s">
        <v>517</v>
      </c>
      <c r="E153" s="715">
        <v>2021.0</v>
      </c>
      <c r="F153" s="713" t="s">
        <v>418</v>
      </c>
      <c r="G153" s="713" t="s">
        <v>50</v>
      </c>
      <c r="H153" s="716">
        <v>9144.0</v>
      </c>
      <c r="I153" s="716">
        <v>9942.0</v>
      </c>
      <c r="J153" s="717">
        <v>8277.0</v>
      </c>
      <c r="K153" s="695"/>
      <c r="L153" s="707" t="s">
        <v>419</v>
      </c>
      <c r="M153" s="708" t="s">
        <v>498</v>
      </c>
      <c r="N153" s="708" t="s">
        <v>420</v>
      </c>
      <c r="O153" s="708" t="s">
        <v>438</v>
      </c>
      <c r="P153" s="708" t="s">
        <v>422</v>
      </c>
      <c r="Q153" s="708" t="s">
        <v>50</v>
      </c>
      <c r="R153" s="708">
        <v>2021.0</v>
      </c>
      <c r="S153" s="709">
        <v>24.63881179</v>
      </c>
      <c r="T153" s="709">
        <v>55.52162793</v>
      </c>
      <c r="U153" s="710">
        <v>3.966417089</v>
      </c>
      <c r="AH153" s="701" t="s">
        <v>424</v>
      </c>
      <c r="AI153" s="703" t="s">
        <v>538</v>
      </c>
      <c r="AJ153" s="703" t="s">
        <v>420</v>
      </c>
      <c r="AK153" s="703" t="s">
        <v>417</v>
      </c>
      <c r="AL153" s="703" t="s">
        <v>422</v>
      </c>
      <c r="AM153" s="703" t="s">
        <v>423</v>
      </c>
      <c r="AN153" s="704">
        <v>2021.0</v>
      </c>
      <c r="AO153" s="705">
        <v>30911.06619</v>
      </c>
      <c r="AP153" s="705">
        <v>49090.73468</v>
      </c>
      <c r="AQ153" s="706">
        <v>15753.80179</v>
      </c>
      <c r="CE153" s="460"/>
    </row>
    <row r="154">
      <c r="A154" s="690"/>
      <c r="B154" s="701" t="s">
        <v>444</v>
      </c>
      <c r="C154" s="702" t="s">
        <v>416</v>
      </c>
      <c r="D154" s="703" t="s">
        <v>520</v>
      </c>
      <c r="E154" s="704">
        <v>2021.0</v>
      </c>
      <c r="F154" s="702" t="s">
        <v>418</v>
      </c>
      <c r="G154" s="702" t="s">
        <v>50</v>
      </c>
      <c r="H154" s="705">
        <v>9968.0</v>
      </c>
      <c r="I154" s="705">
        <v>10838.0</v>
      </c>
      <c r="J154" s="706">
        <v>9022.0</v>
      </c>
      <c r="K154" s="695"/>
      <c r="L154" s="723" t="s">
        <v>419</v>
      </c>
      <c r="M154" s="724" t="s">
        <v>501</v>
      </c>
      <c r="N154" s="724" t="s">
        <v>420</v>
      </c>
      <c r="O154" s="724" t="s">
        <v>421</v>
      </c>
      <c r="P154" s="724" t="s">
        <v>422</v>
      </c>
      <c r="Q154" s="724" t="s">
        <v>50</v>
      </c>
      <c r="R154" s="725">
        <v>2021.0</v>
      </c>
      <c r="S154" s="726">
        <v>5014.197693</v>
      </c>
      <c r="T154" s="726">
        <v>17096.13459</v>
      </c>
      <c r="U154" s="727">
        <v>0.0</v>
      </c>
      <c r="AH154" s="712" t="s">
        <v>424</v>
      </c>
      <c r="AI154" s="714" t="s">
        <v>539</v>
      </c>
      <c r="AJ154" s="714" t="s">
        <v>420</v>
      </c>
      <c r="AK154" s="714" t="s">
        <v>421</v>
      </c>
      <c r="AL154" s="714" t="s">
        <v>422</v>
      </c>
      <c r="AM154" s="714" t="s">
        <v>423</v>
      </c>
      <c r="AN154" s="715">
        <v>2021.0</v>
      </c>
      <c r="AO154" s="716">
        <v>3038.471032</v>
      </c>
      <c r="AP154" s="716">
        <v>4540.470966</v>
      </c>
      <c r="AQ154" s="717">
        <v>1961.228563</v>
      </c>
      <c r="CE154" s="460"/>
    </row>
    <row r="155">
      <c r="A155" s="690"/>
      <c r="B155" s="712" t="s">
        <v>444</v>
      </c>
      <c r="C155" s="713" t="s">
        <v>416</v>
      </c>
      <c r="D155" s="714" t="s">
        <v>521</v>
      </c>
      <c r="E155" s="715">
        <v>2021.0</v>
      </c>
      <c r="F155" s="713" t="s">
        <v>418</v>
      </c>
      <c r="G155" s="713" t="s">
        <v>50</v>
      </c>
      <c r="H155" s="716">
        <v>5725.0</v>
      </c>
      <c r="I155" s="716">
        <v>6225.0</v>
      </c>
      <c r="J155" s="717">
        <v>5182.0</v>
      </c>
      <c r="K155" s="695"/>
      <c r="L155" s="723" t="s">
        <v>419</v>
      </c>
      <c r="M155" s="724" t="s">
        <v>501</v>
      </c>
      <c r="N155" s="724" t="s">
        <v>420</v>
      </c>
      <c r="O155" s="724" t="s">
        <v>432</v>
      </c>
      <c r="P155" s="724" t="s">
        <v>422</v>
      </c>
      <c r="Q155" s="724" t="s">
        <v>50</v>
      </c>
      <c r="R155" s="725">
        <v>2021.0</v>
      </c>
      <c r="S155" s="726">
        <v>0.0</v>
      </c>
      <c r="T155" s="726">
        <v>0.0</v>
      </c>
      <c r="U155" s="727">
        <v>0.0</v>
      </c>
      <c r="AH155" s="701" t="s">
        <v>424</v>
      </c>
      <c r="AI155" s="703" t="s">
        <v>539</v>
      </c>
      <c r="AJ155" s="703" t="s">
        <v>420</v>
      </c>
      <c r="AK155" s="703" t="s">
        <v>434</v>
      </c>
      <c r="AL155" s="703" t="s">
        <v>422</v>
      </c>
      <c r="AM155" s="703" t="s">
        <v>423</v>
      </c>
      <c r="AN155" s="704">
        <v>2021.0</v>
      </c>
      <c r="AO155" s="705">
        <v>2995.704754</v>
      </c>
      <c r="AP155" s="705">
        <v>4110.99855</v>
      </c>
      <c r="AQ155" s="706">
        <v>2141.52433</v>
      </c>
      <c r="CE155" s="460"/>
    </row>
    <row r="156">
      <c r="A156" s="690"/>
      <c r="B156" s="701" t="s">
        <v>444</v>
      </c>
      <c r="C156" s="702" t="s">
        <v>416</v>
      </c>
      <c r="D156" s="703" t="s">
        <v>524</v>
      </c>
      <c r="E156" s="704">
        <v>2021.0</v>
      </c>
      <c r="F156" s="702" t="s">
        <v>418</v>
      </c>
      <c r="G156" s="702" t="s">
        <v>50</v>
      </c>
      <c r="H156" s="705">
        <v>3043.0</v>
      </c>
      <c r="I156" s="705">
        <v>3309.0</v>
      </c>
      <c r="J156" s="706">
        <v>2754.0</v>
      </c>
      <c r="K156" s="695"/>
      <c r="L156" s="707" t="s">
        <v>419</v>
      </c>
      <c r="M156" s="708" t="s">
        <v>501</v>
      </c>
      <c r="N156" s="708" t="s">
        <v>420</v>
      </c>
      <c r="O156" s="708" t="s">
        <v>439</v>
      </c>
      <c r="P156" s="708" t="s">
        <v>422</v>
      </c>
      <c r="Q156" s="708" t="s">
        <v>50</v>
      </c>
      <c r="R156" s="708">
        <v>2021.0</v>
      </c>
      <c r="S156" s="709">
        <v>111.9372457</v>
      </c>
      <c r="T156" s="709">
        <v>471.7143294</v>
      </c>
      <c r="U156" s="710">
        <v>0.0</v>
      </c>
      <c r="AH156" s="733" t="s">
        <v>424</v>
      </c>
      <c r="AI156" s="734" t="s">
        <v>539</v>
      </c>
      <c r="AJ156" s="734" t="s">
        <v>420</v>
      </c>
      <c r="AK156" s="734" t="s">
        <v>417</v>
      </c>
      <c r="AL156" s="734" t="s">
        <v>422</v>
      </c>
      <c r="AM156" s="734" t="s">
        <v>423</v>
      </c>
      <c r="AN156" s="735">
        <v>2021.0</v>
      </c>
      <c r="AO156" s="736">
        <v>2114.704578</v>
      </c>
      <c r="AP156" s="736">
        <v>3169.281336</v>
      </c>
      <c r="AQ156" s="737">
        <v>1359.912853</v>
      </c>
      <c r="CE156" s="460"/>
    </row>
    <row r="157">
      <c r="A157" s="690"/>
      <c r="B157" s="712" t="s">
        <v>444</v>
      </c>
      <c r="C157" s="713" t="s">
        <v>416</v>
      </c>
      <c r="D157" s="714" t="s">
        <v>527</v>
      </c>
      <c r="E157" s="715">
        <v>2021.0</v>
      </c>
      <c r="F157" s="713" t="s">
        <v>418</v>
      </c>
      <c r="G157" s="713" t="s">
        <v>50</v>
      </c>
      <c r="H157" s="716">
        <v>952.0</v>
      </c>
      <c r="I157" s="716">
        <v>1035.0</v>
      </c>
      <c r="J157" s="717">
        <v>862.0</v>
      </c>
      <c r="K157" s="695"/>
      <c r="L157" s="718" t="s">
        <v>419</v>
      </c>
      <c r="M157" s="719" t="s">
        <v>501</v>
      </c>
      <c r="N157" s="719" t="s">
        <v>420</v>
      </c>
      <c r="O157" s="719" t="s">
        <v>443</v>
      </c>
      <c r="P157" s="719" t="s">
        <v>422</v>
      </c>
      <c r="Q157" s="719" t="s">
        <v>50</v>
      </c>
      <c r="R157" s="720">
        <v>2021.0</v>
      </c>
      <c r="S157" s="721">
        <v>16917.0645</v>
      </c>
      <c r="T157" s="721">
        <v>66855.92759</v>
      </c>
      <c r="U157" s="722">
        <v>0.0</v>
      </c>
      <c r="CE157" s="460"/>
    </row>
    <row r="158">
      <c r="A158" s="690"/>
      <c r="B158" s="701" t="s">
        <v>444</v>
      </c>
      <c r="C158" s="702" t="s">
        <v>416</v>
      </c>
      <c r="D158" s="703" t="s">
        <v>529</v>
      </c>
      <c r="E158" s="704">
        <v>2021.0</v>
      </c>
      <c r="F158" s="702" t="s">
        <v>418</v>
      </c>
      <c r="G158" s="702" t="s">
        <v>50</v>
      </c>
      <c r="H158" s="705">
        <v>247.0</v>
      </c>
      <c r="I158" s="705">
        <v>269.0</v>
      </c>
      <c r="J158" s="706">
        <v>224.0</v>
      </c>
      <c r="K158" s="695"/>
      <c r="L158" s="707" t="s">
        <v>419</v>
      </c>
      <c r="M158" s="708" t="s">
        <v>501</v>
      </c>
      <c r="N158" s="708" t="s">
        <v>420</v>
      </c>
      <c r="O158" s="708" t="s">
        <v>417</v>
      </c>
      <c r="P158" s="708" t="s">
        <v>422</v>
      </c>
      <c r="Q158" s="708" t="s">
        <v>50</v>
      </c>
      <c r="R158" s="708">
        <v>2021.0</v>
      </c>
      <c r="S158" s="709">
        <v>2277.363289</v>
      </c>
      <c r="T158" s="709">
        <v>7646.971302</v>
      </c>
      <c r="U158" s="710">
        <v>0.0</v>
      </c>
      <c r="CE158" s="460"/>
    </row>
    <row r="159">
      <c r="A159" s="690"/>
      <c r="B159" s="712" t="s">
        <v>444</v>
      </c>
      <c r="C159" s="713" t="s">
        <v>416</v>
      </c>
      <c r="D159" s="714" t="s">
        <v>443</v>
      </c>
      <c r="E159" s="715">
        <v>2021.0</v>
      </c>
      <c r="F159" s="713" t="s">
        <v>418</v>
      </c>
      <c r="G159" s="713" t="s">
        <v>50</v>
      </c>
      <c r="H159" s="716">
        <v>756900.0</v>
      </c>
      <c r="I159" s="716">
        <v>822956.0</v>
      </c>
      <c r="J159" s="717">
        <v>685067.0</v>
      </c>
      <c r="K159" s="695"/>
      <c r="L159" s="707" t="s">
        <v>419</v>
      </c>
      <c r="M159" s="708" t="s">
        <v>501</v>
      </c>
      <c r="N159" s="708" t="s">
        <v>420</v>
      </c>
      <c r="O159" s="708" t="s">
        <v>438</v>
      </c>
      <c r="P159" s="708" t="s">
        <v>422</v>
      </c>
      <c r="Q159" s="708" t="s">
        <v>50</v>
      </c>
      <c r="R159" s="708">
        <v>2021.0</v>
      </c>
      <c r="S159" s="709">
        <v>111.9372457</v>
      </c>
      <c r="T159" s="709">
        <v>471.7143294</v>
      </c>
      <c r="U159" s="710">
        <v>0.0</v>
      </c>
      <c r="CE159" s="460"/>
    </row>
    <row r="160">
      <c r="A160" s="690"/>
      <c r="B160" s="701" t="s">
        <v>448</v>
      </c>
      <c r="C160" s="702" t="s">
        <v>416</v>
      </c>
      <c r="D160" s="703" t="s">
        <v>417</v>
      </c>
      <c r="E160" s="704">
        <v>2021.0</v>
      </c>
      <c r="F160" s="702" t="s">
        <v>418</v>
      </c>
      <c r="G160" s="702" t="s">
        <v>50</v>
      </c>
      <c r="H160" s="705">
        <v>47304.0</v>
      </c>
      <c r="I160" s="705">
        <v>53564.0</v>
      </c>
      <c r="J160" s="706">
        <v>41087.0</v>
      </c>
      <c r="K160" s="695"/>
      <c r="L160" s="707" t="s">
        <v>419</v>
      </c>
      <c r="M160" s="708" t="s">
        <v>503</v>
      </c>
      <c r="N160" s="708" t="s">
        <v>420</v>
      </c>
      <c r="O160" s="708" t="s">
        <v>421</v>
      </c>
      <c r="P160" s="708" t="s">
        <v>422</v>
      </c>
      <c r="Q160" s="708" t="s">
        <v>50</v>
      </c>
      <c r="R160" s="708">
        <v>2021.0</v>
      </c>
      <c r="S160" s="709">
        <v>4582.512604</v>
      </c>
      <c r="T160" s="709">
        <v>7109.289594</v>
      </c>
      <c r="U160" s="710">
        <v>2724.691757</v>
      </c>
      <c r="CE160" s="460"/>
    </row>
    <row r="161">
      <c r="A161" s="690"/>
      <c r="B161" s="712" t="s">
        <v>448</v>
      </c>
      <c r="C161" s="713" t="s">
        <v>416</v>
      </c>
      <c r="D161" s="714" t="s">
        <v>431</v>
      </c>
      <c r="E161" s="715">
        <v>2021.0</v>
      </c>
      <c r="F161" s="713" t="s">
        <v>418</v>
      </c>
      <c r="G161" s="713" t="s">
        <v>50</v>
      </c>
      <c r="H161" s="716">
        <v>917006.0</v>
      </c>
      <c r="I161" s="716">
        <v>1038356.0</v>
      </c>
      <c r="J161" s="717">
        <v>796487.0</v>
      </c>
      <c r="K161" s="695"/>
      <c r="L161" s="707" t="s">
        <v>419</v>
      </c>
      <c r="M161" s="708" t="s">
        <v>503</v>
      </c>
      <c r="N161" s="708" t="s">
        <v>420</v>
      </c>
      <c r="O161" s="708" t="s">
        <v>432</v>
      </c>
      <c r="P161" s="708" t="s">
        <v>422</v>
      </c>
      <c r="Q161" s="708" t="s">
        <v>50</v>
      </c>
      <c r="R161" s="708">
        <v>2021.0</v>
      </c>
      <c r="S161" s="709">
        <v>0.0</v>
      </c>
      <c r="T161" s="709">
        <v>0.0</v>
      </c>
      <c r="U161" s="710">
        <v>0.0</v>
      </c>
      <c r="CE161" s="460"/>
    </row>
    <row r="162">
      <c r="A162" s="690"/>
      <c r="B162" s="701" t="s">
        <v>448</v>
      </c>
      <c r="C162" s="702" t="s">
        <v>416</v>
      </c>
      <c r="D162" s="703" t="s">
        <v>438</v>
      </c>
      <c r="E162" s="704">
        <v>2021.0</v>
      </c>
      <c r="F162" s="702" t="s">
        <v>418</v>
      </c>
      <c r="G162" s="702" t="s">
        <v>50</v>
      </c>
      <c r="H162" s="705">
        <v>3661.0</v>
      </c>
      <c r="I162" s="705">
        <v>4146.0</v>
      </c>
      <c r="J162" s="706">
        <v>3180.0</v>
      </c>
      <c r="K162" s="695"/>
      <c r="L162" s="707" t="s">
        <v>419</v>
      </c>
      <c r="M162" s="708" t="s">
        <v>503</v>
      </c>
      <c r="N162" s="708" t="s">
        <v>420</v>
      </c>
      <c r="O162" s="708" t="s">
        <v>439</v>
      </c>
      <c r="P162" s="708" t="s">
        <v>422</v>
      </c>
      <c r="Q162" s="708" t="s">
        <v>50</v>
      </c>
      <c r="R162" s="708">
        <v>2021.0</v>
      </c>
      <c r="S162" s="709">
        <v>484.6450017</v>
      </c>
      <c r="T162" s="709">
        <v>796.8287606</v>
      </c>
      <c r="U162" s="710">
        <v>282.3867147</v>
      </c>
      <c r="CE162" s="460"/>
    </row>
    <row r="163">
      <c r="A163" s="690"/>
      <c r="B163" s="712" t="s">
        <v>448</v>
      </c>
      <c r="C163" s="713" t="s">
        <v>416</v>
      </c>
      <c r="D163" s="714" t="s">
        <v>421</v>
      </c>
      <c r="E163" s="715">
        <v>2021.0</v>
      </c>
      <c r="F163" s="713" t="s">
        <v>418</v>
      </c>
      <c r="G163" s="713" t="s">
        <v>50</v>
      </c>
      <c r="H163" s="716">
        <v>235498.0</v>
      </c>
      <c r="I163" s="716">
        <v>266662.0</v>
      </c>
      <c r="J163" s="717">
        <v>204547.0</v>
      </c>
      <c r="K163" s="695"/>
      <c r="L163" s="707" t="s">
        <v>419</v>
      </c>
      <c r="M163" s="708" t="s">
        <v>503</v>
      </c>
      <c r="N163" s="708" t="s">
        <v>420</v>
      </c>
      <c r="O163" s="708" t="s">
        <v>443</v>
      </c>
      <c r="P163" s="708" t="s">
        <v>422</v>
      </c>
      <c r="Q163" s="708" t="s">
        <v>50</v>
      </c>
      <c r="R163" s="708">
        <v>2021.0</v>
      </c>
      <c r="S163" s="709">
        <v>7550.571744</v>
      </c>
      <c r="T163" s="709">
        <v>11989.85708</v>
      </c>
      <c r="U163" s="710">
        <v>4492.54487</v>
      </c>
      <c r="CE163" s="460"/>
    </row>
    <row r="164">
      <c r="A164" s="690"/>
      <c r="B164" s="701" t="s">
        <v>448</v>
      </c>
      <c r="C164" s="702" t="s">
        <v>416</v>
      </c>
      <c r="D164" s="703" t="s">
        <v>447</v>
      </c>
      <c r="E164" s="704">
        <v>2021.0</v>
      </c>
      <c r="F164" s="702" t="s">
        <v>418</v>
      </c>
      <c r="G164" s="702" t="s">
        <v>50</v>
      </c>
      <c r="H164" s="705">
        <v>698277.0</v>
      </c>
      <c r="I164" s="705">
        <v>790683.0</v>
      </c>
      <c r="J164" s="706">
        <v>606505.0</v>
      </c>
      <c r="K164" s="695"/>
      <c r="L164" s="707" t="s">
        <v>419</v>
      </c>
      <c r="M164" s="708" t="s">
        <v>503</v>
      </c>
      <c r="N164" s="708" t="s">
        <v>420</v>
      </c>
      <c r="O164" s="708" t="s">
        <v>417</v>
      </c>
      <c r="P164" s="708" t="s">
        <v>422</v>
      </c>
      <c r="Q164" s="708" t="s">
        <v>50</v>
      </c>
      <c r="R164" s="708">
        <v>2021.0</v>
      </c>
      <c r="S164" s="709">
        <v>2513.788345</v>
      </c>
      <c r="T164" s="709">
        <v>3921.441848</v>
      </c>
      <c r="U164" s="710">
        <v>1436.979278</v>
      </c>
      <c r="CE164" s="460"/>
    </row>
    <row r="165">
      <c r="A165" s="690"/>
      <c r="B165" s="712" t="s">
        <v>448</v>
      </c>
      <c r="C165" s="713" t="s">
        <v>416</v>
      </c>
      <c r="D165" s="714" t="s">
        <v>432</v>
      </c>
      <c r="E165" s="715">
        <v>2021.0</v>
      </c>
      <c r="F165" s="713" t="s">
        <v>418</v>
      </c>
      <c r="G165" s="713" t="s">
        <v>50</v>
      </c>
      <c r="H165" s="716">
        <v>922.0</v>
      </c>
      <c r="I165" s="716">
        <v>1044.0</v>
      </c>
      <c r="J165" s="717">
        <v>801.0</v>
      </c>
      <c r="K165" s="695"/>
      <c r="L165" s="707" t="s">
        <v>419</v>
      </c>
      <c r="M165" s="708" t="s">
        <v>503</v>
      </c>
      <c r="N165" s="708" t="s">
        <v>420</v>
      </c>
      <c r="O165" s="708" t="s">
        <v>438</v>
      </c>
      <c r="P165" s="708" t="s">
        <v>422</v>
      </c>
      <c r="Q165" s="708" t="s">
        <v>50</v>
      </c>
      <c r="R165" s="708">
        <v>2021.0</v>
      </c>
      <c r="S165" s="709">
        <v>484.6450017</v>
      </c>
      <c r="T165" s="709">
        <v>796.8287606</v>
      </c>
      <c r="U165" s="710">
        <v>282.3867147</v>
      </c>
      <c r="CE165" s="460"/>
    </row>
    <row r="166">
      <c r="A166" s="690"/>
      <c r="B166" s="701" t="s">
        <v>448</v>
      </c>
      <c r="C166" s="702" t="s">
        <v>416</v>
      </c>
      <c r="D166" s="703" t="s">
        <v>450</v>
      </c>
      <c r="E166" s="704">
        <v>2021.0</v>
      </c>
      <c r="F166" s="702" t="s">
        <v>418</v>
      </c>
      <c r="G166" s="702" t="s">
        <v>50</v>
      </c>
      <c r="H166" s="705">
        <v>229138.0</v>
      </c>
      <c r="I166" s="705">
        <v>259460.0</v>
      </c>
      <c r="J166" s="706">
        <v>199023.0</v>
      </c>
      <c r="K166" s="695"/>
      <c r="L166" s="707" t="s">
        <v>419</v>
      </c>
      <c r="M166" s="708" t="s">
        <v>506</v>
      </c>
      <c r="N166" s="708" t="s">
        <v>420</v>
      </c>
      <c r="O166" s="708" t="s">
        <v>443</v>
      </c>
      <c r="P166" s="708" t="s">
        <v>422</v>
      </c>
      <c r="Q166" s="708" t="s">
        <v>50</v>
      </c>
      <c r="R166" s="708">
        <v>2021.0</v>
      </c>
      <c r="S166" s="709">
        <v>0.0</v>
      </c>
      <c r="T166" s="709">
        <v>0.0</v>
      </c>
      <c r="U166" s="710">
        <v>0.0</v>
      </c>
      <c r="CE166" s="460"/>
    </row>
    <row r="167">
      <c r="A167" s="690"/>
      <c r="B167" s="712" t="s">
        <v>448</v>
      </c>
      <c r="C167" s="713" t="s">
        <v>416</v>
      </c>
      <c r="D167" s="714" t="s">
        <v>453</v>
      </c>
      <c r="E167" s="715">
        <v>2021.0</v>
      </c>
      <c r="F167" s="713" t="s">
        <v>418</v>
      </c>
      <c r="G167" s="713" t="s">
        <v>50</v>
      </c>
      <c r="H167" s="716">
        <v>447866.0</v>
      </c>
      <c r="I167" s="716">
        <v>507134.0</v>
      </c>
      <c r="J167" s="717">
        <v>389005.0</v>
      </c>
      <c r="K167" s="695"/>
      <c r="L167" s="707" t="s">
        <v>419</v>
      </c>
      <c r="M167" s="708" t="s">
        <v>506</v>
      </c>
      <c r="N167" s="708" t="s">
        <v>420</v>
      </c>
      <c r="O167" s="708" t="s">
        <v>417</v>
      </c>
      <c r="P167" s="708" t="s">
        <v>422</v>
      </c>
      <c r="Q167" s="708" t="s">
        <v>50</v>
      </c>
      <c r="R167" s="708">
        <v>2021.0</v>
      </c>
      <c r="S167" s="709">
        <v>0.0</v>
      </c>
      <c r="T167" s="709">
        <v>0.0</v>
      </c>
      <c r="U167" s="710">
        <v>0.0</v>
      </c>
      <c r="CE167" s="460"/>
    </row>
    <row r="168">
      <c r="A168" s="690"/>
      <c r="B168" s="701" t="s">
        <v>448</v>
      </c>
      <c r="C168" s="702" t="s">
        <v>416</v>
      </c>
      <c r="D168" s="703" t="s">
        <v>454</v>
      </c>
      <c r="E168" s="704">
        <v>2021.0</v>
      </c>
      <c r="F168" s="702" t="s">
        <v>418</v>
      </c>
      <c r="G168" s="702" t="s">
        <v>50</v>
      </c>
      <c r="H168" s="705">
        <v>653793.0</v>
      </c>
      <c r="I168" s="705">
        <v>740311.0</v>
      </c>
      <c r="J168" s="706">
        <v>567867.0</v>
      </c>
      <c r="K168" s="695"/>
      <c r="L168" s="707" t="s">
        <v>419</v>
      </c>
      <c r="M168" s="708" t="s">
        <v>506</v>
      </c>
      <c r="N168" s="708" t="s">
        <v>420</v>
      </c>
      <c r="O168" s="708" t="s">
        <v>438</v>
      </c>
      <c r="P168" s="708" t="s">
        <v>422</v>
      </c>
      <c r="Q168" s="708" t="s">
        <v>50</v>
      </c>
      <c r="R168" s="708">
        <v>2021.0</v>
      </c>
      <c r="S168" s="709">
        <v>0.0</v>
      </c>
      <c r="T168" s="709">
        <v>0.0</v>
      </c>
      <c r="U168" s="710">
        <v>0.0</v>
      </c>
      <c r="CE168" s="460"/>
    </row>
    <row r="169">
      <c r="A169" s="690"/>
      <c r="B169" s="712" t="s">
        <v>448</v>
      </c>
      <c r="C169" s="713" t="s">
        <v>416</v>
      </c>
      <c r="D169" s="714" t="s">
        <v>457</v>
      </c>
      <c r="E169" s="715">
        <v>2021.0</v>
      </c>
      <c r="F169" s="713" t="s">
        <v>418</v>
      </c>
      <c r="G169" s="713" t="s">
        <v>50</v>
      </c>
      <c r="H169" s="716">
        <v>47117.0</v>
      </c>
      <c r="I169" s="716">
        <v>53352.0</v>
      </c>
      <c r="J169" s="717">
        <v>40925.0</v>
      </c>
      <c r="K169" s="695"/>
      <c r="L169" s="707" t="s">
        <v>419</v>
      </c>
      <c r="M169" s="708" t="s">
        <v>506</v>
      </c>
      <c r="N169" s="708" t="s">
        <v>420</v>
      </c>
      <c r="O169" s="708" t="s">
        <v>421</v>
      </c>
      <c r="P169" s="708" t="s">
        <v>422</v>
      </c>
      <c r="Q169" s="708" t="s">
        <v>50</v>
      </c>
      <c r="R169" s="708">
        <v>2021.0</v>
      </c>
      <c r="S169" s="709">
        <v>0.0</v>
      </c>
      <c r="T169" s="709">
        <v>0.0</v>
      </c>
      <c r="U169" s="710">
        <v>0.0</v>
      </c>
      <c r="CE169" s="460"/>
    </row>
    <row r="170">
      <c r="A170" s="690"/>
      <c r="B170" s="701" t="s">
        <v>448</v>
      </c>
      <c r="C170" s="702" t="s">
        <v>416</v>
      </c>
      <c r="D170" s="703" t="s">
        <v>460</v>
      </c>
      <c r="E170" s="704">
        <v>2021.0</v>
      </c>
      <c r="F170" s="702" t="s">
        <v>418</v>
      </c>
      <c r="G170" s="702" t="s">
        <v>50</v>
      </c>
      <c r="H170" s="705">
        <v>20127.0</v>
      </c>
      <c r="I170" s="705">
        <v>22791.0</v>
      </c>
      <c r="J170" s="706">
        <v>17482.0</v>
      </c>
      <c r="K170" s="695"/>
      <c r="L170" s="707" t="s">
        <v>419</v>
      </c>
      <c r="M170" s="708" t="s">
        <v>506</v>
      </c>
      <c r="N170" s="708" t="s">
        <v>420</v>
      </c>
      <c r="O170" s="708" t="s">
        <v>432</v>
      </c>
      <c r="P170" s="708" t="s">
        <v>422</v>
      </c>
      <c r="Q170" s="708" t="s">
        <v>50</v>
      </c>
      <c r="R170" s="708">
        <v>2021.0</v>
      </c>
      <c r="S170" s="709">
        <v>0.0</v>
      </c>
      <c r="T170" s="709">
        <v>0.0</v>
      </c>
      <c r="U170" s="710">
        <v>0.0</v>
      </c>
      <c r="CE170" s="460"/>
    </row>
    <row r="171">
      <c r="A171" s="690"/>
      <c r="B171" s="712" t="s">
        <v>448</v>
      </c>
      <c r="C171" s="713" t="s">
        <v>416</v>
      </c>
      <c r="D171" s="714" t="s">
        <v>463</v>
      </c>
      <c r="E171" s="715">
        <v>2021.0</v>
      </c>
      <c r="F171" s="713" t="s">
        <v>418</v>
      </c>
      <c r="G171" s="713" t="s">
        <v>50</v>
      </c>
      <c r="H171" s="716">
        <v>218728.0</v>
      </c>
      <c r="I171" s="716">
        <v>247673.0</v>
      </c>
      <c r="J171" s="717">
        <v>189982.0</v>
      </c>
      <c r="K171" s="695"/>
      <c r="L171" s="707" t="s">
        <v>419</v>
      </c>
      <c r="M171" s="708" t="s">
        <v>506</v>
      </c>
      <c r="N171" s="708" t="s">
        <v>420</v>
      </c>
      <c r="O171" s="708" t="s">
        <v>439</v>
      </c>
      <c r="P171" s="708" t="s">
        <v>422</v>
      </c>
      <c r="Q171" s="708" t="s">
        <v>50</v>
      </c>
      <c r="R171" s="708">
        <v>2021.0</v>
      </c>
      <c r="S171" s="709">
        <v>0.0</v>
      </c>
      <c r="T171" s="709">
        <v>0.0</v>
      </c>
      <c r="U171" s="710">
        <v>0.0</v>
      </c>
      <c r="CE171" s="460"/>
    </row>
    <row r="172">
      <c r="A172" s="690"/>
      <c r="B172" s="701" t="s">
        <v>448</v>
      </c>
      <c r="C172" s="702" t="s">
        <v>416</v>
      </c>
      <c r="D172" s="703" t="s">
        <v>465</v>
      </c>
      <c r="E172" s="704">
        <v>2021.0</v>
      </c>
      <c r="F172" s="702" t="s">
        <v>418</v>
      </c>
      <c r="G172" s="702" t="s">
        <v>50</v>
      </c>
      <c r="H172" s="705">
        <v>1359639.0</v>
      </c>
      <c r="I172" s="705">
        <v>1539564.0</v>
      </c>
      <c r="J172" s="706">
        <v>1180946.0</v>
      </c>
      <c r="K172" s="695"/>
      <c r="L172" s="707" t="s">
        <v>419</v>
      </c>
      <c r="M172" s="708" t="s">
        <v>509</v>
      </c>
      <c r="N172" s="708" t="s">
        <v>420</v>
      </c>
      <c r="O172" s="708" t="s">
        <v>421</v>
      </c>
      <c r="P172" s="708" t="s">
        <v>422</v>
      </c>
      <c r="Q172" s="708" t="s">
        <v>50</v>
      </c>
      <c r="R172" s="708">
        <v>2021.0</v>
      </c>
      <c r="S172" s="709">
        <v>2575.56757</v>
      </c>
      <c r="T172" s="709">
        <v>4672.614611</v>
      </c>
      <c r="U172" s="710">
        <v>849.7978435</v>
      </c>
      <c r="CE172" s="460"/>
    </row>
    <row r="173">
      <c r="A173" s="690"/>
      <c r="B173" s="712" t="s">
        <v>448</v>
      </c>
      <c r="C173" s="713" t="s">
        <v>416</v>
      </c>
      <c r="D173" s="714" t="s">
        <v>468</v>
      </c>
      <c r="E173" s="715">
        <v>2021.0</v>
      </c>
      <c r="F173" s="713" t="s">
        <v>418</v>
      </c>
      <c r="G173" s="713" t="s">
        <v>50</v>
      </c>
      <c r="H173" s="716">
        <v>205926.0</v>
      </c>
      <c r="I173" s="716">
        <v>233177.0</v>
      </c>
      <c r="J173" s="717">
        <v>178862.0</v>
      </c>
      <c r="K173" s="695"/>
      <c r="L173" s="707" t="s">
        <v>419</v>
      </c>
      <c r="M173" s="708" t="s">
        <v>509</v>
      </c>
      <c r="N173" s="708" t="s">
        <v>420</v>
      </c>
      <c r="O173" s="708" t="s">
        <v>432</v>
      </c>
      <c r="P173" s="708" t="s">
        <v>422</v>
      </c>
      <c r="Q173" s="708" t="s">
        <v>50</v>
      </c>
      <c r="R173" s="708">
        <v>2021.0</v>
      </c>
      <c r="S173" s="709">
        <v>0.0</v>
      </c>
      <c r="T173" s="709">
        <v>0.0</v>
      </c>
      <c r="U173" s="710">
        <v>0.0</v>
      </c>
      <c r="CE173" s="460"/>
    </row>
    <row r="174">
      <c r="A174" s="690"/>
      <c r="B174" s="701" t="s">
        <v>448</v>
      </c>
      <c r="C174" s="702" t="s">
        <v>416</v>
      </c>
      <c r="D174" s="703" t="s">
        <v>471</v>
      </c>
      <c r="E174" s="704">
        <v>2021.0</v>
      </c>
      <c r="F174" s="702" t="s">
        <v>418</v>
      </c>
      <c r="G174" s="702" t="s">
        <v>50</v>
      </c>
      <c r="H174" s="705">
        <v>141077.0</v>
      </c>
      <c r="I174" s="705">
        <v>159746.0</v>
      </c>
      <c r="J174" s="706">
        <v>122536.0</v>
      </c>
      <c r="K174" s="695"/>
      <c r="L174" s="718" t="s">
        <v>419</v>
      </c>
      <c r="M174" s="719" t="s">
        <v>509</v>
      </c>
      <c r="N174" s="719" t="s">
        <v>420</v>
      </c>
      <c r="O174" s="719" t="s">
        <v>439</v>
      </c>
      <c r="P174" s="719" t="s">
        <v>422</v>
      </c>
      <c r="Q174" s="719" t="s">
        <v>50</v>
      </c>
      <c r="R174" s="720">
        <v>2021.0</v>
      </c>
      <c r="S174" s="721">
        <v>154.3178314</v>
      </c>
      <c r="T174" s="721">
        <v>312.0103908</v>
      </c>
      <c r="U174" s="722">
        <v>39.26785006</v>
      </c>
      <c r="CE174" s="460"/>
    </row>
    <row r="175">
      <c r="A175" s="690"/>
      <c r="B175" s="712" t="s">
        <v>448</v>
      </c>
      <c r="C175" s="713" t="s">
        <v>416</v>
      </c>
      <c r="D175" s="714" t="s">
        <v>473</v>
      </c>
      <c r="E175" s="715">
        <v>2021.0</v>
      </c>
      <c r="F175" s="713" t="s">
        <v>418</v>
      </c>
      <c r="G175" s="713" t="s">
        <v>50</v>
      </c>
      <c r="H175" s="716">
        <v>1270324.0</v>
      </c>
      <c r="I175" s="716">
        <v>1438429.0</v>
      </c>
      <c r="J175" s="717">
        <v>1103369.0</v>
      </c>
      <c r="K175" s="695"/>
      <c r="L175" s="707" t="s">
        <v>419</v>
      </c>
      <c r="M175" s="708" t="s">
        <v>509</v>
      </c>
      <c r="N175" s="708" t="s">
        <v>420</v>
      </c>
      <c r="O175" s="708" t="s">
        <v>443</v>
      </c>
      <c r="P175" s="708" t="s">
        <v>422</v>
      </c>
      <c r="Q175" s="708" t="s">
        <v>50</v>
      </c>
      <c r="R175" s="708">
        <v>2021.0</v>
      </c>
      <c r="S175" s="709">
        <v>5631.146135</v>
      </c>
      <c r="T175" s="709">
        <v>11230.10841</v>
      </c>
      <c r="U175" s="710">
        <v>1834.365125</v>
      </c>
      <c r="CE175" s="460"/>
    </row>
    <row r="176">
      <c r="A176" s="690"/>
      <c r="B176" s="701" t="s">
        <v>448</v>
      </c>
      <c r="C176" s="702" t="s">
        <v>416</v>
      </c>
      <c r="D176" s="703" t="s">
        <v>476</v>
      </c>
      <c r="E176" s="704">
        <v>2021.0</v>
      </c>
      <c r="F176" s="702" t="s">
        <v>418</v>
      </c>
      <c r="G176" s="702" t="s">
        <v>50</v>
      </c>
      <c r="H176" s="705">
        <v>216844.0</v>
      </c>
      <c r="I176" s="705">
        <v>245539.0</v>
      </c>
      <c r="J176" s="706">
        <v>188345.0</v>
      </c>
      <c r="K176" s="695"/>
      <c r="L176" s="707" t="s">
        <v>419</v>
      </c>
      <c r="M176" s="708" t="s">
        <v>509</v>
      </c>
      <c r="N176" s="708" t="s">
        <v>420</v>
      </c>
      <c r="O176" s="708" t="s">
        <v>417</v>
      </c>
      <c r="P176" s="708" t="s">
        <v>422</v>
      </c>
      <c r="Q176" s="708" t="s">
        <v>50</v>
      </c>
      <c r="R176" s="708">
        <v>2021.0</v>
      </c>
      <c r="S176" s="709">
        <v>1214.483793</v>
      </c>
      <c r="T176" s="709">
        <v>2255.007849</v>
      </c>
      <c r="U176" s="710">
        <v>395.482519</v>
      </c>
      <c r="CE176" s="460"/>
    </row>
    <row r="177">
      <c r="A177" s="690"/>
      <c r="B177" s="712" t="s">
        <v>448</v>
      </c>
      <c r="C177" s="713" t="s">
        <v>416</v>
      </c>
      <c r="D177" s="714" t="s">
        <v>479</v>
      </c>
      <c r="E177" s="715">
        <v>2021.0</v>
      </c>
      <c r="F177" s="713" t="s">
        <v>418</v>
      </c>
      <c r="G177" s="713" t="s">
        <v>50</v>
      </c>
      <c r="H177" s="716">
        <v>214339.0</v>
      </c>
      <c r="I177" s="716">
        <v>242703.0</v>
      </c>
      <c r="J177" s="717">
        <v>186169.0</v>
      </c>
      <c r="K177" s="695"/>
      <c r="L177" s="707" t="s">
        <v>419</v>
      </c>
      <c r="M177" s="708" t="s">
        <v>509</v>
      </c>
      <c r="N177" s="708" t="s">
        <v>420</v>
      </c>
      <c r="O177" s="708" t="s">
        <v>438</v>
      </c>
      <c r="P177" s="708" t="s">
        <v>422</v>
      </c>
      <c r="Q177" s="708" t="s">
        <v>50</v>
      </c>
      <c r="R177" s="708">
        <v>2021.0</v>
      </c>
      <c r="S177" s="709">
        <v>154.3178314</v>
      </c>
      <c r="T177" s="709">
        <v>312.0103908</v>
      </c>
      <c r="U177" s="710">
        <v>39.26785006</v>
      </c>
      <c r="CE177" s="460"/>
    </row>
    <row r="178">
      <c r="A178" s="690"/>
      <c r="B178" s="701" t="s">
        <v>448</v>
      </c>
      <c r="C178" s="702" t="s">
        <v>416</v>
      </c>
      <c r="D178" s="703" t="s">
        <v>482</v>
      </c>
      <c r="E178" s="704">
        <v>2021.0</v>
      </c>
      <c r="F178" s="702" t="s">
        <v>418</v>
      </c>
      <c r="G178" s="702" t="s">
        <v>50</v>
      </c>
      <c r="H178" s="705">
        <v>209536.0</v>
      </c>
      <c r="I178" s="705">
        <v>237265.0</v>
      </c>
      <c r="J178" s="706">
        <v>181997.0</v>
      </c>
      <c r="K178" s="695"/>
      <c r="L178" s="707" t="s">
        <v>419</v>
      </c>
      <c r="M178" s="708" t="s">
        <v>512</v>
      </c>
      <c r="N178" s="708" t="s">
        <v>420</v>
      </c>
      <c r="O178" s="708" t="s">
        <v>421</v>
      </c>
      <c r="P178" s="708" t="s">
        <v>422</v>
      </c>
      <c r="Q178" s="708" t="s">
        <v>50</v>
      </c>
      <c r="R178" s="708">
        <v>2021.0</v>
      </c>
      <c r="S178" s="709">
        <v>3435.261593</v>
      </c>
      <c r="T178" s="709">
        <v>7490.513889</v>
      </c>
      <c r="U178" s="710">
        <v>763.8830312</v>
      </c>
      <c r="CE178" s="460"/>
    </row>
    <row r="179">
      <c r="A179" s="690"/>
      <c r="B179" s="712" t="s">
        <v>448</v>
      </c>
      <c r="C179" s="713" t="s">
        <v>416</v>
      </c>
      <c r="D179" s="714" t="s">
        <v>485</v>
      </c>
      <c r="E179" s="715">
        <v>2021.0</v>
      </c>
      <c r="F179" s="713" t="s">
        <v>418</v>
      </c>
      <c r="G179" s="713" t="s">
        <v>50</v>
      </c>
      <c r="H179" s="716">
        <v>166496.0</v>
      </c>
      <c r="I179" s="716">
        <v>188529.0</v>
      </c>
      <c r="J179" s="717">
        <v>144614.0</v>
      </c>
      <c r="K179" s="695"/>
      <c r="L179" s="707" t="s">
        <v>419</v>
      </c>
      <c r="M179" s="708" t="s">
        <v>512</v>
      </c>
      <c r="N179" s="708" t="s">
        <v>420</v>
      </c>
      <c r="O179" s="708" t="s">
        <v>432</v>
      </c>
      <c r="P179" s="708" t="s">
        <v>422</v>
      </c>
      <c r="Q179" s="708" t="s">
        <v>50</v>
      </c>
      <c r="R179" s="708">
        <v>2021.0</v>
      </c>
      <c r="S179" s="709">
        <v>0.0</v>
      </c>
      <c r="T179" s="709">
        <v>0.0</v>
      </c>
      <c r="U179" s="710">
        <v>0.0</v>
      </c>
      <c r="CE179" s="460"/>
    </row>
    <row r="180">
      <c r="A180" s="690"/>
      <c r="B180" s="701" t="s">
        <v>448</v>
      </c>
      <c r="C180" s="702" t="s">
        <v>416</v>
      </c>
      <c r="D180" s="703" t="s">
        <v>488</v>
      </c>
      <c r="E180" s="704">
        <v>2021.0</v>
      </c>
      <c r="F180" s="702" t="s">
        <v>418</v>
      </c>
      <c r="G180" s="702" t="s">
        <v>50</v>
      </c>
      <c r="H180" s="705">
        <v>127769.0</v>
      </c>
      <c r="I180" s="705">
        <v>144677.0</v>
      </c>
      <c r="J180" s="706">
        <v>110977.0</v>
      </c>
      <c r="K180" s="695"/>
      <c r="L180" s="707" t="s">
        <v>419</v>
      </c>
      <c r="M180" s="708" t="s">
        <v>512</v>
      </c>
      <c r="N180" s="708" t="s">
        <v>420</v>
      </c>
      <c r="O180" s="708" t="s">
        <v>439</v>
      </c>
      <c r="P180" s="708" t="s">
        <v>422</v>
      </c>
      <c r="Q180" s="708" t="s">
        <v>50</v>
      </c>
      <c r="R180" s="708">
        <v>2021.0</v>
      </c>
      <c r="S180" s="709">
        <v>261.6556545</v>
      </c>
      <c r="T180" s="709">
        <v>597.4634659</v>
      </c>
      <c r="U180" s="710">
        <v>54.51319467</v>
      </c>
      <c r="CE180" s="460"/>
    </row>
    <row r="181">
      <c r="A181" s="690"/>
      <c r="B181" s="712" t="s">
        <v>448</v>
      </c>
      <c r="C181" s="713" t="s">
        <v>416</v>
      </c>
      <c r="D181" s="714" t="s">
        <v>491</v>
      </c>
      <c r="E181" s="715">
        <v>2021.0</v>
      </c>
      <c r="F181" s="713" t="s">
        <v>418</v>
      </c>
      <c r="G181" s="713" t="s">
        <v>50</v>
      </c>
      <c r="H181" s="716">
        <v>92916.0</v>
      </c>
      <c r="I181" s="716">
        <v>105212.0</v>
      </c>
      <c r="J181" s="717">
        <v>80704.0</v>
      </c>
      <c r="K181" s="695"/>
      <c r="L181" s="707" t="s">
        <v>419</v>
      </c>
      <c r="M181" s="708" t="s">
        <v>512</v>
      </c>
      <c r="N181" s="708" t="s">
        <v>420</v>
      </c>
      <c r="O181" s="708" t="s">
        <v>443</v>
      </c>
      <c r="P181" s="708" t="s">
        <v>422</v>
      </c>
      <c r="Q181" s="708" t="s">
        <v>50</v>
      </c>
      <c r="R181" s="708">
        <v>2021.0</v>
      </c>
      <c r="S181" s="709">
        <v>6639.041388</v>
      </c>
      <c r="T181" s="709">
        <v>14521.44874</v>
      </c>
      <c r="U181" s="710">
        <v>1512.506055</v>
      </c>
      <c r="CE181" s="460"/>
    </row>
    <row r="182">
      <c r="A182" s="690"/>
      <c r="B182" s="701" t="s">
        <v>448</v>
      </c>
      <c r="C182" s="702" t="s">
        <v>416</v>
      </c>
      <c r="D182" s="703" t="s">
        <v>493</v>
      </c>
      <c r="E182" s="704">
        <v>2021.0</v>
      </c>
      <c r="F182" s="702" t="s">
        <v>418</v>
      </c>
      <c r="G182" s="702" t="s">
        <v>50</v>
      </c>
      <c r="H182" s="705">
        <v>276788.0</v>
      </c>
      <c r="I182" s="705">
        <v>313416.0</v>
      </c>
      <c r="J182" s="706">
        <v>240411.0</v>
      </c>
      <c r="K182" s="695"/>
      <c r="L182" s="707" t="s">
        <v>419</v>
      </c>
      <c r="M182" s="708" t="s">
        <v>512</v>
      </c>
      <c r="N182" s="708" t="s">
        <v>420</v>
      </c>
      <c r="O182" s="708" t="s">
        <v>417</v>
      </c>
      <c r="P182" s="708" t="s">
        <v>422</v>
      </c>
      <c r="Q182" s="708" t="s">
        <v>50</v>
      </c>
      <c r="R182" s="708">
        <v>2021.0</v>
      </c>
      <c r="S182" s="709">
        <v>1845.356838</v>
      </c>
      <c r="T182" s="709">
        <v>4060.962268</v>
      </c>
      <c r="U182" s="710">
        <v>412.7159561</v>
      </c>
      <c r="CE182" s="460"/>
    </row>
    <row r="183">
      <c r="A183" s="690"/>
      <c r="B183" s="712" t="s">
        <v>448</v>
      </c>
      <c r="C183" s="713" t="s">
        <v>416</v>
      </c>
      <c r="D183" s="714" t="s">
        <v>434</v>
      </c>
      <c r="E183" s="715">
        <v>2021.0</v>
      </c>
      <c r="F183" s="713" t="s">
        <v>418</v>
      </c>
      <c r="G183" s="713" t="s">
        <v>50</v>
      </c>
      <c r="H183" s="716">
        <v>462779.0</v>
      </c>
      <c r="I183" s="716">
        <v>524020.0</v>
      </c>
      <c r="J183" s="717">
        <v>401958.0</v>
      </c>
      <c r="K183" s="695"/>
      <c r="L183" s="707" t="s">
        <v>419</v>
      </c>
      <c r="M183" s="708" t="s">
        <v>512</v>
      </c>
      <c r="N183" s="708" t="s">
        <v>420</v>
      </c>
      <c r="O183" s="708" t="s">
        <v>438</v>
      </c>
      <c r="P183" s="708" t="s">
        <v>422</v>
      </c>
      <c r="Q183" s="708" t="s">
        <v>50</v>
      </c>
      <c r="R183" s="708">
        <v>2021.0</v>
      </c>
      <c r="S183" s="709">
        <v>261.6556545</v>
      </c>
      <c r="T183" s="709">
        <v>597.4634659</v>
      </c>
      <c r="U183" s="710">
        <v>54.51319467</v>
      </c>
      <c r="CE183" s="460"/>
    </row>
    <row r="184">
      <c r="A184" s="690"/>
      <c r="B184" s="701" t="s">
        <v>448</v>
      </c>
      <c r="C184" s="702" t="s">
        <v>416</v>
      </c>
      <c r="D184" s="703" t="s">
        <v>497</v>
      </c>
      <c r="E184" s="704">
        <v>2021.0</v>
      </c>
      <c r="F184" s="702" t="s">
        <v>418</v>
      </c>
      <c r="G184" s="702" t="s">
        <v>50</v>
      </c>
      <c r="H184" s="705">
        <v>76676.0</v>
      </c>
      <c r="I184" s="705">
        <v>86823.0</v>
      </c>
      <c r="J184" s="706">
        <v>66599.0</v>
      </c>
      <c r="K184" s="695"/>
      <c r="L184" s="707" t="s">
        <v>419</v>
      </c>
      <c r="M184" s="708" t="s">
        <v>515</v>
      </c>
      <c r="N184" s="708" t="s">
        <v>420</v>
      </c>
      <c r="O184" s="708" t="s">
        <v>421</v>
      </c>
      <c r="P184" s="708" t="s">
        <v>422</v>
      </c>
      <c r="Q184" s="708" t="s">
        <v>50</v>
      </c>
      <c r="R184" s="708">
        <v>2021.0</v>
      </c>
      <c r="S184" s="709">
        <v>4532.333049</v>
      </c>
      <c r="T184" s="709">
        <v>8615.188909</v>
      </c>
      <c r="U184" s="710">
        <v>1786.842721</v>
      </c>
      <c r="CE184" s="460"/>
    </row>
    <row r="185">
      <c r="A185" s="690"/>
      <c r="B185" s="712" t="s">
        <v>448</v>
      </c>
      <c r="C185" s="713" t="s">
        <v>416</v>
      </c>
      <c r="D185" s="714" t="s">
        <v>500</v>
      </c>
      <c r="E185" s="715">
        <v>2021.0</v>
      </c>
      <c r="F185" s="713" t="s">
        <v>418</v>
      </c>
      <c r="G185" s="713" t="s">
        <v>50</v>
      </c>
      <c r="H185" s="716">
        <v>233641.0</v>
      </c>
      <c r="I185" s="716">
        <v>264560.0</v>
      </c>
      <c r="J185" s="717">
        <v>202935.0</v>
      </c>
      <c r="K185" s="695"/>
      <c r="L185" s="707" t="s">
        <v>419</v>
      </c>
      <c r="M185" s="708" t="s">
        <v>515</v>
      </c>
      <c r="N185" s="708" t="s">
        <v>420</v>
      </c>
      <c r="O185" s="708" t="s">
        <v>432</v>
      </c>
      <c r="P185" s="708" t="s">
        <v>422</v>
      </c>
      <c r="Q185" s="708" t="s">
        <v>50</v>
      </c>
      <c r="R185" s="708">
        <v>2021.0</v>
      </c>
      <c r="S185" s="709">
        <v>0.0</v>
      </c>
      <c r="T185" s="709">
        <v>0.0</v>
      </c>
      <c r="U185" s="710">
        <v>0.0</v>
      </c>
      <c r="CE185" s="460"/>
    </row>
    <row r="186">
      <c r="A186" s="690"/>
      <c r="B186" s="701" t="s">
        <v>448</v>
      </c>
      <c r="C186" s="702" t="s">
        <v>416</v>
      </c>
      <c r="D186" s="703" t="s">
        <v>502</v>
      </c>
      <c r="E186" s="704">
        <v>2021.0</v>
      </c>
      <c r="F186" s="702" t="s">
        <v>418</v>
      </c>
      <c r="G186" s="702" t="s">
        <v>50</v>
      </c>
      <c r="H186" s="705">
        <v>61171.0</v>
      </c>
      <c r="I186" s="705">
        <v>69266.0</v>
      </c>
      <c r="J186" s="706">
        <v>53131.0</v>
      </c>
      <c r="K186" s="695"/>
      <c r="L186" s="707" t="s">
        <v>419</v>
      </c>
      <c r="M186" s="708" t="s">
        <v>515</v>
      </c>
      <c r="N186" s="708" t="s">
        <v>420</v>
      </c>
      <c r="O186" s="708" t="s">
        <v>439</v>
      </c>
      <c r="P186" s="708" t="s">
        <v>422</v>
      </c>
      <c r="Q186" s="708" t="s">
        <v>50</v>
      </c>
      <c r="R186" s="708">
        <v>2021.0</v>
      </c>
      <c r="S186" s="709">
        <v>331.1801312</v>
      </c>
      <c r="T186" s="709">
        <v>709.6286346</v>
      </c>
      <c r="U186" s="710">
        <v>113.8427093</v>
      </c>
      <c r="CE186" s="460"/>
    </row>
    <row r="187">
      <c r="A187" s="690"/>
      <c r="B187" s="712" t="s">
        <v>448</v>
      </c>
      <c r="C187" s="713" t="s">
        <v>416</v>
      </c>
      <c r="D187" s="714" t="s">
        <v>505</v>
      </c>
      <c r="E187" s="715">
        <v>2021.0</v>
      </c>
      <c r="F187" s="713" t="s">
        <v>418</v>
      </c>
      <c r="G187" s="713" t="s">
        <v>50</v>
      </c>
      <c r="H187" s="716">
        <v>23515.0</v>
      </c>
      <c r="I187" s="716">
        <v>26627.0</v>
      </c>
      <c r="J187" s="717">
        <v>20425.0</v>
      </c>
      <c r="K187" s="695"/>
      <c r="L187" s="707" t="s">
        <v>419</v>
      </c>
      <c r="M187" s="708" t="s">
        <v>515</v>
      </c>
      <c r="N187" s="708" t="s">
        <v>420</v>
      </c>
      <c r="O187" s="708" t="s">
        <v>443</v>
      </c>
      <c r="P187" s="708" t="s">
        <v>422</v>
      </c>
      <c r="Q187" s="708" t="s">
        <v>50</v>
      </c>
      <c r="R187" s="708">
        <v>2021.0</v>
      </c>
      <c r="S187" s="709">
        <v>8302.922347</v>
      </c>
      <c r="T187" s="709">
        <v>17728.3616</v>
      </c>
      <c r="U187" s="710">
        <v>3062.114217</v>
      </c>
      <c r="CE187" s="460"/>
    </row>
    <row r="188">
      <c r="A188" s="690"/>
      <c r="B188" s="701" t="s">
        <v>448</v>
      </c>
      <c r="C188" s="702" t="s">
        <v>416</v>
      </c>
      <c r="D188" s="703" t="s">
        <v>508</v>
      </c>
      <c r="E188" s="704">
        <v>2021.0</v>
      </c>
      <c r="F188" s="702" t="s">
        <v>418</v>
      </c>
      <c r="G188" s="702" t="s">
        <v>50</v>
      </c>
      <c r="H188" s="705">
        <v>46025.0</v>
      </c>
      <c r="I188" s="705">
        <v>52116.0</v>
      </c>
      <c r="J188" s="706">
        <v>39976.0</v>
      </c>
      <c r="K188" s="695"/>
      <c r="L188" s="707" t="s">
        <v>419</v>
      </c>
      <c r="M188" s="708" t="s">
        <v>515</v>
      </c>
      <c r="N188" s="708" t="s">
        <v>420</v>
      </c>
      <c r="O188" s="708" t="s">
        <v>417</v>
      </c>
      <c r="P188" s="708" t="s">
        <v>422</v>
      </c>
      <c r="Q188" s="708" t="s">
        <v>50</v>
      </c>
      <c r="R188" s="708">
        <v>2021.0</v>
      </c>
      <c r="S188" s="709">
        <v>2062.778045</v>
      </c>
      <c r="T188" s="709">
        <v>4066.942235</v>
      </c>
      <c r="U188" s="710">
        <v>712.9688162</v>
      </c>
      <c r="CE188" s="460"/>
    </row>
    <row r="189">
      <c r="A189" s="690"/>
      <c r="B189" s="712" t="s">
        <v>448</v>
      </c>
      <c r="C189" s="713" t="s">
        <v>416</v>
      </c>
      <c r="D189" s="714" t="s">
        <v>511</v>
      </c>
      <c r="E189" s="715">
        <v>2021.0</v>
      </c>
      <c r="F189" s="713" t="s">
        <v>418</v>
      </c>
      <c r="G189" s="713" t="s">
        <v>50</v>
      </c>
      <c r="H189" s="716">
        <v>58552.0</v>
      </c>
      <c r="I189" s="716">
        <v>66300.0</v>
      </c>
      <c r="J189" s="717">
        <v>50856.0</v>
      </c>
      <c r="K189" s="695"/>
      <c r="L189" s="707" t="s">
        <v>419</v>
      </c>
      <c r="M189" s="708" t="s">
        <v>515</v>
      </c>
      <c r="N189" s="708" t="s">
        <v>420</v>
      </c>
      <c r="O189" s="708" t="s">
        <v>438</v>
      </c>
      <c r="P189" s="708" t="s">
        <v>422</v>
      </c>
      <c r="Q189" s="708" t="s">
        <v>50</v>
      </c>
      <c r="R189" s="708">
        <v>2021.0</v>
      </c>
      <c r="S189" s="709">
        <v>331.1801312</v>
      </c>
      <c r="T189" s="709">
        <v>709.6286346</v>
      </c>
      <c r="U189" s="710">
        <v>113.8427093</v>
      </c>
      <c r="CE189" s="460"/>
    </row>
    <row r="190">
      <c r="A190" s="690"/>
      <c r="B190" s="701" t="s">
        <v>448</v>
      </c>
      <c r="C190" s="702" t="s">
        <v>416</v>
      </c>
      <c r="D190" s="703" t="s">
        <v>514</v>
      </c>
      <c r="E190" s="704">
        <v>2021.0</v>
      </c>
      <c r="F190" s="702" t="s">
        <v>418</v>
      </c>
      <c r="G190" s="702" t="s">
        <v>50</v>
      </c>
      <c r="H190" s="705">
        <v>27761.0</v>
      </c>
      <c r="I190" s="705">
        <v>31435.0</v>
      </c>
      <c r="J190" s="706">
        <v>24113.0</v>
      </c>
      <c r="K190" s="695"/>
      <c r="L190" s="707" t="s">
        <v>419</v>
      </c>
      <c r="M190" s="708" t="s">
        <v>516</v>
      </c>
      <c r="N190" s="708" t="s">
        <v>420</v>
      </c>
      <c r="O190" s="708" t="s">
        <v>421</v>
      </c>
      <c r="P190" s="708" t="s">
        <v>422</v>
      </c>
      <c r="Q190" s="708" t="s">
        <v>50</v>
      </c>
      <c r="R190" s="708">
        <v>2021.0</v>
      </c>
      <c r="S190" s="709">
        <v>16951.55476</v>
      </c>
      <c r="T190" s="709">
        <v>32977.94084</v>
      </c>
      <c r="U190" s="710">
        <v>7982.703663</v>
      </c>
      <c r="CE190" s="460"/>
    </row>
    <row r="191">
      <c r="A191" s="690"/>
      <c r="B191" s="712" t="s">
        <v>448</v>
      </c>
      <c r="C191" s="713" t="s">
        <v>416</v>
      </c>
      <c r="D191" s="714" t="s">
        <v>439</v>
      </c>
      <c r="E191" s="715">
        <v>2021.0</v>
      </c>
      <c r="F191" s="713" t="s">
        <v>418</v>
      </c>
      <c r="G191" s="713" t="s">
        <v>50</v>
      </c>
      <c r="H191" s="716">
        <v>2739.0</v>
      </c>
      <c r="I191" s="716">
        <v>3101.0</v>
      </c>
      <c r="J191" s="717">
        <v>2379.0</v>
      </c>
      <c r="K191" s="695"/>
      <c r="L191" s="707" t="s">
        <v>419</v>
      </c>
      <c r="M191" s="708" t="s">
        <v>516</v>
      </c>
      <c r="N191" s="708" t="s">
        <v>420</v>
      </c>
      <c r="O191" s="708" t="s">
        <v>432</v>
      </c>
      <c r="P191" s="708" t="s">
        <v>422</v>
      </c>
      <c r="Q191" s="708" t="s">
        <v>50</v>
      </c>
      <c r="R191" s="708">
        <v>2021.0</v>
      </c>
      <c r="S191" s="709">
        <v>0.0</v>
      </c>
      <c r="T191" s="709">
        <v>0.0</v>
      </c>
      <c r="U191" s="710">
        <v>0.0</v>
      </c>
      <c r="CE191" s="460"/>
    </row>
    <row r="192">
      <c r="A192" s="690"/>
      <c r="B192" s="701" t="s">
        <v>448</v>
      </c>
      <c r="C192" s="702" t="s">
        <v>416</v>
      </c>
      <c r="D192" s="703" t="s">
        <v>517</v>
      </c>
      <c r="E192" s="704">
        <v>2021.0</v>
      </c>
      <c r="F192" s="702" t="s">
        <v>418</v>
      </c>
      <c r="G192" s="702" t="s">
        <v>50</v>
      </c>
      <c r="H192" s="705">
        <v>16387.0</v>
      </c>
      <c r="I192" s="705">
        <v>18556.0</v>
      </c>
      <c r="J192" s="706">
        <v>14233.0</v>
      </c>
      <c r="K192" s="695"/>
      <c r="L192" s="707" t="s">
        <v>419</v>
      </c>
      <c r="M192" s="708" t="s">
        <v>516</v>
      </c>
      <c r="N192" s="708" t="s">
        <v>420</v>
      </c>
      <c r="O192" s="708" t="s">
        <v>439</v>
      </c>
      <c r="P192" s="708" t="s">
        <v>422</v>
      </c>
      <c r="Q192" s="708" t="s">
        <v>50</v>
      </c>
      <c r="R192" s="708">
        <v>2021.0</v>
      </c>
      <c r="S192" s="709">
        <v>796.0383226</v>
      </c>
      <c r="T192" s="709">
        <v>1737.352896</v>
      </c>
      <c r="U192" s="710">
        <v>286.0368369</v>
      </c>
      <c r="CE192" s="460"/>
    </row>
    <row r="193">
      <c r="A193" s="690"/>
      <c r="B193" s="712" t="s">
        <v>448</v>
      </c>
      <c r="C193" s="713" t="s">
        <v>416</v>
      </c>
      <c r="D193" s="714" t="s">
        <v>520</v>
      </c>
      <c r="E193" s="715">
        <v>2021.0</v>
      </c>
      <c r="F193" s="713" t="s">
        <v>418</v>
      </c>
      <c r="G193" s="713" t="s">
        <v>50</v>
      </c>
      <c r="H193" s="716">
        <v>14404.0</v>
      </c>
      <c r="I193" s="716">
        <v>16310.0</v>
      </c>
      <c r="J193" s="717">
        <v>12511.0</v>
      </c>
      <c r="K193" s="695"/>
      <c r="L193" s="707" t="s">
        <v>419</v>
      </c>
      <c r="M193" s="708" t="s">
        <v>516</v>
      </c>
      <c r="N193" s="708" t="s">
        <v>420</v>
      </c>
      <c r="O193" s="708" t="s">
        <v>443</v>
      </c>
      <c r="P193" s="708" t="s">
        <v>422</v>
      </c>
      <c r="Q193" s="708" t="s">
        <v>50</v>
      </c>
      <c r="R193" s="708">
        <v>2021.0</v>
      </c>
      <c r="S193" s="709">
        <v>23815.32698</v>
      </c>
      <c r="T193" s="709">
        <v>48435.79732</v>
      </c>
      <c r="U193" s="710">
        <v>10738.77947</v>
      </c>
      <c r="CE193" s="460"/>
    </row>
    <row r="194">
      <c r="A194" s="690"/>
      <c r="B194" s="701" t="s">
        <v>448</v>
      </c>
      <c r="C194" s="702" t="s">
        <v>416</v>
      </c>
      <c r="D194" s="703" t="s">
        <v>521</v>
      </c>
      <c r="E194" s="704">
        <v>2021.0</v>
      </c>
      <c r="F194" s="702" t="s">
        <v>418</v>
      </c>
      <c r="G194" s="702" t="s">
        <v>50</v>
      </c>
      <c r="H194" s="705">
        <v>8958.0</v>
      </c>
      <c r="I194" s="705">
        <v>10143.0</v>
      </c>
      <c r="J194" s="706">
        <v>7781.0</v>
      </c>
      <c r="K194" s="695"/>
      <c r="L194" s="707" t="s">
        <v>419</v>
      </c>
      <c r="M194" s="708" t="s">
        <v>516</v>
      </c>
      <c r="N194" s="708" t="s">
        <v>420</v>
      </c>
      <c r="O194" s="708" t="s">
        <v>417</v>
      </c>
      <c r="P194" s="708" t="s">
        <v>422</v>
      </c>
      <c r="Q194" s="708" t="s">
        <v>50</v>
      </c>
      <c r="R194" s="708">
        <v>2021.0</v>
      </c>
      <c r="S194" s="709">
        <v>6332.024399</v>
      </c>
      <c r="T194" s="709">
        <v>13159.55686</v>
      </c>
      <c r="U194" s="710">
        <v>2798.737294</v>
      </c>
      <c r="CE194" s="460"/>
    </row>
    <row r="195">
      <c r="A195" s="690"/>
      <c r="B195" s="712" t="s">
        <v>448</v>
      </c>
      <c r="C195" s="713" t="s">
        <v>416</v>
      </c>
      <c r="D195" s="714" t="s">
        <v>524</v>
      </c>
      <c r="E195" s="715">
        <v>2021.0</v>
      </c>
      <c r="F195" s="713" t="s">
        <v>418</v>
      </c>
      <c r="G195" s="713" t="s">
        <v>50</v>
      </c>
      <c r="H195" s="716">
        <v>4024.0</v>
      </c>
      <c r="I195" s="716">
        <v>4556.0</v>
      </c>
      <c r="J195" s="717">
        <v>3495.0</v>
      </c>
      <c r="K195" s="695"/>
      <c r="L195" s="707" t="s">
        <v>419</v>
      </c>
      <c r="M195" s="708" t="s">
        <v>516</v>
      </c>
      <c r="N195" s="708" t="s">
        <v>420</v>
      </c>
      <c r="O195" s="708" t="s">
        <v>438</v>
      </c>
      <c r="P195" s="708" t="s">
        <v>422</v>
      </c>
      <c r="Q195" s="708" t="s">
        <v>50</v>
      </c>
      <c r="R195" s="708">
        <v>2021.0</v>
      </c>
      <c r="S195" s="709">
        <v>796.0383226</v>
      </c>
      <c r="T195" s="709">
        <v>1737.352896</v>
      </c>
      <c r="U195" s="710">
        <v>286.0368369</v>
      </c>
      <c r="CE195" s="460"/>
    </row>
    <row r="196">
      <c r="A196" s="690"/>
      <c r="B196" s="701" t="s">
        <v>448</v>
      </c>
      <c r="C196" s="702" t="s">
        <v>416</v>
      </c>
      <c r="D196" s="703" t="s">
        <v>527</v>
      </c>
      <c r="E196" s="704">
        <v>2021.0</v>
      </c>
      <c r="F196" s="702" t="s">
        <v>418</v>
      </c>
      <c r="G196" s="702" t="s">
        <v>50</v>
      </c>
      <c r="H196" s="705">
        <v>1149.0</v>
      </c>
      <c r="I196" s="705">
        <v>1301.0</v>
      </c>
      <c r="J196" s="706">
        <v>998.0</v>
      </c>
      <c r="K196" s="695"/>
      <c r="L196" s="707" t="s">
        <v>419</v>
      </c>
      <c r="M196" s="708" t="s">
        <v>518</v>
      </c>
      <c r="N196" s="708" t="s">
        <v>420</v>
      </c>
      <c r="O196" s="708" t="s">
        <v>421</v>
      </c>
      <c r="P196" s="708" t="s">
        <v>422</v>
      </c>
      <c r="Q196" s="708" t="s">
        <v>50</v>
      </c>
      <c r="R196" s="708">
        <v>2021.0</v>
      </c>
      <c r="S196" s="709">
        <v>145.0173719</v>
      </c>
      <c r="T196" s="709">
        <v>311.4466105</v>
      </c>
      <c r="U196" s="710">
        <v>21.06182388</v>
      </c>
      <c r="CE196" s="460"/>
    </row>
    <row r="197">
      <c r="A197" s="690"/>
      <c r="B197" s="712" t="s">
        <v>448</v>
      </c>
      <c r="C197" s="713" t="s">
        <v>416</v>
      </c>
      <c r="D197" s="714" t="s">
        <v>529</v>
      </c>
      <c r="E197" s="715">
        <v>2021.0</v>
      </c>
      <c r="F197" s="713" t="s">
        <v>418</v>
      </c>
      <c r="G197" s="713" t="s">
        <v>50</v>
      </c>
      <c r="H197" s="716">
        <v>273.0</v>
      </c>
      <c r="I197" s="716">
        <v>309.0</v>
      </c>
      <c r="J197" s="717">
        <v>237.0</v>
      </c>
      <c r="K197" s="695"/>
      <c r="L197" s="707" t="s">
        <v>419</v>
      </c>
      <c r="M197" s="708" t="s">
        <v>518</v>
      </c>
      <c r="N197" s="708" t="s">
        <v>420</v>
      </c>
      <c r="O197" s="708" t="s">
        <v>432</v>
      </c>
      <c r="P197" s="708" t="s">
        <v>422</v>
      </c>
      <c r="Q197" s="708" t="s">
        <v>50</v>
      </c>
      <c r="R197" s="708">
        <v>2021.0</v>
      </c>
      <c r="S197" s="709">
        <v>0.0</v>
      </c>
      <c r="T197" s="709">
        <v>0.0</v>
      </c>
      <c r="U197" s="710">
        <v>0.0</v>
      </c>
      <c r="CE197" s="460"/>
    </row>
    <row r="198">
      <c r="A198" s="690"/>
      <c r="B198" s="701" t="s">
        <v>448</v>
      </c>
      <c r="C198" s="702" t="s">
        <v>416</v>
      </c>
      <c r="D198" s="703" t="s">
        <v>443</v>
      </c>
      <c r="E198" s="704">
        <v>2021.0</v>
      </c>
      <c r="F198" s="702" t="s">
        <v>418</v>
      </c>
      <c r="G198" s="702" t="s">
        <v>50</v>
      </c>
      <c r="H198" s="705">
        <v>2393256.0</v>
      </c>
      <c r="I198" s="705">
        <v>2709963.0</v>
      </c>
      <c r="J198" s="706">
        <v>2078718.0</v>
      </c>
      <c r="K198" s="695"/>
      <c r="L198" s="718" t="s">
        <v>419</v>
      </c>
      <c r="M198" s="719" t="s">
        <v>518</v>
      </c>
      <c r="N198" s="719" t="s">
        <v>420</v>
      </c>
      <c r="O198" s="719" t="s">
        <v>439</v>
      </c>
      <c r="P198" s="719" t="s">
        <v>422</v>
      </c>
      <c r="Q198" s="719" t="s">
        <v>50</v>
      </c>
      <c r="R198" s="720">
        <v>2021.0</v>
      </c>
      <c r="S198" s="721">
        <v>11.58553432</v>
      </c>
      <c r="T198" s="721">
        <v>24.15864329</v>
      </c>
      <c r="U198" s="722">
        <v>1.992523072</v>
      </c>
      <c r="CE198" s="460"/>
    </row>
    <row r="199">
      <c r="A199" s="690"/>
      <c r="B199" s="712" t="s">
        <v>97</v>
      </c>
      <c r="C199" s="713" t="s">
        <v>416</v>
      </c>
      <c r="D199" s="714" t="s">
        <v>417</v>
      </c>
      <c r="E199" s="715">
        <v>2021.0</v>
      </c>
      <c r="F199" s="713" t="s">
        <v>418</v>
      </c>
      <c r="G199" s="713" t="s">
        <v>50</v>
      </c>
      <c r="H199" s="716">
        <v>900294.0</v>
      </c>
      <c r="I199" s="716">
        <v>974439.0</v>
      </c>
      <c r="J199" s="717">
        <v>828570.0</v>
      </c>
      <c r="K199" s="695"/>
      <c r="L199" s="707" t="s">
        <v>419</v>
      </c>
      <c r="M199" s="708" t="s">
        <v>518</v>
      </c>
      <c r="N199" s="708" t="s">
        <v>420</v>
      </c>
      <c r="O199" s="708" t="s">
        <v>443</v>
      </c>
      <c r="P199" s="708" t="s">
        <v>422</v>
      </c>
      <c r="Q199" s="708" t="s">
        <v>50</v>
      </c>
      <c r="R199" s="708">
        <v>2021.0</v>
      </c>
      <c r="S199" s="709">
        <v>385.7230057</v>
      </c>
      <c r="T199" s="709">
        <v>849.1050783</v>
      </c>
      <c r="U199" s="710">
        <v>62.02792688</v>
      </c>
      <c r="CE199" s="460"/>
    </row>
    <row r="200">
      <c r="A200" s="690"/>
      <c r="B200" s="701" t="s">
        <v>97</v>
      </c>
      <c r="C200" s="702" t="s">
        <v>416</v>
      </c>
      <c r="D200" s="703" t="s">
        <v>431</v>
      </c>
      <c r="E200" s="704">
        <v>2021.0</v>
      </c>
      <c r="F200" s="702" t="s">
        <v>418</v>
      </c>
      <c r="G200" s="702" t="s">
        <v>50</v>
      </c>
      <c r="H200" s="705">
        <v>1.2805812E7</v>
      </c>
      <c r="I200" s="705">
        <v>1.3860448E7</v>
      </c>
      <c r="J200" s="706">
        <v>1.1785606E7</v>
      </c>
      <c r="K200" s="695"/>
      <c r="L200" s="707" t="s">
        <v>419</v>
      </c>
      <c r="M200" s="708" t="s">
        <v>518</v>
      </c>
      <c r="N200" s="708" t="s">
        <v>420</v>
      </c>
      <c r="O200" s="708" t="s">
        <v>417</v>
      </c>
      <c r="P200" s="708" t="s">
        <v>422</v>
      </c>
      <c r="Q200" s="708" t="s">
        <v>50</v>
      </c>
      <c r="R200" s="708">
        <v>2021.0</v>
      </c>
      <c r="S200" s="709">
        <v>68.56254241</v>
      </c>
      <c r="T200" s="709">
        <v>147.5645626</v>
      </c>
      <c r="U200" s="710">
        <v>9.991374105</v>
      </c>
      <c r="CE200" s="460"/>
    </row>
    <row r="201">
      <c r="A201" s="690"/>
      <c r="B201" s="712" t="s">
        <v>97</v>
      </c>
      <c r="C201" s="713" t="s">
        <v>416</v>
      </c>
      <c r="D201" s="714" t="s">
        <v>438</v>
      </c>
      <c r="E201" s="715">
        <v>2021.0</v>
      </c>
      <c r="F201" s="713" t="s">
        <v>418</v>
      </c>
      <c r="G201" s="713" t="s">
        <v>50</v>
      </c>
      <c r="H201" s="716">
        <v>71341.0</v>
      </c>
      <c r="I201" s="716">
        <v>77217.0</v>
      </c>
      <c r="J201" s="717">
        <v>65658.0</v>
      </c>
      <c r="K201" s="695"/>
      <c r="L201" s="707" t="s">
        <v>419</v>
      </c>
      <c r="M201" s="708" t="s">
        <v>518</v>
      </c>
      <c r="N201" s="708" t="s">
        <v>420</v>
      </c>
      <c r="O201" s="708" t="s">
        <v>438</v>
      </c>
      <c r="P201" s="708" t="s">
        <v>422</v>
      </c>
      <c r="Q201" s="708" t="s">
        <v>50</v>
      </c>
      <c r="R201" s="708">
        <v>2021.0</v>
      </c>
      <c r="S201" s="709">
        <v>11.58553432</v>
      </c>
      <c r="T201" s="709">
        <v>24.15864329</v>
      </c>
      <c r="U201" s="710">
        <v>1.992523072</v>
      </c>
      <c r="CE201" s="460"/>
    </row>
    <row r="202">
      <c r="A202" s="690"/>
      <c r="B202" s="701" t="s">
        <v>97</v>
      </c>
      <c r="C202" s="702" t="s">
        <v>416</v>
      </c>
      <c r="D202" s="703" t="s">
        <v>421</v>
      </c>
      <c r="E202" s="704">
        <v>2021.0</v>
      </c>
      <c r="F202" s="702" t="s">
        <v>418</v>
      </c>
      <c r="G202" s="702" t="s">
        <v>50</v>
      </c>
      <c r="H202" s="705">
        <v>4106465.0</v>
      </c>
      <c r="I202" s="705">
        <v>4444657.0</v>
      </c>
      <c r="J202" s="706">
        <v>3779313.0</v>
      </c>
      <c r="K202" s="695"/>
      <c r="L202" s="707" t="s">
        <v>419</v>
      </c>
      <c r="M202" s="708" t="s">
        <v>101</v>
      </c>
      <c r="N202" s="708" t="s">
        <v>420</v>
      </c>
      <c r="O202" s="708" t="s">
        <v>421</v>
      </c>
      <c r="P202" s="708" t="s">
        <v>422</v>
      </c>
      <c r="Q202" s="708" t="s">
        <v>50</v>
      </c>
      <c r="R202" s="708">
        <v>2021.0</v>
      </c>
      <c r="S202" s="709">
        <v>10818.08519</v>
      </c>
      <c r="T202" s="709">
        <v>22517.19249</v>
      </c>
      <c r="U202" s="710">
        <v>3631.921134</v>
      </c>
      <c r="CE202" s="460"/>
    </row>
    <row r="203">
      <c r="A203" s="690"/>
      <c r="B203" s="712" t="s">
        <v>97</v>
      </c>
      <c r="C203" s="713" t="s">
        <v>416</v>
      </c>
      <c r="D203" s="714" t="s">
        <v>447</v>
      </c>
      <c r="E203" s="715">
        <v>2021.0</v>
      </c>
      <c r="F203" s="713" t="s">
        <v>418</v>
      </c>
      <c r="G203" s="713" t="s">
        <v>50</v>
      </c>
      <c r="H203" s="716">
        <v>1.0372167E7</v>
      </c>
      <c r="I203" s="716">
        <v>1.1226377E7</v>
      </c>
      <c r="J203" s="717">
        <v>9545843.0</v>
      </c>
      <c r="K203" s="695"/>
      <c r="L203" s="707" t="s">
        <v>419</v>
      </c>
      <c r="M203" s="708" t="s">
        <v>101</v>
      </c>
      <c r="N203" s="708" t="s">
        <v>420</v>
      </c>
      <c r="O203" s="708" t="s">
        <v>432</v>
      </c>
      <c r="P203" s="708" t="s">
        <v>422</v>
      </c>
      <c r="Q203" s="708" t="s">
        <v>50</v>
      </c>
      <c r="R203" s="708">
        <v>2021.0</v>
      </c>
      <c r="S203" s="709">
        <v>0.0</v>
      </c>
      <c r="T203" s="709">
        <v>0.0</v>
      </c>
      <c r="U203" s="710">
        <v>0.0</v>
      </c>
      <c r="CE203" s="460"/>
    </row>
    <row r="204">
      <c r="A204" s="690"/>
      <c r="B204" s="701" t="s">
        <v>97</v>
      </c>
      <c r="C204" s="702" t="s">
        <v>416</v>
      </c>
      <c r="D204" s="703" t="s">
        <v>432</v>
      </c>
      <c r="E204" s="704">
        <v>2021.0</v>
      </c>
      <c r="F204" s="702" t="s">
        <v>418</v>
      </c>
      <c r="G204" s="702" t="s">
        <v>50</v>
      </c>
      <c r="H204" s="705">
        <v>18041.0</v>
      </c>
      <c r="I204" s="705">
        <v>19527.0</v>
      </c>
      <c r="J204" s="706">
        <v>16604.0</v>
      </c>
      <c r="K204" s="695"/>
      <c r="L204" s="707" t="s">
        <v>419</v>
      </c>
      <c r="M204" s="708" t="s">
        <v>101</v>
      </c>
      <c r="N204" s="708" t="s">
        <v>420</v>
      </c>
      <c r="O204" s="708" t="s">
        <v>439</v>
      </c>
      <c r="P204" s="708" t="s">
        <v>422</v>
      </c>
      <c r="Q204" s="708" t="s">
        <v>50</v>
      </c>
      <c r="R204" s="708">
        <v>2021.0</v>
      </c>
      <c r="S204" s="709">
        <v>474.7722155</v>
      </c>
      <c r="T204" s="709">
        <v>1299.384779</v>
      </c>
      <c r="U204" s="710">
        <v>110.6519948</v>
      </c>
      <c r="CE204" s="460"/>
    </row>
    <row r="205">
      <c r="A205" s="690"/>
      <c r="B205" s="712" t="s">
        <v>97</v>
      </c>
      <c r="C205" s="713" t="s">
        <v>416</v>
      </c>
      <c r="D205" s="714" t="s">
        <v>450</v>
      </c>
      <c r="E205" s="715">
        <v>2021.0</v>
      </c>
      <c r="F205" s="713" t="s">
        <v>418</v>
      </c>
      <c r="G205" s="713" t="s">
        <v>50</v>
      </c>
      <c r="H205" s="716">
        <v>2873430.0</v>
      </c>
      <c r="I205" s="716">
        <v>3110074.0</v>
      </c>
      <c r="J205" s="717">
        <v>2644511.0</v>
      </c>
      <c r="K205" s="695"/>
      <c r="L205" s="707" t="s">
        <v>419</v>
      </c>
      <c r="M205" s="708" t="s">
        <v>101</v>
      </c>
      <c r="N205" s="708" t="s">
        <v>420</v>
      </c>
      <c r="O205" s="708" t="s">
        <v>443</v>
      </c>
      <c r="P205" s="708" t="s">
        <v>422</v>
      </c>
      <c r="Q205" s="708" t="s">
        <v>50</v>
      </c>
      <c r="R205" s="708">
        <v>2021.0</v>
      </c>
      <c r="S205" s="709">
        <v>27422.79487</v>
      </c>
      <c r="T205" s="709">
        <v>60626.35974</v>
      </c>
      <c r="U205" s="710">
        <v>8554.904975</v>
      </c>
      <c r="CE205" s="460"/>
    </row>
    <row r="206">
      <c r="A206" s="690"/>
      <c r="B206" s="701" t="s">
        <v>97</v>
      </c>
      <c r="C206" s="702" t="s">
        <v>416</v>
      </c>
      <c r="D206" s="703" t="s">
        <v>453</v>
      </c>
      <c r="E206" s="704">
        <v>2021.0</v>
      </c>
      <c r="F206" s="702" t="s">
        <v>418</v>
      </c>
      <c r="G206" s="702" t="s">
        <v>50</v>
      </c>
      <c r="H206" s="705">
        <v>5307075.0</v>
      </c>
      <c r="I206" s="705">
        <v>5744145.0</v>
      </c>
      <c r="J206" s="706">
        <v>4884274.0</v>
      </c>
      <c r="K206" s="695"/>
      <c r="L206" s="707" t="s">
        <v>419</v>
      </c>
      <c r="M206" s="708" t="s">
        <v>101</v>
      </c>
      <c r="N206" s="708" t="s">
        <v>420</v>
      </c>
      <c r="O206" s="708" t="s">
        <v>417</v>
      </c>
      <c r="P206" s="708" t="s">
        <v>422</v>
      </c>
      <c r="Q206" s="708" t="s">
        <v>50</v>
      </c>
      <c r="R206" s="708">
        <v>2021.0</v>
      </c>
      <c r="S206" s="709">
        <v>5530.395447</v>
      </c>
      <c r="T206" s="709">
        <v>12666.60929</v>
      </c>
      <c r="U206" s="710">
        <v>1732.565924</v>
      </c>
      <c r="CE206" s="460"/>
    </row>
    <row r="207">
      <c r="A207" s="690"/>
      <c r="B207" s="712" t="s">
        <v>97</v>
      </c>
      <c r="C207" s="713" t="s">
        <v>416</v>
      </c>
      <c r="D207" s="714" t="s">
        <v>454</v>
      </c>
      <c r="E207" s="715">
        <v>2021.0</v>
      </c>
      <c r="F207" s="713" t="s">
        <v>418</v>
      </c>
      <c r="G207" s="713" t="s">
        <v>50</v>
      </c>
      <c r="H207" s="716">
        <v>7269520.0</v>
      </c>
      <c r="I207" s="716">
        <v>7868208.0</v>
      </c>
      <c r="J207" s="717">
        <v>6690376.0</v>
      </c>
      <c r="K207" s="695"/>
      <c r="L207" s="707" t="s">
        <v>419</v>
      </c>
      <c r="M207" s="708" t="s">
        <v>101</v>
      </c>
      <c r="N207" s="708" t="s">
        <v>420</v>
      </c>
      <c r="O207" s="708" t="s">
        <v>438</v>
      </c>
      <c r="P207" s="708" t="s">
        <v>422</v>
      </c>
      <c r="Q207" s="708" t="s">
        <v>50</v>
      </c>
      <c r="R207" s="708">
        <v>2021.0</v>
      </c>
      <c r="S207" s="709">
        <v>474.7722155</v>
      </c>
      <c r="T207" s="709">
        <v>1299.384779</v>
      </c>
      <c r="U207" s="710">
        <v>110.6519948</v>
      </c>
      <c r="CE207" s="460"/>
    </row>
    <row r="208">
      <c r="A208" s="690"/>
      <c r="B208" s="701" t="s">
        <v>97</v>
      </c>
      <c r="C208" s="702" t="s">
        <v>416</v>
      </c>
      <c r="D208" s="703" t="s">
        <v>457</v>
      </c>
      <c r="E208" s="704">
        <v>2021.0</v>
      </c>
      <c r="F208" s="702" t="s">
        <v>418</v>
      </c>
      <c r="G208" s="702" t="s">
        <v>50</v>
      </c>
      <c r="H208" s="705">
        <v>851886.0</v>
      </c>
      <c r="I208" s="705">
        <v>922044.0</v>
      </c>
      <c r="J208" s="706">
        <v>784019.0</v>
      </c>
      <c r="K208" s="695"/>
      <c r="L208" s="707" t="s">
        <v>419</v>
      </c>
      <c r="M208" s="708" t="s">
        <v>522</v>
      </c>
      <c r="N208" s="708" t="s">
        <v>420</v>
      </c>
      <c r="O208" s="708" t="s">
        <v>421</v>
      </c>
      <c r="P208" s="708" t="s">
        <v>422</v>
      </c>
      <c r="Q208" s="708" t="s">
        <v>50</v>
      </c>
      <c r="R208" s="708">
        <v>2021.0</v>
      </c>
      <c r="S208" s="709">
        <v>13.72650866</v>
      </c>
      <c r="T208" s="709">
        <v>63.66487773</v>
      </c>
      <c r="U208" s="710">
        <v>3.739361586</v>
      </c>
      <c r="CE208" s="460"/>
    </row>
    <row r="209">
      <c r="A209" s="690"/>
      <c r="B209" s="712" t="s">
        <v>97</v>
      </c>
      <c r="C209" s="713" t="s">
        <v>416</v>
      </c>
      <c r="D209" s="714" t="s">
        <v>460</v>
      </c>
      <c r="E209" s="715">
        <v>2021.0</v>
      </c>
      <c r="F209" s="713" t="s">
        <v>418</v>
      </c>
      <c r="G209" s="713" t="s">
        <v>50</v>
      </c>
      <c r="H209" s="716">
        <v>386572.0</v>
      </c>
      <c r="I209" s="716">
        <v>418409.0</v>
      </c>
      <c r="J209" s="717">
        <v>355775.0</v>
      </c>
      <c r="K209" s="695"/>
      <c r="L209" s="707" t="s">
        <v>419</v>
      </c>
      <c r="M209" s="708" t="s">
        <v>522</v>
      </c>
      <c r="N209" s="708" t="s">
        <v>420</v>
      </c>
      <c r="O209" s="708" t="s">
        <v>432</v>
      </c>
      <c r="P209" s="708" t="s">
        <v>422</v>
      </c>
      <c r="Q209" s="708" t="s">
        <v>50</v>
      </c>
      <c r="R209" s="708">
        <v>2021.0</v>
      </c>
      <c r="S209" s="709">
        <v>0.0</v>
      </c>
      <c r="T209" s="709">
        <v>0.0</v>
      </c>
      <c r="U209" s="710">
        <v>0.0</v>
      </c>
      <c r="CE209" s="460"/>
    </row>
    <row r="210">
      <c r="A210" s="690"/>
      <c r="B210" s="701" t="s">
        <v>97</v>
      </c>
      <c r="C210" s="702" t="s">
        <v>416</v>
      </c>
      <c r="D210" s="703" t="s">
        <v>463</v>
      </c>
      <c r="E210" s="704">
        <v>2021.0</v>
      </c>
      <c r="F210" s="702" t="s">
        <v>418</v>
      </c>
      <c r="G210" s="702" t="s">
        <v>50</v>
      </c>
      <c r="H210" s="705">
        <v>2433645.0</v>
      </c>
      <c r="I210" s="705">
        <v>2634071.0</v>
      </c>
      <c r="J210" s="706">
        <v>2239763.0</v>
      </c>
      <c r="K210" s="695"/>
      <c r="L210" s="707" t="s">
        <v>419</v>
      </c>
      <c r="M210" s="708" t="s">
        <v>522</v>
      </c>
      <c r="N210" s="708" t="s">
        <v>420</v>
      </c>
      <c r="O210" s="708" t="s">
        <v>439</v>
      </c>
      <c r="P210" s="708" t="s">
        <v>422</v>
      </c>
      <c r="Q210" s="708" t="s">
        <v>50</v>
      </c>
      <c r="R210" s="708">
        <v>2021.0</v>
      </c>
      <c r="S210" s="709">
        <v>0.058433607</v>
      </c>
      <c r="T210" s="709">
        <v>0.288946735</v>
      </c>
      <c r="U210" s="710">
        <v>0.012774846</v>
      </c>
      <c r="CE210" s="460"/>
    </row>
    <row r="211">
      <c r="A211" s="690"/>
      <c r="B211" s="712" t="s">
        <v>97</v>
      </c>
      <c r="C211" s="713" t="s">
        <v>416</v>
      </c>
      <c r="D211" s="714" t="s">
        <v>465</v>
      </c>
      <c r="E211" s="715">
        <v>2021.0</v>
      </c>
      <c r="F211" s="713" t="s">
        <v>418</v>
      </c>
      <c r="G211" s="713" t="s">
        <v>50</v>
      </c>
      <c r="H211" s="716">
        <v>1.0308973E7</v>
      </c>
      <c r="I211" s="716">
        <v>1.1157979E7</v>
      </c>
      <c r="J211" s="717">
        <v>9487684.0</v>
      </c>
      <c r="K211" s="695"/>
      <c r="L211" s="723" t="s">
        <v>419</v>
      </c>
      <c r="M211" s="724" t="s">
        <v>522</v>
      </c>
      <c r="N211" s="724" t="s">
        <v>420</v>
      </c>
      <c r="O211" s="724" t="s">
        <v>443</v>
      </c>
      <c r="P211" s="724" t="s">
        <v>422</v>
      </c>
      <c r="Q211" s="724" t="s">
        <v>50</v>
      </c>
      <c r="R211" s="725">
        <v>2021.0</v>
      </c>
      <c r="S211" s="726">
        <v>34.63159146</v>
      </c>
      <c r="T211" s="726">
        <v>167.3248388</v>
      </c>
      <c r="U211" s="727">
        <v>9.002158717</v>
      </c>
      <c r="CE211" s="460"/>
    </row>
    <row r="212">
      <c r="A212" s="690"/>
      <c r="B212" s="701" t="s">
        <v>97</v>
      </c>
      <c r="C212" s="702" t="s">
        <v>416</v>
      </c>
      <c r="D212" s="703" t="s">
        <v>468</v>
      </c>
      <c r="E212" s="704">
        <v>2021.0</v>
      </c>
      <c r="F212" s="702" t="s">
        <v>418</v>
      </c>
      <c r="G212" s="702" t="s">
        <v>50</v>
      </c>
      <c r="H212" s="705">
        <v>1962444.0</v>
      </c>
      <c r="I212" s="705">
        <v>2124063.0</v>
      </c>
      <c r="J212" s="706">
        <v>1806101.0</v>
      </c>
      <c r="K212" s="695"/>
      <c r="L212" s="718" t="s">
        <v>419</v>
      </c>
      <c r="M212" s="719" t="s">
        <v>522</v>
      </c>
      <c r="N212" s="719" t="s">
        <v>420</v>
      </c>
      <c r="O212" s="719" t="s">
        <v>417</v>
      </c>
      <c r="P212" s="719" t="s">
        <v>422</v>
      </c>
      <c r="Q212" s="719" t="s">
        <v>50</v>
      </c>
      <c r="R212" s="720">
        <v>2021.0</v>
      </c>
      <c r="S212" s="721">
        <v>1.991937631</v>
      </c>
      <c r="T212" s="721">
        <v>10.62962344</v>
      </c>
      <c r="U212" s="722">
        <v>0.3756894</v>
      </c>
      <c r="CE212" s="460"/>
    </row>
    <row r="213">
      <c r="A213" s="690"/>
      <c r="B213" s="712" t="s">
        <v>97</v>
      </c>
      <c r="C213" s="713" t="s">
        <v>416</v>
      </c>
      <c r="D213" s="714" t="s">
        <v>471</v>
      </c>
      <c r="E213" s="715">
        <v>2021.0</v>
      </c>
      <c r="F213" s="713" t="s">
        <v>418</v>
      </c>
      <c r="G213" s="713" t="s">
        <v>50</v>
      </c>
      <c r="H213" s="716">
        <v>2354285.0</v>
      </c>
      <c r="I213" s="716">
        <v>2548174.0</v>
      </c>
      <c r="J213" s="717">
        <v>2166725.0</v>
      </c>
      <c r="K213" s="695"/>
      <c r="L213" s="723" t="s">
        <v>419</v>
      </c>
      <c r="M213" s="724" t="s">
        <v>522</v>
      </c>
      <c r="N213" s="724" t="s">
        <v>420</v>
      </c>
      <c r="O213" s="724" t="s">
        <v>438</v>
      </c>
      <c r="P213" s="724" t="s">
        <v>422</v>
      </c>
      <c r="Q213" s="724" t="s">
        <v>50</v>
      </c>
      <c r="R213" s="725">
        <v>2021.0</v>
      </c>
      <c r="S213" s="726">
        <v>0.058433607</v>
      </c>
      <c r="T213" s="726">
        <v>0.288946735</v>
      </c>
      <c r="U213" s="727">
        <v>0.012774846</v>
      </c>
      <c r="CE213" s="460"/>
    </row>
    <row r="214">
      <c r="A214" s="690"/>
      <c r="B214" s="701" t="s">
        <v>97</v>
      </c>
      <c r="C214" s="702" t="s">
        <v>416</v>
      </c>
      <c r="D214" s="703" t="s">
        <v>473</v>
      </c>
      <c r="E214" s="704">
        <v>2021.0</v>
      </c>
      <c r="F214" s="702" t="s">
        <v>418</v>
      </c>
      <c r="G214" s="702" t="s">
        <v>50</v>
      </c>
      <c r="H214" s="705">
        <v>7992873.0</v>
      </c>
      <c r="I214" s="705">
        <v>8651135.0</v>
      </c>
      <c r="J214" s="706">
        <v>7356102.0</v>
      </c>
      <c r="K214" s="695"/>
      <c r="L214" s="707" t="s">
        <v>419</v>
      </c>
      <c r="M214" s="708" t="s">
        <v>525</v>
      </c>
      <c r="N214" s="708" t="s">
        <v>420</v>
      </c>
      <c r="O214" s="708" t="s">
        <v>421</v>
      </c>
      <c r="P214" s="708" t="s">
        <v>422</v>
      </c>
      <c r="Q214" s="708" t="s">
        <v>50</v>
      </c>
      <c r="R214" s="708">
        <v>2021.0</v>
      </c>
      <c r="S214" s="709">
        <v>1.403403728</v>
      </c>
      <c r="T214" s="709">
        <v>3.142546828</v>
      </c>
      <c r="U214" s="710">
        <v>0.316488496</v>
      </c>
      <c r="CE214" s="460"/>
    </row>
    <row r="215">
      <c r="A215" s="690"/>
      <c r="B215" s="712" t="s">
        <v>97</v>
      </c>
      <c r="C215" s="713" t="s">
        <v>416</v>
      </c>
      <c r="D215" s="714" t="s">
        <v>476</v>
      </c>
      <c r="E215" s="715">
        <v>2021.0</v>
      </c>
      <c r="F215" s="713" t="s">
        <v>418</v>
      </c>
      <c r="G215" s="713" t="s">
        <v>50</v>
      </c>
      <c r="H215" s="716">
        <v>1620540.0</v>
      </c>
      <c r="I215" s="716">
        <v>1754001.0</v>
      </c>
      <c r="J215" s="717">
        <v>1491435.0</v>
      </c>
      <c r="K215" s="695"/>
      <c r="L215" s="707" t="s">
        <v>419</v>
      </c>
      <c r="M215" s="708" t="s">
        <v>525</v>
      </c>
      <c r="N215" s="708" t="s">
        <v>420</v>
      </c>
      <c r="O215" s="708" t="s">
        <v>432</v>
      </c>
      <c r="P215" s="708" t="s">
        <v>422</v>
      </c>
      <c r="Q215" s="708" t="s">
        <v>50</v>
      </c>
      <c r="R215" s="708">
        <v>2021.0</v>
      </c>
      <c r="S215" s="709">
        <v>0.0</v>
      </c>
      <c r="T215" s="709">
        <v>0.0</v>
      </c>
      <c r="U215" s="710">
        <v>0.0</v>
      </c>
      <c r="CE215" s="460"/>
    </row>
    <row r="216">
      <c r="A216" s="690"/>
      <c r="B216" s="701" t="s">
        <v>97</v>
      </c>
      <c r="C216" s="702" t="s">
        <v>416</v>
      </c>
      <c r="D216" s="703" t="s">
        <v>479</v>
      </c>
      <c r="E216" s="704">
        <v>2021.0</v>
      </c>
      <c r="F216" s="702" t="s">
        <v>418</v>
      </c>
      <c r="G216" s="702" t="s">
        <v>50</v>
      </c>
      <c r="H216" s="705">
        <v>1423495.0</v>
      </c>
      <c r="I216" s="705">
        <v>1540729.0</v>
      </c>
      <c r="J216" s="706">
        <v>1310089.0</v>
      </c>
      <c r="K216" s="695"/>
      <c r="L216" s="707" t="s">
        <v>419</v>
      </c>
      <c r="M216" s="708" t="s">
        <v>525</v>
      </c>
      <c r="N216" s="708" t="s">
        <v>420</v>
      </c>
      <c r="O216" s="708" t="s">
        <v>439</v>
      </c>
      <c r="P216" s="708" t="s">
        <v>422</v>
      </c>
      <c r="Q216" s="708" t="s">
        <v>50</v>
      </c>
      <c r="R216" s="708">
        <v>2021.0</v>
      </c>
      <c r="S216" s="709">
        <v>0.026930459</v>
      </c>
      <c r="T216" s="709">
        <v>0.04820817</v>
      </c>
      <c r="U216" s="710">
        <v>0.007735058</v>
      </c>
      <c r="CE216" s="460"/>
    </row>
    <row r="217">
      <c r="A217" s="690"/>
      <c r="B217" s="712" t="s">
        <v>97</v>
      </c>
      <c r="C217" s="713" t="s">
        <v>416</v>
      </c>
      <c r="D217" s="714" t="s">
        <v>482</v>
      </c>
      <c r="E217" s="715">
        <v>2021.0</v>
      </c>
      <c r="F217" s="713" t="s">
        <v>418</v>
      </c>
      <c r="G217" s="713" t="s">
        <v>50</v>
      </c>
      <c r="H217" s="716">
        <v>1214373.0</v>
      </c>
      <c r="I217" s="716">
        <v>1314384.0</v>
      </c>
      <c r="J217" s="717">
        <v>1117627.0</v>
      </c>
      <c r="K217" s="695"/>
      <c r="L217" s="707" t="s">
        <v>419</v>
      </c>
      <c r="M217" s="708" t="s">
        <v>525</v>
      </c>
      <c r="N217" s="708" t="s">
        <v>420</v>
      </c>
      <c r="O217" s="708" t="s">
        <v>443</v>
      </c>
      <c r="P217" s="708" t="s">
        <v>422</v>
      </c>
      <c r="Q217" s="708" t="s">
        <v>50</v>
      </c>
      <c r="R217" s="708">
        <v>2021.0</v>
      </c>
      <c r="S217" s="709">
        <v>4.315668565</v>
      </c>
      <c r="T217" s="709">
        <v>10.68881449</v>
      </c>
      <c r="U217" s="710">
        <v>1.037286855</v>
      </c>
      <c r="CE217" s="460"/>
    </row>
    <row r="218">
      <c r="A218" s="690"/>
      <c r="B218" s="701" t="s">
        <v>97</v>
      </c>
      <c r="C218" s="702" t="s">
        <v>416</v>
      </c>
      <c r="D218" s="703" t="s">
        <v>485</v>
      </c>
      <c r="E218" s="704">
        <v>2021.0</v>
      </c>
      <c r="F218" s="702" t="s">
        <v>418</v>
      </c>
      <c r="G218" s="702" t="s">
        <v>50</v>
      </c>
      <c r="H218" s="705">
        <v>931085.0</v>
      </c>
      <c r="I218" s="705">
        <v>1007766.0</v>
      </c>
      <c r="J218" s="706">
        <v>856908.0</v>
      </c>
      <c r="K218" s="695"/>
      <c r="L218" s="707" t="s">
        <v>419</v>
      </c>
      <c r="M218" s="708" t="s">
        <v>525</v>
      </c>
      <c r="N218" s="708" t="s">
        <v>420</v>
      </c>
      <c r="O218" s="708" t="s">
        <v>417</v>
      </c>
      <c r="P218" s="708" t="s">
        <v>422</v>
      </c>
      <c r="Q218" s="708" t="s">
        <v>50</v>
      </c>
      <c r="R218" s="708">
        <v>2021.0</v>
      </c>
      <c r="S218" s="709">
        <v>0.675947129</v>
      </c>
      <c r="T218" s="709">
        <v>1.233809892</v>
      </c>
      <c r="U218" s="710">
        <v>0.169505463</v>
      </c>
      <c r="CE218" s="460"/>
    </row>
    <row r="219">
      <c r="A219" s="690"/>
      <c r="B219" s="712" t="s">
        <v>97</v>
      </c>
      <c r="C219" s="713" t="s">
        <v>416</v>
      </c>
      <c r="D219" s="714" t="s">
        <v>488</v>
      </c>
      <c r="E219" s="715">
        <v>2021.0</v>
      </c>
      <c r="F219" s="713" t="s">
        <v>418</v>
      </c>
      <c r="G219" s="713" t="s">
        <v>50</v>
      </c>
      <c r="H219" s="716">
        <v>723391.0</v>
      </c>
      <c r="I219" s="716">
        <v>782966.0</v>
      </c>
      <c r="J219" s="717">
        <v>665760.0</v>
      </c>
      <c r="K219" s="695"/>
      <c r="L219" s="707" t="s">
        <v>419</v>
      </c>
      <c r="M219" s="708" t="s">
        <v>525</v>
      </c>
      <c r="N219" s="708" t="s">
        <v>420</v>
      </c>
      <c r="O219" s="708" t="s">
        <v>438</v>
      </c>
      <c r="P219" s="708" t="s">
        <v>422</v>
      </c>
      <c r="Q219" s="708" t="s">
        <v>50</v>
      </c>
      <c r="R219" s="708">
        <v>2021.0</v>
      </c>
      <c r="S219" s="709">
        <v>0.026930459</v>
      </c>
      <c r="T219" s="709">
        <v>0.04820817</v>
      </c>
      <c r="U219" s="710">
        <v>0.007735058</v>
      </c>
      <c r="CE219" s="460"/>
    </row>
    <row r="220">
      <c r="A220" s="690"/>
      <c r="B220" s="701" t="s">
        <v>97</v>
      </c>
      <c r="C220" s="702" t="s">
        <v>416</v>
      </c>
      <c r="D220" s="703" t="s">
        <v>491</v>
      </c>
      <c r="E220" s="704">
        <v>2021.0</v>
      </c>
      <c r="F220" s="702" t="s">
        <v>418</v>
      </c>
      <c r="G220" s="702" t="s">
        <v>50</v>
      </c>
      <c r="H220" s="705">
        <v>576575.0</v>
      </c>
      <c r="I220" s="705">
        <v>624060.0</v>
      </c>
      <c r="J220" s="706">
        <v>530641.0</v>
      </c>
      <c r="K220" s="695"/>
      <c r="L220" s="707" t="s">
        <v>419</v>
      </c>
      <c r="M220" s="708" t="s">
        <v>504</v>
      </c>
      <c r="N220" s="708" t="s">
        <v>420</v>
      </c>
      <c r="O220" s="708" t="s">
        <v>421</v>
      </c>
      <c r="P220" s="708" t="s">
        <v>422</v>
      </c>
      <c r="Q220" s="708" t="s">
        <v>50</v>
      </c>
      <c r="R220" s="708">
        <v>2021.0</v>
      </c>
      <c r="S220" s="709">
        <v>22455.20528</v>
      </c>
      <c r="T220" s="709">
        <v>38993.9674</v>
      </c>
      <c r="U220" s="710">
        <v>8405.67955</v>
      </c>
      <c r="CE220" s="460"/>
    </row>
    <row r="221">
      <c r="A221" s="690"/>
      <c r="B221" s="712" t="s">
        <v>97</v>
      </c>
      <c r="C221" s="713" t="s">
        <v>416</v>
      </c>
      <c r="D221" s="714" t="s">
        <v>493</v>
      </c>
      <c r="E221" s="715">
        <v>2021.0</v>
      </c>
      <c r="F221" s="713" t="s">
        <v>418</v>
      </c>
      <c r="G221" s="713" t="s">
        <v>50</v>
      </c>
      <c r="H221" s="716">
        <v>1658791.0</v>
      </c>
      <c r="I221" s="716">
        <v>1795402.0</v>
      </c>
      <c r="J221" s="717">
        <v>1526639.0</v>
      </c>
      <c r="K221" s="695"/>
      <c r="L221" s="707" t="s">
        <v>419</v>
      </c>
      <c r="M221" s="708" t="s">
        <v>504</v>
      </c>
      <c r="N221" s="708" t="s">
        <v>420</v>
      </c>
      <c r="O221" s="708" t="s">
        <v>432</v>
      </c>
      <c r="P221" s="708" t="s">
        <v>422</v>
      </c>
      <c r="Q221" s="708" t="s">
        <v>50</v>
      </c>
      <c r="R221" s="708">
        <v>2021.0</v>
      </c>
      <c r="S221" s="709">
        <v>0.0</v>
      </c>
      <c r="T221" s="709">
        <v>0.0</v>
      </c>
      <c r="U221" s="710">
        <v>0.0</v>
      </c>
      <c r="CE221" s="460"/>
    </row>
    <row r="222">
      <c r="A222" s="690"/>
      <c r="B222" s="701" t="s">
        <v>97</v>
      </c>
      <c r="C222" s="702" t="s">
        <v>416</v>
      </c>
      <c r="D222" s="703" t="s">
        <v>434</v>
      </c>
      <c r="E222" s="704">
        <v>2021.0</v>
      </c>
      <c r="F222" s="702" t="s">
        <v>418</v>
      </c>
      <c r="G222" s="702" t="s">
        <v>50</v>
      </c>
      <c r="H222" s="705">
        <v>6265702.0</v>
      </c>
      <c r="I222" s="705">
        <v>6781720.0</v>
      </c>
      <c r="J222" s="706">
        <v>5766530.0</v>
      </c>
      <c r="K222" s="695"/>
      <c r="L222" s="707" t="s">
        <v>419</v>
      </c>
      <c r="M222" s="708" t="s">
        <v>504</v>
      </c>
      <c r="N222" s="708" t="s">
        <v>420</v>
      </c>
      <c r="O222" s="708" t="s">
        <v>439</v>
      </c>
      <c r="P222" s="708" t="s">
        <v>422</v>
      </c>
      <c r="Q222" s="708" t="s">
        <v>50</v>
      </c>
      <c r="R222" s="708">
        <v>2021.0</v>
      </c>
      <c r="S222" s="709">
        <v>909.196776</v>
      </c>
      <c r="T222" s="709">
        <v>1812.582727</v>
      </c>
      <c r="U222" s="710">
        <v>247.7152424</v>
      </c>
      <c r="CE222" s="460"/>
    </row>
    <row r="223">
      <c r="A223" s="690"/>
      <c r="B223" s="712" t="s">
        <v>97</v>
      </c>
      <c r="C223" s="713" t="s">
        <v>416</v>
      </c>
      <c r="D223" s="714" t="s">
        <v>497</v>
      </c>
      <c r="E223" s="715">
        <v>2021.0</v>
      </c>
      <c r="F223" s="713" t="s">
        <v>418</v>
      </c>
      <c r="G223" s="713" t="s">
        <v>50</v>
      </c>
      <c r="H223" s="716">
        <v>460082.0</v>
      </c>
      <c r="I223" s="716">
        <v>497972.0</v>
      </c>
      <c r="J223" s="717">
        <v>423428.0</v>
      </c>
      <c r="K223" s="695"/>
      <c r="L223" s="707" t="s">
        <v>419</v>
      </c>
      <c r="M223" s="708" t="s">
        <v>504</v>
      </c>
      <c r="N223" s="708" t="s">
        <v>420</v>
      </c>
      <c r="O223" s="708" t="s">
        <v>443</v>
      </c>
      <c r="P223" s="708" t="s">
        <v>422</v>
      </c>
      <c r="Q223" s="708" t="s">
        <v>50</v>
      </c>
      <c r="R223" s="708">
        <v>2021.0</v>
      </c>
      <c r="S223" s="709">
        <v>33664.34507</v>
      </c>
      <c r="T223" s="709">
        <v>61379.5824</v>
      </c>
      <c r="U223" s="710">
        <v>11795.28357</v>
      </c>
      <c r="CE223" s="460"/>
    </row>
    <row r="224">
      <c r="A224" s="690"/>
      <c r="B224" s="701" t="s">
        <v>97</v>
      </c>
      <c r="C224" s="702" t="s">
        <v>416</v>
      </c>
      <c r="D224" s="703" t="s">
        <v>500</v>
      </c>
      <c r="E224" s="704">
        <v>2021.0</v>
      </c>
      <c r="F224" s="702" t="s">
        <v>418</v>
      </c>
      <c r="G224" s="702" t="s">
        <v>50</v>
      </c>
      <c r="H224" s="705">
        <v>3392272.0</v>
      </c>
      <c r="I224" s="705">
        <v>3671646.0</v>
      </c>
      <c r="J224" s="706">
        <v>3122018.0</v>
      </c>
      <c r="K224" s="695"/>
      <c r="L224" s="707" t="s">
        <v>419</v>
      </c>
      <c r="M224" s="708" t="s">
        <v>504</v>
      </c>
      <c r="N224" s="708" t="s">
        <v>420</v>
      </c>
      <c r="O224" s="708" t="s">
        <v>417</v>
      </c>
      <c r="P224" s="708" t="s">
        <v>422</v>
      </c>
      <c r="Q224" s="708" t="s">
        <v>50</v>
      </c>
      <c r="R224" s="708">
        <v>2021.0</v>
      </c>
      <c r="S224" s="709">
        <v>6483.168847</v>
      </c>
      <c r="T224" s="709">
        <v>12011.37353</v>
      </c>
      <c r="U224" s="710">
        <v>2172.006204</v>
      </c>
      <c r="CE224" s="460"/>
    </row>
    <row r="225">
      <c r="A225" s="690"/>
      <c r="B225" s="712" t="s">
        <v>97</v>
      </c>
      <c r="C225" s="713" t="s">
        <v>416</v>
      </c>
      <c r="D225" s="714" t="s">
        <v>502</v>
      </c>
      <c r="E225" s="715">
        <v>2021.0</v>
      </c>
      <c r="F225" s="713" t="s">
        <v>418</v>
      </c>
      <c r="G225" s="713" t="s">
        <v>50</v>
      </c>
      <c r="H225" s="716">
        <v>353032.0</v>
      </c>
      <c r="I225" s="716">
        <v>382106.0</v>
      </c>
      <c r="J225" s="717">
        <v>324906.0</v>
      </c>
      <c r="K225" s="695"/>
      <c r="L225" s="707" t="s">
        <v>419</v>
      </c>
      <c r="M225" s="708" t="s">
        <v>504</v>
      </c>
      <c r="N225" s="708" t="s">
        <v>420</v>
      </c>
      <c r="O225" s="708" t="s">
        <v>438</v>
      </c>
      <c r="P225" s="708" t="s">
        <v>422</v>
      </c>
      <c r="Q225" s="708" t="s">
        <v>50</v>
      </c>
      <c r="R225" s="708">
        <v>2021.0</v>
      </c>
      <c r="S225" s="709">
        <v>909.196776</v>
      </c>
      <c r="T225" s="709">
        <v>1812.582727</v>
      </c>
      <c r="U225" s="710">
        <v>247.7152424</v>
      </c>
      <c r="CE225" s="460"/>
    </row>
    <row r="226">
      <c r="A226" s="690"/>
      <c r="B226" s="701" t="s">
        <v>97</v>
      </c>
      <c r="C226" s="702" t="s">
        <v>416</v>
      </c>
      <c r="D226" s="703" t="s">
        <v>505</v>
      </c>
      <c r="E226" s="704">
        <v>2021.0</v>
      </c>
      <c r="F226" s="702" t="s">
        <v>418</v>
      </c>
      <c r="G226" s="702" t="s">
        <v>50</v>
      </c>
      <c r="H226" s="705">
        <v>442381.0</v>
      </c>
      <c r="I226" s="705">
        <v>478813.0</v>
      </c>
      <c r="J226" s="706">
        <v>407137.0</v>
      </c>
      <c r="K226" s="695"/>
      <c r="L226" s="707" t="s">
        <v>419</v>
      </c>
      <c r="M226" s="708" t="s">
        <v>102</v>
      </c>
      <c r="N226" s="708" t="s">
        <v>420</v>
      </c>
      <c r="O226" s="708" t="s">
        <v>421</v>
      </c>
      <c r="P226" s="708" t="s">
        <v>422</v>
      </c>
      <c r="Q226" s="708" t="s">
        <v>50</v>
      </c>
      <c r="R226" s="708">
        <v>2021.0</v>
      </c>
      <c r="S226" s="709">
        <v>125695.9546</v>
      </c>
      <c r="T226" s="709">
        <v>243759.9748</v>
      </c>
      <c r="U226" s="710">
        <v>43951.16701</v>
      </c>
      <c r="CE226" s="460"/>
    </row>
    <row r="227">
      <c r="A227" s="690"/>
      <c r="B227" s="712" t="s">
        <v>97</v>
      </c>
      <c r="C227" s="713" t="s">
        <v>416</v>
      </c>
      <c r="D227" s="714" t="s">
        <v>508</v>
      </c>
      <c r="E227" s="715">
        <v>2021.0</v>
      </c>
      <c r="F227" s="713" t="s">
        <v>418</v>
      </c>
      <c r="G227" s="713" t="s">
        <v>50</v>
      </c>
      <c r="H227" s="716">
        <v>269102.0</v>
      </c>
      <c r="I227" s="716">
        <v>291265.0</v>
      </c>
      <c r="J227" s="717">
        <v>247664.0</v>
      </c>
      <c r="K227" s="695"/>
      <c r="L227" s="707" t="s">
        <v>419</v>
      </c>
      <c r="M227" s="708" t="s">
        <v>102</v>
      </c>
      <c r="N227" s="708" t="s">
        <v>420</v>
      </c>
      <c r="O227" s="708" t="s">
        <v>432</v>
      </c>
      <c r="P227" s="708" t="s">
        <v>422</v>
      </c>
      <c r="Q227" s="708" t="s">
        <v>50</v>
      </c>
      <c r="R227" s="708">
        <v>2021.0</v>
      </c>
      <c r="S227" s="709">
        <v>0.0</v>
      </c>
      <c r="T227" s="709">
        <v>0.0</v>
      </c>
      <c r="U227" s="710">
        <v>0.0</v>
      </c>
      <c r="CE227" s="460"/>
    </row>
    <row r="228">
      <c r="A228" s="690"/>
      <c r="B228" s="701" t="s">
        <v>97</v>
      </c>
      <c r="C228" s="702" t="s">
        <v>416</v>
      </c>
      <c r="D228" s="703" t="s">
        <v>511</v>
      </c>
      <c r="E228" s="704">
        <v>2021.0</v>
      </c>
      <c r="F228" s="702" t="s">
        <v>418</v>
      </c>
      <c r="G228" s="702" t="s">
        <v>50</v>
      </c>
      <c r="H228" s="705">
        <v>421199.0</v>
      </c>
      <c r="I228" s="705">
        <v>455887.0</v>
      </c>
      <c r="J228" s="706">
        <v>387643.0</v>
      </c>
      <c r="K228" s="695"/>
      <c r="L228" s="707" t="s">
        <v>419</v>
      </c>
      <c r="M228" s="708" t="s">
        <v>102</v>
      </c>
      <c r="N228" s="708" t="s">
        <v>420</v>
      </c>
      <c r="O228" s="708" t="s">
        <v>439</v>
      </c>
      <c r="P228" s="708" t="s">
        <v>422</v>
      </c>
      <c r="Q228" s="708" t="s">
        <v>50</v>
      </c>
      <c r="R228" s="708">
        <v>2021.0</v>
      </c>
      <c r="S228" s="709">
        <v>5319.998072</v>
      </c>
      <c r="T228" s="709">
        <v>12842.40253</v>
      </c>
      <c r="U228" s="710">
        <v>1520.737442</v>
      </c>
      <c r="CE228" s="460"/>
    </row>
    <row r="229">
      <c r="A229" s="690"/>
      <c r="B229" s="712" t="s">
        <v>97</v>
      </c>
      <c r="C229" s="713" t="s">
        <v>416</v>
      </c>
      <c r="D229" s="714" t="s">
        <v>514</v>
      </c>
      <c r="E229" s="715">
        <v>2021.0</v>
      </c>
      <c r="F229" s="713" t="s">
        <v>418</v>
      </c>
      <c r="G229" s="713" t="s">
        <v>50</v>
      </c>
      <c r="H229" s="716">
        <v>194630.0</v>
      </c>
      <c r="I229" s="716">
        <v>210658.0</v>
      </c>
      <c r="J229" s="717">
        <v>179124.0</v>
      </c>
      <c r="K229" s="695"/>
      <c r="L229" s="707" t="s">
        <v>419</v>
      </c>
      <c r="M229" s="708" t="s">
        <v>102</v>
      </c>
      <c r="N229" s="708" t="s">
        <v>420</v>
      </c>
      <c r="O229" s="708" t="s">
        <v>443</v>
      </c>
      <c r="P229" s="708" t="s">
        <v>422</v>
      </c>
      <c r="Q229" s="708" t="s">
        <v>50</v>
      </c>
      <c r="R229" s="708">
        <v>2021.0</v>
      </c>
      <c r="S229" s="709">
        <v>227528.8988</v>
      </c>
      <c r="T229" s="709">
        <v>475654.5159</v>
      </c>
      <c r="U229" s="710">
        <v>74960.16271</v>
      </c>
      <c r="CE229" s="460"/>
    </row>
    <row r="230">
      <c r="A230" s="690"/>
      <c r="B230" s="701" t="s">
        <v>97</v>
      </c>
      <c r="C230" s="702" t="s">
        <v>416</v>
      </c>
      <c r="D230" s="703" t="s">
        <v>439</v>
      </c>
      <c r="E230" s="704">
        <v>2021.0</v>
      </c>
      <c r="F230" s="702" t="s">
        <v>418</v>
      </c>
      <c r="G230" s="702" t="s">
        <v>50</v>
      </c>
      <c r="H230" s="705">
        <v>53300.0</v>
      </c>
      <c r="I230" s="705">
        <v>57689.0</v>
      </c>
      <c r="J230" s="706">
        <v>49054.0</v>
      </c>
      <c r="K230" s="695"/>
      <c r="L230" s="707" t="s">
        <v>419</v>
      </c>
      <c r="M230" s="708" t="s">
        <v>102</v>
      </c>
      <c r="N230" s="708" t="s">
        <v>420</v>
      </c>
      <c r="O230" s="708" t="s">
        <v>417</v>
      </c>
      <c r="P230" s="708" t="s">
        <v>422</v>
      </c>
      <c r="Q230" s="708" t="s">
        <v>50</v>
      </c>
      <c r="R230" s="708">
        <v>2021.0</v>
      </c>
      <c r="S230" s="709">
        <v>41778.65015</v>
      </c>
      <c r="T230" s="709">
        <v>89998.42797</v>
      </c>
      <c r="U230" s="710">
        <v>13620.72056</v>
      </c>
      <c r="CE230" s="460"/>
    </row>
    <row r="231">
      <c r="A231" s="690"/>
      <c r="B231" s="712" t="s">
        <v>97</v>
      </c>
      <c r="C231" s="713" t="s">
        <v>416</v>
      </c>
      <c r="D231" s="714" t="s">
        <v>517</v>
      </c>
      <c r="E231" s="715">
        <v>2021.0</v>
      </c>
      <c r="F231" s="713" t="s">
        <v>418</v>
      </c>
      <c r="G231" s="713" t="s">
        <v>50</v>
      </c>
      <c r="H231" s="716">
        <v>126629.0</v>
      </c>
      <c r="I231" s="716">
        <v>137058.0</v>
      </c>
      <c r="J231" s="717">
        <v>116541.0</v>
      </c>
      <c r="K231" s="695"/>
      <c r="L231" s="707" t="s">
        <v>419</v>
      </c>
      <c r="M231" s="708" t="s">
        <v>102</v>
      </c>
      <c r="N231" s="708" t="s">
        <v>420</v>
      </c>
      <c r="O231" s="708" t="s">
        <v>438</v>
      </c>
      <c r="P231" s="708" t="s">
        <v>422</v>
      </c>
      <c r="Q231" s="708" t="s">
        <v>50</v>
      </c>
      <c r="R231" s="708">
        <v>2021.0</v>
      </c>
      <c r="S231" s="709">
        <v>5319.998072</v>
      </c>
      <c r="T231" s="709">
        <v>12842.40253</v>
      </c>
      <c r="U231" s="710">
        <v>1520.737442</v>
      </c>
      <c r="CE231" s="460"/>
    </row>
    <row r="232">
      <c r="A232" s="690"/>
      <c r="B232" s="701" t="s">
        <v>97</v>
      </c>
      <c r="C232" s="702" t="s">
        <v>416</v>
      </c>
      <c r="D232" s="703" t="s">
        <v>520</v>
      </c>
      <c r="E232" s="704">
        <v>2021.0</v>
      </c>
      <c r="F232" s="702" t="s">
        <v>418</v>
      </c>
      <c r="G232" s="702" t="s">
        <v>50</v>
      </c>
      <c r="H232" s="705">
        <v>99940.0</v>
      </c>
      <c r="I232" s="705">
        <v>108170.0</v>
      </c>
      <c r="J232" s="706">
        <v>91978.0</v>
      </c>
      <c r="K232" s="695"/>
      <c r="L232" s="707" t="s">
        <v>419</v>
      </c>
      <c r="M232" s="708" t="s">
        <v>530</v>
      </c>
      <c r="N232" s="708" t="s">
        <v>420</v>
      </c>
      <c r="O232" s="708" t="s">
        <v>421</v>
      </c>
      <c r="P232" s="708" t="s">
        <v>422</v>
      </c>
      <c r="Q232" s="708" t="s">
        <v>50</v>
      </c>
      <c r="R232" s="708">
        <v>2021.0</v>
      </c>
      <c r="S232" s="709">
        <v>1623.615166</v>
      </c>
      <c r="T232" s="709">
        <v>5114.803857</v>
      </c>
      <c r="U232" s="710">
        <v>80.64419325</v>
      </c>
      <c r="CE232" s="460"/>
    </row>
    <row r="233">
      <c r="A233" s="690"/>
      <c r="B233" s="712" t="s">
        <v>97</v>
      </c>
      <c r="C233" s="713" t="s">
        <v>416</v>
      </c>
      <c r="D233" s="714" t="s">
        <v>521</v>
      </c>
      <c r="E233" s="715">
        <v>2021.0</v>
      </c>
      <c r="F233" s="713" t="s">
        <v>418</v>
      </c>
      <c r="G233" s="713" t="s">
        <v>50</v>
      </c>
      <c r="H233" s="716">
        <v>64637.0</v>
      </c>
      <c r="I233" s="716">
        <v>69960.0</v>
      </c>
      <c r="J233" s="717">
        <v>59487.0</v>
      </c>
      <c r="K233" s="695"/>
      <c r="L233" s="707" t="s">
        <v>419</v>
      </c>
      <c r="M233" s="708" t="s">
        <v>530</v>
      </c>
      <c r="N233" s="708" t="s">
        <v>420</v>
      </c>
      <c r="O233" s="708" t="s">
        <v>432</v>
      </c>
      <c r="P233" s="708" t="s">
        <v>422</v>
      </c>
      <c r="Q233" s="708" t="s">
        <v>50</v>
      </c>
      <c r="R233" s="708">
        <v>2021.0</v>
      </c>
      <c r="S233" s="709">
        <v>0.0</v>
      </c>
      <c r="T233" s="709">
        <v>0.0</v>
      </c>
      <c r="U233" s="710">
        <v>0.0</v>
      </c>
      <c r="CE233" s="460"/>
    </row>
    <row r="234">
      <c r="A234" s="690"/>
      <c r="B234" s="701" t="s">
        <v>97</v>
      </c>
      <c r="C234" s="702" t="s">
        <v>416</v>
      </c>
      <c r="D234" s="703" t="s">
        <v>524</v>
      </c>
      <c r="E234" s="704">
        <v>2021.0</v>
      </c>
      <c r="F234" s="702" t="s">
        <v>418</v>
      </c>
      <c r="G234" s="702" t="s">
        <v>50</v>
      </c>
      <c r="H234" s="705">
        <v>25753.0</v>
      </c>
      <c r="I234" s="705">
        <v>27873.0</v>
      </c>
      <c r="J234" s="706">
        <v>23701.0</v>
      </c>
      <c r="K234" s="695"/>
      <c r="L234" s="707" t="s">
        <v>419</v>
      </c>
      <c r="M234" s="708" t="s">
        <v>530</v>
      </c>
      <c r="N234" s="708" t="s">
        <v>420</v>
      </c>
      <c r="O234" s="708" t="s">
        <v>439</v>
      </c>
      <c r="P234" s="708" t="s">
        <v>422</v>
      </c>
      <c r="Q234" s="708" t="s">
        <v>50</v>
      </c>
      <c r="R234" s="708">
        <v>2021.0</v>
      </c>
      <c r="S234" s="709">
        <v>69.57980626</v>
      </c>
      <c r="T234" s="709">
        <v>220.1733224</v>
      </c>
      <c r="U234" s="710">
        <v>2.99566528</v>
      </c>
      <c r="CE234" s="460"/>
    </row>
    <row r="235">
      <c r="A235" s="690"/>
      <c r="B235" s="712" t="s">
        <v>97</v>
      </c>
      <c r="C235" s="713" t="s">
        <v>416</v>
      </c>
      <c r="D235" s="714" t="s">
        <v>527</v>
      </c>
      <c r="E235" s="715">
        <v>2021.0</v>
      </c>
      <c r="F235" s="713" t="s">
        <v>418</v>
      </c>
      <c r="G235" s="713" t="s">
        <v>50</v>
      </c>
      <c r="H235" s="716">
        <v>7719.0</v>
      </c>
      <c r="I235" s="716">
        <v>8355.0</v>
      </c>
      <c r="J235" s="717">
        <v>7104.0</v>
      </c>
      <c r="K235" s="695"/>
      <c r="L235" s="707" t="s">
        <v>419</v>
      </c>
      <c r="M235" s="708" t="s">
        <v>530</v>
      </c>
      <c r="N235" s="708" t="s">
        <v>420</v>
      </c>
      <c r="O235" s="708" t="s">
        <v>443</v>
      </c>
      <c r="P235" s="708" t="s">
        <v>422</v>
      </c>
      <c r="Q235" s="708" t="s">
        <v>50</v>
      </c>
      <c r="R235" s="708">
        <v>2021.0</v>
      </c>
      <c r="S235" s="709">
        <v>8839.575704</v>
      </c>
      <c r="T235" s="709">
        <v>25709.59081</v>
      </c>
      <c r="U235" s="710">
        <v>459.7424032</v>
      </c>
      <c r="CE235" s="460"/>
    </row>
    <row r="236">
      <c r="A236" s="690"/>
      <c r="B236" s="701" t="s">
        <v>97</v>
      </c>
      <c r="C236" s="702" t="s">
        <v>416</v>
      </c>
      <c r="D236" s="703" t="s">
        <v>529</v>
      </c>
      <c r="E236" s="704">
        <v>2021.0</v>
      </c>
      <c r="F236" s="702" t="s">
        <v>418</v>
      </c>
      <c r="G236" s="702" t="s">
        <v>50</v>
      </c>
      <c r="H236" s="705">
        <v>1831.0</v>
      </c>
      <c r="I236" s="705">
        <v>1982.0</v>
      </c>
      <c r="J236" s="706">
        <v>1685.0</v>
      </c>
      <c r="K236" s="695"/>
      <c r="L236" s="707" t="s">
        <v>419</v>
      </c>
      <c r="M236" s="708" t="s">
        <v>530</v>
      </c>
      <c r="N236" s="708" t="s">
        <v>420</v>
      </c>
      <c r="O236" s="708" t="s">
        <v>417</v>
      </c>
      <c r="P236" s="708" t="s">
        <v>422</v>
      </c>
      <c r="Q236" s="708" t="s">
        <v>50</v>
      </c>
      <c r="R236" s="708">
        <v>2021.0</v>
      </c>
      <c r="S236" s="709">
        <v>768.5335605</v>
      </c>
      <c r="T236" s="709">
        <v>2543.716984</v>
      </c>
      <c r="U236" s="710">
        <v>38.44878906</v>
      </c>
      <c r="CE236" s="460"/>
    </row>
    <row r="237">
      <c r="A237" s="690"/>
      <c r="B237" s="712" t="s">
        <v>97</v>
      </c>
      <c r="C237" s="713" t="s">
        <v>416</v>
      </c>
      <c r="D237" s="714" t="s">
        <v>443</v>
      </c>
      <c r="E237" s="715">
        <v>2021.0</v>
      </c>
      <c r="F237" s="713" t="s">
        <v>418</v>
      </c>
      <c r="G237" s="713" t="s">
        <v>50</v>
      </c>
      <c r="H237" s="716">
        <v>2.276113E7</v>
      </c>
      <c r="I237" s="716">
        <v>2.4635646E7</v>
      </c>
      <c r="J237" s="717">
        <v>2.0947809E7</v>
      </c>
      <c r="K237" s="695"/>
      <c r="L237" s="707" t="s">
        <v>419</v>
      </c>
      <c r="M237" s="708" t="s">
        <v>530</v>
      </c>
      <c r="N237" s="708" t="s">
        <v>420</v>
      </c>
      <c r="O237" s="708" t="s">
        <v>438</v>
      </c>
      <c r="P237" s="708" t="s">
        <v>422</v>
      </c>
      <c r="Q237" s="708" t="s">
        <v>50</v>
      </c>
      <c r="R237" s="708">
        <v>2021.0</v>
      </c>
      <c r="S237" s="709">
        <v>69.57980626</v>
      </c>
      <c r="T237" s="709">
        <v>220.1733224</v>
      </c>
      <c r="U237" s="710">
        <v>2.99566528</v>
      </c>
      <c r="CE237" s="460"/>
    </row>
    <row r="238">
      <c r="A238" s="690"/>
      <c r="B238" s="701" t="s">
        <v>451</v>
      </c>
      <c r="C238" s="702" t="s">
        <v>416</v>
      </c>
      <c r="D238" s="703" t="s">
        <v>417</v>
      </c>
      <c r="E238" s="704">
        <v>2021.0</v>
      </c>
      <c r="F238" s="702" t="s">
        <v>418</v>
      </c>
      <c r="G238" s="702" t="s">
        <v>50</v>
      </c>
      <c r="H238" s="705">
        <v>448996.0</v>
      </c>
      <c r="I238" s="705">
        <v>509482.0</v>
      </c>
      <c r="J238" s="706">
        <v>385088.0</v>
      </c>
      <c r="K238" s="695"/>
      <c r="L238" s="707" t="s">
        <v>419</v>
      </c>
      <c r="M238" s="708" t="s">
        <v>531</v>
      </c>
      <c r="N238" s="708" t="s">
        <v>420</v>
      </c>
      <c r="O238" s="708" t="s">
        <v>421</v>
      </c>
      <c r="P238" s="708" t="s">
        <v>422</v>
      </c>
      <c r="Q238" s="708" t="s">
        <v>50</v>
      </c>
      <c r="R238" s="708">
        <v>2021.0</v>
      </c>
      <c r="S238" s="709">
        <v>1770.226276</v>
      </c>
      <c r="T238" s="709">
        <v>2857.658658</v>
      </c>
      <c r="U238" s="710">
        <v>1022.719725</v>
      </c>
      <c r="CE238" s="460"/>
    </row>
    <row r="239">
      <c r="A239" s="690"/>
      <c r="B239" s="712" t="s">
        <v>451</v>
      </c>
      <c r="C239" s="713" t="s">
        <v>416</v>
      </c>
      <c r="D239" s="714" t="s">
        <v>431</v>
      </c>
      <c r="E239" s="715">
        <v>2021.0</v>
      </c>
      <c r="F239" s="713" t="s">
        <v>418</v>
      </c>
      <c r="G239" s="713" t="s">
        <v>50</v>
      </c>
      <c r="H239" s="716">
        <v>7274534.0</v>
      </c>
      <c r="I239" s="716">
        <v>8254511.0</v>
      </c>
      <c r="J239" s="717">
        <v>6239110.0</v>
      </c>
      <c r="K239" s="695"/>
      <c r="L239" s="723" t="s">
        <v>419</v>
      </c>
      <c r="M239" s="724" t="s">
        <v>531</v>
      </c>
      <c r="N239" s="724" t="s">
        <v>420</v>
      </c>
      <c r="O239" s="724" t="s">
        <v>432</v>
      </c>
      <c r="P239" s="724" t="s">
        <v>422</v>
      </c>
      <c r="Q239" s="724" t="s">
        <v>50</v>
      </c>
      <c r="R239" s="725">
        <v>2021.0</v>
      </c>
      <c r="S239" s="726">
        <v>0.0</v>
      </c>
      <c r="T239" s="726">
        <v>0.0</v>
      </c>
      <c r="U239" s="727">
        <v>0.0</v>
      </c>
      <c r="CE239" s="460"/>
    </row>
    <row r="240">
      <c r="A240" s="690"/>
      <c r="B240" s="701" t="s">
        <v>451</v>
      </c>
      <c r="C240" s="702" t="s">
        <v>416</v>
      </c>
      <c r="D240" s="703" t="s">
        <v>438</v>
      </c>
      <c r="E240" s="704">
        <v>2021.0</v>
      </c>
      <c r="F240" s="702" t="s">
        <v>418</v>
      </c>
      <c r="G240" s="702" t="s">
        <v>50</v>
      </c>
      <c r="H240" s="705">
        <v>35186.0</v>
      </c>
      <c r="I240" s="705">
        <v>39926.0</v>
      </c>
      <c r="J240" s="706">
        <v>30178.0</v>
      </c>
      <c r="K240" s="695"/>
      <c r="L240" s="707" t="s">
        <v>419</v>
      </c>
      <c r="M240" s="708" t="s">
        <v>531</v>
      </c>
      <c r="N240" s="708" t="s">
        <v>420</v>
      </c>
      <c r="O240" s="708" t="s">
        <v>439</v>
      </c>
      <c r="P240" s="708" t="s">
        <v>422</v>
      </c>
      <c r="Q240" s="708" t="s">
        <v>50</v>
      </c>
      <c r="R240" s="708">
        <v>2021.0</v>
      </c>
      <c r="S240" s="709">
        <v>112.0406992</v>
      </c>
      <c r="T240" s="709">
        <v>198.2338399</v>
      </c>
      <c r="U240" s="710">
        <v>64.48549454</v>
      </c>
      <c r="CE240" s="460"/>
    </row>
    <row r="241">
      <c r="A241" s="690"/>
      <c r="B241" s="712" t="s">
        <v>451</v>
      </c>
      <c r="C241" s="713" t="s">
        <v>416</v>
      </c>
      <c r="D241" s="714" t="s">
        <v>421</v>
      </c>
      <c r="E241" s="715">
        <v>2021.0</v>
      </c>
      <c r="F241" s="713" t="s">
        <v>418</v>
      </c>
      <c r="G241" s="713" t="s">
        <v>50</v>
      </c>
      <c r="H241" s="716">
        <v>2160387.0</v>
      </c>
      <c r="I241" s="716">
        <v>2451420.0</v>
      </c>
      <c r="J241" s="717">
        <v>1852887.0</v>
      </c>
      <c r="K241" s="695"/>
      <c r="L241" s="707" t="s">
        <v>419</v>
      </c>
      <c r="M241" s="708" t="s">
        <v>531</v>
      </c>
      <c r="N241" s="708" t="s">
        <v>420</v>
      </c>
      <c r="O241" s="708" t="s">
        <v>443</v>
      </c>
      <c r="P241" s="708" t="s">
        <v>422</v>
      </c>
      <c r="Q241" s="708" t="s">
        <v>50</v>
      </c>
      <c r="R241" s="708">
        <v>2021.0</v>
      </c>
      <c r="S241" s="709">
        <v>3035.45704</v>
      </c>
      <c r="T241" s="709">
        <v>5339.768388</v>
      </c>
      <c r="U241" s="710">
        <v>1719.008607</v>
      </c>
      <c r="CE241" s="460"/>
    </row>
    <row r="242">
      <c r="A242" s="690"/>
      <c r="B242" s="701" t="s">
        <v>451</v>
      </c>
      <c r="C242" s="702" t="s">
        <v>416</v>
      </c>
      <c r="D242" s="703" t="s">
        <v>447</v>
      </c>
      <c r="E242" s="704">
        <v>2021.0</v>
      </c>
      <c r="F242" s="702" t="s">
        <v>418</v>
      </c>
      <c r="G242" s="702" t="s">
        <v>50</v>
      </c>
      <c r="H242" s="705">
        <v>5854158.0</v>
      </c>
      <c r="I242" s="705">
        <v>6642792.0</v>
      </c>
      <c r="J242" s="706">
        <v>5020904.0</v>
      </c>
      <c r="K242" s="695"/>
      <c r="L242" s="738" t="s">
        <v>419</v>
      </c>
      <c r="M242" s="739" t="s">
        <v>531</v>
      </c>
      <c r="N242" s="739" t="s">
        <v>420</v>
      </c>
      <c r="O242" s="739" t="s">
        <v>417</v>
      </c>
      <c r="P242" s="739" t="s">
        <v>422</v>
      </c>
      <c r="Q242" s="739" t="s">
        <v>50</v>
      </c>
      <c r="R242" s="739">
        <v>2021.0</v>
      </c>
      <c r="S242" s="740">
        <v>791.6466592</v>
      </c>
      <c r="T242" s="740">
        <v>1293.620871</v>
      </c>
      <c r="U242" s="741">
        <v>435.0928878</v>
      </c>
      <c r="CE242" s="460"/>
    </row>
    <row r="243">
      <c r="A243" s="690"/>
      <c r="B243" s="712" t="s">
        <v>451</v>
      </c>
      <c r="C243" s="713" t="s">
        <v>416</v>
      </c>
      <c r="D243" s="714" t="s">
        <v>432</v>
      </c>
      <c r="E243" s="715">
        <v>2021.0</v>
      </c>
      <c r="F243" s="713" t="s">
        <v>418</v>
      </c>
      <c r="G243" s="713" t="s">
        <v>50</v>
      </c>
      <c r="H243" s="716">
        <v>8883.0</v>
      </c>
      <c r="I243" s="716">
        <v>10079.0</v>
      </c>
      <c r="J243" s="717">
        <v>7618.0</v>
      </c>
      <c r="K243" s="695"/>
      <c r="L243" s="707" t="s">
        <v>419</v>
      </c>
      <c r="M243" s="708" t="s">
        <v>531</v>
      </c>
      <c r="N243" s="708" t="s">
        <v>420</v>
      </c>
      <c r="O243" s="708" t="s">
        <v>438</v>
      </c>
      <c r="P243" s="708" t="s">
        <v>422</v>
      </c>
      <c r="Q243" s="708" t="s">
        <v>50</v>
      </c>
      <c r="R243" s="708">
        <v>2021.0</v>
      </c>
      <c r="S243" s="709">
        <v>112.0406992</v>
      </c>
      <c r="T243" s="709">
        <v>198.2338399</v>
      </c>
      <c r="U243" s="710">
        <v>64.48549454</v>
      </c>
      <c r="CE243" s="460"/>
    </row>
    <row r="244">
      <c r="A244" s="690"/>
      <c r="B244" s="701" t="s">
        <v>451</v>
      </c>
      <c r="C244" s="702" t="s">
        <v>416</v>
      </c>
      <c r="D244" s="703" t="s">
        <v>450</v>
      </c>
      <c r="E244" s="704">
        <v>2021.0</v>
      </c>
      <c r="F244" s="702" t="s">
        <v>418</v>
      </c>
      <c r="G244" s="702" t="s">
        <v>50</v>
      </c>
      <c r="H244" s="705">
        <v>1734981.0</v>
      </c>
      <c r="I244" s="705">
        <v>1968706.0</v>
      </c>
      <c r="J244" s="706">
        <v>1488032.0</v>
      </c>
      <c r="K244" s="695"/>
      <c r="L244" s="707" t="s">
        <v>419</v>
      </c>
      <c r="M244" s="708" t="s">
        <v>532</v>
      </c>
      <c r="N244" s="708" t="s">
        <v>420</v>
      </c>
      <c r="O244" s="708" t="s">
        <v>421</v>
      </c>
      <c r="P244" s="708" t="s">
        <v>422</v>
      </c>
      <c r="Q244" s="708" t="s">
        <v>50</v>
      </c>
      <c r="R244" s="708">
        <v>2021.0</v>
      </c>
      <c r="S244" s="709">
        <v>4.910762094</v>
      </c>
      <c r="T244" s="709">
        <v>8.060094132</v>
      </c>
      <c r="U244" s="710">
        <v>1.745943818</v>
      </c>
      <c r="CE244" s="460"/>
    </row>
    <row r="245">
      <c r="A245" s="690"/>
      <c r="B245" s="712" t="s">
        <v>451</v>
      </c>
      <c r="C245" s="713" t="s">
        <v>416</v>
      </c>
      <c r="D245" s="714" t="s">
        <v>453</v>
      </c>
      <c r="E245" s="715">
        <v>2021.0</v>
      </c>
      <c r="F245" s="713" t="s">
        <v>418</v>
      </c>
      <c r="G245" s="713" t="s">
        <v>50</v>
      </c>
      <c r="H245" s="716">
        <v>3155356.0</v>
      </c>
      <c r="I245" s="716">
        <v>3580425.0</v>
      </c>
      <c r="J245" s="717">
        <v>2706237.0</v>
      </c>
      <c r="K245" s="695"/>
      <c r="L245" s="707" t="s">
        <v>419</v>
      </c>
      <c r="M245" s="708" t="s">
        <v>532</v>
      </c>
      <c r="N245" s="708" t="s">
        <v>420</v>
      </c>
      <c r="O245" s="708" t="s">
        <v>432</v>
      </c>
      <c r="P245" s="708" t="s">
        <v>422</v>
      </c>
      <c r="Q245" s="708" t="s">
        <v>50</v>
      </c>
      <c r="R245" s="708">
        <v>2021.0</v>
      </c>
      <c r="S245" s="709">
        <v>0.0</v>
      </c>
      <c r="T245" s="709">
        <v>0.0</v>
      </c>
      <c r="U245" s="710">
        <v>0.0</v>
      </c>
      <c r="CE245" s="460"/>
    </row>
    <row r="246">
      <c r="A246" s="690"/>
      <c r="B246" s="701" t="s">
        <v>451</v>
      </c>
      <c r="C246" s="702" t="s">
        <v>416</v>
      </c>
      <c r="D246" s="703" t="s">
        <v>454</v>
      </c>
      <c r="E246" s="704">
        <v>2021.0</v>
      </c>
      <c r="F246" s="702" t="s">
        <v>418</v>
      </c>
      <c r="G246" s="702" t="s">
        <v>50</v>
      </c>
      <c r="H246" s="705">
        <v>4317026.0</v>
      </c>
      <c r="I246" s="705">
        <v>4898587.0</v>
      </c>
      <c r="J246" s="706">
        <v>3702561.0</v>
      </c>
      <c r="K246" s="695"/>
      <c r="L246" s="707" t="s">
        <v>419</v>
      </c>
      <c r="M246" s="708" t="s">
        <v>532</v>
      </c>
      <c r="N246" s="708" t="s">
        <v>420</v>
      </c>
      <c r="O246" s="708" t="s">
        <v>439</v>
      </c>
      <c r="P246" s="708" t="s">
        <v>422</v>
      </c>
      <c r="Q246" s="708" t="s">
        <v>50</v>
      </c>
      <c r="R246" s="708">
        <v>2021.0</v>
      </c>
      <c r="S246" s="709">
        <v>0.220497507</v>
      </c>
      <c r="T246" s="709">
        <v>0.325100664</v>
      </c>
      <c r="U246" s="710">
        <v>0.102255549</v>
      </c>
      <c r="CE246" s="460"/>
    </row>
    <row r="247">
      <c r="A247" s="690"/>
      <c r="B247" s="712" t="s">
        <v>451</v>
      </c>
      <c r="C247" s="713" t="s">
        <v>416</v>
      </c>
      <c r="D247" s="714" t="s">
        <v>457</v>
      </c>
      <c r="E247" s="715">
        <v>2021.0</v>
      </c>
      <c r="F247" s="713" t="s">
        <v>418</v>
      </c>
      <c r="G247" s="713" t="s">
        <v>50</v>
      </c>
      <c r="H247" s="716">
        <v>439711.0</v>
      </c>
      <c r="I247" s="716">
        <v>498946.0</v>
      </c>
      <c r="J247" s="717">
        <v>377125.0</v>
      </c>
      <c r="K247" s="695"/>
      <c r="L247" s="707" t="s">
        <v>419</v>
      </c>
      <c r="M247" s="708" t="s">
        <v>532</v>
      </c>
      <c r="N247" s="708" t="s">
        <v>420</v>
      </c>
      <c r="O247" s="708" t="s">
        <v>443</v>
      </c>
      <c r="P247" s="708" t="s">
        <v>422</v>
      </c>
      <c r="Q247" s="708" t="s">
        <v>50</v>
      </c>
      <c r="R247" s="708">
        <v>2021.0</v>
      </c>
      <c r="S247" s="709">
        <v>7.941949134</v>
      </c>
      <c r="T247" s="709">
        <v>12.99087443</v>
      </c>
      <c r="U247" s="710">
        <v>3.236800519</v>
      </c>
      <c r="CE247" s="460"/>
    </row>
    <row r="248">
      <c r="A248" s="690"/>
      <c r="B248" s="701" t="s">
        <v>451</v>
      </c>
      <c r="C248" s="702" t="s">
        <v>416</v>
      </c>
      <c r="D248" s="703" t="s">
        <v>460</v>
      </c>
      <c r="E248" s="704">
        <v>2021.0</v>
      </c>
      <c r="F248" s="702" t="s">
        <v>418</v>
      </c>
      <c r="G248" s="702" t="s">
        <v>50</v>
      </c>
      <c r="H248" s="705">
        <v>191970.0</v>
      </c>
      <c r="I248" s="705">
        <v>217831.0</v>
      </c>
      <c r="J248" s="706">
        <v>164646.0</v>
      </c>
      <c r="K248" s="695"/>
      <c r="L248" s="707" t="s">
        <v>419</v>
      </c>
      <c r="M248" s="708" t="s">
        <v>532</v>
      </c>
      <c r="N248" s="708" t="s">
        <v>420</v>
      </c>
      <c r="O248" s="708" t="s">
        <v>417</v>
      </c>
      <c r="P248" s="708" t="s">
        <v>422</v>
      </c>
      <c r="Q248" s="708" t="s">
        <v>50</v>
      </c>
      <c r="R248" s="708">
        <v>2021.0</v>
      </c>
      <c r="S248" s="709">
        <v>3.238520353</v>
      </c>
      <c r="T248" s="709">
        <v>5.108254511</v>
      </c>
      <c r="U248" s="710">
        <v>1.222185036</v>
      </c>
      <c r="CE248" s="460"/>
    </row>
    <row r="249">
      <c r="A249" s="690"/>
      <c r="B249" s="712" t="s">
        <v>451</v>
      </c>
      <c r="C249" s="713" t="s">
        <v>416</v>
      </c>
      <c r="D249" s="714" t="s">
        <v>463</v>
      </c>
      <c r="E249" s="715">
        <v>2021.0</v>
      </c>
      <c r="F249" s="713" t="s">
        <v>418</v>
      </c>
      <c r="G249" s="713" t="s">
        <v>50</v>
      </c>
      <c r="H249" s="716">
        <v>1420376.0</v>
      </c>
      <c r="I249" s="716">
        <v>1611719.0</v>
      </c>
      <c r="J249" s="717">
        <v>1218206.0</v>
      </c>
      <c r="K249" s="695"/>
      <c r="L249" s="707" t="s">
        <v>419</v>
      </c>
      <c r="M249" s="708" t="s">
        <v>532</v>
      </c>
      <c r="N249" s="708" t="s">
        <v>420</v>
      </c>
      <c r="O249" s="708" t="s">
        <v>438</v>
      </c>
      <c r="P249" s="708" t="s">
        <v>422</v>
      </c>
      <c r="Q249" s="708" t="s">
        <v>50</v>
      </c>
      <c r="R249" s="708">
        <v>2021.0</v>
      </c>
      <c r="S249" s="709">
        <v>0.220497507</v>
      </c>
      <c r="T249" s="709">
        <v>0.325100664</v>
      </c>
      <c r="U249" s="710">
        <v>0.102255549</v>
      </c>
      <c r="CE249" s="460"/>
    </row>
    <row r="250">
      <c r="A250" s="690"/>
      <c r="B250" s="701" t="s">
        <v>451</v>
      </c>
      <c r="C250" s="702" t="s">
        <v>416</v>
      </c>
      <c r="D250" s="703" t="s">
        <v>465</v>
      </c>
      <c r="E250" s="704">
        <v>2021.0</v>
      </c>
      <c r="F250" s="702" t="s">
        <v>418</v>
      </c>
      <c r="G250" s="702" t="s">
        <v>50</v>
      </c>
      <c r="H250" s="705">
        <v>6243670.0</v>
      </c>
      <c r="I250" s="705">
        <v>7084776.0</v>
      </c>
      <c r="J250" s="706">
        <v>5354975.0</v>
      </c>
      <c r="K250" s="695"/>
      <c r="L250" s="707" t="s">
        <v>419</v>
      </c>
      <c r="M250" s="708" t="s">
        <v>533</v>
      </c>
      <c r="N250" s="708" t="s">
        <v>420</v>
      </c>
      <c r="O250" s="708" t="s">
        <v>421</v>
      </c>
      <c r="P250" s="708" t="s">
        <v>422</v>
      </c>
      <c r="Q250" s="708" t="s">
        <v>50</v>
      </c>
      <c r="R250" s="708">
        <v>2021.0</v>
      </c>
      <c r="S250" s="709">
        <v>1657.155538</v>
      </c>
      <c r="T250" s="709">
        <v>2511.501938</v>
      </c>
      <c r="U250" s="710">
        <v>623.3685228</v>
      </c>
      <c r="CE250" s="460"/>
    </row>
    <row r="251">
      <c r="A251" s="690"/>
      <c r="B251" s="712" t="s">
        <v>451</v>
      </c>
      <c r="C251" s="713" t="s">
        <v>416</v>
      </c>
      <c r="D251" s="714" t="s">
        <v>468</v>
      </c>
      <c r="E251" s="715">
        <v>2021.0</v>
      </c>
      <c r="F251" s="713" t="s">
        <v>418</v>
      </c>
      <c r="G251" s="713" t="s">
        <v>50</v>
      </c>
      <c r="H251" s="716">
        <v>1161670.0</v>
      </c>
      <c r="I251" s="716">
        <v>1318162.0</v>
      </c>
      <c r="J251" s="717">
        <v>996323.0</v>
      </c>
      <c r="K251" s="695"/>
      <c r="L251" s="707" t="s">
        <v>419</v>
      </c>
      <c r="M251" s="708" t="s">
        <v>533</v>
      </c>
      <c r="N251" s="708" t="s">
        <v>420</v>
      </c>
      <c r="O251" s="708" t="s">
        <v>432</v>
      </c>
      <c r="P251" s="708" t="s">
        <v>422</v>
      </c>
      <c r="Q251" s="708" t="s">
        <v>50</v>
      </c>
      <c r="R251" s="708">
        <v>2021.0</v>
      </c>
      <c r="S251" s="709">
        <v>0.0</v>
      </c>
      <c r="T251" s="709">
        <v>0.0</v>
      </c>
      <c r="U251" s="710">
        <v>0.0</v>
      </c>
      <c r="CE251" s="460"/>
    </row>
    <row r="252">
      <c r="A252" s="690"/>
      <c r="B252" s="701" t="s">
        <v>451</v>
      </c>
      <c r="C252" s="702" t="s">
        <v>416</v>
      </c>
      <c r="D252" s="703" t="s">
        <v>471</v>
      </c>
      <c r="E252" s="704">
        <v>2021.0</v>
      </c>
      <c r="F252" s="702" t="s">
        <v>418</v>
      </c>
      <c r="G252" s="702" t="s">
        <v>50</v>
      </c>
      <c r="H252" s="705">
        <v>1271679.0</v>
      </c>
      <c r="I252" s="705">
        <v>1442991.0</v>
      </c>
      <c r="J252" s="706">
        <v>1090674.0</v>
      </c>
      <c r="K252" s="695"/>
      <c r="L252" s="707" t="s">
        <v>419</v>
      </c>
      <c r="M252" s="708" t="s">
        <v>533</v>
      </c>
      <c r="N252" s="708" t="s">
        <v>420</v>
      </c>
      <c r="O252" s="708" t="s">
        <v>439</v>
      </c>
      <c r="P252" s="708" t="s">
        <v>422</v>
      </c>
      <c r="Q252" s="708" t="s">
        <v>50</v>
      </c>
      <c r="R252" s="708">
        <v>2021.0</v>
      </c>
      <c r="S252" s="709">
        <v>120.5325093</v>
      </c>
      <c r="T252" s="709">
        <v>180.3338199</v>
      </c>
      <c r="U252" s="710">
        <v>50.41849664</v>
      </c>
      <c r="CE252" s="460"/>
    </row>
    <row r="253">
      <c r="A253" s="690"/>
      <c r="B253" s="712" t="s">
        <v>451</v>
      </c>
      <c r="C253" s="713" t="s">
        <v>416</v>
      </c>
      <c r="D253" s="714" t="s">
        <v>473</v>
      </c>
      <c r="E253" s="715">
        <v>2021.0</v>
      </c>
      <c r="F253" s="713" t="s">
        <v>418</v>
      </c>
      <c r="G253" s="713" t="s">
        <v>50</v>
      </c>
      <c r="H253" s="716">
        <v>4784090.0</v>
      </c>
      <c r="I253" s="716">
        <v>5428571.0</v>
      </c>
      <c r="J253" s="717">
        <v>4103145.0</v>
      </c>
      <c r="K253" s="695"/>
      <c r="L253" s="707" t="s">
        <v>419</v>
      </c>
      <c r="M253" s="708" t="s">
        <v>533</v>
      </c>
      <c r="N253" s="708" t="s">
        <v>420</v>
      </c>
      <c r="O253" s="708" t="s">
        <v>443</v>
      </c>
      <c r="P253" s="708" t="s">
        <v>422</v>
      </c>
      <c r="Q253" s="708" t="s">
        <v>50</v>
      </c>
      <c r="R253" s="708">
        <v>2021.0</v>
      </c>
      <c r="S253" s="709">
        <v>4886.607997</v>
      </c>
      <c r="T253" s="709">
        <v>7335.823414</v>
      </c>
      <c r="U253" s="710">
        <v>2103.792801</v>
      </c>
      <c r="CE253" s="460"/>
    </row>
    <row r="254">
      <c r="A254" s="690"/>
      <c r="B254" s="701" t="s">
        <v>451</v>
      </c>
      <c r="C254" s="702" t="s">
        <v>416</v>
      </c>
      <c r="D254" s="703" t="s">
        <v>476</v>
      </c>
      <c r="E254" s="704">
        <v>2021.0</v>
      </c>
      <c r="F254" s="702" t="s">
        <v>418</v>
      </c>
      <c r="G254" s="702" t="s">
        <v>50</v>
      </c>
      <c r="H254" s="705">
        <v>989215.0</v>
      </c>
      <c r="I254" s="705">
        <v>1122475.0</v>
      </c>
      <c r="J254" s="706">
        <v>848414.0</v>
      </c>
      <c r="K254" s="695"/>
      <c r="L254" s="707" t="s">
        <v>419</v>
      </c>
      <c r="M254" s="708" t="s">
        <v>533</v>
      </c>
      <c r="N254" s="708" t="s">
        <v>420</v>
      </c>
      <c r="O254" s="708" t="s">
        <v>417</v>
      </c>
      <c r="P254" s="708" t="s">
        <v>422</v>
      </c>
      <c r="Q254" s="708" t="s">
        <v>50</v>
      </c>
      <c r="R254" s="708">
        <v>2021.0</v>
      </c>
      <c r="S254" s="709">
        <v>740.5712242</v>
      </c>
      <c r="T254" s="709">
        <v>1104.539165</v>
      </c>
      <c r="U254" s="710">
        <v>274.0504635</v>
      </c>
      <c r="CE254" s="460"/>
    </row>
    <row r="255">
      <c r="A255" s="690"/>
      <c r="B255" s="712" t="s">
        <v>451</v>
      </c>
      <c r="C255" s="713" t="s">
        <v>416</v>
      </c>
      <c r="D255" s="714" t="s">
        <v>479</v>
      </c>
      <c r="E255" s="715">
        <v>2021.0</v>
      </c>
      <c r="F255" s="713" t="s">
        <v>418</v>
      </c>
      <c r="G255" s="713" t="s">
        <v>50</v>
      </c>
      <c r="H255" s="716">
        <v>920923.0</v>
      </c>
      <c r="I255" s="716">
        <v>1044984.0</v>
      </c>
      <c r="J255" s="717">
        <v>789843.0</v>
      </c>
      <c r="K255" s="695"/>
      <c r="L255" s="707" t="s">
        <v>419</v>
      </c>
      <c r="M255" s="708" t="s">
        <v>533</v>
      </c>
      <c r="N255" s="708" t="s">
        <v>420</v>
      </c>
      <c r="O255" s="708" t="s">
        <v>438</v>
      </c>
      <c r="P255" s="708" t="s">
        <v>422</v>
      </c>
      <c r="Q255" s="708" t="s">
        <v>50</v>
      </c>
      <c r="R255" s="708">
        <v>2021.0</v>
      </c>
      <c r="S255" s="709">
        <v>120.5325093</v>
      </c>
      <c r="T255" s="709">
        <v>180.3338199</v>
      </c>
      <c r="U255" s="710">
        <v>50.41849664</v>
      </c>
      <c r="CE255" s="460"/>
    </row>
    <row r="256">
      <c r="A256" s="690"/>
      <c r="B256" s="701" t="s">
        <v>451</v>
      </c>
      <c r="C256" s="702" t="s">
        <v>416</v>
      </c>
      <c r="D256" s="703" t="s">
        <v>482</v>
      </c>
      <c r="E256" s="704">
        <v>2021.0</v>
      </c>
      <c r="F256" s="702" t="s">
        <v>418</v>
      </c>
      <c r="G256" s="702" t="s">
        <v>50</v>
      </c>
      <c r="H256" s="705">
        <v>780077.0</v>
      </c>
      <c r="I256" s="705">
        <v>885164.0</v>
      </c>
      <c r="J256" s="706">
        <v>669044.0</v>
      </c>
      <c r="K256" s="695"/>
      <c r="L256" s="707" t="s">
        <v>419</v>
      </c>
      <c r="M256" s="708" t="s">
        <v>534</v>
      </c>
      <c r="N256" s="708" t="s">
        <v>420</v>
      </c>
      <c r="O256" s="708" t="s">
        <v>421</v>
      </c>
      <c r="P256" s="708" t="s">
        <v>422</v>
      </c>
      <c r="Q256" s="708" t="s">
        <v>50</v>
      </c>
      <c r="R256" s="708">
        <v>2021.0</v>
      </c>
      <c r="S256" s="709">
        <v>6341.275766</v>
      </c>
      <c r="T256" s="709">
        <v>12006.45332</v>
      </c>
      <c r="U256" s="710">
        <v>2225.747187</v>
      </c>
      <c r="CE256" s="460"/>
    </row>
    <row r="257">
      <c r="A257" s="690"/>
      <c r="B257" s="712" t="s">
        <v>451</v>
      </c>
      <c r="C257" s="713" t="s">
        <v>416</v>
      </c>
      <c r="D257" s="714" t="s">
        <v>485</v>
      </c>
      <c r="E257" s="715">
        <v>2021.0</v>
      </c>
      <c r="F257" s="713" t="s">
        <v>418</v>
      </c>
      <c r="G257" s="713" t="s">
        <v>50</v>
      </c>
      <c r="H257" s="716">
        <v>567265.0</v>
      </c>
      <c r="I257" s="716">
        <v>643683.0</v>
      </c>
      <c r="J257" s="717">
        <v>486523.0</v>
      </c>
      <c r="K257" s="695"/>
      <c r="L257" s="707" t="s">
        <v>419</v>
      </c>
      <c r="M257" s="708" t="s">
        <v>534</v>
      </c>
      <c r="N257" s="708" t="s">
        <v>420</v>
      </c>
      <c r="O257" s="708" t="s">
        <v>432</v>
      </c>
      <c r="P257" s="708" t="s">
        <v>422</v>
      </c>
      <c r="Q257" s="708" t="s">
        <v>50</v>
      </c>
      <c r="R257" s="708">
        <v>2021.0</v>
      </c>
      <c r="S257" s="709">
        <v>0.0</v>
      </c>
      <c r="T257" s="709">
        <v>0.0</v>
      </c>
      <c r="U257" s="710">
        <v>0.0</v>
      </c>
      <c r="CE257" s="460"/>
    </row>
    <row r="258">
      <c r="A258" s="690"/>
      <c r="B258" s="701" t="s">
        <v>451</v>
      </c>
      <c r="C258" s="702" t="s">
        <v>416</v>
      </c>
      <c r="D258" s="703" t="s">
        <v>488</v>
      </c>
      <c r="E258" s="704">
        <v>2021.0</v>
      </c>
      <c r="F258" s="702" t="s">
        <v>418</v>
      </c>
      <c r="G258" s="702" t="s">
        <v>50</v>
      </c>
      <c r="H258" s="705">
        <v>404145.0</v>
      </c>
      <c r="I258" s="705">
        <v>458589.0</v>
      </c>
      <c r="J258" s="706">
        <v>346621.0</v>
      </c>
      <c r="K258" s="695"/>
      <c r="L258" s="738" t="s">
        <v>419</v>
      </c>
      <c r="M258" s="739" t="s">
        <v>534</v>
      </c>
      <c r="N258" s="739" t="s">
        <v>420</v>
      </c>
      <c r="O258" s="739" t="s">
        <v>439</v>
      </c>
      <c r="P258" s="739" t="s">
        <v>422</v>
      </c>
      <c r="Q258" s="739" t="s">
        <v>50</v>
      </c>
      <c r="R258" s="739">
        <v>2021.0</v>
      </c>
      <c r="S258" s="740">
        <v>226.0908336</v>
      </c>
      <c r="T258" s="740">
        <v>542.4438712</v>
      </c>
      <c r="U258" s="741">
        <v>56.2572955</v>
      </c>
      <c r="CE258" s="460"/>
    </row>
    <row r="259">
      <c r="A259" s="690"/>
      <c r="B259" s="712" t="s">
        <v>451</v>
      </c>
      <c r="C259" s="742" t="s">
        <v>416</v>
      </c>
      <c r="D259" s="714" t="s">
        <v>491</v>
      </c>
      <c r="E259" s="715">
        <v>2021.0</v>
      </c>
      <c r="F259" s="742" t="s">
        <v>418</v>
      </c>
      <c r="G259" s="742" t="s">
        <v>50</v>
      </c>
      <c r="H259" s="716">
        <v>321937.0</v>
      </c>
      <c r="I259" s="716">
        <v>365307.0</v>
      </c>
      <c r="J259" s="717">
        <v>276114.0</v>
      </c>
      <c r="K259" s="64"/>
      <c r="L259" s="707" t="s">
        <v>419</v>
      </c>
      <c r="M259" s="708" t="s">
        <v>534</v>
      </c>
      <c r="N259" s="708" t="s">
        <v>420</v>
      </c>
      <c r="O259" s="708" t="s">
        <v>443</v>
      </c>
      <c r="P259" s="708" t="s">
        <v>422</v>
      </c>
      <c r="Q259" s="708" t="s">
        <v>50</v>
      </c>
      <c r="R259" s="708">
        <v>2021.0</v>
      </c>
      <c r="S259" s="709">
        <v>12979.97891</v>
      </c>
      <c r="T259" s="709">
        <v>25324.06296</v>
      </c>
      <c r="U259" s="710">
        <v>4209.031572</v>
      </c>
      <c r="CE259" s="460"/>
    </row>
    <row r="260">
      <c r="A260" s="690"/>
      <c r="B260" s="701" t="s">
        <v>451</v>
      </c>
      <c r="C260" s="743" t="s">
        <v>416</v>
      </c>
      <c r="D260" s="703" t="s">
        <v>493</v>
      </c>
      <c r="E260" s="704">
        <v>2021.0</v>
      </c>
      <c r="F260" s="743" t="s">
        <v>418</v>
      </c>
      <c r="G260" s="743" t="s">
        <v>50</v>
      </c>
      <c r="H260" s="705">
        <v>942322.0</v>
      </c>
      <c r="I260" s="705">
        <v>1069265.0</v>
      </c>
      <c r="J260" s="706">
        <v>808196.0</v>
      </c>
      <c r="K260" s="64"/>
      <c r="L260" s="707" t="s">
        <v>419</v>
      </c>
      <c r="M260" s="708" t="s">
        <v>534</v>
      </c>
      <c r="N260" s="708" t="s">
        <v>420</v>
      </c>
      <c r="O260" s="708" t="s">
        <v>417</v>
      </c>
      <c r="P260" s="708" t="s">
        <v>422</v>
      </c>
      <c r="Q260" s="708" t="s">
        <v>50</v>
      </c>
      <c r="R260" s="708">
        <v>2021.0</v>
      </c>
      <c r="S260" s="709">
        <v>2803.261427</v>
      </c>
      <c r="T260" s="709">
        <v>5756.341716</v>
      </c>
      <c r="U260" s="710">
        <v>1026.066765</v>
      </c>
      <c r="CE260" s="460"/>
    </row>
    <row r="261">
      <c r="A261" s="690"/>
      <c r="B261" s="712" t="s">
        <v>451</v>
      </c>
      <c r="C261" s="742" t="s">
        <v>416</v>
      </c>
      <c r="D261" s="714" t="s">
        <v>434</v>
      </c>
      <c r="E261" s="715">
        <v>2021.0</v>
      </c>
      <c r="F261" s="742" t="s">
        <v>418</v>
      </c>
      <c r="G261" s="742" t="s">
        <v>50</v>
      </c>
      <c r="H261" s="716">
        <v>3693772.0</v>
      </c>
      <c r="I261" s="716">
        <v>4191372.0</v>
      </c>
      <c r="J261" s="717">
        <v>3168017.0</v>
      </c>
      <c r="K261" s="64"/>
      <c r="L261" s="707" t="s">
        <v>419</v>
      </c>
      <c r="M261" s="708" t="s">
        <v>534</v>
      </c>
      <c r="N261" s="708" t="s">
        <v>420</v>
      </c>
      <c r="O261" s="708" t="s">
        <v>438</v>
      </c>
      <c r="P261" s="708" t="s">
        <v>422</v>
      </c>
      <c r="Q261" s="708" t="s">
        <v>50</v>
      </c>
      <c r="R261" s="708">
        <v>2021.0</v>
      </c>
      <c r="S261" s="709">
        <v>226.0908336</v>
      </c>
      <c r="T261" s="709">
        <v>542.4438712</v>
      </c>
      <c r="U261" s="710">
        <v>56.2572955</v>
      </c>
      <c r="CE261" s="460"/>
    </row>
    <row r="262">
      <c r="A262" s="690"/>
      <c r="B262" s="701" t="s">
        <v>451</v>
      </c>
      <c r="C262" s="743" t="s">
        <v>416</v>
      </c>
      <c r="D262" s="703" t="s">
        <v>497</v>
      </c>
      <c r="E262" s="704">
        <v>2021.0</v>
      </c>
      <c r="F262" s="743" t="s">
        <v>418</v>
      </c>
      <c r="G262" s="743" t="s">
        <v>50</v>
      </c>
      <c r="H262" s="705">
        <v>262297.0</v>
      </c>
      <c r="I262" s="705">
        <v>297632.0</v>
      </c>
      <c r="J262" s="706">
        <v>224963.0</v>
      </c>
      <c r="K262" s="64"/>
      <c r="L262" s="707" t="s">
        <v>419</v>
      </c>
      <c r="M262" s="708" t="s">
        <v>535</v>
      </c>
      <c r="N262" s="708" t="s">
        <v>420</v>
      </c>
      <c r="O262" s="708" t="s">
        <v>421</v>
      </c>
      <c r="P262" s="708" t="s">
        <v>422</v>
      </c>
      <c r="Q262" s="708" t="s">
        <v>50</v>
      </c>
      <c r="R262" s="708">
        <v>2021.0</v>
      </c>
      <c r="S262" s="709">
        <v>1206.124317</v>
      </c>
      <c r="T262" s="709">
        <v>2856.012481</v>
      </c>
      <c r="U262" s="710">
        <v>413.984755</v>
      </c>
      <c r="CE262" s="460"/>
    </row>
    <row r="263">
      <c r="A263" s="690"/>
      <c r="B263" s="712" t="s">
        <v>451</v>
      </c>
      <c r="C263" s="742" t="s">
        <v>416</v>
      </c>
      <c r="D263" s="714" t="s">
        <v>500</v>
      </c>
      <c r="E263" s="715">
        <v>2021.0</v>
      </c>
      <c r="F263" s="742" t="s">
        <v>418</v>
      </c>
      <c r="G263" s="742" t="s">
        <v>50</v>
      </c>
      <c r="H263" s="716">
        <v>1958791.0</v>
      </c>
      <c r="I263" s="716">
        <v>2222666.0</v>
      </c>
      <c r="J263" s="717">
        <v>1679986.0</v>
      </c>
      <c r="K263" s="64"/>
      <c r="L263" s="707" t="s">
        <v>419</v>
      </c>
      <c r="M263" s="708" t="s">
        <v>535</v>
      </c>
      <c r="N263" s="708" t="s">
        <v>420</v>
      </c>
      <c r="O263" s="708" t="s">
        <v>432</v>
      </c>
      <c r="P263" s="708" t="s">
        <v>422</v>
      </c>
      <c r="Q263" s="708" t="s">
        <v>50</v>
      </c>
      <c r="R263" s="708">
        <v>2021.0</v>
      </c>
      <c r="S263" s="709">
        <v>0.0</v>
      </c>
      <c r="T263" s="709">
        <v>0.0</v>
      </c>
      <c r="U263" s="710">
        <v>0.0</v>
      </c>
      <c r="CE263" s="460"/>
    </row>
    <row r="264">
      <c r="A264" s="690"/>
      <c r="B264" s="701" t="s">
        <v>451</v>
      </c>
      <c r="C264" s="743" t="s">
        <v>416</v>
      </c>
      <c r="D264" s="703" t="s">
        <v>502</v>
      </c>
      <c r="E264" s="704">
        <v>2021.0</v>
      </c>
      <c r="F264" s="743" t="s">
        <v>418</v>
      </c>
      <c r="G264" s="743" t="s">
        <v>50</v>
      </c>
      <c r="H264" s="705">
        <v>212777.0</v>
      </c>
      <c r="I264" s="705">
        <v>241440.0</v>
      </c>
      <c r="J264" s="706">
        <v>182491.0</v>
      </c>
      <c r="K264" s="64"/>
      <c r="L264" s="707" t="s">
        <v>419</v>
      </c>
      <c r="M264" s="708" t="s">
        <v>535</v>
      </c>
      <c r="N264" s="708" t="s">
        <v>420</v>
      </c>
      <c r="O264" s="708" t="s">
        <v>439</v>
      </c>
      <c r="P264" s="708" t="s">
        <v>422</v>
      </c>
      <c r="Q264" s="708" t="s">
        <v>50</v>
      </c>
      <c r="R264" s="708">
        <v>2021.0</v>
      </c>
      <c r="S264" s="709">
        <v>119.9064629</v>
      </c>
      <c r="T264" s="709">
        <v>291.9524003</v>
      </c>
      <c r="U264" s="710">
        <v>40.78225622</v>
      </c>
      <c r="CE264" s="460"/>
    </row>
    <row r="265">
      <c r="A265" s="690"/>
      <c r="B265" s="712" t="s">
        <v>451</v>
      </c>
      <c r="C265" s="742" t="s">
        <v>416</v>
      </c>
      <c r="D265" s="714" t="s">
        <v>505</v>
      </c>
      <c r="E265" s="715">
        <v>2021.0</v>
      </c>
      <c r="F265" s="742" t="s">
        <v>418</v>
      </c>
      <c r="G265" s="742" t="s">
        <v>50</v>
      </c>
      <c r="H265" s="716">
        <v>221840.0</v>
      </c>
      <c r="I265" s="716">
        <v>251724.0</v>
      </c>
      <c r="J265" s="717">
        <v>190264.0</v>
      </c>
      <c r="K265" s="64"/>
      <c r="L265" s="707" t="s">
        <v>419</v>
      </c>
      <c r="M265" s="708" t="s">
        <v>535</v>
      </c>
      <c r="N265" s="708" t="s">
        <v>420</v>
      </c>
      <c r="O265" s="708" t="s">
        <v>443</v>
      </c>
      <c r="P265" s="708" t="s">
        <v>422</v>
      </c>
      <c r="Q265" s="708" t="s">
        <v>50</v>
      </c>
      <c r="R265" s="708">
        <v>2021.0</v>
      </c>
      <c r="S265" s="709">
        <v>2307.100393</v>
      </c>
      <c r="T265" s="709">
        <v>5523.529895</v>
      </c>
      <c r="U265" s="710">
        <v>831.6142394</v>
      </c>
      <c r="CE265" s="460"/>
    </row>
    <row r="266">
      <c r="A266" s="690"/>
      <c r="B266" s="701" t="s">
        <v>451</v>
      </c>
      <c r="C266" s="743" t="s">
        <v>416</v>
      </c>
      <c r="D266" s="703" t="s">
        <v>508</v>
      </c>
      <c r="E266" s="704">
        <v>2021.0</v>
      </c>
      <c r="F266" s="743" t="s">
        <v>418</v>
      </c>
      <c r="G266" s="743" t="s">
        <v>50</v>
      </c>
      <c r="H266" s="705">
        <v>145311.0</v>
      </c>
      <c r="I266" s="705">
        <v>164887.0</v>
      </c>
      <c r="J266" s="706">
        <v>124628.0</v>
      </c>
      <c r="K266" s="64"/>
      <c r="L266" s="707" t="s">
        <v>419</v>
      </c>
      <c r="M266" s="708" t="s">
        <v>535</v>
      </c>
      <c r="N266" s="708" t="s">
        <v>420</v>
      </c>
      <c r="O266" s="708" t="s">
        <v>417</v>
      </c>
      <c r="P266" s="708" t="s">
        <v>422</v>
      </c>
      <c r="Q266" s="708" t="s">
        <v>50</v>
      </c>
      <c r="R266" s="708">
        <v>2021.0</v>
      </c>
      <c r="S266" s="709">
        <v>633.0598651</v>
      </c>
      <c r="T266" s="709">
        <v>1535.53134</v>
      </c>
      <c r="U266" s="710">
        <v>224.2169297</v>
      </c>
      <c r="CE266" s="460"/>
    </row>
    <row r="267">
      <c r="A267" s="690"/>
      <c r="B267" s="712" t="s">
        <v>451</v>
      </c>
      <c r="C267" s="742" t="s">
        <v>416</v>
      </c>
      <c r="D267" s="714" t="s">
        <v>511</v>
      </c>
      <c r="E267" s="715">
        <v>2021.0</v>
      </c>
      <c r="F267" s="742" t="s">
        <v>418</v>
      </c>
      <c r="G267" s="742" t="s">
        <v>50</v>
      </c>
      <c r="H267" s="716">
        <v>180144.0</v>
      </c>
      <c r="I267" s="716">
        <v>204411.0</v>
      </c>
      <c r="J267" s="717">
        <v>154503.0</v>
      </c>
      <c r="K267" s="64"/>
      <c r="L267" s="707" t="s">
        <v>419</v>
      </c>
      <c r="M267" s="708" t="s">
        <v>535</v>
      </c>
      <c r="N267" s="708" t="s">
        <v>420</v>
      </c>
      <c r="O267" s="708" t="s">
        <v>438</v>
      </c>
      <c r="P267" s="708" t="s">
        <v>422</v>
      </c>
      <c r="Q267" s="708" t="s">
        <v>50</v>
      </c>
      <c r="R267" s="708">
        <v>2021.0</v>
      </c>
      <c r="S267" s="709">
        <v>119.9064629</v>
      </c>
      <c r="T267" s="709">
        <v>291.9524003</v>
      </c>
      <c r="U267" s="710">
        <v>40.78225622</v>
      </c>
      <c r="CE267" s="460"/>
    </row>
    <row r="268">
      <c r="A268" s="690"/>
      <c r="B268" s="701" t="s">
        <v>451</v>
      </c>
      <c r="C268" s="743" t="s">
        <v>416</v>
      </c>
      <c r="D268" s="703" t="s">
        <v>514</v>
      </c>
      <c r="E268" s="704">
        <v>2021.0</v>
      </c>
      <c r="F268" s="743" t="s">
        <v>418</v>
      </c>
      <c r="G268" s="743" t="s">
        <v>50</v>
      </c>
      <c r="H268" s="705">
        <v>86552.0</v>
      </c>
      <c r="I268" s="705">
        <v>98211.0</v>
      </c>
      <c r="J268" s="706">
        <v>74232.0</v>
      </c>
      <c r="K268" s="64"/>
      <c r="L268" s="707" t="s">
        <v>419</v>
      </c>
      <c r="M268" s="708" t="s">
        <v>536</v>
      </c>
      <c r="N268" s="708" t="s">
        <v>420</v>
      </c>
      <c r="O268" s="708" t="s">
        <v>421</v>
      </c>
      <c r="P268" s="708" t="s">
        <v>422</v>
      </c>
      <c r="Q268" s="708" t="s">
        <v>50</v>
      </c>
      <c r="R268" s="708">
        <v>2021.0</v>
      </c>
      <c r="S268" s="709">
        <v>6.096053557</v>
      </c>
      <c r="T268" s="709">
        <v>27.44822698</v>
      </c>
      <c r="U268" s="710">
        <v>1.302596053</v>
      </c>
      <c r="CE268" s="460"/>
    </row>
    <row r="269">
      <c r="A269" s="690"/>
      <c r="B269" s="712" t="s">
        <v>451</v>
      </c>
      <c r="C269" s="742" t="s">
        <v>416</v>
      </c>
      <c r="D269" s="714" t="s">
        <v>439</v>
      </c>
      <c r="E269" s="715">
        <v>2021.0</v>
      </c>
      <c r="F269" s="742" t="s">
        <v>418</v>
      </c>
      <c r="G269" s="742" t="s">
        <v>50</v>
      </c>
      <c r="H269" s="716">
        <v>26304.0</v>
      </c>
      <c r="I269" s="716">
        <v>29847.0</v>
      </c>
      <c r="J269" s="717">
        <v>22560.0</v>
      </c>
      <c r="K269" s="64"/>
      <c r="L269" s="707" t="s">
        <v>419</v>
      </c>
      <c r="M269" s="708" t="s">
        <v>536</v>
      </c>
      <c r="N269" s="708" t="s">
        <v>420</v>
      </c>
      <c r="O269" s="708" t="s">
        <v>432</v>
      </c>
      <c r="P269" s="708" t="s">
        <v>422</v>
      </c>
      <c r="Q269" s="708" t="s">
        <v>50</v>
      </c>
      <c r="R269" s="708">
        <v>2021.0</v>
      </c>
      <c r="S269" s="709">
        <v>0.0</v>
      </c>
      <c r="T269" s="709">
        <v>0.0</v>
      </c>
      <c r="U269" s="710">
        <v>0.0</v>
      </c>
      <c r="CE269" s="460"/>
    </row>
    <row r="270">
      <c r="A270" s="690"/>
      <c r="B270" s="701" t="s">
        <v>451</v>
      </c>
      <c r="C270" s="743" t="s">
        <v>416</v>
      </c>
      <c r="D270" s="703" t="s">
        <v>517</v>
      </c>
      <c r="E270" s="704">
        <v>2021.0</v>
      </c>
      <c r="F270" s="743" t="s">
        <v>418</v>
      </c>
      <c r="G270" s="743" t="s">
        <v>50</v>
      </c>
      <c r="H270" s="705">
        <v>52171.0</v>
      </c>
      <c r="I270" s="705">
        <v>59199.0</v>
      </c>
      <c r="J270" s="706">
        <v>44745.0</v>
      </c>
      <c r="K270" s="64"/>
      <c r="L270" s="707" t="s">
        <v>419</v>
      </c>
      <c r="M270" s="708" t="s">
        <v>536</v>
      </c>
      <c r="N270" s="708" t="s">
        <v>420</v>
      </c>
      <c r="O270" s="708" t="s">
        <v>439</v>
      </c>
      <c r="P270" s="708" t="s">
        <v>422</v>
      </c>
      <c r="Q270" s="708" t="s">
        <v>50</v>
      </c>
      <c r="R270" s="708">
        <v>2021.0</v>
      </c>
      <c r="S270" s="709">
        <v>0.019335656</v>
      </c>
      <c r="T270" s="709">
        <v>0.089351268</v>
      </c>
      <c r="U270" s="710">
        <v>0.003907651</v>
      </c>
      <c r="CE270" s="460"/>
    </row>
    <row r="271">
      <c r="A271" s="690"/>
      <c r="B271" s="712" t="s">
        <v>451</v>
      </c>
      <c r="C271" s="742" t="s">
        <v>416</v>
      </c>
      <c r="D271" s="714" t="s">
        <v>520</v>
      </c>
      <c r="E271" s="715">
        <v>2021.0</v>
      </c>
      <c r="F271" s="742" t="s">
        <v>418</v>
      </c>
      <c r="G271" s="742" t="s">
        <v>50</v>
      </c>
      <c r="H271" s="716">
        <v>41421.0</v>
      </c>
      <c r="I271" s="716">
        <v>47001.0</v>
      </c>
      <c r="J271" s="717">
        <v>35525.0</v>
      </c>
      <c r="K271" s="64"/>
      <c r="L271" s="707" t="s">
        <v>419</v>
      </c>
      <c r="M271" s="708" t="s">
        <v>536</v>
      </c>
      <c r="N271" s="708" t="s">
        <v>420</v>
      </c>
      <c r="O271" s="708" t="s">
        <v>443</v>
      </c>
      <c r="P271" s="708" t="s">
        <v>422</v>
      </c>
      <c r="Q271" s="708" t="s">
        <v>50</v>
      </c>
      <c r="R271" s="708">
        <v>2021.0</v>
      </c>
      <c r="S271" s="709">
        <v>54.48080306</v>
      </c>
      <c r="T271" s="709">
        <v>245.7445638</v>
      </c>
      <c r="U271" s="710">
        <v>11.13837427</v>
      </c>
      <c r="CE271" s="460"/>
    </row>
    <row r="272">
      <c r="A272" s="690"/>
      <c r="B272" s="701" t="s">
        <v>451</v>
      </c>
      <c r="C272" s="743" t="s">
        <v>416</v>
      </c>
      <c r="D272" s="703" t="s">
        <v>521</v>
      </c>
      <c r="E272" s="704">
        <v>2021.0</v>
      </c>
      <c r="F272" s="743" t="s">
        <v>418</v>
      </c>
      <c r="G272" s="743" t="s">
        <v>50</v>
      </c>
      <c r="H272" s="705">
        <v>26181.0</v>
      </c>
      <c r="I272" s="705">
        <v>29708.0</v>
      </c>
      <c r="J272" s="706">
        <v>22454.0</v>
      </c>
      <c r="K272" s="64"/>
      <c r="L272" s="707" t="s">
        <v>419</v>
      </c>
      <c r="M272" s="708" t="s">
        <v>536</v>
      </c>
      <c r="N272" s="708" t="s">
        <v>420</v>
      </c>
      <c r="O272" s="708" t="s">
        <v>417</v>
      </c>
      <c r="P272" s="708" t="s">
        <v>422</v>
      </c>
      <c r="Q272" s="708" t="s">
        <v>50</v>
      </c>
      <c r="R272" s="708">
        <v>2021.0</v>
      </c>
      <c r="S272" s="709">
        <v>0.973441976</v>
      </c>
      <c r="T272" s="709">
        <v>4.540696385</v>
      </c>
      <c r="U272" s="710">
        <v>0.181981914</v>
      </c>
      <c r="CE272" s="460"/>
    </row>
    <row r="273">
      <c r="A273" s="690"/>
      <c r="B273" s="712" t="s">
        <v>451</v>
      </c>
      <c r="C273" s="742" t="s">
        <v>416</v>
      </c>
      <c r="D273" s="714" t="s">
        <v>524</v>
      </c>
      <c r="E273" s="715">
        <v>2021.0</v>
      </c>
      <c r="F273" s="742" t="s">
        <v>418</v>
      </c>
      <c r="G273" s="742" t="s">
        <v>50</v>
      </c>
      <c r="H273" s="716">
        <v>11218.0</v>
      </c>
      <c r="I273" s="716">
        <v>12730.0</v>
      </c>
      <c r="J273" s="717">
        <v>9622.0</v>
      </c>
      <c r="K273" s="64"/>
      <c r="L273" s="707" t="s">
        <v>419</v>
      </c>
      <c r="M273" s="708" t="s">
        <v>536</v>
      </c>
      <c r="N273" s="708" t="s">
        <v>420</v>
      </c>
      <c r="O273" s="708" t="s">
        <v>438</v>
      </c>
      <c r="P273" s="708" t="s">
        <v>422</v>
      </c>
      <c r="Q273" s="708" t="s">
        <v>50</v>
      </c>
      <c r="R273" s="708">
        <v>2021.0</v>
      </c>
      <c r="S273" s="709">
        <v>0.019335656</v>
      </c>
      <c r="T273" s="709">
        <v>0.089351268</v>
      </c>
      <c r="U273" s="710">
        <v>0.003907651</v>
      </c>
      <c r="CE273" s="460"/>
    </row>
    <row r="274">
      <c r="A274" s="690"/>
      <c r="B274" s="701" t="s">
        <v>451</v>
      </c>
      <c r="C274" s="743" t="s">
        <v>416</v>
      </c>
      <c r="D274" s="703" t="s">
        <v>527</v>
      </c>
      <c r="E274" s="704">
        <v>2021.0</v>
      </c>
      <c r="F274" s="743" t="s">
        <v>418</v>
      </c>
      <c r="G274" s="743" t="s">
        <v>50</v>
      </c>
      <c r="H274" s="705">
        <v>3335.0</v>
      </c>
      <c r="I274" s="705">
        <v>3784.0</v>
      </c>
      <c r="J274" s="706">
        <v>2860.0</v>
      </c>
      <c r="K274" s="64"/>
      <c r="L274" s="718" t="s">
        <v>419</v>
      </c>
      <c r="M274" s="719" t="s">
        <v>103</v>
      </c>
      <c r="N274" s="719" t="s">
        <v>420</v>
      </c>
      <c r="O274" s="719" t="s">
        <v>421</v>
      </c>
      <c r="P274" s="719" t="s">
        <v>422</v>
      </c>
      <c r="Q274" s="719" t="s">
        <v>50</v>
      </c>
      <c r="R274" s="720">
        <v>2021.0</v>
      </c>
      <c r="S274" s="721">
        <v>5489.937084</v>
      </c>
      <c r="T274" s="721">
        <v>10497.17254</v>
      </c>
      <c r="U274" s="722">
        <v>2368.699708</v>
      </c>
      <c r="CE274" s="460"/>
    </row>
    <row r="275">
      <c r="A275" s="690"/>
      <c r="B275" s="712" t="s">
        <v>451</v>
      </c>
      <c r="C275" s="742" t="s">
        <v>416</v>
      </c>
      <c r="D275" s="714" t="s">
        <v>529</v>
      </c>
      <c r="E275" s="715">
        <v>2021.0</v>
      </c>
      <c r="F275" s="742" t="s">
        <v>418</v>
      </c>
      <c r="G275" s="742" t="s">
        <v>50</v>
      </c>
      <c r="H275" s="716">
        <v>687.0</v>
      </c>
      <c r="I275" s="716">
        <v>780.0</v>
      </c>
      <c r="J275" s="717">
        <v>589.0</v>
      </c>
      <c r="K275" s="64"/>
      <c r="L275" s="723" t="s">
        <v>419</v>
      </c>
      <c r="M275" s="724" t="s">
        <v>103</v>
      </c>
      <c r="N275" s="724" t="s">
        <v>420</v>
      </c>
      <c r="O275" s="724" t="s">
        <v>432</v>
      </c>
      <c r="P275" s="724" t="s">
        <v>422</v>
      </c>
      <c r="Q275" s="724" t="s">
        <v>50</v>
      </c>
      <c r="R275" s="725">
        <v>2021.0</v>
      </c>
      <c r="S275" s="726">
        <v>0.0</v>
      </c>
      <c r="T275" s="726">
        <v>0.0</v>
      </c>
      <c r="U275" s="727">
        <v>0.0</v>
      </c>
      <c r="CE275" s="460"/>
    </row>
    <row r="276">
      <c r="A276" s="690"/>
      <c r="B276" s="701" t="s">
        <v>451</v>
      </c>
      <c r="C276" s="743" t="s">
        <v>416</v>
      </c>
      <c r="D276" s="703" t="s">
        <v>443</v>
      </c>
      <c r="E276" s="704">
        <v>2021.0</v>
      </c>
      <c r="F276" s="743" t="s">
        <v>418</v>
      </c>
      <c r="G276" s="743" t="s">
        <v>50</v>
      </c>
      <c r="H276" s="705">
        <v>1.3220294E7</v>
      </c>
      <c r="I276" s="705">
        <v>1.5001245E7</v>
      </c>
      <c r="J276" s="706">
        <v>1.1338578E7</v>
      </c>
      <c r="K276" s="64"/>
      <c r="L276" s="718" t="s">
        <v>419</v>
      </c>
      <c r="M276" s="719" t="s">
        <v>103</v>
      </c>
      <c r="N276" s="719" t="s">
        <v>420</v>
      </c>
      <c r="O276" s="719" t="s">
        <v>439</v>
      </c>
      <c r="P276" s="719" t="s">
        <v>422</v>
      </c>
      <c r="Q276" s="719" t="s">
        <v>50</v>
      </c>
      <c r="R276" s="720">
        <v>2021.0</v>
      </c>
      <c r="S276" s="721">
        <v>404.4213834</v>
      </c>
      <c r="T276" s="721">
        <v>819.5409182</v>
      </c>
      <c r="U276" s="722">
        <v>188.8060015</v>
      </c>
      <c r="CE276" s="460"/>
    </row>
    <row r="277">
      <c r="A277" s="690"/>
      <c r="B277" s="712" t="s">
        <v>99</v>
      </c>
      <c r="C277" s="742" t="s">
        <v>416</v>
      </c>
      <c r="D277" s="714" t="s">
        <v>417</v>
      </c>
      <c r="E277" s="715">
        <v>2021.0</v>
      </c>
      <c r="F277" s="742" t="s">
        <v>418</v>
      </c>
      <c r="G277" s="742" t="s">
        <v>50</v>
      </c>
      <c r="H277" s="716">
        <v>908885.0</v>
      </c>
      <c r="I277" s="716">
        <v>1016036.0</v>
      </c>
      <c r="J277" s="717">
        <v>810865.0</v>
      </c>
      <c r="K277" s="64"/>
      <c r="L277" s="723" t="s">
        <v>419</v>
      </c>
      <c r="M277" s="724" t="s">
        <v>103</v>
      </c>
      <c r="N277" s="724" t="s">
        <v>420</v>
      </c>
      <c r="O277" s="724" t="s">
        <v>443</v>
      </c>
      <c r="P277" s="724" t="s">
        <v>422</v>
      </c>
      <c r="Q277" s="724" t="s">
        <v>50</v>
      </c>
      <c r="R277" s="725">
        <v>2021.0</v>
      </c>
      <c r="S277" s="726">
        <v>7457.541571</v>
      </c>
      <c r="T277" s="726">
        <v>14506.82129</v>
      </c>
      <c r="U277" s="727">
        <v>3022.768382</v>
      </c>
      <c r="CE277" s="460"/>
    </row>
    <row r="278">
      <c r="A278" s="690"/>
      <c r="B278" s="701" t="s">
        <v>99</v>
      </c>
      <c r="C278" s="743" t="s">
        <v>416</v>
      </c>
      <c r="D278" s="703" t="s">
        <v>431</v>
      </c>
      <c r="E278" s="704">
        <v>2021.0</v>
      </c>
      <c r="F278" s="743" t="s">
        <v>418</v>
      </c>
      <c r="G278" s="743" t="s">
        <v>50</v>
      </c>
      <c r="H278" s="705">
        <v>1.4384642E7</v>
      </c>
      <c r="I278" s="705">
        <v>1.6080491E7</v>
      </c>
      <c r="J278" s="706">
        <v>1.2833307E7</v>
      </c>
      <c r="K278" s="64"/>
      <c r="L278" s="718" t="s">
        <v>419</v>
      </c>
      <c r="M278" s="719" t="s">
        <v>103</v>
      </c>
      <c r="N278" s="719" t="s">
        <v>420</v>
      </c>
      <c r="O278" s="719" t="s">
        <v>417</v>
      </c>
      <c r="P278" s="719" t="s">
        <v>422</v>
      </c>
      <c r="Q278" s="719" t="s">
        <v>50</v>
      </c>
      <c r="R278" s="720">
        <v>2021.0</v>
      </c>
      <c r="S278" s="721">
        <v>3056.621134</v>
      </c>
      <c r="T278" s="721">
        <v>5762.939997</v>
      </c>
      <c r="U278" s="722">
        <v>1334.448993</v>
      </c>
      <c r="CE278" s="460"/>
    </row>
    <row r="279">
      <c r="A279" s="690"/>
      <c r="B279" s="712" t="s">
        <v>99</v>
      </c>
      <c r="C279" s="742" t="s">
        <v>416</v>
      </c>
      <c r="D279" s="714" t="s">
        <v>438</v>
      </c>
      <c r="E279" s="715">
        <v>2021.0</v>
      </c>
      <c r="F279" s="742" t="s">
        <v>418</v>
      </c>
      <c r="G279" s="742" t="s">
        <v>50</v>
      </c>
      <c r="H279" s="716">
        <v>71100.0</v>
      </c>
      <c r="I279" s="716">
        <v>79483.0</v>
      </c>
      <c r="J279" s="717">
        <v>63432.0</v>
      </c>
      <c r="K279" s="64"/>
      <c r="L279" s="723" t="s">
        <v>419</v>
      </c>
      <c r="M279" s="724" t="s">
        <v>103</v>
      </c>
      <c r="N279" s="724" t="s">
        <v>420</v>
      </c>
      <c r="O279" s="724" t="s">
        <v>438</v>
      </c>
      <c r="P279" s="724" t="s">
        <v>422</v>
      </c>
      <c r="Q279" s="724" t="s">
        <v>50</v>
      </c>
      <c r="R279" s="725">
        <v>2021.0</v>
      </c>
      <c r="S279" s="726">
        <v>404.4213834</v>
      </c>
      <c r="T279" s="726">
        <v>819.5409182</v>
      </c>
      <c r="U279" s="727">
        <v>188.8060015</v>
      </c>
      <c r="CE279" s="460"/>
    </row>
    <row r="280">
      <c r="A280" s="690"/>
      <c r="B280" s="701" t="s">
        <v>99</v>
      </c>
      <c r="C280" s="743" t="s">
        <v>416</v>
      </c>
      <c r="D280" s="703" t="s">
        <v>421</v>
      </c>
      <c r="E280" s="704">
        <v>2021.0</v>
      </c>
      <c r="F280" s="743" t="s">
        <v>418</v>
      </c>
      <c r="G280" s="743" t="s">
        <v>50</v>
      </c>
      <c r="H280" s="705">
        <v>4354391.0</v>
      </c>
      <c r="I280" s="705">
        <v>4867744.0</v>
      </c>
      <c r="J280" s="706">
        <v>3884785.0</v>
      </c>
      <c r="K280" s="64"/>
      <c r="L280" s="718" t="s">
        <v>419</v>
      </c>
      <c r="M280" s="719" t="s">
        <v>104</v>
      </c>
      <c r="N280" s="719" t="s">
        <v>420</v>
      </c>
      <c r="O280" s="719" t="s">
        <v>421</v>
      </c>
      <c r="P280" s="719" t="s">
        <v>422</v>
      </c>
      <c r="Q280" s="719" t="s">
        <v>50</v>
      </c>
      <c r="R280" s="720">
        <v>2021.0</v>
      </c>
      <c r="S280" s="721">
        <v>2278.182123</v>
      </c>
      <c r="T280" s="721">
        <v>3968.297414</v>
      </c>
      <c r="U280" s="722">
        <v>746.773265</v>
      </c>
      <c r="CE280" s="460"/>
    </row>
    <row r="281">
      <c r="A281" s="690"/>
      <c r="B281" s="712" t="s">
        <v>99</v>
      </c>
      <c r="C281" s="742" t="s">
        <v>416</v>
      </c>
      <c r="D281" s="714" t="s">
        <v>447</v>
      </c>
      <c r="E281" s="715">
        <v>2021.0</v>
      </c>
      <c r="F281" s="742" t="s">
        <v>418</v>
      </c>
      <c r="G281" s="742" t="s">
        <v>50</v>
      </c>
      <c r="H281" s="716">
        <v>1.1571784E7</v>
      </c>
      <c r="I281" s="716">
        <v>1.2936017E7</v>
      </c>
      <c r="J281" s="717">
        <v>1.0323806E7</v>
      </c>
      <c r="K281" s="64"/>
      <c r="L281" s="723" t="s">
        <v>419</v>
      </c>
      <c r="M281" s="724" t="s">
        <v>104</v>
      </c>
      <c r="N281" s="724" t="s">
        <v>420</v>
      </c>
      <c r="O281" s="724" t="s">
        <v>432</v>
      </c>
      <c r="P281" s="724" t="s">
        <v>422</v>
      </c>
      <c r="Q281" s="724" t="s">
        <v>50</v>
      </c>
      <c r="R281" s="725">
        <v>2021.0</v>
      </c>
      <c r="S281" s="726">
        <v>0.0</v>
      </c>
      <c r="T281" s="726">
        <v>0.0</v>
      </c>
      <c r="U281" s="727">
        <v>0.0</v>
      </c>
      <c r="CE281" s="460"/>
    </row>
    <row r="282">
      <c r="A282" s="690"/>
      <c r="B282" s="701" t="s">
        <v>99</v>
      </c>
      <c r="C282" s="743" t="s">
        <v>416</v>
      </c>
      <c r="D282" s="703" t="s">
        <v>432</v>
      </c>
      <c r="E282" s="704">
        <v>2021.0</v>
      </c>
      <c r="F282" s="743" t="s">
        <v>418</v>
      </c>
      <c r="G282" s="743" t="s">
        <v>50</v>
      </c>
      <c r="H282" s="705">
        <v>17981.0</v>
      </c>
      <c r="I282" s="705">
        <v>20101.0</v>
      </c>
      <c r="J282" s="706">
        <v>16042.0</v>
      </c>
      <c r="K282" s="64"/>
      <c r="L282" s="718" t="s">
        <v>419</v>
      </c>
      <c r="M282" s="719" t="s">
        <v>104</v>
      </c>
      <c r="N282" s="719" t="s">
        <v>420</v>
      </c>
      <c r="O282" s="719" t="s">
        <v>439</v>
      </c>
      <c r="P282" s="719" t="s">
        <v>422</v>
      </c>
      <c r="Q282" s="719" t="s">
        <v>50</v>
      </c>
      <c r="R282" s="720">
        <v>2021.0</v>
      </c>
      <c r="S282" s="721">
        <v>96.25746212</v>
      </c>
      <c r="T282" s="721">
        <v>187.0860622</v>
      </c>
      <c r="U282" s="722">
        <v>22.1421746</v>
      </c>
      <c r="CE282" s="460"/>
    </row>
    <row r="283">
      <c r="A283" s="690"/>
      <c r="B283" s="712" t="s">
        <v>99</v>
      </c>
      <c r="C283" s="742" t="s">
        <v>416</v>
      </c>
      <c r="D283" s="714" t="s">
        <v>450</v>
      </c>
      <c r="E283" s="715">
        <v>2021.0</v>
      </c>
      <c r="F283" s="742" t="s">
        <v>418</v>
      </c>
      <c r="G283" s="742" t="s">
        <v>50</v>
      </c>
      <c r="H283" s="716">
        <v>3331268.0</v>
      </c>
      <c r="I283" s="716">
        <v>3724001.0</v>
      </c>
      <c r="J283" s="717">
        <v>2972002.0</v>
      </c>
      <c r="K283" s="64"/>
      <c r="L283" s="723" t="s">
        <v>419</v>
      </c>
      <c r="M283" s="724" t="s">
        <v>104</v>
      </c>
      <c r="N283" s="724" t="s">
        <v>420</v>
      </c>
      <c r="O283" s="724" t="s">
        <v>443</v>
      </c>
      <c r="P283" s="724" t="s">
        <v>422</v>
      </c>
      <c r="Q283" s="724" t="s">
        <v>50</v>
      </c>
      <c r="R283" s="725">
        <v>2021.0</v>
      </c>
      <c r="S283" s="726">
        <v>5776.359003</v>
      </c>
      <c r="T283" s="726">
        <v>11141.67373</v>
      </c>
      <c r="U283" s="727">
        <v>1928.157969</v>
      </c>
      <c r="CE283" s="460"/>
    </row>
    <row r="284">
      <c r="A284" s="690"/>
      <c r="B284" s="701" t="s">
        <v>99</v>
      </c>
      <c r="C284" s="743" t="s">
        <v>416</v>
      </c>
      <c r="D284" s="703" t="s">
        <v>453</v>
      </c>
      <c r="E284" s="704">
        <v>2021.0</v>
      </c>
      <c r="F284" s="743" t="s">
        <v>418</v>
      </c>
      <c r="G284" s="743" t="s">
        <v>50</v>
      </c>
      <c r="H284" s="705">
        <v>6144126.0</v>
      </c>
      <c r="I284" s="705">
        <v>6868475.0</v>
      </c>
      <c r="J284" s="706">
        <v>5481503.0</v>
      </c>
      <c r="K284" s="64"/>
      <c r="L284" s="718" t="s">
        <v>419</v>
      </c>
      <c r="M284" s="719" t="s">
        <v>104</v>
      </c>
      <c r="N284" s="719" t="s">
        <v>420</v>
      </c>
      <c r="O284" s="719" t="s">
        <v>417</v>
      </c>
      <c r="P284" s="719" t="s">
        <v>422</v>
      </c>
      <c r="Q284" s="719" t="s">
        <v>50</v>
      </c>
      <c r="R284" s="720">
        <v>2021.0</v>
      </c>
      <c r="S284" s="721">
        <v>787.5353792</v>
      </c>
      <c r="T284" s="721">
        <v>1446.247129</v>
      </c>
      <c r="U284" s="722">
        <v>222.4630829</v>
      </c>
      <c r="CE284" s="460"/>
    </row>
    <row r="285">
      <c r="A285" s="690"/>
      <c r="B285" s="712" t="s">
        <v>99</v>
      </c>
      <c r="C285" s="742" t="s">
        <v>416</v>
      </c>
      <c r="D285" s="714" t="s">
        <v>454</v>
      </c>
      <c r="E285" s="715">
        <v>2021.0</v>
      </c>
      <c r="F285" s="742" t="s">
        <v>418</v>
      </c>
      <c r="G285" s="742" t="s">
        <v>50</v>
      </c>
      <c r="H285" s="716">
        <v>8603351.0</v>
      </c>
      <c r="I285" s="716">
        <v>9617626.0</v>
      </c>
      <c r="J285" s="717">
        <v>7675509.0</v>
      </c>
      <c r="K285" s="64"/>
      <c r="L285" s="723" t="s">
        <v>419</v>
      </c>
      <c r="M285" s="724" t="s">
        <v>104</v>
      </c>
      <c r="N285" s="724" t="s">
        <v>420</v>
      </c>
      <c r="O285" s="724" t="s">
        <v>438</v>
      </c>
      <c r="P285" s="724" t="s">
        <v>422</v>
      </c>
      <c r="Q285" s="724" t="s">
        <v>50</v>
      </c>
      <c r="R285" s="725">
        <v>2021.0</v>
      </c>
      <c r="S285" s="726">
        <v>96.25746212</v>
      </c>
      <c r="T285" s="726">
        <v>187.0860622</v>
      </c>
      <c r="U285" s="727">
        <v>22.1421746</v>
      </c>
      <c r="CE285" s="460"/>
    </row>
    <row r="286">
      <c r="A286" s="690"/>
      <c r="B286" s="701" t="s">
        <v>99</v>
      </c>
      <c r="C286" s="743" t="s">
        <v>416</v>
      </c>
      <c r="D286" s="703" t="s">
        <v>457</v>
      </c>
      <c r="E286" s="704">
        <v>2021.0</v>
      </c>
      <c r="F286" s="743" t="s">
        <v>418</v>
      </c>
      <c r="G286" s="743" t="s">
        <v>50</v>
      </c>
      <c r="H286" s="705">
        <v>885632.0</v>
      </c>
      <c r="I286" s="705">
        <v>990041.0</v>
      </c>
      <c r="J286" s="706">
        <v>790119.0</v>
      </c>
      <c r="K286" s="64"/>
      <c r="L286" s="718" t="s">
        <v>419</v>
      </c>
      <c r="M286" s="719" t="s">
        <v>105</v>
      </c>
      <c r="N286" s="719" t="s">
        <v>420</v>
      </c>
      <c r="O286" s="719" t="s">
        <v>421</v>
      </c>
      <c r="P286" s="719" t="s">
        <v>422</v>
      </c>
      <c r="Q286" s="719" t="s">
        <v>50</v>
      </c>
      <c r="R286" s="720">
        <v>2021.0</v>
      </c>
      <c r="S286" s="721">
        <v>33276.60431</v>
      </c>
      <c r="T286" s="721">
        <v>56472.49326</v>
      </c>
      <c r="U286" s="722">
        <v>11522.52464</v>
      </c>
      <c r="CE286" s="460"/>
    </row>
    <row r="287">
      <c r="A287" s="690"/>
      <c r="B287" s="712" t="s">
        <v>99</v>
      </c>
      <c r="C287" s="742" t="s">
        <v>416</v>
      </c>
      <c r="D287" s="714" t="s">
        <v>460</v>
      </c>
      <c r="E287" s="715">
        <v>2021.0</v>
      </c>
      <c r="F287" s="742" t="s">
        <v>418</v>
      </c>
      <c r="G287" s="742" t="s">
        <v>50</v>
      </c>
      <c r="H287" s="716">
        <v>388121.0</v>
      </c>
      <c r="I287" s="716">
        <v>433878.0</v>
      </c>
      <c r="J287" s="717">
        <v>346263.0</v>
      </c>
      <c r="K287" s="64"/>
      <c r="L287" s="723" t="s">
        <v>419</v>
      </c>
      <c r="M287" s="724" t="s">
        <v>105</v>
      </c>
      <c r="N287" s="724" t="s">
        <v>420</v>
      </c>
      <c r="O287" s="724" t="s">
        <v>432</v>
      </c>
      <c r="P287" s="724" t="s">
        <v>422</v>
      </c>
      <c r="Q287" s="724" t="s">
        <v>50</v>
      </c>
      <c r="R287" s="725">
        <v>2021.0</v>
      </c>
      <c r="S287" s="726">
        <v>0.0</v>
      </c>
      <c r="T287" s="726">
        <v>0.0</v>
      </c>
      <c r="U287" s="727">
        <v>0.0</v>
      </c>
      <c r="CE287" s="460"/>
    </row>
    <row r="288">
      <c r="A288" s="690"/>
      <c r="B288" s="701" t="s">
        <v>99</v>
      </c>
      <c r="C288" s="743" t="s">
        <v>416</v>
      </c>
      <c r="D288" s="703" t="s">
        <v>463</v>
      </c>
      <c r="E288" s="704">
        <v>2021.0</v>
      </c>
      <c r="F288" s="743" t="s">
        <v>418</v>
      </c>
      <c r="G288" s="743" t="s">
        <v>50</v>
      </c>
      <c r="H288" s="705">
        <v>2812858.0</v>
      </c>
      <c r="I288" s="705">
        <v>3144474.0</v>
      </c>
      <c r="J288" s="706">
        <v>2509501.0</v>
      </c>
      <c r="K288" s="64"/>
      <c r="L288" s="718" t="s">
        <v>419</v>
      </c>
      <c r="M288" s="719" t="s">
        <v>105</v>
      </c>
      <c r="N288" s="719" t="s">
        <v>420</v>
      </c>
      <c r="O288" s="719" t="s">
        <v>439</v>
      </c>
      <c r="P288" s="719" t="s">
        <v>422</v>
      </c>
      <c r="Q288" s="719" t="s">
        <v>50</v>
      </c>
      <c r="R288" s="720">
        <v>2021.0</v>
      </c>
      <c r="S288" s="721">
        <v>2066.759453</v>
      </c>
      <c r="T288" s="721">
        <v>3981.303384</v>
      </c>
      <c r="U288" s="722">
        <v>622.8228228</v>
      </c>
      <c r="CE288" s="460"/>
    </row>
    <row r="289">
      <c r="A289" s="690"/>
      <c r="B289" s="712" t="s">
        <v>99</v>
      </c>
      <c r="C289" s="742" t="s">
        <v>416</v>
      </c>
      <c r="D289" s="714" t="s">
        <v>465</v>
      </c>
      <c r="E289" s="715">
        <v>2021.0</v>
      </c>
      <c r="F289" s="742" t="s">
        <v>418</v>
      </c>
      <c r="G289" s="742" t="s">
        <v>50</v>
      </c>
      <c r="H289" s="716">
        <v>1.3693939E7</v>
      </c>
      <c r="I289" s="716">
        <v>1.5308359E7</v>
      </c>
      <c r="J289" s="717">
        <v>1.2217094E7</v>
      </c>
      <c r="K289" s="64"/>
      <c r="L289" s="723" t="s">
        <v>419</v>
      </c>
      <c r="M289" s="724" t="s">
        <v>105</v>
      </c>
      <c r="N289" s="724" t="s">
        <v>420</v>
      </c>
      <c r="O289" s="724" t="s">
        <v>443</v>
      </c>
      <c r="P289" s="724" t="s">
        <v>422</v>
      </c>
      <c r="Q289" s="724" t="s">
        <v>50</v>
      </c>
      <c r="R289" s="725">
        <v>2021.0</v>
      </c>
      <c r="S289" s="726">
        <v>45361.02134</v>
      </c>
      <c r="T289" s="726">
        <v>82604.27057</v>
      </c>
      <c r="U289" s="727">
        <v>14826.12395</v>
      </c>
      <c r="CE289" s="460"/>
    </row>
    <row r="290">
      <c r="A290" s="690"/>
      <c r="B290" s="701" t="s">
        <v>99</v>
      </c>
      <c r="C290" s="743" t="s">
        <v>416</v>
      </c>
      <c r="D290" s="703" t="s">
        <v>468</v>
      </c>
      <c r="E290" s="704">
        <v>2021.0</v>
      </c>
      <c r="F290" s="743" t="s">
        <v>418</v>
      </c>
      <c r="G290" s="743" t="s">
        <v>50</v>
      </c>
      <c r="H290" s="705">
        <v>2459225.0</v>
      </c>
      <c r="I290" s="705">
        <v>2749151.0</v>
      </c>
      <c r="J290" s="706">
        <v>2194006.0</v>
      </c>
      <c r="K290" s="64"/>
      <c r="L290" s="718" t="s">
        <v>419</v>
      </c>
      <c r="M290" s="719" t="s">
        <v>105</v>
      </c>
      <c r="N290" s="719" t="s">
        <v>420</v>
      </c>
      <c r="O290" s="719" t="s">
        <v>417</v>
      </c>
      <c r="P290" s="719" t="s">
        <v>422</v>
      </c>
      <c r="Q290" s="719" t="s">
        <v>50</v>
      </c>
      <c r="R290" s="720">
        <v>2021.0</v>
      </c>
      <c r="S290" s="721">
        <v>16709.06993</v>
      </c>
      <c r="T290" s="721">
        <v>28966.156</v>
      </c>
      <c r="U290" s="722">
        <v>5600.541981</v>
      </c>
      <c r="CE290" s="460"/>
    </row>
    <row r="291">
      <c r="A291" s="690"/>
      <c r="B291" s="712" t="s">
        <v>99</v>
      </c>
      <c r="C291" s="742" t="s">
        <v>416</v>
      </c>
      <c r="D291" s="714" t="s">
        <v>471</v>
      </c>
      <c r="E291" s="715">
        <v>2021.0</v>
      </c>
      <c r="F291" s="742" t="s">
        <v>418</v>
      </c>
      <c r="G291" s="742" t="s">
        <v>50</v>
      </c>
      <c r="H291" s="716">
        <v>2559875.0</v>
      </c>
      <c r="I291" s="716">
        <v>2861666.0</v>
      </c>
      <c r="J291" s="717">
        <v>2283801.0</v>
      </c>
      <c r="K291" s="64"/>
      <c r="L291" s="723" t="s">
        <v>419</v>
      </c>
      <c r="M291" s="724" t="s">
        <v>105</v>
      </c>
      <c r="N291" s="724" t="s">
        <v>420</v>
      </c>
      <c r="O291" s="724" t="s">
        <v>438</v>
      </c>
      <c r="P291" s="724" t="s">
        <v>422</v>
      </c>
      <c r="Q291" s="724" t="s">
        <v>50</v>
      </c>
      <c r="R291" s="725">
        <v>2021.0</v>
      </c>
      <c r="S291" s="726">
        <v>2066.759453</v>
      </c>
      <c r="T291" s="726">
        <v>3981.303384</v>
      </c>
      <c r="U291" s="727">
        <v>622.8228228</v>
      </c>
      <c r="CE291" s="460"/>
    </row>
    <row r="292">
      <c r="A292" s="690"/>
      <c r="B292" s="701" t="s">
        <v>99</v>
      </c>
      <c r="C292" s="743" t="s">
        <v>416</v>
      </c>
      <c r="D292" s="703" t="s">
        <v>473</v>
      </c>
      <c r="E292" s="704">
        <v>2021.0</v>
      </c>
      <c r="F292" s="743" t="s">
        <v>418</v>
      </c>
      <c r="G292" s="743" t="s">
        <v>50</v>
      </c>
      <c r="H292" s="705">
        <v>1.1018008E7</v>
      </c>
      <c r="I292" s="705">
        <v>1.2316955E7</v>
      </c>
      <c r="J292" s="706">
        <v>9829753.0</v>
      </c>
      <c r="K292" s="64"/>
      <c r="L292" s="718" t="s">
        <v>419</v>
      </c>
      <c r="M292" s="719" t="s">
        <v>537</v>
      </c>
      <c r="N292" s="719" t="s">
        <v>420</v>
      </c>
      <c r="O292" s="719" t="s">
        <v>421</v>
      </c>
      <c r="P292" s="719" t="s">
        <v>422</v>
      </c>
      <c r="Q292" s="719" t="s">
        <v>50</v>
      </c>
      <c r="R292" s="720">
        <v>2021.0</v>
      </c>
      <c r="S292" s="721">
        <v>11448.77264</v>
      </c>
      <c r="T292" s="721">
        <v>22793.697</v>
      </c>
      <c r="U292" s="722">
        <v>3727.822701</v>
      </c>
      <c r="CE292" s="460"/>
    </row>
    <row r="293">
      <c r="A293" s="690"/>
      <c r="B293" s="712" t="s">
        <v>99</v>
      </c>
      <c r="C293" s="742" t="s">
        <v>416</v>
      </c>
      <c r="D293" s="714" t="s">
        <v>476</v>
      </c>
      <c r="E293" s="715">
        <v>2021.0</v>
      </c>
      <c r="F293" s="742" t="s">
        <v>418</v>
      </c>
      <c r="G293" s="742" t="s">
        <v>50</v>
      </c>
      <c r="H293" s="716">
        <v>2180183.0</v>
      </c>
      <c r="I293" s="716">
        <v>2437212.0</v>
      </c>
      <c r="J293" s="717">
        <v>1945058.0</v>
      </c>
      <c r="K293" s="64"/>
      <c r="L293" s="723" t="s">
        <v>419</v>
      </c>
      <c r="M293" s="724" t="s">
        <v>537</v>
      </c>
      <c r="N293" s="724" t="s">
        <v>420</v>
      </c>
      <c r="O293" s="724" t="s">
        <v>432</v>
      </c>
      <c r="P293" s="724" t="s">
        <v>422</v>
      </c>
      <c r="Q293" s="724" t="s">
        <v>50</v>
      </c>
      <c r="R293" s="725">
        <v>2021.0</v>
      </c>
      <c r="S293" s="726">
        <v>0.0</v>
      </c>
      <c r="T293" s="726">
        <v>0.0</v>
      </c>
      <c r="U293" s="727">
        <v>0.0</v>
      </c>
      <c r="CE293" s="460"/>
    </row>
    <row r="294">
      <c r="A294" s="690"/>
      <c r="B294" s="701" t="s">
        <v>99</v>
      </c>
      <c r="C294" s="743" t="s">
        <v>416</v>
      </c>
      <c r="D294" s="703" t="s">
        <v>479</v>
      </c>
      <c r="E294" s="704">
        <v>2021.0</v>
      </c>
      <c r="F294" s="743" t="s">
        <v>418</v>
      </c>
      <c r="G294" s="743" t="s">
        <v>50</v>
      </c>
      <c r="H294" s="705">
        <v>2004605.0</v>
      </c>
      <c r="I294" s="705">
        <v>2240934.0</v>
      </c>
      <c r="J294" s="706">
        <v>1788415.0</v>
      </c>
      <c r="K294" s="64"/>
      <c r="L294" s="718" t="s">
        <v>419</v>
      </c>
      <c r="M294" s="719" t="s">
        <v>537</v>
      </c>
      <c r="N294" s="719" t="s">
        <v>420</v>
      </c>
      <c r="O294" s="719" t="s">
        <v>439</v>
      </c>
      <c r="P294" s="719" t="s">
        <v>422</v>
      </c>
      <c r="Q294" s="719" t="s">
        <v>50</v>
      </c>
      <c r="R294" s="720">
        <v>2021.0</v>
      </c>
      <c r="S294" s="721">
        <v>621.4714609</v>
      </c>
      <c r="T294" s="721">
        <v>1415.550362</v>
      </c>
      <c r="U294" s="722">
        <v>181.5499613</v>
      </c>
      <c r="CE294" s="460"/>
    </row>
    <row r="295">
      <c r="A295" s="690"/>
      <c r="B295" s="712" t="s">
        <v>99</v>
      </c>
      <c r="C295" s="742" t="s">
        <v>416</v>
      </c>
      <c r="D295" s="714" t="s">
        <v>482</v>
      </c>
      <c r="E295" s="715">
        <v>2021.0</v>
      </c>
      <c r="F295" s="742" t="s">
        <v>418</v>
      </c>
      <c r="G295" s="742" t="s">
        <v>50</v>
      </c>
      <c r="H295" s="716">
        <v>1754875.0</v>
      </c>
      <c r="I295" s="716">
        <v>1961762.0</v>
      </c>
      <c r="J295" s="717">
        <v>1565618.0</v>
      </c>
      <c r="K295" s="64"/>
      <c r="L295" s="723" t="s">
        <v>419</v>
      </c>
      <c r="M295" s="724" t="s">
        <v>537</v>
      </c>
      <c r="N295" s="724" t="s">
        <v>420</v>
      </c>
      <c r="O295" s="724" t="s">
        <v>443</v>
      </c>
      <c r="P295" s="724" t="s">
        <v>422</v>
      </c>
      <c r="Q295" s="724" t="s">
        <v>50</v>
      </c>
      <c r="R295" s="725">
        <v>2021.0</v>
      </c>
      <c r="S295" s="726">
        <v>15269.25063</v>
      </c>
      <c r="T295" s="726">
        <v>32294.82019</v>
      </c>
      <c r="U295" s="727">
        <v>4660.623323</v>
      </c>
      <c r="CE295" s="460"/>
    </row>
    <row r="296">
      <c r="A296" s="690"/>
      <c r="B296" s="701" t="s">
        <v>99</v>
      </c>
      <c r="C296" s="743" t="s">
        <v>416</v>
      </c>
      <c r="D296" s="703" t="s">
        <v>485</v>
      </c>
      <c r="E296" s="704">
        <v>2021.0</v>
      </c>
      <c r="F296" s="743" t="s">
        <v>418</v>
      </c>
      <c r="G296" s="743" t="s">
        <v>50</v>
      </c>
      <c r="H296" s="705">
        <v>1412075.0</v>
      </c>
      <c r="I296" s="705">
        <v>1578549.0</v>
      </c>
      <c r="J296" s="706">
        <v>1259787.0</v>
      </c>
      <c r="K296" s="64"/>
      <c r="L296" s="718" t="s">
        <v>419</v>
      </c>
      <c r="M296" s="719" t="s">
        <v>537</v>
      </c>
      <c r="N296" s="719" t="s">
        <v>420</v>
      </c>
      <c r="O296" s="719" t="s">
        <v>417</v>
      </c>
      <c r="P296" s="719" t="s">
        <v>422</v>
      </c>
      <c r="Q296" s="719" t="s">
        <v>50</v>
      </c>
      <c r="R296" s="720">
        <v>2021.0</v>
      </c>
      <c r="S296" s="721">
        <v>5616.527971</v>
      </c>
      <c r="T296" s="721">
        <v>11311.47353</v>
      </c>
      <c r="U296" s="722">
        <v>1655.691745</v>
      </c>
      <c r="CE296" s="460"/>
    </row>
    <row r="297">
      <c r="A297" s="690"/>
      <c r="B297" s="712" t="s">
        <v>99</v>
      </c>
      <c r="C297" s="742" t="s">
        <v>416</v>
      </c>
      <c r="D297" s="714" t="s">
        <v>488</v>
      </c>
      <c r="E297" s="715">
        <v>2021.0</v>
      </c>
      <c r="F297" s="742" t="s">
        <v>418</v>
      </c>
      <c r="G297" s="742" t="s">
        <v>50</v>
      </c>
      <c r="H297" s="716">
        <v>1070118.0</v>
      </c>
      <c r="I297" s="716">
        <v>1196277.0</v>
      </c>
      <c r="J297" s="717">
        <v>954709.0</v>
      </c>
      <c r="K297" s="64"/>
      <c r="L297" s="723" t="s">
        <v>419</v>
      </c>
      <c r="M297" s="724" t="s">
        <v>537</v>
      </c>
      <c r="N297" s="724" t="s">
        <v>420</v>
      </c>
      <c r="O297" s="724" t="s">
        <v>438</v>
      </c>
      <c r="P297" s="724" t="s">
        <v>422</v>
      </c>
      <c r="Q297" s="724" t="s">
        <v>50</v>
      </c>
      <c r="R297" s="725">
        <v>2021.0</v>
      </c>
      <c r="S297" s="726">
        <v>621.4714609</v>
      </c>
      <c r="T297" s="726">
        <v>1415.550362</v>
      </c>
      <c r="U297" s="727">
        <v>181.5499613</v>
      </c>
      <c r="CE297" s="460"/>
    </row>
    <row r="298">
      <c r="A298" s="690"/>
      <c r="B298" s="701" t="s">
        <v>99</v>
      </c>
      <c r="C298" s="743" t="s">
        <v>416</v>
      </c>
      <c r="D298" s="703" t="s">
        <v>491</v>
      </c>
      <c r="E298" s="704">
        <v>2021.0</v>
      </c>
      <c r="F298" s="743" t="s">
        <v>418</v>
      </c>
      <c r="G298" s="743" t="s">
        <v>50</v>
      </c>
      <c r="H298" s="705">
        <v>802970.0</v>
      </c>
      <c r="I298" s="705">
        <v>897635.0</v>
      </c>
      <c r="J298" s="706">
        <v>716372.0</v>
      </c>
      <c r="K298" s="64"/>
      <c r="L298" s="718" t="s">
        <v>419</v>
      </c>
      <c r="M298" s="719" t="s">
        <v>538</v>
      </c>
      <c r="N298" s="719" t="s">
        <v>420</v>
      </c>
      <c r="O298" s="719" t="s">
        <v>421</v>
      </c>
      <c r="P298" s="719" t="s">
        <v>422</v>
      </c>
      <c r="Q298" s="719" t="s">
        <v>50</v>
      </c>
      <c r="R298" s="720">
        <v>2021.0</v>
      </c>
      <c r="S298" s="721">
        <v>3223.687175</v>
      </c>
      <c r="T298" s="721">
        <v>6567.157391</v>
      </c>
      <c r="U298" s="722">
        <v>875.0018514</v>
      </c>
      <c r="CE298" s="460"/>
    </row>
    <row r="299">
      <c r="A299" s="690"/>
      <c r="B299" s="712" t="s">
        <v>99</v>
      </c>
      <c r="C299" s="742" t="s">
        <v>416</v>
      </c>
      <c r="D299" s="714" t="s">
        <v>493</v>
      </c>
      <c r="E299" s="715">
        <v>2021.0</v>
      </c>
      <c r="F299" s="742" t="s">
        <v>418</v>
      </c>
      <c r="G299" s="742" t="s">
        <v>50</v>
      </c>
      <c r="H299" s="716">
        <v>2179191.0</v>
      </c>
      <c r="I299" s="716">
        <v>2436103.0</v>
      </c>
      <c r="J299" s="717">
        <v>1944173.0</v>
      </c>
      <c r="K299" s="64"/>
      <c r="L299" s="723" t="s">
        <v>419</v>
      </c>
      <c r="M299" s="724" t="s">
        <v>538</v>
      </c>
      <c r="N299" s="724" t="s">
        <v>420</v>
      </c>
      <c r="O299" s="724" t="s">
        <v>432</v>
      </c>
      <c r="P299" s="724" t="s">
        <v>422</v>
      </c>
      <c r="Q299" s="724" t="s">
        <v>50</v>
      </c>
      <c r="R299" s="725">
        <v>2021.0</v>
      </c>
      <c r="S299" s="726">
        <v>0.0</v>
      </c>
      <c r="T299" s="726">
        <v>0.0</v>
      </c>
      <c r="U299" s="727">
        <v>0.0</v>
      </c>
      <c r="CE299" s="460"/>
    </row>
    <row r="300">
      <c r="A300" s="690"/>
      <c r="B300" s="701" t="s">
        <v>99</v>
      </c>
      <c r="C300" s="743" t="s">
        <v>416</v>
      </c>
      <c r="D300" s="703" t="s">
        <v>434</v>
      </c>
      <c r="E300" s="704">
        <v>2021.0</v>
      </c>
      <c r="F300" s="743" t="s">
        <v>418</v>
      </c>
      <c r="G300" s="743" t="s">
        <v>50</v>
      </c>
      <c r="H300" s="705">
        <v>7217393.0</v>
      </c>
      <c r="I300" s="705">
        <v>8068273.0</v>
      </c>
      <c r="J300" s="706">
        <v>6439021.0</v>
      </c>
      <c r="K300" s="64"/>
      <c r="L300" s="718" t="s">
        <v>419</v>
      </c>
      <c r="M300" s="719" t="s">
        <v>538</v>
      </c>
      <c r="N300" s="719" t="s">
        <v>420</v>
      </c>
      <c r="O300" s="719" t="s">
        <v>439</v>
      </c>
      <c r="P300" s="719" t="s">
        <v>422</v>
      </c>
      <c r="Q300" s="719" t="s">
        <v>50</v>
      </c>
      <c r="R300" s="720">
        <v>2021.0</v>
      </c>
      <c r="S300" s="721">
        <v>216.5543952</v>
      </c>
      <c r="T300" s="721">
        <v>484.9648614</v>
      </c>
      <c r="U300" s="722">
        <v>56.17782715</v>
      </c>
      <c r="CE300" s="460"/>
    </row>
    <row r="301">
      <c r="A301" s="690"/>
      <c r="B301" s="712" t="s">
        <v>99</v>
      </c>
      <c r="C301" s="742" t="s">
        <v>416</v>
      </c>
      <c r="D301" s="714" t="s">
        <v>497</v>
      </c>
      <c r="E301" s="715">
        <v>2021.0</v>
      </c>
      <c r="F301" s="742" t="s">
        <v>418</v>
      </c>
      <c r="G301" s="742" t="s">
        <v>50</v>
      </c>
      <c r="H301" s="716">
        <v>609220.0</v>
      </c>
      <c r="I301" s="716">
        <v>681043.0</v>
      </c>
      <c r="J301" s="717">
        <v>543518.0</v>
      </c>
      <c r="K301" s="64"/>
      <c r="L301" s="723" t="s">
        <v>419</v>
      </c>
      <c r="M301" s="724" t="s">
        <v>538</v>
      </c>
      <c r="N301" s="724" t="s">
        <v>420</v>
      </c>
      <c r="O301" s="724" t="s">
        <v>443</v>
      </c>
      <c r="P301" s="724" t="s">
        <v>422</v>
      </c>
      <c r="Q301" s="724" t="s">
        <v>50</v>
      </c>
      <c r="R301" s="725">
        <v>2021.0</v>
      </c>
      <c r="S301" s="726">
        <v>6521.253983</v>
      </c>
      <c r="T301" s="726">
        <v>14601.43976</v>
      </c>
      <c r="U301" s="727">
        <v>1570.090612</v>
      </c>
      <c r="CE301" s="460"/>
    </row>
    <row r="302">
      <c r="A302" s="690"/>
      <c r="B302" s="701" t="s">
        <v>99</v>
      </c>
      <c r="C302" s="743" t="s">
        <v>416</v>
      </c>
      <c r="D302" s="703" t="s">
        <v>500</v>
      </c>
      <c r="E302" s="704">
        <v>2021.0</v>
      </c>
      <c r="F302" s="743" t="s">
        <v>418</v>
      </c>
      <c r="G302" s="743" t="s">
        <v>50</v>
      </c>
      <c r="H302" s="705">
        <v>3886125.0</v>
      </c>
      <c r="I302" s="705">
        <v>4344272.0</v>
      </c>
      <c r="J302" s="706">
        <v>3467020.0</v>
      </c>
      <c r="K302" s="64"/>
      <c r="L302" s="718" t="s">
        <v>419</v>
      </c>
      <c r="M302" s="719" t="s">
        <v>538</v>
      </c>
      <c r="N302" s="719" t="s">
        <v>420</v>
      </c>
      <c r="O302" s="719" t="s">
        <v>417</v>
      </c>
      <c r="P302" s="719" t="s">
        <v>422</v>
      </c>
      <c r="Q302" s="719" t="s">
        <v>50</v>
      </c>
      <c r="R302" s="720">
        <v>2021.0</v>
      </c>
      <c r="S302" s="721">
        <v>1399.70808</v>
      </c>
      <c r="T302" s="721">
        <v>2986.834937</v>
      </c>
      <c r="U302" s="722">
        <v>333.7537722</v>
      </c>
      <c r="CE302" s="460"/>
    </row>
    <row r="303">
      <c r="A303" s="690"/>
      <c r="B303" s="712" t="s">
        <v>99</v>
      </c>
      <c r="C303" s="742" t="s">
        <v>416</v>
      </c>
      <c r="D303" s="714" t="s">
        <v>502</v>
      </c>
      <c r="E303" s="715">
        <v>2021.0</v>
      </c>
      <c r="F303" s="742" t="s">
        <v>418</v>
      </c>
      <c r="G303" s="742" t="s">
        <v>50</v>
      </c>
      <c r="H303" s="716">
        <v>456032.0</v>
      </c>
      <c r="I303" s="716">
        <v>509795.0</v>
      </c>
      <c r="J303" s="717">
        <v>406850.0</v>
      </c>
      <c r="K303" s="64"/>
      <c r="L303" s="723" t="s">
        <v>419</v>
      </c>
      <c r="M303" s="724" t="s">
        <v>538</v>
      </c>
      <c r="N303" s="724" t="s">
        <v>420</v>
      </c>
      <c r="O303" s="724" t="s">
        <v>438</v>
      </c>
      <c r="P303" s="724" t="s">
        <v>422</v>
      </c>
      <c r="Q303" s="724" t="s">
        <v>50</v>
      </c>
      <c r="R303" s="725">
        <v>2021.0</v>
      </c>
      <c r="S303" s="726">
        <v>216.5543952</v>
      </c>
      <c r="T303" s="726">
        <v>484.9648614</v>
      </c>
      <c r="U303" s="727">
        <v>56.17782715</v>
      </c>
      <c r="CE303" s="460"/>
    </row>
    <row r="304">
      <c r="A304" s="690"/>
      <c r="B304" s="701" t="s">
        <v>99</v>
      </c>
      <c r="C304" s="743" t="s">
        <v>416</v>
      </c>
      <c r="D304" s="703" t="s">
        <v>505</v>
      </c>
      <c r="E304" s="704">
        <v>2021.0</v>
      </c>
      <c r="F304" s="743" t="s">
        <v>418</v>
      </c>
      <c r="G304" s="743" t="s">
        <v>50</v>
      </c>
      <c r="H304" s="705">
        <v>449664.0</v>
      </c>
      <c r="I304" s="705">
        <v>502676.0</v>
      </c>
      <c r="J304" s="706">
        <v>401169.0</v>
      </c>
      <c r="K304" s="64"/>
      <c r="L304" s="718" t="s">
        <v>419</v>
      </c>
      <c r="M304" s="719" t="s">
        <v>539</v>
      </c>
      <c r="N304" s="719" t="s">
        <v>420</v>
      </c>
      <c r="O304" s="719" t="s">
        <v>421</v>
      </c>
      <c r="P304" s="719" t="s">
        <v>422</v>
      </c>
      <c r="Q304" s="719" t="s">
        <v>50</v>
      </c>
      <c r="R304" s="720">
        <v>2021.0</v>
      </c>
      <c r="S304" s="721">
        <v>1020.720117</v>
      </c>
      <c r="T304" s="721">
        <v>2048.118109</v>
      </c>
      <c r="U304" s="722">
        <v>444.6545747</v>
      </c>
      <c r="CE304" s="460"/>
    </row>
    <row r="305">
      <c r="A305" s="690"/>
      <c r="B305" s="712" t="s">
        <v>99</v>
      </c>
      <c r="C305" s="742" t="s">
        <v>416</v>
      </c>
      <c r="D305" s="714" t="s">
        <v>508</v>
      </c>
      <c r="E305" s="715">
        <v>2021.0</v>
      </c>
      <c r="F305" s="742" t="s">
        <v>418</v>
      </c>
      <c r="G305" s="742" t="s">
        <v>50</v>
      </c>
      <c r="H305" s="716">
        <v>310969.0</v>
      </c>
      <c r="I305" s="716">
        <v>347630.0</v>
      </c>
      <c r="J305" s="717">
        <v>277432.0</v>
      </c>
      <c r="K305" s="64"/>
      <c r="L305" s="723" t="s">
        <v>419</v>
      </c>
      <c r="M305" s="724" t="s">
        <v>539</v>
      </c>
      <c r="N305" s="724" t="s">
        <v>420</v>
      </c>
      <c r="O305" s="724" t="s">
        <v>432</v>
      </c>
      <c r="P305" s="724" t="s">
        <v>422</v>
      </c>
      <c r="Q305" s="724" t="s">
        <v>50</v>
      </c>
      <c r="R305" s="725">
        <v>2021.0</v>
      </c>
      <c r="S305" s="726">
        <v>0.0</v>
      </c>
      <c r="T305" s="726">
        <v>0.0</v>
      </c>
      <c r="U305" s="727">
        <v>0.0</v>
      </c>
      <c r="CE305" s="460"/>
    </row>
    <row r="306">
      <c r="A306" s="690"/>
      <c r="B306" s="701" t="s">
        <v>99</v>
      </c>
      <c r="C306" s="743" t="s">
        <v>416</v>
      </c>
      <c r="D306" s="703" t="s">
        <v>511</v>
      </c>
      <c r="E306" s="704">
        <v>2021.0</v>
      </c>
      <c r="F306" s="743" t="s">
        <v>418</v>
      </c>
      <c r="G306" s="743" t="s">
        <v>50</v>
      </c>
      <c r="H306" s="705">
        <v>416961.0</v>
      </c>
      <c r="I306" s="705">
        <v>466118.0</v>
      </c>
      <c r="J306" s="706">
        <v>371993.0</v>
      </c>
      <c r="K306" s="64"/>
      <c r="L306" s="718" t="s">
        <v>419</v>
      </c>
      <c r="M306" s="719" t="s">
        <v>539</v>
      </c>
      <c r="N306" s="719" t="s">
        <v>420</v>
      </c>
      <c r="O306" s="719" t="s">
        <v>439</v>
      </c>
      <c r="P306" s="719" t="s">
        <v>422</v>
      </c>
      <c r="Q306" s="719" t="s">
        <v>50</v>
      </c>
      <c r="R306" s="720">
        <v>2021.0</v>
      </c>
      <c r="S306" s="721">
        <v>17.72002274</v>
      </c>
      <c r="T306" s="721">
        <v>39.98189156</v>
      </c>
      <c r="U306" s="722">
        <v>5.129844668</v>
      </c>
      <c r="CE306" s="460"/>
    </row>
    <row r="307">
      <c r="A307" s="690"/>
      <c r="B307" s="712" t="s">
        <v>99</v>
      </c>
      <c r="C307" s="742" t="s">
        <v>416</v>
      </c>
      <c r="D307" s="714" t="s">
        <v>514</v>
      </c>
      <c r="E307" s="715">
        <v>2021.0</v>
      </c>
      <c r="F307" s="742" t="s">
        <v>418</v>
      </c>
      <c r="G307" s="742" t="s">
        <v>50</v>
      </c>
      <c r="H307" s="716">
        <v>198483.0</v>
      </c>
      <c r="I307" s="716">
        <v>221883.0</v>
      </c>
      <c r="J307" s="717">
        <v>177077.0</v>
      </c>
      <c r="K307" s="64"/>
      <c r="L307" s="723" t="s">
        <v>419</v>
      </c>
      <c r="M307" s="724" t="s">
        <v>539</v>
      </c>
      <c r="N307" s="724" t="s">
        <v>420</v>
      </c>
      <c r="O307" s="724" t="s">
        <v>443</v>
      </c>
      <c r="P307" s="724" t="s">
        <v>422</v>
      </c>
      <c r="Q307" s="724" t="s">
        <v>50</v>
      </c>
      <c r="R307" s="725">
        <v>2021.0</v>
      </c>
      <c r="S307" s="726">
        <v>1707.985886</v>
      </c>
      <c r="T307" s="726">
        <v>3495.073637</v>
      </c>
      <c r="U307" s="727">
        <v>714.9009174</v>
      </c>
      <c r="CE307" s="460"/>
    </row>
    <row r="308">
      <c r="A308" s="690"/>
      <c r="B308" s="701" t="s">
        <v>99</v>
      </c>
      <c r="C308" s="743" t="s">
        <v>416</v>
      </c>
      <c r="D308" s="703" t="s">
        <v>439</v>
      </c>
      <c r="E308" s="704">
        <v>2021.0</v>
      </c>
      <c r="F308" s="743" t="s">
        <v>418</v>
      </c>
      <c r="G308" s="743" t="s">
        <v>50</v>
      </c>
      <c r="H308" s="705">
        <v>53119.0</v>
      </c>
      <c r="I308" s="705">
        <v>59381.0</v>
      </c>
      <c r="J308" s="706">
        <v>47390.0</v>
      </c>
      <c r="K308" s="64"/>
      <c r="L308" s="723" t="s">
        <v>419</v>
      </c>
      <c r="M308" s="724" t="s">
        <v>539</v>
      </c>
      <c r="N308" s="724" t="s">
        <v>420</v>
      </c>
      <c r="O308" s="724" t="s">
        <v>417</v>
      </c>
      <c r="P308" s="724" t="s">
        <v>422</v>
      </c>
      <c r="Q308" s="724" t="s">
        <v>50</v>
      </c>
      <c r="R308" s="725">
        <v>2021.0</v>
      </c>
      <c r="S308" s="726">
        <v>278.2990363</v>
      </c>
      <c r="T308" s="726">
        <v>600.6904987</v>
      </c>
      <c r="U308" s="727">
        <v>89.64171364</v>
      </c>
      <c r="CE308" s="460"/>
    </row>
    <row r="309">
      <c r="A309" s="690"/>
      <c r="B309" s="712" t="s">
        <v>99</v>
      </c>
      <c r="C309" s="742" t="s">
        <v>416</v>
      </c>
      <c r="D309" s="714" t="s">
        <v>517</v>
      </c>
      <c r="E309" s="715">
        <v>2021.0</v>
      </c>
      <c r="F309" s="742" t="s">
        <v>418</v>
      </c>
      <c r="G309" s="742" t="s">
        <v>50</v>
      </c>
      <c r="H309" s="716">
        <v>120580.0</v>
      </c>
      <c r="I309" s="716">
        <v>134795.0</v>
      </c>
      <c r="J309" s="717">
        <v>107576.0</v>
      </c>
      <c r="K309" s="64"/>
      <c r="L309" s="744" t="s">
        <v>419</v>
      </c>
      <c r="M309" s="745" t="s">
        <v>539</v>
      </c>
      <c r="N309" s="745" t="s">
        <v>420</v>
      </c>
      <c r="O309" s="745" t="s">
        <v>438</v>
      </c>
      <c r="P309" s="745" t="s">
        <v>422</v>
      </c>
      <c r="Q309" s="745" t="s">
        <v>50</v>
      </c>
      <c r="R309" s="746">
        <v>2021.0</v>
      </c>
      <c r="S309" s="747">
        <v>17.72002274</v>
      </c>
      <c r="T309" s="747">
        <v>39.98189156</v>
      </c>
      <c r="U309" s="748">
        <v>5.129844668</v>
      </c>
      <c r="CE309" s="460"/>
    </row>
    <row r="310">
      <c r="A310" s="690"/>
      <c r="B310" s="701" t="s">
        <v>99</v>
      </c>
      <c r="C310" s="743" t="s">
        <v>416</v>
      </c>
      <c r="D310" s="703" t="s">
        <v>520</v>
      </c>
      <c r="E310" s="704">
        <v>2021.0</v>
      </c>
      <c r="F310" s="743" t="s">
        <v>418</v>
      </c>
      <c r="G310" s="743" t="s">
        <v>50</v>
      </c>
      <c r="H310" s="705">
        <v>97898.0</v>
      </c>
      <c r="I310" s="705">
        <v>109440.0</v>
      </c>
      <c r="J310" s="706">
        <v>87340.0</v>
      </c>
      <c r="K310" s="64"/>
      <c r="CE310" s="460"/>
    </row>
    <row r="311">
      <c r="A311" s="690"/>
      <c r="B311" s="712" t="s">
        <v>99</v>
      </c>
      <c r="C311" s="742" t="s">
        <v>416</v>
      </c>
      <c r="D311" s="714" t="s">
        <v>521</v>
      </c>
      <c r="E311" s="715">
        <v>2021.0</v>
      </c>
      <c r="F311" s="742" t="s">
        <v>418</v>
      </c>
      <c r="G311" s="742" t="s">
        <v>50</v>
      </c>
      <c r="H311" s="716">
        <v>61550.0</v>
      </c>
      <c r="I311" s="716">
        <v>68806.0</v>
      </c>
      <c r="J311" s="717">
        <v>54912.0</v>
      </c>
      <c r="K311" s="64"/>
      <c r="CE311" s="460"/>
    </row>
    <row r="312">
      <c r="A312" s="690"/>
      <c r="B312" s="701" t="s">
        <v>99</v>
      </c>
      <c r="C312" s="743" t="s">
        <v>416</v>
      </c>
      <c r="D312" s="703" t="s">
        <v>524</v>
      </c>
      <c r="E312" s="704">
        <v>2021.0</v>
      </c>
      <c r="F312" s="743" t="s">
        <v>418</v>
      </c>
      <c r="G312" s="743" t="s">
        <v>50</v>
      </c>
      <c r="H312" s="705">
        <v>26507.0</v>
      </c>
      <c r="I312" s="705">
        <v>29632.0</v>
      </c>
      <c r="J312" s="706">
        <v>23648.0</v>
      </c>
      <c r="K312" s="64"/>
      <c r="CE312" s="460"/>
    </row>
    <row r="313">
      <c r="A313" s="690"/>
      <c r="B313" s="712" t="s">
        <v>99</v>
      </c>
      <c r="C313" s="742" t="s">
        <v>416</v>
      </c>
      <c r="D313" s="714" t="s">
        <v>527</v>
      </c>
      <c r="E313" s="715">
        <v>2021.0</v>
      </c>
      <c r="F313" s="742" t="s">
        <v>418</v>
      </c>
      <c r="G313" s="742" t="s">
        <v>50</v>
      </c>
      <c r="H313" s="716">
        <v>8082.0</v>
      </c>
      <c r="I313" s="716">
        <v>9034.0</v>
      </c>
      <c r="J313" s="717">
        <v>7210.0</v>
      </c>
      <c r="K313" s="64"/>
      <c r="CE313" s="460"/>
    </row>
    <row r="314">
      <c r="A314" s="690"/>
      <c r="B314" s="701" t="s">
        <v>99</v>
      </c>
      <c r="C314" s="743" t="s">
        <v>416</v>
      </c>
      <c r="D314" s="703" t="s">
        <v>529</v>
      </c>
      <c r="E314" s="704">
        <v>2021.0</v>
      </c>
      <c r="F314" s="743" t="s">
        <v>418</v>
      </c>
      <c r="G314" s="743" t="s">
        <v>50</v>
      </c>
      <c r="H314" s="705">
        <v>1759.0</v>
      </c>
      <c r="I314" s="705">
        <v>1967.0</v>
      </c>
      <c r="J314" s="706">
        <v>1570.0</v>
      </c>
      <c r="K314" s="64"/>
      <c r="CE314" s="460"/>
    </row>
    <row r="315">
      <c r="A315" s="690"/>
      <c r="B315" s="712" t="s">
        <v>540</v>
      </c>
      <c r="C315" s="742" t="s">
        <v>416</v>
      </c>
      <c r="D315" s="714" t="s">
        <v>443</v>
      </c>
      <c r="E315" s="715">
        <v>2021.0</v>
      </c>
      <c r="F315" s="742" t="s">
        <v>418</v>
      </c>
      <c r="G315" s="742" t="s">
        <v>50</v>
      </c>
      <c r="H315" s="716">
        <v>2.7861876E7</v>
      </c>
      <c r="I315" s="716">
        <v>3.1146597E7</v>
      </c>
      <c r="J315" s="717">
        <v>2.4857066E7</v>
      </c>
      <c r="K315" s="64"/>
      <c r="CE315" s="460"/>
    </row>
    <row r="316">
      <c r="A316" s="690"/>
      <c r="B316" s="701" t="s">
        <v>455</v>
      </c>
      <c r="C316" s="743" t="s">
        <v>416</v>
      </c>
      <c r="D316" s="703" t="s">
        <v>417</v>
      </c>
      <c r="E316" s="704">
        <v>2021.0</v>
      </c>
      <c r="F316" s="743" t="s">
        <v>418</v>
      </c>
      <c r="G316" s="743" t="s">
        <v>50</v>
      </c>
      <c r="H316" s="705">
        <v>8444.0</v>
      </c>
      <c r="I316" s="705">
        <v>9574.0</v>
      </c>
      <c r="J316" s="706">
        <v>7358.0</v>
      </c>
      <c r="K316" s="64"/>
      <c r="CE316" s="460"/>
    </row>
    <row r="317">
      <c r="A317" s="690"/>
      <c r="B317" s="712" t="s">
        <v>455</v>
      </c>
      <c r="C317" s="742" t="s">
        <v>416</v>
      </c>
      <c r="D317" s="714" t="s">
        <v>431</v>
      </c>
      <c r="E317" s="715">
        <v>2021.0</v>
      </c>
      <c r="F317" s="742" t="s">
        <v>418</v>
      </c>
      <c r="G317" s="742" t="s">
        <v>50</v>
      </c>
      <c r="H317" s="716">
        <v>192746.0</v>
      </c>
      <c r="I317" s="716">
        <v>218534.0</v>
      </c>
      <c r="J317" s="717">
        <v>167951.0</v>
      </c>
      <c r="K317" s="64"/>
      <c r="CE317" s="460"/>
    </row>
    <row r="318">
      <c r="A318" s="690"/>
      <c r="B318" s="701" t="s">
        <v>455</v>
      </c>
      <c r="C318" s="743" t="s">
        <v>416</v>
      </c>
      <c r="D318" s="703" t="s">
        <v>438</v>
      </c>
      <c r="E318" s="704">
        <v>2021.0</v>
      </c>
      <c r="F318" s="743" t="s">
        <v>418</v>
      </c>
      <c r="G318" s="743" t="s">
        <v>50</v>
      </c>
      <c r="H318" s="705">
        <v>644.0</v>
      </c>
      <c r="I318" s="705">
        <v>730.0</v>
      </c>
      <c r="J318" s="706">
        <v>561.0</v>
      </c>
      <c r="K318" s="64"/>
      <c r="CE318" s="460"/>
    </row>
    <row r="319">
      <c r="A319" s="690"/>
      <c r="B319" s="712" t="s">
        <v>455</v>
      </c>
      <c r="C319" s="742" t="s">
        <v>416</v>
      </c>
      <c r="D319" s="714" t="s">
        <v>421</v>
      </c>
      <c r="E319" s="715">
        <v>2021.0</v>
      </c>
      <c r="F319" s="742" t="s">
        <v>418</v>
      </c>
      <c r="G319" s="742" t="s">
        <v>50</v>
      </c>
      <c r="H319" s="716">
        <v>44059.0</v>
      </c>
      <c r="I319" s="716">
        <v>49954.0</v>
      </c>
      <c r="J319" s="717">
        <v>38391.0</v>
      </c>
      <c r="K319" s="64"/>
      <c r="CE319" s="460"/>
    </row>
    <row r="320">
      <c r="A320" s="690"/>
      <c r="B320" s="701" t="s">
        <v>455</v>
      </c>
      <c r="C320" s="743" t="s">
        <v>416</v>
      </c>
      <c r="D320" s="703" t="s">
        <v>447</v>
      </c>
      <c r="E320" s="704">
        <v>2021.0</v>
      </c>
      <c r="F320" s="743" t="s">
        <v>418</v>
      </c>
      <c r="G320" s="743" t="s">
        <v>50</v>
      </c>
      <c r="H320" s="705">
        <v>143202.0</v>
      </c>
      <c r="I320" s="705">
        <v>162362.0</v>
      </c>
      <c r="J320" s="706">
        <v>124780.0</v>
      </c>
      <c r="K320" s="64"/>
      <c r="CE320" s="460"/>
    </row>
    <row r="321">
      <c r="A321" s="690"/>
      <c r="B321" s="712" t="s">
        <v>455</v>
      </c>
      <c r="C321" s="742" t="s">
        <v>416</v>
      </c>
      <c r="D321" s="714" t="s">
        <v>432</v>
      </c>
      <c r="E321" s="715">
        <v>2021.0</v>
      </c>
      <c r="F321" s="742" t="s">
        <v>418</v>
      </c>
      <c r="G321" s="742" t="s">
        <v>50</v>
      </c>
      <c r="H321" s="716">
        <v>161.0</v>
      </c>
      <c r="I321" s="716">
        <v>183.0</v>
      </c>
      <c r="J321" s="717">
        <v>141.0</v>
      </c>
      <c r="K321" s="64"/>
      <c r="CE321" s="460"/>
    </row>
    <row r="322">
      <c r="A322" s="690"/>
      <c r="B322" s="701" t="s">
        <v>455</v>
      </c>
      <c r="C322" s="743" t="s">
        <v>416</v>
      </c>
      <c r="D322" s="703" t="s">
        <v>450</v>
      </c>
      <c r="E322" s="704">
        <v>2021.0</v>
      </c>
      <c r="F322" s="743" t="s">
        <v>418</v>
      </c>
      <c r="G322" s="743" t="s">
        <v>50</v>
      </c>
      <c r="H322" s="705">
        <v>50747.0</v>
      </c>
      <c r="I322" s="705">
        <v>57537.0</v>
      </c>
      <c r="J322" s="706">
        <v>44219.0</v>
      </c>
      <c r="K322" s="64"/>
      <c r="CE322" s="460"/>
    </row>
    <row r="323">
      <c r="A323" s="690"/>
      <c r="B323" s="712" t="s">
        <v>455</v>
      </c>
      <c r="C323" s="742" t="s">
        <v>416</v>
      </c>
      <c r="D323" s="714" t="s">
        <v>453</v>
      </c>
      <c r="E323" s="715">
        <v>2021.0</v>
      </c>
      <c r="F323" s="742" t="s">
        <v>418</v>
      </c>
      <c r="G323" s="742" t="s">
        <v>50</v>
      </c>
      <c r="H323" s="716">
        <v>100291.0</v>
      </c>
      <c r="I323" s="716">
        <v>113710.0</v>
      </c>
      <c r="J323" s="717">
        <v>87389.0</v>
      </c>
      <c r="K323" s="64"/>
      <c r="CE323" s="460"/>
    </row>
    <row r="324">
      <c r="A324" s="690"/>
      <c r="B324" s="701" t="s">
        <v>455</v>
      </c>
      <c r="C324" s="743" t="s">
        <v>416</v>
      </c>
      <c r="D324" s="703" t="s">
        <v>454</v>
      </c>
      <c r="E324" s="704">
        <v>2021.0</v>
      </c>
      <c r="F324" s="743" t="s">
        <v>418</v>
      </c>
      <c r="G324" s="743" t="s">
        <v>50</v>
      </c>
      <c r="H324" s="705">
        <v>150022.0</v>
      </c>
      <c r="I324" s="705">
        <v>170095.0</v>
      </c>
      <c r="J324" s="706">
        <v>130723.0</v>
      </c>
      <c r="K324" s="64"/>
      <c r="CE324" s="460"/>
    </row>
    <row r="325">
      <c r="A325" s="690"/>
      <c r="B325" s="712" t="s">
        <v>455</v>
      </c>
      <c r="C325" s="742" t="s">
        <v>416</v>
      </c>
      <c r="D325" s="714" t="s">
        <v>457</v>
      </c>
      <c r="E325" s="715">
        <v>2021.0</v>
      </c>
      <c r="F325" s="742" t="s">
        <v>418</v>
      </c>
      <c r="G325" s="742" t="s">
        <v>50</v>
      </c>
      <c r="H325" s="716">
        <v>8625.0</v>
      </c>
      <c r="I325" s="716">
        <v>9779.0</v>
      </c>
      <c r="J325" s="717">
        <v>7515.0</v>
      </c>
      <c r="K325" s="64"/>
      <c r="CE325" s="460"/>
    </row>
    <row r="326">
      <c r="A326" s="690"/>
      <c r="B326" s="701" t="s">
        <v>455</v>
      </c>
      <c r="C326" s="743" t="s">
        <v>416</v>
      </c>
      <c r="D326" s="703" t="s">
        <v>460</v>
      </c>
      <c r="E326" s="704">
        <v>2021.0</v>
      </c>
      <c r="F326" s="743" t="s">
        <v>418</v>
      </c>
      <c r="G326" s="743" t="s">
        <v>50</v>
      </c>
      <c r="H326" s="705">
        <v>3572.0</v>
      </c>
      <c r="I326" s="705">
        <v>4050.0</v>
      </c>
      <c r="J326" s="706">
        <v>3112.0</v>
      </c>
      <c r="K326" s="64"/>
      <c r="CE326" s="460"/>
    </row>
    <row r="327">
      <c r="A327" s="690"/>
      <c r="B327" s="712" t="s">
        <v>455</v>
      </c>
      <c r="C327" s="742" t="s">
        <v>416</v>
      </c>
      <c r="D327" s="714" t="s">
        <v>463</v>
      </c>
      <c r="E327" s="715">
        <v>2021.0</v>
      </c>
      <c r="F327" s="742" t="s">
        <v>418</v>
      </c>
      <c r="G327" s="742" t="s">
        <v>50</v>
      </c>
      <c r="H327" s="716">
        <v>49544.0</v>
      </c>
      <c r="I327" s="716">
        <v>56173.0</v>
      </c>
      <c r="J327" s="717">
        <v>43171.0</v>
      </c>
      <c r="K327" s="64"/>
      <c r="CE327" s="460"/>
    </row>
    <row r="328">
      <c r="A328" s="690"/>
      <c r="B328" s="701" t="s">
        <v>455</v>
      </c>
      <c r="C328" s="743" t="s">
        <v>416</v>
      </c>
      <c r="D328" s="703" t="s">
        <v>465</v>
      </c>
      <c r="E328" s="704">
        <v>2021.0</v>
      </c>
      <c r="F328" s="743" t="s">
        <v>418</v>
      </c>
      <c r="G328" s="743" t="s">
        <v>50</v>
      </c>
      <c r="H328" s="705">
        <v>313868.0</v>
      </c>
      <c r="I328" s="705">
        <v>355862.0</v>
      </c>
      <c r="J328" s="706">
        <v>273492.0</v>
      </c>
      <c r="K328" s="64"/>
      <c r="CE328" s="460"/>
    </row>
    <row r="329">
      <c r="A329" s="690"/>
      <c r="B329" s="712" t="s">
        <v>455</v>
      </c>
      <c r="C329" s="742" t="s">
        <v>416</v>
      </c>
      <c r="D329" s="714" t="s">
        <v>468</v>
      </c>
      <c r="E329" s="715">
        <v>2021.0</v>
      </c>
      <c r="F329" s="742" t="s">
        <v>418</v>
      </c>
      <c r="G329" s="742" t="s">
        <v>50</v>
      </c>
      <c r="H329" s="716">
        <v>49731.0</v>
      </c>
      <c r="I329" s="716">
        <v>56385.0</v>
      </c>
      <c r="J329" s="717">
        <v>43334.0</v>
      </c>
      <c r="K329" s="64"/>
      <c r="CE329" s="460"/>
    </row>
    <row r="330">
      <c r="A330" s="690"/>
      <c r="B330" s="701" t="s">
        <v>455</v>
      </c>
      <c r="C330" s="743" t="s">
        <v>416</v>
      </c>
      <c r="D330" s="703" t="s">
        <v>471</v>
      </c>
      <c r="E330" s="704">
        <v>2021.0</v>
      </c>
      <c r="F330" s="743" t="s">
        <v>418</v>
      </c>
      <c r="G330" s="743" t="s">
        <v>50</v>
      </c>
      <c r="H330" s="705">
        <v>26990.0</v>
      </c>
      <c r="I330" s="705">
        <v>30601.0</v>
      </c>
      <c r="J330" s="706">
        <v>23518.0</v>
      </c>
      <c r="K330" s="64"/>
      <c r="CE330" s="460"/>
    </row>
    <row r="331">
      <c r="A331" s="690"/>
      <c r="B331" s="712" t="s">
        <v>455</v>
      </c>
      <c r="C331" s="742" t="s">
        <v>416</v>
      </c>
      <c r="D331" s="714" t="s">
        <v>473</v>
      </c>
      <c r="E331" s="715">
        <v>2021.0</v>
      </c>
      <c r="F331" s="742" t="s">
        <v>418</v>
      </c>
      <c r="G331" s="742" t="s">
        <v>50</v>
      </c>
      <c r="H331" s="716">
        <v>316785.0</v>
      </c>
      <c r="I331" s="716">
        <v>359170.0</v>
      </c>
      <c r="J331" s="717">
        <v>276034.0</v>
      </c>
      <c r="K331" s="64"/>
      <c r="CE331" s="460"/>
    </row>
    <row r="332">
      <c r="A332" s="690"/>
      <c r="B332" s="701" t="s">
        <v>455</v>
      </c>
      <c r="C332" s="743" t="s">
        <v>416</v>
      </c>
      <c r="D332" s="703" t="s">
        <v>476</v>
      </c>
      <c r="E332" s="704">
        <v>2021.0</v>
      </c>
      <c r="F332" s="743" t="s">
        <v>418</v>
      </c>
      <c r="G332" s="743" t="s">
        <v>50</v>
      </c>
      <c r="H332" s="705">
        <v>51873.0</v>
      </c>
      <c r="I332" s="705">
        <v>58813.0</v>
      </c>
      <c r="J332" s="706">
        <v>45200.0</v>
      </c>
      <c r="K332" s="64"/>
      <c r="CE332" s="460"/>
    </row>
    <row r="333">
      <c r="A333" s="690"/>
      <c r="B333" s="712" t="s">
        <v>455</v>
      </c>
      <c r="C333" s="742" t="s">
        <v>416</v>
      </c>
      <c r="D333" s="714" t="s">
        <v>479</v>
      </c>
      <c r="E333" s="715">
        <v>2021.0</v>
      </c>
      <c r="F333" s="742" t="s">
        <v>418</v>
      </c>
      <c r="G333" s="742" t="s">
        <v>50</v>
      </c>
      <c r="H333" s="716">
        <v>52944.0</v>
      </c>
      <c r="I333" s="716">
        <v>60028.0</v>
      </c>
      <c r="J333" s="717">
        <v>46134.0</v>
      </c>
      <c r="K333" s="64"/>
      <c r="CE333" s="460"/>
    </row>
    <row r="334">
      <c r="A334" s="690"/>
      <c r="B334" s="701" t="s">
        <v>455</v>
      </c>
      <c r="C334" s="743" t="s">
        <v>416</v>
      </c>
      <c r="D334" s="703" t="s">
        <v>482</v>
      </c>
      <c r="E334" s="704">
        <v>2021.0</v>
      </c>
      <c r="F334" s="743" t="s">
        <v>418</v>
      </c>
      <c r="G334" s="743" t="s">
        <v>50</v>
      </c>
      <c r="H334" s="705">
        <v>46527.0</v>
      </c>
      <c r="I334" s="705">
        <v>52752.0</v>
      </c>
      <c r="J334" s="706">
        <v>40541.0</v>
      </c>
      <c r="K334" s="64"/>
      <c r="CE334" s="460"/>
    </row>
    <row r="335">
      <c r="A335" s="690"/>
      <c r="B335" s="712" t="s">
        <v>455</v>
      </c>
      <c r="C335" s="742" t="s">
        <v>416</v>
      </c>
      <c r="D335" s="714" t="s">
        <v>485</v>
      </c>
      <c r="E335" s="715">
        <v>2021.0</v>
      </c>
      <c r="F335" s="742" t="s">
        <v>418</v>
      </c>
      <c r="G335" s="742" t="s">
        <v>50</v>
      </c>
      <c r="H335" s="716">
        <v>34968.0</v>
      </c>
      <c r="I335" s="716">
        <v>39647.0</v>
      </c>
      <c r="J335" s="717">
        <v>30470.0</v>
      </c>
      <c r="K335" s="64"/>
      <c r="CE335" s="460"/>
    </row>
    <row r="336">
      <c r="A336" s="690"/>
      <c r="B336" s="701" t="s">
        <v>455</v>
      </c>
      <c r="C336" s="743" t="s">
        <v>416</v>
      </c>
      <c r="D336" s="703" t="s">
        <v>488</v>
      </c>
      <c r="E336" s="704">
        <v>2021.0</v>
      </c>
      <c r="F336" s="743" t="s">
        <v>418</v>
      </c>
      <c r="G336" s="743" t="s">
        <v>50</v>
      </c>
      <c r="H336" s="705">
        <v>28280.0</v>
      </c>
      <c r="I336" s="705">
        <v>32064.0</v>
      </c>
      <c r="J336" s="706">
        <v>24642.0</v>
      </c>
      <c r="K336" s="64"/>
      <c r="CE336" s="460"/>
    </row>
    <row r="337">
      <c r="A337" s="690"/>
      <c r="B337" s="712" t="s">
        <v>455</v>
      </c>
      <c r="C337" s="742" t="s">
        <v>416</v>
      </c>
      <c r="D337" s="714" t="s">
        <v>491</v>
      </c>
      <c r="E337" s="715">
        <v>2021.0</v>
      </c>
      <c r="F337" s="742" t="s">
        <v>418</v>
      </c>
      <c r="G337" s="742" t="s">
        <v>50</v>
      </c>
      <c r="H337" s="716">
        <v>25546.0</v>
      </c>
      <c r="I337" s="716">
        <v>28964.0</v>
      </c>
      <c r="J337" s="717">
        <v>22260.0</v>
      </c>
      <c r="K337" s="64"/>
      <c r="CE337" s="460"/>
    </row>
    <row r="338">
      <c r="A338" s="690"/>
      <c r="B338" s="701" t="s">
        <v>455</v>
      </c>
      <c r="C338" s="743" t="s">
        <v>416</v>
      </c>
      <c r="D338" s="703" t="s">
        <v>493</v>
      </c>
      <c r="E338" s="704">
        <v>2021.0</v>
      </c>
      <c r="F338" s="743" t="s">
        <v>418</v>
      </c>
      <c r="G338" s="743" t="s">
        <v>50</v>
      </c>
      <c r="H338" s="705">
        <v>81709.0</v>
      </c>
      <c r="I338" s="705">
        <v>92642.0</v>
      </c>
      <c r="J338" s="706">
        <v>71198.0</v>
      </c>
      <c r="K338" s="64"/>
      <c r="CE338" s="460"/>
    </row>
    <row r="339">
      <c r="A339" s="690"/>
      <c r="B339" s="712" t="s">
        <v>455</v>
      </c>
      <c r="C339" s="742" t="s">
        <v>416</v>
      </c>
      <c r="D339" s="714" t="s">
        <v>434</v>
      </c>
      <c r="E339" s="715">
        <v>2021.0</v>
      </c>
      <c r="F339" s="742" t="s">
        <v>418</v>
      </c>
      <c r="G339" s="742" t="s">
        <v>50</v>
      </c>
      <c r="H339" s="716">
        <v>99142.0</v>
      </c>
      <c r="I339" s="716">
        <v>112407.0</v>
      </c>
      <c r="J339" s="717">
        <v>86389.0</v>
      </c>
      <c r="K339" s="64"/>
      <c r="CE339" s="460"/>
    </row>
    <row r="340">
      <c r="A340" s="690"/>
      <c r="B340" s="701" t="s">
        <v>455</v>
      </c>
      <c r="C340" s="743" t="s">
        <v>416</v>
      </c>
      <c r="D340" s="703" t="s">
        <v>497</v>
      </c>
      <c r="E340" s="704">
        <v>2021.0</v>
      </c>
      <c r="F340" s="743" t="s">
        <v>418</v>
      </c>
      <c r="G340" s="743" t="s">
        <v>50</v>
      </c>
      <c r="H340" s="705">
        <v>23087.0</v>
      </c>
      <c r="I340" s="705">
        <v>26175.0</v>
      </c>
      <c r="J340" s="706">
        <v>20117.0</v>
      </c>
      <c r="K340" s="64"/>
      <c r="CE340" s="460"/>
    </row>
    <row r="341">
      <c r="A341" s="690"/>
      <c r="B341" s="712" t="s">
        <v>455</v>
      </c>
      <c r="C341" s="742" t="s">
        <v>416</v>
      </c>
      <c r="D341" s="714" t="s">
        <v>500</v>
      </c>
      <c r="E341" s="715">
        <v>2021.0</v>
      </c>
      <c r="F341" s="742" t="s">
        <v>418</v>
      </c>
      <c r="G341" s="742" t="s">
        <v>50</v>
      </c>
      <c r="H341" s="716">
        <v>48395.0</v>
      </c>
      <c r="I341" s="716">
        <v>54871.0</v>
      </c>
      <c r="J341" s="717">
        <v>42170.0</v>
      </c>
      <c r="K341" s="64"/>
      <c r="CE341" s="460"/>
    </row>
    <row r="342">
      <c r="A342" s="690"/>
      <c r="B342" s="701" t="s">
        <v>455</v>
      </c>
      <c r="C342" s="743" t="s">
        <v>416</v>
      </c>
      <c r="D342" s="703" t="s">
        <v>502</v>
      </c>
      <c r="E342" s="704">
        <v>2021.0</v>
      </c>
      <c r="F342" s="743" t="s">
        <v>418</v>
      </c>
      <c r="G342" s="743" t="s">
        <v>50</v>
      </c>
      <c r="H342" s="705">
        <v>19857.0</v>
      </c>
      <c r="I342" s="705">
        <v>22514.0</v>
      </c>
      <c r="J342" s="706">
        <v>17302.0</v>
      </c>
      <c r="K342" s="64"/>
      <c r="CE342" s="460"/>
    </row>
    <row r="343">
      <c r="A343" s="690"/>
      <c r="B343" s="712" t="s">
        <v>455</v>
      </c>
      <c r="C343" s="742" t="s">
        <v>416</v>
      </c>
      <c r="D343" s="714" t="s">
        <v>505</v>
      </c>
      <c r="E343" s="715">
        <v>2021.0</v>
      </c>
      <c r="F343" s="742" t="s">
        <v>418</v>
      </c>
      <c r="G343" s="742" t="s">
        <v>50</v>
      </c>
      <c r="H343" s="716">
        <v>4229.0</v>
      </c>
      <c r="I343" s="716">
        <v>4795.0</v>
      </c>
      <c r="J343" s="717">
        <v>3685.0</v>
      </c>
      <c r="K343" s="64"/>
      <c r="CE343" s="460"/>
    </row>
    <row r="344">
      <c r="A344" s="690"/>
      <c r="B344" s="701" t="s">
        <v>455</v>
      </c>
      <c r="C344" s="743" t="s">
        <v>416</v>
      </c>
      <c r="D344" s="703" t="s">
        <v>508</v>
      </c>
      <c r="E344" s="704">
        <v>2021.0</v>
      </c>
      <c r="F344" s="743" t="s">
        <v>418</v>
      </c>
      <c r="G344" s="743" t="s">
        <v>50</v>
      </c>
      <c r="H344" s="705">
        <v>13220.0</v>
      </c>
      <c r="I344" s="705">
        <v>14988.0</v>
      </c>
      <c r="J344" s="706">
        <v>11519.0</v>
      </c>
      <c r="K344" s="64"/>
      <c r="CE344" s="460"/>
    </row>
    <row r="345">
      <c r="A345" s="690"/>
      <c r="B345" s="712" t="s">
        <v>455</v>
      </c>
      <c r="C345" s="742" t="s">
        <v>416</v>
      </c>
      <c r="D345" s="714" t="s">
        <v>511</v>
      </c>
      <c r="E345" s="715">
        <v>2021.0</v>
      </c>
      <c r="F345" s="742" t="s">
        <v>418</v>
      </c>
      <c r="G345" s="742" t="s">
        <v>50</v>
      </c>
      <c r="H345" s="716">
        <v>20483.0</v>
      </c>
      <c r="I345" s="716">
        <v>23224.0</v>
      </c>
      <c r="J345" s="717">
        <v>17848.0</v>
      </c>
      <c r="K345" s="64"/>
      <c r="CE345" s="460"/>
    </row>
    <row r="346">
      <c r="A346" s="690"/>
      <c r="B346" s="701" t="s">
        <v>455</v>
      </c>
      <c r="C346" s="743" t="s">
        <v>416</v>
      </c>
      <c r="D346" s="703" t="s">
        <v>514</v>
      </c>
      <c r="E346" s="704">
        <v>2021.0</v>
      </c>
      <c r="F346" s="743" t="s">
        <v>418</v>
      </c>
      <c r="G346" s="743" t="s">
        <v>50</v>
      </c>
      <c r="H346" s="705">
        <v>7288.0</v>
      </c>
      <c r="I346" s="705">
        <v>8263.0</v>
      </c>
      <c r="J346" s="706">
        <v>6350.0</v>
      </c>
      <c r="K346" s="64"/>
      <c r="CE346" s="460"/>
    </row>
    <row r="347">
      <c r="A347" s="690"/>
      <c r="B347" s="712" t="s">
        <v>455</v>
      </c>
      <c r="C347" s="742" t="s">
        <v>416</v>
      </c>
      <c r="D347" s="714" t="s">
        <v>439</v>
      </c>
      <c r="E347" s="715">
        <v>2021.0</v>
      </c>
      <c r="F347" s="742" t="s">
        <v>418</v>
      </c>
      <c r="G347" s="742" t="s">
        <v>50</v>
      </c>
      <c r="H347" s="716">
        <v>482.0</v>
      </c>
      <c r="I347" s="716">
        <v>547.0</v>
      </c>
      <c r="J347" s="717">
        <v>420.0</v>
      </c>
      <c r="K347" s="64"/>
      <c r="CE347" s="460"/>
    </row>
    <row r="348">
      <c r="A348" s="690"/>
      <c r="B348" s="701" t="s">
        <v>455</v>
      </c>
      <c r="C348" s="743" t="s">
        <v>416</v>
      </c>
      <c r="D348" s="703" t="s">
        <v>517</v>
      </c>
      <c r="E348" s="704">
        <v>2021.0</v>
      </c>
      <c r="F348" s="743" t="s">
        <v>418</v>
      </c>
      <c r="G348" s="743" t="s">
        <v>50</v>
      </c>
      <c r="H348" s="705">
        <v>4742.0</v>
      </c>
      <c r="I348" s="705">
        <v>5377.0</v>
      </c>
      <c r="J348" s="706">
        <v>4132.0</v>
      </c>
      <c r="K348" s="64"/>
      <c r="CE348" s="460"/>
    </row>
    <row r="349">
      <c r="A349" s="690"/>
      <c r="B349" s="712" t="s">
        <v>455</v>
      </c>
      <c r="C349" s="742" t="s">
        <v>416</v>
      </c>
      <c r="D349" s="714" t="s">
        <v>520</v>
      </c>
      <c r="E349" s="715">
        <v>2021.0</v>
      </c>
      <c r="F349" s="742" t="s">
        <v>418</v>
      </c>
      <c r="G349" s="742" t="s">
        <v>50</v>
      </c>
      <c r="H349" s="716">
        <v>8453.0</v>
      </c>
      <c r="I349" s="716">
        <v>9584.0</v>
      </c>
      <c r="J349" s="717">
        <v>7366.0</v>
      </c>
      <c r="K349" s="64"/>
      <c r="CE349" s="460"/>
    </row>
    <row r="350">
      <c r="A350" s="690"/>
      <c r="B350" s="701" t="s">
        <v>455</v>
      </c>
      <c r="C350" s="743" t="s">
        <v>416</v>
      </c>
      <c r="D350" s="703" t="s">
        <v>521</v>
      </c>
      <c r="E350" s="704">
        <v>2021.0</v>
      </c>
      <c r="F350" s="743" t="s">
        <v>418</v>
      </c>
      <c r="G350" s="743" t="s">
        <v>50</v>
      </c>
      <c r="H350" s="705">
        <v>4354.0</v>
      </c>
      <c r="I350" s="705">
        <v>4937.0</v>
      </c>
      <c r="J350" s="706">
        <v>3794.0</v>
      </c>
      <c r="K350" s="64"/>
      <c r="CE350" s="460"/>
    </row>
    <row r="351">
      <c r="A351" s="690"/>
      <c r="B351" s="712" t="s">
        <v>455</v>
      </c>
      <c r="C351" s="742" t="s">
        <v>416</v>
      </c>
      <c r="D351" s="714" t="s">
        <v>524</v>
      </c>
      <c r="E351" s="715">
        <v>2021.0</v>
      </c>
      <c r="F351" s="742" t="s">
        <v>418</v>
      </c>
      <c r="G351" s="742" t="s">
        <v>50</v>
      </c>
      <c r="H351" s="716">
        <v>2716.0</v>
      </c>
      <c r="I351" s="716">
        <v>3079.0</v>
      </c>
      <c r="J351" s="717">
        <v>2366.0</v>
      </c>
      <c r="K351" s="64"/>
      <c r="CE351" s="460"/>
    </row>
    <row r="352">
      <c r="A352" s="690"/>
      <c r="B352" s="701" t="s">
        <v>455</v>
      </c>
      <c r="C352" s="743" t="s">
        <v>416</v>
      </c>
      <c r="D352" s="703" t="s">
        <v>527</v>
      </c>
      <c r="E352" s="704">
        <v>2021.0</v>
      </c>
      <c r="F352" s="743" t="s">
        <v>418</v>
      </c>
      <c r="G352" s="743" t="s">
        <v>50</v>
      </c>
      <c r="H352" s="705">
        <v>1017.0</v>
      </c>
      <c r="I352" s="705">
        <v>1153.0</v>
      </c>
      <c r="J352" s="706">
        <v>886.0</v>
      </c>
      <c r="K352" s="64"/>
      <c r="CE352" s="460"/>
    </row>
    <row r="353">
      <c r="A353" s="690"/>
      <c r="B353" s="712" t="s">
        <v>455</v>
      </c>
      <c r="C353" s="742" t="s">
        <v>416</v>
      </c>
      <c r="D353" s="714" t="s">
        <v>529</v>
      </c>
      <c r="E353" s="715">
        <v>2021.0</v>
      </c>
      <c r="F353" s="742" t="s">
        <v>418</v>
      </c>
      <c r="G353" s="742" t="s">
        <v>50</v>
      </c>
      <c r="H353" s="716">
        <v>367.0</v>
      </c>
      <c r="I353" s="716">
        <v>416.0</v>
      </c>
      <c r="J353" s="717">
        <v>319.0</v>
      </c>
      <c r="K353" s="64"/>
      <c r="CE353" s="460"/>
    </row>
    <row r="354">
      <c r="A354" s="690"/>
      <c r="B354" s="701" t="s">
        <v>455</v>
      </c>
      <c r="C354" s="743" t="s">
        <v>416</v>
      </c>
      <c r="D354" s="703" t="s">
        <v>443</v>
      </c>
      <c r="E354" s="704">
        <v>2021.0</v>
      </c>
      <c r="F354" s="743" t="s">
        <v>418</v>
      </c>
      <c r="G354" s="743" t="s">
        <v>50</v>
      </c>
      <c r="H354" s="705">
        <v>559262.0</v>
      </c>
      <c r="I354" s="705">
        <v>634090.0</v>
      </c>
      <c r="J354" s="706">
        <v>487319.0</v>
      </c>
      <c r="K354" s="64"/>
      <c r="CE354" s="460"/>
    </row>
    <row r="355">
      <c r="A355" s="690"/>
      <c r="B355" s="712" t="s">
        <v>458</v>
      </c>
      <c r="C355" s="742" t="s">
        <v>416</v>
      </c>
      <c r="D355" s="714" t="s">
        <v>417</v>
      </c>
      <c r="E355" s="715">
        <v>2021.0</v>
      </c>
      <c r="F355" s="742" t="s">
        <v>418</v>
      </c>
      <c r="G355" s="742" t="s">
        <v>50</v>
      </c>
      <c r="H355" s="716">
        <v>999228.0</v>
      </c>
      <c r="I355" s="716">
        <v>1168247.0</v>
      </c>
      <c r="J355" s="717">
        <v>838080.0</v>
      </c>
      <c r="K355" s="64"/>
      <c r="CE355" s="460"/>
    </row>
    <row r="356">
      <c r="A356" s="690"/>
      <c r="B356" s="701" t="s">
        <v>458</v>
      </c>
      <c r="C356" s="743" t="s">
        <v>416</v>
      </c>
      <c r="D356" s="703" t="s">
        <v>431</v>
      </c>
      <c r="E356" s="704">
        <v>2021.0</v>
      </c>
      <c r="F356" s="743" t="s">
        <v>418</v>
      </c>
      <c r="G356" s="743" t="s">
        <v>50</v>
      </c>
      <c r="H356" s="705">
        <v>1.6902779E7</v>
      </c>
      <c r="I356" s="705">
        <v>1.9761878E7</v>
      </c>
      <c r="J356" s="706">
        <v>1.4176827E7</v>
      </c>
      <c r="K356" s="64"/>
      <c r="CE356" s="460"/>
    </row>
    <row r="357">
      <c r="A357" s="690"/>
      <c r="B357" s="712" t="s">
        <v>458</v>
      </c>
      <c r="C357" s="742" t="s">
        <v>416</v>
      </c>
      <c r="D357" s="714" t="s">
        <v>438</v>
      </c>
      <c r="E357" s="715">
        <v>2021.0</v>
      </c>
      <c r="F357" s="742" t="s">
        <v>418</v>
      </c>
      <c r="G357" s="742" t="s">
        <v>50</v>
      </c>
      <c r="H357" s="716">
        <v>78114.0</v>
      </c>
      <c r="I357" s="716">
        <v>91326.0</v>
      </c>
      <c r="J357" s="717">
        <v>65516.0</v>
      </c>
      <c r="K357" s="64"/>
      <c r="CE357" s="460"/>
    </row>
    <row r="358">
      <c r="A358" s="690"/>
      <c r="B358" s="701" t="s">
        <v>458</v>
      </c>
      <c r="C358" s="743" t="s">
        <v>416</v>
      </c>
      <c r="D358" s="703" t="s">
        <v>421</v>
      </c>
      <c r="E358" s="704">
        <v>2021.0</v>
      </c>
      <c r="F358" s="743" t="s">
        <v>418</v>
      </c>
      <c r="G358" s="743" t="s">
        <v>50</v>
      </c>
      <c r="H358" s="705">
        <v>4863713.0</v>
      </c>
      <c r="I358" s="705">
        <v>5686408.0</v>
      </c>
      <c r="J358" s="706">
        <v>4079330.0</v>
      </c>
      <c r="K358" s="64"/>
      <c r="CE358" s="460"/>
    </row>
    <row r="359">
      <c r="A359" s="690"/>
      <c r="B359" s="712" t="s">
        <v>458</v>
      </c>
      <c r="C359" s="742" t="s">
        <v>416</v>
      </c>
      <c r="D359" s="714" t="s">
        <v>447</v>
      </c>
      <c r="E359" s="715">
        <v>2021.0</v>
      </c>
      <c r="F359" s="742" t="s">
        <v>418</v>
      </c>
      <c r="G359" s="742" t="s">
        <v>50</v>
      </c>
      <c r="H359" s="716">
        <v>1.3466913E7</v>
      </c>
      <c r="I359" s="716">
        <v>1.5744836E7</v>
      </c>
      <c r="J359" s="717">
        <v>1.1295071E7</v>
      </c>
      <c r="K359" s="64"/>
      <c r="CE359" s="460"/>
    </row>
    <row r="360">
      <c r="A360" s="690"/>
      <c r="B360" s="701" t="s">
        <v>458</v>
      </c>
      <c r="C360" s="743" t="s">
        <v>416</v>
      </c>
      <c r="D360" s="703" t="s">
        <v>432</v>
      </c>
      <c r="E360" s="704">
        <v>2021.0</v>
      </c>
      <c r="F360" s="743" t="s">
        <v>418</v>
      </c>
      <c r="G360" s="743" t="s">
        <v>50</v>
      </c>
      <c r="H360" s="705">
        <v>19707.0</v>
      </c>
      <c r="I360" s="705">
        <v>23041.0</v>
      </c>
      <c r="J360" s="706">
        <v>16529.0</v>
      </c>
      <c r="K360" s="64"/>
      <c r="CE360" s="460"/>
    </row>
    <row r="361">
      <c r="A361" s="690"/>
      <c r="B361" s="712" t="s">
        <v>458</v>
      </c>
      <c r="C361" s="742" t="s">
        <v>416</v>
      </c>
      <c r="D361" s="714" t="s">
        <v>450</v>
      </c>
      <c r="E361" s="715">
        <v>2021.0</v>
      </c>
      <c r="F361" s="742" t="s">
        <v>418</v>
      </c>
      <c r="G361" s="742" t="s">
        <v>50</v>
      </c>
      <c r="H361" s="716">
        <v>4053282.0</v>
      </c>
      <c r="I361" s="716">
        <v>4738893.0</v>
      </c>
      <c r="J361" s="717">
        <v>3399599.0</v>
      </c>
      <c r="K361" s="64"/>
      <c r="CE361" s="460"/>
    </row>
    <row r="362">
      <c r="A362" s="690"/>
      <c r="B362" s="701" t="s">
        <v>458</v>
      </c>
      <c r="C362" s="743" t="s">
        <v>416</v>
      </c>
      <c r="D362" s="703" t="s">
        <v>453</v>
      </c>
      <c r="E362" s="704">
        <v>2021.0</v>
      </c>
      <c r="F362" s="743" t="s">
        <v>418</v>
      </c>
      <c r="G362" s="743" t="s">
        <v>50</v>
      </c>
      <c r="H362" s="705">
        <v>7489148.0</v>
      </c>
      <c r="I362" s="705">
        <v>8755934.0</v>
      </c>
      <c r="J362" s="706">
        <v>6281355.0</v>
      </c>
      <c r="K362" s="64"/>
      <c r="CE362" s="460"/>
    </row>
    <row r="363">
      <c r="A363" s="690"/>
      <c r="B363" s="712" t="s">
        <v>458</v>
      </c>
      <c r="C363" s="742" t="s">
        <v>416</v>
      </c>
      <c r="D363" s="714" t="s">
        <v>454</v>
      </c>
      <c r="E363" s="715">
        <v>2021.0</v>
      </c>
      <c r="F363" s="742" t="s">
        <v>418</v>
      </c>
      <c r="G363" s="742" t="s">
        <v>50</v>
      </c>
      <c r="H363" s="716">
        <v>1.0385356E7</v>
      </c>
      <c r="I363" s="716">
        <v>1.2142035E7</v>
      </c>
      <c r="J363" s="717">
        <v>8710484.0</v>
      </c>
      <c r="K363" s="64"/>
      <c r="CE363" s="460"/>
    </row>
    <row r="364">
      <c r="A364" s="690"/>
      <c r="B364" s="701" t="s">
        <v>458</v>
      </c>
      <c r="C364" s="743" t="s">
        <v>416</v>
      </c>
      <c r="D364" s="703" t="s">
        <v>457</v>
      </c>
      <c r="E364" s="704">
        <v>2021.0</v>
      </c>
      <c r="F364" s="743" t="s">
        <v>418</v>
      </c>
      <c r="G364" s="743" t="s">
        <v>50</v>
      </c>
      <c r="H364" s="705">
        <v>981479.0</v>
      </c>
      <c r="I364" s="705">
        <v>1147496.0</v>
      </c>
      <c r="J364" s="706">
        <v>823193.0</v>
      </c>
      <c r="K364" s="64"/>
      <c r="CE364" s="460"/>
    </row>
    <row r="365">
      <c r="A365" s="690"/>
      <c r="B365" s="712" t="s">
        <v>458</v>
      </c>
      <c r="C365" s="742" t="s">
        <v>416</v>
      </c>
      <c r="D365" s="714" t="s">
        <v>460</v>
      </c>
      <c r="E365" s="715">
        <v>2021.0</v>
      </c>
      <c r="F365" s="742" t="s">
        <v>418</v>
      </c>
      <c r="G365" s="742" t="s">
        <v>50</v>
      </c>
      <c r="H365" s="716">
        <v>426900.0</v>
      </c>
      <c r="I365" s="716">
        <v>499110.0</v>
      </c>
      <c r="J365" s="717">
        <v>358053.0</v>
      </c>
      <c r="K365" s="64"/>
      <c r="CE365" s="460"/>
    </row>
    <row r="366">
      <c r="A366" s="690"/>
      <c r="B366" s="701" t="s">
        <v>458</v>
      </c>
      <c r="C366" s="743" t="s">
        <v>416</v>
      </c>
      <c r="D366" s="703" t="s">
        <v>463</v>
      </c>
      <c r="E366" s="704">
        <v>2021.0</v>
      </c>
      <c r="F366" s="743" t="s">
        <v>418</v>
      </c>
      <c r="G366" s="743" t="s">
        <v>50</v>
      </c>
      <c r="H366" s="705">
        <v>3435866.0</v>
      </c>
      <c r="I366" s="705">
        <v>4017041.0</v>
      </c>
      <c r="J366" s="706">
        <v>2881756.0</v>
      </c>
      <c r="K366" s="64"/>
      <c r="CE366" s="460"/>
    </row>
    <row r="367">
      <c r="A367" s="690"/>
      <c r="B367" s="712" t="s">
        <v>458</v>
      </c>
      <c r="C367" s="742" t="s">
        <v>416</v>
      </c>
      <c r="D367" s="714" t="s">
        <v>465</v>
      </c>
      <c r="E367" s="715">
        <v>2021.0</v>
      </c>
      <c r="F367" s="742" t="s">
        <v>418</v>
      </c>
      <c r="G367" s="742" t="s">
        <v>50</v>
      </c>
      <c r="H367" s="716">
        <v>1.5426826E7</v>
      </c>
      <c r="I367" s="716">
        <v>1.8036268E7</v>
      </c>
      <c r="J367" s="717">
        <v>1.2938904E7</v>
      </c>
      <c r="K367" s="64"/>
      <c r="CE367" s="460"/>
    </row>
    <row r="368">
      <c r="A368" s="690"/>
      <c r="B368" s="701" t="s">
        <v>458</v>
      </c>
      <c r="C368" s="743" t="s">
        <v>416</v>
      </c>
      <c r="D368" s="703" t="s">
        <v>468</v>
      </c>
      <c r="E368" s="704">
        <v>2021.0</v>
      </c>
      <c r="F368" s="743" t="s">
        <v>418</v>
      </c>
      <c r="G368" s="743" t="s">
        <v>50</v>
      </c>
      <c r="H368" s="705">
        <v>2896208.0</v>
      </c>
      <c r="I368" s="705">
        <v>3386101.0</v>
      </c>
      <c r="J368" s="706">
        <v>2429130.0</v>
      </c>
      <c r="K368" s="64"/>
      <c r="CE368" s="460"/>
    </row>
    <row r="369">
      <c r="A369" s="690"/>
      <c r="B369" s="712" t="s">
        <v>458</v>
      </c>
      <c r="C369" s="742" t="s">
        <v>416</v>
      </c>
      <c r="D369" s="714" t="s">
        <v>471</v>
      </c>
      <c r="E369" s="715">
        <v>2021.0</v>
      </c>
      <c r="F369" s="742" t="s">
        <v>418</v>
      </c>
      <c r="G369" s="742" t="s">
        <v>50</v>
      </c>
      <c r="H369" s="716">
        <v>2883006.0</v>
      </c>
      <c r="I369" s="716">
        <v>3370666.0</v>
      </c>
      <c r="J369" s="717">
        <v>2418057.0</v>
      </c>
      <c r="K369" s="64"/>
      <c r="CE369" s="460"/>
    </row>
    <row r="370">
      <c r="A370" s="690"/>
      <c r="B370" s="701" t="s">
        <v>458</v>
      </c>
      <c r="C370" s="743" t="s">
        <v>416</v>
      </c>
      <c r="D370" s="703" t="s">
        <v>473</v>
      </c>
      <c r="E370" s="704">
        <v>2021.0</v>
      </c>
      <c r="F370" s="743" t="s">
        <v>418</v>
      </c>
      <c r="G370" s="743" t="s">
        <v>50</v>
      </c>
      <c r="H370" s="705">
        <v>1.1980645E7</v>
      </c>
      <c r="I370" s="705">
        <v>1.4007166E7</v>
      </c>
      <c r="J370" s="706">
        <v>1.0048497E7</v>
      </c>
      <c r="K370" s="64"/>
      <c r="CE370" s="460"/>
    </row>
    <row r="371">
      <c r="A371" s="690"/>
      <c r="B371" s="712" t="s">
        <v>458</v>
      </c>
      <c r="C371" s="742" t="s">
        <v>416</v>
      </c>
      <c r="D371" s="714" t="s">
        <v>476</v>
      </c>
      <c r="E371" s="715">
        <v>2021.0</v>
      </c>
      <c r="F371" s="742" t="s">
        <v>418</v>
      </c>
      <c r="G371" s="742" t="s">
        <v>50</v>
      </c>
      <c r="H371" s="716">
        <v>2522345.0</v>
      </c>
      <c r="I371" s="716">
        <v>2948999.0</v>
      </c>
      <c r="J371" s="717">
        <v>2115560.0</v>
      </c>
      <c r="K371" s="64"/>
      <c r="CE371" s="460"/>
    </row>
    <row r="372">
      <c r="A372" s="690"/>
      <c r="B372" s="701" t="s">
        <v>458</v>
      </c>
      <c r="C372" s="743" t="s">
        <v>416</v>
      </c>
      <c r="D372" s="703" t="s">
        <v>479</v>
      </c>
      <c r="E372" s="704">
        <v>2021.0</v>
      </c>
      <c r="F372" s="743" t="s">
        <v>418</v>
      </c>
      <c r="G372" s="743" t="s">
        <v>50</v>
      </c>
      <c r="H372" s="705">
        <v>2209324.0</v>
      </c>
      <c r="I372" s="705">
        <v>2583031.0</v>
      </c>
      <c r="J372" s="706">
        <v>1853021.0</v>
      </c>
      <c r="K372" s="64"/>
      <c r="CE372" s="460"/>
    </row>
    <row r="373">
      <c r="A373" s="690"/>
      <c r="B373" s="712" t="s">
        <v>458</v>
      </c>
      <c r="C373" s="742" t="s">
        <v>416</v>
      </c>
      <c r="D373" s="714" t="s">
        <v>482</v>
      </c>
      <c r="E373" s="715">
        <v>2021.0</v>
      </c>
      <c r="F373" s="742" t="s">
        <v>418</v>
      </c>
      <c r="G373" s="742" t="s">
        <v>50</v>
      </c>
      <c r="H373" s="716">
        <v>1829142.0</v>
      </c>
      <c r="I373" s="716">
        <v>2138541.0</v>
      </c>
      <c r="J373" s="717">
        <v>1534152.0</v>
      </c>
      <c r="K373" s="64"/>
      <c r="CE373" s="460"/>
    </row>
    <row r="374">
      <c r="A374" s="690"/>
      <c r="B374" s="701" t="s">
        <v>458</v>
      </c>
      <c r="C374" s="743" t="s">
        <v>416</v>
      </c>
      <c r="D374" s="703" t="s">
        <v>485</v>
      </c>
      <c r="E374" s="704">
        <v>2021.0</v>
      </c>
      <c r="F374" s="743" t="s">
        <v>418</v>
      </c>
      <c r="G374" s="743" t="s">
        <v>50</v>
      </c>
      <c r="H374" s="705">
        <v>1430182.0</v>
      </c>
      <c r="I374" s="705">
        <v>1672096.0</v>
      </c>
      <c r="J374" s="706">
        <v>1199533.0</v>
      </c>
      <c r="K374" s="64"/>
      <c r="CE374" s="460"/>
    </row>
    <row r="375">
      <c r="A375" s="690"/>
      <c r="B375" s="712" t="s">
        <v>458</v>
      </c>
      <c r="C375" s="742" t="s">
        <v>416</v>
      </c>
      <c r="D375" s="714" t="s">
        <v>488</v>
      </c>
      <c r="E375" s="715">
        <v>2021.0</v>
      </c>
      <c r="F375" s="742" t="s">
        <v>418</v>
      </c>
      <c r="G375" s="742" t="s">
        <v>50</v>
      </c>
      <c r="H375" s="716">
        <v>1103759.0</v>
      </c>
      <c r="I375" s="716">
        <v>1290459.0</v>
      </c>
      <c r="J375" s="717">
        <v>925753.0</v>
      </c>
      <c r="K375" s="64"/>
      <c r="CE375" s="460"/>
    </row>
    <row r="376">
      <c r="A376" s="690"/>
      <c r="B376" s="701" t="s">
        <v>458</v>
      </c>
      <c r="C376" s="743" t="s">
        <v>416</v>
      </c>
      <c r="D376" s="703" t="s">
        <v>491</v>
      </c>
      <c r="E376" s="704">
        <v>2021.0</v>
      </c>
      <c r="F376" s="743" t="s">
        <v>418</v>
      </c>
      <c r="G376" s="743" t="s">
        <v>50</v>
      </c>
      <c r="H376" s="705">
        <v>850415.0</v>
      </c>
      <c r="I376" s="705">
        <v>994263.0</v>
      </c>
      <c r="J376" s="706">
        <v>713267.0</v>
      </c>
      <c r="K376" s="64"/>
      <c r="CE376" s="460"/>
    </row>
    <row r="377">
      <c r="A377" s="690"/>
      <c r="B377" s="712" t="s">
        <v>458</v>
      </c>
      <c r="C377" s="742" t="s">
        <v>416</v>
      </c>
      <c r="D377" s="714" t="s">
        <v>493</v>
      </c>
      <c r="E377" s="715">
        <v>2021.0</v>
      </c>
      <c r="F377" s="742" t="s">
        <v>418</v>
      </c>
      <c r="G377" s="742" t="s">
        <v>50</v>
      </c>
      <c r="H377" s="716">
        <v>2385598.0</v>
      </c>
      <c r="I377" s="716">
        <v>2789121.0</v>
      </c>
      <c r="J377" s="717">
        <v>2000867.0</v>
      </c>
      <c r="K377" s="64"/>
      <c r="CE377" s="460"/>
    </row>
    <row r="378">
      <c r="A378" s="690"/>
      <c r="B378" s="701" t="s">
        <v>458</v>
      </c>
      <c r="C378" s="743" t="s">
        <v>416</v>
      </c>
      <c r="D378" s="703" t="s">
        <v>434</v>
      </c>
      <c r="E378" s="704">
        <v>2021.0</v>
      </c>
      <c r="F378" s="743" t="s">
        <v>418</v>
      </c>
      <c r="G378" s="743" t="s">
        <v>50</v>
      </c>
      <c r="H378" s="705">
        <v>8603200.0</v>
      </c>
      <c r="I378" s="705">
        <v>1.0058428E7</v>
      </c>
      <c r="J378" s="706">
        <v>7215741.0</v>
      </c>
      <c r="K378" s="64"/>
      <c r="CE378" s="460"/>
    </row>
    <row r="379">
      <c r="A379" s="690"/>
      <c r="B379" s="712" t="s">
        <v>458</v>
      </c>
      <c r="C379" s="742" t="s">
        <v>416</v>
      </c>
      <c r="D379" s="714" t="s">
        <v>497</v>
      </c>
      <c r="E379" s="715">
        <v>2021.0</v>
      </c>
      <c r="F379" s="742" t="s">
        <v>418</v>
      </c>
      <c r="G379" s="742" t="s">
        <v>50</v>
      </c>
      <c r="H379" s="716">
        <v>663026.0</v>
      </c>
      <c r="I379" s="716">
        <v>775177.0</v>
      </c>
      <c r="J379" s="717">
        <v>556098.0</v>
      </c>
      <c r="K379" s="64"/>
      <c r="CE379" s="460"/>
    </row>
    <row r="380">
      <c r="A380" s="690"/>
      <c r="B380" s="701" t="s">
        <v>458</v>
      </c>
      <c r="C380" s="743" t="s">
        <v>416</v>
      </c>
      <c r="D380" s="703" t="s">
        <v>500</v>
      </c>
      <c r="E380" s="704">
        <v>2021.0</v>
      </c>
      <c r="F380" s="743" t="s">
        <v>418</v>
      </c>
      <c r="G380" s="743" t="s">
        <v>50</v>
      </c>
      <c r="H380" s="705">
        <v>4549919.0</v>
      </c>
      <c r="I380" s="705">
        <v>5319535.0</v>
      </c>
      <c r="J380" s="706">
        <v>3816142.0</v>
      </c>
      <c r="K380" s="64"/>
      <c r="CE380" s="460"/>
    </row>
    <row r="381">
      <c r="A381" s="690"/>
      <c r="B381" s="712" t="s">
        <v>458</v>
      </c>
      <c r="C381" s="742" t="s">
        <v>416</v>
      </c>
      <c r="D381" s="714" t="s">
        <v>502</v>
      </c>
      <c r="E381" s="715">
        <v>2021.0</v>
      </c>
      <c r="F381" s="742" t="s">
        <v>418</v>
      </c>
      <c r="G381" s="742" t="s">
        <v>50</v>
      </c>
      <c r="H381" s="716">
        <v>510398.0</v>
      </c>
      <c r="I381" s="716">
        <v>596732.0</v>
      </c>
      <c r="J381" s="717">
        <v>428085.0</v>
      </c>
      <c r="K381" s="64"/>
      <c r="CE381" s="460"/>
    </row>
    <row r="382">
      <c r="A382" s="690"/>
      <c r="B382" s="701" t="s">
        <v>458</v>
      </c>
      <c r="C382" s="743" t="s">
        <v>416</v>
      </c>
      <c r="D382" s="703" t="s">
        <v>505</v>
      </c>
      <c r="E382" s="704">
        <v>2021.0</v>
      </c>
      <c r="F382" s="743" t="s">
        <v>418</v>
      </c>
      <c r="G382" s="743" t="s">
        <v>50</v>
      </c>
      <c r="H382" s="705">
        <v>494215.0</v>
      </c>
      <c r="I382" s="705">
        <v>577811.0</v>
      </c>
      <c r="J382" s="706">
        <v>414512.0</v>
      </c>
      <c r="K382" s="64"/>
      <c r="CE382" s="460"/>
    </row>
    <row r="383">
      <c r="A383" s="690"/>
      <c r="B383" s="712" t="s">
        <v>458</v>
      </c>
      <c r="C383" s="742" t="s">
        <v>416</v>
      </c>
      <c r="D383" s="714" t="s">
        <v>508</v>
      </c>
      <c r="E383" s="715">
        <v>2021.0</v>
      </c>
      <c r="F383" s="742" t="s">
        <v>418</v>
      </c>
      <c r="G383" s="742" t="s">
        <v>50</v>
      </c>
      <c r="H383" s="716">
        <v>361759.0</v>
      </c>
      <c r="I383" s="716">
        <v>422951.0</v>
      </c>
      <c r="J383" s="717">
        <v>303417.0</v>
      </c>
      <c r="K383" s="64"/>
      <c r="CE383" s="460"/>
    </row>
    <row r="384">
      <c r="A384" s="690"/>
      <c r="B384" s="701" t="s">
        <v>458</v>
      </c>
      <c r="C384" s="743" t="s">
        <v>416</v>
      </c>
      <c r="D384" s="703" t="s">
        <v>511</v>
      </c>
      <c r="E384" s="704">
        <v>2021.0</v>
      </c>
      <c r="F384" s="743" t="s">
        <v>418</v>
      </c>
      <c r="G384" s="743" t="s">
        <v>50</v>
      </c>
      <c r="H384" s="705">
        <v>500295.0</v>
      </c>
      <c r="I384" s="705">
        <v>584919.0</v>
      </c>
      <c r="J384" s="706">
        <v>419611.0</v>
      </c>
      <c r="K384" s="64"/>
      <c r="CE384" s="460"/>
    </row>
    <row r="385">
      <c r="A385" s="690"/>
      <c r="B385" s="712" t="s">
        <v>458</v>
      </c>
      <c r="C385" s="742" t="s">
        <v>416</v>
      </c>
      <c r="D385" s="714" t="s">
        <v>514</v>
      </c>
      <c r="E385" s="715">
        <v>2021.0</v>
      </c>
      <c r="F385" s="742" t="s">
        <v>418</v>
      </c>
      <c r="G385" s="742" t="s">
        <v>50</v>
      </c>
      <c r="H385" s="716">
        <v>232560.0</v>
      </c>
      <c r="I385" s="716">
        <v>271897.0</v>
      </c>
      <c r="J385" s="717">
        <v>195055.0</v>
      </c>
      <c r="K385" s="64"/>
      <c r="CE385" s="460"/>
    </row>
    <row r="386">
      <c r="A386" s="690"/>
      <c r="B386" s="701" t="s">
        <v>458</v>
      </c>
      <c r="C386" s="743" t="s">
        <v>416</v>
      </c>
      <c r="D386" s="703" t="s">
        <v>439</v>
      </c>
      <c r="E386" s="704">
        <v>2021.0</v>
      </c>
      <c r="F386" s="743" t="s">
        <v>418</v>
      </c>
      <c r="G386" s="743" t="s">
        <v>50</v>
      </c>
      <c r="H386" s="705">
        <v>58406.0</v>
      </c>
      <c r="I386" s="705">
        <v>68286.0</v>
      </c>
      <c r="J386" s="706">
        <v>48987.0</v>
      </c>
      <c r="K386" s="64"/>
      <c r="CE386" s="460"/>
    </row>
    <row r="387">
      <c r="A387" s="690"/>
      <c r="B387" s="712" t="s">
        <v>458</v>
      </c>
      <c r="C387" s="742" t="s">
        <v>416</v>
      </c>
      <c r="D387" s="714" t="s">
        <v>517</v>
      </c>
      <c r="E387" s="715">
        <v>2021.0</v>
      </c>
      <c r="F387" s="742" t="s">
        <v>418</v>
      </c>
      <c r="G387" s="742" t="s">
        <v>50</v>
      </c>
      <c r="H387" s="716">
        <v>147539.0</v>
      </c>
      <c r="I387" s="716">
        <v>172495.0</v>
      </c>
      <c r="J387" s="717">
        <v>123745.0</v>
      </c>
      <c r="K387" s="64"/>
      <c r="CE387" s="460"/>
    </row>
    <row r="388">
      <c r="A388" s="690"/>
      <c r="B388" s="701" t="s">
        <v>458</v>
      </c>
      <c r="C388" s="743" t="s">
        <v>416</v>
      </c>
      <c r="D388" s="703" t="s">
        <v>520</v>
      </c>
      <c r="E388" s="704">
        <v>2021.0</v>
      </c>
      <c r="F388" s="743" t="s">
        <v>418</v>
      </c>
      <c r="G388" s="743" t="s">
        <v>50</v>
      </c>
      <c r="H388" s="705">
        <v>120196.0</v>
      </c>
      <c r="I388" s="705">
        <v>140527.0</v>
      </c>
      <c r="J388" s="706">
        <v>100812.0</v>
      </c>
      <c r="K388" s="64"/>
      <c r="CE388" s="460"/>
    </row>
    <row r="389">
      <c r="A389" s="690"/>
      <c r="B389" s="712" t="s">
        <v>458</v>
      </c>
      <c r="C389" s="742" t="s">
        <v>416</v>
      </c>
      <c r="D389" s="714" t="s">
        <v>521</v>
      </c>
      <c r="E389" s="715">
        <v>2021.0</v>
      </c>
      <c r="F389" s="742" t="s">
        <v>418</v>
      </c>
      <c r="G389" s="742" t="s">
        <v>50</v>
      </c>
      <c r="H389" s="716">
        <v>77725.0</v>
      </c>
      <c r="I389" s="716">
        <v>90872.0</v>
      </c>
      <c r="J389" s="717">
        <v>65190.0</v>
      </c>
      <c r="K389" s="64"/>
      <c r="CE389" s="460"/>
    </row>
    <row r="390">
      <c r="A390" s="690"/>
      <c r="B390" s="701" t="s">
        <v>458</v>
      </c>
      <c r="C390" s="743" t="s">
        <v>416</v>
      </c>
      <c r="D390" s="703" t="s">
        <v>524</v>
      </c>
      <c r="E390" s="704">
        <v>2021.0</v>
      </c>
      <c r="F390" s="743" t="s">
        <v>418</v>
      </c>
      <c r="G390" s="743" t="s">
        <v>50</v>
      </c>
      <c r="H390" s="705">
        <v>31825.0</v>
      </c>
      <c r="I390" s="705">
        <v>37208.0</v>
      </c>
      <c r="J390" s="706">
        <v>26692.0</v>
      </c>
      <c r="K390" s="64"/>
      <c r="CE390" s="460"/>
    </row>
    <row r="391">
      <c r="A391" s="690"/>
      <c r="B391" s="712" t="s">
        <v>458</v>
      </c>
      <c r="C391" s="742" t="s">
        <v>416</v>
      </c>
      <c r="D391" s="714" t="s">
        <v>527</v>
      </c>
      <c r="E391" s="715">
        <v>2021.0</v>
      </c>
      <c r="F391" s="742" t="s">
        <v>418</v>
      </c>
      <c r="G391" s="742" t="s">
        <v>50</v>
      </c>
      <c r="H391" s="716">
        <v>8867.0</v>
      </c>
      <c r="I391" s="716">
        <v>10367.0</v>
      </c>
      <c r="J391" s="717">
        <v>7437.0</v>
      </c>
      <c r="K391" s="64"/>
      <c r="CE391" s="460"/>
    </row>
    <row r="392">
      <c r="A392" s="690"/>
      <c r="B392" s="701" t="s">
        <v>458</v>
      </c>
      <c r="C392" s="743" t="s">
        <v>416</v>
      </c>
      <c r="D392" s="703" t="s">
        <v>529</v>
      </c>
      <c r="E392" s="704">
        <v>2021.0</v>
      </c>
      <c r="F392" s="743" t="s">
        <v>418</v>
      </c>
      <c r="G392" s="743" t="s">
        <v>50</v>
      </c>
      <c r="H392" s="705">
        <v>1779.0</v>
      </c>
      <c r="I392" s="705">
        <v>2080.0</v>
      </c>
      <c r="J392" s="706">
        <v>1493.0</v>
      </c>
      <c r="K392" s="64"/>
      <c r="CE392" s="460"/>
    </row>
    <row r="393">
      <c r="A393" s="690"/>
      <c r="B393" s="712" t="s">
        <v>458</v>
      </c>
      <c r="C393" s="742" t="s">
        <v>416</v>
      </c>
      <c r="D393" s="714" t="s">
        <v>443</v>
      </c>
      <c r="E393" s="715">
        <v>2021.0</v>
      </c>
      <c r="F393" s="742" t="s">
        <v>418</v>
      </c>
      <c r="G393" s="742" t="s">
        <v>50</v>
      </c>
      <c r="H393" s="716">
        <v>3.1779633E7</v>
      </c>
      <c r="I393" s="716">
        <v>3.7155145E7</v>
      </c>
      <c r="J393" s="717">
        <v>2.6654454E7</v>
      </c>
      <c r="K393" s="64"/>
      <c r="CE393" s="460"/>
    </row>
    <row r="394">
      <c r="A394" s="690"/>
      <c r="B394" s="701" t="s">
        <v>461</v>
      </c>
      <c r="C394" s="743" t="s">
        <v>416</v>
      </c>
      <c r="D394" s="703" t="s">
        <v>417</v>
      </c>
      <c r="E394" s="704">
        <v>2021.0</v>
      </c>
      <c r="F394" s="743" t="s">
        <v>418</v>
      </c>
      <c r="G394" s="743" t="s">
        <v>50</v>
      </c>
      <c r="H394" s="705">
        <v>178971.0</v>
      </c>
      <c r="I394" s="705">
        <v>209074.0</v>
      </c>
      <c r="J394" s="706">
        <v>147067.0</v>
      </c>
      <c r="K394" s="64"/>
      <c r="CE394" s="460"/>
    </row>
    <row r="395">
      <c r="A395" s="690"/>
      <c r="B395" s="712" t="s">
        <v>461</v>
      </c>
      <c r="C395" s="742" t="s">
        <v>416</v>
      </c>
      <c r="D395" s="714" t="s">
        <v>431</v>
      </c>
      <c r="E395" s="715">
        <v>2021.0</v>
      </c>
      <c r="F395" s="742" t="s">
        <v>418</v>
      </c>
      <c r="G395" s="742" t="s">
        <v>50</v>
      </c>
      <c r="H395" s="716">
        <v>2894006.0</v>
      </c>
      <c r="I395" s="716">
        <v>3380788.0</v>
      </c>
      <c r="J395" s="717">
        <v>2378118.0</v>
      </c>
      <c r="K395" s="64"/>
      <c r="CE395" s="460"/>
    </row>
    <row r="396">
      <c r="A396" s="690"/>
      <c r="B396" s="701" t="s">
        <v>461</v>
      </c>
      <c r="C396" s="743" t="s">
        <v>416</v>
      </c>
      <c r="D396" s="703" t="s">
        <v>438</v>
      </c>
      <c r="E396" s="704">
        <v>2021.0</v>
      </c>
      <c r="F396" s="743" t="s">
        <v>418</v>
      </c>
      <c r="G396" s="743" t="s">
        <v>50</v>
      </c>
      <c r="H396" s="705">
        <v>14199.0</v>
      </c>
      <c r="I396" s="705">
        <v>16587.0</v>
      </c>
      <c r="J396" s="706">
        <v>11668.0</v>
      </c>
      <c r="K396" s="64"/>
      <c r="CE396" s="460"/>
    </row>
    <row r="397">
      <c r="A397" s="690"/>
      <c r="B397" s="712" t="s">
        <v>461</v>
      </c>
      <c r="C397" s="742" t="s">
        <v>416</v>
      </c>
      <c r="D397" s="714" t="s">
        <v>421</v>
      </c>
      <c r="E397" s="715">
        <v>2021.0</v>
      </c>
      <c r="F397" s="742" t="s">
        <v>418</v>
      </c>
      <c r="G397" s="742" t="s">
        <v>50</v>
      </c>
      <c r="H397" s="716">
        <v>838842.0</v>
      </c>
      <c r="I397" s="716">
        <v>979939.0</v>
      </c>
      <c r="J397" s="717">
        <v>689310.0</v>
      </c>
      <c r="K397" s="64"/>
      <c r="CE397" s="460"/>
    </row>
    <row r="398">
      <c r="A398" s="690"/>
      <c r="B398" s="701" t="s">
        <v>461</v>
      </c>
      <c r="C398" s="743" t="s">
        <v>416</v>
      </c>
      <c r="D398" s="703" t="s">
        <v>447</v>
      </c>
      <c r="E398" s="704">
        <v>2021.0</v>
      </c>
      <c r="F398" s="743" t="s">
        <v>418</v>
      </c>
      <c r="G398" s="743" t="s">
        <v>50</v>
      </c>
      <c r="H398" s="705">
        <v>2283822.0</v>
      </c>
      <c r="I398" s="705">
        <v>2667969.0</v>
      </c>
      <c r="J398" s="706">
        <v>1876706.0</v>
      </c>
      <c r="K398" s="64"/>
      <c r="CE398" s="460"/>
    </row>
    <row r="399">
      <c r="A399" s="690"/>
      <c r="B399" s="712" t="s">
        <v>461</v>
      </c>
      <c r="C399" s="742" t="s">
        <v>416</v>
      </c>
      <c r="D399" s="714" t="s">
        <v>432</v>
      </c>
      <c r="E399" s="715">
        <v>2021.0</v>
      </c>
      <c r="F399" s="742" t="s">
        <v>418</v>
      </c>
      <c r="G399" s="742" t="s">
        <v>50</v>
      </c>
      <c r="H399" s="716">
        <v>3603.0</v>
      </c>
      <c r="I399" s="716">
        <v>4209.0</v>
      </c>
      <c r="J399" s="717">
        <v>2961.0</v>
      </c>
      <c r="K399" s="64"/>
      <c r="CE399" s="460"/>
    </row>
    <row r="400">
      <c r="A400" s="690"/>
      <c r="B400" s="701" t="s">
        <v>461</v>
      </c>
      <c r="C400" s="743" t="s">
        <v>416</v>
      </c>
      <c r="D400" s="703" t="s">
        <v>450</v>
      </c>
      <c r="E400" s="704">
        <v>2021.0</v>
      </c>
      <c r="F400" s="743" t="s">
        <v>418</v>
      </c>
      <c r="G400" s="743" t="s">
        <v>50</v>
      </c>
      <c r="H400" s="705">
        <v>691829.0</v>
      </c>
      <c r="I400" s="705">
        <v>808198.0</v>
      </c>
      <c r="J400" s="706">
        <v>568503.0</v>
      </c>
      <c r="K400" s="64"/>
      <c r="CE400" s="460"/>
    </row>
    <row r="401">
      <c r="A401" s="690"/>
      <c r="B401" s="712" t="s">
        <v>461</v>
      </c>
      <c r="C401" s="742" t="s">
        <v>416</v>
      </c>
      <c r="D401" s="714" t="s">
        <v>453</v>
      </c>
      <c r="E401" s="715">
        <v>2021.0</v>
      </c>
      <c r="F401" s="742" t="s">
        <v>418</v>
      </c>
      <c r="G401" s="742" t="s">
        <v>50</v>
      </c>
      <c r="H401" s="716">
        <v>1302014.0</v>
      </c>
      <c r="I401" s="716">
        <v>1521017.0</v>
      </c>
      <c r="J401" s="717">
        <v>1069916.0</v>
      </c>
      <c r="K401" s="64"/>
      <c r="CE401" s="460"/>
    </row>
    <row r="402">
      <c r="A402" s="690"/>
      <c r="B402" s="701" t="s">
        <v>461</v>
      </c>
      <c r="C402" s="743" t="s">
        <v>416</v>
      </c>
      <c r="D402" s="703" t="s">
        <v>454</v>
      </c>
      <c r="E402" s="704">
        <v>2021.0</v>
      </c>
      <c r="F402" s="743" t="s">
        <v>418</v>
      </c>
      <c r="G402" s="743" t="s">
        <v>50</v>
      </c>
      <c r="H402" s="705">
        <v>1814498.0</v>
      </c>
      <c r="I402" s="705">
        <v>2119703.0</v>
      </c>
      <c r="J402" s="706">
        <v>1491044.0</v>
      </c>
      <c r="K402" s="64"/>
      <c r="CE402" s="460"/>
    </row>
    <row r="403">
      <c r="A403" s="690"/>
      <c r="B403" s="712" t="s">
        <v>461</v>
      </c>
      <c r="C403" s="742" t="s">
        <v>416</v>
      </c>
      <c r="D403" s="714" t="s">
        <v>457</v>
      </c>
      <c r="E403" s="715">
        <v>2021.0</v>
      </c>
      <c r="F403" s="742" t="s">
        <v>418</v>
      </c>
      <c r="G403" s="742" t="s">
        <v>50</v>
      </c>
      <c r="H403" s="716">
        <v>171345.0</v>
      </c>
      <c r="I403" s="716">
        <v>200165.0</v>
      </c>
      <c r="J403" s="717">
        <v>140801.0</v>
      </c>
      <c r="K403" s="64"/>
      <c r="CE403" s="460"/>
    </row>
    <row r="404">
      <c r="A404" s="690"/>
      <c r="B404" s="701" t="s">
        <v>461</v>
      </c>
      <c r="C404" s="743" t="s">
        <v>416</v>
      </c>
      <c r="D404" s="703" t="s">
        <v>460</v>
      </c>
      <c r="E404" s="704">
        <v>2021.0</v>
      </c>
      <c r="F404" s="743" t="s">
        <v>418</v>
      </c>
      <c r="G404" s="743" t="s">
        <v>50</v>
      </c>
      <c r="H404" s="705">
        <v>76837.0</v>
      </c>
      <c r="I404" s="705">
        <v>89762.0</v>
      </c>
      <c r="J404" s="706">
        <v>63140.0</v>
      </c>
      <c r="K404" s="64"/>
      <c r="CE404" s="460"/>
    </row>
    <row r="405">
      <c r="A405" s="690"/>
      <c r="B405" s="712" t="s">
        <v>461</v>
      </c>
      <c r="C405" s="742" t="s">
        <v>416</v>
      </c>
      <c r="D405" s="714" t="s">
        <v>463</v>
      </c>
      <c r="E405" s="715">
        <v>2021.0</v>
      </c>
      <c r="F405" s="742" t="s">
        <v>418</v>
      </c>
      <c r="G405" s="742" t="s">
        <v>50</v>
      </c>
      <c r="H405" s="716">
        <v>610184.0</v>
      </c>
      <c r="I405" s="716">
        <v>712820.0</v>
      </c>
      <c r="J405" s="717">
        <v>501412.0</v>
      </c>
      <c r="K405" s="64"/>
      <c r="CE405" s="460"/>
    </row>
    <row r="406">
      <c r="A406" s="690"/>
      <c r="B406" s="701" t="s">
        <v>461</v>
      </c>
      <c r="C406" s="743" t="s">
        <v>416</v>
      </c>
      <c r="D406" s="703" t="s">
        <v>465</v>
      </c>
      <c r="E406" s="704">
        <v>2021.0</v>
      </c>
      <c r="F406" s="743" t="s">
        <v>418</v>
      </c>
      <c r="G406" s="743" t="s">
        <v>50</v>
      </c>
      <c r="H406" s="705">
        <v>2665952.0</v>
      </c>
      <c r="I406" s="705">
        <v>3114375.0</v>
      </c>
      <c r="J406" s="706">
        <v>2190717.0</v>
      </c>
      <c r="K406" s="64"/>
      <c r="CE406" s="460"/>
    </row>
    <row r="407">
      <c r="A407" s="690"/>
      <c r="B407" s="712" t="s">
        <v>461</v>
      </c>
      <c r="C407" s="742" t="s">
        <v>416</v>
      </c>
      <c r="D407" s="714" t="s">
        <v>468</v>
      </c>
      <c r="E407" s="715">
        <v>2021.0</v>
      </c>
      <c r="F407" s="742" t="s">
        <v>418</v>
      </c>
      <c r="G407" s="742" t="s">
        <v>50</v>
      </c>
      <c r="H407" s="716">
        <v>512484.0</v>
      </c>
      <c r="I407" s="716">
        <v>598686.0</v>
      </c>
      <c r="J407" s="717">
        <v>421128.0</v>
      </c>
      <c r="K407" s="64"/>
      <c r="CE407" s="460"/>
    </row>
    <row r="408">
      <c r="A408" s="690"/>
      <c r="B408" s="701" t="s">
        <v>461</v>
      </c>
      <c r="C408" s="743" t="s">
        <v>416</v>
      </c>
      <c r="D408" s="703" t="s">
        <v>471</v>
      </c>
      <c r="E408" s="704">
        <v>2021.0</v>
      </c>
      <c r="F408" s="743" t="s">
        <v>418</v>
      </c>
      <c r="G408" s="743" t="s">
        <v>50</v>
      </c>
      <c r="H408" s="705">
        <v>488527.0</v>
      </c>
      <c r="I408" s="705">
        <v>570699.0</v>
      </c>
      <c r="J408" s="706">
        <v>401442.0</v>
      </c>
      <c r="K408" s="64"/>
      <c r="CE408" s="460"/>
    </row>
    <row r="409">
      <c r="A409" s="690"/>
      <c r="B409" s="712" t="s">
        <v>461</v>
      </c>
      <c r="C409" s="742" t="s">
        <v>416</v>
      </c>
      <c r="D409" s="714" t="s">
        <v>473</v>
      </c>
      <c r="E409" s="715">
        <v>2021.0</v>
      </c>
      <c r="F409" s="742" t="s">
        <v>418</v>
      </c>
      <c r="G409" s="742" t="s">
        <v>50</v>
      </c>
      <c r="H409" s="716">
        <v>2077645.0</v>
      </c>
      <c r="I409" s="716">
        <v>2427112.0</v>
      </c>
      <c r="J409" s="717">
        <v>1707282.0</v>
      </c>
      <c r="K409" s="64"/>
      <c r="CE409" s="460"/>
    </row>
    <row r="410">
      <c r="A410" s="690"/>
      <c r="B410" s="701" t="s">
        <v>461</v>
      </c>
      <c r="C410" s="743" t="s">
        <v>416</v>
      </c>
      <c r="D410" s="703" t="s">
        <v>476</v>
      </c>
      <c r="E410" s="704">
        <v>2021.0</v>
      </c>
      <c r="F410" s="743" t="s">
        <v>418</v>
      </c>
      <c r="G410" s="743" t="s">
        <v>50</v>
      </c>
      <c r="H410" s="705">
        <v>403636.0</v>
      </c>
      <c r="I410" s="705">
        <v>471529.0</v>
      </c>
      <c r="J410" s="706">
        <v>331684.0</v>
      </c>
      <c r="K410" s="64"/>
      <c r="CE410" s="460"/>
    </row>
    <row r="411">
      <c r="A411" s="690"/>
      <c r="B411" s="712" t="s">
        <v>461</v>
      </c>
      <c r="C411" s="742" t="s">
        <v>416</v>
      </c>
      <c r="D411" s="714" t="s">
        <v>479</v>
      </c>
      <c r="E411" s="715">
        <v>2021.0</v>
      </c>
      <c r="F411" s="742" t="s">
        <v>418</v>
      </c>
      <c r="G411" s="742" t="s">
        <v>50</v>
      </c>
      <c r="H411" s="716">
        <v>349798.0</v>
      </c>
      <c r="I411" s="716">
        <v>408635.0</v>
      </c>
      <c r="J411" s="717">
        <v>287443.0</v>
      </c>
      <c r="K411" s="64"/>
      <c r="CE411" s="460"/>
    </row>
    <row r="412">
      <c r="A412" s="690"/>
      <c r="B412" s="701" t="s">
        <v>461</v>
      </c>
      <c r="C412" s="743" t="s">
        <v>416</v>
      </c>
      <c r="D412" s="703" t="s">
        <v>482</v>
      </c>
      <c r="E412" s="704">
        <v>2021.0</v>
      </c>
      <c r="F412" s="743" t="s">
        <v>418</v>
      </c>
      <c r="G412" s="743" t="s">
        <v>50</v>
      </c>
      <c r="H412" s="705">
        <v>307125.0</v>
      </c>
      <c r="I412" s="705">
        <v>358784.0</v>
      </c>
      <c r="J412" s="706">
        <v>252376.0</v>
      </c>
      <c r="K412" s="64"/>
      <c r="CE412" s="460"/>
    </row>
    <row r="413">
      <c r="A413" s="690"/>
      <c r="B413" s="712" t="s">
        <v>461</v>
      </c>
      <c r="C413" s="742" t="s">
        <v>416</v>
      </c>
      <c r="D413" s="714" t="s">
        <v>485</v>
      </c>
      <c r="E413" s="715">
        <v>2021.0</v>
      </c>
      <c r="F413" s="742" t="s">
        <v>418</v>
      </c>
      <c r="G413" s="742" t="s">
        <v>50</v>
      </c>
      <c r="H413" s="716">
        <v>262822.0</v>
      </c>
      <c r="I413" s="716">
        <v>307030.0</v>
      </c>
      <c r="J413" s="717">
        <v>215971.0</v>
      </c>
      <c r="K413" s="64"/>
      <c r="CE413" s="460"/>
    </row>
    <row r="414">
      <c r="A414" s="690"/>
      <c r="B414" s="701" t="s">
        <v>461</v>
      </c>
      <c r="C414" s="743" t="s">
        <v>416</v>
      </c>
      <c r="D414" s="703" t="s">
        <v>488</v>
      </c>
      <c r="E414" s="704">
        <v>2021.0</v>
      </c>
      <c r="F414" s="743" t="s">
        <v>418</v>
      </c>
      <c r="G414" s="743" t="s">
        <v>50</v>
      </c>
      <c r="H414" s="705">
        <v>219903.0</v>
      </c>
      <c r="I414" s="705">
        <v>256891.0</v>
      </c>
      <c r="J414" s="706">
        <v>180703.0</v>
      </c>
      <c r="K414" s="64"/>
      <c r="CE414" s="460"/>
    </row>
    <row r="415">
      <c r="A415" s="690"/>
      <c r="B415" s="712" t="s">
        <v>461</v>
      </c>
      <c r="C415" s="742" t="s">
        <v>416</v>
      </c>
      <c r="D415" s="714" t="s">
        <v>491</v>
      </c>
      <c r="E415" s="715">
        <v>2021.0</v>
      </c>
      <c r="F415" s="742" t="s">
        <v>418</v>
      </c>
      <c r="G415" s="742" t="s">
        <v>50</v>
      </c>
      <c r="H415" s="716">
        <v>176662.0</v>
      </c>
      <c r="I415" s="716">
        <v>206378.0</v>
      </c>
      <c r="J415" s="717">
        <v>145170.0</v>
      </c>
      <c r="K415" s="64"/>
      <c r="CE415" s="460"/>
    </row>
    <row r="416">
      <c r="A416" s="690"/>
      <c r="B416" s="701" t="s">
        <v>461</v>
      </c>
      <c r="C416" s="743" t="s">
        <v>416</v>
      </c>
      <c r="D416" s="703" t="s">
        <v>493</v>
      </c>
      <c r="E416" s="704">
        <v>2021.0</v>
      </c>
      <c r="F416" s="743" t="s">
        <v>418</v>
      </c>
      <c r="G416" s="743" t="s">
        <v>50</v>
      </c>
      <c r="H416" s="705">
        <v>470557.0</v>
      </c>
      <c r="I416" s="705">
        <v>549707.0</v>
      </c>
      <c r="J416" s="706">
        <v>386675.0</v>
      </c>
      <c r="K416" s="64"/>
      <c r="CE416" s="460"/>
    </row>
    <row r="417">
      <c r="A417" s="690"/>
      <c r="B417" s="712" t="s">
        <v>461</v>
      </c>
      <c r="C417" s="742" t="s">
        <v>416</v>
      </c>
      <c r="D417" s="714" t="s">
        <v>434</v>
      </c>
      <c r="E417" s="715">
        <v>2021.0</v>
      </c>
      <c r="F417" s="742" t="s">
        <v>418</v>
      </c>
      <c r="G417" s="742" t="s">
        <v>50</v>
      </c>
      <c r="H417" s="716">
        <v>1444979.0</v>
      </c>
      <c r="I417" s="716">
        <v>1688030.0</v>
      </c>
      <c r="J417" s="717">
        <v>1187396.0</v>
      </c>
      <c r="K417" s="64"/>
      <c r="CE417" s="460"/>
    </row>
    <row r="418">
      <c r="A418" s="690"/>
      <c r="B418" s="701" t="s">
        <v>461</v>
      </c>
      <c r="C418" s="743" t="s">
        <v>416</v>
      </c>
      <c r="D418" s="703" t="s">
        <v>497</v>
      </c>
      <c r="E418" s="704">
        <v>2021.0</v>
      </c>
      <c r="F418" s="743" t="s">
        <v>418</v>
      </c>
      <c r="G418" s="743" t="s">
        <v>50</v>
      </c>
      <c r="H418" s="705">
        <v>135063.0</v>
      </c>
      <c r="I418" s="705">
        <v>157781.0</v>
      </c>
      <c r="J418" s="706">
        <v>110986.0</v>
      </c>
      <c r="K418" s="64"/>
      <c r="CE418" s="460"/>
    </row>
    <row r="419">
      <c r="A419" s="690"/>
      <c r="B419" s="712" t="s">
        <v>461</v>
      </c>
      <c r="C419" s="742" t="s">
        <v>416</v>
      </c>
      <c r="D419" s="714" t="s">
        <v>500</v>
      </c>
      <c r="E419" s="715">
        <v>2021.0</v>
      </c>
      <c r="F419" s="742" t="s">
        <v>418</v>
      </c>
      <c r="G419" s="742" t="s">
        <v>50</v>
      </c>
      <c r="H419" s="716">
        <v>753150.0</v>
      </c>
      <c r="I419" s="716">
        <v>879832.0</v>
      </c>
      <c r="J419" s="717">
        <v>618893.0</v>
      </c>
      <c r="K419" s="64"/>
      <c r="CE419" s="460"/>
    </row>
    <row r="420">
      <c r="A420" s="690"/>
      <c r="B420" s="701" t="s">
        <v>461</v>
      </c>
      <c r="C420" s="743" t="s">
        <v>416</v>
      </c>
      <c r="D420" s="703" t="s">
        <v>502</v>
      </c>
      <c r="E420" s="704">
        <v>2021.0</v>
      </c>
      <c r="F420" s="743" t="s">
        <v>418</v>
      </c>
      <c r="G420" s="743" t="s">
        <v>50</v>
      </c>
      <c r="H420" s="705">
        <v>97430.0</v>
      </c>
      <c r="I420" s="705">
        <v>113819.0</v>
      </c>
      <c r="J420" s="706">
        <v>80062.0</v>
      </c>
      <c r="K420" s="64"/>
      <c r="CE420" s="460"/>
    </row>
    <row r="421">
      <c r="A421" s="690"/>
      <c r="B421" s="712" t="s">
        <v>461</v>
      </c>
      <c r="C421" s="742" t="s">
        <v>416</v>
      </c>
      <c r="D421" s="714" t="s">
        <v>505</v>
      </c>
      <c r="E421" s="715">
        <v>2021.0</v>
      </c>
      <c r="F421" s="742" t="s">
        <v>418</v>
      </c>
      <c r="G421" s="742" t="s">
        <v>50</v>
      </c>
      <c r="H421" s="716">
        <v>87935.0</v>
      </c>
      <c r="I421" s="716">
        <v>102726.0</v>
      </c>
      <c r="J421" s="717">
        <v>72259.0</v>
      </c>
      <c r="K421" s="64"/>
      <c r="CE421" s="460"/>
    </row>
    <row r="422">
      <c r="A422" s="690"/>
      <c r="B422" s="701" t="s">
        <v>461</v>
      </c>
      <c r="C422" s="743" t="s">
        <v>416</v>
      </c>
      <c r="D422" s="703" t="s">
        <v>508</v>
      </c>
      <c r="E422" s="704">
        <v>2021.0</v>
      </c>
      <c r="F422" s="743" t="s">
        <v>418</v>
      </c>
      <c r="G422" s="743" t="s">
        <v>50</v>
      </c>
      <c r="H422" s="705">
        <v>61402.0</v>
      </c>
      <c r="I422" s="705">
        <v>71730.0</v>
      </c>
      <c r="J422" s="706">
        <v>50456.0</v>
      </c>
      <c r="K422" s="64"/>
      <c r="CE422" s="460"/>
    </row>
    <row r="423">
      <c r="A423" s="690"/>
      <c r="B423" s="712" t="s">
        <v>461</v>
      </c>
      <c r="C423" s="742" t="s">
        <v>416</v>
      </c>
      <c r="D423" s="714" t="s">
        <v>511</v>
      </c>
      <c r="E423" s="715">
        <v>2021.0</v>
      </c>
      <c r="F423" s="742" t="s">
        <v>418</v>
      </c>
      <c r="G423" s="742" t="s">
        <v>50</v>
      </c>
      <c r="H423" s="716">
        <v>63804.0</v>
      </c>
      <c r="I423" s="716">
        <v>74536.0</v>
      </c>
      <c r="J423" s="717">
        <v>52430.0</v>
      </c>
      <c r="K423" s="64"/>
      <c r="CE423" s="460"/>
    </row>
    <row r="424">
      <c r="A424" s="690"/>
      <c r="B424" s="701" t="s">
        <v>461</v>
      </c>
      <c r="C424" s="743" t="s">
        <v>416</v>
      </c>
      <c r="D424" s="703" t="s">
        <v>514</v>
      </c>
      <c r="E424" s="704">
        <v>2021.0</v>
      </c>
      <c r="F424" s="743" t="s">
        <v>418</v>
      </c>
      <c r="G424" s="743" t="s">
        <v>50</v>
      </c>
      <c r="H424" s="705">
        <v>34621.0</v>
      </c>
      <c r="I424" s="705">
        <v>40444.0</v>
      </c>
      <c r="J424" s="706">
        <v>28449.0</v>
      </c>
      <c r="K424" s="64"/>
      <c r="CE424" s="460"/>
    </row>
    <row r="425">
      <c r="A425" s="690"/>
      <c r="B425" s="712" t="s">
        <v>461</v>
      </c>
      <c r="C425" s="742" t="s">
        <v>416</v>
      </c>
      <c r="D425" s="714" t="s">
        <v>439</v>
      </c>
      <c r="E425" s="715">
        <v>2021.0</v>
      </c>
      <c r="F425" s="742" t="s">
        <v>418</v>
      </c>
      <c r="G425" s="742" t="s">
        <v>50</v>
      </c>
      <c r="H425" s="716">
        <v>10596.0</v>
      </c>
      <c r="I425" s="716">
        <v>12378.0</v>
      </c>
      <c r="J425" s="717">
        <v>8707.0</v>
      </c>
      <c r="K425" s="64"/>
      <c r="CE425" s="460"/>
    </row>
    <row r="426">
      <c r="A426" s="690"/>
      <c r="B426" s="701" t="s">
        <v>461</v>
      </c>
      <c r="C426" s="743" t="s">
        <v>416</v>
      </c>
      <c r="D426" s="703" t="s">
        <v>517</v>
      </c>
      <c r="E426" s="704">
        <v>2021.0</v>
      </c>
      <c r="F426" s="743" t="s">
        <v>418</v>
      </c>
      <c r="G426" s="743" t="s">
        <v>50</v>
      </c>
      <c r="H426" s="705">
        <v>18411.0</v>
      </c>
      <c r="I426" s="705">
        <v>21508.0</v>
      </c>
      <c r="J426" s="706">
        <v>15129.0</v>
      </c>
      <c r="K426" s="64"/>
      <c r="CE426" s="460"/>
    </row>
    <row r="427">
      <c r="A427" s="690"/>
      <c r="B427" s="712" t="s">
        <v>461</v>
      </c>
      <c r="C427" s="742" t="s">
        <v>416</v>
      </c>
      <c r="D427" s="714" t="s">
        <v>520</v>
      </c>
      <c r="E427" s="715">
        <v>2021.0</v>
      </c>
      <c r="F427" s="742" t="s">
        <v>418</v>
      </c>
      <c r="G427" s="742" t="s">
        <v>50</v>
      </c>
      <c r="H427" s="716">
        <v>10772.0</v>
      </c>
      <c r="I427" s="716">
        <v>12584.0</v>
      </c>
      <c r="J427" s="717">
        <v>8852.0</v>
      </c>
      <c r="K427" s="64"/>
      <c r="CE427" s="460"/>
    </row>
    <row r="428">
      <c r="A428" s="690"/>
      <c r="B428" s="701" t="s">
        <v>461</v>
      </c>
      <c r="C428" s="743" t="s">
        <v>416</v>
      </c>
      <c r="D428" s="703" t="s">
        <v>521</v>
      </c>
      <c r="E428" s="704">
        <v>2021.0</v>
      </c>
      <c r="F428" s="743" t="s">
        <v>418</v>
      </c>
      <c r="G428" s="743" t="s">
        <v>50</v>
      </c>
      <c r="H428" s="705">
        <v>7783.0</v>
      </c>
      <c r="I428" s="705">
        <v>9092.0</v>
      </c>
      <c r="J428" s="706">
        <v>6395.0</v>
      </c>
      <c r="K428" s="64"/>
      <c r="CE428" s="460"/>
    </row>
    <row r="429">
      <c r="A429" s="690"/>
      <c r="B429" s="712" t="s">
        <v>461</v>
      </c>
      <c r="C429" s="742" t="s">
        <v>416</v>
      </c>
      <c r="D429" s="714" t="s">
        <v>524</v>
      </c>
      <c r="E429" s="715">
        <v>2021.0</v>
      </c>
      <c r="F429" s="742" t="s">
        <v>418</v>
      </c>
      <c r="G429" s="742" t="s">
        <v>50</v>
      </c>
      <c r="H429" s="716">
        <v>2422.0</v>
      </c>
      <c r="I429" s="716">
        <v>2829.0</v>
      </c>
      <c r="J429" s="717">
        <v>1990.0</v>
      </c>
      <c r="K429" s="64"/>
      <c r="CE429" s="460"/>
    </row>
    <row r="430">
      <c r="A430" s="690"/>
      <c r="B430" s="701" t="s">
        <v>461</v>
      </c>
      <c r="C430" s="743" t="s">
        <v>416</v>
      </c>
      <c r="D430" s="703" t="s">
        <v>527</v>
      </c>
      <c r="E430" s="704">
        <v>2021.0</v>
      </c>
      <c r="F430" s="743" t="s">
        <v>418</v>
      </c>
      <c r="G430" s="743" t="s">
        <v>50</v>
      </c>
      <c r="H430" s="705">
        <v>482.0</v>
      </c>
      <c r="I430" s="705">
        <v>564.0</v>
      </c>
      <c r="J430" s="706">
        <v>396.0</v>
      </c>
      <c r="K430" s="64"/>
      <c r="CE430" s="460"/>
    </row>
    <row r="431">
      <c r="A431" s="690"/>
      <c r="B431" s="712" t="s">
        <v>461</v>
      </c>
      <c r="C431" s="742" t="s">
        <v>416</v>
      </c>
      <c r="D431" s="714" t="s">
        <v>529</v>
      </c>
      <c r="E431" s="715">
        <v>2021.0</v>
      </c>
      <c r="F431" s="742" t="s">
        <v>418</v>
      </c>
      <c r="G431" s="742" t="s">
        <v>50</v>
      </c>
      <c r="H431" s="716">
        <v>85.0</v>
      </c>
      <c r="I431" s="716">
        <v>100.0</v>
      </c>
      <c r="J431" s="717">
        <v>70.0</v>
      </c>
      <c r="K431" s="64"/>
      <c r="CE431" s="460"/>
    </row>
    <row r="432">
      <c r="A432" s="690"/>
      <c r="B432" s="701" t="s">
        <v>461</v>
      </c>
      <c r="C432" s="743" t="s">
        <v>416</v>
      </c>
      <c r="D432" s="703" t="s">
        <v>443</v>
      </c>
      <c r="E432" s="704">
        <v>2021.0</v>
      </c>
      <c r="F432" s="743" t="s">
        <v>418</v>
      </c>
      <c r="G432" s="743" t="s">
        <v>50</v>
      </c>
      <c r="H432" s="705">
        <v>5484135.0</v>
      </c>
      <c r="I432" s="705">
        <v>6406586.0</v>
      </c>
      <c r="J432" s="706">
        <v>4506528.0</v>
      </c>
      <c r="K432" s="64"/>
      <c r="CE432" s="460"/>
    </row>
    <row r="433">
      <c r="A433" s="690"/>
      <c r="B433" s="712" t="s">
        <v>98</v>
      </c>
      <c r="C433" s="742" t="s">
        <v>416</v>
      </c>
      <c r="D433" s="714" t="s">
        <v>417</v>
      </c>
      <c r="E433" s="715">
        <v>2021.0</v>
      </c>
      <c r="F433" s="742" t="s">
        <v>418</v>
      </c>
      <c r="G433" s="742" t="s">
        <v>50</v>
      </c>
      <c r="H433" s="716">
        <v>807490.0</v>
      </c>
      <c r="I433" s="716">
        <v>922391.0</v>
      </c>
      <c r="J433" s="717">
        <v>691122.0</v>
      </c>
      <c r="K433" s="64"/>
      <c r="CE433" s="460"/>
    </row>
    <row r="434">
      <c r="A434" s="690"/>
      <c r="B434" s="701" t="s">
        <v>98</v>
      </c>
      <c r="C434" s="743" t="s">
        <v>416</v>
      </c>
      <c r="D434" s="703" t="s">
        <v>431</v>
      </c>
      <c r="E434" s="704">
        <v>2021.0</v>
      </c>
      <c r="F434" s="743" t="s">
        <v>418</v>
      </c>
      <c r="G434" s="743" t="s">
        <v>50</v>
      </c>
      <c r="H434" s="705">
        <v>1.0949567E7</v>
      </c>
      <c r="I434" s="705">
        <v>1.2507627E7</v>
      </c>
      <c r="J434" s="706">
        <v>9371608.0</v>
      </c>
      <c r="K434" s="64"/>
      <c r="CE434" s="460"/>
    </row>
    <row r="435">
      <c r="A435" s="690"/>
      <c r="B435" s="712" t="s">
        <v>98</v>
      </c>
      <c r="C435" s="742" t="s">
        <v>416</v>
      </c>
      <c r="D435" s="714" t="s">
        <v>438</v>
      </c>
      <c r="E435" s="715">
        <v>2021.0</v>
      </c>
      <c r="F435" s="742" t="s">
        <v>418</v>
      </c>
      <c r="G435" s="742" t="s">
        <v>50</v>
      </c>
      <c r="H435" s="716">
        <v>64702.0</v>
      </c>
      <c r="I435" s="716">
        <v>73909.0</v>
      </c>
      <c r="J435" s="717">
        <v>55378.0</v>
      </c>
      <c r="K435" s="64"/>
      <c r="CE435" s="460"/>
    </row>
    <row r="436">
      <c r="A436" s="690"/>
      <c r="B436" s="701" t="s">
        <v>98</v>
      </c>
      <c r="C436" s="743" t="s">
        <v>416</v>
      </c>
      <c r="D436" s="703" t="s">
        <v>421</v>
      </c>
      <c r="E436" s="704">
        <v>2021.0</v>
      </c>
      <c r="F436" s="743" t="s">
        <v>418</v>
      </c>
      <c r="G436" s="743" t="s">
        <v>50</v>
      </c>
      <c r="H436" s="705">
        <v>3635515.0</v>
      </c>
      <c r="I436" s="705">
        <v>4152828.0</v>
      </c>
      <c r="J436" s="706">
        <v>3111596.0</v>
      </c>
      <c r="K436" s="64"/>
      <c r="CE436" s="460"/>
    </row>
    <row r="437">
      <c r="A437" s="690"/>
      <c r="B437" s="712" t="s">
        <v>98</v>
      </c>
      <c r="C437" s="742" t="s">
        <v>416</v>
      </c>
      <c r="D437" s="714" t="s">
        <v>447</v>
      </c>
      <c r="E437" s="715">
        <v>2021.0</v>
      </c>
      <c r="F437" s="742" t="s">
        <v>418</v>
      </c>
      <c r="G437" s="742" t="s">
        <v>50</v>
      </c>
      <c r="H437" s="716">
        <v>9014897.0</v>
      </c>
      <c r="I437" s="716">
        <v>1.0297665E7</v>
      </c>
      <c r="J437" s="717">
        <v>7715746.0</v>
      </c>
      <c r="K437" s="64"/>
      <c r="CE437" s="460"/>
    </row>
    <row r="438">
      <c r="A438" s="690"/>
      <c r="B438" s="701" t="s">
        <v>98</v>
      </c>
      <c r="C438" s="743" t="s">
        <v>416</v>
      </c>
      <c r="D438" s="703" t="s">
        <v>432</v>
      </c>
      <c r="E438" s="704">
        <v>2021.0</v>
      </c>
      <c r="F438" s="743" t="s">
        <v>418</v>
      </c>
      <c r="G438" s="743" t="s">
        <v>50</v>
      </c>
      <c r="H438" s="705">
        <v>16404.0</v>
      </c>
      <c r="I438" s="705">
        <v>18738.0</v>
      </c>
      <c r="J438" s="706">
        <v>14040.0</v>
      </c>
      <c r="K438" s="64"/>
      <c r="CE438" s="460"/>
    </row>
    <row r="439">
      <c r="A439" s="690"/>
      <c r="B439" s="712" t="s">
        <v>98</v>
      </c>
      <c r="C439" s="742" t="s">
        <v>416</v>
      </c>
      <c r="D439" s="714" t="s">
        <v>450</v>
      </c>
      <c r="E439" s="715">
        <v>2021.0</v>
      </c>
      <c r="F439" s="742" t="s">
        <v>418</v>
      </c>
      <c r="G439" s="742" t="s">
        <v>50</v>
      </c>
      <c r="H439" s="716">
        <v>2401577.0</v>
      </c>
      <c r="I439" s="716">
        <v>2743307.0</v>
      </c>
      <c r="J439" s="717">
        <v>2055482.0</v>
      </c>
      <c r="K439" s="64"/>
      <c r="CE439" s="460"/>
    </row>
    <row r="440">
      <c r="A440" s="690"/>
      <c r="B440" s="701" t="s">
        <v>98</v>
      </c>
      <c r="C440" s="743" t="s">
        <v>416</v>
      </c>
      <c r="D440" s="703" t="s">
        <v>453</v>
      </c>
      <c r="E440" s="704">
        <v>2021.0</v>
      </c>
      <c r="F440" s="743" t="s">
        <v>418</v>
      </c>
      <c r="G440" s="743" t="s">
        <v>50</v>
      </c>
      <c r="H440" s="705">
        <v>4336246.0</v>
      </c>
      <c r="I440" s="705">
        <v>4953269.0</v>
      </c>
      <c r="J440" s="706">
        <v>3711343.0</v>
      </c>
      <c r="K440" s="64"/>
      <c r="CE440" s="460"/>
    </row>
    <row r="441">
      <c r="A441" s="690"/>
      <c r="B441" s="712" t="s">
        <v>98</v>
      </c>
      <c r="C441" s="742" t="s">
        <v>416</v>
      </c>
      <c r="D441" s="714" t="s">
        <v>454</v>
      </c>
      <c r="E441" s="715">
        <v>2021.0</v>
      </c>
      <c r="F441" s="742" t="s">
        <v>418</v>
      </c>
      <c r="G441" s="742" t="s">
        <v>50</v>
      </c>
      <c r="H441" s="716">
        <v>5833549.0</v>
      </c>
      <c r="I441" s="716">
        <v>6663629.0</v>
      </c>
      <c r="J441" s="717">
        <v>4992867.0</v>
      </c>
      <c r="K441" s="64"/>
      <c r="CE441" s="460"/>
    </row>
    <row r="442">
      <c r="A442" s="690"/>
      <c r="B442" s="701" t="s">
        <v>98</v>
      </c>
      <c r="C442" s="743" t="s">
        <v>416</v>
      </c>
      <c r="D442" s="703" t="s">
        <v>457</v>
      </c>
      <c r="E442" s="704">
        <v>2021.0</v>
      </c>
      <c r="F442" s="743" t="s">
        <v>418</v>
      </c>
      <c r="G442" s="743" t="s">
        <v>50</v>
      </c>
      <c r="H442" s="705">
        <v>755297.0</v>
      </c>
      <c r="I442" s="705">
        <v>862772.0</v>
      </c>
      <c r="J442" s="706">
        <v>646450.0</v>
      </c>
      <c r="K442" s="64"/>
      <c r="CE442" s="460"/>
    </row>
    <row r="443">
      <c r="A443" s="690"/>
      <c r="B443" s="712" t="s">
        <v>98</v>
      </c>
      <c r="C443" s="742" t="s">
        <v>416</v>
      </c>
      <c r="D443" s="714" t="s">
        <v>460</v>
      </c>
      <c r="E443" s="715">
        <v>2021.0</v>
      </c>
      <c r="F443" s="742" t="s">
        <v>418</v>
      </c>
      <c r="G443" s="742" t="s">
        <v>50</v>
      </c>
      <c r="H443" s="716">
        <v>348180.0</v>
      </c>
      <c r="I443" s="716">
        <v>397724.0</v>
      </c>
      <c r="J443" s="717">
        <v>298003.0</v>
      </c>
      <c r="K443" s="64"/>
      <c r="CE443" s="460"/>
    </row>
    <row r="444">
      <c r="A444" s="690"/>
      <c r="B444" s="701" t="s">
        <v>98</v>
      </c>
      <c r="C444" s="743" t="s">
        <v>416</v>
      </c>
      <c r="D444" s="703" t="s">
        <v>463</v>
      </c>
      <c r="E444" s="704">
        <v>2021.0</v>
      </c>
      <c r="F444" s="743" t="s">
        <v>418</v>
      </c>
      <c r="G444" s="743" t="s">
        <v>50</v>
      </c>
      <c r="H444" s="705">
        <v>1934670.0</v>
      </c>
      <c r="I444" s="705">
        <v>2209962.0</v>
      </c>
      <c r="J444" s="706">
        <v>1655862.0</v>
      </c>
      <c r="K444" s="64"/>
      <c r="CE444" s="460"/>
    </row>
    <row r="445">
      <c r="A445" s="690"/>
      <c r="B445" s="712" t="s">
        <v>98</v>
      </c>
      <c r="C445" s="742" t="s">
        <v>416</v>
      </c>
      <c r="D445" s="714" t="s">
        <v>465</v>
      </c>
      <c r="E445" s="715">
        <v>2021.0</v>
      </c>
      <c r="F445" s="742" t="s">
        <v>418</v>
      </c>
      <c r="G445" s="742" t="s">
        <v>50</v>
      </c>
      <c r="H445" s="716">
        <v>7416787.0</v>
      </c>
      <c r="I445" s="716">
        <v>8472153.0</v>
      </c>
      <c r="J445" s="717">
        <v>6347943.0</v>
      </c>
      <c r="K445" s="64"/>
      <c r="CE445" s="460"/>
    </row>
    <row r="446">
      <c r="A446" s="690"/>
      <c r="B446" s="701" t="s">
        <v>98</v>
      </c>
      <c r="C446" s="743" t="s">
        <v>416</v>
      </c>
      <c r="D446" s="703" t="s">
        <v>468</v>
      </c>
      <c r="E446" s="704">
        <v>2021.0</v>
      </c>
      <c r="F446" s="743" t="s">
        <v>418</v>
      </c>
      <c r="G446" s="743" t="s">
        <v>50</v>
      </c>
      <c r="H446" s="705">
        <v>1497302.0</v>
      </c>
      <c r="I446" s="705">
        <v>1710359.0</v>
      </c>
      <c r="J446" s="706">
        <v>1281524.0</v>
      </c>
      <c r="K446" s="64"/>
      <c r="CE446" s="460"/>
    </row>
    <row r="447">
      <c r="A447" s="690"/>
      <c r="B447" s="712" t="s">
        <v>98</v>
      </c>
      <c r="C447" s="742" t="s">
        <v>416</v>
      </c>
      <c r="D447" s="714" t="s">
        <v>471</v>
      </c>
      <c r="E447" s="715">
        <v>2021.0</v>
      </c>
      <c r="F447" s="742" t="s">
        <v>418</v>
      </c>
      <c r="G447" s="742" t="s">
        <v>50</v>
      </c>
      <c r="H447" s="716">
        <v>2072728.0</v>
      </c>
      <c r="I447" s="716">
        <v>2367665.0</v>
      </c>
      <c r="J447" s="717">
        <v>1774024.0</v>
      </c>
      <c r="K447" s="64"/>
      <c r="CE447" s="460"/>
    </row>
    <row r="448">
      <c r="A448" s="690"/>
      <c r="B448" s="701" t="s">
        <v>98</v>
      </c>
      <c r="C448" s="743" t="s">
        <v>416</v>
      </c>
      <c r="D448" s="703" t="s">
        <v>473</v>
      </c>
      <c r="E448" s="704">
        <v>2021.0</v>
      </c>
      <c r="F448" s="743" t="s">
        <v>418</v>
      </c>
      <c r="G448" s="743" t="s">
        <v>50</v>
      </c>
      <c r="H448" s="705">
        <v>5302490.0</v>
      </c>
      <c r="I448" s="705">
        <v>6057004.0</v>
      </c>
      <c r="J448" s="706">
        <v>4538340.0</v>
      </c>
      <c r="K448" s="64"/>
      <c r="CE448" s="460"/>
    </row>
    <row r="449">
      <c r="A449" s="690"/>
      <c r="B449" s="712" t="s">
        <v>98</v>
      </c>
      <c r="C449" s="742" t="s">
        <v>416</v>
      </c>
      <c r="D449" s="714" t="s">
        <v>476</v>
      </c>
      <c r="E449" s="715">
        <v>2021.0</v>
      </c>
      <c r="F449" s="742" t="s">
        <v>418</v>
      </c>
      <c r="G449" s="742" t="s">
        <v>50</v>
      </c>
      <c r="H449" s="716">
        <v>1167583.0</v>
      </c>
      <c r="I449" s="716">
        <v>1333723.0</v>
      </c>
      <c r="J449" s="717">
        <v>999321.0</v>
      </c>
      <c r="K449" s="64"/>
      <c r="CE449" s="460"/>
    </row>
    <row r="450">
      <c r="A450" s="690"/>
      <c r="B450" s="701" t="s">
        <v>98</v>
      </c>
      <c r="C450" s="743" t="s">
        <v>416</v>
      </c>
      <c r="D450" s="703" t="s">
        <v>479</v>
      </c>
      <c r="E450" s="704">
        <v>2021.0</v>
      </c>
      <c r="F450" s="743" t="s">
        <v>418</v>
      </c>
      <c r="G450" s="743" t="s">
        <v>50</v>
      </c>
      <c r="H450" s="705">
        <v>934983.0</v>
      </c>
      <c r="I450" s="705">
        <v>1068026.0</v>
      </c>
      <c r="J450" s="706">
        <v>800241.0</v>
      </c>
      <c r="K450" s="64"/>
      <c r="CE450" s="460"/>
    </row>
    <row r="451">
      <c r="A451" s="690"/>
      <c r="B451" s="712" t="s">
        <v>98</v>
      </c>
      <c r="C451" s="742" t="s">
        <v>416</v>
      </c>
      <c r="D451" s="714" t="s">
        <v>482</v>
      </c>
      <c r="E451" s="715">
        <v>2021.0</v>
      </c>
      <c r="F451" s="742" t="s">
        <v>418</v>
      </c>
      <c r="G451" s="742" t="s">
        <v>50</v>
      </c>
      <c r="H451" s="716">
        <v>758352.0</v>
      </c>
      <c r="I451" s="716">
        <v>866262.0</v>
      </c>
      <c r="J451" s="717">
        <v>649065.0</v>
      </c>
      <c r="K451" s="64"/>
      <c r="CE451" s="460"/>
    </row>
    <row r="452">
      <c r="A452" s="690"/>
      <c r="B452" s="701" t="s">
        <v>98</v>
      </c>
      <c r="C452" s="743" t="s">
        <v>416</v>
      </c>
      <c r="D452" s="703" t="s">
        <v>485</v>
      </c>
      <c r="E452" s="704">
        <v>2021.0</v>
      </c>
      <c r="F452" s="743" t="s">
        <v>418</v>
      </c>
      <c r="G452" s="743" t="s">
        <v>50</v>
      </c>
      <c r="H452" s="705">
        <v>620736.0</v>
      </c>
      <c r="I452" s="705">
        <v>709063.0</v>
      </c>
      <c r="J452" s="706">
        <v>531281.0</v>
      </c>
      <c r="K452" s="64"/>
      <c r="CE452" s="460"/>
    </row>
    <row r="453">
      <c r="A453" s="690"/>
      <c r="B453" s="712" t="s">
        <v>98</v>
      </c>
      <c r="C453" s="742" t="s">
        <v>416</v>
      </c>
      <c r="D453" s="714" t="s">
        <v>488</v>
      </c>
      <c r="E453" s="715">
        <v>2021.0</v>
      </c>
      <c r="F453" s="742" t="s">
        <v>418</v>
      </c>
      <c r="G453" s="742" t="s">
        <v>50</v>
      </c>
      <c r="H453" s="716">
        <v>503161.0</v>
      </c>
      <c r="I453" s="716">
        <v>574758.0</v>
      </c>
      <c r="J453" s="717">
        <v>430649.0</v>
      </c>
      <c r="K453" s="64"/>
      <c r="CE453" s="460"/>
    </row>
    <row r="454">
      <c r="A454" s="690"/>
      <c r="B454" s="701" t="s">
        <v>98</v>
      </c>
      <c r="C454" s="743" t="s">
        <v>416</v>
      </c>
      <c r="D454" s="703" t="s">
        <v>491</v>
      </c>
      <c r="E454" s="704">
        <v>2021.0</v>
      </c>
      <c r="F454" s="743" t="s">
        <v>418</v>
      </c>
      <c r="G454" s="743" t="s">
        <v>50</v>
      </c>
      <c r="H454" s="705">
        <v>389152.0</v>
      </c>
      <c r="I454" s="705">
        <v>444527.0</v>
      </c>
      <c r="J454" s="706">
        <v>333071.0</v>
      </c>
      <c r="K454" s="64"/>
      <c r="CE454" s="460"/>
    </row>
    <row r="455">
      <c r="A455" s="690"/>
      <c r="B455" s="712" t="s">
        <v>98</v>
      </c>
      <c r="C455" s="742" t="s">
        <v>416</v>
      </c>
      <c r="D455" s="714" t="s">
        <v>493</v>
      </c>
      <c r="E455" s="715">
        <v>2021.0</v>
      </c>
      <c r="F455" s="742" t="s">
        <v>418</v>
      </c>
      <c r="G455" s="742" t="s">
        <v>50</v>
      </c>
      <c r="H455" s="716">
        <v>1079354.0</v>
      </c>
      <c r="I455" s="716">
        <v>1232940.0</v>
      </c>
      <c r="J455" s="717">
        <v>923807.0</v>
      </c>
      <c r="K455" s="64"/>
      <c r="CE455" s="460"/>
    </row>
    <row r="456">
      <c r="A456" s="690"/>
      <c r="B456" s="701" t="s">
        <v>98</v>
      </c>
      <c r="C456" s="743" t="s">
        <v>416</v>
      </c>
      <c r="D456" s="703" t="s">
        <v>434</v>
      </c>
      <c r="E456" s="704">
        <v>2021.0</v>
      </c>
      <c r="F456" s="743" t="s">
        <v>418</v>
      </c>
      <c r="G456" s="743" t="s">
        <v>50</v>
      </c>
      <c r="H456" s="705">
        <v>5379382.0</v>
      </c>
      <c r="I456" s="705">
        <v>6144837.0</v>
      </c>
      <c r="J456" s="706">
        <v>4604151.0</v>
      </c>
      <c r="K456" s="64"/>
      <c r="CE456" s="460"/>
    </row>
    <row r="457">
      <c r="A457" s="690"/>
      <c r="B457" s="712" t="s">
        <v>98</v>
      </c>
      <c r="C457" s="742" t="s">
        <v>416</v>
      </c>
      <c r="D457" s="714" t="s">
        <v>497</v>
      </c>
      <c r="E457" s="715">
        <v>2021.0</v>
      </c>
      <c r="F457" s="742" t="s">
        <v>418</v>
      </c>
      <c r="G457" s="742" t="s">
        <v>50</v>
      </c>
      <c r="H457" s="716">
        <v>297985.0</v>
      </c>
      <c r="I457" s="716">
        <v>340386.0</v>
      </c>
      <c r="J457" s="717">
        <v>255042.0</v>
      </c>
      <c r="K457" s="64"/>
      <c r="CE457" s="460"/>
    </row>
    <row r="458">
      <c r="A458" s="690"/>
      <c r="B458" s="701" t="s">
        <v>98</v>
      </c>
      <c r="C458" s="743" t="s">
        <v>416</v>
      </c>
      <c r="D458" s="703" t="s">
        <v>500</v>
      </c>
      <c r="E458" s="704">
        <v>2021.0</v>
      </c>
      <c r="F458" s="743" t="s">
        <v>418</v>
      </c>
      <c r="G458" s="743" t="s">
        <v>50</v>
      </c>
      <c r="H458" s="705">
        <v>2977805.0</v>
      </c>
      <c r="I458" s="705">
        <v>3401529.0</v>
      </c>
      <c r="J458" s="706">
        <v>2548669.0</v>
      </c>
      <c r="K458" s="64"/>
      <c r="CE458" s="460"/>
    </row>
    <row r="459">
      <c r="A459" s="690"/>
      <c r="B459" s="712" t="s">
        <v>98</v>
      </c>
      <c r="C459" s="742" t="s">
        <v>416</v>
      </c>
      <c r="D459" s="714" t="s">
        <v>502</v>
      </c>
      <c r="E459" s="715">
        <v>2021.0</v>
      </c>
      <c r="F459" s="742" t="s">
        <v>418</v>
      </c>
      <c r="G459" s="742" t="s">
        <v>50</v>
      </c>
      <c r="H459" s="716">
        <v>221927.0</v>
      </c>
      <c r="I459" s="716">
        <v>253506.0</v>
      </c>
      <c r="J459" s="717">
        <v>189945.0</v>
      </c>
      <c r="K459" s="64"/>
      <c r="CE459" s="460"/>
    </row>
    <row r="460">
      <c r="A460" s="690"/>
      <c r="B460" s="701" t="s">
        <v>98</v>
      </c>
      <c r="C460" s="743" t="s">
        <v>416</v>
      </c>
      <c r="D460" s="703" t="s">
        <v>505</v>
      </c>
      <c r="E460" s="704">
        <v>2021.0</v>
      </c>
      <c r="F460" s="743" t="s">
        <v>418</v>
      </c>
      <c r="G460" s="743" t="s">
        <v>50</v>
      </c>
      <c r="H460" s="705">
        <v>394608.0</v>
      </c>
      <c r="I460" s="705">
        <v>450759.0</v>
      </c>
      <c r="J460" s="706">
        <v>337741.0</v>
      </c>
      <c r="K460" s="64"/>
      <c r="CE460" s="460"/>
    </row>
    <row r="461">
      <c r="A461" s="690"/>
      <c r="B461" s="712" t="s">
        <v>98</v>
      </c>
      <c r="C461" s="742" t="s">
        <v>416</v>
      </c>
      <c r="D461" s="714" t="s">
        <v>508</v>
      </c>
      <c r="E461" s="715">
        <v>2021.0</v>
      </c>
      <c r="F461" s="742" t="s">
        <v>418</v>
      </c>
      <c r="G461" s="742" t="s">
        <v>50</v>
      </c>
      <c r="H461" s="716">
        <v>170290.0</v>
      </c>
      <c r="I461" s="716">
        <v>194522.0</v>
      </c>
      <c r="J461" s="717">
        <v>145750.0</v>
      </c>
      <c r="K461" s="64"/>
      <c r="CE461" s="460"/>
    </row>
    <row r="462">
      <c r="A462" s="690"/>
      <c r="B462" s="701" t="s">
        <v>98</v>
      </c>
      <c r="C462" s="743" t="s">
        <v>416</v>
      </c>
      <c r="D462" s="703" t="s">
        <v>511</v>
      </c>
      <c r="E462" s="704">
        <v>2021.0</v>
      </c>
      <c r="F462" s="743" t="s">
        <v>418</v>
      </c>
      <c r="G462" s="743" t="s">
        <v>50</v>
      </c>
      <c r="H462" s="705">
        <v>238320.0</v>
      </c>
      <c r="I462" s="705">
        <v>272232.0</v>
      </c>
      <c r="J462" s="706">
        <v>203976.0</v>
      </c>
      <c r="K462" s="64"/>
      <c r="CE462" s="460"/>
    </row>
    <row r="463">
      <c r="A463" s="690"/>
      <c r="B463" s="712" t="s">
        <v>98</v>
      </c>
      <c r="C463" s="742" t="s">
        <v>416</v>
      </c>
      <c r="D463" s="714" t="s">
        <v>514</v>
      </c>
      <c r="E463" s="715">
        <v>2021.0</v>
      </c>
      <c r="F463" s="742" t="s">
        <v>418</v>
      </c>
      <c r="G463" s="742" t="s">
        <v>50</v>
      </c>
      <c r="H463" s="716">
        <v>109318.0</v>
      </c>
      <c r="I463" s="716">
        <v>124873.0</v>
      </c>
      <c r="J463" s="717">
        <v>93564.0</v>
      </c>
      <c r="K463" s="64"/>
      <c r="CE463" s="460"/>
    </row>
    <row r="464">
      <c r="A464" s="690"/>
      <c r="B464" s="701" t="s">
        <v>98</v>
      </c>
      <c r="C464" s="743" t="s">
        <v>416</v>
      </c>
      <c r="D464" s="703" t="s">
        <v>439</v>
      </c>
      <c r="E464" s="704">
        <v>2021.0</v>
      </c>
      <c r="F464" s="743" t="s">
        <v>418</v>
      </c>
      <c r="G464" s="743" t="s">
        <v>50</v>
      </c>
      <c r="H464" s="705">
        <v>48298.0</v>
      </c>
      <c r="I464" s="705">
        <v>55170.0</v>
      </c>
      <c r="J464" s="706">
        <v>41338.0</v>
      </c>
      <c r="K464" s="64"/>
      <c r="CE464" s="460"/>
    </row>
    <row r="465">
      <c r="A465" s="690"/>
      <c r="B465" s="712" t="s">
        <v>98</v>
      </c>
      <c r="C465" s="742" t="s">
        <v>416</v>
      </c>
      <c r="D465" s="714" t="s">
        <v>517</v>
      </c>
      <c r="E465" s="715">
        <v>2021.0</v>
      </c>
      <c r="F465" s="742" t="s">
        <v>418</v>
      </c>
      <c r="G465" s="742" t="s">
        <v>50</v>
      </c>
      <c r="H465" s="716">
        <v>72387.0</v>
      </c>
      <c r="I465" s="716">
        <v>82687.0</v>
      </c>
      <c r="J465" s="717">
        <v>61955.0</v>
      </c>
      <c r="K465" s="64"/>
      <c r="CE465" s="460"/>
    </row>
    <row r="466">
      <c r="A466" s="690"/>
      <c r="B466" s="701" t="s">
        <v>98</v>
      </c>
      <c r="C466" s="743" t="s">
        <v>416</v>
      </c>
      <c r="D466" s="703" t="s">
        <v>520</v>
      </c>
      <c r="E466" s="704">
        <v>2021.0</v>
      </c>
      <c r="F466" s="743" t="s">
        <v>418</v>
      </c>
      <c r="G466" s="743" t="s">
        <v>50</v>
      </c>
      <c r="H466" s="705">
        <v>56616.0</v>
      </c>
      <c r="I466" s="705">
        <v>64672.0</v>
      </c>
      <c r="J466" s="706">
        <v>48457.0</v>
      </c>
      <c r="K466" s="64"/>
      <c r="CE466" s="460"/>
    </row>
    <row r="467">
      <c r="A467" s="690"/>
      <c r="B467" s="712" t="s">
        <v>98</v>
      </c>
      <c r="C467" s="742" t="s">
        <v>416</v>
      </c>
      <c r="D467" s="714" t="s">
        <v>521</v>
      </c>
      <c r="E467" s="715">
        <v>2021.0</v>
      </c>
      <c r="F467" s="742" t="s">
        <v>418</v>
      </c>
      <c r="G467" s="742" t="s">
        <v>50</v>
      </c>
      <c r="H467" s="716">
        <v>36895.0</v>
      </c>
      <c r="I467" s="716">
        <v>42145.0</v>
      </c>
      <c r="J467" s="717">
        <v>31578.0</v>
      </c>
      <c r="K467" s="64"/>
      <c r="CE467" s="460"/>
    </row>
    <row r="468">
      <c r="A468" s="690"/>
      <c r="B468" s="701" t="s">
        <v>98</v>
      </c>
      <c r="C468" s="743" t="s">
        <v>416</v>
      </c>
      <c r="D468" s="703" t="s">
        <v>524</v>
      </c>
      <c r="E468" s="704">
        <v>2021.0</v>
      </c>
      <c r="F468" s="743" t="s">
        <v>418</v>
      </c>
      <c r="G468" s="743" t="s">
        <v>50</v>
      </c>
      <c r="H468" s="705">
        <v>15064.0</v>
      </c>
      <c r="I468" s="705">
        <v>17207.0</v>
      </c>
      <c r="J468" s="706">
        <v>12893.0</v>
      </c>
      <c r="K468" s="64"/>
      <c r="CE468" s="460"/>
    </row>
    <row r="469">
      <c r="A469" s="690"/>
      <c r="B469" s="712" t="s">
        <v>98</v>
      </c>
      <c r="C469" s="742" t="s">
        <v>416</v>
      </c>
      <c r="D469" s="714" t="s">
        <v>527</v>
      </c>
      <c r="E469" s="715">
        <v>2021.0</v>
      </c>
      <c r="F469" s="742" t="s">
        <v>418</v>
      </c>
      <c r="G469" s="742" t="s">
        <v>50</v>
      </c>
      <c r="H469" s="716">
        <v>3739.0</v>
      </c>
      <c r="I469" s="716">
        <v>4272.0</v>
      </c>
      <c r="J469" s="717">
        <v>3201.0</v>
      </c>
      <c r="K469" s="64"/>
      <c r="CE469" s="460"/>
    </row>
    <row r="470">
      <c r="A470" s="690"/>
      <c r="B470" s="701" t="s">
        <v>98</v>
      </c>
      <c r="C470" s="743" t="s">
        <v>416</v>
      </c>
      <c r="D470" s="703" t="s">
        <v>529</v>
      </c>
      <c r="E470" s="704">
        <v>2021.0</v>
      </c>
      <c r="F470" s="743" t="s">
        <v>418</v>
      </c>
      <c r="G470" s="743" t="s">
        <v>50</v>
      </c>
      <c r="H470" s="705">
        <v>917.0</v>
      </c>
      <c r="I470" s="705">
        <v>1048.0</v>
      </c>
      <c r="J470" s="706">
        <v>785.0</v>
      </c>
      <c r="K470" s="64"/>
      <c r="CE470" s="460"/>
    </row>
    <row r="471">
      <c r="A471" s="690"/>
      <c r="B471" s="712" t="s">
        <v>98</v>
      </c>
      <c r="C471" s="742" t="s">
        <v>416</v>
      </c>
      <c r="D471" s="714" t="s">
        <v>443</v>
      </c>
      <c r="E471" s="715">
        <v>2021.0</v>
      </c>
      <c r="F471" s="742" t="s">
        <v>418</v>
      </c>
      <c r="G471" s="742" t="s">
        <v>50</v>
      </c>
      <c r="H471" s="716">
        <v>1.7749359E7</v>
      </c>
      <c r="I471" s="716">
        <v>2.027499E7</v>
      </c>
      <c r="J471" s="717">
        <v>1.5191472E7</v>
      </c>
      <c r="K471" s="64"/>
      <c r="CE471" s="460"/>
    </row>
    <row r="472">
      <c r="A472" s="690"/>
      <c r="B472" s="701" t="s">
        <v>466</v>
      </c>
      <c r="C472" s="743" t="s">
        <v>416</v>
      </c>
      <c r="D472" s="703" t="s">
        <v>417</v>
      </c>
      <c r="E472" s="704">
        <v>2021.0</v>
      </c>
      <c r="F472" s="743" t="s">
        <v>418</v>
      </c>
      <c r="G472" s="743" t="s">
        <v>50</v>
      </c>
      <c r="H472" s="705">
        <v>16498.0</v>
      </c>
      <c r="I472" s="705">
        <v>19543.0</v>
      </c>
      <c r="J472" s="706">
        <v>13553.0</v>
      </c>
      <c r="K472" s="64"/>
      <c r="CE472" s="460"/>
    </row>
    <row r="473">
      <c r="A473" s="690"/>
      <c r="B473" s="712" t="s">
        <v>466</v>
      </c>
      <c r="C473" s="742" t="s">
        <v>416</v>
      </c>
      <c r="D473" s="714" t="s">
        <v>431</v>
      </c>
      <c r="E473" s="715">
        <v>2021.0</v>
      </c>
      <c r="F473" s="742" t="s">
        <v>418</v>
      </c>
      <c r="G473" s="742" t="s">
        <v>50</v>
      </c>
      <c r="H473" s="716">
        <v>313948.0</v>
      </c>
      <c r="I473" s="716">
        <v>371900.0</v>
      </c>
      <c r="J473" s="717">
        <v>257920.0</v>
      </c>
      <c r="K473" s="64"/>
      <c r="CE473" s="460"/>
    </row>
    <row r="474">
      <c r="A474" s="690"/>
      <c r="B474" s="701" t="s">
        <v>466</v>
      </c>
      <c r="C474" s="743" t="s">
        <v>416</v>
      </c>
      <c r="D474" s="703" t="s">
        <v>438</v>
      </c>
      <c r="E474" s="704">
        <v>2021.0</v>
      </c>
      <c r="F474" s="743" t="s">
        <v>418</v>
      </c>
      <c r="G474" s="743" t="s">
        <v>50</v>
      </c>
      <c r="H474" s="705">
        <v>1279.0</v>
      </c>
      <c r="I474" s="705">
        <v>1515.0</v>
      </c>
      <c r="J474" s="706">
        <v>1051.0</v>
      </c>
      <c r="K474" s="64"/>
      <c r="CE474" s="460"/>
    </row>
    <row r="475">
      <c r="A475" s="690"/>
      <c r="B475" s="712" t="s">
        <v>466</v>
      </c>
      <c r="C475" s="742" t="s">
        <v>416</v>
      </c>
      <c r="D475" s="714" t="s">
        <v>421</v>
      </c>
      <c r="E475" s="715">
        <v>2021.0</v>
      </c>
      <c r="F475" s="742" t="s">
        <v>418</v>
      </c>
      <c r="G475" s="742" t="s">
        <v>50</v>
      </c>
      <c r="H475" s="716">
        <v>81307.0</v>
      </c>
      <c r="I475" s="716">
        <v>96316.0</v>
      </c>
      <c r="J475" s="717">
        <v>66797.0</v>
      </c>
      <c r="K475" s="64"/>
      <c r="CE475" s="460"/>
    </row>
    <row r="476">
      <c r="A476" s="690"/>
      <c r="B476" s="701" t="s">
        <v>466</v>
      </c>
      <c r="C476" s="743" t="s">
        <v>416</v>
      </c>
      <c r="D476" s="703" t="s">
        <v>447</v>
      </c>
      <c r="E476" s="704">
        <v>2021.0</v>
      </c>
      <c r="F476" s="743" t="s">
        <v>418</v>
      </c>
      <c r="G476" s="743" t="s">
        <v>50</v>
      </c>
      <c r="H476" s="705">
        <v>240154.0</v>
      </c>
      <c r="I476" s="705">
        <v>284484.0</v>
      </c>
      <c r="J476" s="706">
        <v>197295.0</v>
      </c>
      <c r="K476" s="64"/>
      <c r="CE476" s="460"/>
    </row>
    <row r="477">
      <c r="A477" s="690"/>
      <c r="B477" s="712" t="s">
        <v>466</v>
      </c>
      <c r="C477" s="742" t="s">
        <v>416</v>
      </c>
      <c r="D477" s="714" t="s">
        <v>432</v>
      </c>
      <c r="E477" s="715">
        <v>2021.0</v>
      </c>
      <c r="F477" s="742" t="s">
        <v>418</v>
      </c>
      <c r="G477" s="742" t="s">
        <v>50</v>
      </c>
      <c r="H477" s="716">
        <v>323.0</v>
      </c>
      <c r="I477" s="716">
        <v>383.0</v>
      </c>
      <c r="J477" s="717">
        <v>265.0</v>
      </c>
      <c r="K477" s="64"/>
      <c r="CE477" s="460"/>
    </row>
    <row r="478">
      <c r="A478" s="690"/>
      <c r="B478" s="701" t="s">
        <v>466</v>
      </c>
      <c r="C478" s="743" t="s">
        <v>416</v>
      </c>
      <c r="D478" s="703" t="s">
        <v>450</v>
      </c>
      <c r="E478" s="704">
        <v>2021.0</v>
      </c>
      <c r="F478" s="743" t="s">
        <v>418</v>
      </c>
      <c r="G478" s="743" t="s">
        <v>50</v>
      </c>
      <c r="H478" s="705">
        <v>78313.0</v>
      </c>
      <c r="I478" s="705">
        <v>92768.0</v>
      </c>
      <c r="J478" s="706">
        <v>64337.0</v>
      </c>
      <c r="K478" s="64"/>
      <c r="CE478" s="460"/>
    </row>
    <row r="479">
      <c r="A479" s="690"/>
      <c r="B479" s="712" t="s">
        <v>466</v>
      </c>
      <c r="C479" s="742" t="s">
        <v>416</v>
      </c>
      <c r="D479" s="714" t="s">
        <v>453</v>
      </c>
      <c r="E479" s="715">
        <v>2021.0</v>
      </c>
      <c r="F479" s="742" t="s">
        <v>418</v>
      </c>
      <c r="G479" s="742" t="s">
        <v>50</v>
      </c>
      <c r="H479" s="716">
        <v>152106.0</v>
      </c>
      <c r="I479" s="716">
        <v>180184.0</v>
      </c>
      <c r="J479" s="717">
        <v>124961.0</v>
      </c>
      <c r="K479" s="64"/>
      <c r="CE479" s="460"/>
    </row>
    <row r="480">
      <c r="A480" s="690"/>
      <c r="B480" s="701" t="s">
        <v>466</v>
      </c>
      <c r="C480" s="743" t="s">
        <v>416</v>
      </c>
      <c r="D480" s="703" t="s">
        <v>454</v>
      </c>
      <c r="E480" s="704">
        <v>2021.0</v>
      </c>
      <c r="F480" s="743" t="s">
        <v>418</v>
      </c>
      <c r="G480" s="743" t="s">
        <v>50</v>
      </c>
      <c r="H480" s="705">
        <v>220310.0</v>
      </c>
      <c r="I480" s="705">
        <v>260977.0</v>
      </c>
      <c r="J480" s="706">
        <v>180993.0</v>
      </c>
      <c r="K480" s="64"/>
      <c r="CE480" s="460"/>
    </row>
    <row r="481">
      <c r="A481" s="690"/>
      <c r="B481" s="712" t="s">
        <v>466</v>
      </c>
      <c r="C481" s="742" t="s">
        <v>416</v>
      </c>
      <c r="D481" s="714" t="s">
        <v>457</v>
      </c>
      <c r="E481" s="715">
        <v>2021.0</v>
      </c>
      <c r="F481" s="742" t="s">
        <v>418</v>
      </c>
      <c r="G481" s="742" t="s">
        <v>50</v>
      </c>
      <c r="H481" s="716">
        <v>16271.0</v>
      </c>
      <c r="I481" s="716">
        <v>19275.0</v>
      </c>
      <c r="J481" s="717">
        <v>13368.0</v>
      </c>
      <c r="K481" s="64"/>
      <c r="CE481" s="460"/>
    </row>
    <row r="482">
      <c r="A482" s="690"/>
      <c r="B482" s="701" t="s">
        <v>466</v>
      </c>
      <c r="C482" s="743" t="s">
        <v>416</v>
      </c>
      <c r="D482" s="703" t="s">
        <v>460</v>
      </c>
      <c r="E482" s="704">
        <v>2021.0</v>
      </c>
      <c r="F482" s="743" t="s">
        <v>418</v>
      </c>
      <c r="G482" s="743" t="s">
        <v>50</v>
      </c>
      <c r="H482" s="705">
        <v>7021.0</v>
      </c>
      <c r="I482" s="705">
        <v>8317.0</v>
      </c>
      <c r="J482" s="706">
        <v>5768.0</v>
      </c>
      <c r="K482" s="64"/>
      <c r="CE482" s="460"/>
    </row>
    <row r="483">
      <c r="A483" s="690"/>
      <c r="B483" s="712" t="s">
        <v>466</v>
      </c>
      <c r="C483" s="742" t="s">
        <v>416</v>
      </c>
      <c r="D483" s="714" t="s">
        <v>463</v>
      </c>
      <c r="E483" s="715">
        <v>2021.0</v>
      </c>
      <c r="F483" s="742" t="s">
        <v>418</v>
      </c>
      <c r="G483" s="742" t="s">
        <v>50</v>
      </c>
      <c r="H483" s="716">
        <v>73794.0</v>
      </c>
      <c r="I483" s="716">
        <v>87416.0</v>
      </c>
      <c r="J483" s="717">
        <v>60624.0</v>
      </c>
      <c r="K483" s="64"/>
      <c r="CE483" s="460"/>
    </row>
    <row r="484">
      <c r="A484" s="690"/>
      <c r="B484" s="701" t="s">
        <v>466</v>
      </c>
      <c r="C484" s="743" t="s">
        <v>416</v>
      </c>
      <c r="D484" s="703" t="s">
        <v>465</v>
      </c>
      <c r="E484" s="704">
        <v>2021.0</v>
      </c>
      <c r="F484" s="743" t="s">
        <v>418</v>
      </c>
      <c r="G484" s="743" t="s">
        <v>50</v>
      </c>
      <c r="H484" s="705">
        <v>391710.0</v>
      </c>
      <c r="I484" s="705">
        <v>464016.0</v>
      </c>
      <c r="J484" s="706">
        <v>321804.0</v>
      </c>
      <c r="K484" s="64"/>
      <c r="CE484" s="460"/>
    </row>
    <row r="485">
      <c r="A485" s="690"/>
      <c r="B485" s="712" t="s">
        <v>466</v>
      </c>
      <c r="C485" s="742" t="s">
        <v>416</v>
      </c>
      <c r="D485" s="714" t="s">
        <v>468</v>
      </c>
      <c r="E485" s="715">
        <v>2021.0</v>
      </c>
      <c r="F485" s="742" t="s">
        <v>418</v>
      </c>
      <c r="G485" s="742" t="s">
        <v>50</v>
      </c>
      <c r="H485" s="716">
        <v>68203.0</v>
      </c>
      <c r="I485" s="716">
        <v>80793.0</v>
      </c>
      <c r="J485" s="717">
        <v>56032.0</v>
      </c>
      <c r="K485" s="64"/>
      <c r="CE485" s="460"/>
    </row>
    <row r="486">
      <c r="A486" s="690"/>
      <c r="B486" s="701" t="s">
        <v>466</v>
      </c>
      <c r="C486" s="743" t="s">
        <v>416</v>
      </c>
      <c r="D486" s="703" t="s">
        <v>471</v>
      </c>
      <c r="E486" s="704">
        <v>2021.0</v>
      </c>
      <c r="F486" s="743" t="s">
        <v>418</v>
      </c>
      <c r="G486" s="743" t="s">
        <v>50</v>
      </c>
      <c r="H486" s="705">
        <v>48538.0</v>
      </c>
      <c r="I486" s="705">
        <v>57498.0</v>
      </c>
      <c r="J486" s="706">
        <v>39876.0</v>
      </c>
      <c r="K486" s="64"/>
      <c r="CE486" s="460"/>
    </row>
    <row r="487">
      <c r="A487" s="690"/>
      <c r="B487" s="712" t="s">
        <v>466</v>
      </c>
      <c r="C487" s="742" t="s">
        <v>416</v>
      </c>
      <c r="D487" s="714" t="s">
        <v>473</v>
      </c>
      <c r="E487" s="715">
        <v>2021.0</v>
      </c>
      <c r="F487" s="742" t="s">
        <v>418</v>
      </c>
      <c r="G487" s="742" t="s">
        <v>50</v>
      </c>
      <c r="H487" s="716">
        <v>362223.0</v>
      </c>
      <c r="I487" s="716">
        <v>429086.0</v>
      </c>
      <c r="J487" s="717">
        <v>297579.0</v>
      </c>
      <c r="K487" s="64"/>
      <c r="CE487" s="460"/>
    </row>
    <row r="488">
      <c r="A488" s="690"/>
      <c r="B488" s="701" t="s">
        <v>466</v>
      </c>
      <c r="C488" s="743" t="s">
        <v>416</v>
      </c>
      <c r="D488" s="703" t="s">
        <v>476</v>
      </c>
      <c r="E488" s="704">
        <v>2021.0</v>
      </c>
      <c r="F488" s="743" t="s">
        <v>418</v>
      </c>
      <c r="G488" s="743" t="s">
        <v>50</v>
      </c>
      <c r="H488" s="705">
        <v>62908.0</v>
      </c>
      <c r="I488" s="705">
        <v>74520.0</v>
      </c>
      <c r="J488" s="706">
        <v>51681.0</v>
      </c>
      <c r="K488" s="64"/>
      <c r="CE488" s="460"/>
    </row>
    <row r="489">
      <c r="A489" s="690"/>
      <c r="B489" s="712" t="s">
        <v>466</v>
      </c>
      <c r="C489" s="742" t="s">
        <v>416</v>
      </c>
      <c r="D489" s="714" t="s">
        <v>479</v>
      </c>
      <c r="E489" s="715">
        <v>2021.0</v>
      </c>
      <c r="F489" s="742" t="s">
        <v>418</v>
      </c>
      <c r="G489" s="742" t="s">
        <v>50</v>
      </c>
      <c r="H489" s="716">
        <v>56024.0</v>
      </c>
      <c r="I489" s="716">
        <v>66365.0</v>
      </c>
      <c r="J489" s="717">
        <v>46026.0</v>
      </c>
      <c r="K489" s="64"/>
      <c r="CE489" s="460"/>
    </row>
    <row r="490">
      <c r="A490" s="690"/>
      <c r="B490" s="701" t="s">
        <v>466</v>
      </c>
      <c r="C490" s="743" t="s">
        <v>416</v>
      </c>
      <c r="D490" s="703" t="s">
        <v>482</v>
      </c>
      <c r="E490" s="704">
        <v>2021.0</v>
      </c>
      <c r="F490" s="743" t="s">
        <v>418</v>
      </c>
      <c r="G490" s="743" t="s">
        <v>50</v>
      </c>
      <c r="H490" s="705">
        <v>48858.0</v>
      </c>
      <c r="I490" s="705">
        <v>57877.0</v>
      </c>
      <c r="J490" s="706">
        <v>40139.0</v>
      </c>
      <c r="K490" s="64"/>
      <c r="CE490" s="460"/>
    </row>
    <row r="491">
      <c r="A491" s="690"/>
      <c r="B491" s="712" t="s">
        <v>466</v>
      </c>
      <c r="C491" s="742" t="s">
        <v>416</v>
      </c>
      <c r="D491" s="714" t="s">
        <v>485</v>
      </c>
      <c r="E491" s="715">
        <v>2021.0</v>
      </c>
      <c r="F491" s="742" t="s">
        <v>418</v>
      </c>
      <c r="G491" s="742" t="s">
        <v>50</v>
      </c>
      <c r="H491" s="716">
        <v>43445.0</v>
      </c>
      <c r="I491" s="716">
        <v>51464.0</v>
      </c>
      <c r="J491" s="717">
        <v>35691.0</v>
      </c>
      <c r="K491" s="64"/>
      <c r="CE491" s="460"/>
    </row>
    <row r="492">
      <c r="A492" s="690"/>
      <c r="B492" s="701" t="s">
        <v>466</v>
      </c>
      <c r="C492" s="743" t="s">
        <v>416</v>
      </c>
      <c r="D492" s="703" t="s">
        <v>488</v>
      </c>
      <c r="E492" s="704">
        <v>2021.0</v>
      </c>
      <c r="F492" s="743" t="s">
        <v>418</v>
      </c>
      <c r="G492" s="743" t="s">
        <v>50</v>
      </c>
      <c r="H492" s="705">
        <v>38478.0</v>
      </c>
      <c r="I492" s="705">
        <v>45580.0</v>
      </c>
      <c r="J492" s="706">
        <v>31611.0</v>
      </c>
      <c r="K492" s="64"/>
      <c r="CE492" s="460"/>
    </row>
    <row r="493">
      <c r="A493" s="690"/>
      <c r="B493" s="712" t="s">
        <v>466</v>
      </c>
      <c r="C493" s="742" t="s">
        <v>416</v>
      </c>
      <c r="D493" s="714" t="s">
        <v>491</v>
      </c>
      <c r="E493" s="715">
        <v>2021.0</v>
      </c>
      <c r="F493" s="742" t="s">
        <v>418</v>
      </c>
      <c r="G493" s="742" t="s">
        <v>50</v>
      </c>
      <c r="H493" s="716">
        <v>31680.0</v>
      </c>
      <c r="I493" s="716">
        <v>37528.0</v>
      </c>
      <c r="J493" s="717">
        <v>26026.0</v>
      </c>
      <c r="K493" s="64"/>
      <c r="CE493" s="460"/>
    </row>
    <row r="494">
      <c r="A494" s="690"/>
      <c r="B494" s="701" t="s">
        <v>466</v>
      </c>
      <c r="C494" s="743" t="s">
        <v>416</v>
      </c>
      <c r="D494" s="703" t="s">
        <v>493</v>
      </c>
      <c r="E494" s="704">
        <v>2021.0</v>
      </c>
      <c r="F494" s="743" t="s">
        <v>418</v>
      </c>
      <c r="G494" s="743" t="s">
        <v>50</v>
      </c>
      <c r="H494" s="705">
        <v>89821.0</v>
      </c>
      <c r="I494" s="705">
        <v>106401.0</v>
      </c>
      <c r="J494" s="706">
        <v>73791.0</v>
      </c>
      <c r="K494" s="64"/>
      <c r="CE494" s="460"/>
    </row>
    <row r="495">
      <c r="A495" s="690"/>
      <c r="B495" s="712" t="s">
        <v>466</v>
      </c>
      <c r="C495" s="742" t="s">
        <v>416</v>
      </c>
      <c r="D495" s="714" t="s">
        <v>434</v>
      </c>
      <c r="E495" s="715">
        <v>2021.0</v>
      </c>
      <c r="F495" s="742" t="s">
        <v>418</v>
      </c>
      <c r="G495" s="742" t="s">
        <v>50</v>
      </c>
      <c r="H495" s="716">
        <v>158847.0</v>
      </c>
      <c r="I495" s="716">
        <v>188169.0</v>
      </c>
      <c r="J495" s="717">
        <v>130499.0</v>
      </c>
      <c r="K495" s="64"/>
      <c r="CE495" s="460"/>
    </row>
    <row r="496">
      <c r="A496" s="690"/>
      <c r="B496" s="701" t="s">
        <v>466</v>
      </c>
      <c r="C496" s="743" t="s">
        <v>416</v>
      </c>
      <c r="D496" s="703" t="s">
        <v>497</v>
      </c>
      <c r="E496" s="704">
        <v>2021.0</v>
      </c>
      <c r="F496" s="743" t="s">
        <v>418</v>
      </c>
      <c r="G496" s="743" t="s">
        <v>50</v>
      </c>
      <c r="H496" s="705">
        <v>25032.0</v>
      </c>
      <c r="I496" s="705">
        <v>29652.0</v>
      </c>
      <c r="J496" s="706">
        <v>20564.0</v>
      </c>
      <c r="K496" s="64"/>
      <c r="CE496" s="460"/>
    </row>
    <row r="497">
      <c r="A497" s="690"/>
      <c r="B497" s="712" t="s">
        <v>466</v>
      </c>
      <c r="C497" s="742" t="s">
        <v>416</v>
      </c>
      <c r="D497" s="714" t="s">
        <v>500</v>
      </c>
      <c r="E497" s="715">
        <v>2021.0</v>
      </c>
      <c r="F497" s="742" t="s">
        <v>418</v>
      </c>
      <c r="G497" s="742" t="s">
        <v>50</v>
      </c>
      <c r="H497" s="716">
        <v>80534.0</v>
      </c>
      <c r="I497" s="716">
        <v>95400.0</v>
      </c>
      <c r="J497" s="717">
        <v>66162.0</v>
      </c>
      <c r="K497" s="64"/>
      <c r="CE497" s="460"/>
    </row>
    <row r="498">
      <c r="A498" s="690"/>
      <c r="B498" s="701" t="s">
        <v>466</v>
      </c>
      <c r="C498" s="743" t="s">
        <v>416</v>
      </c>
      <c r="D498" s="703" t="s">
        <v>502</v>
      </c>
      <c r="E498" s="704">
        <v>2021.0</v>
      </c>
      <c r="F498" s="743" t="s">
        <v>418</v>
      </c>
      <c r="G498" s="743" t="s">
        <v>50</v>
      </c>
      <c r="H498" s="705">
        <v>18812.0</v>
      </c>
      <c r="I498" s="705">
        <v>22284.0</v>
      </c>
      <c r="J498" s="706">
        <v>15455.0</v>
      </c>
      <c r="K498" s="64"/>
      <c r="CE498" s="460"/>
    </row>
    <row r="499">
      <c r="A499" s="690"/>
      <c r="B499" s="712" t="s">
        <v>466</v>
      </c>
      <c r="C499" s="742" t="s">
        <v>416</v>
      </c>
      <c r="D499" s="714" t="s">
        <v>505</v>
      </c>
      <c r="E499" s="715">
        <v>2021.0</v>
      </c>
      <c r="F499" s="742" t="s">
        <v>418</v>
      </c>
      <c r="G499" s="742" t="s">
        <v>50</v>
      </c>
      <c r="H499" s="716">
        <v>8197.0</v>
      </c>
      <c r="I499" s="716">
        <v>9710.0</v>
      </c>
      <c r="J499" s="717">
        <v>6734.0</v>
      </c>
      <c r="K499" s="64"/>
      <c r="CE499" s="460"/>
    </row>
    <row r="500">
      <c r="A500" s="690"/>
      <c r="B500" s="701" t="s">
        <v>466</v>
      </c>
      <c r="C500" s="743" t="s">
        <v>416</v>
      </c>
      <c r="D500" s="703" t="s">
        <v>508</v>
      </c>
      <c r="E500" s="704">
        <v>2021.0</v>
      </c>
      <c r="F500" s="743" t="s">
        <v>418</v>
      </c>
      <c r="G500" s="743" t="s">
        <v>50</v>
      </c>
      <c r="H500" s="705">
        <v>14297.0</v>
      </c>
      <c r="I500" s="705">
        <v>16937.0</v>
      </c>
      <c r="J500" s="706">
        <v>11746.0</v>
      </c>
      <c r="K500" s="64"/>
      <c r="CE500" s="460"/>
    </row>
    <row r="501">
      <c r="A501" s="690"/>
      <c r="B501" s="712" t="s">
        <v>466</v>
      </c>
      <c r="C501" s="742" t="s">
        <v>416</v>
      </c>
      <c r="D501" s="714" t="s">
        <v>511</v>
      </c>
      <c r="E501" s="715">
        <v>2021.0</v>
      </c>
      <c r="F501" s="742" t="s">
        <v>418</v>
      </c>
      <c r="G501" s="742" t="s">
        <v>50</v>
      </c>
      <c r="H501" s="716">
        <v>22690.0</v>
      </c>
      <c r="I501" s="716">
        <v>26878.0</v>
      </c>
      <c r="J501" s="717">
        <v>18640.0</v>
      </c>
      <c r="K501" s="64"/>
      <c r="CE501" s="460"/>
    </row>
    <row r="502">
      <c r="A502" s="690"/>
      <c r="B502" s="701" t="s">
        <v>466</v>
      </c>
      <c r="C502" s="743" t="s">
        <v>416</v>
      </c>
      <c r="D502" s="703" t="s">
        <v>514</v>
      </c>
      <c r="E502" s="704">
        <v>2021.0</v>
      </c>
      <c r="F502" s="743" t="s">
        <v>418</v>
      </c>
      <c r="G502" s="743" t="s">
        <v>50</v>
      </c>
      <c r="H502" s="705">
        <v>10190.0</v>
      </c>
      <c r="I502" s="705">
        <v>12071.0</v>
      </c>
      <c r="J502" s="706">
        <v>8371.0</v>
      </c>
      <c r="K502" s="64"/>
      <c r="CE502" s="460"/>
    </row>
    <row r="503">
      <c r="A503" s="690"/>
      <c r="B503" s="712" t="s">
        <v>466</v>
      </c>
      <c r="C503" s="742" t="s">
        <v>416</v>
      </c>
      <c r="D503" s="714" t="s">
        <v>439</v>
      </c>
      <c r="E503" s="715">
        <v>2021.0</v>
      </c>
      <c r="F503" s="742" t="s">
        <v>418</v>
      </c>
      <c r="G503" s="742" t="s">
        <v>50</v>
      </c>
      <c r="H503" s="716">
        <v>956.0</v>
      </c>
      <c r="I503" s="716">
        <v>1133.0</v>
      </c>
      <c r="J503" s="717">
        <v>786.0</v>
      </c>
      <c r="K503" s="64"/>
      <c r="CE503" s="460"/>
    </row>
    <row r="504">
      <c r="A504" s="690"/>
      <c r="B504" s="701" t="s">
        <v>466</v>
      </c>
      <c r="C504" s="743" t="s">
        <v>416</v>
      </c>
      <c r="D504" s="703" t="s">
        <v>517</v>
      </c>
      <c r="E504" s="704">
        <v>2021.0</v>
      </c>
      <c r="F504" s="743" t="s">
        <v>418</v>
      </c>
      <c r="G504" s="743" t="s">
        <v>50</v>
      </c>
      <c r="H504" s="705">
        <v>6667.0</v>
      </c>
      <c r="I504" s="705">
        <v>7898.0</v>
      </c>
      <c r="J504" s="706">
        <v>5477.0</v>
      </c>
      <c r="K504" s="64"/>
      <c r="CE504" s="460"/>
    </row>
    <row r="505">
      <c r="A505" s="690"/>
      <c r="B505" s="712" t="s">
        <v>466</v>
      </c>
      <c r="C505" s="742" t="s">
        <v>416</v>
      </c>
      <c r="D505" s="714" t="s">
        <v>520</v>
      </c>
      <c r="E505" s="715">
        <v>2021.0</v>
      </c>
      <c r="F505" s="742" t="s">
        <v>418</v>
      </c>
      <c r="G505" s="742" t="s">
        <v>50</v>
      </c>
      <c r="H505" s="716">
        <v>5833.0</v>
      </c>
      <c r="I505" s="716">
        <v>6910.0</v>
      </c>
      <c r="J505" s="717">
        <v>4792.0</v>
      </c>
      <c r="K505" s="64"/>
      <c r="CE505" s="460"/>
    </row>
    <row r="506">
      <c r="A506" s="690"/>
      <c r="B506" s="701" t="s">
        <v>466</v>
      </c>
      <c r="C506" s="743" t="s">
        <v>416</v>
      </c>
      <c r="D506" s="703" t="s">
        <v>521</v>
      </c>
      <c r="E506" s="704">
        <v>2021.0</v>
      </c>
      <c r="F506" s="743" t="s">
        <v>418</v>
      </c>
      <c r="G506" s="743" t="s">
        <v>50</v>
      </c>
      <c r="H506" s="705">
        <v>3667.0</v>
      </c>
      <c r="I506" s="705">
        <v>4344.0</v>
      </c>
      <c r="J506" s="706">
        <v>3013.0</v>
      </c>
      <c r="K506" s="64"/>
      <c r="CE506" s="460"/>
    </row>
    <row r="507">
      <c r="A507" s="690"/>
      <c r="B507" s="712" t="s">
        <v>466</v>
      </c>
      <c r="C507" s="742" t="s">
        <v>416</v>
      </c>
      <c r="D507" s="714" t="s">
        <v>524</v>
      </c>
      <c r="E507" s="715">
        <v>2021.0</v>
      </c>
      <c r="F507" s="742" t="s">
        <v>418</v>
      </c>
      <c r="G507" s="742" t="s">
        <v>50</v>
      </c>
      <c r="H507" s="716">
        <v>1577.0</v>
      </c>
      <c r="I507" s="716">
        <v>1869.0</v>
      </c>
      <c r="J507" s="717">
        <v>1296.0</v>
      </c>
      <c r="K507" s="64"/>
      <c r="CE507" s="460"/>
    </row>
    <row r="508">
      <c r="A508" s="690"/>
      <c r="B508" s="701" t="s">
        <v>466</v>
      </c>
      <c r="C508" s="743" t="s">
        <v>416</v>
      </c>
      <c r="D508" s="703" t="s">
        <v>527</v>
      </c>
      <c r="E508" s="704">
        <v>2021.0</v>
      </c>
      <c r="F508" s="743" t="s">
        <v>418</v>
      </c>
      <c r="G508" s="743" t="s">
        <v>50</v>
      </c>
      <c r="H508" s="705">
        <v>472.0</v>
      </c>
      <c r="I508" s="705">
        <v>559.0</v>
      </c>
      <c r="J508" s="706">
        <v>388.0</v>
      </c>
      <c r="K508" s="64"/>
      <c r="CE508" s="460"/>
    </row>
    <row r="509">
      <c r="A509" s="690"/>
      <c r="B509" s="712" t="s">
        <v>466</v>
      </c>
      <c r="C509" s="742" t="s">
        <v>416</v>
      </c>
      <c r="D509" s="714" t="s">
        <v>529</v>
      </c>
      <c r="E509" s="715">
        <v>2021.0</v>
      </c>
      <c r="F509" s="742" t="s">
        <v>418</v>
      </c>
      <c r="G509" s="742" t="s">
        <v>50</v>
      </c>
      <c r="H509" s="716">
        <v>116.0</v>
      </c>
      <c r="I509" s="716">
        <v>138.0</v>
      </c>
      <c r="J509" s="717">
        <v>96.0</v>
      </c>
      <c r="K509" s="64"/>
      <c r="CE509" s="460"/>
    </row>
    <row r="510">
      <c r="A510" s="690"/>
      <c r="B510" s="701" t="s">
        <v>466</v>
      </c>
      <c r="C510" s="743" t="s">
        <v>416</v>
      </c>
      <c r="D510" s="703" t="s">
        <v>443</v>
      </c>
      <c r="E510" s="704">
        <v>2021.0</v>
      </c>
      <c r="F510" s="743" t="s">
        <v>418</v>
      </c>
      <c r="G510" s="743" t="s">
        <v>50</v>
      </c>
      <c r="H510" s="705">
        <v>744374.0</v>
      </c>
      <c r="I510" s="705">
        <v>881779.0</v>
      </c>
      <c r="J510" s="706">
        <v>611531.0</v>
      </c>
      <c r="K510" s="64"/>
      <c r="CE510" s="460"/>
    </row>
    <row r="511">
      <c r="A511" s="690"/>
      <c r="B511" s="712" t="s">
        <v>469</v>
      </c>
      <c r="C511" s="742" t="s">
        <v>416</v>
      </c>
      <c r="D511" s="714" t="s">
        <v>417</v>
      </c>
      <c r="E511" s="715">
        <v>2021.0</v>
      </c>
      <c r="F511" s="742" t="s">
        <v>418</v>
      </c>
      <c r="G511" s="742" t="s">
        <v>50</v>
      </c>
      <c r="H511" s="716">
        <v>124685.0</v>
      </c>
      <c r="I511" s="716">
        <v>144303.0</v>
      </c>
      <c r="J511" s="717">
        <v>106119.0</v>
      </c>
      <c r="K511" s="64"/>
      <c r="CE511" s="460"/>
    </row>
    <row r="512">
      <c r="A512" s="690"/>
      <c r="B512" s="701" t="s">
        <v>469</v>
      </c>
      <c r="C512" s="743" t="s">
        <v>416</v>
      </c>
      <c r="D512" s="703" t="s">
        <v>431</v>
      </c>
      <c r="E512" s="704">
        <v>2021.0</v>
      </c>
      <c r="F512" s="743" t="s">
        <v>418</v>
      </c>
      <c r="G512" s="743" t="s">
        <v>50</v>
      </c>
      <c r="H512" s="705">
        <v>2486843.0</v>
      </c>
      <c r="I512" s="705">
        <v>2878121.0</v>
      </c>
      <c r="J512" s="706">
        <v>2116543.0</v>
      </c>
      <c r="K512" s="64"/>
      <c r="CE512" s="460"/>
    </row>
    <row r="513">
      <c r="A513" s="690"/>
      <c r="B513" s="712" t="s">
        <v>469</v>
      </c>
      <c r="C513" s="742" t="s">
        <v>416</v>
      </c>
      <c r="D513" s="714" t="s">
        <v>438</v>
      </c>
      <c r="E513" s="715">
        <v>2021.0</v>
      </c>
      <c r="F513" s="742" t="s">
        <v>418</v>
      </c>
      <c r="G513" s="742" t="s">
        <v>50</v>
      </c>
      <c r="H513" s="716">
        <v>9620.0</v>
      </c>
      <c r="I513" s="716">
        <v>11133.0</v>
      </c>
      <c r="J513" s="717">
        <v>8187.0</v>
      </c>
      <c r="K513" s="64"/>
      <c r="CE513" s="460"/>
    </row>
    <row r="514">
      <c r="A514" s="690"/>
      <c r="B514" s="701" t="s">
        <v>469</v>
      </c>
      <c r="C514" s="743" t="s">
        <v>416</v>
      </c>
      <c r="D514" s="703" t="s">
        <v>421</v>
      </c>
      <c r="E514" s="704">
        <v>2021.0</v>
      </c>
      <c r="F514" s="743" t="s">
        <v>418</v>
      </c>
      <c r="G514" s="743" t="s">
        <v>50</v>
      </c>
      <c r="H514" s="705">
        <v>632843.0</v>
      </c>
      <c r="I514" s="705">
        <v>732414.0</v>
      </c>
      <c r="J514" s="706">
        <v>538610.0</v>
      </c>
      <c r="K514" s="64"/>
      <c r="CE514" s="460"/>
    </row>
    <row r="515">
      <c r="A515" s="690"/>
      <c r="B515" s="712" t="s">
        <v>469</v>
      </c>
      <c r="C515" s="742" t="s">
        <v>416</v>
      </c>
      <c r="D515" s="714" t="s">
        <v>447</v>
      </c>
      <c r="E515" s="715">
        <v>2021.0</v>
      </c>
      <c r="F515" s="742" t="s">
        <v>418</v>
      </c>
      <c r="G515" s="742" t="s">
        <v>50</v>
      </c>
      <c r="H515" s="716">
        <v>1929273.0</v>
      </c>
      <c r="I515" s="716">
        <v>2232823.0</v>
      </c>
      <c r="J515" s="717">
        <v>1641997.0</v>
      </c>
      <c r="K515" s="64"/>
      <c r="CE515" s="460"/>
    </row>
    <row r="516">
      <c r="A516" s="690"/>
      <c r="B516" s="701" t="s">
        <v>469</v>
      </c>
      <c r="C516" s="743" t="s">
        <v>416</v>
      </c>
      <c r="D516" s="703" t="s">
        <v>432</v>
      </c>
      <c r="E516" s="704">
        <v>2021.0</v>
      </c>
      <c r="F516" s="743" t="s">
        <v>418</v>
      </c>
      <c r="G516" s="743" t="s">
        <v>50</v>
      </c>
      <c r="H516" s="705">
        <v>2420.0</v>
      </c>
      <c r="I516" s="705">
        <v>2800.0</v>
      </c>
      <c r="J516" s="706">
        <v>2059.0</v>
      </c>
      <c r="K516" s="64"/>
      <c r="CE516" s="460"/>
    </row>
    <row r="517">
      <c r="A517" s="690"/>
      <c r="B517" s="712" t="s">
        <v>469</v>
      </c>
      <c r="C517" s="742" t="s">
        <v>416</v>
      </c>
      <c r="D517" s="714" t="s">
        <v>450</v>
      </c>
      <c r="E517" s="715">
        <v>2021.0</v>
      </c>
      <c r="F517" s="742" t="s">
        <v>418</v>
      </c>
      <c r="G517" s="742" t="s">
        <v>50</v>
      </c>
      <c r="H517" s="716">
        <v>638502.0</v>
      </c>
      <c r="I517" s="716">
        <v>738964.0</v>
      </c>
      <c r="J517" s="717">
        <v>543427.0</v>
      </c>
      <c r="K517" s="64"/>
      <c r="CE517" s="460"/>
    </row>
    <row r="518">
      <c r="A518" s="690"/>
      <c r="B518" s="701" t="s">
        <v>469</v>
      </c>
      <c r="C518" s="743" t="s">
        <v>416</v>
      </c>
      <c r="D518" s="703" t="s">
        <v>453</v>
      </c>
      <c r="E518" s="704">
        <v>2021.0</v>
      </c>
      <c r="F518" s="743" t="s">
        <v>418</v>
      </c>
      <c r="G518" s="743" t="s">
        <v>50</v>
      </c>
      <c r="H518" s="705">
        <v>1196072.0</v>
      </c>
      <c r="I518" s="705">
        <v>1384261.0</v>
      </c>
      <c r="J518" s="706">
        <v>1017973.0</v>
      </c>
      <c r="K518" s="64"/>
      <c r="CE518" s="460"/>
    </row>
    <row r="519">
      <c r="A519" s="690"/>
      <c r="B519" s="712" t="s">
        <v>469</v>
      </c>
      <c r="C519" s="742" t="s">
        <v>416</v>
      </c>
      <c r="D519" s="714" t="s">
        <v>454</v>
      </c>
      <c r="E519" s="715">
        <v>2021.0</v>
      </c>
      <c r="F519" s="742" t="s">
        <v>418</v>
      </c>
      <c r="G519" s="742" t="s">
        <v>50</v>
      </c>
      <c r="H519" s="716">
        <v>1667276.0</v>
      </c>
      <c r="I519" s="716">
        <v>1929604.0</v>
      </c>
      <c r="J519" s="717">
        <v>1419012.0</v>
      </c>
      <c r="K519" s="64"/>
      <c r="CE519" s="460"/>
    </row>
    <row r="520">
      <c r="A520" s="690"/>
      <c r="B520" s="701" t="s">
        <v>469</v>
      </c>
      <c r="C520" s="743" t="s">
        <v>416</v>
      </c>
      <c r="D520" s="703" t="s">
        <v>457</v>
      </c>
      <c r="E520" s="704">
        <v>2021.0</v>
      </c>
      <c r="F520" s="743" t="s">
        <v>418</v>
      </c>
      <c r="G520" s="743" t="s">
        <v>50</v>
      </c>
      <c r="H520" s="705">
        <v>124847.0</v>
      </c>
      <c r="I520" s="705">
        <v>144490.0</v>
      </c>
      <c r="J520" s="706">
        <v>106256.0</v>
      </c>
      <c r="K520" s="64"/>
      <c r="CE520" s="460"/>
    </row>
    <row r="521">
      <c r="A521" s="690"/>
      <c r="B521" s="712" t="s">
        <v>469</v>
      </c>
      <c r="C521" s="742" t="s">
        <v>416</v>
      </c>
      <c r="D521" s="714" t="s">
        <v>460</v>
      </c>
      <c r="E521" s="715">
        <v>2021.0</v>
      </c>
      <c r="F521" s="742" t="s">
        <v>418</v>
      </c>
      <c r="G521" s="742" t="s">
        <v>50</v>
      </c>
      <c r="H521" s="716">
        <v>52984.0</v>
      </c>
      <c r="I521" s="716">
        <v>61321.0</v>
      </c>
      <c r="J521" s="717">
        <v>45095.0</v>
      </c>
      <c r="K521" s="64"/>
      <c r="CE521" s="460"/>
    </row>
    <row r="522">
      <c r="A522" s="690"/>
      <c r="B522" s="701" t="s">
        <v>469</v>
      </c>
      <c r="C522" s="743" t="s">
        <v>416</v>
      </c>
      <c r="D522" s="703" t="s">
        <v>463</v>
      </c>
      <c r="E522" s="704">
        <v>2021.0</v>
      </c>
      <c r="F522" s="743" t="s">
        <v>418</v>
      </c>
      <c r="G522" s="743" t="s">
        <v>50</v>
      </c>
      <c r="H522" s="705">
        <v>557570.0</v>
      </c>
      <c r="I522" s="705">
        <v>645298.0</v>
      </c>
      <c r="J522" s="706">
        <v>474546.0</v>
      </c>
      <c r="K522" s="64"/>
      <c r="CE522" s="460"/>
    </row>
    <row r="523">
      <c r="A523" s="690"/>
      <c r="B523" s="712" t="s">
        <v>469</v>
      </c>
      <c r="C523" s="742" t="s">
        <v>416</v>
      </c>
      <c r="D523" s="714" t="s">
        <v>465</v>
      </c>
      <c r="E523" s="715">
        <v>2021.0</v>
      </c>
      <c r="F523" s="742" t="s">
        <v>418</v>
      </c>
      <c r="G523" s="742" t="s">
        <v>50</v>
      </c>
      <c r="H523" s="716">
        <v>2818094.0</v>
      </c>
      <c r="I523" s="716">
        <v>3261491.0</v>
      </c>
      <c r="J523" s="717">
        <v>2398470.0</v>
      </c>
      <c r="K523" s="64"/>
      <c r="CE523" s="460"/>
    </row>
    <row r="524">
      <c r="A524" s="690"/>
      <c r="B524" s="701" t="s">
        <v>469</v>
      </c>
      <c r="C524" s="743" t="s">
        <v>416</v>
      </c>
      <c r="D524" s="703" t="s">
        <v>468</v>
      </c>
      <c r="E524" s="704">
        <v>2021.0</v>
      </c>
      <c r="F524" s="743" t="s">
        <v>418</v>
      </c>
      <c r="G524" s="743" t="s">
        <v>50</v>
      </c>
      <c r="H524" s="705">
        <v>471204.0</v>
      </c>
      <c r="I524" s="705">
        <v>545342.0</v>
      </c>
      <c r="J524" s="706">
        <v>401040.0</v>
      </c>
      <c r="K524" s="64"/>
      <c r="CE524" s="460"/>
    </row>
    <row r="525">
      <c r="A525" s="690"/>
      <c r="B525" s="712" t="s">
        <v>469</v>
      </c>
      <c r="C525" s="742" t="s">
        <v>416</v>
      </c>
      <c r="D525" s="714" t="s">
        <v>471</v>
      </c>
      <c r="E525" s="715">
        <v>2021.0</v>
      </c>
      <c r="F525" s="742" t="s">
        <v>418</v>
      </c>
      <c r="G525" s="742" t="s">
        <v>50</v>
      </c>
      <c r="H525" s="716">
        <v>383311.0</v>
      </c>
      <c r="I525" s="716">
        <v>443621.0</v>
      </c>
      <c r="J525" s="717">
        <v>326234.0</v>
      </c>
      <c r="K525" s="64"/>
      <c r="CE525" s="460"/>
    </row>
    <row r="526">
      <c r="A526" s="690"/>
      <c r="B526" s="701" t="s">
        <v>469</v>
      </c>
      <c r="C526" s="743" t="s">
        <v>416</v>
      </c>
      <c r="D526" s="703" t="s">
        <v>473</v>
      </c>
      <c r="E526" s="704">
        <v>2021.0</v>
      </c>
      <c r="F526" s="743" t="s">
        <v>418</v>
      </c>
      <c r="G526" s="743" t="s">
        <v>50</v>
      </c>
      <c r="H526" s="705">
        <v>2433556.0</v>
      </c>
      <c r="I526" s="705">
        <v>2816449.0</v>
      </c>
      <c r="J526" s="706">
        <v>2071190.0</v>
      </c>
      <c r="K526" s="64"/>
      <c r="CE526" s="460"/>
    </row>
    <row r="527">
      <c r="A527" s="690"/>
      <c r="B527" s="712" t="s">
        <v>469</v>
      </c>
      <c r="C527" s="742" t="s">
        <v>416</v>
      </c>
      <c r="D527" s="714" t="s">
        <v>476</v>
      </c>
      <c r="E527" s="715">
        <v>2021.0</v>
      </c>
      <c r="F527" s="742" t="s">
        <v>418</v>
      </c>
      <c r="G527" s="742" t="s">
        <v>50</v>
      </c>
      <c r="H527" s="716">
        <v>424988.0</v>
      </c>
      <c r="I527" s="716">
        <v>491855.0</v>
      </c>
      <c r="J527" s="717">
        <v>361706.0</v>
      </c>
      <c r="K527" s="64"/>
      <c r="CE527" s="460"/>
    </row>
    <row r="528">
      <c r="A528" s="690"/>
      <c r="B528" s="701" t="s">
        <v>469</v>
      </c>
      <c r="C528" s="743" t="s">
        <v>416</v>
      </c>
      <c r="D528" s="703" t="s">
        <v>479</v>
      </c>
      <c r="E528" s="704">
        <v>2021.0</v>
      </c>
      <c r="F528" s="743" t="s">
        <v>418</v>
      </c>
      <c r="G528" s="743" t="s">
        <v>50</v>
      </c>
      <c r="H528" s="705">
        <v>393594.0</v>
      </c>
      <c r="I528" s="705">
        <v>455521.0</v>
      </c>
      <c r="J528" s="706">
        <v>334986.0</v>
      </c>
      <c r="K528" s="64"/>
      <c r="CE528" s="460"/>
    </row>
    <row r="529">
      <c r="A529" s="690"/>
      <c r="B529" s="712" t="s">
        <v>469</v>
      </c>
      <c r="C529" s="742" t="s">
        <v>416</v>
      </c>
      <c r="D529" s="714" t="s">
        <v>482</v>
      </c>
      <c r="E529" s="715">
        <v>2021.0</v>
      </c>
      <c r="F529" s="742" t="s">
        <v>418</v>
      </c>
      <c r="G529" s="742" t="s">
        <v>50</v>
      </c>
      <c r="H529" s="716">
        <v>368259.0</v>
      </c>
      <c r="I529" s="716">
        <v>426200.0</v>
      </c>
      <c r="J529" s="717">
        <v>313423.0</v>
      </c>
      <c r="K529" s="64"/>
      <c r="CE529" s="460"/>
    </row>
    <row r="530">
      <c r="A530" s="690"/>
      <c r="B530" s="701" t="s">
        <v>469</v>
      </c>
      <c r="C530" s="743" t="s">
        <v>416</v>
      </c>
      <c r="D530" s="703" t="s">
        <v>485</v>
      </c>
      <c r="E530" s="704">
        <v>2021.0</v>
      </c>
      <c r="F530" s="743" t="s">
        <v>418</v>
      </c>
      <c r="G530" s="743" t="s">
        <v>50</v>
      </c>
      <c r="H530" s="705">
        <v>329701.0</v>
      </c>
      <c r="I530" s="705">
        <v>381576.0</v>
      </c>
      <c r="J530" s="706">
        <v>280607.0</v>
      </c>
      <c r="K530" s="64"/>
      <c r="CE530" s="460"/>
    </row>
    <row r="531">
      <c r="A531" s="690"/>
      <c r="B531" s="712" t="s">
        <v>469</v>
      </c>
      <c r="C531" s="742" t="s">
        <v>416</v>
      </c>
      <c r="D531" s="714" t="s">
        <v>488</v>
      </c>
      <c r="E531" s="715">
        <v>2021.0</v>
      </c>
      <c r="F531" s="742" t="s">
        <v>418</v>
      </c>
      <c r="G531" s="742" t="s">
        <v>50</v>
      </c>
      <c r="H531" s="716">
        <v>272779.0</v>
      </c>
      <c r="I531" s="716">
        <v>315697.0</v>
      </c>
      <c r="J531" s="717">
        <v>232161.0</v>
      </c>
      <c r="K531" s="64"/>
      <c r="CE531" s="460"/>
    </row>
    <row r="532">
      <c r="A532" s="690"/>
      <c r="B532" s="701" t="s">
        <v>469</v>
      </c>
      <c r="C532" s="743" t="s">
        <v>416</v>
      </c>
      <c r="D532" s="703" t="s">
        <v>491</v>
      </c>
      <c r="E532" s="704">
        <v>2021.0</v>
      </c>
      <c r="F532" s="743" t="s">
        <v>418</v>
      </c>
      <c r="G532" s="743" t="s">
        <v>50</v>
      </c>
      <c r="H532" s="705">
        <v>209707.0</v>
      </c>
      <c r="I532" s="705">
        <v>242702.0</v>
      </c>
      <c r="J532" s="706">
        <v>178481.0</v>
      </c>
      <c r="K532" s="64"/>
      <c r="CE532" s="460"/>
    </row>
    <row r="533">
      <c r="A533" s="690"/>
      <c r="B533" s="712" t="s">
        <v>469</v>
      </c>
      <c r="C533" s="742" t="s">
        <v>416</v>
      </c>
      <c r="D533" s="714" t="s">
        <v>493</v>
      </c>
      <c r="E533" s="715">
        <v>2021.0</v>
      </c>
      <c r="F533" s="742" t="s">
        <v>418</v>
      </c>
      <c r="G533" s="742" t="s">
        <v>50</v>
      </c>
      <c r="H533" s="716">
        <v>548063.0</v>
      </c>
      <c r="I533" s="716">
        <v>634294.0</v>
      </c>
      <c r="J533" s="717">
        <v>466454.0</v>
      </c>
      <c r="K533" s="64"/>
      <c r="CE533" s="460"/>
    </row>
    <row r="534">
      <c r="A534" s="690"/>
      <c r="B534" s="701" t="s">
        <v>469</v>
      </c>
      <c r="C534" s="743" t="s">
        <v>416</v>
      </c>
      <c r="D534" s="703" t="s">
        <v>434</v>
      </c>
      <c r="E534" s="704">
        <v>2021.0</v>
      </c>
      <c r="F534" s="743" t="s">
        <v>418</v>
      </c>
      <c r="G534" s="743" t="s">
        <v>50</v>
      </c>
      <c r="H534" s="705">
        <v>1296430.0</v>
      </c>
      <c r="I534" s="705">
        <v>1500409.0</v>
      </c>
      <c r="J534" s="706">
        <v>1103387.0</v>
      </c>
      <c r="K534" s="64"/>
      <c r="CE534" s="460"/>
    </row>
    <row r="535">
      <c r="A535" s="690"/>
      <c r="B535" s="712" t="s">
        <v>469</v>
      </c>
      <c r="C535" s="742" t="s">
        <v>416</v>
      </c>
      <c r="D535" s="714" t="s">
        <v>497</v>
      </c>
      <c r="E535" s="715">
        <v>2021.0</v>
      </c>
      <c r="F535" s="742" t="s">
        <v>418</v>
      </c>
      <c r="G535" s="742" t="s">
        <v>50</v>
      </c>
      <c r="H535" s="716">
        <v>153585.0</v>
      </c>
      <c r="I535" s="716">
        <v>177750.0</v>
      </c>
      <c r="J535" s="717">
        <v>130716.0</v>
      </c>
      <c r="K535" s="64"/>
      <c r="CE535" s="460"/>
    </row>
    <row r="536">
      <c r="A536" s="690"/>
      <c r="B536" s="701" t="s">
        <v>469</v>
      </c>
      <c r="C536" s="743" t="s">
        <v>416</v>
      </c>
      <c r="D536" s="703" t="s">
        <v>500</v>
      </c>
      <c r="E536" s="704">
        <v>2021.0</v>
      </c>
      <c r="F536" s="743" t="s">
        <v>418</v>
      </c>
      <c r="G536" s="743" t="s">
        <v>50</v>
      </c>
      <c r="H536" s="705">
        <v>657928.0</v>
      </c>
      <c r="I536" s="705">
        <v>761446.0</v>
      </c>
      <c r="J536" s="706">
        <v>559960.0</v>
      </c>
      <c r="K536" s="64"/>
      <c r="CE536" s="460"/>
    </row>
    <row r="537">
      <c r="A537" s="690"/>
      <c r="B537" s="712" t="s">
        <v>469</v>
      </c>
      <c r="C537" s="742" t="s">
        <v>416</v>
      </c>
      <c r="D537" s="714" t="s">
        <v>502</v>
      </c>
      <c r="E537" s="715">
        <v>2021.0</v>
      </c>
      <c r="F537" s="742" t="s">
        <v>418</v>
      </c>
      <c r="G537" s="742" t="s">
        <v>50</v>
      </c>
      <c r="H537" s="716">
        <v>108414.0</v>
      </c>
      <c r="I537" s="716">
        <v>125472.0</v>
      </c>
      <c r="J537" s="717">
        <v>92271.0</v>
      </c>
      <c r="K537" s="64"/>
      <c r="CE537" s="460"/>
    </row>
    <row r="538">
      <c r="A538" s="690"/>
      <c r="B538" s="701" t="s">
        <v>469</v>
      </c>
      <c r="C538" s="743" t="s">
        <v>416</v>
      </c>
      <c r="D538" s="703" t="s">
        <v>505</v>
      </c>
      <c r="E538" s="704">
        <v>2021.0</v>
      </c>
      <c r="F538" s="743" t="s">
        <v>418</v>
      </c>
      <c r="G538" s="743" t="s">
        <v>50</v>
      </c>
      <c r="H538" s="705">
        <v>62081.0</v>
      </c>
      <c r="I538" s="705">
        <v>71849.0</v>
      </c>
      <c r="J538" s="706">
        <v>52837.0</v>
      </c>
      <c r="K538" s="64"/>
      <c r="CE538" s="460"/>
    </row>
    <row r="539">
      <c r="A539" s="690"/>
      <c r="B539" s="712" t="s">
        <v>469</v>
      </c>
      <c r="C539" s="742" t="s">
        <v>416</v>
      </c>
      <c r="D539" s="714" t="s">
        <v>508</v>
      </c>
      <c r="E539" s="715">
        <v>2021.0</v>
      </c>
      <c r="F539" s="742" t="s">
        <v>418</v>
      </c>
      <c r="G539" s="742" t="s">
        <v>50</v>
      </c>
      <c r="H539" s="716">
        <v>76357.0</v>
      </c>
      <c r="I539" s="716">
        <v>88370.0</v>
      </c>
      <c r="J539" s="717">
        <v>64987.0</v>
      </c>
      <c r="K539" s="64"/>
      <c r="CE539" s="460"/>
    </row>
    <row r="540">
      <c r="A540" s="690"/>
      <c r="B540" s="701" t="s">
        <v>469</v>
      </c>
      <c r="C540" s="743" t="s">
        <v>416</v>
      </c>
      <c r="D540" s="703" t="s">
        <v>511</v>
      </c>
      <c r="E540" s="704">
        <v>2021.0</v>
      </c>
      <c r="F540" s="743" t="s">
        <v>418</v>
      </c>
      <c r="G540" s="743" t="s">
        <v>50</v>
      </c>
      <c r="H540" s="705">
        <v>96173.0</v>
      </c>
      <c r="I540" s="705">
        <v>111305.0</v>
      </c>
      <c r="J540" s="706">
        <v>81852.0</v>
      </c>
      <c r="K540" s="64"/>
      <c r="CE540" s="460"/>
    </row>
    <row r="541">
      <c r="A541" s="690"/>
      <c r="B541" s="712" t="s">
        <v>469</v>
      </c>
      <c r="C541" s="742" t="s">
        <v>416</v>
      </c>
      <c r="D541" s="714" t="s">
        <v>514</v>
      </c>
      <c r="E541" s="715">
        <v>2021.0</v>
      </c>
      <c r="F541" s="742" t="s">
        <v>418</v>
      </c>
      <c r="G541" s="742" t="s">
        <v>50</v>
      </c>
      <c r="H541" s="716">
        <v>46629.0</v>
      </c>
      <c r="I541" s="716">
        <v>53965.0</v>
      </c>
      <c r="J541" s="717">
        <v>39686.0</v>
      </c>
      <c r="K541" s="64"/>
      <c r="CE541" s="460"/>
    </row>
    <row r="542">
      <c r="A542" s="690"/>
      <c r="B542" s="701" t="s">
        <v>469</v>
      </c>
      <c r="C542" s="743" t="s">
        <v>416</v>
      </c>
      <c r="D542" s="703" t="s">
        <v>439</v>
      </c>
      <c r="E542" s="704">
        <v>2021.0</v>
      </c>
      <c r="F542" s="743" t="s">
        <v>418</v>
      </c>
      <c r="G542" s="743" t="s">
        <v>50</v>
      </c>
      <c r="H542" s="705">
        <v>7200.0</v>
      </c>
      <c r="I542" s="705">
        <v>8333.0</v>
      </c>
      <c r="J542" s="706">
        <v>6128.0</v>
      </c>
      <c r="K542" s="64"/>
      <c r="CE542" s="460"/>
    </row>
    <row r="543">
      <c r="A543" s="690"/>
      <c r="B543" s="712" t="s">
        <v>469</v>
      </c>
      <c r="C543" s="742" t="s">
        <v>416</v>
      </c>
      <c r="D543" s="714" t="s">
        <v>517</v>
      </c>
      <c r="E543" s="715">
        <v>2021.0</v>
      </c>
      <c r="F543" s="742" t="s">
        <v>418</v>
      </c>
      <c r="G543" s="742" t="s">
        <v>50</v>
      </c>
      <c r="H543" s="716">
        <v>28769.0</v>
      </c>
      <c r="I543" s="716">
        <v>33295.0</v>
      </c>
      <c r="J543" s="717">
        <v>24485.0</v>
      </c>
      <c r="K543" s="64"/>
      <c r="CE543" s="460"/>
    </row>
    <row r="544">
      <c r="A544" s="690"/>
      <c r="B544" s="701" t="s">
        <v>469</v>
      </c>
      <c r="C544" s="743" t="s">
        <v>416</v>
      </c>
      <c r="D544" s="703" t="s">
        <v>520</v>
      </c>
      <c r="E544" s="704">
        <v>2021.0</v>
      </c>
      <c r="F544" s="743" t="s">
        <v>418</v>
      </c>
      <c r="G544" s="743" t="s">
        <v>50</v>
      </c>
      <c r="H544" s="705">
        <v>20775.0</v>
      </c>
      <c r="I544" s="705">
        <v>24044.0</v>
      </c>
      <c r="J544" s="706">
        <v>17682.0</v>
      </c>
      <c r="K544" s="64"/>
      <c r="CE544" s="460"/>
    </row>
    <row r="545">
      <c r="A545" s="690"/>
      <c r="B545" s="712" t="s">
        <v>469</v>
      </c>
      <c r="C545" s="742" t="s">
        <v>416</v>
      </c>
      <c r="D545" s="714" t="s">
        <v>521</v>
      </c>
      <c r="E545" s="715">
        <v>2021.0</v>
      </c>
      <c r="F545" s="742" t="s">
        <v>418</v>
      </c>
      <c r="G545" s="742" t="s">
        <v>50</v>
      </c>
      <c r="H545" s="716">
        <v>14207.0</v>
      </c>
      <c r="I545" s="716">
        <v>16442.0</v>
      </c>
      <c r="J545" s="717">
        <v>12091.0</v>
      </c>
      <c r="K545" s="64"/>
      <c r="CE545" s="460"/>
    </row>
    <row r="546">
      <c r="A546" s="690"/>
      <c r="B546" s="701" t="s">
        <v>469</v>
      </c>
      <c r="C546" s="743" t="s">
        <v>416</v>
      </c>
      <c r="D546" s="703" t="s">
        <v>524</v>
      </c>
      <c r="E546" s="704">
        <v>2021.0</v>
      </c>
      <c r="F546" s="743" t="s">
        <v>418</v>
      </c>
      <c r="G546" s="743" t="s">
        <v>50</v>
      </c>
      <c r="H546" s="705">
        <v>5173.0</v>
      </c>
      <c r="I546" s="705">
        <v>5987.0</v>
      </c>
      <c r="J546" s="706">
        <v>4403.0</v>
      </c>
      <c r="K546" s="64"/>
      <c r="CE546" s="460"/>
    </row>
    <row r="547">
      <c r="A547" s="690"/>
      <c r="B547" s="712" t="s">
        <v>469</v>
      </c>
      <c r="C547" s="742" t="s">
        <v>416</v>
      </c>
      <c r="D547" s="714" t="s">
        <v>527</v>
      </c>
      <c r="E547" s="715">
        <v>2021.0</v>
      </c>
      <c r="F547" s="742" t="s">
        <v>418</v>
      </c>
      <c r="G547" s="742" t="s">
        <v>50</v>
      </c>
      <c r="H547" s="716">
        <v>1210.0</v>
      </c>
      <c r="I547" s="716">
        <v>1400.0</v>
      </c>
      <c r="J547" s="717">
        <v>1030.0</v>
      </c>
      <c r="K547" s="64"/>
      <c r="CE547" s="460"/>
    </row>
    <row r="548">
      <c r="A548" s="690"/>
      <c r="B548" s="701" t="s">
        <v>469</v>
      </c>
      <c r="C548" s="743" t="s">
        <v>416</v>
      </c>
      <c r="D548" s="703" t="s">
        <v>529</v>
      </c>
      <c r="E548" s="704">
        <v>2021.0</v>
      </c>
      <c r="F548" s="743" t="s">
        <v>418</v>
      </c>
      <c r="G548" s="743" t="s">
        <v>50</v>
      </c>
      <c r="H548" s="705">
        <v>185.0</v>
      </c>
      <c r="I548" s="705">
        <v>214.0</v>
      </c>
      <c r="J548" s="706">
        <v>158.0</v>
      </c>
      <c r="K548" s="64"/>
      <c r="CE548" s="460"/>
    </row>
    <row r="549">
      <c r="A549" s="690"/>
      <c r="B549" s="712" t="s">
        <v>469</v>
      </c>
      <c r="C549" s="742" t="s">
        <v>416</v>
      </c>
      <c r="D549" s="714" t="s">
        <v>443</v>
      </c>
      <c r="E549" s="715">
        <v>2021.0</v>
      </c>
      <c r="F549" s="742" t="s">
        <v>418</v>
      </c>
      <c r="G549" s="742" t="s">
        <v>50</v>
      </c>
      <c r="H549" s="716">
        <v>5391603.0</v>
      </c>
      <c r="I549" s="716">
        <v>6239913.0</v>
      </c>
      <c r="J549" s="717">
        <v>4588773.0</v>
      </c>
      <c r="K549" s="64"/>
      <c r="CE549" s="460"/>
    </row>
    <row r="550">
      <c r="A550" s="690"/>
      <c r="B550" s="701" t="s">
        <v>100</v>
      </c>
      <c r="C550" s="743" t="s">
        <v>416</v>
      </c>
      <c r="D550" s="703" t="s">
        <v>417</v>
      </c>
      <c r="E550" s="704">
        <v>2021.0</v>
      </c>
      <c r="F550" s="743" t="s">
        <v>418</v>
      </c>
      <c r="G550" s="743" t="s">
        <v>50</v>
      </c>
      <c r="H550" s="705">
        <v>2753988.0</v>
      </c>
      <c r="I550" s="705">
        <v>3605608.0</v>
      </c>
      <c r="J550" s="706">
        <v>1926268.0</v>
      </c>
      <c r="K550" s="64"/>
      <c r="CE550" s="460"/>
    </row>
    <row r="551">
      <c r="A551" s="690"/>
      <c r="B551" s="712" t="s">
        <v>100</v>
      </c>
      <c r="C551" s="742" t="s">
        <v>416</v>
      </c>
      <c r="D551" s="714" t="s">
        <v>431</v>
      </c>
      <c r="E551" s="715">
        <v>2021.0</v>
      </c>
      <c r="F551" s="742" t="s">
        <v>418</v>
      </c>
      <c r="G551" s="742" t="s">
        <v>50</v>
      </c>
      <c r="H551" s="716">
        <v>4.7907013E7</v>
      </c>
      <c r="I551" s="716">
        <v>6.2721372E7</v>
      </c>
      <c r="J551" s="717">
        <v>3.3508413E7</v>
      </c>
      <c r="K551" s="64"/>
      <c r="CE551" s="460"/>
    </row>
    <row r="552">
      <c r="A552" s="690"/>
      <c r="B552" s="701" t="s">
        <v>100</v>
      </c>
      <c r="C552" s="743" t="s">
        <v>416</v>
      </c>
      <c r="D552" s="703" t="s">
        <v>438</v>
      </c>
      <c r="E552" s="704">
        <v>2021.0</v>
      </c>
      <c r="F552" s="743" t="s">
        <v>418</v>
      </c>
      <c r="G552" s="743" t="s">
        <v>50</v>
      </c>
      <c r="H552" s="705">
        <v>214856.0</v>
      </c>
      <c r="I552" s="705">
        <v>281296.0</v>
      </c>
      <c r="J552" s="706">
        <v>150280.0</v>
      </c>
      <c r="K552" s="64"/>
      <c r="CE552" s="460"/>
    </row>
    <row r="553">
      <c r="A553" s="690"/>
      <c r="B553" s="712" t="s">
        <v>100</v>
      </c>
      <c r="C553" s="742" t="s">
        <v>416</v>
      </c>
      <c r="D553" s="714" t="s">
        <v>421</v>
      </c>
      <c r="E553" s="715">
        <v>2021.0</v>
      </c>
      <c r="F553" s="742" t="s">
        <v>418</v>
      </c>
      <c r="G553" s="742" t="s">
        <v>50</v>
      </c>
      <c r="H553" s="716">
        <v>1.356074E7</v>
      </c>
      <c r="I553" s="716">
        <v>1.7754149E7</v>
      </c>
      <c r="J553" s="717">
        <v>9485018.0</v>
      </c>
      <c r="K553" s="64"/>
      <c r="CE553" s="460"/>
    </row>
    <row r="554">
      <c r="A554" s="690"/>
      <c r="B554" s="701" t="s">
        <v>100</v>
      </c>
      <c r="C554" s="743" t="s">
        <v>416</v>
      </c>
      <c r="D554" s="703" t="s">
        <v>447</v>
      </c>
      <c r="E554" s="704">
        <v>2021.0</v>
      </c>
      <c r="F554" s="743" t="s">
        <v>418</v>
      </c>
      <c r="G554" s="743" t="s">
        <v>50</v>
      </c>
      <c r="H554" s="705">
        <v>3.7998919E7</v>
      </c>
      <c r="I554" s="705">
        <v>4.9749384E7</v>
      </c>
      <c r="J554" s="706">
        <v>2.6578228E7</v>
      </c>
      <c r="K554" s="64"/>
      <c r="CE554" s="460"/>
    </row>
    <row r="555">
      <c r="A555" s="690"/>
      <c r="B555" s="712" t="s">
        <v>100</v>
      </c>
      <c r="C555" s="742" t="s">
        <v>416</v>
      </c>
      <c r="D555" s="714" t="s">
        <v>432</v>
      </c>
      <c r="E555" s="715">
        <v>2021.0</v>
      </c>
      <c r="F555" s="742" t="s">
        <v>418</v>
      </c>
      <c r="G555" s="742" t="s">
        <v>50</v>
      </c>
      <c r="H555" s="716">
        <v>54179.0</v>
      </c>
      <c r="I555" s="716">
        <v>70932.0</v>
      </c>
      <c r="J555" s="717">
        <v>37895.0</v>
      </c>
      <c r="K555" s="64"/>
      <c r="CE555" s="460"/>
    </row>
    <row r="556">
      <c r="A556" s="690"/>
      <c r="B556" s="701" t="s">
        <v>100</v>
      </c>
      <c r="C556" s="743" t="s">
        <v>416</v>
      </c>
      <c r="D556" s="703" t="s">
        <v>450</v>
      </c>
      <c r="E556" s="704">
        <v>2021.0</v>
      </c>
      <c r="F556" s="743" t="s">
        <v>418</v>
      </c>
      <c r="G556" s="743" t="s">
        <v>50</v>
      </c>
      <c r="H556" s="705">
        <v>1.1578037E7</v>
      </c>
      <c r="I556" s="705">
        <v>1.5158331E7</v>
      </c>
      <c r="J556" s="706">
        <v>8098222.0</v>
      </c>
      <c r="K556" s="64"/>
      <c r="CE556" s="460"/>
    </row>
    <row r="557">
      <c r="A557" s="690"/>
      <c r="B557" s="712" t="s">
        <v>100</v>
      </c>
      <c r="C557" s="742" t="s">
        <v>416</v>
      </c>
      <c r="D557" s="714" t="s">
        <v>453</v>
      </c>
      <c r="E557" s="715">
        <v>2021.0</v>
      </c>
      <c r="F557" s="742" t="s">
        <v>418</v>
      </c>
      <c r="G557" s="742" t="s">
        <v>50</v>
      </c>
      <c r="H557" s="716">
        <v>2.148613E7</v>
      </c>
      <c r="I557" s="716">
        <v>2.8130319E7</v>
      </c>
      <c r="J557" s="717">
        <v>1.5028408E7</v>
      </c>
      <c r="K557" s="64"/>
      <c r="CE557" s="460"/>
    </row>
    <row r="558">
      <c r="A558" s="690"/>
      <c r="B558" s="701" t="s">
        <v>100</v>
      </c>
      <c r="C558" s="743" t="s">
        <v>416</v>
      </c>
      <c r="D558" s="703" t="s">
        <v>454</v>
      </c>
      <c r="E558" s="704">
        <v>2021.0</v>
      </c>
      <c r="F558" s="743" t="s">
        <v>418</v>
      </c>
      <c r="G558" s="743" t="s">
        <v>50</v>
      </c>
      <c r="H558" s="705">
        <v>2.979148E7</v>
      </c>
      <c r="I558" s="705">
        <v>3.9003945E7</v>
      </c>
      <c r="J558" s="706">
        <v>2.0837559E7</v>
      </c>
      <c r="K558" s="64"/>
      <c r="CE558" s="460"/>
    </row>
    <row r="559">
      <c r="A559" s="690"/>
      <c r="B559" s="712" t="s">
        <v>100</v>
      </c>
      <c r="C559" s="742" t="s">
        <v>416</v>
      </c>
      <c r="D559" s="714" t="s">
        <v>457</v>
      </c>
      <c r="E559" s="715">
        <v>2021.0</v>
      </c>
      <c r="F559" s="742" t="s">
        <v>418</v>
      </c>
      <c r="G559" s="742" t="s">
        <v>50</v>
      </c>
      <c r="H559" s="716">
        <v>2724977.0</v>
      </c>
      <c r="I559" s="716">
        <v>3567626.0</v>
      </c>
      <c r="J559" s="717">
        <v>1905977.0</v>
      </c>
      <c r="K559" s="64"/>
      <c r="CE559" s="460"/>
    </row>
    <row r="560">
      <c r="A560" s="690"/>
      <c r="B560" s="701" t="s">
        <v>100</v>
      </c>
      <c r="C560" s="743" t="s">
        <v>416</v>
      </c>
      <c r="D560" s="703" t="s">
        <v>460</v>
      </c>
      <c r="E560" s="704">
        <v>2021.0</v>
      </c>
      <c r="F560" s="743" t="s">
        <v>418</v>
      </c>
      <c r="G560" s="743" t="s">
        <v>50</v>
      </c>
      <c r="H560" s="705">
        <v>1176115.0</v>
      </c>
      <c r="I560" s="705">
        <v>1539806.0</v>
      </c>
      <c r="J560" s="706">
        <v>822630.0</v>
      </c>
      <c r="K560" s="64"/>
      <c r="CE560" s="460"/>
    </row>
    <row r="561">
      <c r="A561" s="690"/>
      <c r="B561" s="712" t="s">
        <v>100</v>
      </c>
      <c r="C561" s="742" t="s">
        <v>416</v>
      </c>
      <c r="D561" s="714" t="s">
        <v>463</v>
      </c>
      <c r="E561" s="715">
        <v>2021.0</v>
      </c>
      <c r="F561" s="742" t="s">
        <v>418</v>
      </c>
      <c r="G561" s="742" t="s">
        <v>50</v>
      </c>
      <c r="H561" s="716">
        <v>9908093.0</v>
      </c>
      <c r="I561" s="716">
        <v>1.2971988E7</v>
      </c>
      <c r="J561" s="717">
        <v>6930185.0</v>
      </c>
      <c r="K561" s="64"/>
      <c r="CE561" s="460"/>
    </row>
    <row r="562">
      <c r="A562" s="690"/>
      <c r="B562" s="701" t="s">
        <v>100</v>
      </c>
      <c r="C562" s="743" t="s">
        <v>416</v>
      </c>
      <c r="D562" s="703" t="s">
        <v>465</v>
      </c>
      <c r="E562" s="704">
        <v>2021.0</v>
      </c>
      <c r="F562" s="743" t="s">
        <v>418</v>
      </c>
      <c r="G562" s="743" t="s">
        <v>50</v>
      </c>
      <c r="H562" s="705">
        <v>4.3315841E7</v>
      </c>
      <c r="I562" s="705">
        <v>5.6710465E7</v>
      </c>
      <c r="J562" s="706">
        <v>3.0297132E7</v>
      </c>
      <c r="K562" s="64"/>
      <c r="CE562" s="460"/>
    </row>
    <row r="563">
      <c r="A563" s="690"/>
      <c r="B563" s="712" t="s">
        <v>100</v>
      </c>
      <c r="C563" s="742" t="s">
        <v>416</v>
      </c>
      <c r="D563" s="714" t="s">
        <v>468</v>
      </c>
      <c r="E563" s="715">
        <v>2021.0</v>
      </c>
      <c r="F563" s="742" t="s">
        <v>418</v>
      </c>
      <c r="G563" s="742" t="s">
        <v>50</v>
      </c>
      <c r="H563" s="716">
        <v>8305350.0</v>
      </c>
      <c r="I563" s="716">
        <v>1.0873626E7</v>
      </c>
      <c r="J563" s="717">
        <v>5809152.0</v>
      </c>
      <c r="K563" s="64"/>
      <c r="CE563" s="460"/>
    </row>
    <row r="564">
      <c r="A564" s="690"/>
      <c r="B564" s="701" t="s">
        <v>100</v>
      </c>
      <c r="C564" s="743" t="s">
        <v>416</v>
      </c>
      <c r="D564" s="703" t="s">
        <v>471</v>
      </c>
      <c r="E564" s="704">
        <v>2021.0</v>
      </c>
      <c r="F564" s="743" t="s">
        <v>418</v>
      </c>
      <c r="G564" s="743" t="s">
        <v>50</v>
      </c>
      <c r="H564" s="705">
        <v>8081776.0</v>
      </c>
      <c r="I564" s="705">
        <v>1.0580916E7</v>
      </c>
      <c r="J564" s="706">
        <v>5652773.0</v>
      </c>
      <c r="K564" s="64"/>
      <c r="CE564" s="460"/>
    </row>
    <row r="565">
      <c r="A565" s="690"/>
      <c r="B565" s="712" t="s">
        <v>100</v>
      </c>
      <c r="C565" s="742" t="s">
        <v>416</v>
      </c>
      <c r="D565" s="714" t="s">
        <v>473</v>
      </c>
      <c r="E565" s="715">
        <v>2021.0</v>
      </c>
      <c r="F565" s="742" t="s">
        <v>418</v>
      </c>
      <c r="G565" s="742" t="s">
        <v>50</v>
      </c>
      <c r="H565" s="716">
        <v>3.3805401E7</v>
      </c>
      <c r="I565" s="716">
        <v>4.4259098E7</v>
      </c>
      <c r="J565" s="717">
        <v>2.3645084E7</v>
      </c>
      <c r="K565" s="64"/>
      <c r="CE565" s="460"/>
    </row>
    <row r="566">
      <c r="A566" s="690"/>
      <c r="B566" s="701" t="s">
        <v>100</v>
      </c>
      <c r="C566" s="743" t="s">
        <v>416</v>
      </c>
      <c r="D566" s="703" t="s">
        <v>476</v>
      </c>
      <c r="E566" s="704">
        <v>2021.0</v>
      </c>
      <c r="F566" s="743" t="s">
        <v>418</v>
      </c>
      <c r="G566" s="743" t="s">
        <v>50</v>
      </c>
      <c r="H566" s="705">
        <v>6999675.0</v>
      </c>
      <c r="I566" s="705">
        <v>9164196.0</v>
      </c>
      <c r="J566" s="706">
        <v>4895901.0</v>
      </c>
      <c r="K566" s="64"/>
      <c r="CE566" s="460"/>
    </row>
    <row r="567">
      <c r="A567" s="690"/>
      <c r="B567" s="712" t="s">
        <v>100</v>
      </c>
      <c r="C567" s="742" t="s">
        <v>416</v>
      </c>
      <c r="D567" s="714" t="s">
        <v>479</v>
      </c>
      <c r="E567" s="715">
        <v>2021.0</v>
      </c>
      <c r="F567" s="742" t="s">
        <v>418</v>
      </c>
      <c r="G567" s="742" t="s">
        <v>50</v>
      </c>
      <c r="H567" s="716">
        <v>5929728.0</v>
      </c>
      <c r="I567" s="716">
        <v>7763388.0</v>
      </c>
      <c r="J567" s="717">
        <v>4147530.0</v>
      </c>
      <c r="K567" s="64"/>
      <c r="CE567" s="460"/>
    </row>
    <row r="568">
      <c r="A568" s="690"/>
      <c r="B568" s="701" t="s">
        <v>100</v>
      </c>
      <c r="C568" s="743" t="s">
        <v>416</v>
      </c>
      <c r="D568" s="703" t="s">
        <v>482</v>
      </c>
      <c r="E568" s="704">
        <v>2021.0</v>
      </c>
      <c r="F568" s="743" t="s">
        <v>418</v>
      </c>
      <c r="G568" s="743" t="s">
        <v>50</v>
      </c>
      <c r="H568" s="705">
        <v>4943103.0</v>
      </c>
      <c r="I568" s="705">
        <v>6471666.0</v>
      </c>
      <c r="J568" s="706">
        <v>3457438.0</v>
      </c>
      <c r="K568" s="64"/>
      <c r="CE568" s="460"/>
    </row>
    <row r="569">
      <c r="A569" s="690"/>
      <c r="B569" s="712" t="s">
        <v>100</v>
      </c>
      <c r="C569" s="742" t="s">
        <v>416</v>
      </c>
      <c r="D569" s="714" t="s">
        <v>485</v>
      </c>
      <c r="E569" s="715">
        <v>2021.0</v>
      </c>
      <c r="F569" s="742" t="s">
        <v>418</v>
      </c>
      <c r="G569" s="742" t="s">
        <v>50</v>
      </c>
      <c r="H569" s="716">
        <v>3988478.0</v>
      </c>
      <c r="I569" s="716">
        <v>5221841.0</v>
      </c>
      <c r="J569" s="717">
        <v>2789729.0</v>
      </c>
      <c r="K569" s="64"/>
      <c r="CE569" s="460"/>
    </row>
    <row r="570">
      <c r="A570" s="690"/>
      <c r="B570" s="701" t="s">
        <v>100</v>
      </c>
      <c r="C570" s="743" t="s">
        <v>416</v>
      </c>
      <c r="D570" s="703" t="s">
        <v>488</v>
      </c>
      <c r="E570" s="704">
        <v>2021.0</v>
      </c>
      <c r="F570" s="743" t="s">
        <v>418</v>
      </c>
      <c r="G570" s="743" t="s">
        <v>50</v>
      </c>
      <c r="H570" s="705">
        <v>3241413.0</v>
      </c>
      <c r="I570" s="705">
        <v>4243760.0</v>
      </c>
      <c r="J570" s="706">
        <v>2267196.0</v>
      </c>
      <c r="K570" s="64"/>
      <c r="CE570" s="460"/>
    </row>
    <row r="571">
      <c r="A571" s="690"/>
      <c r="B571" s="712" t="s">
        <v>100</v>
      </c>
      <c r="C571" s="742" t="s">
        <v>416</v>
      </c>
      <c r="D571" s="714" t="s">
        <v>491</v>
      </c>
      <c r="E571" s="715">
        <v>2021.0</v>
      </c>
      <c r="F571" s="742" t="s">
        <v>418</v>
      </c>
      <c r="G571" s="742" t="s">
        <v>50</v>
      </c>
      <c r="H571" s="716">
        <v>2663189.0</v>
      </c>
      <c r="I571" s="716">
        <v>3486731.0</v>
      </c>
      <c r="J571" s="717">
        <v>1862759.0</v>
      </c>
      <c r="K571" s="64"/>
      <c r="CE571" s="460"/>
    </row>
    <row r="572">
      <c r="A572" s="690"/>
      <c r="B572" s="701" t="s">
        <v>100</v>
      </c>
      <c r="C572" s="743" t="s">
        <v>416</v>
      </c>
      <c r="D572" s="703" t="s">
        <v>493</v>
      </c>
      <c r="E572" s="704">
        <v>2021.0</v>
      </c>
      <c r="F572" s="743" t="s">
        <v>418</v>
      </c>
      <c r="G572" s="743" t="s">
        <v>50</v>
      </c>
      <c r="H572" s="705">
        <v>7438560.0</v>
      </c>
      <c r="I572" s="705">
        <v>9738798.0</v>
      </c>
      <c r="J572" s="706">
        <v>5202878.0</v>
      </c>
      <c r="K572" s="64"/>
      <c r="CE572" s="460"/>
    </row>
    <row r="573">
      <c r="A573" s="690"/>
      <c r="B573" s="712" t="s">
        <v>100</v>
      </c>
      <c r="C573" s="742" t="s">
        <v>416</v>
      </c>
      <c r="D573" s="714" t="s">
        <v>434</v>
      </c>
      <c r="E573" s="715">
        <v>2021.0</v>
      </c>
      <c r="F573" s="742" t="s">
        <v>418</v>
      </c>
      <c r="G573" s="742" t="s">
        <v>50</v>
      </c>
      <c r="H573" s="716">
        <v>2.4438179E7</v>
      </c>
      <c r="I573" s="716">
        <v>3.1995235E7</v>
      </c>
      <c r="J573" s="717">
        <v>1.7093209E7</v>
      </c>
      <c r="K573" s="64"/>
      <c r="CE573" s="460"/>
    </row>
    <row r="574">
      <c r="A574" s="690"/>
      <c r="B574" s="701" t="s">
        <v>100</v>
      </c>
      <c r="C574" s="743" t="s">
        <v>416</v>
      </c>
      <c r="D574" s="703" t="s">
        <v>497</v>
      </c>
      <c r="E574" s="704">
        <v>2021.0</v>
      </c>
      <c r="F574" s="743" t="s">
        <v>418</v>
      </c>
      <c r="G574" s="743" t="s">
        <v>50</v>
      </c>
      <c r="H574" s="705">
        <v>2124888.0</v>
      </c>
      <c r="I574" s="705">
        <v>2781970.0</v>
      </c>
      <c r="J574" s="706">
        <v>1486246.0</v>
      </c>
      <c r="K574" s="64"/>
      <c r="CE574" s="460"/>
    </row>
    <row r="575">
      <c r="A575" s="690"/>
      <c r="B575" s="712" t="s">
        <v>100</v>
      </c>
      <c r="C575" s="742" t="s">
        <v>416</v>
      </c>
      <c r="D575" s="714" t="s">
        <v>500</v>
      </c>
      <c r="E575" s="715">
        <v>2021.0</v>
      </c>
      <c r="F575" s="742" t="s">
        <v>418</v>
      </c>
      <c r="G575" s="742" t="s">
        <v>50</v>
      </c>
      <c r="H575" s="716">
        <v>1.2860143E7</v>
      </c>
      <c r="I575" s="716">
        <v>1.6836904E7</v>
      </c>
      <c r="J575" s="717">
        <v>8994987.0</v>
      </c>
      <c r="K575" s="64"/>
      <c r="CE575" s="460"/>
    </row>
    <row r="576">
      <c r="A576" s="690"/>
      <c r="B576" s="701" t="s">
        <v>100</v>
      </c>
      <c r="C576" s="743" t="s">
        <v>416</v>
      </c>
      <c r="D576" s="703" t="s">
        <v>502</v>
      </c>
      <c r="E576" s="704">
        <v>2021.0</v>
      </c>
      <c r="F576" s="743" t="s">
        <v>418</v>
      </c>
      <c r="G576" s="743" t="s">
        <v>50</v>
      </c>
      <c r="H576" s="705">
        <v>1571184.0</v>
      </c>
      <c r="I576" s="705">
        <v>2057043.0</v>
      </c>
      <c r="J576" s="706">
        <v>1098960.0</v>
      </c>
      <c r="K576" s="64"/>
      <c r="CE576" s="460"/>
    </row>
    <row r="577">
      <c r="A577" s="690"/>
      <c r="B577" s="712" t="s">
        <v>100</v>
      </c>
      <c r="C577" s="742" t="s">
        <v>416</v>
      </c>
      <c r="D577" s="714" t="s">
        <v>505</v>
      </c>
      <c r="E577" s="715">
        <v>2021.0</v>
      </c>
      <c r="F577" s="742" t="s">
        <v>418</v>
      </c>
      <c r="G577" s="742" t="s">
        <v>50</v>
      </c>
      <c r="H577" s="716">
        <v>1363017.0</v>
      </c>
      <c r="I577" s="716">
        <v>1784505.0</v>
      </c>
      <c r="J577" s="717">
        <v>953358.0</v>
      </c>
      <c r="K577" s="64"/>
      <c r="CE577" s="460"/>
    </row>
    <row r="578">
      <c r="A578" s="690"/>
      <c r="B578" s="701" t="s">
        <v>100</v>
      </c>
      <c r="C578" s="743" t="s">
        <v>416</v>
      </c>
      <c r="D578" s="703" t="s">
        <v>508</v>
      </c>
      <c r="E578" s="704">
        <v>2021.0</v>
      </c>
      <c r="F578" s="743" t="s">
        <v>418</v>
      </c>
      <c r="G578" s="743" t="s">
        <v>50</v>
      </c>
      <c r="H578" s="705">
        <v>1079300.0</v>
      </c>
      <c r="I578" s="705">
        <v>1413054.0</v>
      </c>
      <c r="J578" s="706">
        <v>754913.0</v>
      </c>
      <c r="K578" s="64"/>
      <c r="CE578" s="460"/>
    </row>
    <row r="579">
      <c r="A579" s="690"/>
      <c r="B579" s="712" t="s">
        <v>100</v>
      </c>
      <c r="C579" s="742" t="s">
        <v>416</v>
      </c>
      <c r="D579" s="714" t="s">
        <v>511</v>
      </c>
      <c r="E579" s="715">
        <v>2021.0</v>
      </c>
      <c r="F579" s="742" t="s">
        <v>418</v>
      </c>
      <c r="G579" s="742" t="s">
        <v>50</v>
      </c>
      <c r="H579" s="716">
        <v>1264443.0</v>
      </c>
      <c r="I579" s="716">
        <v>1655449.0</v>
      </c>
      <c r="J579" s="717">
        <v>884411.0</v>
      </c>
      <c r="K579" s="64"/>
      <c r="CE579" s="460"/>
    </row>
    <row r="580">
      <c r="A580" s="690"/>
      <c r="B580" s="701" t="s">
        <v>100</v>
      </c>
      <c r="C580" s="743" t="s">
        <v>416</v>
      </c>
      <c r="D580" s="703" t="s">
        <v>514</v>
      </c>
      <c r="E580" s="704">
        <v>2021.0</v>
      </c>
      <c r="F580" s="743" t="s">
        <v>418</v>
      </c>
      <c r="G580" s="743" t="s">
        <v>50</v>
      </c>
      <c r="H580" s="705">
        <v>615443.0</v>
      </c>
      <c r="I580" s="705">
        <v>805758.0</v>
      </c>
      <c r="J580" s="706">
        <v>430470.0</v>
      </c>
      <c r="K580" s="64"/>
      <c r="CE580" s="460"/>
    </row>
    <row r="581">
      <c r="A581" s="690"/>
      <c r="B581" s="712" t="s">
        <v>100</v>
      </c>
      <c r="C581" s="742" t="s">
        <v>416</v>
      </c>
      <c r="D581" s="714" t="s">
        <v>439</v>
      </c>
      <c r="E581" s="715">
        <v>2021.0</v>
      </c>
      <c r="F581" s="742" t="s">
        <v>418</v>
      </c>
      <c r="G581" s="742" t="s">
        <v>50</v>
      </c>
      <c r="H581" s="716">
        <v>160677.0</v>
      </c>
      <c r="I581" s="716">
        <v>210364.0</v>
      </c>
      <c r="J581" s="717">
        <v>112385.0</v>
      </c>
      <c r="K581" s="64"/>
      <c r="CE581" s="460"/>
    </row>
    <row r="582">
      <c r="A582" s="690"/>
      <c r="B582" s="701" t="s">
        <v>100</v>
      </c>
      <c r="C582" s="743" t="s">
        <v>416</v>
      </c>
      <c r="D582" s="703" t="s">
        <v>517</v>
      </c>
      <c r="E582" s="704">
        <v>2021.0</v>
      </c>
      <c r="F582" s="743" t="s">
        <v>418</v>
      </c>
      <c r="G582" s="743" t="s">
        <v>50</v>
      </c>
      <c r="H582" s="705">
        <v>358234.0</v>
      </c>
      <c r="I582" s="705">
        <v>469011.0</v>
      </c>
      <c r="J582" s="706">
        <v>250566.0</v>
      </c>
      <c r="K582" s="64"/>
      <c r="CE582" s="460"/>
    </row>
    <row r="583">
      <c r="A583" s="690"/>
      <c r="B583" s="712" t="s">
        <v>100</v>
      </c>
      <c r="C583" s="742" t="s">
        <v>416</v>
      </c>
      <c r="D583" s="714" t="s">
        <v>520</v>
      </c>
      <c r="E583" s="715">
        <v>2021.0</v>
      </c>
      <c r="F583" s="742" t="s">
        <v>418</v>
      </c>
      <c r="G583" s="742" t="s">
        <v>50</v>
      </c>
      <c r="H583" s="716">
        <v>290766.0</v>
      </c>
      <c r="I583" s="716">
        <v>380680.0</v>
      </c>
      <c r="J583" s="717">
        <v>203375.0</v>
      </c>
      <c r="K583" s="64"/>
      <c r="CE583" s="460"/>
    </row>
    <row r="584">
      <c r="A584" s="690"/>
      <c r="B584" s="701" t="s">
        <v>100</v>
      </c>
      <c r="C584" s="743" t="s">
        <v>416</v>
      </c>
      <c r="D584" s="703" t="s">
        <v>521</v>
      </c>
      <c r="E584" s="704">
        <v>2021.0</v>
      </c>
      <c r="F584" s="743" t="s">
        <v>418</v>
      </c>
      <c r="G584" s="743" t="s">
        <v>50</v>
      </c>
      <c r="H584" s="705">
        <v>186812.0</v>
      </c>
      <c r="I584" s="705">
        <v>244581.0</v>
      </c>
      <c r="J584" s="706">
        <v>130665.0</v>
      </c>
      <c r="K584" s="64"/>
      <c r="CE584" s="460"/>
    </row>
    <row r="585">
      <c r="A585" s="690"/>
      <c r="B585" s="712" t="s">
        <v>100</v>
      </c>
      <c r="C585" s="742" t="s">
        <v>416</v>
      </c>
      <c r="D585" s="714" t="s">
        <v>524</v>
      </c>
      <c r="E585" s="715">
        <v>2021.0</v>
      </c>
      <c r="F585" s="742" t="s">
        <v>418</v>
      </c>
      <c r="G585" s="742" t="s">
        <v>50</v>
      </c>
      <c r="H585" s="716">
        <v>77455.0</v>
      </c>
      <c r="I585" s="716">
        <v>101407.0</v>
      </c>
      <c r="J585" s="717">
        <v>54176.0</v>
      </c>
      <c r="K585" s="64"/>
      <c r="CE585" s="460"/>
    </row>
    <row r="586">
      <c r="A586" s="690"/>
      <c r="B586" s="701" t="s">
        <v>100</v>
      </c>
      <c r="C586" s="743" t="s">
        <v>416</v>
      </c>
      <c r="D586" s="703" t="s">
        <v>527</v>
      </c>
      <c r="E586" s="704">
        <v>2021.0</v>
      </c>
      <c r="F586" s="743" t="s">
        <v>418</v>
      </c>
      <c r="G586" s="743" t="s">
        <v>50</v>
      </c>
      <c r="H586" s="705">
        <v>21851.0</v>
      </c>
      <c r="I586" s="705">
        <v>28608.0</v>
      </c>
      <c r="J586" s="706">
        <v>15283.0</v>
      </c>
      <c r="K586" s="64"/>
      <c r="CE586" s="460"/>
    </row>
    <row r="587">
      <c r="A587" s="690"/>
      <c r="B587" s="712" t="s">
        <v>100</v>
      </c>
      <c r="C587" s="742" t="s">
        <v>416</v>
      </c>
      <c r="D587" s="714" t="s">
        <v>529</v>
      </c>
      <c r="E587" s="715">
        <v>2021.0</v>
      </c>
      <c r="F587" s="742" t="s">
        <v>418</v>
      </c>
      <c r="G587" s="742" t="s">
        <v>50</v>
      </c>
      <c r="H587" s="716">
        <v>4648.0</v>
      </c>
      <c r="I587" s="716">
        <v>6085.0</v>
      </c>
      <c r="J587" s="717">
        <v>3251.0</v>
      </c>
      <c r="K587" s="64"/>
      <c r="CE587" s="460"/>
    </row>
    <row r="588">
      <c r="A588" s="690"/>
      <c r="B588" s="701" t="s">
        <v>100</v>
      </c>
      <c r="C588" s="743" t="s">
        <v>416</v>
      </c>
      <c r="D588" s="703" t="s">
        <v>443</v>
      </c>
      <c r="E588" s="704">
        <v>2021.0</v>
      </c>
      <c r="F588" s="743" t="s">
        <v>418</v>
      </c>
      <c r="G588" s="743" t="s">
        <v>50</v>
      </c>
      <c r="H588" s="705">
        <v>9.0017764E7</v>
      </c>
      <c r="I588" s="705">
        <v>1.17854096E8</v>
      </c>
      <c r="J588" s="706">
        <v>6.2962649E7</v>
      </c>
      <c r="K588" s="64"/>
      <c r="CE588" s="460"/>
    </row>
    <row r="589">
      <c r="A589" s="690"/>
      <c r="B589" s="712" t="s">
        <v>474</v>
      </c>
      <c r="C589" s="742" t="s">
        <v>416</v>
      </c>
      <c r="D589" s="714" t="s">
        <v>417</v>
      </c>
      <c r="E589" s="715">
        <v>2021.0</v>
      </c>
      <c r="F589" s="742" t="s">
        <v>418</v>
      </c>
      <c r="G589" s="742" t="s">
        <v>50</v>
      </c>
      <c r="H589" s="716">
        <v>29481.0</v>
      </c>
      <c r="I589" s="716">
        <v>33925.0</v>
      </c>
      <c r="J589" s="717">
        <v>25346.0</v>
      </c>
      <c r="K589" s="64"/>
      <c r="CE589" s="460"/>
    </row>
    <row r="590">
      <c r="A590" s="690"/>
      <c r="B590" s="701" t="s">
        <v>474</v>
      </c>
      <c r="C590" s="743" t="s">
        <v>416</v>
      </c>
      <c r="D590" s="703" t="s">
        <v>431</v>
      </c>
      <c r="E590" s="704">
        <v>2021.0</v>
      </c>
      <c r="F590" s="743" t="s">
        <v>418</v>
      </c>
      <c r="G590" s="743" t="s">
        <v>50</v>
      </c>
      <c r="H590" s="705">
        <v>528371.0</v>
      </c>
      <c r="I590" s="705">
        <v>608024.0</v>
      </c>
      <c r="J590" s="706">
        <v>454264.0</v>
      </c>
      <c r="K590" s="64"/>
      <c r="CE590" s="460"/>
    </row>
    <row r="591">
      <c r="A591" s="690"/>
      <c r="B591" s="712" t="s">
        <v>474</v>
      </c>
      <c r="C591" s="742" t="s">
        <v>416</v>
      </c>
      <c r="D591" s="714" t="s">
        <v>438</v>
      </c>
      <c r="E591" s="715">
        <v>2021.0</v>
      </c>
      <c r="F591" s="742" t="s">
        <v>418</v>
      </c>
      <c r="G591" s="742" t="s">
        <v>50</v>
      </c>
      <c r="H591" s="716">
        <v>2279.0</v>
      </c>
      <c r="I591" s="716">
        <v>2622.0</v>
      </c>
      <c r="J591" s="717">
        <v>1959.0</v>
      </c>
      <c r="K591" s="64"/>
      <c r="CE591" s="460"/>
    </row>
    <row r="592">
      <c r="A592" s="690"/>
      <c r="B592" s="701" t="s">
        <v>474</v>
      </c>
      <c r="C592" s="743" t="s">
        <v>416</v>
      </c>
      <c r="D592" s="703" t="s">
        <v>421</v>
      </c>
      <c r="E592" s="704">
        <v>2021.0</v>
      </c>
      <c r="F592" s="743" t="s">
        <v>418</v>
      </c>
      <c r="G592" s="743" t="s">
        <v>50</v>
      </c>
      <c r="H592" s="705">
        <v>145696.0</v>
      </c>
      <c r="I592" s="705">
        <v>167660.0</v>
      </c>
      <c r="J592" s="706">
        <v>125261.0</v>
      </c>
      <c r="K592" s="64"/>
      <c r="CE592" s="460"/>
    </row>
    <row r="593">
      <c r="A593" s="690"/>
      <c r="B593" s="712" t="s">
        <v>474</v>
      </c>
      <c r="C593" s="742" t="s">
        <v>416</v>
      </c>
      <c r="D593" s="714" t="s">
        <v>447</v>
      </c>
      <c r="E593" s="715">
        <v>2021.0</v>
      </c>
      <c r="F593" s="742" t="s">
        <v>418</v>
      </c>
      <c r="G593" s="742" t="s">
        <v>50</v>
      </c>
      <c r="H593" s="716">
        <v>413170.0</v>
      </c>
      <c r="I593" s="716">
        <v>475456.0</v>
      </c>
      <c r="J593" s="717">
        <v>355221.0</v>
      </c>
      <c r="K593" s="64"/>
      <c r="CE593" s="460"/>
    </row>
    <row r="594">
      <c r="A594" s="690"/>
      <c r="B594" s="701" t="s">
        <v>474</v>
      </c>
      <c r="C594" s="743" t="s">
        <v>416</v>
      </c>
      <c r="D594" s="703" t="s">
        <v>432</v>
      </c>
      <c r="E594" s="704">
        <v>2021.0</v>
      </c>
      <c r="F594" s="743" t="s">
        <v>418</v>
      </c>
      <c r="G594" s="743" t="s">
        <v>50</v>
      </c>
      <c r="H594" s="705">
        <v>574.0</v>
      </c>
      <c r="I594" s="705">
        <v>660.0</v>
      </c>
      <c r="J594" s="706">
        <v>493.0</v>
      </c>
      <c r="K594" s="64"/>
      <c r="CE594" s="460"/>
    </row>
    <row r="595">
      <c r="A595" s="690"/>
      <c r="B595" s="712" t="s">
        <v>474</v>
      </c>
      <c r="C595" s="742" t="s">
        <v>416</v>
      </c>
      <c r="D595" s="714" t="s">
        <v>450</v>
      </c>
      <c r="E595" s="715">
        <v>2021.0</v>
      </c>
      <c r="F595" s="742" t="s">
        <v>418</v>
      </c>
      <c r="G595" s="742" t="s">
        <v>50</v>
      </c>
      <c r="H595" s="716">
        <v>128777.0</v>
      </c>
      <c r="I595" s="716">
        <v>148190.0</v>
      </c>
      <c r="J595" s="717">
        <v>110715.0</v>
      </c>
      <c r="K595" s="64"/>
      <c r="CE595" s="460"/>
    </row>
    <row r="596">
      <c r="A596" s="690"/>
      <c r="B596" s="701" t="s">
        <v>474</v>
      </c>
      <c r="C596" s="743" t="s">
        <v>416</v>
      </c>
      <c r="D596" s="703" t="s">
        <v>453</v>
      </c>
      <c r="E596" s="704">
        <v>2021.0</v>
      </c>
      <c r="F596" s="743" t="s">
        <v>418</v>
      </c>
      <c r="G596" s="743" t="s">
        <v>50</v>
      </c>
      <c r="H596" s="705">
        <v>243978.0</v>
      </c>
      <c r="I596" s="705">
        <v>280758.0</v>
      </c>
      <c r="J596" s="706">
        <v>209759.0</v>
      </c>
      <c r="K596" s="64"/>
      <c r="CE596" s="460"/>
    </row>
    <row r="597">
      <c r="A597" s="690"/>
      <c r="B597" s="712" t="s">
        <v>474</v>
      </c>
      <c r="C597" s="742" t="s">
        <v>416</v>
      </c>
      <c r="D597" s="714" t="s">
        <v>454</v>
      </c>
      <c r="E597" s="715">
        <v>2021.0</v>
      </c>
      <c r="F597" s="742" t="s">
        <v>418</v>
      </c>
      <c r="G597" s="742" t="s">
        <v>50</v>
      </c>
      <c r="H597" s="716">
        <v>355850.0</v>
      </c>
      <c r="I597" s="716">
        <v>409495.0</v>
      </c>
      <c r="J597" s="717">
        <v>305940.0</v>
      </c>
      <c r="K597" s="64"/>
      <c r="CE597" s="460"/>
    </row>
    <row r="598">
      <c r="A598" s="690"/>
      <c r="B598" s="701" t="s">
        <v>474</v>
      </c>
      <c r="C598" s="743" t="s">
        <v>416</v>
      </c>
      <c r="D598" s="703" t="s">
        <v>457</v>
      </c>
      <c r="E598" s="704">
        <v>2021.0</v>
      </c>
      <c r="F598" s="743" t="s">
        <v>418</v>
      </c>
      <c r="G598" s="743" t="s">
        <v>50</v>
      </c>
      <c r="H598" s="705">
        <v>29370.0</v>
      </c>
      <c r="I598" s="705">
        <v>33798.0</v>
      </c>
      <c r="J598" s="706">
        <v>25251.0</v>
      </c>
      <c r="K598" s="64"/>
      <c r="CE598" s="460"/>
    </row>
    <row r="599">
      <c r="A599" s="690"/>
      <c r="B599" s="712" t="s">
        <v>474</v>
      </c>
      <c r="C599" s="742" t="s">
        <v>416</v>
      </c>
      <c r="D599" s="714" t="s">
        <v>460</v>
      </c>
      <c r="E599" s="715">
        <v>2021.0</v>
      </c>
      <c r="F599" s="742" t="s">
        <v>418</v>
      </c>
      <c r="G599" s="742" t="s">
        <v>50</v>
      </c>
      <c r="H599" s="716">
        <v>12535.0</v>
      </c>
      <c r="I599" s="716">
        <v>14425.0</v>
      </c>
      <c r="J599" s="717">
        <v>10777.0</v>
      </c>
      <c r="K599" s="64"/>
      <c r="CE599" s="460"/>
    </row>
    <row r="600">
      <c r="A600" s="690"/>
      <c r="B600" s="701" t="s">
        <v>474</v>
      </c>
      <c r="C600" s="743" t="s">
        <v>416</v>
      </c>
      <c r="D600" s="703" t="s">
        <v>463</v>
      </c>
      <c r="E600" s="704">
        <v>2021.0</v>
      </c>
      <c r="F600" s="743" t="s">
        <v>418</v>
      </c>
      <c r="G600" s="743" t="s">
        <v>50</v>
      </c>
      <c r="H600" s="705">
        <v>115202.0</v>
      </c>
      <c r="I600" s="705">
        <v>132568.0</v>
      </c>
      <c r="J600" s="706">
        <v>99044.0</v>
      </c>
      <c r="K600" s="64"/>
      <c r="CE600" s="460"/>
    </row>
    <row r="601">
      <c r="A601" s="690"/>
      <c r="B601" s="712" t="s">
        <v>474</v>
      </c>
      <c r="C601" s="742" t="s">
        <v>416</v>
      </c>
      <c r="D601" s="714" t="s">
        <v>465</v>
      </c>
      <c r="E601" s="715">
        <v>2021.0</v>
      </c>
      <c r="F601" s="742" t="s">
        <v>418</v>
      </c>
      <c r="G601" s="742" t="s">
        <v>50</v>
      </c>
      <c r="H601" s="716">
        <v>690566.0</v>
      </c>
      <c r="I601" s="716">
        <v>794669.0</v>
      </c>
      <c r="J601" s="717">
        <v>593710.0</v>
      </c>
      <c r="K601" s="64"/>
      <c r="CE601" s="460"/>
    </row>
    <row r="602">
      <c r="A602" s="690"/>
      <c r="B602" s="701" t="s">
        <v>474</v>
      </c>
      <c r="C602" s="743" t="s">
        <v>416</v>
      </c>
      <c r="D602" s="703" t="s">
        <v>468</v>
      </c>
      <c r="E602" s="704">
        <v>2021.0</v>
      </c>
      <c r="F602" s="743" t="s">
        <v>418</v>
      </c>
      <c r="G602" s="743" t="s">
        <v>50</v>
      </c>
      <c r="H602" s="705">
        <v>111872.0</v>
      </c>
      <c r="I602" s="705">
        <v>128736.0</v>
      </c>
      <c r="J602" s="706">
        <v>96181.0</v>
      </c>
      <c r="K602" s="64"/>
      <c r="CE602" s="460"/>
    </row>
    <row r="603">
      <c r="A603" s="690"/>
      <c r="B603" s="712" t="s">
        <v>474</v>
      </c>
      <c r="C603" s="742" t="s">
        <v>416</v>
      </c>
      <c r="D603" s="714" t="s">
        <v>471</v>
      </c>
      <c r="E603" s="715">
        <v>2021.0</v>
      </c>
      <c r="F603" s="742" t="s">
        <v>418</v>
      </c>
      <c r="G603" s="742" t="s">
        <v>50</v>
      </c>
      <c r="H603" s="716">
        <v>86845.0</v>
      </c>
      <c r="I603" s="716">
        <v>99937.0</v>
      </c>
      <c r="J603" s="717">
        <v>74664.0</v>
      </c>
      <c r="K603" s="64"/>
      <c r="CE603" s="460"/>
    </row>
    <row r="604">
      <c r="A604" s="690"/>
      <c r="B604" s="701" t="s">
        <v>474</v>
      </c>
      <c r="C604" s="743" t="s">
        <v>416</v>
      </c>
      <c r="D604" s="703" t="s">
        <v>473</v>
      </c>
      <c r="E604" s="704">
        <v>2021.0</v>
      </c>
      <c r="F604" s="743" t="s">
        <v>418</v>
      </c>
      <c r="G604" s="743" t="s">
        <v>50</v>
      </c>
      <c r="H604" s="705">
        <v>618443.0</v>
      </c>
      <c r="I604" s="705">
        <v>711674.0</v>
      </c>
      <c r="J604" s="706">
        <v>531703.0</v>
      </c>
      <c r="K604" s="64"/>
      <c r="CE604" s="460"/>
    </row>
    <row r="605">
      <c r="A605" s="690"/>
      <c r="B605" s="712" t="s">
        <v>474</v>
      </c>
      <c r="C605" s="742" t="s">
        <v>416</v>
      </c>
      <c r="D605" s="714" t="s">
        <v>476</v>
      </c>
      <c r="E605" s="715">
        <v>2021.0</v>
      </c>
      <c r="F605" s="742" t="s">
        <v>418</v>
      </c>
      <c r="G605" s="742" t="s">
        <v>50</v>
      </c>
      <c r="H605" s="716">
        <v>106259.0</v>
      </c>
      <c r="I605" s="716">
        <v>122277.0</v>
      </c>
      <c r="J605" s="717">
        <v>91355.0</v>
      </c>
      <c r="K605" s="64"/>
      <c r="CE605" s="460"/>
    </row>
    <row r="606">
      <c r="A606" s="690"/>
      <c r="B606" s="701" t="s">
        <v>474</v>
      </c>
      <c r="C606" s="743" t="s">
        <v>416</v>
      </c>
      <c r="D606" s="703" t="s">
        <v>479</v>
      </c>
      <c r="E606" s="704">
        <v>2021.0</v>
      </c>
      <c r="F606" s="743" t="s">
        <v>418</v>
      </c>
      <c r="G606" s="743" t="s">
        <v>50</v>
      </c>
      <c r="H606" s="705">
        <v>109637.0</v>
      </c>
      <c r="I606" s="705">
        <v>126165.0</v>
      </c>
      <c r="J606" s="706">
        <v>94260.0</v>
      </c>
      <c r="K606" s="64"/>
      <c r="CE606" s="460"/>
    </row>
    <row r="607">
      <c r="A607" s="690"/>
      <c r="B607" s="712" t="s">
        <v>474</v>
      </c>
      <c r="C607" s="742" t="s">
        <v>416</v>
      </c>
      <c r="D607" s="714" t="s">
        <v>482</v>
      </c>
      <c r="E607" s="715">
        <v>2021.0</v>
      </c>
      <c r="F607" s="742" t="s">
        <v>418</v>
      </c>
      <c r="G607" s="742" t="s">
        <v>50</v>
      </c>
      <c r="H607" s="716">
        <v>97796.0</v>
      </c>
      <c r="I607" s="716">
        <v>112539.0</v>
      </c>
      <c r="J607" s="717">
        <v>84080.0</v>
      </c>
      <c r="K607" s="64"/>
      <c r="CE607" s="460"/>
    </row>
    <row r="608">
      <c r="A608" s="690"/>
      <c r="B608" s="701" t="s">
        <v>474</v>
      </c>
      <c r="C608" s="743" t="s">
        <v>416</v>
      </c>
      <c r="D608" s="703" t="s">
        <v>485</v>
      </c>
      <c r="E608" s="704">
        <v>2021.0</v>
      </c>
      <c r="F608" s="743" t="s">
        <v>418</v>
      </c>
      <c r="G608" s="743" t="s">
        <v>50</v>
      </c>
      <c r="H608" s="705">
        <v>84851.0</v>
      </c>
      <c r="I608" s="705">
        <v>97642.0</v>
      </c>
      <c r="J608" s="706">
        <v>72950.0</v>
      </c>
      <c r="K608" s="64"/>
      <c r="CE608" s="460"/>
    </row>
    <row r="609">
      <c r="A609" s="690"/>
      <c r="B609" s="712" t="s">
        <v>474</v>
      </c>
      <c r="C609" s="742" t="s">
        <v>416</v>
      </c>
      <c r="D609" s="714" t="s">
        <v>488</v>
      </c>
      <c r="E609" s="715">
        <v>2021.0</v>
      </c>
      <c r="F609" s="742" t="s">
        <v>418</v>
      </c>
      <c r="G609" s="742" t="s">
        <v>50</v>
      </c>
      <c r="H609" s="716">
        <v>64950.0</v>
      </c>
      <c r="I609" s="716">
        <v>74741.0</v>
      </c>
      <c r="J609" s="717">
        <v>55840.0</v>
      </c>
      <c r="K609" s="64"/>
      <c r="CE609" s="460"/>
    </row>
    <row r="610">
      <c r="A610" s="690"/>
      <c r="B610" s="701" t="s">
        <v>474</v>
      </c>
      <c r="C610" s="743" t="s">
        <v>416</v>
      </c>
      <c r="D610" s="703" t="s">
        <v>491</v>
      </c>
      <c r="E610" s="704">
        <v>2021.0</v>
      </c>
      <c r="F610" s="743" t="s">
        <v>418</v>
      </c>
      <c r="G610" s="743" t="s">
        <v>50</v>
      </c>
      <c r="H610" s="705">
        <v>51247.0</v>
      </c>
      <c r="I610" s="705">
        <v>58973.0</v>
      </c>
      <c r="J610" s="706">
        <v>44059.0</v>
      </c>
      <c r="K610" s="64"/>
      <c r="CE610" s="460"/>
    </row>
    <row r="611">
      <c r="A611" s="690"/>
      <c r="B611" s="712" t="s">
        <v>474</v>
      </c>
      <c r="C611" s="742" t="s">
        <v>416</v>
      </c>
      <c r="D611" s="714" t="s">
        <v>493</v>
      </c>
      <c r="E611" s="715">
        <v>2021.0</v>
      </c>
      <c r="F611" s="742" t="s">
        <v>418</v>
      </c>
      <c r="G611" s="742" t="s">
        <v>50</v>
      </c>
      <c r="H611" s="716">
        <v>133050.0</v>
      </c>
      <c r="I611" s="716">
        <v>153108.0</v>
      </c>
      <c r="J611" s="717">
        <v>114389.0</v>
      </c>
      <c r="K611" s="64"/>
      <c r="CE611" s="460"/>
    </row>
    <row r="612">
      <c r="A612" s="690"/>
      <c r="B612" s="701" t="s">
        <v>474</v>
      </c>
      <c r="C612" s="743" t="s">
        <v>416</v>
      </c>
      <c r="D612" s="703" t="s">
        <v>434</v>
      </c>
      <c r="E612" s="704">
        <v>2021.0</v>
      </c>
      <c r="F612" s="743" t="s">
        <v>418</v>
      </c>
      <c r="G612" s="743" t="s">
        <v>50</v>
      </c>
      <c r="H612" s="705">
        <v>267474.0</v>
      </c>
      <c r="I612" s="705">
        <v>307796.0</v>
      </c>
      <c r="J612" s="706">
        <v>229959.0</v>
      </c>
      <c r="K612" s="64"/>
      <c r="CE612" s="460"/>
    </row>
    <row r="613">
      <c r="A613" s="690"/>
      <c r="B613" s="712" t="s">
        <v>474</v>
      </c>
      <c r="C613" s="742" t="s">
        <v>416</v>
      </c>
      <c r="D613" s="714" t="s">
        <v>497</v>
      </c>
      <c r="E613" s="715">
        <v>2021.0</v>
      </c>
      <c r="F613" s="742" t="s">
        <v>418</v>
      </c>
      <c r="G613" s="742" t="s">
        <v>50</v>
      </c>
      <c r="H613" s="716">
        <v>36887.0</v>
      </c>
      <c r="I613" s="716">
        <v>42447.0</v>
      </c>
      <c r="J613" s="717">
        <v>31713.0</v>
      </c>
      <c r="K613" s="64"/>
      <c r="CE613" s="460"/>
    </row>
    <row r="614">
      <c r="A614" s="690"/>
      <c r="B614" s="701" t="s">
        <v>474</v>
      </c>
      <c r="C614" s="743" t="s">
        <v>416</v>
      </c>
      <c r="D614" s="703" t="s">
        <v>500</v>
      </c>
      <c r="E614" s="704">
        <v>2021.0</v>
      </c>
      <c r="F614" s="743" t="s">
        <v>418</v>
      </c>
      <c r="G614" s="743" t="s">
        <v>50</v>
      </c>
      <c r="H614" s="705">
        <v>138697.0</v>
      </c>
      <c r="I614" s="705">
        <v>159606.0</v>
      </c>
      <c r="J614" s="706">
        <v>119244.0</v>
      </c>
      <c r="K614" s="64"/>
      <c r="CE614" s="460"/>
    </row>
    <row r="615">
      <c r="A615" s="690"/>
      <c r="B615" s="712" t="s">
        <v>474</v>
      </c>
      <c r="C615" s="742" t="s">
        <v>416</v>
      </c>
      <c r="D615" s="714" t="s">
        <v>502</v>
      </c>
      <c r="E615" s="715">
        <v>2021.0</v>
      </c>
      <c r="F615" s="742" t="s">
        <v>418</v>
      </c>
      <c r="G615" s="742" t="s">
        <v>50</v>
      </c>
      <c r="H615" s="716">
        <v>27052.0</v>
      </c>
      <c r="I615" s="716">
        <v>31130.0</v>
      </c>
      <c r="J615" s="717">
        <v>23258.0</v>
      </c>
      <c r="K615" s="64"/>
      <c r="CE615" s="460"/>
    </row>
    <row r="616">
      <c r="A616" s="690"/>
      <c r="B616" s="701" t="s">
        <v>474</v>
      </c>
      <c r="C616" s="743" t="s">
        <v>416</v>
      </c>
      <c r="D616" s="703" t="s">
        <v>505</v>
      </c>
      <c r="E616" s="704">
        <v>2021.0</v>
      </c>
      <c r="F616" s="743" t="s">
        <v>418</v>
      </c>
      <c r="G616" s="743" t="s">
        <v>50</v>
      </c>
      <c r="H616" s="705">
        <v>14667.0</v>
      </c>
      <c r="I616" s="705">
        <v>16878.0</v>
      </c>
      <c r="J616" s="706">
        <v>12610.0</v>
      </c>
      <c r="K616" s="64"/>
      <c r="CE616" s="460"/>
    </row>
    <row r="617">
      <c r="A617" s="690"/>
      <c r="B617" s="712" t="s">
        <v>474</v>
      </c>
      <c r="C617" s="742" t="s">
        <v>416</v>
      </c>
      <c r="D617" s="714" t="s">
        <v>508</v>
      </c>
      <c r="E617" s="715">
        <v>2021.0</v>
      </c>
      <c r="F617" s="742" t="s">
        <v>418</v>
      </c>
      <c r="G617" s="742" t="s">
        <v>50</v>
      </c>
      <c r="H617" s="716">
        <v>17864.0</v>
      </c>
      <c r="I617" s="716">
        <v>20557.0</v>
      </c>
      <c r="J617" s="717">
        <v>15359.0</v>
      </c>
      <c r="K617" s="64"/>
      <c r="CE617" s="460"/>
    </row>
    <row r="618">
      <c r="A618" s="690"/>
      <c r="B618" s="701" t="s">
        <v>474</v>
      </c>
      <c r="C618" s="743" t="s">
        <v>416</v>
      </c>
      <c r="D618" s="703" t="s">
        <v>511</v>
      </c>
      <c r="E618" s="704">
        <v>2021.0</v>
      </c>
      <c r="F618" s="743" t="s">
        <v>418</v>
      </c>
      <c r="G618" s="743" t="s">
        <v>50</v>
      </c>
      <c r="H618" s="705">
        <v>21901.0</v>
      </c>
      <c r="I618" s="705">
        <v>25202.0</v>
      </c>
      <c r="J618" s="706">
        <v>18829.0</v>
      </c>
      <c r="K618" s="64"/>
      <c r="CE618" s="460"/>
    </row>
    <row r="619">
      <c r="A619" s="690"/>
      <c r="B619" s="712" t="s">
        <v>474</v>
      </c>
      <c r="C619" s="742" t="s">
        <v>416</v>
      </c>
      <c r="D619" s="714" t="s">
        <v>514</v>
      </c>
      <c r="E619" s="715">
        <v>2021.0</v>
      </c>
      <c r="F619" s="742" t="s">
        <v>418</v>
      </c>
      <c r="G619" s="742" t="s">
        <v>50</v>
      </c>
      <c r="H619" s="716">
        <v>11800.0</v>
      </c>
      <c r="I619" s="716">
        <v>13579.0</v>
      </c>
      <c r="J619" s="717">
        <v>10145.0</v>
      </c>
      <c r="K619" s="64"/>
      <c r="CE619" s="460"/>
    </row>
    <row r="620">
      <c r="A620" s="690"/>
      <c r="B620" s="701" t="s">
        <v>474</v>
      </c>
      <c r="C620" s="743" t="s">
        <v>416</v>
      </c>
      <c r="D620" s="703" t="s">
        <v>439</v>
      </c>
      <c r="E620" s="704">
        <v>2021.0</v>
      </c>
      <c r="F620" s="743" t="s">
        <v>418</v>
      </c>
      <c r="G620" s="743" t="s">
        <v>50</v>
      </c>
      <c r="H620" s="705">
        <v>1705.0</v>
      </c>
      <c r="I620" s="705">
        <v>1962.0</v>
      </c>
      <c r="J620" s="706">
        <v>1466.0</v>
      </c>
      <c r="K620" s="64"/>
      <c r="CE620" s="460"/>
    </row>
    <row r="621">
      <c r="A621" s="690"/>
      <c r="B621" s="712" t="s">
        <v>474</v>
      </c>
      <c r="C621" s="742" t="s">
        <v>416</v>
      </c>
      <c r="D621" s="714" t="s">
        <v>517</v>
      </c>
      <c r="E621" s="715">
        <v>2021.0</v>
      </c>
      <c r="F621" s="742" t="s">
        <v>418</v>
      </c>
      <c r="G621" s="742" t="s">
        <v>50</v>
      </c>
      <c r="H621" s="716">
        <v>6046.0</v>
      </c>
      <c r="I621" s="716">
        <v>6957.0</v>
      </c>
      <c r="J621" s="717">
        <v>5198.0</v>
      </c>
      <c r="K621" s="64"/>
      <c r="CE621" s="460"/>
    </row>
    <row r="622">
      <c r="A622" s="690"/>
      <c r="B622" s="701" t="s">
        <v>474</v>
      </c>
      <c r="C622" s="743" t="s">
        <v>416</v>
      </c>
      <c r="D622" s="703" t="s">
        <v>520</v>
      </c>
      <c r="E622" s="704">
        <v>2021.0</v>
      </c>
      <c r="F622" s="743" t="s">
        <v>418</v>
      </c>
      <c r="G622" s="743" t="s">
        <v>50</v>
      </c>
      <c r="H622" s="705">
        <v>4055.0</v>
      </c>
      <c r="I622" s="705">
        <v>4666.0</v>
      </c>
      <c r="J622" s="706">
        <v>3486.0</v>
      </c>
      <c r="K622" s="64"/>
      <c r="CE622" s="460"/>
    </row>
    <row r="623">
      <c r="A623" s="690"/>
      <c r="B623" s="712" t="s">
        <v>474</v>
      </c>
      <c r="C623" s="742" t="s">
        <v>416</v>
      </c>
      <c r="D623" s="714" t="s">
        <v>521</v>
      </c>
      <c r="E623" s="715">
        <v>2021.0</v>
      </c>
      <c r="F623" s="742" t="s">
        <v>418</v>
      </c>
      <c r="G623" s="742" t="s">
        <v>50</v>
      </c>
      <c r="H623" s="716">
        <v>2770.0</v>
      </c>
      <c r="I623" s="716">
        <v>3188.0</v>
      </c>
      <c r="J623" s="717">
        <v>2381.0</v>
      </c>
      <c r="K623" s="64"/>
      <c r="CE623" s="460"/>
    </row>
    <row r="624">
      <c r="A624" s="690"/>
      <c r="B624" s="701" t="s">
        <v>474</v>
      </c>
      <c r="C624" s="743" t="s">
        <v>416</v>
      </c>
      <c r="D624" s="703" t="s">
        <v>524</v>
      </c>
      <c r="E624" s="704">
        <v>2021.0</v>
      </c>
      <c r="F624" s="743" t="s">
        <v>418</v>
      </c>
      <c r="G624" s="743" t="s">
        <v>50</v>
      </c>
      <c r="H624" s="705">
        <v>981.0</v>
      </c>
      <c r="I624" s="705">
        <v>1129.0</v>
      </c>
      <c r="J624" s="706">
        <v>843.0</v>
      </c>
      <c r="K624" s="64"/>
      <c r="CE624" s="460"/>
    </row>
    <row r="625">
      <c r="A625" s="690"/>
      <c r="B625" s="712" t="s">
        <v>474</v>
      </c>
      <c r="C625" s="742" t="s">
        <v>416</v>
      </c>
      <c r="D625" s="714" t="s">
        <v>527</v>
      </c>
      <c r="E625" s="715">
        <v>2021.0</v>
      </c>
      <c r="F625" s="742" t="s">
        <v>418</v>
      </c>
      <c r="G625" s="742" t="s">
        <v>50</v>
      </c>
      <c r="H625" s="716">
        <v>251.0</v>
      </c>
      <c r="I625" s="716">
        <v>289.0</v>
      </c>
      <c r="J625" s="717">
        <v>216.0</v>
      </c>
      <c r="K625" s="64"/>
      <c r="CE625" s="460"/>
    </row>
    <row r="626">
      <c r="A626" s="690"/>
      <c r="B626" s="701" t="s">
        <v>474</v>
      </c>
      <c r="C626" s="743" t="s">
        <v>416</v>
      </c>
      <c r="D626" s="703" t="s">
        <v>529</v>
      </c>
      <c r="E626" s="704">
        <v>2021.0</v>
      </c>
      <c r="F626" s="743" t="s">
        <v>418</v>
      </c>
      <c r="G626" s="743" t="s">
        <v>50</v>
      </c>
      <c r="H626" s="705">
        <v>53.0</v>
      </c>
      <c r="I626" s="705">
        <v>61.0</v>
      </c>
      <c r="J626" s="706">
        <v>46.0</v>
      </c>
      <c r="K626" s="64"/>
      <c r="CE626" s="460"/>
    </row>
    <row r="627">
      <c r="A627" s="690"/>
      <c r="B627" s="712" t="s">
        <v>474</v>
      </c>
      <c r="C627" s="742" t="s">
        <v>416</v>
      </c>
      <c r="D627" s="714" t="s">
        <v>443</v>
      </c>
      <c r="E627" s="715">
        <v>2021.0</v>
      </c>
      <c r="F627" s="742" t="s">
        <v>418</v>
      </c>
      <c r="G627" s="742" t="s">
        <v>50</v>
      </c>
      <c r="H627" s="716">
        <v>1258687.0</v>
      </c>
      <c r="I627" s="716">
        <v>1448435.0</v>
      </c>
      <c r="J627" s="717">
        <v>1082149.0</v>
      </c>
      <c r="K627" s="64"/>
      <c r="CE627" s="460"/>
    </row>
    <row r="628">
      <c r="A628" s="690"/>
      <c r="B628" s="701" t="s">
        <v>477</v>
      </c>
      <c r="C628" s="743" t="s">
        <v>416</v>
      </c>
      <c r="D628" s="703" t="s">
        <v>417</v>
      </c>
      <c r="E628" s="704">
        <v>2021.0</v>
      </c>
      <c r="F628" s="743" t="s">
        <v>418</v>
      </c>
      <c r="G628" s="743" t="s">
        <v>50</v>
      </c>
      <c r="H628" s="705">
        <v>36438.0</v>
      </c>
      <c r="I628" s="705">
        <v>40382.0</v>
      </c>
      <c r="J628" s="706">
        <v>32832.0</v>
      </c>
      <c r="K628" s="64"/>
      <c r="CE628" s="460"/>
    </row>
    <row r="629">
      <c r="A629" s="690"/>
      <c r="B629" s="712" t="s">
        <v>477</v>
      </c>
      <c r="C629" s="742" t="s">
        <v>416</v>
      </c>
      <c r="D629" s="714" t="s">
        <v>431</v>
      </c>
      <c r="E629" s="715">
        <v>2021.0</v>
      </c>
      <c r="F629" s="742" t="s">
        <v>418</v>
      </c>
      <c r="G629" s="742" t="s">
        <v>50</v>
      </c>
      <c r="H629" s="716">
        <v>770130.0</v>
      </c>
      <c r="I629" s="716">
        <v>853498.0</v>
      </c>
      <c r="J629" s="717">
        <v>693920.0</v>
      </c>
      <c r="K629" s="64"/>
      <c r="CE629" s="460"/>
    </row>
    <row r="630">
      <c r="A630" s="690"/>
      <c r="B630" s="701" t="s">
        <v>477</v>
      </c>
      <c r="C630" s="743" t="s">
        <v>416</v>
      </c>
      <c r="D630" s="703" t="s">
        <v>438</v>
      </c>
      <c r="E630" s="704">
        <v>2021.0</v>
      </c>
      <c r="F630" s="743" t="s">
        <v>418</v>
      </c>
      <c r="G630" s="743" t="s">
        <v>50</v>
      </c>
      <c r="H630" s="705">
        <v>2829.0</v>
      </c>
      <c r="I630" s="705">
        <v>3135.0</v>
      </c>
      <c r="J630" s="706">
        <v>2549.0</v>
      </c>
      <c r="K630" s="64"/>
      <c r="CE630" s="460"/>
    </row>
    <row r="631">
      <c r="A631" s="690"/>
      <c r="B631" s="712" t="s">
        <v>477</v>
      </c>
      <c r="C631" s="742" t="s">
        <v>416</v>
      </c>
      <c r="D631" s="714" t="s">
        <v>421</v>
      </c>
      <c r="E631" s="715">
        <v>2021.0</v>
      </c>
      <c r="F631" s="742" t="s">
        <v>418</v>
      </c>
      <c r="G631" s="742" t="s">
        <v>50</v>
      </c>
      <c r="H631" s="716">
        <v>187338.0</v>
      </c>
      <c r="I631" s="716">
        <v>207618.0</v>
      </c>
      <c r="J631" s="717">
        <v>168800.0</v>
      </c>
      <c r="K631" s="64"/>
      <c r="CE631" s="460"/>
    </row>
    <row r="632">
      <c r="A632" s="690"/>
      <c r="B632" s="701" t="s">
        <v>477</v>
      </c>
      <c r="C632" s="743" t="s">
        <v>416</v>
      </c>
      <c r="D632" s="703" t="s">
        <v>447</v>
      </c>
      <c r="E632" s="704">
        <v>2021.0</v>
      </c>
      <c r="F632" s="743" t="s">
        <v>418</v>
      </c>
      <c r="G632" s="743" t="s">
        <v>50</v>
      </c>
      <c r="H632" s="705">
        <v>585000.0</v>
      </c>
      <c r="I632" s="705">
        <v>648328.0</v>
      </c>
      <c r="J632" s="706">
        <v>527110.0</v>
      </c>
      <c r="K632" s="64"/>
      <c r="CE632" s="460"/>
    </row>
    <row r="633">
      <c r="A633" s="690"/>
      <c r="B633" s="712" t="s">
        <v>477</v>
      </c>
      <c r="C633" s="742" t="s">
        <v>416</v>
      </c>
      <c r="D633" s="714" t="s">
        <v>432</v>
      </c>
      <c r="E633" s="715">
        <v>2021.0</v>
      </c>
      <c r="F633" s="742" t="s">
        <v>418</v>
      </c>
      <c r="G633" s="742" t="s">
        <v>50</v>
      </c>
      <c r="H633" s="716">
        <v>712.0</v>
      </c>
      <c r="I633" s="716">
        <v>789.0</v>
      </c>
      <c r="J633" s="717">
        <v>642.0</v>
      </c>
      <c r="K633" s="64"/>
      <c r="CE633" s="460"/>
    </row>
    <row r="634">
      <c r="A634" s="690"/>
      <c r="B634" s="701" t="s">
        <v>477</v>
      </c>
      <c r="C634" s="743" t="s">
        <v>416</v>
      </c>
      <c r="D634" s="703" t="s">
        <v>450</v>
      </c>
      <c r="E634" s="704">
        <v>2021.0</v>
      </c>
      <c r="F634" s="743" t="s">
        <v>418</v>
      </c>
      <c r="G634" s="743" t="s">
        <v>50</v>
      </c>
      <c r="H634" s="705">
        <v>198722.0</v>
      </c>
      <c r="I634" s="705">
        <v>220234.0</v>
      </c>
      <c r="J634" s="706">
        <v>179057.0</v>
      </c>
      <c r="K634" s="64"/>
      <c r="CE634" s="460"/>
    </row>
    <row r="635">
      <c r="A635" s="690"/>
      <c r="B635" s="712" t="s">
        <v>477</v>
      </c>
      <c r="C635" s="742" t="s">
        <v>416</v>
      </c>
      <c r="D635" s="714" t="s">
        <v>453</v>
      </c>
      <c r="E635" s="715">
        <v>2021.0</v>
      </c>
      <c r="F635" s="742" t="s">
        <v>418</v>
      </c>
      <c r="G635" s="742" t="s">
        <v>50</v>
      </c>
      <c r="H635" s="716">
        <v>383851.0</v>
      </c>
      <c r="I635" s="716">
        <v>425404.0</v>
      </c>
      <c r="J635" s="717">
        <v>345867.0</v>
      </c>
      <c r="K635" s="64"/>
      <c r="CE635" s="460"/>
    </row>
    <row r="636">
      <c r="A636" s="690"/>
      <c r="B636" s="701" t="s">
        <v>477</v>
      </c>
      <c r="C636" s="743" t="s">
        <v>416</v>
      </c>
      <c r="D636" s="703" t="s">
        <v>454</v>
      </c>
      <c r="E636" s="704">
        <v>2021.0</v>
      </c>
      <c r="F636" s="743" t="s">
        <v>418</v>
      </c>
      <c r="G636" s="743" t="s">
        <v>50</v>
      </c>
      <c r="H636" s="705">
        <v>547535.0</v>
      </c>
      <c r="I636" s="705">
        <v>606808.0</v>
      </c>
      <c r="J636" s="706">
        <v>493353.0</v>
      </c>
      <c r="K636" s="64"/>
      <c r="CE636" s="460"/>
    </row>
    <row r="637">
      <c r="A637" s="690"/>
      <c r="B637" s="712" t="s">
        <v>477</v>
      </c>
      <c r="C637" s="742" t="s">
        <v>416</v>
      </c>
      <c r="D637" s="714" t="s">
        <v>457</v>
      </c>
      <c r="E637" s="715">
        <v>2021.0</v>
      </c>
      <c r="F637" s="742" t="s">
        <v>418</v>
      </c>
      <c r="G637" s="742" t="s">
        <v>50</v>
      </c>
      <c r="H637" s="716">
        <v>36777.0</v>
      </c>
      <c r="I637" s="716">
        <v>40758.0</v>
      </c>
      <c r="J637" s="717">
        <v>33138.0</v>
      </c>
      <c r="K637" s="64"/>
      <c r="CE637" s="460"/>
    </row>
    <row r="638">
      <c r="A638" s="690"/>
      <c r="B638" s="701" t="s">
        <v>477</v>
      </c>
      <c r="C638" s="743" t="s">
        <v>416</v>
      </c>
      <c r="D638" s="703" t="s">
        <v>460</v>
      </c>
      <c r="E638" s="704">
        <v>2021.0</v>
      </c>
      <c r="F638" s="743" t="s">
        <v>418</v>
      </c>
      <c r="G638" s="743" t="s">
        <v>50</v>
      </c>
      <c r="H638" s="705">
        <v>15533.0</v>
      </c>
      <c r="I638" s="705">
        <v>17214.0</v>
      </c>
      <c r="J638" s="706">
        <v>13996.0</v>
      </c>
      <c r="K638" s="64"/>
      <c r="CE638" s="460"/>
    </row>
    <row r="639">
      <c r="A639" s="690"/>
      <c r="B639" s="712" t="s">
        <v>477</v>
      </c>
      <c r="C639" s="742" t="s">
        <v>416</v>
      </c>
      <c r="D639" s="714" t="s">
        <v>463</v>
      </c>
      <c r="E639" s="715">
        <v>2021.0</v>
      </c>
      <c r="F639" s="742" t="s">
        <v>418</v>
      </c>
      <c r="G639" s="742" t="s">
        <v>50</v>
      </c>
      <c r="H639" s="716">
        <v>185130.0</v>
      </c>
      <c r="I639" s="716">
        <v>205171.0</v>
      </c>
      <c r="J639" s="717">
        <v>166810.0</v>
      </c>
      <c r="K639" s="64"/>
      <c r="CE639" s="460"/>
    </row>
    <row r="640">
      <c r="A640" s="690"/>
      <c r="B640" s="701" t="s">
        <v>477</v>
      </c>
      <c r="C640" s="743" t="s">
        <v>416</v>
      </c>
      <c r="D640" s="703" t="s">
        <v>465</v>
      </c>
      <c r="E640" s="704">
        <v>2021.0</v>
      </c>
      <c r="F640" s="743" t="s">
        <v>418</v>
      </c>
      <c r="G640" s="743" t="s">
        <v>50</v>
      </c>
      <c r="H640" s="705">
        <v>811274.0</v>
      </c>
      <c r="I640" s="705">
        <v>899097.0</v>
      </c>
      <c r="J640" s="706">
        <v>730993.0</v>
      </c>
      <c r="K640" s="64"/>
      <c r="CE640" s="460"/>
    </row>
    <row r="641">
      <c r="A641" s="690"/>
      <c r="B641" s="712" t="s">
        <v>477</v>
      </c>
      <c r="C641" s="742" t="s">
        <v>416</v>
      </c>
      <c r="D641" s="714" t="s">
        <v>468</v>
      </c>
      <c r="E641" s="715">
        <v>2021.0</v>
      </c>
      <c r="F641" s="742" t="s">
        <v>418</v>
      </c>
      <c r="G641" s="742" t="s">
        <v>50</v>
      </c>
      <c r="H641" s="716">
        <v>163684.0</v>
      </c>
      <c r="I641" s="716">
        <v>181403.0</v>
      </c>
      <c r="J641" s="717">
        <v>147486.0</v>
      </c>
      <c r="K641" s="64"/>
      <c r="CE641" s="460"/>
    </row>
    <row r="642">
      <c r="A642" s="690"/>
      <c r="B642" s="701" t="s">
        <v>477</v>
      </c>
      <c r="C642" s="743" t="s">
        <v>416</v>
      </c>
      <c r="D642" s="703" t="s">
        <v>471</v>
      </c>
      <c r="E642" s="704">
        <v>2021.0</v>
      </c>
      <c r="F642" s="743" t="s">
        <v>418</v>
      </c>
      <c r="G642" s="743" t="s">
        <v>50</v>
      </c>
      <c r="H642" s="705">
        <v>114123.0</v>
      </c>
      <c r="I642" s="705">
        <v>126478.0</v>
      </c>
      <c r="J642" s="706">
        <v>102830.0</v>
      </c>
      <c r="K642" s="64"/>
      <c r="CE642" s="460"/>
    </row>
    <row r="643">
      <c r="A643" s="690"/>
      <c r="B643" s="712" t="s">
        <v>477</v>
      </c>
      <c r="C643" s="742" t="s">
        <v>416</v>
      </c>
      <c r="D643" s="714" t="s">
        <v>473</v>
      </c>
      <c r="E643" s="715">
        <v>2021.0</v>
      </c>
      <c r="F643" s="742" t="s">
        <v>418</v>
      </c>
      <c r="G643" s="742" t="s">
        <v>50</v>
      </c>
      <c r="H643" s="716">
        <v>578498.0</v>
      </c>
      <c r="I643" s="716">
        <v>641122.0</v>
      </c>
      <c r="J643" s="717">
        <v>521252.0</v>
      </c>
      <c r="K643" s="64"/>
      <c r="CE643" s="460"/>
    </row>
    <row r="644">
      <c r="A644" s="690"/>
      <c r="B644" s="701" t="s">
        <v>477</v>
      </c>
      <c r="C644" s="743" t="s">
        <v>416</v>
      </c>
      <c r="D644" s="703" t="s">
        <v>476</v>
      </c>
      <c r="E644" s="704">
        <v>2021.0</v>
      </c>
      <c r="F644" s="743" t="s">
        <v>418</v>
      </c>
      <c r="G644" s="743" t="s">
        <v>50</v>
      </c>
      <c r="H644" s="705">
        <v>139235.0</v>
      </c>
      <c r="I644" s="705">
        <v>154307.0</v>
      </c>
      <c r="J644" s="706">
        <v>125456.0</v>
      </c>
      <c r="K644" s="64"/>
      <c r="CE644" s="460"/>
    </row>
    <row r="645">
      <c r="A645" s="690"/>
      <c r="B645" s="712" t="s">
        <v>477</v>
      </c>
      <c r="C645" s="742" t="s">
        <v>416</v>
      </c>
      <c r="D645" s="714" t="s">
        <v>479</v>
      </c>
      <c r="E645" s="715">
        <v>2021.0</v>
      </c>
      <c r="F645" s="742" t="s">
        <v>418</v>
      </c>
      <c r="G645" s="742" t="s">
        <v>50</v>
      </c>
      <c r="H645" s="716">
        <v>116221.0</v>
      </c>
      <c r="I645" s="716">
        <v>128802.0</v>
      </c>
      <c r="J645" s="717">
        <v>104720.0</v>
      </c>
      <c r="K645" s="64"/>
      <c r="CE645" s="460"/>
    </row>
    <row r="646">
      <c r="A646" s="690"/>
      <c r="B646" s="701" t="s">
        <v>477</v>
      </c>
      <c r="C646" s="743" t="s">
        <v>416</v>
      </c>
      <c r="D646" s="703" t="s">
        <v>482</v>
      </c>
      <c r="E646" s="704">
        <v>2021.0</v>
      </c>
      <c r="F646" s="743" t="s">
        <v>418</v>
      </c>
      <c r="G646" s="743" t="s">
        <v>50</v>
      </c>
      <c r="H646" s="705">
        <v>91339.0</v>
      </c>
      <c r="I646" s="705">
        <v>101227.0</v>
      </c>
      <c r="J646" s="706">
        <v>82301.0</v>
      </c>
      <c r="K646" s="64"/>
      <c r="CE646" s="460"/>
    </row>
    <row r="647">
      <c r="A647" s="690"/>
      <c r="B647" s="712" t="s">
        <v>477</v>
      </c>
      <c r="C647" s="742" t="s">
        <v>416</v>
      </c>
      <c r="D647" s="714" t="s">
        <v>485</v>
      </c>
      <c r="E647" s="715">
        <v>2021.0</v>
      </c>
      <c r="F647" s="742" t="s">
        <v>418</v>
      </c>
      <c r="G647" s="742" t="s">
        <v>50</v>
      </c>
      <c r="H647" s="716">
        <v>66984.0</v>
      </c>
      <c r="I647" s="716">
        <v>74236.0</v>
      </c>
      <c r="J647" s="717">
        <v>60356.0</v>
      </c>
      <c r="K647" s="64"/>
      <c r="CE647" s="460"/>
    </row>
    <row r="648">
      <c r="A648" s="690"/>
      <c r="B648" s="701" t="s">
        <v>477</v>
      </c>
      <c r="C648" s="743" t="s">
        <v>416</v>
      </c>
      <c r="D648" s="703" t="s">
        <v>488</v>
      </c>
      <c r="E648" s="704">
        <v>2021.0</v>
      </c>
      <c r="F648" s="743" t="s">
        <v>418</v>
      </c>
      <c r="G648" s="743" t="s">
        <v>50</v>
      </c>
      <c r="H648" s="705">
        <v>48681.0</v>
      </c>
      <c r="I648" s="705">
        <v>53951.0</v>
      </c>
      <c r="J648" s="706">
        <v>43864.0</v>
      </c>
      <c r="K648" s="64"/>
      <c r="CE648" s="460"/>
    </row>
    <row r="649">
      <c r="A649" s="690"/>
      <c r="B649" s="712" t="s">
        <v>477</v>
      </c>
      <c r="C649" s="742" t="s">
        <v>416</v>
      </c>
      <c r="D649" s="714" t="s">
        <v>491</v>
      </c>
      <c r="E649" s="715">
        <v>2021.0</v>
      </c>
      <c r="F649" s="742" t="s">
        <v>418</v>
      </c>
      <c r="G649" s="742" t="s">
        <v>50</v>
      </c>
      <c r="H649" s="716">
        <v>36941.0</v>
      </c>
      <c r="I649" s="716">
        <v>40940.0</v>
      </c>
      <c r="J649" s="717">
        <v>33285.0</v>
      </c>
      <c r="K649" s="64"/>
      <c r="CE649" s="460"/>
    </row>
    <row r="650">
      <c r="A650" s="690"/>
      <c r="B650" s="701" t="s">
        <v>477</v>
      </c>
      <c r="C650" s="743" t="s">
        <v>416</v>
      </c>
      <c r="D650" s="703" t="s">
        <v>493</v>
      </c>
      <c r="E650" s="704">
        <v>2021.0</v>
      </c>
      <c r="F650" s="743" t="s">
        <v>418</v>
      </c>
      <c r="G650" s="743" t="s">
        <v>50</v>
      </c>
      <c r="H650" s="705">
        <v>96893.0</v>
      </c>
      <c r="I650" s="705">
        <v>107382.0</v>
      </c>
      <c r="J650" s="706">
        <v>87305.0</v>
      </c>
      <c r="K650" s="64"/>
      <c r="CE650" s="460"/>
    </row>
    <row r="651">
      <c r="A651" s="690"/>
      <c r="B651" s="712" t="s">
        <v>477</v>
      </c>
      <c r="C651" s="742" t="s">
        <v>416</v>
      </c>
      <c r="D651" s="714" t="s">
        <v>434</v>
      </c>
      <c r="E651" s="715">
        <v>2021.0</v>
      </c>
      <c r="F651" s="742" t="s">
        <v>418</v>
      </c>
      <c r="G651" s="742" t="s">
        <v>50</v>
      </c>
      <c r="H651" s="716">
        <v>397662.0</v>
      </c>
      <c r="I651" s="716">
        <v>440709.0</v>
      </c>
      <c r="J651" s="717">
        <v>358310.0</v>
      </c>
      <c r="K651" s="64"/>
      <c r="CE651" s="460"/>
    </row>
    <row r="652">
      <c r="A652" s="690"/>
      <c r="B652" s="701" t="s">
        <v>477</v>
      </c>
      <c r="C652" s="743" t="s">
        <v>416</v>
      </c>
      <c r="D652" s="703" t="s">
        <v>497</v>
      </c>
      <c r="E652" s="704">
        <v>2021.0</v>
      </c>
      <c r="F652" s="743" t="s">
        <v>418</v>
      </c>
      <c r="G652" s="743" t="s">
        <v>50</v>
      </c>
      <c r="H652" s="705">
        <v>26548.0</v>
      </c>
      <c r="I652" s="705">
        <v>29421.0</v>
      </c>
      <c r="J652" s="706">
        <v>23920.0</v>
      </c>
      <c r="K652" s="64"/>
      <c r="CE652" s="460"/>
    </row>
    <row r="653">
      <c r="A653" s="690"/>
      <c r="B653" s="712" t="s">
        <v>477</v>
      </c>
      <c r="C653" s="742" t="s">
        <v>416</v>
      </c>
      <c r="D653" s="714" t="s">
        <v>500</v>
      </c>
      <c r="E653" s="715">
        <v>2021.0</v>
      </c>
      <c r="F653" s="742" t="s">
        <v>418</v>
      </c>
      <c r="G653" s="742" t="s">
        <v>50</v>
      </c>
      <c r="H653" s="716">
        <v>198940.0</v>
      </c>
      <c r="I653" s="716">
        <v>220476.0</v>
      </c>
      <c r="J653" s="717">
        <v>179253.0</v>
      </c>
      <c r="K653" s="64"/>
      <c r="CE653" s="460"/>
    </row>
    <row r="654">
      <c r="A654" s="690"/>
      <c r="B654" s="701" t="s">
        <v>477</v>
      </c>
      <c r="C654" s="743" t="s">
        <v>416</v>
      </c>
      <c r="D654" s="703" t="s">
        <v>502</v>
      </c>
      <c r="E654" s="704">
        <v>2021.0</v>
      </c>
      <c r="F654" s="743" t="s">
        <v>418</v>
      </c>
      <c r="G654" s="743" t="s">
        <v>50</v>
      </c>
      <c r="H654" s="705">
        <v>18901.0</v>
      </c>
      <c r="I654" s="705">
        <v>20947.0</v>
      </c>
      <c r="J654" s="706">
        <v>17030.0</v>
      </c>
      <c r="K654" s="64"/>
      <c r="CE654" s="460"/>
    </row>
    <row r="655">
      <c r="A655" s="690"/>
      <c r="B655" s="712" t="s">
        <v>477</v>
      </c>
      <c r="C655" s="742" t="s">
        <v>416</v>
      </c>
      <c r="D655" s="714" t="s">
        <v>505</v>
      </c>
      <c r="E655" s="715">
        <v>2021.0</v>
      </c>
      <c r="F655" s="742" t="s">
        <v>418</v>
      </c>
      <c r="G655" s="742" t="s">
        <v>50</v>
      </c>
      <c r="H655" s="716">
        <v>18076.0</v>
      </c>
      <c r="I655" s="716">
        <v>20033.0</v>
      </c>
      <c r="J655" s="717">
        <v>16287.0</v>
      </c>
      <c r="K655" s="64"/>
      <c r="CE655" s="460"/>
    </row>
    <row r="656">
      <c r="A656" s="690"/>
      <c r="B656" s="701" t="s">
        <v>477</v>
      </c>
      <c r="C656" s="743" t="s">
        <v>416</v>
      </c>
      <c r="D656" s="703" t="s">
        <v>508</v>
      </c>
      <c r="E656" s="704">
        <v>2021.0</v>
      </c>
      <c r="F656" s="743" t="s">
        <v>418</v>
      </c>
      <c r="G656" s="743" t="s">
        <v>50</v>
      </c>
      <c r="H656" s="705">
        <v>14504.0</v>
      </c>
      <c r="I656" s="705">
        <v>16074.0</v>
      </c>
      <c r="J656" s="706">
        <v>13069.0</v>
      </c>
      <c r="K656" s="64"/>
      <c r="CE656" s="460"/>
    </row>
    <row r="657">
      <c r="A657" s="690"/>
      <c r="B657" s="712" t="s">
        <v>477</v>
      </c>
      <c r="C657" s="742" t="s">
        <v>416</v>
      </c>
      <c r="D657" s="714" t="s">
        <v>511</v>
      </c>
      <c r="E657" s="715">
        <v>2021.0</v>
      </c>
      <c r="F657" s="742" t="s">
        <v>418</v>
      </c>
      <c r="G657" s="742" t="s">
        <v>50</v>
      </c>
      <c r="H657" s="716">
        <v>19145.0</v>
      </c>
      <c r="I657" s="716">
        <v>21217.0</v>
      </c>
      <c r="J657" s="717">
        <v>17250.0</v>
      </c>
      <c r="K657" s="64"/>
      <c r="CE657" s="460"/>
    </row>
    <row r="658">
      <c r="A658" s="690"/>
      <c r="B658" s="701" t="s">
        <v>477</v>
      </c>
      <c r="C658" s="743" t="s">
        <v>416</v>
      </c>
      <c r="D658" s="703" t="s">
        <v>514</v>
      </c>
      <c r="E658" s="704">
        <v>2021.0</v>
      </c>
      <c r="F658" s="743" t="s">
        <v>418</v>
      </c>
      <c r="G658" s="743" t="s">
        <v>50</v>
      </c>
      <c r="H658" s="705">
        <v>8514.0</v>
      </c>
      <c r="I658" s="705">
        <v>9436.0</v>
      </c>
      <c r="J658" s="706">
        <v>7672.0</v>
      </c>
      <c r="K658" s="64"/>
      <c r="CE658" s="460"/>
    </row>
    <row r="659">
      <c r="A659" s="690"/>
      <c r="B659" s="712" t="s">
        <v>477</v>
      </c>
      <c r="C659" s="742" t="s">
        <v>416</v>
      </c>
      <c r="D659" s="714" t="s">
        <v>439</v>
      </c>
      <c r="E659" s="715">
        <v>2021.0</v>
      </c>
      <c r="F659" s="742" t="s">
        <v>418</v>
      </c>
      <c r="G659" s="742" t="s">
        <v>50</v>
      </c>
      <c r="H659" s="716">
        <v>2117.0</v>
      </c>
      <c r="I659" s="716">
        <v>2346.0</v>
      </c>
      <c r="J659" s="717">
        <v>1907.0</v>
      </c>
      <c r="K659" s="64"/>
      <c r="CE659" s="460"/>
    </row>
    <row r="660">
      <c r="A660" s="690"/>
      <c r="B660" s="701" t="s">
        <v>477</v>
      </c>
      <c r="C660" s="743" t="s">
        <v>416</v>
      </c>
      <c r="D660" s="703" t="s">
        <v>517</v>
      </c>
      <c r="E660" s="704">
        <v>2021.0</v>
      </c>
      <c r="F660" s="743" t="s">
        <v>418</v>
      </c>
      <c r="G660" s="743" t="s">
        <v>50</v>
      </c>
      <c r="H660" s="705">
        <v>5886.0</v>
      </c>
      <c r="I660" s="705">
        <v>6523.0</v>
      </c>
      <c r="J660" s="706">
        <v>5303.0</v>
      </c>
      <c r="K660" s="64"/>
      <c r="CE660" s="460"/>
    </row>
    <row r="661">
      <c r="A661" s="690"/>
      <c r="B661" s="712" t="s">
        <v>477</v>
      </c>
      <c r="C661" s="742" t="s">
        <v>416</v>
      </c>
      <c r="D661" s="714" t="s">
        <v>520</v>
      </c>
      <c r="E661" s="715">
        <v>2021.0</v>
      </c>
      <c r="F661" s="742" t="s">
        <v>418</v>
      </c>
      <c r="G661" s="742" t="s">
        <v>50</v>
      </c>
      <c r="H661" s="716">
        <v>4745.0</v>
      </c>
      <c r="I661" s="716">
        <v>5259.0</v>
      </c>
      <c r="J661" s="717">
        <v>4275.0</v>
      </c>
      <c r="K661" s="64"/>
      <c r="CE661" s="460"/>
    </row>
    <row r="662">
      <c r="A662" s="690"/>
      <c r="B662" s="701" t="s">
        <v>477</v>
      </c>
      <c r="C662" s="743" t="s">
        <v>416</v>
      </c>
      <c r="D662" s="703" t="s">
        <v>521</v>
      </c>
      <c r="E662" s="704">
        <v>2021.0</v>
      </c>
      <c r="F662" s="743" t="s">
        <v>418</v>
      </c>
      <c r="G662" s="743" t="s">
        <v>50</v>
      </c>
      <c r="H662" s="705">
        <v>3141.0</v>
      </c>
      <c r="I662" s="705">
        <v>3481.0</v>
      </c>
      <c r="J662" s="706">
        <v>2830.0</v>
      </c>
      <c r="K662" s="64"/>
      <c r="CE662" s="460"/>
    </row>
    <row r="663">
      <c r="A663" s="690"/>
      <c r="B663" s="712" t="s">
        <v>477</v>
      </c>
      <c r="C663" s="742" t="s">
        <v>416</v>
      </c>
      <c r="D663" s="714" t="s">
        <v>524</v>
      </c>
      <c r="E663" s="715">
        <v>2021.0</v>
      </c>
      <c r="F663" s="742" t="s">
        <v>418</v>
      </c>
      <c r="G663" s="742" t="s">
        <v>50</v>
      </c>
      <c r="H663" s="716">
        <v>1211.0</v>
      </c>
      <c r="I663" s="716">
        <v>1342.0</v>
      </c>
      <c r="J663" s="717">
        <v>1091.0</v>
      </c>
      <c r="K663" s="64"/>
      <c r="CE663" s="460"/>
    </row>
    <row r="664">
      <c r="A664" s="690"/>
      <c r="B664" s="701" t="s">
        <v>477</v>
      </c>
      <c r="C664" s="743" t="s">
        <v>416</v>
      </c>
      <c r="D664" s="703" t="s">
        <v>527</v>
      </c>
      <c r="E664" s="704">
        <v>2021.0</v>
      </c>
      <c r="F664" s="743" t="s">
        <v>418</v>
      </c>
      <c r="G664" s="743" t="s">
        <v>50</v>
      </c>
      <c r="H664" s="705">
        <v>322.0</v>
      </c>
      <c r="I664" s="705">
        <v>357.0</v>
      </c>
      <c r="J664" s="706">
        <v>290.0</v>
      </c>
      <c r="K664" s="64"/>
      <c r="CE664" s="460"/>
    </row>
    <row r="665">
      <c r="A665" s="690"/>
      <c r="B665" s="712" t="s">
        <v>477</v>
      </c>
      <c r="C665" s="742" t="s">
        <v>416</v>
      </c>
      <c r="D665" s="714" t="s">
        <v>529</v>
      </c>
      <c r="E665" s="715">
        <v>2021.0</v>
      </c>
      <c r="F665" s="742" t="s">
        <v>418</v>
      </c>
      <c r="G665" s="742" t="s">
        <v>50</v>
      </c>
      <c r="H665" s="716">
        <v>71.0</v>
      </c>
      <c r="I665" s="716">
        <v>79.0</v>
      </c>
      <c r="J665" s="717">
        <v>64.0</v>
      </c>
      <c r="K665" s="64"/>
      <c r="CE665" s="460"/>
    </row>
    <row r="666">
      <c r="A666" s="690"/>
      <c r="B666" s="701" t="s">
        <v>477</v>
      </c>
      <c r="C666" s="743" t="s">
        <v>416</v>
      </c>
      <c r="D666" s="703" t="s">
        <v>443</v>
      </c>
      <c r="E666" s="704">
        <v>2021.0</v>
      </c>
      <c r="F666" s="743" t="s">
        <v>418</v>
      </c>
      <c r="G666" s="743" t="s">
        <v>50</v>
      </c>
      <c r="H666" s="705">
        <v>1512312.0</v>
      </c>
      <c r="I666" s="705">
        <v>1676023.0</v>
      </c>
      <c r="J666" s="706">
        <v>1362658.0</v>
      </c>
      <c r="K666" s="64"/>
      <c r="CE666" s="460"/>
    </row>
    <row r="667">
      <c r="A667" s="690"/>
      <c r="B667" s="712" t="s">
        <v>480</v>
      </c>
      <c r="C667" s="742" t="s">
        <v>416</v>
      </c>
      <c r="D667" s="714" t="s">
        <v>417</v>
      </c>
      <c r="E667" s="715">
        <v>2021.0</v>
      </c>
      <c r="F667" s="742" t="s">
        <v>418</v>
      </c>
      <c r="G667" s="742" t="s">
        <v>50</v>
      </c>
      <c r="H667" s="716">
        <v>189074.0</v>
      </c>
      <c r="I667" s="716">
        <v>250866.0</v>
      </c>
      <c r="J667" s="717">
        <v>131175.0</v>
      </c>
      <c r="K667" s="64"/>
      <c r="CE667" s="460"/>
    </row>
    <row r="668">
      <c r="A668" s="690"/>
      <c r="B668" s="701" t="s">
        <v>480</v>
      </c>
      <c r="C668" s="743" t="s">
        <v>416</v>
      </c>
      <c r="D668" s="703" t="s">
        <v>431</v>
      </c>
      <c r="E668" s="704">
        <v>2021.0</v>
      </c>
      <c r="F668" s="743" t="s">
        <v>418</v>
      </c>
      <c r="G668" s="743" t="s">
        <v>50</v>
      </c>
      <c r="H668" s="705">
        <v>3216647.0</v>
      </c>
      <c r="I668" s="705">
        <v>4267880.0</v>
      </c>
      <c r="J668" s="706">
        <v>2231630.0</v>
      </c>
      <c r="K668" s="64"/>
      <c r="CE668" s="460"/>
    </row>
    <row r="669">
      <c r="A669" s="690"/>
      <c r="B669" s="712" t="s">
        <v>480</v>
      </c>
      <c r="C669" s="742" t="s">
        <v>416</v>
      </c>
      <c r="D669" s="714" t="s">
        <v>438</v>
      </c>
      <c r="E669" s="715">
        <v>2021.0</v>
      </c>
      <c r="F669" s="742" t="s">
        <v>418</v>
      </c>
      <c r="G669" s="742" t="s">
        <v>50</v>
      </c>
      <c r="H669" s="716">
        <v>14728.0</v>
      </c>
      <c r="I669" s="716">
        <v>19541.0</v>
      </c>
      <c r="J669" s="717">
        <v>10218.0</v>
      </c>
      <c r="K669" s="64"/>
      <c r="CE669" s="460"/>
    </row>
    <row r="670">
      <c r="A670" s="690"/>
      <c r="B670" s="701" t="s">
        <v>480</v>
      </c>
      <c r="C670" s="743" t="s">
        <v>416</v>
      </c>
      <c r="D670" s="703" t="s">
        <v>421</v>
      </c>
      <c r="E670" s="704">
        <v>2021.0</v>
      </c>
      <c r="F670" s="743" t="s">
        <v>418</v>
      </c>
      <c r="G670" s="743" t="s">
        <v>50</v>
      </c>
      <c r="H670" s="705">
        <v>918036.0</v>
      </c>
      <c r="I670" s="705">
        <v>1218060.0</v>
      </c>
      <c r="J670" s="706">
        <v>636911.0</v>
      </c>
      <c r="K670" s="64"/>
      <c r="CE670" s="460"/>
    </row>
    <row r="671">
      <c r="A671" s="690"/>
      <c r="B671" s="712" t="s">
        <v>480</v>
      </c>
      <c r="C671" s="742" t="s">
        <v>416</v>
      </c>
      <c r="D671" s="714" t="s">
        <v>447</v>
      </c>
      <c r="E671" s="715">
        <v>2021.0</v>
      </c>
      <c r="F671" s="742" t="s">
        <v>418</v>
      </c>
      <c r="G671" s="742" t="s">
        <v>50</v>
      </c>
      <c r="H671" s="716">
        <v>2524628.0</v>
      </c>
      <c r="I671" s="716">
        <v>3349703.0</v>
      </c>
      <c r="J671" s="717">
        <v>1751525.0</v>
      </c>
      <c r="K671" s="64"/>
      <c r="CE671" s="460"/>
    </row>
    <row r="672">
      <c r="A672" s="690"/>
      <c r="B672" s="701" t="s">
        <v>480</v>
      </c>
      <c r="C672" s="743" t="s">
        <v>416</v>
      </c>
      <c r="D672" s="703" t="s">
        <v>432</v>
      </c>
      <c r="E672" s="704">
        <v>2021.0</v>
      </c>
      <c r="F672" s="743" t="s">
        <v>418</v>
      </c>
      <c r="G672" s="743" t="s">
        <v>50</v>
      </c>
      <c r="H672" s="705">
        <v>3709.0</v>
      </c>
      <c r="I672" s="705">
        <v>4921.0</v>
      </c>
      <c r="J672" s="706">
        <v>2573.0</v>
      </c>
      <c r="K672" s="64"/>
      <c r="CE672" s="460"/>
    </row>
    <row r="673">
      <c r="A673" s="690"/>
      <c r="B673" s="712" t="s">
        <v>480</v>
      </c>
      <c r="C673" s="742" t="s">
        <v>416</v>
      </c>
      <c r="D673" s="714" t="s">
        <v>450</v>
      </c>
      <c r="E673" s="715">
        <v>2021.0</v>
      </c>
      <c r="F673" s="742" t="s">
        <v>418</v>
      </c>
      <c r="G673" s="742" t="s">
        <v>50</v>
      </c>
      <c r="H673" s="716">
        <v>761150.0</v>
      </c>
      <c r="I673" s="716">
        <v>1009901.0</v>
      </c>
      <c r="J673" s="717">
        <v>528067.0</v>
      </c>
      <c r="K673" s="64"/>
      <c r="CE673" s="460"/>
    </row>
    <row r="674">
      <c r="A674" s="690"/>
      <c r="B674" s="701" t="s">
        <v>480</v>
      </c>
      <c r="C674" s="743" t="s">
        <v>416</v>
      </c>
      <c r="D674" s="703" t="s">
        <v>453</v>
      </c>
      <c r="E674" s="704">
        <v>2021.0</v>
      </c>
      <c r="F674" s="743" t="s">
        <v>418</v>
      </c>
      <c r="G674" s="743" t="s">
        <v>50</v>
      </c>
      <c r="H674" s="705">
        <v>1453168.0</v>
      </c>
      <c r="I674" s="705">
        <v>1928078.0</v>
      </c>
      <c r="J674" s="706">
        <v>1008172.0</v>
      </c>
      <c r="K674" s="64"/>
      <c r="CE674" s="460"/>
    </row>
    <row r="675">
      <c r="A675" s="690"/>
      <c r="B675" s="712" t="s">
        <v>480</v>
      </c>
      <c r="C675" s="742" t="s">
        <v>416</v>
      </c>
      <c r="D675" s="714" t="s">
        <v>454</v>
      </c>
      <c r="E675" s="715">
        <v>2021.0</v>
      </c>
      <c r="F675" s="742" t="s">
        <v>418</v>
      </c>
      <c r="G675" s="742" t="s">
        <v>50</v>
      </c>
      <c r="H675" s="716">
        <v>2084599.0</v>
      </c>
      <c r="I675" s="716">
        <v>2765867.0</v>
      </c>
      <c r="J675" s="717">
        <v>1446244.0</v>
      </c>
      <c r="K675" s="64"/>
      <c r="CE675" s="460"/>
    </row>
    <row r="676">
      <c r="A676" s="690"/>
      <c r="B676" s="701" t="s">
        <v>480</v>
      </c>
      <c r="C676" s="743" t="s">
        <v>416</v>
      </c>
      <c r="D676" s="703" t="s">
        <v>457</v>
      </c>
      <c r="E676" s="704">
        <v>2021.0</v>
      </c>
      <c r="F676" s="743" t="s">
        <v>418</v>
      </c>
      <c r="G676" s="743" t="s">
        <v>50</v>
      </c>
      <c r="H676" s="705">
        <v>186051.0</v>
      </c>
      <c r="I676" s="705">
        <v>246855.0</v>
      </c>
      <c r="J676" s="706">
        <v>129078.0</v>
      </c>
      <c r="K676" s="64"/>
      <c r="CE676" s="460"/>
    </row>
    <row r="677">
      <c r="A677" s="690"/>
      <c r="B677" s="712" t="s">
        <v>480</v>
      </c>
      <c r="C677" s="742" t="s">
        <v>416</v>
      </c>
      <c r="D677" s="714" t="s">
        <v>460</v>
      </c>
      <c r="E677" s="715">
        <v>2021.0</v>
      </c>
      <c r="F677" s="742" t="s">
        <v>418</v>
      </c>
      <c r="G677" s="742" t="s">
        <v>50</v>
      </c>
      <c r="H677" s="716">
        <v>80689.0</v>
      </c>
      <c r="I677" s="716">
        <v>107059.0</v>
      </c>
      <c r="J677" s="717">
        <v>55980.0</v>
      </c>
      <c r="K677" s="64"/>
      <c r="CE677" s="460"/>
    </row>
    <row r="678">
      <c r="A678" s="690"/>
      <c r="B678" s="701" t="s">
        <v>480</v>
      </c>
      <c r="C678" s="743" t="s">
        <v>416</v>
      </c>
      <c r="D678" s="703" t="s">
        <v>463</v>
      </c>
      <c r="E678" s="704">
        <v>2021.0</v>
      </c>
      <c r="F678" s="743" t="s">
        <v>418</v>
      </c>
      <c r="G678" s="743" t="s">
        <v>50</v>
      </c>
      <c r="H678" s="705">
        <v>692018.0</v>
      </c>
      <c r="I678" s="705">
        <v>918177.0</v>
      </c>
      <c r="J678" s="706">
        <v>480105.0</v>
      </c>
      <c r="K678" s="64"/>
      <c r="CE678" s="460"/>
    </row>
    <row r="679">
      <c r="A679" s="690"/>
      <c r="B679" s="712" t="s">
        <v>480</v>
      </c>
      <c r="C679" s="742" t="s">
        <v>416</v>
      </c>
      <c r="D679" s="714" t="s">
        <v>465</v>
      </c>
      <c r="E679" s="715">
        <v>2021.0</v>
      </c>
      <c r="F679" s="742" t="s">
        <v>418</v>
      </c>
      <c r="G679" s="742" t="s">
        <v>50</v>
      </c>
      <c r="H679" s="716">
        <v>3423159.0</v>
      </c>
      <c r="I679" s="716">
        <v>4541883.0</v>
      </c>
      <c r="J679" s="717">
        <v>2374904.0</v>
      </c>
      <c r="K679" s="64"/>
      <c r="CE679" s="460"/>
    </row>
    <row r="680">
      <c r="A680" s="690"/>
      <c r="B680" s="701" t="s">
        <v>480</v>
      </c>
      <c r="C680" s="743" t="s">
        <v>416</v>
      </c>
      <c r="D680" s="703" t="s">
        <v>468</v>
      </c>
      <c r="E680" s="704">
        <v>2021.0</v>
      </c>
      <c r="F680" s="743" t="s">
        <v>418</v>
      </c>
      <c r="G680" s="743" t="s">
        <v>50</v>
      </c>
      <c r="H680" s="705">
        <v>631431.0</v>
      </c>
      <c r="I680" s="705">
        <v>837789.0</v>
      </c>
      <c r="J680" s="706">
        <v>438071.0</v>
      </c>
      <c r="K680" s="64"/>
      <c r="CE680" s="460"/>
    </row>
    <row r="681">
      <c r="A681" s="690"/>
      <c r="B681" s="712" t="s">
        <v>480</v>
      </c>
      <c r="C681" s="742" t="s">
        <v>416</v>
      </c>
      <c r="D681" s="714" t="s">
        <v>471</v>
      </c>
      <c r="E681" s="715">
        <v>2021.0</v>
      </c>
      <c r="F681" s="742" t="s">
        <v>418</v>
      </c>
      <c r="G681" s="742" t="s">
        <v>50</v>
      </c>
      <c r="H681" s="716">
        <v>542910.0</v>
      </c>
      <c r="I681" s="716">
        <v>720339.0</v>
      </c>
      <c r="J681" s="717">
        <v>376658.0</v>
      </c>
      <c r="K681" s="64"/>
      <c r="CE681" s="460"/>
    </row>
    <row r="682">
      <c r="A682" s="690"/>
      <c r="B682" s="701" t="s">
        <v>480</v>
      </c>
      <c r="C682" s="743" t="s">
        <v>416</v>
      </c>
      <c r="D682" s="703" t="s">
        <v>473</v>
      </c>
      <c r="E682" s="704">
        <v>2021.0</v>
      </c>
      <c r="F682" s="743" t="s">
        <v>418</v>
      </c>
      <c r="G682" s="743" t="s">
        <v>50</v>
      </c>
      <c r="H682" s="705">
        <v>2749831.0</v>
      </c>
      <c r="I682" s="705">
        <v>3648504.0</v>
      </c>
      <c r="J682" s="706">
        <v>1907765.0</v>
      </c>
      <c r="K682" s="64"/>
      <c r="CE682" s="460"/>
    </row>
    <row r="683">
      <c r="A683" s="690"/>
      <c r="B683" s="712" t="s">
        <v>480</v>
      </c>
      <c r="C683" s="742" t="s">
        <v>416</v>
      </c>
      <c r="D683" s="714" t="s">
        <v>476</v>
      </c>
      <c r="E683" s="715">
        <v>2021.0</v>
      </c>
      <c r="F683" s="742" t="s">
        <v>418</v>
      </c>
      <c r="G683" s="742" t="s">
        <v>50</v>
      </c>
      <c r="H683" s="716">
        <v>564875.0</v>
      </c>
      <c r="I683" s="716">
        <v>749482.0</v>
      </c>
      <c r="J683" s="717">
        <v>391896.0</v>
      </c>
      <c r="K683" s="64"/>
      <c r="CE683" s="460"/>
    </row>
    <row r="684">
      <c r="A684" s="690"/>
      <c r="B684" s="701" t="s">
        <v>480</v>
      </c>
      <c r="C684" s="743" t="s">
        <v>416</v>
      </c>
      <c r="D684" s="703" t="s">
        <v>479</v>
      </c>
      <c r="E684" s="704">
        <v>2021.0</v>
      </c>
      <c r="F684" s="743" t="s">
        <v>418</v>
      </c>
      <c r="G684" s="743" t="s">
        <v>50</v>
      </c>
      <c r="H684" s="705">
        <v>492804.0</v>
      </c>
      <c r="I684" s="705">
        <v>653857.0</v>
      </c>
      <c r="J684" s="706">
        <v>341895.0</v>
      </c>
      <c r="K684" s="64"/>
      <c r="CE684" s="460"/>
    </row>
    <row r="685">
      <c r="A685" s="690"/>
      <c r="B685" s="712" t="s">
        <v>480</v>
      </c>
      <c r="C685" s="742" t="s">
        <v>416</v>
      </c>
      <c r="D685" s="714" t="s">
        <v>482</v>
      </c>
      <c r="E685" s="715">
        <v>2021.0</v>
      </c>
      <c r="F685" s="742" t="s">
        <v>418</v>
      </c>
      <c r="G685" s="742" t="s">
        <v>50</v>
      </c>
      <c r="H685" s="716">
        <v>418828.0</v>
      </c>
      <c r="I685" s="716">
        <v>555705.0</v>
      </c>
      <c r="J685" s="717">
        <v>290573.0</v>
      </c>
      <c r="K685" s="64"/>
      <c r="CE685" s="460"/>
    </row>
    <row r="686">
      <c r="A686" s="690"/>
      <c r="B686" s="701" t="s">
        <v>480</v>
      </c>
      <c r="C686" s="743" t="s">
        <v>416</v>
      </c>
      <c r="D686" s="703" t="s">
        <v>485</v>
      </c>
      <c r="E686" s="704">
        <v>2021.0</v>
      </c>
      <c r="F686" s="743" t="s">
        <v>418</v>
      </c>
      <c r="G686" s="743" t="s">
        <v>50</v>
      </c>
      <c r="H686" s="705">
        <v>347386.0</v>
      </c>
      <c r="I686" s="705">
        <v>460916.0</v>
      </c>
      <c r="J686" s="706">
        <v>241008.0</v>
      </c>
      <c r="K686" s="64"/>
      <c r="CE686" s="460"/>
    </row>
    <row r="687">
      <c r="A687" s="690"/>
      <c r="B687" s="712" t="s">
        <v>480</v>
      </c>
      <c r="C687" s="742" t="s">
        <v>416</v>
      </c>
      <c r="D687" s="714" t="s">
        <v>488</v>
      </c>
      <c r="E687" s="715">
        <v>2021.0</v>
      </c>
      <c r="F687" s="742" t="s">
        <v>418</v>
      </c>
      <c r="G687" s="742" t="s">
        <v>50</v>
      </c>
      <c r="H687" s="716">
        <v>275817.0</v>
      </c>
      <c r="I687" s="716">
        <v>365957.0</v>
      </c>
      <c r="J687" s="717">
        <v>191355.0</v>
      </c>
      <c r="K687" s="64"/>
      <c r="CE687" s="460"/>
    </row>
    <row r="688">
      <c r="A688" s="690"/>
      <c r="B688" s="701" t="s">
        <v>480</v>
      </c>
      <c r="C688" s="743" t="s">
        <v>416</v>
      </c>
      <c r="D688" s="703" t="s">
        <v>491</v>
      </c>
      <c r="E688" s="704">
        <v>2021.0</v>
      </c>
      <c r="F688" s="743" t="s">
        <v>418</v>
      </c>
      <c r="G688" s="743" t="s">
        <v>50</v>
      </c>
      <c r="H688" s="705">
        <v>209512.0</v>
      </c>
      <c r="I688" s="705">
        <v>277982.0</v>
      </c>
      <c r="J688" s="706">
        <v>145354.0</v>
      </c>
      <c r="K688" s="64"/>
      <c r="CE688" s="460"/>
    </row>
    <row r="689">
      <c r="A689" s="690"/>
      <c r="B689" s="712" t="s">
        <v>480</v>
      </c>
      <c r="C689" s="742" t="s">
        <v>416</v>
      </c>
      <c r="D689" s="714" t="s">
        <v>493</v>
      </c>
      <c r="E689" s="715">
        <v>2021.0</v>
      </c>
      <c r="F689" s="742" t="s">
        <v>418</v>
      </c>
      <c r="G689" s="742" t="s">
        <v>50</v>
      </c>
      <c r="H689" s="716">
        <v>558319.0</v>
      </c>
      <c r="I689" s="716">
        <v>740783.0</v>
      </c>
      <c r="J689" s="717">
        <v>387348.0</v>
      </c>
      <c r="K689" s="64"/>
      <c r="CE689" s="460"/>
    </row>
    <row r="690">
      <c r="A690" s="690"/>
      <c r="B690" s="701" t="s">
        <v>480</v>
      </c>
      <c r="C690" s="743" t="s">
        <v>416</v>
      </c>
      <c r="D690" s="703" t="s">
        <v>434</v>
      </c>
      <c r="E690" s="704">
        <v>2021.0</v>
      </c>
      <c r="F690" s="743" t="s">
        <v>418</v>
      </c>
      <c r="G690" s="743" t="s">
        <v>50</v>
      </c>
      <c r="H690" s="705">
        <v>1606592.0</v>
      </c>
      <c r="I690" s="705">
        <v>2131643.0</v>
      </c>
      <c r="J690" s="706">
        <v>1114614.0</v>
      </c>
      <c r="K690" s="64"/>
      <c r="CE690" s="460"/>
    </row>
    <row r="691">
      <c r="A691" s="690"/>
      <c r="B691" s="712" t="s">
        <v>480</v>
      </c>
      <c r="C691" s="742" t="s">
        <v>416</v>
      </c>
      <c r="D691" s="714" t="s">
        <v>497</v>
      </c>
      <c r="E691" s="715">
        <v>2021.0</v>
      </c>
      <c r="F691" s="742" t="s">
        <v>418</v>
      </c>
      <c r="G691" s="742" t="s">
        <v>50</v>
      </c>
      <c r="H691" s="716">
        <v>157755.0</v>
      </c>
      <c r="I691" s="716">
        <v>209311.0</v>
      </c>
      <c r="J691" s="717">
        <v>109447.0</v>
      </c>
      <c r="K691" s="64"/>
      <c r="CE691" s="460"/>
    </row>
    <row r="692">
      <c r="A692" s="690"/>
      <c r="B692" s="701" t="s">
        <v>480</v>
      </c>
      <c r="C692" s="743" t="s">
        <v>416</v>
      </c>
      <c r="D692" s="703" t="s">
        <v>500</v>
      </c>
      <c r="E692" s="704">
        <v>2021.0</v>
      </c>
      <c r="F692" s="743" t="s">
        <v>418</v>
      </c>
      <c r="G692" s="743" t="s">
        <v>50</v>
      </c>
      <c r="H692" s="705">
        <v>845442.0</v>
      </c>
      <c r="I692" s="705">
        <v>1121742.0</v>
      </c>
      <c r="J692" s="706">
        <v>586547.0</v>
      </c>
      <c r="K692" s="64"/>
      <c r="CE692" s="460"/>
    </row>
    <row r="693">
      <c r="A693" s="690"/>
      <c r="B693" s="712" t="s">
        <v>480</v>
      </c>
      <c r="C693" s="742" t="s">
        <v>416</v>
      </c>
      <c r="D693" s="714" t="s">
        <v>502</v>
      </c>
      <c r="E693" s="715">
        <v>2021.0</v>
      </c>
      <c r="F693" s="742" t="s">
        <v>418</v>
      </c>
      <c r="G693" s="742" t="s">
        <v>50</v>
      </c>
      <c r="H693" s="716">
        <v>113525.0</v>
      </c>
      <c r="I693" s="716">
        <v>150626.0</v>
      </c>
      <c r="J693" s="717">
        <v>78761.0</v>
      </c>
      <c r="K693" s="64"/>
      <c r="CE693" s="460"/>
    </row>
    <row r="694">
      <c r="A694" s="690"/>
      <c r="B694" s="701" t="s">
        <v>480</v>
      </c>
      <c r="C694" s="743" t="s">
        <v>416</v>
      </c>
      <c r="D694" s="703" t="s">
        <v>505</v>
      </c>
      <c r="E694" s="704">
        <v>2021.0</v>
      </c>
      <c r="F694" s="743" t="s">
        <v>418</v>
      </c>
      <c r="G694" s="743" t="s">
        <v>50</v>
      </c>
      <c r="H694" s="705">
        <v>93658.0</v>
      </c>
      <c r="I694" s="705">
        <v>124266.0</v>
      </c>
      <c r="J694" s="706">
        <v>64977.0</v>
      </c>
      <c r="K694" s="64"/>
      <c r="CE694" s="460"/>
    </row>
    <row r="695">
      <c r="A695" s="690"/>
      <c r="B695" s="712" t="s">
        <v>480</v>
      </c>
      <c r="C695" s="742" t="s">
        <v>416</v>
      </c>
      <c r="D695" s="714" t="s">
        <v>508</v>
      </c>
      <c r="E695" s="715">
        <v>2021.0</v>
      </c>
      <c r="F695" s="742" t="s">
        <v>418</v>
      </c>
      <c r="G695" s="742" t="s">
        <v>50</v>
      </c>
      <c r="H695" s="716">
        <v>77527.0</v>
      </c>
      <c r="I695" s="716">
        <v>102864.0</v>
      </c>
      <c r="J695" s="717">
        <v>53787.0</v>
      </c>
      <c r="K695" s="64"/>
      <c r="CE695" s="460"/>
    </row>
    <row r="696">
      <c r="A696" s="690"/>
      <c r="B696" s="701" t="s">
        <v>480</v>
      </c>
      <c r="C696" s="743" t="s">
        <v>416</v>
      </c>
      <c r="D696" s="703" t="s">
        <v>511</v>
      </c>
      <c r="E696" s="704">
        <v>2021.0</v>
      </c>
      <c r="F696" s="743" t="s">
        <v>418</v>
      </c>
      <c r="G696" s="743" t="s">
        <v>50</v>
      </c>
      <c r="H696" s="705">
        <v>91802.0</v>
      </c>
      <c r="I696" s="705">
        <v>121804.0</v>
      </c>
      <c r="J696" s="706">
        <v>63690.0</v>
      </c>
      <c r="K696" s="64"/>
      <c r="CE696" s="460"/>
    </row>
    <row r="697">
      <c r="A697" s="690"/>
      <c r="B697" s="712" t="s">
        <v>480</v>
      </c>
      <c r="C697" s="742" t="s">
        <v>416</v>
      </c>
      <c r="D697" s="714" t="s">
        <v>514</v>
      </c>
      <c r="E697" s="715">
        <v>2021.0</v>
      </c>
      <c r="F697" s="742" t="s">
        <v>418</v>
      </c>
      <c r="G697" s="742" t="s">
        <v>50</v>
      </c>
      <c r="H697" s="716">
        <v>44486.0</v>
      </c>
      <c r="I697" s="716">
        <v>59025.0</v>
      </c>
      <c r="J697" s="717">
        <v>30863.0</v>
      </c>
      <c r="K697" s="64"/>
      <c r="CE697" s="460"/>
    </row>
    <row r="698">
      <c r="A698" s="690"/>
      <c r="B698" s="701" t="s">
        <v>480</v>
      </c>
      <c r="C698" s="743" t="s">
        <v>416</v>
      </c>
      <c r="D698" s="703" t="s">
        <v>439</v>
      </c>
      <c r="E698" s="704">
        <v>2021.0</v>
      </c>
      <c r="F698" s="743" t="s">
        <v>418</v>
      </c>
      <c r="G698" s="743" t="s">
        <v>50</v>
      </c>
      <c r="H698" s="705">
        <v>11019.0</v>
      </c>
      <c r="I698" s="705">
        <v>14620.0</v>
      </c>
      <c r="J698" s="706">
        <v>7645.0</v>
      </c>
      <c r="K698" s="64"/>
      <c r="CE698" s="460"/>
    </row>
    <row r="699">
      <c r="A699" s="690"/>
      <c r="B699" s="712" t="s">
        <v>480</v>
      </c>
      <c r="C699" s="742" t="s">
        <v>416</v>
      </c>
      <c r="D699" s="714" t="s">
        <v>517</v>
      </c>
      <c r="E699" s="715">
        <v>2021.0</v>
      </c>
      <c r="F699" s="742" t="s">
        <v>418</v>
      </c>
      <c r="G699" s="742" t="s">
        <v>50</v>
      </c>
      <c r="H699" s="716">
        <v>28785.0</v>
      </c>
      <c r="I699" s="716">
        <v>38192.0</v>
      </c>
      <c r="J699" s="717">
        <v>19970.0</v>
      </c>
      <c r="K699" s="64"/>
      <c r="CE699" s="460"/>
    </row>
    <row r="700">
      <c r="A700" s="690"/>
      <c r="B700" s="701" t="s">
        <v>480</v>
      </c>
      <c r="C700" s="743" t="s">
        <v>416</v>
      </c>
      <c r="D700" s="703" t="s">
        <v>520</v>
      </c>
      <c r="E700" s="704">
        <v>2021.0</v>
      </c>
      <c r="F700" s="743" t="s">
        <v>418</v>
      </c>
      <c r="G700" s="743" t="s">
        <v>50</v>
      </c>
      <c r="H700" s="705">
        <v>18531.0</v>
      </c>
      <c r="I700" s="705">
        <v>24587.0</v>
      </c>
      <c r="J700" s="706">
        <v>12857.0</v>
      </c>
      <c r="K700" s="64"/>
      <c r="CE700" s="460"/>
    </row>
    <row r="701">
      <c r="A701" s="690"/>
      <c r="B701" s="712" t="s">
        <v>480</v>
      </c>
      <c r="C701" s="742" t="s">
        <v>416</v>
      </c>
      <c r="D701" s="714" t="s">
        <v>521</v>
      </c>
      <c r="E701" s="715">
        <v>2021.0</v>
      </c>
      <c r="F701" s="742" t="s">
        <v>418</v>
      </c>
      <c r="G701" s="742" t="s">
        <v>50</v>
      </c>
      <c r="H701" s="716">
        <v>13413.0</v>
      </c>
      <c r="I701" s="716">
        <v>17797.0</v>
      </c>
      <c r="J701" s="717">
        <v>9306.0</v>
      </c>
      <c r="K701" s="64"/>
      <c r="CE701" s="460"/>
    </row>
    <row r="702">
      <c r="A702" s="690"/>
      <c r="B702" s="701" t="s">
        <v>480</v>
      </c>
      <c r="C702" s="743" t="s">
        <v>416</v>
      </c>
      <c r="D702" s="703" t="s">
        <v>524</v>
      </c>
      <c r="E702" s="704">
        <v>2021.0</v>
      </c>
      <c r="F702" s="743" t="s">
        <v>418</v>
      </c>
      <c r="G702" s="743" t="s">
        <v>50</v>
      </c>
      <c r="H702" s="705">
        <v>4188.0</v>
      </c>
      <c r="I702" s="705">
        <v>5556.0</v>
      </c>
      <c r="J702" s="706">
        <v>2905.0</v>
      </c>
      <c r="K702" s="64"/>
      <c r="CE702" s="460"/>
    </row>
    <row r="703">
      <c r="A703" s="690"/>
      <c r="B703" s="712" t="s">
        <v>480</v>
      </c>
      <c r="C703" s="742" t="s">
        <v>416</v>
      </c>
      <c r="D703" s="714" t="s">
        <v>527</v>
      </c>
      <c r="E703" s="715">
        <v>2021.0</v>
      </c>
      <c r="F703" s="742" t="s">
        <v>418</v>
      </c>
      <c r="G703" s="742" t="s">
        <v>50</v>
      </c>
      <c r="H703" s="716">
        <v>811.0</v>
      </c>
      <c r="I703" s="716">
        <v>1076.0</v>
      </c>
      <c r="J703" s="717">
        <v>562.0</v>
      </c>
      <c r="K703" s="64"/>
      <c r="CE703" s="460"/>
    </row>
    <row r="704">
      <c r="A704" s="690"/>
      <c r="B704" s="701" t="s">
        <v>480</v>
      </c>
      <c r="C704" s="743" t="s">
        <v>416</v>
      </c>
      <c r="D704" s="703" t="s">
        <v>529</v>
      </c>
      <c r="E704" s="704">
        <v>2021.0</v>
      </c>
      <c r="F704" s="743" t="s">
        <v>418</v>
      </c>
      <c r="G704" s="743" t="s">
        <v>50</v>
      </c>
      <c r="H704" s="705">
        <v>120.0</v>
      </c>
      <c r="I704" s="705">
        <v>159.0</v>
      </c>
      <c r="J704" s="706">
        <v>83.0</v>
      </c>
      <c r="K704" s="64"/>
      <c r="CE704" s="460"/>
    </row>
    <row r="705">
      <c r="A705" s="690"/>
      <c r="B705" s="712" t="s">
        <v>480</v>
      </c>
      <c r="C705" s="742" t="s">
        <v>416</v>
      </c>
      <c r="D705" s="714" t="s">
        <v>443</v>
      </c>
      <c r="E705" s="715">
        <v>2021.0</v>
      </c>
      <c r="F705" s="742" t="s">
        <v>418</v>
      </c>
      <c r="G705" s="742" t="s">
        <v>50</v>
      </c>
      <c r="H705" s="716">
        <v>6597908.0</v>
      </c>
      <c r="I705" s="716">
        <v>8754173.0</v>
      </c>
      <c r="J705" s="717">
        <v>4577467.0</v>
      </c>
      <c r="K705" s="64"/>
      <c r="CE705" s="460"/>
    </row>
    <row r="706">
      <c r="A706" s="690"/>
      <c r="B706" s="701" t="s">
        <v>483</v>
      </c>
      <c r="C706" s="743" t="s">
        <v>416</v>
      </c>
      <c r="D706" s="703" t="s">
        <v>417</v>
      </c>
      <c r="E706" s="704">
        <v>2021.0</v>
      </c>
      <c r="F706" s="743" t="s">
        <v>418</v>
      </c>
      <c r="G706" s="743" t="s">
        <v>50</v>
      </c>
      <c r="H706" s="705">
        <v>28277.0</v>
      </c>
      <c r="I706" s="705">
        <v>30881.0</v>
      </c>
      <c r="J706" s="706">
        <v>25198.0</v>
      </c>
      <c r="K706" s="64"/>
      <c r="CE706" s="460"/>
    </row>
    <row r="707">
      <c r="A707" s="690"/>
      <c r="B707" s="712" t="s">
        <v>483</v>
      </c>
      <c r="C707" s="742" t="s">
        <v>416</v>
      </c>
      <c r="D707" s="714" t="s">
        <v>431</v>
      </c>
      <c r="E707" s="715">
        <v>2021.0</v>
      </c>
      <c r="F707" s="742" t="s">
        <v>418</v>
      </c>
      <c r="G707" s="742" t="s">
        <v>50</v>
      </c>
      <c r="H707" s="716">
        <v>535006.0</v>
      </c>
      <c r="I707" s="716">
        <v>584276.0</v>
      </c>
      <c r="J707" s="717">
        <v>476766.0</v>
      </c>
      <c r="K707" s="64"/>
      <c r="CE707" s="460"/>
    </row>
    <row r="708">
      <c r="A708" s="690"/>
      <c r="B708" s="701" t="s">
        <v>483</v>
      </c>
      <c r="C708" s="743" t="s">
        <v>416</v>
      </c>
      <c r="D708" s="703" t="s">
        <v>438</v>
      </c>
      <c r="E708" s="704">
        <v>2021.0</v>
      </c>
      <c r="F708" s="743" t="s">
        <v>418</v>
      </c>
      <c r="G708" s="743" t="s">
        <v>50</v>
      </c>
      <c r="H708" s="705">
        <v>2186.0</v>
      </c>
      <c r="I708" s="705">
        <v>2387.0</v>
      </c>
      <c r="J708" s="706">
        <v>1948.0</v>
      </c>
      <c r="K708" s="64"/>
      <c r="CE708" s="460"/>
    </row>
    <row r="709">
      <c r="A709" s="690"/>
      <c r="B709" s="712" t="s">
        <v>483</v>
      </c>
      <c r="C709" s="742" t="s">
        <v>416</v>
      </c>
      <c r="D709" s="714" t="s">
        <v>421</v>
      </c>
      <c r="E709" s="715">
        <v>2021.0</v>
      </c>
      <c r="F709" s="742" t="s">
        <v>418</v>
      </c>
      <c r="G709" s="742" t="s">
        <v>50</v>
      </c>
      <c r="H709" s="716">
        <v>140416.0</v>
      </c>
      <c r="I709" s="716">
        <v>153347.0</v>
      </c>
      <c r="J709" s="717">
        <v>125130.0</v>
      </c>
      <c r="K709" s="64"/>
      <c r="CE709" s="460"/>
    </row>
    <row r="710">
      <c r="A710" s="690"/>
      <c r="B710" s="701" t="s">
        <v>483</v>
      </c>
      <c r="C710" s="743" t="s">
        <v>416</v>
      </c>
      <c r="D710" s="703" t="s">
        <v>447</v>
      </c>
      <c r="E710" s="704">
        <v>2021.0</v>
      </c>
      <c r="F710" s="743" t="s">
        <v>418</v>
      </c>
      <c r="G710" s="743" t="s">
        <v>50</v>
      </c>
      <c r="H710" s="705">
        <v>412635.0</v>
      </c>
      <c r="I710" s="705">
        <v>450635.0</v>
      </c>
      <c r="J710" s="706">
        <v>367715.0</v>
      </c>
      <c r="K710" s="64"/>
      <c r="CE710" s="460"/>
    </row>
    <row r="711">
      <c r="A711" s="690"/>
      <c r="B711" s="712" t="s">
        <v>483</v>
      </c>
      <c r="C711" s="742" t="s">
        <v>416</v>
      </c>
      <c r="D711" s="714" t="s">
        <v>432</v>
      </c>
      <c r="E711" s="715">
        <v>2021.0</v>
      </c>
      <c r="F711" s="742" t="s">
        <v>418</v>
      </c>
      <c r="G711" s="742" t="s">
        <v>50</v>
      </c>
      <c r="H711" s="716">
        <v>550.0</v>
      </c>
      <c r="I711" s="716">
        <v>600.0</v>
      </c>
      <c r="J711" s="717">
        <v>490.0</v>
      </c>
      <c r="K711" s="64"/>
      <c r="CE711" s="460"/>
    </row>
    <row r="712">
      <c r="A712" s="690"/>
      <c r="B712" s="701" t="s">
        <v>483</v>
      </c>
      <c r="C712" s="743" t="s">
        <v>416</v>
      </c>
      <c r="D712" s="703" t="s">
        <v>450</v>
      </c>
      <c r="E712" s="704">
        <v>2021.0</v>
      </c>
      <c r="F712" s="743" t="s">
        <v>418</v>
      </c>
      <c r="G712" s="743" t="s">
        <v>50</v>
      </c>
      <c r="H712" s="705">
        <v>133578.0</v>
      </c>
      <c r="I712" s="705">
        <v>145879.0</v>
      </c>
      <c r="J712" s="706">
        <v>119036.0</v>
      </c>
      <c r="K712" s="64"/>
      <c r="CE712" s="460"/>
    </row>
    <row r="713">
      <c r="A713" s="690"/>
      <c r="B713" s="712" t="s">
        <v>483</v>
      </c>
      <c r="C713" s="742" t="s">
        <v>416</v>
      </c>
      <c r="D713" s="714" t="s">
        <v>453</v>
      </c>
      <c r="E713" s="715">
        <v>2021.0</v>
      </c>
      <c r="F713" s="742" t="s">
        <v>418</v>
      </c>
      <c r="G713" s="742" t="s">
        <v>50</v>
      </c>
      <c r="H713" s="716">
        <v>255949.0</v>
      </c>
      <c r="I713" s="716">
        <v>279520.0</v>
      </c>
      <c r="J713" s="717">
        <v>228087.0</v>
      </c>
      <c r="K713" s="64"/>
      <c r="CE713" s="460"/>
    </row>
    <row r="714">
      <c r="A714" s="690"/>
      <c r="B714" s="701" t="s">
        <v>483</v>
      </c>
      <c r="C714" s="743" t="s">
        <v>416</v>
      </c>
      <c r="D714" s="703" t="s">
        <v>454</v>
      </c>
      <c r="E714" s="704">
        <v>2021.0</v>
      </c>
      <c r="F714" s="743" t="s">
        <v>418</v>
      </c>
      <c r="G714" s="743" t="s">
        <v>50</v>
      </c>
      <c r="H714" s="705">
        <v>367833.0</v>
      </c>
      <c r="I714" s="705">
        <v>401708.0</v>
      </c>
      <c r="J714" s="706">
        <v>327791.0</v>
      </c>
      <c r="K714" s="64"/>
      <c r="CE714" s="460"/>
    </row>
    <row r="715">
      <c r="A715" s="690"/>
      <c r="B715" s="712" t="s">
        <v>483</v>
      </c>
      <c r="C715" s="742" t="s">
        <v>416</v>
      </c>
      <c r="D715" s="714" t="s">
        <v>457</v>
      </c>
      <c r="E715" s="715">
        <v>2021.0</v>
      </c>
      <c r="F715" s="742" t="s">
        <v>418</v>
      </c>
      <c r="G715" s="742" t="s">
        <v>50</v>
      </c>
      <c r="H715" s="716">
        <v>28105.0</v>
      </c>
      <c r="I715" s="716">
        <v>30693.0</v>
      </c>
      <c r="J715" s="717">
        <v>25045.0</v>
      </c>
      <c r="K715" s="64"/>
      <c r="CE715" s="460"/>
    </row>
    <row r="716">
      <c r="A716" s="690"/>
      <c r="B716" s="701" t="s">
        <v>483</v>
      </c>
      <c r="C716" s="743" t="s">
        <v>416</v>
      </c>
      <c r="D716" s="703" t="s">
        <v>460</v>
      </c>
      <c r="E716" s="704">
        <v>2021.0</v>
      </c>
      <c r="F716" s="743" t="s">
        <v>418</v>
      </c>
      <c r="G716" s="743" t="s">
        <v>50</v>
      </c>
      <c r="H716" s="705">
        <v>12025.0</v>
      </c>
      <c r="I716" s="705">
        <v>13133.0</v>
      </c>
      <c r="J716" s="706">
        <v>10716.0</v>
      </c>
      <c r="K716" s="64"/>
      <c r="CE716" s="460"/>
    </row>
    <row r="717">
      <c r="A717" s="690"/>
      <c r="B717" s="712" t="s">
        <v>483</v>
      </c>
      <c r="C717" s="742" t="s">
        <v>416</v>
      </c>
      <c r="D717" s="714" t="s">
        <v>463</v>
      </c>
      <c r="E717" s="715">
        <v>2021.0</v>
      </c>
      <c r="F717" s="742" t="s">
        <v>418</v>
      </c>
      <c r="G717" s="742" t="s">
        <v>50</v>
      </c>
      <c r="H717" s="716">
        <v>122372.0</v>
      </c>
      <c r="I717" s="716">
        <v>133641.0</v>
      </c>
      <c r="J717" s="717">
        <v>109050.0</v>
      </c>
      <c r="K717" s="64"/>
      <c r="CE717" s="460"/>
    </row>
    <row r="718">
      <c r="A718" s="690"/>
      <c r="B718" s="701" t="s">
        <v>483</v>
      </c>
      <c r="C718" s="743" t="s">
        <v>416</v>
      </c>
      <c r="D718" s="703" t="s">
        <v>465</v>
      </c>
      <c r="E718" s="704">
        <v>2021.0</v>
      </c>
      <c r="F718" s="743" t="s">
        <v>418</v>
      </c>
      <c r="G718" s="743" t="s">
        <v>50</v>
      </c>
      <c r="H718" s="705">
        <v>616660.0</v>
      </c>
      <c r="I718" s="705">
        <v>673450.0</v>
      </c>
      <c r="J718" s="706">
        <v>549530.0</v>
      </c>
      <c r="K718" s="64"/>
      <c r="CE718" s="460"/>
    </row>
    <row r="719">
      <c r="A719" s="690"/>
      <c r="B719" s="712" t="s">
        <v>483</v>
      </c>
      <c r="C719" s="742" t="s">
        <v>416</v>
      </c>
      <c r="D719" s="714" t="s">
        <v>468</v>
      </c>
      <c r="E719" s="715">
        <v>2021.0</v>
      </c>
      <c r="F719" s="742" t="s">
        <v>418</v>
      </c>
      <c r="G719" s="742" t="s">
        <v>50</v>
      </c>
      <c r="H719" s="716">
        <v>111884.0</v>
      </c>
      <c r="I719" s="716">
        <v>122187.0</v>
      </c>
      <c r="J719" s="717">
        <v>99704.0</v>
      </c>
      <c r="K719" s="64"/>
      <c r="CE719" s="460"/>
    </row>
    <row r="720">
      <c r="A720" s="690"/>
      <c r="B720" s="701" t="s">
        <v>483</v>
      </c>
      <c r="C720" s="743" t="s">
        <v>416</v>
      </c>
      <c r="D720" s="703" t="s">
        <v>471</v>
      </c>
      <c r="E720" s="704">
        <v>2021.0</v>
      </c>
      <c r="F720" s="743" t="s">
        <v>418</v>
      </c>
      <c r="G720" s="743" t="s">
        <v>50</v>
      </c>
      <c r="H720" s="705">
        <v>84034.0</v>
      </c>
      <c r="I720" s="705">
        <v>91773.0</v>
      </c>
      <c r="J720" s="706">
        <v>74886.0</v>
      </c>
      <c r="K720" s="64"/>
      <c r="CE720" s="460"/>
    </row>
    <row r="721">
      <c r="A721" s="690"/>
      <c r="B721" s="712" t="s">
        <v>483</v>
      </c>
      <c r="C721" s="742" t="s">
        <v>416</v>
      </c>
      <c r="D721" s="714" t="s">
        <v>473</v>
      </c>
      <c r="E721" s="715">
        <v>2021.0</v>
      </c>
      <c r="F721" s="742" t="s">
        <v>418</v>
      </c>
      <c r="G721" s="742" t="s">
        <v>50</v>
      </c>
      <c r="H721" s="716">
        <v>508346.0</v>
      </c>
      <c r="I721" s="716">
        <v>555161.0</v>
      </c>
      <c r="J721" s="717">
        <v>453008.0</v>
      </c>
      <c r="K721" s="64"/>
      <c r="CE721" s="460"/>
    </row>
    <row r="722">
      <c r="A722" s="690"/>
      <c r="B722" s="701" t="s">
        <v>483</v>
      </c>
      <c r="C722" s="743" t="s">
        <v>416</v>
      </c>
      <c r="D722" s="703" t="s">
        <v>476</v>
      </c>
      <c r="E722" s="704">
        <v>2021.0</v>
      </c>
      <c r="F722" s="743" t="s">
        <v>418</v>
      </c>
      <c r="G722" s="743" t="s">
        <v>50</v>
      </c>
      <c r="H722" s="705">
        <v>103734.0</v>
      </c>
      <c r="I722" s="705">
        <v>113287.0</v>
      </c>
      <c r="J722" s="706">
        <v>92442.0</v>
      </c>
      <c r="K722" s="64"/>
      <c r="CE722" s="460"/>
    </row>
    <row r="723">
      <c r="A723" s="690"/>
      <c r="B723" s="712" t="s">
        <v>483</v>
      </c>
      <c r="C723" s="742" t="s">
        <v>416</v>
      </c>
      <c r="D723" s="714" t="s">
        <v>479</v>
      </c>
      <c r="E723" s="715">
        <v>2021.0</v>
      </c>
      <c r="F723" s="742" t="s">
        <v>418</v>
      </c>
      <c r="G723" s="742" t="s">
        <v>50</v>
      </c>
      <c r="H723" s="716">
        <v>92504.0</v>
      </c>
      <c r="I723" s="716">
        <v>101023.0</v>
      </c>
      <c r="J723" s="717">
        <v>82434.0</v>
      </c>
      <c r="K723" s="64"/>
      <c r="CE723" s="460"/>
    </row>
    <row r="724">
      <c r="A724" s="690"/>
      <c r="B724" s="701" t="s">
        <v>483</v>
      </c>
      <c r="C724" s="743" t="s">
        <v>416</v>
      </c>
      <c r="D724" s="703" t="s">
        <v>482</v>
      </c>
      <c r="E724" s="704">
        <v>2021.0</v>
      </c>
      <c r="F724" s="743" t="s">
        <v>418</v>
      </c>
      <c r="G724" s="743" t="s">
        <v>50</v>
      </c>
      <c r="H724" s="705">
        <v>78638.0</v>
      </c>
      <c r="I724" s="705">
        <v>85880.0</v>
      </c>
      <c r="J724" s="706">
        <v>70078.0</v>
      </c>
      <c r="K724" s="64"/>
      <c r="CE724" s="460"/>
    </row>
    <row r="725">
      <c r="A725" s="690"/>
      <c r="B725" s="712" t="s">
        <v>483</v>
      </c>
      <c r="C725" s="742" t="s">
        <v>416</v>
      </c>
      <c r="D725" s="714" t="s">
        <v>485</v>
      </c>
      <c r="E725" s="715">
        <v>2021.0</v>
      </c>
      <c r="F725" s="742" t="s">
        <v>418</v>
      </c>
      <c r="G725" s="742" t="s">
        <v>50</v>
      </c>
      <c r="H725" s="716">
        <v>61483.0</v>
      </c>
      <c r="I725" s="716">
        <v>67145.0</v>
      </c>
      <c r="J725" s="717">
        <v>54790.0</v>
      </c>
      <c r="K725" s="64"/>
      <c r="CE725" s="460"/>
    </row>
    <row r="726">
      <c r="A726" s="690"/>
      <c r="B726" s="701" t="s">
        <v>483</v>
      </c>
      <c r="C726" s="743" t="s">
        <v>416</v>
      </c>
      <c r="D726" s="703" t="s">
        <v>488</v>
      </c>
      <c r="E726" s="704">
        <v>2021.0</v>
      </c>
      <c r="F726" s="743" t="s">
        <v>418</v>
      </c>
      <c r="G726" s="743" t="s">
        <v>50</v>
      </c>
      <c r="H726" s="705">
        <v>46044.0</v>
      </c>
      <c r="I726" s="705">
        <v>50285.0</v>
      </c>
      <c r="J726" s="706">
        <v>41032.0</v>
      </c>
      <c r="K726" s="64"/>
      <c r="CE726" s="460"/>
    </row>
    <row r="727">
      <c r="A727" s="690"/>
      <c r="B727" s="712" t="s">
        <v>483</v>
      </c>
      <c r="C727" s="742" t="s">
        <v>416</v>
      </c>
      <c r="D727" s="714" t="s">
        <v>491</v>
      </c>
      <c r="E727" s="715">
        <v>2021.0</v>
      </c>
      <c r="F727" s="742" t="s">
        <v>418</v>
      </c>
      <c r="G727" s="742" t="s">
        <v>50</v>
      </c>
      <c r="H727" s="716">
        <v>35402.0</v>
      </c>
      <c r="I727" s="716">
        <v>38663.0</v>
      </c>
      <c r="J727" s="717">
        <v>31548.0</v>
      </c>
      <c r="K727" s="64"/>
      <c r="CE727" s="460"/>
    </row>
    <row r="728">
      <c r="A728" s="690"/>
      <c r="B728" s="701" t="s">
        <v>483</v>
      </c>
      <c r="C728" s="743" t="s">
        <v>416</v>
      </c>
      <c r="D728" s="703" t="s">
        <v>493</v>
      </c>
      <c r="E728" s="704">
        <v>2021.0</v>
      </c>
      <c r="F728" s="743" t="s">
        <v>418</v>
      </c>
      <c r="G728" s="743" t="s">
        <v>50</v>
      </c>
      <c r="H728" s="705">
        <v>103459.0</v>
      </c>
      <c r="I728" s="705">
        <v>112987.0</v>
      </c>
      <c r="J728" s="706">
        <v>92196.0</v>
      </c>
      <c r="K728" s="64"/>
      <c r="CE728" s="460"/>
    </row>
    <row r="729">
      <c r="A729" s="690"/>
      <c r="B729" s="712" t="s">
        <v>483</v>
      </c>
      <c r="C729" s="742" t="s">
        <v>416</v>
      </c>
      <c r="D729" s="714" t="s">
        <v>434</v>
      </c>
      <c r="E729" s="715">
        <v>2021.0</v>
      </c>
      <c r="F729" s="742" t="s">
        <v>418</v>
      </c>
      <c r="G729" s="742" t="s">
        <v>50</v>
      </c>
      <c r="H729" s="716">
        <v>272219.0</v>
      </c>
      <c r="I729" s="716">
        <v>297288.0</v>
      </c>
      <c r="J729" s="717">
        <v>242585.0</v>
      </c>
      <c r="K729" s="64"/>
      <c r="CE729" s="460"/>
    </row>
    <row r="730">
      <c r="A730" s="690"/>
      <c r="B730" s="701" t="s">
        <v>483</v>
      </c>
      <c r="C730" s="743" t="s">
        <v>416</v>
      </c>
      <c r="D730" s="703" t="s">
        <v>497</v>
      </c>
      <c r="E730" s="704">
        <v>2021.0</v>
      </c>
      <c r="F730" s="743" t="s">
        <v>418</v>
      </c>
      <c r="G730" s="743" t="s">
        <v>50</v>
      </c>
      <c r="H730" s="705">
        <v>27840.0</v>
      </c>
      <c r="I730" s="705">
        <v>30404.0</v>
      </c>
      <c r="J730" s="706">
        <v>24809.0</v>
      </c>
      <c r="K730" s="64"/>
      <c r="CE730" s="460"/>
    </row>
    <row r="731">
      <c r="A731" s="690"/>
      <c r="B731" s="712" t="s">
        <v>483</v>
      </c>
      <c r="C731" s="742" t="s">
        <v>416</v>
      </c>
      <c r="D731" s="714" t="s">
        <v>500</v>
      </c>
      <c r="E731" s="715">
        <v>2021.0</v>
      </c>
      <c r="F731" s="742" t="s">
        <v>418</v>
      </c>
      <c r="G731" s="742" t="s">
        <v>50</v>
      </c>
      <c r="H731" s="716">
        <v>138641.0</v>
      </c>
      <c r="I731" s="716">
        <v>151409.0</v>
      </c>
      <c r="J731" s="717">
        <v>123549.0</v>
      </c>
      <c r="K731" s="64"/>
      <c r="CE731" s="460"/>
    </row>
    <row r="732">
      <c r="A732" s="690"/>
      <c r="B732" s="701" t="s">
        <v>483</v>
      </c>
      <c r="C732" s="743" t="s">
        <v>416</v>
      </c>
      <c r="D732" s="703" t="s">
        <v>502</v>
      </c>
      <c r="E732" s="704">
        <v>2021.0</v>
      </c>
      <c r="F732" s="743" t="s">
        <v>418</v>
      </c>
      <c r="G732" s="743" t="s">
        <v>50</v>
      </c>
      <c r="H732" s="705">
        <v>22670.0</v>
      </c>
      <c r="I732" s="705">
        <v>24758.0</v>
      </c>
      <c r="J732" s="706">
        <v>20202.0</v>
      </c>
      <c r="K732" s="64"/>
      <c r="CE732" s="460"/>
    </row>
    <row r="733">
      <c r="A733" s="690"/>
      <c r="B733" s="712" t="s">
        <v>483</v>
      </c>
      <c r="C733" s="742" t="s">
        <v>416</v>
      </c>
      <c r="D733" s="714" t="s">
        <v>505</v>
      </c>
      <c r="E733" s="715">
        <v>2021.0</v>
      </c>
      <c r="F733" s="742" t="s">
        <v>418</v>
      </c>
      <c r="G733" s="742" t="s">
        <v>50</v>
      </c>
      <c r="H733" s="716">
        <v>14066.0</v>
      </c>
      <c r="I733" s="716">
        <v>15361.0</v>
      </c>
      <c r="J733" s="717">
        <v>12534.0</v>
      </c>
      <c r="K733" s="64"/>
      <c r="CE733" s="460"/>
    </row>
    <row r="734">
      <c r="A734" s="690"/>
      <c r="B734" s="701" t="s">
        <v>483</v>
      </c>
      <c r="C734" s="743" t="s">
        <v>416</v>
      </c>
      <c r="D734" s="703" t="s">
        <v>508</v>
      </c>
      <c r="E734" s="704">
        <v>2021.0</v>
      </c>
      <c r="F734" s="743" t="s">
        <v>418</v>
      </c>
      <c r="G734" s="743" t="s">
        <v>50</v>
      </c>
      <c r="H734" s="705">
        <v>17546.0</v>
      </c>
      <c r="I734" s="705">
        <v>19162.0</v>
      </c>
      <c r="J734" s="706">
        <v>15636.0</v>
      </c>
      <c r="K734" s="64"/>
      <c r="CE734" s="460"/>
    </row>
    <row r="735">
      <c r="A735" s="690"/>
      <c r="B735" s="712" t="s">
        <v>483</v>
      </c>
      <c r="C735" s="742" t="s">
        <v>416</v>
      </c>
      <c r="D735" s="714" t="s">
        <v>511</v>
      </c>
      <c r="E735" s="715">
        <v>2021.0</v>
      </c>
      <c r="F735" s="742" t="s">
        <v>418</v>
      </c>
      <c r="G735" s="742" t="s">
        <v>50</v>
      </c>
      <c r="H735" s="716">
        <v>22483.0</v>
      </c>
      <c r="I735" s="716">
        <v>24553.0</v>
      </c>
      <c r="J735" s="717">
        <v>20035.0</v>
      </c>
      <c r="K735" s="64"/>
      <c r="CE735" s="460"/>
    </row>
    <row r="736">
      <c r="A736" s="690"/>
      <c r="B736" s="701" t="s">
        <v>483</v>
      </c>
      <c r="C736" s="743" t="s">
        <v>416</v>
      </c>
      <c r="D736" s="703" t="s">
        <v>514</v>
      </c>
      <c r="E736" s="704">
        <v>2021.0</v>
      </c>
      <c r="F736" s="743" t="s">
        <v>418</v>
      </c>
      <c r="G736" s="743" t="s">
        <v>50</v>
      </c>
      <c r="H736" s="705">
        <v>11786.0</v>
      </c>
      <c r="I736" s="705">
        <v>12872.0</v>
      </c>
      <c r="J736" s="706">
        <v>10503.0</v>
      </c>
      <c r="K736" s="64"/>
      <c r="CE736" s="460"/>
    </row>
    <row r="737">
      <c r="A737" s="690"/>
      <c r="B737" s="712" t="s">
        <v>483</v>
      </c>
      <c r="C737" s="742" t="s">
        <v>416</v>
      </c>
      <c r="D737" s="714" t="s">
        <v>439</v>
      </c>
      <c r="E737" s="715">
        <v>2021.0</v>
      </c>
      <c r="F737" s="742" t="s">
        <v>418</v>
      </c>
      <c r="G737" s="742" t="s">
        <v>50</v>
      </c>
      <c r="H737" s="716">
        <v>1636.0</v>
      </c>
      <c r="I737" s="716">
        <v>1787.0</v>
      </c>
      <c r="J737" s="717">
        <v>1458.0</v>
      </c>
      <c r="K737" s="64"/>
      <c r="CE737" s="460"/>
    </row>
    <row r="738">
      <c r="A738" s="690"/>
      <c r="B738" s="701" t="s">
        <v>483</v>
      </c>
      <c r="C738" s="743" t="s">
        <v>416</v>
      </c>
      <c r="D738" s="703" t="s">
        <v>517</v>
      </c>
      <c r="E738" s="704">
        <v>2021.0</v>
      </c>
      <c r="F738" s="743" t="s">
        <v>418</v>
      </c>
      <c r="G738" s="743" t="s">
        <v>50</v>
      </c>
      <c r="H738" s="705">
        <v>6846.0</v>
      </c>
      <c r="I738" s="705">
        <v>7477.0</v>
      </c>
      <c r="J738" s="706">
        <v>6101.0</v>
      </c>
      <c r="K738" s="64"/>
      <c r="CE738" s="460"/>
    </row>
    <row r="739">
      <c r="A739" s="690"/>
      <c r="B739" s="712" t="s">
        <v>483</v>
      </c>
      <c r="C739" s="742" t="s">
        <v>416</v>
      </c>
      <c r="D739" s="714" t="s">
        <v>520</v>
      </c>
      <c r="E739" s="715">
        <v>2021.0</v>
      </c>
      <c r="F739" s="742" t="s">
        <v>418</v>
      </c>
      <c r="G739" s="742" t="s">
        <v>50</v>
      </c>
      <c r="H739" s="716">
        <v>3850.0</v>
      </c>
      <c r="I739" s="716">
        <v>4205.0</v>
      </c>
      <c r="J739" s="717">
        <v>3431.0</v>
      </c>
      <c r="K739" s="64"/>
      <c r="CE739" s="460"/>
    </row>
    <row r="740">
      <c r="A740" s="690"/>
      <c r="B740" s="701" t="s">
        <v>483</v>
      </c>
      <c r="C740" s="743" t="s">
        <v>416</v>
      </c>
      <c r="D740" s="703" t="s">
        <v>521</v>
      </c>
      <c r="E740" s="704">
        <v>2021.0</v>
      </c>
      <c r="F740" s="743" t="s">
        <v>418</v>
      </c>
      <c r="G740" s="743" t="s">
        <v>50</v>
      </c>
      <c r="H740" s="705">
        <v>2906.0</v>
      </c>
      <c r="I740" s="705">
        <v>3174.0</v>
      </c>
      <c r="J740" s="706">
        <v>2590.0</v>
      </c>
      <c r="K740" s="64"/>
      <c r="CE740" s="460"/>
    </row>
    <row r="741">
      <c r="A741" s="690"/>
      <c r="B741" s="712" t="s">
        <v>483</v>
      </c>
      <c r="C741" s="742" t="s">
        <v>416</v>
      </c>
      <c r="D741" s="714" t="s">
        <v>524</v>
      </c>
      <c r="E741" s="715">
        <v>2021.0</v>
      </c>
      <c r="F741" s="742" t="s">
        <v>418</v>
      </c>
      <c r="G741" s="742" t="s">
        <v>50</v>
      </c>
      <c r="H741" s="716">
        <v>784.0</v>
      </c>
      <c r="I741" s="716">
        <v>856.0</v>
      </c>
      <c r="J741" s="717">
        <v>698.0</v>
      </c>
      <c r="K741" s="64"/>
      <c r="CE741" s="460"/>
    </row>
    <row r="742">
      <c r="A742" s="690"/>
      <c r="B742" s="701" t="s">
        <v>483</v>
      </c>
      <c r="C742" s="743" t="s">
        <v>416</v>
      </c>
      <c r="D742" s="703" t="s">
        <v>527</v>
      </c>
      <c r="E742" s="704">
        <v>2021.0</v>
      </c>
      <c r="F742" s="743" t="s">
        <v>418</v>
      </c>
      <c r="G742" s="743" t="s">
        <v>50</v>
      </c>
      <c r="H742" s="705">
        <v>140.0</v>
      </c>
      <c r="I742" s="705">
        <v>153.0</v>
      </c>
      <c r="J742" s="706">
        <v>125.0</v>
      </c>
      <c r="K742" s="64"/>
      <c r="CE742" s="460"/>
    </row>
    <row r="743">
      <c r="A743" s="690"/>
      <c r="B743" s="712" t="s">
        <v>483</v>
      </c>
      <c r="C743" s="742" t="s">
        <v>416</v>
      </c>
      <c r="D743" s="714" t="s">
        <v>529</v>
      </c>
      <c r="E743" s="715">
        <v>2021.0</v>
      </c>
      <c r="F743" s="742" t="s">
        <v>418</v>
      </c>
      <c r="G743" s="742" t="s">
        <v>50</v>
      </c>
      <c r="H743" s="716">
        <v>21.0</v>
      </c>
      <c r="I743" s="716">
        <v>22.0</v>
      </c>
      <c r="J743" s="717">
        <v>18.0</v>
      </c>
      <c r="K743" s="64"/>
      <c r="CE743" s="460"/>
    </row>
    <row r="744">
      <c r="A744" s="690"/>
      <c r="B744" s="701" t="s">
        <v>483</v>
      </c>
      <c r="C744" s="743" t="s">
        <v>416</v>
      </c>
      <c r="D744" s="703" t="s">
        <v>443</v>
      </c>
      <c r="E744" s="704">
        <v>2021.0</v>
      </c>
      <c r="F744" s="743" t="s">
        <v>418</v>
      </c>
      <c r="G744" s="743" t="s">
        <v>50</v>
      </c>
      <c r="H744" s="705">
        <v>1155236.0</v>
      </c>
      <c r="I744" s="705">
        <v>1261625.0</v>
      </c>
      <c r="J744" s="706">
        <v>1029477.0</v>
      </c>
      <c r="K744" s="64"/>
      <c r="CE744" s="460"/>
    </row>
    <row r="745">
      <c r="A745" s="690"/>
      <c r="B745" s="712" t="s">
        <v>486</v>
      </c>
      <c r="C745" s="742" t="s">
        <v>416</v>
      </c>
      <c r="D745" s="714" t="s">
        <v>417</v>
      </c>
      <c r="E745" s="715">
        <v>2021.0</v>
      </c>
      <c r="F745" s="742" t="s">
        <v>418</v>
      </c>
      <c r="G745" s="742" t="s">
        <v>50</v>
      </c>
      <c r="H745" s="716">
        <v>3346888.0</v>
      </c>
      <c r="I745" s="716">
        <v>3854921.0</v>
      </c>
      <c r="J745" s="717">
        <v>2821187.0</v>
      </c>
      <c r="K745" s="64"/>
      <c r="CE745" s="460"/>
    </row>
    <row r="746">
      <c r="A746" s="690"/>
      <c r="B746" s="701" t="s">
        <v>486</v>
      </c>
      <c r="C746" s="743" t="s">
        <v>416</v>
      </c>
      <c r="D746" s="703" t="s">
        <v>431</v>
      </c>
      <c r="E746" s="704">
        <v>2021.0</v>
      </c>
      <c r="F746" s="743" t="s">
        <v>418</v>
      </c>
      <c r="G746" s="743" t="s">
        <v>50</v>
      </c>
      <c r="H746" s="705">
        <v>5.7197996E7</v>
      </c>
      <c r="I746" s="705">
        <v>6.5880239E7</v>
      </c>
      <c r="J746" s="706">
        <v>4.8213818E7</v>
      </c>
      <c r="K746" s="64"/>
      <c r="CE746" s="460"/>
    </row>
    <row r="747">
      <c r="A747" s="690"/>
      <c r="B747" s="712" t="s">
        <v>486</v>
      </c>
      <c r="C747" s="742" t="s">
        <v>416</v>
      </c>
      <c r="D747" s="714" t="s">
        <v>438</v>
      </c>
      <c r="E747" s="715">
        <v>2021.0</v>
      </c>
      <c r="F747" s="742" t="s">
        <v>418</v>
      </c>
      <c r="G747" s="742" t="s">
        <v>50</v>
      </c>
      <c r="H747" s="716">
        <v>261937.0</v>
      </c>
      <c r="I747" s="716">
        <v>301697.0</v>
      </c>
      <c r="J747" s="717">
        <v>220794.0</v>
      </c>
      <c r="K747" s="64"/>
      <c r="CE747" s="460"/>
    </row>
    <row r="748">
      <c r="A748" s="690"/>
      <c r="B748" s="701" t="s">
        <v>486</v>
      </c>
      <c r="C748" s="743" t="s">
        <v>416</v>
      </c>
      <c r="D748" s="703" t="s">
        <v>421</v>
      </c>
      <c r="E748" s="704">
        <v>2021.0</v>
      </c>
      <c r="F748" s="743" t="s">
        <v>418</v>
      </c>
      <c r="G748" s="743" t="s">
        <v>50</v>
      </c>
      <c r="H748" s="705">
        <v>1.5965115E7</v>
      </c>
      <c r="I748" s="705">
        <v>1.8388504E7</v>
      </c>
      <c r="J748" s="706">
        <v>1.345745E7</v>
      </c>
      <c r="K748" s="64"/>
      <c r="CE748" s="460"/>
    </row>
    <row r="749">
      <c r="A749" s="690"/>
      <c r="B749" s="712" t="s">
        <v>486</v>
      </c>
      <c r="C749" s="742" t="s">
        <v>416</v>
      </c>
      <c r="D749" s="714" t="s">
        <v>447</v>
      </c>
      <c r="E749" s="715">
        <v>2021.0</v>
      </c>
      <c r="F749" s="742" t="s">
        <v>418</v>
      </c>
      <c r="G749" s="742" t="s">
        <v>50</v>
      </c>
      <c r="H749" s="716">
        <v>4.4350434E7</v>
      </c>
      <c r="I749" s="716">
        <v>5.1082509E7</v>
      </c>
      <c r="J749" s="717">
        <v>3.7384243E7</v>
      </c>
      <c r="K749" s="64"/>
      <c r="CE749" s="460"/>
    </row>
    <row r="750">
      <c r="A750" s="690"/>
      <c r="B750" s="701" t="s">
        <v>486</v>
      </c>
      <c r="C750" s="743" t="s">
        <v>416</v>
      </c>
      <c r="D750" s="703" t="s">
        <v>432</v>
      </c>
      <c r="E750" s="704">
        <v>2021.0</v>
      </c>
      <c r="F750" s="743" t="s">
        <v>418</v>
      </c>
      <c r="G750" s="743" t="s">
        <v>50</v>
      </c>
      <c r="H750" s="705">
        <v>66159.0</v>
      </c>
      <c r="I750" s="705">
        <v>76202.0</v>
      </c>
      <c r="J750" s="706">
        <v>55767.0</v>
      </c>
      <c r="K750" s="64"/>
      <c r="CE750" s="460"/>
    </row>
    <row r="751">
      <c r="A751" s="690"/>
      <c r="B751" s="712" t="s">
        <v>486</v>
      </c>
      <c r="C751" s="742" t="s">
        <v>416</v>
      </c>
      <c r="D751" s="714" t="s">
        <v>450</v>
      </c>
      <c r="E751" s="715">
        <v>2021.0</v>
      </c>
      <c r="F751" s="742" t="s">
        <v>418</v>
      </c>
      <c r="G751" s="742" t="s">
        <v>50</v>
      </c>
      <c r="H751" s="716">
        <v>1.3859618E7</v>
      </c>
      <c r="I751" s="716">
        <v>1.5963408E7</v>
      </c>
      <c r="J751" s="717">
        <v>1.1682667E7</v>
      </c>
      <c r="K751" s="64"/>
      <c r="CE751" s="460"/>
    </row>
    <row r="752">
      <c r="A752" s="690"/>
      <c r="B752" s="701" t="s">
        <v>486</v>
      </c>
      <c r="C752" s="743" t="s">
        <v>416</v>
      </c>
      <c r="D752" s="703" t="s">
        <v>453</v>
      </c>
      <c r="E752" s="704">
        <v>2021.0</v>
      </c>
      <c r="F752" s="743" t="s">
        <v>418</v>
      </c>
      <c r="G752" s="743" t="s">
        <v>50</v>
      </c>
      <c r="H752" s="705">
        <v>2.6707181E7</v>
      </c>
      <c r="I752" s="705">
        <v>3.0761137E7</v>
      </c>
      <c r="J752" s="706">
        <v>2.2512242E7</v>
      </c>
      <c r="K752" s="64"/>
      <c r="CE752" s="460"/>
    </row>
    <row r="753">
      <c r="A753" s="690"/>
      <c r="B753" s="712" t="s">
        <v>486</v>
      </c>
      <c r="C753" s="742" t="s">
        <v>416</v>
      </c>
      <c r="D753" s="714" t="s">
        <v>454</v>
      </c>
      <c r="E753" s="715">
        <v>2021.0</v>
      </c>
      <c r="F753" s="742" t="s">
        <v>418</v>
      </c>
      <c r="G753" s="742" t="s">
        <v>50</v>
      </c>
      <c r="H753" s="716">
        <v>3.7721295E7</v>
      </c>
      <c r="I753" s="716">
        <v>4.3447115E7</v>
      </c>
      <c r="J753" s="717">
        <v>3.1796353E7</v>
      </c>
      <c r="K753" s="64"/>
      <c r="CE753" s="460"/>
    </row>
    <row r="754">
      <c r="A754" s="690"/>
      <c r="B754" s="701" t="s">
        <v>486</v>
      </c>
      <c r="C754" s="743" t="s">
        <v>416</v>
      </c>
      <c r="D754" s="703" t="s">
        <v>457</v>
      </c>
      <c r="E754" s="704">
        <v>2021.0</v>
      </c>
      <c r="F754" s="743" t="s">
        <v>418</v>
      </c>
      <c r="G754" s="743" t="s">
        <v>50</v>
      </c>
      <c r="H754" s="705">
        <v>3255258.0</v>
      </c>
      <c r="I754" s="705">
        <v>3749383.0</v>
      </c>
      <c r="J754" s="706">
        <v>2743950.0</v>
      </c>
      <c r="K754" s="64"/>
      <c r="CE754" s="460"/>
    </row>
    <row r="755">
      <c r="A755" s="690"/>
      <c r="B755" s="712" t="s">
        <v>486</v>
      </c>
      <c r="C755" s="742" t="s">
        <v>416</v>
      </c>
      <c r="D755" s="714" t="s">
        <v>460</v>
      </c>
      <c r="E755" s="715">
        <v>2021.0</v>
      </c>
      <c r="F755" s="742" t="s">
        <v>418</v>
      </c>
      <c r="G755" s="742" t="s">
        <v>50</v>
      </c>
      <c r="H755" s="716">
        <v>1429962.0</v>
      </c>
      <c r="I755" s="716">
        <v>1647020.0</v>
      </c>
      <c r="J755" s="717">
        <v>1205356.0</v>
      </c>
      <c r="K755" s="64"/>
      <c r="CE755" s="460"/>
    </row>
    <row r="756">
      <c r="A756" s="690"/>
      <c r="B756" s="701" t="s">
        <v>486</v>
      </c>
      <c r="C756" s="743" t="s">
        <v>416</v>
      </c>
      <c r="D756" s="703" t="s">
        <v>463</v>
      </c>
      <c r="E756" s="704">
        <v>2021.0</v>
      </c>
      <c r="F756" s="743" t="s">
        <v>418</v>
      </c>
      <c r="G756" s="743" t="s">
        <v>50</v>
      </c>
      <c r="H756" s="705">
        <v>1.2847562E7</v>
      </c>
      <c r="I756" s="705">
        <v>1.4797729E7</v>
      </c>
      <c r="J756" s="706">
        <v>1.0829576E7</v>
      </c>
      <c r="K756" s="64"/>
      <c r="CE756" s="460"/>
    </row>
    <row r="757">
      <c r="A757" s="690"/>
      <c r="B757" s="712" t="s">
        <v>486</v>
      </c>
      <c r="C757" s="742" t="s">
        <v>416</v>
      </c>
      <c r="D757" s="714" t="s">
        <v>465</v>
      </c>
      <c r="E757" s="715">
        <v>2021.0</v>
      </c>
      <c r="F757" s="742" t="s">
        <v>418</v>
      </c>
      <c r="G757" s="742" t="s">
        <v>50</v>
      </c>
      <c r="H757" s="716">
        <v>5.503517E7</v>
      </c>
      <c r="I757" s="716">
        <v>6.3389111E7</v>
      </c>
      <c r="J757" s="717">
        <v>4.6390711E7</v>
      </c>
      <c r="K757" s="64"/>
      <c r="CE757" s="460"/>
    </row>
    <row r="758">
      <c r="A758" s="690"/>
      <c r="B758" s="701" t="s">
        <v>486</v>
      </c>
      <c r="C758" s="743" t="s">
        <v>416</v>
      </c>
      <c r="D758" s="703" t="s">
        <v>468</v>
      </c>
      <c r="E758" s="704">
        <v>2021.0</v>
      </c>
      <c r="F758" s="743" t="s">
        <v>418</v>
      </c>
      <c r="G758" s="743" t="s">
        <v>50</v>
      </c>
      <c r="H758" s="705">
        <v>1.1014114E7</v>
      </c>
      <c r="I758" s="705">
        <v>1.2685977E7</v>
      </c>
      <c r="J758" s="706">
        <v>9284110.0</v>
      </c>
      <c r="K758" s="64"/>
      <c r="CE758" s="460"/>
    </row>
    <row r="759">
      <c r="A759" s="690"/>
      <c r="B759" s="712" t="s">
        <v>486</v>
      </c>
      <c r="C759" s="742" t="s">
        <v>416</v>
      </c>
      <c r="D759" s="714" t="s">
        <v>471</v>
      </c>
      <c r="E759" s="715">
        <v>2021.0</v>
      </c>
      <c r="F759" s="742" t="s">
        <v>418</v>
      </c>
      <c r="G759" s="742" t="s">
        <v>50</v>
      </c>
      <c r="H759" s="716">
        <v>9362969.0</v>
      </c>
      <c r="I759" s="716">
        <v>1.0784201E7</v>
      </c>
      <c r="J759" s="717">
        <v>7892313.0</v>
      </c>
      <c r="K759" s="64"/>
      <c r="CE759" s="460"/>
    </row>
    <row r="760">
      <c r="A760" s="690"/>
      <c r="B760" s="701" t="s">
        <v>486</v>
      </c>
      <c r="C760" s="743" t="s">
        <v>416</v>
      </c>
      <c r="D760" s="703" t="s">
        <v>473</v>
      </c>
      <c r="E760" s="704">
        <v>2021.0</v>
      </c>
      <c r="F760" s="743" t="s">
        <v>418</v>
      </c>
      <c r="G760" s="743" t="s">
        <v>50</v>
      </c>
      <c r="H760" s="705">
        <v>4.0725889E7</v>
      </c>
      <c r="I760" s="705">
        <v>4.6907784E7</v>
      </c>
      <c r="J760" s="706">
        <v>3.432901E7</v>
      </c>
      <c r="K760" s="64"/>
      <c r="CE760" s="460"/>
    </row>
    <row r="761">
      <c r="A761" s="690"/>
      <c r="B761" s="712" t="s">
        <v>486</v>
      </c>
      <c r="C761" s="742" t="s">
        <v>416</v>
      </c>
      <c r="D761" s="714" t="s">
        <v>476</v>
      </c>
      <c r="E761" s="715">
        <v>2021.0</v>
      </c>
      <c r="F761" s="742" t="s">
        <v>418</v>
      </c>
      <c r="G761" s="742" t="s">
        <v>50</v>
      </c>
      <c r="H761" s="716">
        <v>9078408.0</v>
      </c>
      <c r="I761" s="716">
        <v>1.0456444E7</v>
      </c>
      <c r="J761" s="717">
        <v>7652448.0</v>
      </c>
      <c r="K761" s="64"/>
      <c r="CE761" s="460"/>
    </row>
    <row r="762">
      <c r="A762" s="690"/>
      <c r="B762" s="701" t="s">
        <v>486</v>
      </c>
      <c r="C762" s="743" t="s">
        <v>416</v>
      </c>
      <c r="D762" s="703" t="s">
        <v>479</v>
      </c>
      <c r="E762" s="704">
        <v>2021.0</v>
      </c>
      <c r="F762" s="743" t="s">
        <v>418</v>
      </c>
      <c r="G762" s="743" t="s">
        <v>50</v>
      </c>
      <c r="H762" s="705">
        <v>7330052.0</v>
      </c>
      <c r="I762" s="705">
        <v>8442701.0</v>
      </c>
      <c r="J762" s="706">
        <v>6178709.0</v>
      </c>
      <c r="K762" s="64"/>
      <c r="CE762" s="460"/>
    </row>
    <row r="763">
      <c r="A763" s="690"/>
      <c r="B763" s="712" t="s">
        <v>486</v>
      </c>
      <c r="C763" s="742" t="s">
        <v>416</v>
      </c>
      <c r="D763" s="714" t="s">
        <v>482</v>
      </c>
      <c r="E763" s="715">
        <v>2021.0</v>
      </c>
      <c r="F763" s="742" t="s">
        <v>418</v>
      </c>
      <c r="G763" s="742" t="s">
        <v>50</v>
      </c>
      <c r="H763" s="716">
        <v>6084665.0</v>
      </c>
      <c r="I763" s="716">
        <v>7008273.0</v>
      </c>
      <c r="J763" s="717">
        <v>5128937.0</v>
      </c>
      <c r="K763" s="64"/>
      <c r="CE763" s="460"/>
    </row>
    <row r="764">
      <c r="A764" s="690"/>
      <c r="B764" s="701" t="s">
        <v>486</v>
      </c>
      <c r="C764" s="743" t="s">
        <v>416</v>
      </c>
      <c r="D764" s="703" t="s">
        <v>485</v>
      </c>
      <c r="E764" s="704">
        <v>2021.0</v>
      </c>
      <c r="F764" s="743" t="s">
        <v>418</v>
      </c>
      <c r="G764" s="743" t="s">
        <v>50</v>
      </c>
      <c r="H764" s="705">
        <v>4969943.0</v>
      </c>
      <c r="I764" s="705">
        <v>5724344.0</v>
      </c>
      <c r="J764" s="706">
        <v>4189306.0</v>
      </c>
      <c r="K764" s="64"/>
      <c r="CE764" s="460"/>
    </row>
    <row r="765">
      <c r="A765" s="690"/>
      <c r="B765" s="712" t="s">
        <v>486</v>
      </c>
      <c r="C765" s="742" t="s">
        <v>416</v>
      </c>
      <c r="D765" s="714" t="s">
        <v>488</v>
      </c>
      <c r="E765" s="715">
        <v>2021.0</v>
      </c>
      <c r="F765" s="742" t="s">
        <v>418</v>
      </c>
      <c r="G765" s="742" t="s">
        <v>50</v>
      </c>
      <c r="H765" s="716">
        <v>3710427.0</v>
      </c>
      <c r="I765" s="716">
        <v>4273643.0</v>
      </c>
      <c r="J765" s="717">
        <v>3127624.0</v>
      </c>
      <c r="K765" s="64"/>
      <c r="CE765" s="460"/>
    </row>
    <row r="766">
      <c r="A766" s="690"/>
      <c r="B766" s="701" t="s">
        <v>486</v>
      </c>
      <c r="C766" s="743" t="s">
        <v>416</v>
      </c>
      <c r="D766" s="703" t="s">
        <v>491</v>
      </c>
      <c r="E766" s="704">
        <v>2021.0</v>
      </c>
      <c r="F766" s="743" t="s">
        <v>418</v>
      </c>
      <c r="G766" s="743" t="s">
        <v>50</v>
      </c>
      <c r="H766" s="705">
        <v>2706818.0</v>
      </c>
      <c r="I766" s="705">
        <v>3117693.0</v>
      </c>
      <c r="J766" s="706">
        <v>2281654.0</v>
      </c>
      <c r="K766" s="64"/>
      <c r="CE766" s="460"/>
    </row>
    <row r="767">
      <c r="A767" s="690"/>
      <c r="B767" s="712" t="s">
        <v>486</v>
      </c>
      <c r="C767" s="742" t="s">
        <v>416</v>
      </c>
      <c r="D767" s="714" t="s">
        <v>493</v>
      </c>
      <c r="E767" s="715">
        <v>2021.0</v>
      </c>
      <c r="F767" s="742" t="s">
        <v>418</v>
      </c>
      <c r="G767" s="742" t="s">
        <v>50</v>
      </c>
      <c r="H767" s="716">
        <v>7580820.0</v>
      </c>
      <c r="I767" s="716">
        <v>8731534.0</v>
      </c>
      <c r="J767" s="717">
        <v>6390089.0</v>
      </c>
      <c r="K767" s="64"/>
      <c r="CE767" s="460"/>
    </row>
    <row r="768">
      <c r="A768" s="690"/>
      <c r="B768" s="701" t="s">
        <v>486</v>
      </c>
      <c r="C768" s="743" t="s">
        <v>416</v>
      </c>
      <c r="D768" s="703" t="s">
        <v>434</v>
      </c>
      <c r="E768" s="704">
        <v>2021.0</v>
      </c>
      <c r="F768" s="743" t="s">
        <v>418</v>
      </c>
      <c r="G768" s="743" t="s">
        <v>50</v>
      </c>
      <c r="H768" s="705">
        <v>2.8385319E7</v>
      </c>
      <c r="I768" s="705">
        <v>3.2694005E7</v>
      </c>
      <c r="J768" s="706">
        <v>2.3926793E7</v>
      </c>
      <c r="K768" s="64"/>
      <c r="CE768" s="460"/>
    </row>
    <row r="769">
      <c r="A769" s="690"/>
      <c r="B769" s="712" t="s">
        <v>486</v>
      </c>
      <c r="C769" s="742" t="s">
        <v>416</v>
      </c>
      <c r="D769" s="714" t="s">
        <v>497</v>
      </c>
      <c r="E769" s="715">
        <v>2021.0</v>
      </c>
      <c r="F769" s="742" t="s">
        <v>418</v>
      </c>
      <c r="G769" s="742" t="s">
        <v>50</v>
      </c>
      <c r="H769" s="716">
        <v>2049229.0</v>
      </c>
      <c r="I769" s="716">
        <v>2360287.0</v>
      </c>
      <c r="J769" s="717">
        <v>1727353.0</v>
      </c>
      <c r="K769" s="64"/>
      <c r="CE769" s="460"/>
    </row>
    <row r="770">
      <c r="A770" s="690"/>
      <c r="B770" s="701" t="s">
        <v>486</v>
      </c>
      <c r="C770" s="743" t="s">
        <v>416</v>
      </c>
      <c r="D770" s="703" t="s">
        <v>500</v>
      </c>
      <c r="E770" s="704">
        <v>2021.0</v>
      </c>
      <c r="F770" s="743" t="s">
        <v>418</v>
      </c>
      <c r="G770" s="743" t="s">
        <v>50</v>
      </c>
      <c r="H770" s="705">
        <v>1.45257E7</v>
      </c>
      <c r="I770" s="705">
        <v>1.6730597E7</v>
      </c>
      <c r="J770" s="706">
        <v>1.2244126E7</v>
      </c>
      <c r="K770" s="64"/>
      <c r="CE770" s="460"/>
    </row>
    <row r="771">
      <c r="A771" s="690"/>
      <c r="B771" s="712" t="s">
        <v>486</v>
      </c>
      <c r="C771" s="742" t="s">
        <v>416</v>
      </c>
      <c r="D771" s="714" t="s">
        <v>502</v>
      </c>
      <c r="E771" s="715">
        <v>2021.0</v>
      </c>
      <c r="F771" s="742" t="s">
        <v>418</v>
      </c>
      <c r="G771" s="742" t="s">
        <v>50</v>
      </c>
      <c r="H771" s="716">
        <v>1572396.0</v>
      </c>
      <c r="I771" s="716">
        <v>1811075.0</v>
      </c>
      <c r="J771" s="717">
        <v>1325418.0</v>
      </c>
      <c r="K771" s="64"/>
      <c r="CE771" s="460"/>
    </row>
    <row r="772">
      <c r="A772" s="690"/>
      <c r="B772" s="701" t="s">
        <v>486</v>
      </c>
      <c r="C772" s="743" t="s">
        <v>416</v>
      </c>
      <c r="D772" s="703" t="s">
        <v>505</v>
      </c>
      <c r="E772" s="704">
        <v>2021.0</v>
      </c>
      <c r="F772" s="743" t="s">
        <v>418</v>
      </c>
      <c r="G772" s="743" t="s">
        <v>50</v>
      </c>
      <c r="H772" s="705">
        <v>1654989.0</v>
      </c>
      <c r="I772" s="705">
        <v>1906204.0</v>
      </c>
      <c r="J772" s="706">
        <v>1395037.0</v>
      </c>
      <c r="K772" s="64"/>
      <c r="CE772" s="460"/>
    </row>
    <row r="773">
      <c r="A773" s="690"/>
      <c r="B773" s="712" t="s">
        <v>486</v>
      </c>
      <c r="C773" s="742" t="s">
        <v>416</v>
      </c>
      <c r="D773" s="714" t="s">
        <v>508</v>
      </c>
      <c r="E773" s="715">
        <v>2021.0</v>
      </c>
      <c r="F773" s="742" t="s">
        <v>418</v>
      </c>
      <c r="G773" s="742" t="s">
        <v>50</v>
      </c>
      <c r="H773" s="716">
        <v>1252377.0</v>
      </c>
      <c r="I773" s="716">
        <v>1442479.0</v>
      </c>
      <c r="J773" s="717">
        <v>1055664.0</v>
      </c>
      <c r="K773" s="64"/>
      <c r="CE773" s="460"/>
    </row>
    <row r="774">
      <c r="A774" s="690"/>
      <c r="B774" s="701" t="s">
        <v>486</v>
      </c>
      <c r="C774" s="743" t="s">
        <v>416</v>
      </c>
      <c r="D774" s="703" t="s">
        <v>511</v>
      </c>
      <c r="E774" s="704">
        <v>2021.0</v>
      </c>
      <c r="F774" s="743" t="s">
        <v>418</v>
      </c>
      <c r="G774" s="743" t="s">
        <v>50</v>
      </c>
      <c r="H774" s="705">
        <v>1971575.0</v>
      </c>
      <c r="I774" s="705">
        <v>2270845.0</v>
      </c>
      <c r="J774" s="706">
        <v>1661896.0</v>
      </c>
      <c r="K774" s="64"/>
      <c r="CE774" s="460"/>
    </row>
    <row r="775">
      <c r="A775" s="690"/>
      <c r="B775" s="712" t="s">
        <v>486</v>
      </c>
      <c r="C775" s="742" t="s">
        <v>416</v>
      </c>
      <c r="D775" s="714" t="s">
        <v>514</v>
      </c>
      <c r="E775" s="715">
        <v>2021.0</v>
      </c>
      <c r="F775" s="742" t="s">
        <v>418</v>
      </c>
      <c r="G775" s="742" t="s">
        <v>50</v>
      </c>
      <c r="H775" s="716">
        <v>848010.0</v>
      </c>
      <c r="I775" s="716">
        <v>976732.0</v>
      </c>
      <c r="J775" s="717">
        <v>714812.0</v>
      </c>
      <c r="K775" s="64"/>
      <c r="CE775" s="460"/>
    </row>
    <row r="776">
      <c r="A776" s="690"/>
      <c r="B776" s="701" t="s">
        <v>486</v>
      </c>
      <c r="C776" s="743" t="s">
        <v>416</v>
      </c>
      <c r="D776" s="703" t="s">
        <v>439</v>
      </c>
      <c r="E776" s="704">
        <v>2021.0</v>
      </c>
      <c r="F776" s="743" t="s">
        <v>418</v>
      </c>
      <c r="G776" s="743" t="s">
        <v>50</v>
      </c>
      <c r="H776" s="705">
        <v>195778.0</v>
      </c>
      <c r="I776" s="705">
        <v>225496.0</v>
      </c>
      <c r="J776" s="706">
        <v>165027.0</v>
      </c>
      <c r="K776" s="64"/>
      <c r="CE776" s="460"/>
    </row>
    <row r="777">
      <c r="A777" s="690"/>
      <c r="B777" s="712" t="s">
        <v>486</v>
      </c>
      <c r="C777" s="742" t="s">
        <v>416</v>
      </c>
      <c r="D777" s="714" t="s">
        <v>517</v>
      </c>
      <c r="E777" s="715">
        <v>2021.0</v>
      </c>
      <c r="F777" s="742" t="s">
        <v>418</v>
      </c>
      <c r="G777" s="742" t="s">
        <v>50</v>
      </c>
      <c r="H777" s="716">
        <v>602168.0</v>
      </c>
      <c r="I777" s="716">
        <v>693573.0</v>
      </c>
      <c r="J777" s="717">
        <v>507585.0</v>
      </c>
      <c r="K777" s="64"/>
      <c r="CE777" s="460"/>
    </row>
    <row r="778">
      <c r="A778" s="690"/>
      <c r="B778" s="701" t="s">
        <v>486</v>
      </c>
      <c r="C778" s="743" t="s">
        <v>416</v>
      </c>
      <c r="D778" s="703" t="s">
        <v>520</v>
      </c>
      <c r="E778" s="704">
        <v>2021.0</v>
      </c>
      <c r="F778" s="743" t="s">
        <v>418</v>
      </c>
      <c r="G778" s="743" t="s">
        <v>50</v>
      </c>
      <c r="H778" s="705">
        <v>521396.0</v>
      </c>
      <c r="I778" s="705">
        <v>600541.0</v>
      </c>
      <c r="J778" s="706">
        <v>439500.0</v>
      </c>
      <c r="K778" s="64"/>
      <c r="CE778" s="460"/>
    </row>
    <row r="779">
      <c r="A779" s="690"/>
      <c r="B779" s="712" t="s">
        <v>486</v>
      </c>
      <c r="C779" s="742" t="s">
        <v>416</v>
      </c>
      <c r="D779" s="714" t="s">
        <v>521</v>
      </c>
      <c r="E779" s="715">
        <v>2021.0</v>
      </c>
      <c r="F779" s="742" t="s">
        <v>418</v>
      </c>
      <c r="G779" s="742" t="s">
        <v>50</v>
      </c>
      <c r="H779" s="716">
        <v>332555.0</v>
      </c>
      <c r="I779" s="716">
        <v>383035.0</v>
      </c>
      <c r="J779" s="717">
        <v>280320.0</v>
      </c>
      <c r="K779" s="64"/>
      <c r="CE779" s="460"/>
    </row>
    <row r="780">
      <c r="A780" s="690"/>
      <c r="B780" s="701" t="s">
        <v>486</v>
      </c>
      <c r="C780" s="743" t="s">
        <v>416</v>
      </c>
      <c r="D780" s="703" t="s">
        <v>524</v>
      </c>
      <c r="E780" s="704">
        <v>2021.0</v>
      </c>
      <c r="F780" s="743" t="s">
        <v>418</v>
      </c>
      <c r="G780" s="743" t="s">
        <v>50</v>
      </c>
      <c r="H780" s="705">
        <v>140371.0</v>
      </c>
      <c r="I780" s="705">
        <v>161678.0</v>
      </c>
      <c r="J780" s="706">
        <v>118322.0</v>
      </c>
      <c r="K780" s="64"/>
      <c r="CE780" s="460"/>
    </row>
    <row r="781">
      <c r="A781" s="690"/>
      <c r="B781" s="712" t="s">
        <v>486</v>
      </c>
      <c r="C781" s="742" t="s">
        <v>416</v>
      </c>
      <c r="D781" s="714" t="s">
        <v>527</v>
      </c>
      <c r="E781" s="715">
        <v>2021.0</v>
      </c>
      <c r="F781" s="742" t="s">
        <v>418</v>
      </c>
      <c r="G781" s="742" t="s">
        <v>50</v>
      </c>
      <c r="H781" s="716">
        <v>40473.0</v>
      </c>
      <c r="I781" s="716">
        <v>46616.0</v>
      </c>
      <c r="J781" s="717">
        <v>34116.0</v>
      </c>
      <c r="K781" s="64"/>
      <c r="CE781" s="460"/>
    </row>
    <row r="782">
      <c r="A782" s="690"/>
      <c r="B782" s="701" t="s">
        <v>486</v>
      </c>
      <c r="C782" s="743" t="s">
        <v>416</v>
      </c>
      <c r="D782" s="703" t="s">
        <v>529</v>
      </c>
      <c r="E782" s="704">
        <v>2021.0</v>
      </c>
      <c r="F782" s="743" t="s">
        <v>418</v>
      </c>
      <c r="G782" s="743" t="s">
        <v>50</v>
      </c>
      <c r="H782" s="705">
        <v>7998.0</v>
      </c>
      <c r="I782" s="705">
        <v>9212.0</v>
      </c>
      <c r="J782" s="706">
        <v>6741.0</v>
      </c>
      <c r="K782" s="64"/>
      <c r="CE782" s="460"/>
    </row>
    <row r="783">
      <c r="A783" s="690"/>
      <c r="B783" s="712" t="s">
        <v>486</v>
      </c>
      <c r="C783" s="742" t="s">
        <v>416</v>
      </c>
      <c r="D783" s="714" t="s">
        <v>443</v>
      </c>
      <c r="E783" s="715">
        <v>2021.0</v>
      </c>
      <c r="F783" s="742" t="s">
        <v>418</v>
      </c>
      <c r="G783" s="742" t="s">
        <v>50</v>
      </c>
      <c r="H783" s="716">
        <v>1.08938E8</v>
      </c>
      <c r="I783" s="716">
        <v>1.25474E8</v>
      </c>
      <c r="J783" s="717">
        <v>9.1826939E7</v>
      </c>
      <c r="K783" s="64"/>
      <c r="CE783" s="460"/>
    </row>
    <row r="784">
      <c r="A784" s="690"/>
      <c r="B784" s="701" t="s">
        <v>489</v>
      </c>
      <c r="C784" s="743" t="s">
        <v>416</v>
      </c>
      <c r="D784" s="703" t="s">
        <v>417</v>
      </c>
      <c r="E784" s="704">
        <v>2021.0</v>
      </c>
      <c r="F784" s="743" t="s">
        <v>418</v>
      </c>
      <c r="G784" s="743" t="s">
        <v>50</v>
      </c>
      <c r="H784" s="705">
        <v>42188.0</v>
      </c>
      <c r="I784" s="705">
        <v>46814.0</v>
      </c>
      <c r="J784" s="706">
        <v>37335.0</v>
      </c>
      <c r="K784" s="64"/>
      <c r="CE784" s="460"/>
    </row>
    <row r="785">
      <c r="A785" s="690"/>
      <c r="B785" s="712" t="s">
        <v>489</v>
      </c>
      <c r="C785" s="742" t="s">
        <v>416</v>
      </c>
      <c r="D785" s="714" t="s">
        <v>431</v>
      </c>
      <c r="E785" s="715">
        <v>2021.0</v>
      </c>
      <c r="F785" s="742" t="s">
        <v>418</v>
      </c>
      <c r="G785" s="742" t="s">
        <v>50</v>
      </c>
      <c r="H785" s="716">
        <v>827049.0</v>
      </c>
      <c r="I785" s="716">
        <v>917726.0</v>
      </c>
      <c r="J785" s="717">
        <v>731909.0</v>
      </c>
      <c r="K785" s="64"/>
      <c r="CE785" s="460"/>
    </row>
    <row r="786">
      <c r="A786" s="690"/>
      <c r="B786" s="701" t="s">
        <v>489</v>
      </c>
      <c r="C786" s="743" t="s">
        <v>416</v>
      </c>
      <c r="D786" s="703" t="s">
        <v>438</v>
      </c>
      <c r="E786" s="704">
        <v>2021.0</v>
      </c>
      <c r="F786" s="743" t="s">
        <v>418</v>
      </c>
      <c r="G786" s="743" t="s">
        <v>50</v>
      </c>
      <c r="H786" s="705">
        <v>3253.0</v>
      </c>
      <c r="I786" s="705">
        <v>3609.0</v>
      </c>
      <c r="J786" s="706">
        <v>2879.0</v>
      </c>
      <c r="K786" s="64"/>
      <c r="CE786" s="460"/>
    </row>
    <row r="787">
      <c r="A787" s="690"/>
      <c r="B787" s="712" t="s">
        <v>489</v>
      </c>
      <c r="C787" s="742" t="s">
        <v>416</v>
      </c>
      <c r="D787" s="714" t="s">
        <v>421</v>
      </c>
      <c r="E787" s="715">
        <v>2021.0</v>
      </c>
      <c r="F787" s="742" t="s">
        <v>418</v>
      </c>
      <c r="G787" s="742" t="s">
        <v>50</v>
      </c>
      <c r="H787" s="716">
        <v>213539.0</v>
      </c>
      <c r="I787" s="716">
        <v>236951.0</v>
      </c>
      <c r="J787" s="717">
        <v>188974.0</v>
      </c>
      <c r="K787" s="64"/>
      <c r="CE787" s="460"/>
    </row>
    <row r="788">
      <c r="A788" s="690"/>
      <c r="B788" s="701" t="s">
        <v>489</v>
      </c>
      <c r="C788" s="743" t="s">
        <v>416</v>
      </c>
      <c r="D788" s="703" t="s">
        <v>447</v>
      </c>
      <c r="E788" s="704">
        <v>2021.0</v>
      </c>
      <c r="F788" s="743" t="s">
        <v>418</v>
      </c>
      <c r="G788" s="743" t="s">
        <v>50</v>
      </c>
      <c r="H788" s="705">
        <v>639140.0</v>
      </c>
      <c r="I788" s="705">
        <v>709215.0</v>
      </c>
      <c r="J788" s="706">
        <v>565616.0</v>
      </c>
      <c r="K788" s="64"/>
      <c r="CE788" s="460"/>
    </row>
    <row r="789">
      <c r="A789" s="690"/>
      <c r="B789" s="712" t="s">
        <v>489</v>
      </c>
      <c r="C789" s="742" t="s">
        <v>416</v>
      </c>
      <c r="D789" s="714" t="s">
        <v>432</v>
      </c>
      <c r="E789" s="715">
        <v>2021.0</v>
      </c>
      <c r="F789" s="742" t="s">
        <v>418</v>
      </c>
      <c r="G789" s="742" t="s">
        <v>50</v>
      </c>
      <c r="H789" s="716">
        <v>818.0</v>
      </c>
      <c r="I789" s="716">
        <v>908.0</v>
      </c>
      <c r="J789" s="717">
        <v>724.0</v>
      </c>
      <c r="K789" s="64"/>
      <c r="CE789" s="460"/>
    </row>
    <row r="790">
      <c r="A790" s="690"/>
      <c r="B790" s="701" t="s">
        <v>489</v>
      </c>
      <c r="C790" s="743" t="s">
        <v>416</v>
      </c>
      <c r="D790" s="703" t="s">
        <v>450</v>
      </c>
      <c r="E790" s="704">
        <v>2021.0</v>
      </c>
      <c r="F790" s="743" t="s">
        <v>418</v>
      </c>
      <c r="G790" s="743" t="s">
        <v>50</v>
      </c>
      <c r="H790" s="705">
        <v>207341.0</v>
      </c>
      <c r="I790" s="705">
        <v>230073.0</v>
      </c>
      <c r="J790" s="706">
        <v>183489.0</v>
      </c>
      <c r="K790" s="64"/>
      <c r="CE790" s="460"/>
    </row>
    <row r="791">
      <c r="A791" s="690"/>
      <c r="B791" s="712" t="s">
        <v>489</v>
      </c>
      <c r="C791" s="742" t="s">
        <v>416</v>
      </c>
      <c r="D791" s="714" t="s">
        <v>453</v>
      </c>
      <c r="E791" s="715">
        <v>2021.0</v>
      </c>
      <c r="F791" s="742" t="s">
        <v>418</v>
      </c>
      <c r="G791" s="742" t="s">
        <v>50</v>
      </c>
      <c r="H791" s="716">
        <v>395250.0</v>
      </c>
      <c r="I791" s="716">
        <v>438585.0</v>
      </c>
      <c r="J791" s="717">
        <v>349782.0</v>
      </c>
      <c r="K791" s="64"/>
      <c r="CE791" s="460"/>
    </row>
    <row r="792">
      <c r="A792" s="690"/>
      <c r="B792" s="701" t="s">
        <v>489</v>
      </c>
      <c r="C792" s="743" t="s">
        <v>416</v>
      </c>
      <c r="D792" s="703" t="s">
        <v>454</v>
      </c>
      <c r="E792" s="704">
        <v>2021.0</v>
      </c>
      <c r="F792" s="743" t="s">
        <v>418</v>
      </c>
      <c r="G792" s="743" t="s">
        <v>50</v>
      </c>
      <c r="H792" s="705">
        <v>564275.0</v>
      </c>
      <c r="I792" s="705">
        <v>626142.0</v>
      </c>
      <c r="J792" s="706">
        <v>499363.0</v>
      </c>
      <c r="K792" s="64"/>
      <c r="CE792" s="460"/>
    </row>
    <row r="793">
      <c r="A793" s="690"/>
      <c r="B793" s="712" t="s">
        <v>489</v>
      </c>
      <c r="C793" s="742" t="s">
        <v>416</v>
      </c>
      <c r="D793" s="714" t="s">
        <v>457</v>
      </c>
      <c r="E793" s="715">
        <v>2021.0</v>
      </c>
      <c r="F793" s="742" t="s">
        <v>418</v>
      </c>
      <c r="G793" s="742" t="s">
        <v>50</v>
      </c>
      <c r="H793" s="716">
        <v>42235.0</v>
      </c>
      <c r="I793" s="716">
        <v>46866.0</v>
      </c>
      <c r="J793" s="717">
        <v>37377.0</v>
      </c>
      <c r="K793" s="64"/>
      <c r="CE793" s="460"/>
    </row>
    <row r="794">
      <c r="A794" s="690"/>
      <c r="B794" s="701" t="s">
        <v>489</v>
      </c>
      <c r="C794" s="743" t="s">
        <v>416</v>
      </c>
      <c r="D794" s="703" t="s">
        <v>460</v>
      </c>
      <c r="E794" s="704">
        <v>2021.0</v>
      </c>
      <c r="F794" s="743" t="s">
        <v>418</v>
      </c>
      <c r="G794" s="743" t="s">
        <v>50</v>
      </c>
      <c r="H794" s="705">
        <v>17926.0</v>
      </c>
      <c r="I794" s="705">
        <v>19892.0</v>
      </c>
      <c r="J794" s="706">
        <v>15864.0</v>
      </c>
      <c r="K794" s="64"/>
      <c r="CE794" s="460"/>
    </row>
    <row r="795">
      <c r="A795" s="690"/>
      <c r="B795" s="712" t="s">
        <v>489</v>
      </c>
      <c r="C795" s="742" t="s">
        <v>416</v>
      </c>
      <c r="D795" s="714" t="s">
        <v>463</v>
      </c>
      <c r="E795" s="715">
        <v>2021.0</v>
      </c>
      <c r="F795" s="742" t="s">
        <v>418</v>
      </c>
      <c r="G795" s="742" t="s">
        <v>50</v>
      </c>
      <c r="H795" s="716">
        <v>187909.0</v>
      </c>
      <c r="I795" s="716">
        <v>208512.0</v>
      </c>
      <c r="J795" s="717">
        <v>166293.0</v>
      </c>
      <c r="K795" s="64"/>
      <c r="CE795" s="460"/>
    </row>
    <row r="796">
      <c r="A796" s="690"/>
      <c r="B796" s="701" t="s">
        <v>489</v>
      </c>
      <c r="C796" s="743" t="s">
        <v>416</v>
      </c>
      <c r="D796" s="703" t="s">
        <v>465</v>
      </c>
      <c r="E796" s="704">
        <v>2021.0</v>
      </c>
      <c r="F796" s="743" t="s">
        <v>418</v>
      </c>
      <c r="G796" s="743" t="s">
        <v>50</v>
      </c>
      <c r="H796" s="705">
        <v>927488.0</v>
      </c>
      <c r="I796" s="705">
        <v>1029177.0</v>
      </c>
      <c r="J796" s="706">
        <v>820794.0</v>
      </c>
      <c r="K796" s="64"/>
      <c r="CE796" s="460"/>
    </row>
    <row r="797">
      <c r="A797" s="690"/>
      <c r="B797" s="712" t="s">
        <v>489</v>
      </c>
      <c r="C797" s="742" t="s">
        <v>416</v>
      </c>
      <c r="D797" s="714" t="s">
        <v>468</v>
      </c>
      <c r="E797" s="715">
        <v>2021.0</v>
      </c>
      <c r="F797" s="742" t="s">
        <v>418</v>
      </c>
      <c r="G797" s="742" t="s">
        <v>50</v>
      </c>
      <c r="H797" s="716">
        <v>169025.0</v>
      </c>
      <c r="I797" s="716">
        <v>187557.0</v>
      </c>
      <c r="J797" s="717">
        <v>149581.0</v>
      </c>
      <c r="K797" s="64"/>
      <c r="CE797" s="460"/>
    </row>
    <row r="798">
      <c r="A798" s="690"/>
      <c r="B798" s="701" t="s">
        <v>489</v>
      </c>
      <c r="C798" s="743" t="s">
        <v>416</v>
      </c>
      <c r="D798" s="703" t="s">
        <v>471</v>
      </c>
      <c r="E798" s="704">
        <v>2021.0</v>
      </c>
      <c r="F798" s="743" t="s">
        <v>418</v>
      </c>
      <c r="G798" s="743" t="s">
        <v>50</v>
      </c>
      <c r="H798" s="705">
        <v>129116.0</v>
      </c>
      <c r="I798" s="705">
        <v>143272.0</v>
      </c>
      <c r="J798" s="706">
        <v>114263.0</v>
      </c>
      <c r="K798" s="64"/>
      <c r="CE798" s="460"/>
    </row>
    <row r="799">
      <c r="A799" s="690"/>
      <c r="B799" s="712" t="s">
        <v>489</v>
      </c>
      <c r="C799" s="742" t="s">
        <v>416</v>
      </c>
      <c r="D799" s="714" t="s">
        <v>473</v>
      </c>
      <c r="E799" s="715">
        <v>2021.0</v>
      </c>
      <c r="F799" s="742" t="s">
        <v>418</v>
      </c>
      <c r="G799" s="742" t="s">
        <v>50</v>
      </c>
      <c r="H799" s="716">
        <v>820010.0</v>
      </c>
      <c r="I799" s="716">
        <v>909915.0</v>
      </c>
      <c r="J799" s="717">
        <v>725679.0</v>
      </c>
      <c r="K799" s="64"/>
      <c r="CE799" s="460"/>
    </row>
    <row r="800">
      <c r="A800" s="690"/>
      <c r="B800" s="701" t="s">
        <v>489</v>
      </c>
      <c r="C800" s="743" t="s">
        <v>416</v>
      </c>
      <c r="D800" s="703" t="s">
        <v>476</v>
      </c>
      <c r="E800" s="704">
        <v>2021.0</v>
      </c>
      <c r="F800" s="743" t="s">
        <v>418</v>
      </c>
      <c r="G800" s="743" t="s">
        <v>50</v>
      </c>
      <c r="H800" s="705">
        <v>150484.0</v>
      </c>
      <c r="I800" s="705">
        <v>166983.0</v>
      </c>
      <c r="J800" s="706">
        <v>133173.0</v>
      </c>
      <c r="K800" s="64"/>
      <c r="CE800" s="460"/>
    </row>
    <row r="801">
      <c r="A801" s="690"/>
      <c r="B801" s="712" t="s">
        <v>489</v>
      </c>
      <c r="C801" s="742" t="s">
        <v>416</v>
      </c>
      <c r="D801" s="714" t="s">
        <v>479</v>
      </c>
      <c r="E801" s="715">
        <v>2021.0</v>
      </c>
      <c r="F801" s="742" t="s">
        <v>418</v>
      </c>
      <c r="G801" s="742" t="s">
        <v>50</v>
      </c>
      <c r="H801" s="716">
        <v>130409.0</v>
      </c>
      <c r="I801" s="716">
        <v>144707.0</v>
      </c>
      <c r="J801" s="717">
        <v>115407.0</v>
      </c>
      <c r="K801" s="64"/>
      <c r="CE801" s="460"/>
    </row>
    <row r="802">
      <c r="A802" s="690"/>
      <c r="B802" s="701" t="s">
        <v>489</v>
      </c>
      <c r="C802" s="743" t="s">
        <v>416</v>
      </c>
      <c r="D802" s="703" t="s">
        <v>482</v>
      </c>
      <c r="E802" s="704">
        <v>2021.0</v>
      </c>
      <c r="F802" s="743" t="s">
        <v>418</v>
      </c>
      <c r="G802" s="743" t="s">
        <v>50</v>
      </c>
      <c r="H802" s="705">
        <v>111730.0</v>
      </c>
      <c r="I802" s="705">
        <v>123980.0</v>
      </c>
      <c r="J802" s="706">
        <v>98877.0</v>
      </c>
      <c r="K802" s="64"/>
      <c r="CE802" s="460"/>
    </row>
    <row r="803">
      <c r="A803" s="690"/>
      <c r="B803" s="712" t="s">
        <v>489</v>
      </c>
      <c r="C803" s="742" t="s">
        <v>416</v>
      </c>
      <c r="D803" s="714" t="s">
        <v>485</v>
      </c>
      <c r="E803" s="715">
        <v>2021.0</v>
      </c>
      <c r="F803" s="742" t="s">
        <v>418</v>
      </c>
      <c r="G803" s="742" t="s">
        <v>50</v>
      </c>
      <c r="H803" s="716">
        <v>95767.0</v>
      </c>
      <c r="I803" s="716">
        <v>106267.0</v>
      </c>
      <c r="J803" s="717">
        <v>84751.0</v>
      </c>
      <c r="K803" s="64"/>
      <c r="CE803" s="460"/>
    </row>
    <row r="804">
      <c r="A804" s="690"/>
      <c r="B804" s="701" t="s">
        <v>489</v>
      </c>
      <c r="C804" s="743" t="s">
        <v>416</v>
      </c>
      <c r="D804" s="703" t="s">
        <v>488</v>
      </c>
      <c r="E804" s="704">
        <v>2021.0</v>
      </c>
      <c r="F804" s="743" t="s">
        <v>418</v>
      </c>
      <c r="G804" s="743" t="s">
        <v>50</v>
      </c>
      <c r="H804" s="705">
        <v>82163.0</v>
      </c>
      <c r="I804" s="705">
        <v>91171.0</v>
      </c>
      <c r="J804" s="706">
        <v>72711.0</v>
      </c>
      <c r="K804" s="64"/>
      <c r="CE804" s="460"/>
    </row>
    <row r="805">
      <c r="A805" s="690"/>
      <c r="B805" s="712" t="s">
        <v>489</v>
      </c>
      <c r="C805" s="742" t="s">
        <v>416</v>
      </c>
      <c r="D805" s="714" t="s">
        <v>491</v>
      </c>
      <c r="E805" s="715">
        <v>2021.0</v>
      </c>
      <c r="F805" s="742" t="s">
        <v>418</v>
      </c>
      <c r="G805" s="742" t="s">
        <v>50</v>
      </c>
      <c r="H805" s="716">
        <v>70704.0</v>
      </c>
      <c r="I805" s="716">
        <v>78456.0</v>
      </c>
      <c r="J805" s="717">
        <v>62571.0</v>
      </c>
      <c r="K805" s="64"/>
      <c r="CE805" s="460"/>
    </row>
    <row r="806">
      <c r="A806" s="690"/>
      <c r="B806" s="701" t="s">
        <v>489</v>
      </c>
      <c r="C806" s="743" t="s">
        <v>416</v>
      </c>
      <c r="D806" s="703" t="s">
        <v>493</v>
      </c>
      <c r="E806" s="704">
        <v>2021.0</v>
      </c>
      <c r="F806" s="743" t="s">
        <v>418</v>
      </c>
      <c r="G806" s="743" t="s">
        <v>50</v>
      </c>
      <c r="H806" s="705">
        <v>208937.0</v>
      </c>
      <c r="I806" s="705">
        <v>231844.0</v>
      </c>
      <c r="J806" s="706">
        <v>184901.0</v>
      </c>
      <c r="K806" s="64"/>
      <c r="CE806" s="460"/>
    </row>
    <row r="807">
      <c r="A807" s="690"/>
      <c r="B807" s="712" t="s">
        <v>489</v>
      </c>
      <c r="C807" s="742" t="s">
        <v>416</v>
      </c>
      <c r="D807" s="714" t="s">
        <v>434</v>
      </c>
      <c r="E807" s="715">
        <v>2021.0</v>
      </c>
      <c r="F807" s="742" t="s">
        <v>418</v>
      </c>
      <c r="G807" s="742" t="s">
        <v>50</v>
      </c>
      <c r="H807" s="716">
        <v>425601.0</v>
      </c>
      <c r="I807" s="716">
        <v>472264.0</v>
      </c>
      <c r="J807" s="717">
        <v>376642.0</v>
      </c>
      <c r="K807" s="64"/>
      <c r="CE807" s="460"/>
    </row>
    <row r="808">
      <c r="A808" s="690"/>
      <c r="B808" s="701" t="s">
        <v>489</v>
      </c>
      <c r="C808" s="743" t="s">
        <v>416</v>
      </c>
      <c r="D808" s="703" t="s">
        <v>497</v>
      </c>
      <c r="E808" s="704">
        <v>2021.0</v>
      </c>
      <c r="F808" s="743" t="s">
        <v>418</v>
      </c>
      <c r="G808" s="743" t="s">
        <v>50</v>
      </c>
      <c r="H808" s="705">
        <v>58908.0</v>
      </c>
      <c r="I808" s="705">
        <v>65366.0</v>
      </c>
      <c r="J808" s="706">
        <v>52131.0</v>
      </c>
      <c r="K808" s="64"/>
      <c r="CE808" s="460"/>
    </row>
    <row r="809">
      <c r="A809" s="690"/>
      <c r="B809" s="712" t="s">
        <v>489</v>
      </c>
      <c r="C809" s="742" t="s">
        <v>416</v>
      </c>
      <c r="D809" s="714" t="s">
        <v>500</v>
      </c>
      <c r="E809" s="715">
        <v>2021.0</v>
      </c>
      <c r="F809" s="742" t="s">
        <v>418</v>
      </c>
      <c r="G809" s="742" t="s">
        <v>50</v>
      </c>
      <c r="H809" s="716">
        <v>218261.0</v>
      </c>
      <c r="I809" s="716">
        <v>242190.0</v>
      </c>
      <c r="J809" s="717">
        <v>193153.0</v>
      </c>
      <c r="K809" s="64"/>
      <c r="CE809" s="460"/>
    </row>
    <row r="810">
      <c r="A810" s="690"/>
      <c r="B810" s="701" t="s">
        <v>489</v>
      </c>
      <c r="C810" s="743" t="s">
        <v>416</v>
      </c>
      <c r="D810" s="703" t="s">
        <v>502</v>
      </c>
      <c r="E810" s="704">
        <v>2021.0</v>
      </c>
      <c r="F810" s="743" t="s">
        <v>418</v>
      </c>
      <c r="G810" s="743" t="s">
        <v>50</v>
      </c>
      <c r="H810" s="705">
        <v>45124.0</v>
      </c>
      <c r="I810" s="705">
        <v>50071.0</v>
      </c>
      <c r="J810" s="706">
        <v>39933.0</v>
      </c>
      <c r="K810" s="64"/>
      <c r="CE810" s="460"/>
    </row>
    <row r="811">
      <c r="A811" s="690"/>
      <c r="B811" s="712" t="s">
        <v>489</v>
      </c>
      <c r="C811" s="742" t="s">
        <v>416</v>
      </c>
      <c r="D811" s="714" t="s">
        <v>505</v>
      </c>
      <c r="E811" s="715">
        <v>2021.0</v>
      </c>
      <c r="F811" s="742" t="s">
        <v>418</v>
      </c>
      <c r="G811" s="742" t="s">
        <v>50</v>
      </c>
      <c r="H811" s="716">
        <v>21009.0</v>
      </c>
      <c r="I811" s="716">
        <v>23313.0</v>
      </c>
      <c r="J811" s="717">
        <v>18592.0</v>
      </c>
      <c r="K811" s="64"/>
      <c r="CE811" s="460"/>
    </row>
    <row r="812">
      <c r="A812" s="690"/>
      <c r="B812" s="701" t="s">
        <v>489</v>
      </c>
      <c r="C812" s="743" t="s">
        <v>416</v>
      </c>
      <c r="D812" s="703" t="s">
        <v>508</v>
      </c>
      <c r="E812" s="704">
        <v>2021.0</v>
      </c>
      <c r="F812" s="743" t="s">
        <v>418</v>
      </c>
      <c r="G812" s="743" t="s">
        <v>50</v>
      </c>
      <c r="H812" s="705">
        <v>34201.0</v>
      </c>
      <c r="I812" s="705">
        <v>37951.0</v>
      </c>
      <c r="J812" s="706">
        <v>30267.0</v>
      </c>
      <c r="K812" s="64"/>
      <c r="CE812" s="460"/>
    </row>
    <row r="813">
      <c r="A813" s="690"/>
      <c r="B813" s="712" t="s">
        <v>489</v>
      </c>
      <c r="C813" s="742" t="s">
        <v>416</v>
      </c>
      <c r="D813" s="714" t="s">
        <v>511</v>
      </c>
      <c r="E813" s="715">
        <v>2021.0</v>
      </c>
      <c r="F813" s="742" t="s">
        <v>418</v>
      </c>
      <c r="G813" s="742" t="s">
        <v>50</v>
      </c>
      <c r="H813" s="716">
        <v>40520.0</v>
      </c>
      <c r="I813" s="716">
        <v>44962.0</v>
      </c>
      <c r="J813" s="717">
        <v>35858.0</v>
      </c>
      <c r="K813" s="64"/>
      <c r="CE813" s="460"/>
    </row>
    <row r="814">
      <c r="A814" s="690"/>
      <c r="B814" s="701" t="s">
        <v>489</v>
      </c>
      <c r="C814" s="743" t="s">
        <v>416</v>
      </c>
      <c r="D814" s="703" t="s">
        <v>514</v>
      </c>
      <c r="E814" s="704">
        <v>2021.0</v>
      </c>
      <c r="F814" s="743" t="s">
        <v>418</v>
      </c>
      <c r="G814" s="743" t="s">
        <v>50</v>
      </c>
      <c r="H814" s="705">
        <v>18190.0</v>
      </c>
      <c r="I814" s="705">
        <v>20185.0</v>
      </c>
      <c r="J814" s="706">
        <v>16098.0</v>
      </c>
      <c r="K814" s="64"/>
      <c r="CE814" s="460"/>
    </row>
    <row r="815">
      <c r="A815" s="690"/>
      <c r="B815" s="712" t="s">
        <v>489</v>
      </c>
      <c r="C815" s="742" t="s">
        <v>416</v>
      </c>
      <c r="D815" s="714" t="s">
        <v>439</v>
      </c>
      <c r="E815" s="715">
        <v>2021.0</v>
      </c>
      <c r="F815" s="742" t="s">
        <v>418</v>
      </c>
      <c r="G815" s="742" t="s">
        <v>50</v>
      </c>
      <c r="H815" s="716">
        <v>2435.0</v>
      </c>
      <c r="I815" s="716">
        <v>2702.0</v>
      </c>
      <c r="J815" s="717">
        <v>2155.0</v>
      </c>
      <c r="K815" s="64"/>
      <c r="CE815" s="460"/>
    </row>
    <row r="816">
      <c r="A816" s="690"/>
      <c r="B816" s="701" t="s">
        <v>489</v>
      </c>
      <c r="C816" s="743" t="s">
        <v>416</v>
      </c>
      <c r="D816" s="703" t="s">
        <v>517</v>
      </c>
      <c r="E816" s="704">
        <v>2021.0</v>
      </c>
      <c r="F816" s="743" t="s">
        <v>418</v>
      </c>
      <c r="G816" s="743" t="s">
        <v>50</v>
      </c>
      <c r="H816" s="705">
        <v>11847.0</v>
      </c>
      <c r="I816" s="705">
        <v>13146.0</v>
      </c>
      <c r="J816" s="706">
        <v>10484.0</v>
      </c>
      <c r="K816" s="64"/>
      <c r="CE816" s="460"/>
    </row>
    <row r="817">
      <c r="A817" s="690"/>
      <c r="B817" s="712" t="s">
        <v>489</v>
      </c>
      <c r="C817" s="742" t="s">
        <v>416</v>
      </c>
      <c r="D817" s="714" t="s">
        <v>520</v>
      </c>
      <c r="E817" s="715">
        <v>2021.0</v>
      </c>
      <c r="F817" s="742" t="s">
        <v>418</v>
      </c>
      <c r="G817" s="742" t="s">
        <v>50</v>
      </c>
      <c r="H817" s="716">
        <v>10482.0</v>
      </c>
      <c r="I817" s="716">
        <v>11632.0</v>
      </c>
      <c r="J817" s="717">
        <v>9277.0</v>
      </c>
      <c r="K817" s="64"/>
      <c r="CE817" s="460"/>
    </row>
    <row r="818">
      <c r="A818" s="690"/>
      <c r="B818" s="701" t="s">
        <v>489</v>
      </c>
      <c r="C818" s="743" t="s">
        <v>416</v>
      </c>
      <c r="D818" s="703" t="s">
        <v>521</v>
      </c>
      <c r="E818" s="704">
        <v>2021.0</v>
      </c>
      <c r="F818" s="743" t="s">
        <v>418</v>
      </c>
      <c r="G818" s="743" t="s">
        <v>50</v>
      </c>
      <c r="H818" s="705">
        <v>6708.0</v>
      </c>
      <c r="I818" s="705">
        <v>7443.0</v>
      </c>
      <c r="J818" s="706">
        <v>5936.0</v>
      </c>
      <c r="K818" s="64"/>
      <c r="CE818" s="460"/>
    </row>
    <row r="819">
      <c r="A819" s="690"/>
      <c r="B819" s="712" t="s">
        <v>489</v>
      </c>
      <c r="C819" s="742" t="s">
        <v>416</v>
      </c>
      <c r="D819" s="714" t="s">
        <v>524</v>
      </c>
      <c r="E819" s="715">
        <v>2021.0</v>
      </c>
      <c r="F819" s="742" t="s">
        <v>418</v>
      </c>
      <c r="G819" s="742" t="s">
        <v>50</v>
      </c>
      <c r="H819" s="716">
        <v>2850.0</v>
      </c>
      <c r="I819" s="716">
        <v>3163.0</v>
      </c>
      <c r="J819" s="717">
        <v>2522.0</v>
      </c>
      <c r="K819" s="64"/>
      <c r="CE819" s="460"/>
    </row>
    <row r="820">
      <c r="A820" s="690"/>
      <c r="B820" s="701" t="s">
        <v>489</v>
      </c>
      <c r="C820" s="743" t="s">
        <v>416</v>
      </c>
      <c r="D820" s="703" t="s">
        <v>527</v>
      </c>
      <c r="E820" s="704">
        <v>2021.0</v>
      </c>
      <c r="F820" s="743" t="s">
        <v>418</v>
      </c>
      <c r="G820" s="743" t="s">
        <v>50</v>
      </c>
      <c r="H820" s="705">
        <v>762.0</v>
      </c>
      <c r="I820" s="705">
        <v>846.0</v>
      </c>
      <c r="J820" s="706">
        <v>675.0</v>
      </c>
      <c r="K820" s="64"/>
      <c r="CE820" s="460"/>
    </row>
    <row r="821">
      <c r="A821" s="690"/>
      <c r="B821" s="712" t="s">
        <v>489</v>
      </c>
      <c r="C821" s="742" t="s">
        <v>416</v>
      </c>
      <c r="D821" s="714" t="s">
        <v>529</v>
      </c>
      <c r="E821" s="715">
        <v>2021.0</v>
      </c>
      <c r="F821" s="742" t="s">
        <v>418</v>
      </c>
      <c r="G821" s="742" t="s">
        <v>50</v>
      </c>
      <c r="H821" s="716">
        <v>162.0</v>
      </c>
      <c r="I821" s="716">
        <v>180.0</v>
      </c>
      <c r="J821" s="717">
        <v>143.0</v>
      </c>
      <c r="K821" s="64"/>
      <c r="CE821" s="460"/>
    </row>
    <row r="822">
      <c r="A822" s="690"/>
      <c r="B822" s="701" t="s">
        <v>489</v>
      </c>
      <c r="C822" s="743" t="s">
        <v>416</v>
      </c>
      <c r="D822" s="703" t="s">
        <v>443</v>
      </c>
      <c r="E822" s="704">
        <v>2021.0</v>
      </c>
      <c r="F822" s="743" t="s">
        <v>418</v>
      </c>
      <c r="G822" s="743" t="s">
        <v>50</v>
      </c>
      <c r="H822" s="705">
        <v>1816084.0</v>
      </c>
      <c r="I822" s="705">
        <v>2015198.0</v>
      </c>
      <c r="J822" s="706">
        <v>1607170.0</v>
      </c>
      <c r="K822" s="64"/>
      <c r="CE822" s="460"/>
    </row>
    <row r="823">
      <c r="A823" s="690"/>
      <c r="B823" s="712" t="s">
        <v>492</v>
      </c>
      <c r="C823" s="742" t="s">
        <v>416</v>
      </c>
      <c r="D823" s="714" t="s">
        <v>417</v>
      </c>
      <c r="E823" s="715">
        <v>2021.0</v>
      </c>
      <c r="F823" s="742" t="s">
        <v>418</v>
      </c>
      <c r="G823" s="742" t="s">
        <v>50</v>
      </c>
      <c r="H823" s="716">
        <v>74798.0</v>
      </c>
      <c r="I823" s="716">
        <v>83873.0</v>
      </c>
      <c r="J823" s="717">
        <v>65900.0</v>
      </c>
      <c r="K823" s="64"/>
      <c r="CE823" s="460"/>
    </row>
    <row r="824">
      <c r="A824" s="690"/>
      <c r="B824" s="701" t="s">
        <v>492</v>
      </c>
      <c r="C824" s="743" t="s">
        <v>416</v>
      </c>
      <c r="D824" s="703" t="s">
        <v>431</v>
      </c>
      <c r="E824" s="704">
        <v>2021.0</v>
      </c>
      <c r="F824" s="743" t="s">
        <v>418</v>
      </c>
      <c r="G824" s="743" t="s">
        <v>50</v>
      </c>
      <c r="H824" s="705">
        <v>1266618.0</v>
      </c>
      <c r="I824" s="705">
        <v>1420283.0</v>
      </c>
      <c r="J824" s="706">
        <v>1115944.0</v>
      </c>
      <c r="K824" s="64"/>
      <c r="CE824" s="460"/>
    </row>
    <row r="825">
      <c r="A825" s="690"/>
      <c r="B825" s="712" t="s">
        <v>492</v>
      </c>
      <c r="C825" s="742" t="s">
        <v>416</v>
      </c>
      <c r="D825" s="714" t="s">
        <v>438</v>
      </c>
      <c r="E825" s="715">
        <v>2021.0</v>
      </c>
      <c r="F825" s="742" t="s">
        <v>418</v>
      </c>
      <c r="G825" s="742" t="s">
        <v>50</v>
      </c>
      <c r="H825" s="716">
        <v>5822.0</v>
      </c>
      <c r="I825" s="716">
        <v>6529.0</v>
      </c>
      <c r="J825" s="717">
        <v>5130.0</v>
      </c>
      <c r="K825" s="64"/>
      <c r="CE825" s="460"/>
    </row>
    <row r="826">
      <c r="A826" s="690"/>
      <c r="B826" s="701" t="s">
        <v>492</v>
      </c>
      <c r="C826" s="743" t="s">
        <v>416</v>
      </c>
      <c r="D826" s="703" t="s">
        <v>421</v>
      </c>
      <c r="E826" s="704">
        <v>2021.0</v>
      </c>
      <c r="F826" s="743" t="s">
        <v>418</v>
      </c>
      <c r="G826" s="743" t="s">
        <v>50</v>
      </c>
      <c r="H826" s="705">
        <v>357589.0</v>
      </c>
      <c r="I826" s="705">
        <v>400972.0</v>
      </c>
      <c r="J826" s="706">
        <v>315051.0</v>
      </c>
      <c r="K826" s="64"/>
      <c r="CE826" s="460"/>
    </row>
    <row r="827">
      <c r="A827" s="690"/>
      <c r="B827" s="712" t="s">
        <v>492</v>
      </c>
      <c r="C827" s="742" t="s">
        <v>416</v>
      </c>
      <c r="D827" s="714" t="s">
        <v>447</v>
      </c>
      <c r="E827" s="715">
        <v>2021.0</v>
      </c>
      <c r="F827" s="742" t="s">
        <v>418</v>
      </c>
      <c r="G827" s="742" t="s">
        <v>50</v>
      </c>
      <c r="H827" s="716">
        <v>993449.0</v>
      </c>
      <c r="I827" s="716">
        <v>1113974.0</v>
      </c>
      <c r="J827" s="717">
        <v>875271.0</v>
      </c>
      <c r="K827" s="64"/>
      <c r="CE827" s="460"/>
    </row>
    <row r="828">
      <c r="A828" s="690"/>
      <c r="B828" s="701" t="s">
        <v>492</v>
      </c>
      <c r="C828" s="743" t="s">
        <v>416</v>
      </c>
      <c r="D828" s="703" t="s">
        <v>432</v>
      </c>
      <c r="E828" s="704">
        <v>2021.0</v>
      </c>
      <c r="F828" s="743" t="s">
        <v>418</v>
      </c>
      <c r="G828" s="743" t="s">
        <v>50</v>
      </c>
      <c r="H828" s="705">
        <v>1468.0</v>
      </c>
      <c r="I828" s="705">
        <v>1646.0</v>
      </c>
      <c r="J828" s="706">
        <v>1294.0</v>
      </c>
      <c r="K828" s="64"/>
      <c r="CE828" s="460"/>
    </row>
    <row r="829">
      <c r="A829" s="690"/>
      <c r="B829" s="712" t="s">
        <v>492</v>
      </c>
      <c r="C829" s="742" t="s">
        <v>416</v>
      </c>
      <c r="D829" s="714" t="s">
        <v>450</v>
      </c>
      <c r="E829" s="715">
        <v>2021.0</v>
      </c>
      <c r="F829" s="742" t="s">
        <v>418</v>
      </c>
      <c r="G829" s="742" t="s">
        <v>50</v>
      </c>
      <c r="H829" s="716">
        <v>306476.0</v>
      </c>
      <c r="I829" s="716">
        <v>343658.0</v>
      </c>
      <c r="J829" s="717">
        <v>270019.0</v>
      </c>
      <c r="K829" s="64"/>
      <c r="CE829" s="460"/>
    </row>
    <row r="830">
      <c r="A830" s="690"/>
      <c r="B830" s="701" t="s">
        <v>492</v>
      </c>
      <c r="C830" s="743" t="s">
        <v>416</v>
      </c>
      <c r="D830" s="703" t="s">
        <v>453</v>
      </c>
      <c r="E830" s="704">
        <v>2021.0</v>
      </c>
      <c r="F830" s="743" t="s">
        <v>418</v>
      </c>
      <c r="G830" s="743" t="s">
        <v>50</v>
      </c>
      <c r="H830" s="705">
        <v>579645.0</v>
      </c>
      <c r="I830" s="705">
        <v>649967.0</v>
      </c>
      <c r="J830" s="706">
        <v>510691.0</v>
      </c>
      <c r="K830" s="64"/>
      <c r="CE830" s="460"/>
    </row>
    <row r="831">
      <c r="A831" s="690"/>
      <c r="B831" s="712" t="s">
        <v>492</v>
      </c>
      <c r="C831" s="742" t="s">
        <v>416</v>
      </c>
      <c r="D831" s="714" t="s">
        <v>454</v>
      </c>
      <c r="E831" s="715">
        <v>2021.0</v>
      </c>
      <c r="F831" s="742" t="s">
        <v>418</v>
      </c>
      <c r="G831" s="742" t="s">
        <v>50</v>
      </c>
      <c r="H831" s="716">
        <v>814503.0</v>
      </c>
      <c r="I831" s="716">
        <v>913318.0</v>
      </c>
      <c r="J831" s="717">
        <v>717612.0</v>
      </c>
      <c r="K831" s="64"/>
      <c r="CE831" s="460"/>
    </row>
    <row r="832">
      <c r="A832" s="690"/>
      <c r="B832" s="701" t="s">
        <v>492</v>
      </c>
      <c r="C832" s="743" t="s">
        <v>416</v>
      </c>
      <c r="D832" s="703" t="s">
        <v>457</v>
      </c>
      <c r="E832" s="704">
        <v>2021.0</v>
      </c>
      <c r="F832" s="743" t="s">
        <v>418</v>
      </c>
      <c r="G832" s="743" t="s">
        <v>50</v>
      </c>
      <c r="H832" s="705">
        <v>72850.0</v>
      </c>
      <c r="I832" s="705">
        <v>81689.0</v>
      </c>
      <c r="J832" s="706">
        <v>64184.0</v>
      </c>
      <c r="K832" s="64"/>
      <c r="CE832" s="460"/>
    </row>
    <row r="833">
      <c r="A833" s="690"/>
      <c r="B833" s="712" t="s">
        <v>492</v>
      </c>
      <c r="C833" s="742" t="s">
        <v>416</v>
      </c>
      <c r="D833" s="714" t="s">
        <v>460</v>
      </c>
      <c r="E833" s="715">
        <v>2021.0</v>
      </c>
      <c r="F833" s="742" t="s">
        <v>418</v>
      </c>
      <c r="G833" s="742" t="s">
        <v>50</v>
      </c>
      <c r="H833" s="716">
        <v>31910.0</v>
      </c>
      <c r="I833" s="716">
        <v>35781.0</v>
      </c>
      <c r="J833" s="717">
        <v>28114.0</v>
      </c>
      <c r="K833" s="64"/>
      <c r="CE833" s="460"/>
    </row>
    <row r="834">
      <c r="A834" s="690"/>
      <c r="B834" s="701" t="s">
        <v>492</v>
      </c>
      <c r="C834" s="743" t="s">
        <v>416</v>
      </c>
      <c r="D834" s="703" t="s">
        <v>463</v>
      </c>
      <c r="E834" s="704">
        <v>2021.0</v>
      </c>
      <c r="F834" s="743" t="s">
        <v>418</v>
      </c>
      <c r="G834" s="743" t="s">
        <v>50</v>
      </c>
      <c r="H834" s="705">
        <v>273168.0</v>
      </c>
      <c r="I834" s="705">
        <v>306309.0</v>
      </c>
      <c r="J834" s="706">
        <v>240673.0</v>
      </c>
      <c r="K834" s="64"/>
      <c r="CE834" s="460"/>
    </row>
    <row r="835">
      <c r="A835" s="690"/>
      <c r="B835" s="712" t="s">
        <v>492</v>
      </c>
      <c r="C835" s="742" t="s">
        <v>416</v>
      </c>
      <c r="D835" s="714" t="s">
        <v>465</v>
      </c>
      <c r="E835" s="715">
        <v>2021.0</v>
      </c>
      <c r="F835" s="742" t="s">
        <v>418</v>
      </c>
      <c r="G835" s="742" t="s">
        <v>50</v>
      </c>
      <c r="H835" s="716">
        <v>1186074.0</v>
      </c>
      <c r="I835" s="716">
        <v>1329968.0</v>
      </c>
      <c r="J835" s="717">
        <v>1044981.0</v>
      </c>
      <c r="K835" s="64"/>
      <c r="CE835" s="460"/>
    </row>
    <row r="836">
      <c r="A836" s="690"/>
      <c r="B836" s="701" t="s">
        <v>492</v>
      </c>
      <c r="C836" s="743" t="s">
        <v>416</v>
      </c>
      <c r="D836" s="703" t="s">
        <v>468</v>
      </c>
      <c r="E836" s="704">
        <v>2021.0</v>
      </c>
      <c r="F836" s="743" t="s">
        <v>418</v>
      </c>
      <c r="G836" s="743" t="s">
        <v>50</v>
      </c>
      <c r="H836" s="705">
        <v>234858.0</v>
      </c>
      <c r="I836" s="705">
        <v>263351.0</v>
      </c>
      <c r="J836" s="706">
        <v>206920.0</v>
      </c>
      <c r="K836" s="64"/>
      <c r="CE836" s="460"/>
    </row>
    <row r="837">
      <c r="A837" s="690"/>
      <c r="B837" s="712" t="s">
        <v>492</v>
      </c>
      <c r="C837" s="742" t="s">
        <v>416</v>
      </c>
      <c r="D837" s="714" t="s">
        <v>471</v>
      </c>
      <c r="E837" s="715">
        <v>2021.0</v>
      </c>
      <c r="F837" s="742" t="s">
        <v>418</v>
      </c>
      <c r="G837" s="742" t="s">
        <v>50</v>
      </c>
      <c r="H837" s="716">
        <v>209941.0</v>
      </c>
      <c r="I837" s="716">
        <v>235411.0</v>
      </c>
      <c r="J837" s="717">
        <v>184967.0</v>
      </c>
      <c r="K837" s="64"/>
      <c r="CE837" s="460"/>
    </row>
    <row r="838">
      <c r="A838" s="690"/>
      <c r="B838" s="701" t="s">
        <v>492</v>
      </c>
      <c r="C838" s="743" t="s">
        <v>416</v>
      </c>
      <c r="D838" s="703" t="s">
        <v>473</v>
      </c>
      <c r="E838" s="704">
        <v>2021.0</v>
      </c>
      <c r="F838" s="743" t="s">
        <v>418</v>
      </c>
      <c r="G838" s="743" t="s">
        <v>50</v>
      </c>
      <c r="H838" s="705">
        <v>892678.0</v>
      </c>
      <c r="I838" s="705">
        <v>1000978.0</v>
      </c>
      <c r="J838" s="706">
        <v>786488.0</v>
      </c>
      <c r="K838" s="64"/>
      <c r="CE838" s="460"/>
    </row>
    <row r="839">
      <c r="A839" s="690"/>
      <c r="B839" s="712" t="s">
        <v>492</v>
      </c>
      <c r="C839" s="742" t="s">
        <v>416</v>
      </c>
      <c r="D839" s="714" t="s">
        <v>476</v>
      </c>
      <c r="E839" s="715">
        <v>2021.0</v>
      </c>
      <c r="F839" s="742" t="s">
        <v>418</v>
      </c>
      <c r="G839" s="742" t="s">
        <v>50</v>
      </c>
      <c r="H839" s="716">
        <v>195367.0</v>
      </c>
      <c r="I839" s="716">
        <v>219069.0</v>
      </c>
      <c r="J839" s="717">
        <v>172126.0</v>
      </c>
      <c r="K839" s="64"/>
      <c r="CE839" s="460"/>
    </row>
    <row r="840">
      <c r="A840" s="690"/>
      <c r="B840" s="701" t="s">
        <v>492</v>
      </c>
      <c r="C840" s="743" t="s">
        <v>416</v>
      </c>
      <c r="D840" s="703" t="s">
        <v>479</v>
      </c>
      <c r="E840" s="704">
        <v>2021.0</v>
      </c>
      <c r="F840" s="743" t="s">
        <v>418</v>
      </c>
      <c r="G840" s="743" t="s">
        <v>50</v>
      </c>
      <c r="H840" s="705">
        <v>162552.0</v>
      </c>
      <c r="I840" s="705">
        <v>182273.0</v>
      </c>
      <c r="J840" s="706">
        <v>143215.0</v>
      </c>
      <c r="K840" s="64"/>
      <c r="CE840" s="460"/>
    </row>
    <row r="841">
      <c r="A841" s="690"/>
      <c r="B841" s="712" t="s">
        <v>492</v>
      </c>
      <c r="C841" s="742" t="s">
        <v>416</v>
      </c>
      <c r="D841" s="714" t="s">
        <v>482</v>
      </c>
      <c r="E841" s="715">
        <v>2021.0</v>
      </c>
      <c r="F841" s="742" t="s">
        <v>418</v>
      </c>
      <c r="G841" s="742" t="s">
        <v>50</v>
      </c>
      <c r="H841" s="716">
        <v>134190.0</v>
      </c>
      <c r="I841" s="716">
        <v>150470.0</v>
      </c>
      <c r="J841" s="717">
        <v>118227.0</v>
      </c>
      <c r="K841" s="64"/>
      <c r="CE841" s="460"/>
    </row>
    <row r="842">
      <c r="A842" s="690"/>
      <c r="B842" s="701" t="s">
        <v>492</v>
      </c>
      <c r="C842" s="743" t="s">
        <v>416</v>
      </c>
      <c r="D842" s="703" t="s">
        <v>485</v>
      </c>
      <c r="E842" s="704">
        <v>2021.0</v>
      </c>
      <c r="F842" s="743" t="s">
        <v>418</v>
      </c>
      <c r="G842" s="743" t="s">
        <v>50</v>
      </c>
      <c r="H842" s="705">
        <v>105812.0</v>
      </c>
      <c r="I842" s="705">
        <v>118649.0</v>
      </c>
      <c r="J842" s="706">
        <v>93225.0</v>
      </c>
      <c r="K842" s="64"/>
      <c r="CE842" s="460"/>
    </row>
    <row r="843">
      <c r="A843" s="690"/>
      <c r="B843" s="712" t="s">
        <v>492</v>
      </c>
      <c r="C843" s="742" t="s">
        <v>416</v>
      </c>
      <c r="D843" s="714" t="s">
        <v>488</v>
      </c>
      <c r="E843" s="715">
        <v>2021.0</v>
      </c>
      <c r="F843" s="742" t="s">
        <v>418</v>
      </c>
      <c r="G843" s="742" t="s">
        <v>50</v>
      </c>
      <c r="H843" s="716">
        <v>80127.0</v>
      </c>
      <c r="I843" s="716">
        <v>89848.0</v>
      </c>
      <c r="J843" s="717">
        <v>70595.0</v>
      </c>
      <c r="K843" s="64"/>
      <c r="CE843" s="460"/>
    </row>
    <row r="844">
      <c r="A844" s="690"/>
      <c r="B844" s="701" t="s">
        <v>492</v>
      </c>
      <c r="C844" s="743" t="s">
        <v>416</v>
      </c>
      <c r="D844" s="703" t="s">
        <v>491</v>
      </c>
      <c r="E844" s="704">
        <v>2021.0</v>
      </c>
      <c r="F844" s="743" t="s">
        <v>418</v>
      </c>
      <c r="G844" s="743" t="s">
        <v>50</v>
      </c>
      <c r="H844" s="705">
        <v>59991.0</v>
      </c>
      <c r="I844" s="705">
        <v>67269.0</v>
      </c>
      <c r="J844" s="706">
        <v>52855.0</v>
      </c>
      <c r="K844" s="64"/>
      <c r="CE844" s="460"/>
    </row>
    <row r="845">
      <c r="A845" s="690"/>
      <c r="B845" s="712" t="s">
        <v>492</v>
      </c>
      <c r="C845" s="742" t="s">
        <v>416</v>
      </c>
      <c r="D845" s="714" t="s">
        <v>493</v>
      </c>
      <c r="E845" s="715">
        <v>2021.0</v>
      </c>
      <c r="F845" s="742" t="s">
        <v>418</v>
      </c>
      <c r="G845" s="742" t="s">
        <v>50</v>
      </c>
      <c r="H845" s="716">
        <v>169804.0</v>
      </c>
      <c r="I845" s="716">
        <v>190404.0</v>
      </c>
      <c r="J845" s="717">
        <v>149604.0</v>
      </c>
      <c r="K845" s="64"/>
      <c r="CE845" s="460"/>
    </row>
    <row r="846">
      <c r="A846" s="690"/>
      <c r="B846" s="701" t="s">
        <v>492</v>
      </c>
      <c r="C846" s="743" t="s">
        <v>416</v>
      </c>
      <c r="D846" s="703" t="s">
        <v>434</v>
      </c>
      <c r="E846" s="704">
        <v>2021.0</v>
      </c>
      <c r="F846" s="743" t="s">
        <v>418</v>
      </c>
      <c r="G846" s="743" t="s">
        <v>50</v>
      </c>
      <c r="H846" s="705">
        <v>635860.0</v>
      </c>
      <c r="I846" s="705">
        <v>713002.0</v>
      </c>
      <c r="J846" s="706">
        <v>560219.0</v>
      </c>
      <c r="K846" s="64"/>
      <c r="CE846" s="460"/>
    </row>
    <row r="847">
      <c r="A847" s="690"/>
      <c r="B847" s="712" t="s">
        <v>492</v>
      </c>
      <c r="C847" s="742" t="s">
        <v>416</v>
      </c>
      <c r="D847" s="714" t="s">
        <v>497</v>
      </c>
      <c r="E847" s="715">
        <v>2021.0</v>
      </c>
      <c r="F847" s="742" t="s">
        <v>418</v>
      </c>
      <c r="G847" s="742" t="s">
        <v>50</v>
      </c>
      <c r="H847" s="716">
        <v>46185.0</v>
      </c>
      <c r="I847" s="716">
        <v>51788.0</v>
      </c>
      <c r="J847" s="717">
        <v>40691.0</v>
      </c>
      <c r="K847" s="64"/>
      <c r="CE847" s="460"/>
    </row>
    <row r="848">
      <c r="A848" s="690"/>
      <c r="B848" s="701" t="s">
        <v>492</v>
      </c>
      <c r="C848" s="743" t="s">
        <v>416</v>
      </c>
      <c r="D848" s="703" t="s">
        <v>500</v>
      </c>
      <c r="E848" s="704">
        <v>2021.0</v>
      </c>
      <c r="F848" s="743" t="s">
        <v>418</v>
      </c>
      <c r="G848" s="743" t="s">
        <v>50</v>
      </c>
      <c r="H848" s="705">
        <v>329383.0</v>
      </c>
      <c r="I848" s="705">
        <v>369344.0</v>
      </c>
      <c r="J848" s="706">
        <v>290201.0</v>
      </c>
      <c r="K848" s="64"/>
      <c r="CE848" s="460"/>
    </row>
    <row r="849">
      <c r="A849" s="690"/>
      <c r="B849" s="712" t="s">
        <v>492</v>
      </c>
      <c r="C849" s="742" t="s">
        <v>416</v>
      </c>
      <c r="D849" s="714" t="s">
        <v>502</v>
      </c>
      <c r="E849" s="715">
        <v>2021.0</v>
      </c>
      <c r="F849" s="742" t="s">
        <v>418</v>
      </c>
      <c r="G849" s="742" t="s">
        <v>50</v>
      </c>
      <c r="H849" s="716">
        <v>36344.0</v>
      </c>
      <c r="I849" s="716">
        <v>40753.0</v>
      </c>
      <c r="J849" s="717">
        <v>32020.0</v>
      </c>
      <c r="K849" s="64"/>
      <c r="CE849" s="460"/>
    </row>
    <row r="850">
      <c r="A850" s="690"/>
      <c r="B850" s="701" t="s">
        <v>492</v>
      </c>
      <c r="C850" s="743" t="s">
        <v>416</v>
      </c>
      <c r="D850" s="703" t="s">
        <v>505</v>
      </c>
      <c r="E850" s="704">
        <v>2021.0</v>
      </c>
      <c r="F850" s="743" t="s">
        <v>418</v>
      </c>
      <c r="G850" s="743" t="s">
        <v>50</v>
      </c>
      <c r="H850" s="705">
        <v>37066.0</v>
      </c>
      <c r="I850" s="705">
        <v>41563.0</v>
      </c>
      <c r="J850" s="706">
        <v>32657.0</v>
      </c>
      <c r="K850" s="64"/>
      <c r="CE850" s="460"/>
    </row>
    <row r="851">
      <c r="A851" s="690"/>
      <c r="B851" s="712" t="s">
        <v>492</v>
      </c>
      <c r="C851" s="742" t="s">
        <v>416</v>
      </c>
      <c r="D851" s="714" t="s">
        <v>508</v>
      </c>
      <c r="E851" s="715">
        <v>2021.0</v>
      </c>
      <c r="F851" s="742" t="s">
        <v>418</v>
      </c>
      <c r="G851" s="742" t="s">
        <v>50</v>
      </c>
      <c r="H851" s="716">
        <v>27284.0</v>
      </c>
      <c r="I851" s="716">
        <v>30594.0</v>
      </c>
      <c r="J851" s="717">
        <v>24038.0</v>
      </c>
      <c r="K851" s="64"/>
      <c r="CE851" s="460"/>
    </row>
    <row r="852">
      <c r="A852" s="690"/>
      <c r="B852" s="701" t="s">
        <v>492</v>
      </c>
      <c r="C852" s="743" t="s">
        <v>416</v>
      </c>
      <c r="D852" s="703" t="s">
        <v>511</v>
      </c>
      <c r="E852" s="704">
        <v>2021.0</v>
      </c>
      <c r="F852" s="743" t="s">
        <v>418</v>
      </c>
      <c r="G852" s="743" t="s">
        <v>50</v>
      </c>
      <c r="H852" s="705">
        <v>44828.0</v>
      </c>
      <c r="I852" s="705">
        <v>50266.0</v>
      </c>
      <c r="J852" s="706">
        <v>39495.0</v>
      </c>
      <c r="K852" s="64"/>
      <c r="CE852" s="460"/>
    </row>
    <row r="853">
      <c r="A853" s="690"/>
      <c r="B853" s="712" t="s">
        <v>492</v>
      </c>
      <c r="C853" s="742" t="s">
        <v>416</v>
      </c>
      <c r="D853" s="714" t="s">
        <v>514</v>
      </c>
      <c r="E853" s="715">
        <v>2021.0</v>
      </c>
      <c r="F853" s="742" t="s">
        <v>418</v>
      </c>
      <c r="G853" s="742" t="s">
        <v>50</v>
      </c>
      <c r="H853" s="716">
        <v>19476.0</v>
      </c>
      <c r="I853" s="716">
        <v>21839.0</v>
      </c>
      <c r="J853" s="717">
        <v>17160.0</v>
      </c>
      <c r="K853" s="64"/>
      <c r="CE853" s="460"/>
    </row>
    <row r="854">
      <c r="A854" s="690"/>
      <c r="B854" s="701" t="s">
        <v>492</v>
      </c>
      <c r="C854" s="743" t="s">
        <v>416</v>
      </c>
      <c r="D854" s="703" t="s">
        <v>439</v>
      </c>
      <c r="E854" s="704">
        <v>2021.0</v>
      </c>
      <c r="F854" s="743" t="s">
        <v>418</v>
      </c>
      <c r="G854" s="743" t="s">
        <v>50</v>
      </c>
      <c r="H854" s="705">
        <v>4354.0</v>
      </c>
      <c r="I854" s="705">
        <v>4882.0</v>
      </c>
      <c r="J854" s="706">
        <v>3836.0</v>
      </c>
      <c r="K854" s="64"/>
      <c r="CE854" s="460"/>
    </row>
    <row r="855">
      <c r="A855" s="690"/>
      <c r="B855" s="712" t="s">
        <v>492</v>
      </c>
      <c r="C855" s="742" t="s">
        <v>416</v>
      </c>
      <c r="D855" s="714" t="s">
        <v>517</v>
      </c>
      <c r="E855" s="715">
        <v>2021.0</v>
      </c>
      <c r="F855" s="742" t="s">
        <v>418</v>
      </c>
      <c r="G855" s="742" t="s">
        <v>50</v>
      </c>
      <c r="H855" s="716">
        <v>12771.0</v>
      </c>
      <c r="I855" s="716">
        <v>14321.0</v>
      </c>
      <c r="J855" s="717">
        <v>11252.0</v>
      </c>
      <c r="K855" s="64"/>
      <c r="CE855" s="460"/>
    </row>
    <row r="856">
      <c r="A856" s="690"/>
      <c r="B856" s="701" t="s">
        <v>492</v>
      </c>
      <c r="C856" s="743" t="s">
        <v>416</v>
      </c>
      <c r="D856" s="703" t="s">
        <v>520</v>
      </c>
      <c r="E856" s="704">
        <v>2021.0</v>
      </c>
      <c r="F856" s="743" t="s">
        <v>418</v>
      </c>
      <c r="G856" s="743" t="s">
        <v>50</v>
      </c>
      <c r="H856" s="705">
        <v>12580.0</v>
      </c>
      <c r="I856" s="705">
        <v>14106.0</v>
      </c>
      <c r="J856" s="706">
        <v>11083.0</v>
      </c>
      <c r="K856" s="64"/>
      <c r="CE856" s="460"/>
    </row>
    <row r="857">
      <c r="A857" s="690"/>
      <c r="B857" s="712" t="s">
        <v>492</v>
      </c>
      <c r="C857" s="742" t="s">
        <v>416</v>
      </c>
      <c r="D857" s="714" t="s">
        <v>521</v>
      </c>
      <c r="E857" s="715">
        <v>2021.0</v>
      </c>
      <c r="F857" s="742" t="s">
        <v>418</v>
      </c>
      <c r="G857" s="742" t="s">
        <v>50</v>
      </c>
      <c r="H857" s="716">
        <v>8372.0</v>
      </c>
      <c r="I857" s="716">
        <v>9388.0</v>
      </c>
      <c r="J857" s="717">
        <v>7376.0</v>
      </c>
      <c r="K857" s="64"/>
      <c r="CE857" s="460"/>
    </row>
    <row r="858">
      <c r="A858" s="690"/>
      <c r="B858" s="701" t="s">
        <v>492</v>
      </c>
      <c r="C858" s="743" t="s">
        <v>416</v>
      </c>
      <c r="D858" s="703" t="s">
        <v>524</v>
      </c>
      <c r="E858" s="704">
        <v>2021.0</v>
      </c>
      <c r="F858" s="743" t="s">
        <v>418</v>
      </c>
      <c r="G858" s="743" t="s">
        <v>50</v>
      </c>
      <c r="H858" s="705">
        <v>3236.0</v>
      </c>
      <c r="I858" s="705">
        <v>3629.0</v>
      </c>
      <c r="J858" s="706">
        <v>2851.0</v>
      </c>
      <c r="K858" s="64"/>
      <c r="CE858" s="460"/>
    </row>
    <row r="859">
      <c r="A859" s="690"/>
      <c r="B859" s="712" t="s">
        <v>492</v>
      </c>
      <c r="C859" s="742" t="s">
        <v>416</v>
      </c>
      <c r="D859" s="714" t="s">
        <v>527</v>
      </c>
      <c r="E859" s="715">
        <v>2021.0</v>
      </c>
      <c r="F859" s="742" t="s">
        <v>418</v>
      </c>
      <c r="G859" s="742" t="s">
        <v>50</v>
      </c>
      <c r="H859" s="716">
        <v>808.0</v>
      </c>
      <c r="I859" s="716">
        <v>906.0</v>
      </c>
      <c r="J859" s="717">
        <v>712.0</v>
      </c>
      <c r="K859" s="64"/>
      <c r="CE859" s="460"/>
    </row>
    <row r="860">
      <c r="A860" s="690"/>
      <c r="B860" s="701" t="s">
        <v>492</v>
      </c>
      <c r="C860" s="743" t="s">
        <v>416</v>
      </c>
      <c r="D860" s="703" t="s">
        <v>529</v>
      </c>
      <c r="E860" s="704">
        <v>2021.0</v>
      </c>
      <c r="F860" s="743" t="s">
        <v>418</v>
      </c>
      <c r="G860" s="743" t="s">
        <v>50</v>
      </c>
      <c r="H860" s="705">
        <v>164.0</v>
      </c>
      <c r="I860" s="705">
        <v>184.0</v>
      </c>
      <c r="J860" s="706">
        <v>144.0</v>
      </c>
      <c r="K860" s="64"/>
      <c r="CE860" s="460"/>
    </row>
    <row r="861">
      <c r="A861" s="690"/>
      <c r="B861" s="712" t="s">
        <v>492</v>
      </c>
      <c r="C861" s="742" t="s">
        <v>416</v>
      </c>
      <c r="D861" s="714" t="s">
        <v>443</v>
      </c>
      <c r="E861" s="715">
        <v>2021.0</v>
      </c>
      <c r="F861" s="742" t="s">
        <v>418</v>
      </c>
      <c r="G861" s="742" t="s">
        <v>50</v>
      </c>
      <c r="H861" s="716">
        <v>2394155.0</v>
      </c>
      <c r="I861" s="716">
        <v>2684613.0</v>
      </c>
      <c r="J861" s="717">
        <v>2109352.0</v>
      </c>
      <c r="K861" s="64"/>
      <c r="CE861" s="460"/>
    </row>
    <row r="862">
      <c r="A862" s="690"/>
      <c r="B862" s="701" t="s">
        <v>494</v>
      </c>
      <c r="C862" s="743" t="s">
        <v>416</v>
      </c>
      <c r="D862" s="703" t="s">
        <v>417</v>
      </c>
      <c r="E862" s="704">
        <v>2021.0</v>
      </c>
      <c r="F862" s="743" t="s">
        <v>418</v>
      </c>
      <c r="G862" s="743" t="s">
        <v>50</v>
      </c>
      <c r="H862" s="705">
        <v>940668.0</v>
      </c>
      <c r="I862" s="705">
        <v>1067241.0</v>
      </c>
      <c r="J862" s="706">
        <v>816103.0</v>
      </c>
      <c r="K862" s="64"/>
      <c r="CE862" s="460"/>
    </row>
    <row r="863">
      <c r="A863" s="690"/>
      <c r="B863" s="712" t="s">
        <v>494</v>
      </c>
      <c r="C863" s="742" t="s">
        <v>416</v>
      </c>
      <c r="D863" s="714" t="s">
        <v>431</v>
      </c>
      <c r="E863" s="715">
        <v>2021.0</v>
      </c>
      <c r="F863" s="742" t="s">
        <v>418</v>
      </c>
      <c r="G863" s="742" t="s">
        <v>50</v>
      </c>
      <c r="H863" s="716">
        <v>1.6314029E7</v>
      </c>
      <c r="I863" s="716">
        <v>1.8509179E7</v>
      </c>
      <c r="J863" s="717">
        <v>1.4153684E7</v>
      </c>
      <c r="K863" s="64"/>
      <c r="CE863" s="460"/>
    </row>
    <row r="864">
      <c r="A864" s="690"/>
      <c r="B864" s="701" t="s">
        <v>494</v>
      </c>
      <c r="C864" s="743" t="s">
        <v>416</v>
      </c>
      <c r="D864" s="703" t="s">
        <v>438</v>
      </c>
      <c r="E864" s="704">
        <v>2021.0</v>
      </c>
      <c r="F864" s="743" t="s">
        <v>418</v>
      </c>
      <c r="G864" s="743" t="s">
        <v>50</v>
      </c>
      <c r="H864" s="705">
        <v>73024.0</v>
      </c>
      <c r="I864" s="705">
        <v>82849.0</v>
      </c>
      <c r="J864" s="706">
        <v>63354.0</v>
      </c>
      <c r="K864" s="64"/>
      <c r="CE864" s="460"/>
    </row>
    <row r="865">
      <c r="A865" s="690"/>
      <c r="B865" s="712" t="s">
        <v>494</v>
      </c>
      <c r="C865" s="742" t="s">
        <v>416</v>
      </c>
      <c r="D865" s="714" t="s">
        <v>421</v>
      </c>
      <c r="E865" s="715">
        <v>2021.0</v>
      </c>
      <c r="F865" s="742" t="s">
        <v>418</v>
      </c>
      <c r="G865" s="742" t="s">
        <v>50</v>
      </c>
      <c r="H865" s="716">
        <v>4640135.0</v>
      </c>
      <c r="I865" s="716">
        <v>5264492.0</v>
      </c>
      <c r="J865" s="717">
        <v>4025676.0</v>
      </c>
      <c r="K865" s="64"/>
      <c r="CE865" s="460"/>
    </row>
    <row r="866">
      <c r="A866" s="690"/>
      <c r="B866" s="701" t="s">
        <v>494</v>
      </c>
      <c r="C866" s="743" t="s">
        <v>416</v>
      </c>
      <c r="D866" s="703" t="s">
        <v>447</v>
      </c>
      <c r="E866" s="704">
        <v>2021.0</v>
      </c>
      <c r="F866" s="743" t="s">
        <v>418</v>
      </c>
      <c r="G866" s="743" t="s">
        <v>50</v>
      </c>
      <c r="H866" s="705">
        <v>1.2883082E7</v>
      </c>
      <c r="I866" s="705">
        <v>1.4616578E7</v>
      </c>
      <c r="J866" s="706">
        <v>1.1177072E7</v>
      </c>
      <c r="K866" s="64"/>
      <c r="CE866" s="460"/>
    </row>
    <row r="867">
      <c r="A867" s="690"/>
      <c r="B867" s="712" t="s">
        <v>494</v>
      </c>
      <c r="C867" s="742" t="s">
        <v>416</v>
      </c>
      <c r="D867" s="714" t="s">
        <v>432</v>
      </c>
      <c r="E867" s="715">
        <v>2021.0</v>
      </c>
      <c r="F867" s="742" t="s">
        <v>418</v>
      </c>
      <c r="G867" s="742" t="s">
        <v>50</v>
      </c>
      <c r="H867" s="716">
        <v>18405.0</v>
      </c>
      <c r="I867" s="716">
        <v>20882.0</v>
      </c>
      <c r="J867" s="717">
        <v>15968.0</v>
      </c>
      <c r="K867" s="64"/>
      <c r="CE867" s="460"/>
    </row>
    <row r="868">
      <c r="A868" s="690"/>
      <c r="B868" s="701" t="s">
        <v>494</v>
      </c>
      <c r="C868" s="743" t="s">
        <v>416</v>
      </c>
      <c r="D868" s="703" t="s">
        <v>450</v>
      </c>
      <c r="E868" s="704">
        <v>2021.0</v>
      </c>
      <c r="F868" s="743" t="s">
        <v>418</v>
      </c>
      <c r="G868" s="743" t="s">
        <v>50</v>
      </c>
      <c r="H868" s="705">
        <v>3881737.0</v>
      </c>
      <c r="I868" s="705">
        <v>4404048.0</v>
      </c>
      <c r="J868" s="706">
        <v>3367708.0</v>
      </c>
      <c r="K868" s="64"/>
      <c r="CE868" s="460"/>
    </row>
    <row r="869">
      <c r="A869" s="690"/>
      <c r="B869" s="712" t="s">
        <v>494</v>
      </c>
      <c r="C869" s="742" t="s">
        <v>416</v>
      </c>
      <c r="D869" s="714" t="s">
        <v>453</v>
      </c>
      <c r="E869" s="715">
        <v>2021.0</v>
      </c>
      <c r="F869" s="742" t="s">
        <v>418</v>
      </c>
      <c r="G869" s="742" t="s">
        <v>50</v>
      </c>
      <c r="H869" s="716">
        <v>7312684.0</v>
      </c>
      <c r="I869" s="716">
        <v>8296650.0</v>
      </c>
      <c r="J869" s="717">
        <v>6344320.0</v>
      </c>
      <c r="K869" s="64"/>
      <c r="CE869" s="460"/>
    </row>
    <row r="870">
      <c r="A870" s="690"/>
      <c r="B870" s="701" t="s">
        <v>494</v>
      </c>
      <c r="C870" s="743" t="s">
        <v>416</v>
      </c>
      <c r="D870" s="703" t="s">
        <v>454</v>
      </c>
      <c r="E870" s="704">
        <v>2021.0</v>
      </c>
      <c r="F870" s="743" t="s">
        <v>418</v>
      </c>
      <c r="G870" s="743" t="s">
        <v>50</v>
      </c>
      <c r="H870" s="705">
        <v>1.0502372E7</v>
      </c>
      <c r="I870" s="705">
        <v>1.1915529E7</v>
      </c>
      <c r="J870" s="706">
        <v>9111621.0</v>
      </c>
      <c r="K870" s="64"/>
      <c r="CE870" s="460"/>
    </row>
    <row r="871">
      <c r="A871" s="690"/>
      <c r="B871" s="712" t="s">
        <v>494</v>
      </c>
      <c r="C871" s="742" t="s">
        <v>416</v>
      </c>
      <c r="D871" s="714" t="s">
        <v>457</v>
      </c>
      <c r="E871" s="715">
        <v>2021.0</v>
      </c>
      <c r="F871" s="742" t="s">
        <v>418</v>
      </c>
      <c r="G871" s="742" t="s">
        <v>50</v>
      </c>
      <c r="H871" s="716">
        <v>932679.0</v>
      </c>
      <c r="I871" s="716">
        <v>1058177.0</v>
      </c>
      <c r="J871" s="717">
        <v>809172.0</v>
      </c>
      <c r="K871" s="64"/>
      <c r="CE871" s="460"/>
    </row>
    <row r="872">
      <c r="A872" s="690"/>
      <c r="B872" s="701" t="s">
        <v>494</v>
      </c>
      <c r="C872" s="743" t="s">
        <v>416</v>
      </c>
      <c r="D872" s="703" t="s">
        <v>460</v>
      </c>
      <c r="E872" s="704">
        <v>2021.0</v>
      </c>
      <c r="F872" s="743" t="s">
        <v>418</v>
      </c>
      <c r="G872" s="743" t="s">
        <v>50</v>
      </c>
      <c r="H872" s="705">
        <v>400679.0</v>
      </c>
      <c r="I872" s="705">
        <v>454593.0</v>
      </c>
      <c r="J872" s="706">
        <v>347620.0</v>
      </c>
      <c r="K872" s="64"/>
      <c r="CE872" s="460"/>
    </row>
    <row r="873">
      <c r="A873" s="690"/>
      <c r="B873" s="712" t="s">
        <v>494</v>
      </c>
      <c r="C873" s="742" t="s">
        <v>416</v>
      </c>
      <c r="D873" s="714" t="s">
        <v>463</v>
      </c>
      <c r="E873" s="715">
        <v>2021.0</v>
      </c>
      <c r="F873" s="742" t="s">
        <v>418</v>
      </c>
      <c r="G873" s="742" t="s">
        <v>50</v>
      </c>
      <c r="H873" s="716">
        <v>3430947.0</v>
      </c>
      <c r="I873" s="716">
        <v>3892601.0</v>
      </c>
      <c r="J873" s="717">
        <v>2976612.0</v>
      </c>
      <c r="K873" s="64"/>
      <c r="CE873" s="460"/>
    </row>
    <row r="874">
      <c r="A874" s="690"/>
      <c r="B874" s="701" t="s">
        <v>494</v>
      </c>
      <c r="C874" s="743" t="s">
        <v>416</v>
      </c>
      <c r="D874" s="703" t="s">
        <v>465</v>
      </c>
      <c r="E874" s="704">
        <v>2021.0</v>
      </c>
      <c r="F874" s="743" t="s">
        <v>418</v>
      </c>
      <c r="G874" s="743" t="s">
        <v>50</v>
      </c>
      <c r="H874" s="705">
        <v>1.7527298E7</v>
      </c>
      <c r="I874" s="705">
        <v>1.98857E7</v>
      </c>
      <c r="J874" s="706">
        <v>1.5206289E7</v>
      </c>
      <c r="K874" s="64"/>
      <c r="CE874" s="460"/>
    </row>
    <row r="875">
      <c r="A875" s="690"/>
      <c r="B875" s="712" t="s">
        <v>494</v>
      </c>
      <c r="C875" s="742" t="s">
        <v>416</v>
      </c>
      <c r="D875" s="714" t="s">
        <v>468</v>
      </c>
      <c r="E875" s="715">
        <v>2021.0</v>
      </c>
      <c r="F875" s="742" t="s">
        <v>418</v>
      </c>
      <c r="G875" s="742" t="s">
        <v>50</v>
      </c>
      <c r="H875" s="716">
        <v>3189688.0</v>
      </c>
      <c r="I875" s="716">
        <v>3618879.0</v>
      </c>
      <c r="J875" s="717">
        <v>2767301.0</v>
      </c>
      <c r="K875" s="64"/>
      <c r="CE875" s="460"/>
    </row>
    <row r="876">
      <c r="A876" s="690"/>
      <c r="B876" s="701" t="s">
        <v>494</v>
      </c>
      <c r="C876" s="743" t="s">
        <v>416</v>
      </c>
      <c r="D876" s="703" t="s">
        <v>471</v>
      </c>
      <c r="E876" s="704">
        <v>2021.0</v>
      </c>
      <c r="F876" s="743" t="s">
        <v>418</v>
      </c>
      <c r="G876" s="743" t="s">
        <v>50</v>
      </c>
      <c r="H876" s="705">
        <v>2766787.0</v>
      </c>
      <c r="I876" s="705">
        <v>3139075.0</v>
      </c>
      <c r="J876" s="706">
        <v>2400402.0</v>
      </c>
      <c r="K876" s="64"/>
      <c r="CE876" s="460"/>
    </row>
    <row r="877">
      <c r="A877" s="690"/>
      <c r="B877" s="712" t="s">
        <v>494</v>
      </c>
      <c r="C877" s="742" t="s">
        <v>416</v>
      </c>
      <c r="D877" s="714" t="s">
        <v>473</v>
      </c>
      <c r="E877" s="715">
        <v>2021.0</v>
      </c>
      <c r="F877" s="742" t="s">
        <v>418</v>
      </c>
      <c r="G877" s="742" t="s">
        <v>50</v>
      </c>
      <c r="H877" s="716">
        <v>1.4742223E7</v>
      </c>
      <c r="I877" s="716">
        <v>1.6725876E7</v>
      </c>
      <c r="J877" s="717">
        <v>1.279002E7</v>
      </c>
      <c r="K877" s="64"/>
      <c r="CE877" s="460"/>
    </row>
    <row r="878">
      <c r="A878" s="690"/>
      <c r="B878" s="701" t="s">
        <v>494</v>
      </c>
      <c r="C878" s="743" t="s">
        <v>416</v>
      </c>
      <c r="D878" s="703" t="s">
        <v>476</v>
      </c>
      <c r="E878" s="704">
        <v>2021.0</v>
      </c>
      <c r="F878" s="743" t="s">
        <v>418</v>
      </c>
      <c r="G878" s="743" t="s">
        <v>50</v>
      </c>
      <c r="H878" s="705">
        <v>2926495.0</v>
      </c>
      <c r="I878" s="705">
        <v>3320272.0</v>
      </c>
      <c r="J878" s="706">
        <v>2538961.0</v>
      </c>
      <c r="K878" s="64"/>
      <c r="CE878" s="460"/>
    </row>
    <row r="879">
      <c r="A879" s="690"/>
      <c r="B879" s="712" t="s">
        <v>494</v>
      </c>
      <c r="C879" s="742" t="s">
        <v>416</v>
      </c>
      <c r="D879" s="714" t="s">
        <v>479</v>
      </c>
      <c r="E879" s="715">
        <v>2021.0</v>
      </c>
      <c r="F879" s="742" t="s">
        <v>418</v>
      </c>
      <c r="G879" s="742" t="s">
        <v>50</v>
      </c>
      <c r="H879" s="716">
        <v>2565472.0</v>
      </c>
      <c r="I879" s="716">
        <v>2910672.0</v>
      </c>
      <c r="J879" s="717">
        <v>2225746.0</v>
      </c>
      <c r="K879" s="64"/>
      <c r="CE879" s="460"/>
    </row>
    <row r="880">
      <c r="A880" s="690"/>
      <c r="B880" s="701" t="s">
        <v>494</v>
      </c>
      <c r="C880" s="743" t="s">
        <v>416</v>
      </c>
      <c r="D880" s="703" t="s">
        <v>482</v>
      </c>
      <c r="E880" s="704">
        <v>2021.0</v>
      </c>
      <c r="F880" s="743" t="s">
        <v>418</v>
      </c>
      <c r="G880" s="743" t="s">
        <v>50</v>
      </c>
      <c r="H880" s="705">
        <v>2189136.0</v>
      </c>
      <c r="I880" s="705">
        <v>2483697.0</v>
      </c>
      <c r="J880" s="706">
        <v>1899245.0</v>
      </c>
      <c r="K880" s="64"/>
      <c r="CE880" s="460"/>
    </row>
    <row r="881">
      <c r="A881" s="690"/>
      <c r="B881" s="712" t="s">
        <v>494</v>
      </c>
      <c r="C881" s="742" t="s">
        <v>416</v>
      </c>
      <c r="D881" s="714" t="s">
        <v>485</v>
      </c>
      <c r="E881" s="715">
        <v>2021.0</v>
      </c>
      <c r="F881" s="742" t="s">
        <v>418</v>
      </c>
      <c r="G881" s="742" t="s">
        <v>50</v>
      </c>
      <c r="H881" s="716">
        <v>1797011.0</v>
      </c>
      <c r="I881" s="716">
        <v>2038810.0</v>
      </c>
      <c r="J881" s="717">
        <v>1559046.0</v>
      </c>
      <c r="K881" s="64"/>
      <c r="CE881" s="460"/>
    </row>
    <row r="882">
      <c r="A882" s="690"/>
      <c r="B882" s="701" t="s">
        <v>494</v>
      </c>
      <c r="C882" s="743" t="s">
        <v>416</v>
      </c>
      <c r="D882" s="703" t="s">
        <v>488</v>
      </c>
      <c r="E882" s="704">
        <v>2021.0</v>
      </c>
      <c r="F882" s="743" t="s">
        <v>418</v>
      </c>
      <c r="G882" s="743" t="s">
        <v>50</v>
      </c>
      <c r="H882" s="705">
        <v>1428549.0</v>
      </c>
      <c r="I882" s="705">
        <v>1620769.0</v>
      </c>
      <c r="J882" s="706">
        <v>1239377.0</v>
      </c>
      <c r="K882" s="64"/>
      <c r="CE882" s="460"/>
    </row>
    <row r="883">
      <c r="A883" s="690"/>
      <c r="B883" s="712" t="s">
        <v>494</v>
      </c>
      <c r="C883" s="742" t="s">
        <v>416</v>
      </c>
      <c r="D883" s="714" t="s">
        <v>491</v>
      </c>
      <c r="E883" s="715">
        <v>2021.0</v>
      </c>
      <c r="F883" s="742" t="s">
        <v>418</v>
      </c>
      <c r="G883" s="742" t="s">
        <v>50</v>
      </c>
      <c r="H883" s="716">
        <v>1108388.0</v>
      </c>
      <c r="I883" s="716">
        <v>1257528.0</v>
      </c>
      <c r="J883" s="717">
        <v>961612.0</v>
      </c>
      <c r="K883" s="64"/>
      <c r="CE883" s="460"/>
    </row>
    <row r="884">
      <c r="A884" s="690"/>
      <c r="B884" s="701" t="s">
        <v>494</v>
      </c>
      <c r="C884" s="743" t="s">
        <v>416</v>
      </c>
      <c r="D884" s="703" t="s">
        <v>493</v>
      </c>
      <c r="E884" s="704">
        <v>2021.0</v>
      </c>
      <c r="F884" s="743" t="s">
        <v>418</v>
      </c>
      <c r="G884" s="743" t="s">
        <v>50</v>
      </c>
      <c r="H884" s="705">
        <v>3147151.0</v>
      </c>
      <c r="I884" s="705">
        <v>3570619.0</v>
      </c>
      <c r="J884" s="706">
        <v>2730398.0</v>
      </c>
      <c r="K884" s="64"/>
      <c r="CE884" s="460"/>
    </row>
    <row r="885">
      <c r="A885" s="690"/>
      <c r="B885" s="712" t="s">
        <v>494</v>
      </c>
      <c r="C885" s="742" t="s">
        <v>416</v>
      </c>
      <c r="D885" s="714" t="s">
        <v>434</v>
      </c>
      <c r="E885" s="715">
        <v>2021.0</v>
      </c>
      <c r="F885" s="742" t="s">
        <v>418</v>
      </c>
      <c r="G885" s="742" t="s">
        <v>50</v>
      </c>
      <c r="H885" s="716">
        <v>8242948.0</v>
      </c>
      <c r="I885" s="716">
        <v>9352085.0</v>
      </c>
      <c r="J885" s="717">
        <v>7151396.0</v>
      </c>
      <c r="K885" s="64"/>
      <c r="CE885" s="460"/>
    </row>
    <row r="886">
      <c r="A886" s="690"/>
      <c r="B886" s="701" t="s">
        <v>494</v>
      </c>
      <c r="C886" s="743" t="s">
        <v>416</v>
      </c>
      <c r="D886" s="703" t="s">
        <v>497</v>
      </c>
      <c r="E886" s="704">
        <v>2021.0</v>
      </c>
      <c r="F886" s="743" t="s">
        <v>418</v>
      </c>
      <c r="G886" s="743" t="s">
        <v>50</v>
      </c>
      <c r="H886" s="705">
        <v>849746.0</v>
      </c>
      <c r="I886" s="705">
        <v>964084.0</v>
      </c>
      <c r="J886" s="706">
        <v>737220.0</v>
      </c>
      <c r="K886" s="64"/>
      <c r="CE886" s="460"/>
    </row>
    <row r="887">
      <c r="A887" s="690"/>
      <c r="B887" s="712" t="s">
        <v>494</v>
      </c>
      <c r="C887" s="742" t="s">
        <v>416</v>
      </c>
      <c r="D887" s="714" t="s">
        <v>500</v>
      </c>
      <c r="E887" s="715">
        <v>2021.0</v>
      </c>
      <c r="F887" s="742" t="s">
        <v>418</v>
      </c>
      <c r="G887" s="742" t="s">
        <v>50</v>
      </c>
      <c r="H887" s="716">
        <v>4361210.0</v>
      </c>
      <c r="I887" s="716">
        <v>4948037.0</v>
      </c>
      <c r="J887" s="717">
        <v>3783688.0</v>
      </c>
      <c r="K887" s="64"/>
      <c r="CE887" s="460"/>
    </row>
    <row r="888">
      <c r="A888" s="690"/>
      <c r="B888" s="701" t="s">
        <v>494</v>
      </c>
      <c r="C888" s="743" t="s">
        <v>416</v>
      </c>
      <c r="D888" s="703" t="s">
        <v>502</v>
      </c>
      <c r="E888" s="704">
        <v>2021.0</v>
      </c>
      <c r="F888" s="743" t="s">
        <v>418</v>
      </c>
      <c r="G888" s="743" t="s">
        <v>50</v>
      </c>
      <c r="H888" s="705">
        <v>675713.0</v>
      </c>
      <c r="I888" s="705">
        <v>766634.0</v>
      </c>
      <c r="J888" s="706">
        <v>586233.0</v>
      </c>
      <c r="K888" s="64"/>
      <c r="CE888" s="460"/>
    </row>
    <row r="889">
      <c r="A889" s="690"/>
      <c r="B889" s="712" t="s">
        <v>494</v>
      </c>
      <c r="C889" s="742" t="s">
        <v>416</v>
      </c>
      <c r="D889" s="714" t="s">
        <v>505</v>
      </c>
      <c r="E889" s="715">
        <v>2021.0</v>
      </c>
      <c r="F889" s="742" t="s">
        <v>418</v>
      </c>
      <c r="G889" s="742" t="s">
        <v>50</v>
      </c>
      <c r="H889" s="716">
        <v>466965.0</v>
      </c>
      <c r="I889" s="716">
        <v>529798.0</v>
      </c>
      <c r="J889" s="717">
        <v>405129.0</v>
      </c>
      <c r="K889" s="64"/>
      <c r="CE889" s="460"/>
    </row>
    <row r="890">
      <c r="A890" s="690"/>
      <c r="B890" s="701" t="s">
        <v>494</v>
      </c>
      <c r="C890" s="743" t="s">
        <v>416</v>
      </c>
      <c r="D890" s="703" t="s">
        <v>508</v>
      </c>
      <c r="E890" s="704">
        <v>2021.0</v>
      </c>
      <c r="F890" s="743" t="s">
        <v>418</v>
      </c>
      <c r="G890" s="743" t="s">
        <v>50</v>
      </c>
      <c r="H890" s="705">
        <v>513305.0</v>
      </c>
      <c r="I890" s="705">
        <v>582373.0</v>
      </c>
      <c r="J890" s="706">
        <v>445332.0</v>
      </c>
      <c r="K890" s="64"/>
      <c r="CE890" s="460"/>
    </row>
    <row r="891">
      <c r="A891" s="690"/>
      <c r="B891" s="712" t="s">
        <v>494</v>
      </c>
      <c r="C891" s="742" t="s">
        <v>416</v>
      </c>
      <c r="D891" s="714" t="s">
        <v>511</v>
      </c>
      <c r="E891" s="715">
        <v>2021.0</v>
      </c>
      <c r="F891" s="742" t="s">
        <v>418</v>
      </c>
      <c r="G891" s="742" t="s">
        <v>50</v>
      </c>
      <c r="H891" s="716">
        <v>688408.0</v>
      </c>
      <c r="I891" s="716">
        <v>781037.0</v>
      </c>
      <c r="J891" s="717">
        <v>597247.0</v>
      </c>
      <c r="K891" s="64"/>
      <c r="CE891" s="460"/>
    </row>
    <row r="892">
      <c r="A892" s="690"/>
      <c r="B892" s="701" t="s">
        <v>494</v>
      </c>
      <c r="C892" s="743" t="s">
        <v>416</v>
      </c>
      <c r="D892" s="703" t="s">
        <v>514</v>
      </c>
      <c r="E892" s="704">
        <v>2021.0</v>
      </c>
      <c r="F892" s="743" t="s">
        <v>418</v>
      </c>
      <c r="G892" s="743" t="s">
        <v>50</v>
      </c>
      <c r="H892" s="705">
        <v>328665.0</v>
      </c>
      <c r="I892" s="705">
        <v>372889.0</v>
      </c>
      <c r="J892" s="706">
        <v>285142.0</v>
      </c>
      <c r="K892" s="64"/>
      <c r="CE892" s="460"/>
    </row>
    <row r="893">
      <c r="A893" s="690"/>
      <c r="B893" s="712" t="s">
        <v>494</v>
      </c>
      <c r="C893" s="742" t="s">
        <v>416</v>
      </c>
      <c r="D893" s="714" t="s">
        <v>439</v>
      </c>
      <c r="E893" s="715">
        <v>2021.0</v>
      </c>
      <c r="F893" s="742" t="s">
        <v>418</v>
      </c>
      <c r="G893" s="742" t="s">
        <v>50</v>
      </c>
      <c r="H893" s="716">
        <v>54618.0</v>
      </c>
      <c r="I893" s="716">
        <v>61968.0</v>
      </c>
      <c r="J893" s="717">
        <v>47386.0</v>
      </c>
      <c r="K893" s="64"/>
      <c r="CE893" s="460"/>
    </row>
    <row r="894">
      <c r="A894" s="690"/>
      <c r="B894" s="701" t="s">
        <v>494</v>
      </c>
      <c r="C894" s="743" t="s">
        <v>416</v>
      </c>
      <c r="D894" s="703" t="s">
        <v>517</v>
      </c>
      <c r="E894" s="704">
        <v>2021.0</v>
      </c>
      <c r="F894" s="743" t="s">
        <v>418</v>
      </c>
      <c r="G894" s="743" t="s">
        <v>50</v>
      </c>
      <c r="H894" s="705">
        <v>199195.0</v>
      </c>
      <c r="I894" s="705">
        <v>225998.0</v>
      </c>
      <c r="J894" s="706">
        <v>172817.0</v>
      </c>
      <c r="K894" s="64"/>
      <c r="CE894" s="460"/>
    </row>
    <row r="895">
      <c r="A895" s="690"/>
      <c r="B895" s="712" t="s">
        <v>494</v>
      </c>
      <c r="C895" s="742" t="s">
        <v>416</v>
      </c>
      <c r="D895" s="714" t="s">
        <v>520</v>
      </c>
      <c r="E895" s="715">
        <v>2021.0</v>
      </c>
      <c r="F895" s="742" t="s">
        <v>418</v>
      </c>
      <c r="G895" s="742" t="s">
        <v>50</v>
      </c>
      <c r="H895" s="716">
        <v>160548.0</v>
      </c>
      <c r="I895" s="716">
        <v>182150.0</v>
      </c>
      <c r="J895" s="717">
        <v>139288.0</v>
      </c>
      <c r="K895" s="64"/>
      <c r="CE895" s="460"/>
    </row>
    <row r="896">
      <c r="A896" s="690"/>
      <c r="B896" s="701" t="s">
        <v>494</v>
      </c>
      <c r="C896" s="743" t="s">
        <v>416</v>
      </c>
      <c r="D896" s="703" t="s">
        <v>521</v>
      </c>
      <c r="E896" s="704">
        <v>2021.0</v>
      </c>
      <c r="F896" s="743" t="s">
        <v>418</v>
      </c>
      <c r="G896" s="743" t="s">
        <v>50</v>
      </c>
      <c r="H896" s="705">
        <v>104318.0</v>
      </c>
      <c r="I896" s="705">
        <v>118355.0</v>
      </c>
      <c r="J896" s="706">
        <v>90504.0</v>
      </c>
      <c r="K896" s="64"/>
      <c r="CE896" s="460"/>
    </row>
    <row r="897">
      <c r="A897" s="690"/>
      <c r="B897" s="712" t="s">
        <v>494</v>
      </c>
      <c r="C897" s="742" t="s">
        <v>416</v>
      </c>
      <c r="D897" s="714" t="s">
        <v>524</v>
      </c>
      <c r="E897" s="715">
        <v>2021.0</v>
      </c>
      <c r="F897" s="742" t="s">
        <v>418</v>
      </c>
      <c r="G897" s="742" t="s">
        <v>50</v>
      </c>
      <c r="H897" s="716">
        <v>42473.0</v>
      </c>
      <c r="I897" s="716">
        <v>48187.0</v>
      </c>
      <c r="J897" s="717">
        <v>36848.0</v>
      </c>
      <c r="K897" s="64"/>
      <c r="CE897" s="460"/>
    </row>
    <row r="898">
      <c r="A898" s="690"/>
      <c r="B898" s="701" t="s">
        <v>494</v>
      </c>
      <c r="C898" s="743" t="s">
        <v>416</v>
      </c>
      <c r="D898" s="703" t="s">
        <v>527</v>
      </c>
      <c r="E898" s="704">
        <v>2021.0</v>
      </c>
      <c r="F898" s="743" t="s">
        <v>418</v>
      </c>
      <c r="G898" s="743" t="s">
        <v>50</v>
      </c>
      <c r="H898" s="705">
        <v>11254.0</v>
      </c>
      <c r="I898" s="705">
        <v>12768.0</v>
      </c>
      <c r="J898" s="706">
        <v>9764.0</v>
      </c>
      <c r="K898" s="64"/>
      <c r="CE898" s="460"/>
    </row>
    <row r="899">
      <c r="A899" s="690"/>
      <c r="B899" s="712" t="s">
        <v>494</v>
      </c>
      <c r="C899" s="742" t="s">
        <v>416</v>
      </c>
      <c r="D899" s="714" t="s">
        <v>529</v>
      </c>
      <c r="E899" s="715">
        <v>2021.0</v>
      </c>
      <c r="F899" s="742" t="s">
        <v>418</v>
      </c>
      <c r="G899" s="742" t="s">
        <v>50</v>
      </c>
      <c r="H899" s="716">
        <v>2503.0</v>
      </c>
      <c r="I899" s="716">
        <v>2840.0</v>
      </c>
      <c r="J899" s="717">
        <v>2172.0</v>
      </c>
      <c r="K899" s="64"/>
      <c r="CE899" s="460"/>
    </row>
    <row r="900">
      <c r="A900" s="690"/>
      <c r="B900" s="701" t="s">
        <v>494</v>
      </c>
      <c r="C900" s="743" t="s">
        <v>416</v>
      </c>
      <c r="D900" s="703" t="s">
        <v>443</v>
      </c>
      <c r="E900" s="704">
        <v>2021.0</v>
      </c>
      <c r="F900" s="743" t="s">
        <v>418</v>
      </c>
      <c r="G900" s="743" t="s">
        <v>50</v>
      </c>
      <c r="H900" s="705">
        <v>3.4245939E7</v>
      </c>
      <c r="I900" s="705">
        <v>3.8853934E7</v>
      </c>
      <c r="J900" s="706">
        <v>2.9711006E7</v>
      </c>
      <c r="K900" s="64"/>
      <c r="CE900" s="460"/>
    </row>
    <row r="901">
      <c r="A901" s="690"/>
      <c r="B901" s="712" t="s">
        <v>495</v>
      </c>
      <c r="C901" s="742" t="s">
        <v>416</v>
      </c>
      <c r="D901" s="714" t="s">
        <v>417</v>
      </c>
      <c r="E901" s="715">
        <v>2021.0</v>
      </c>
      <c r="F901" s="742" t="s">
        <v>418</v>
      </c>
      <c r="G901" s="742" t="s">
        <v>50</v>
      </c>
      <c r="H901" s="716">
        <v>473098.0</v>
      </c>
      <c r="I901" s="716">
        <v>526831.0</v>
      </c>
      <c r="J901" s="717">
        <v>421394.0</v>
      </c>
      <c r="K901" s="64"/>
      <c r="CE901" s="460"/>
    </row>
    <row r="902">
      <c r="A902" s="690"/>
      <c r="B902" s="701" t="s">
        <v>495</v>
      </c>
      <c r="C902" s="743" t="s">
        <v>416</v>
      </c>
      <c r="D902" s="703" t="s">
        <v>431</v>
      </c>
      <c r="E902" s="704">
        <v>2021.0</v>
      </c>
      <c r="F902" s="743" t="s">
        <v>418</v>
      </c>
      <c r="G902" s="743" t="s">
        <v>50</v>
      </c>
      <c r="H902" s="705">
        <v>7464454.0</v>
      </c>
      <c r="I902" s="705">
        <v>8312234.0</v>
      </c>
      <c r="J902" s="706">
        <v>6648668.0</v>
      </c>
      <c r="K902" s="64"/>
      <c r="CE902" s="460"/>
    </row>
    <row r="903">
      <c r="A903" s="690"/>
      <c r="B903" s="712" t="s">
        <v>495</v>
      </c>
      <c r="C903" s="742" t="s">
        <v>416</v>
      </c>
      <c r="D903" s="714" t="s">
        <v>438</v>
      </c>
      <c r="E903" s="715">
        <v>2021.0</v>
      </c>
      <c r="F903" s="742" t="s">
        <v>418</v>
      </c>
      <c r="G903" s="742" t="s">
        <v>50</v>
      </c>
      <c r="H903" s="716">
        <v>37308.0</v>
      </c>
      <c r="I903" s="716">
        <v>41546.0</v>
      </c>
      <c r="J903" s="717">
        <v>33231.0</v>
      </c>
      <c r="K903" s="64"/>
      <c r="CE903" s="460"/>
    </row>
    <row r="904">
      <c r="A904" s="690"/>
      <c r="B904" s="701" t="s">
        <v>495</v>
      </c>
      <c r="C904" s="743" t="s">
        <v>416</v>
      </c>
      <c r="D904" s="703" t="s">
        <v>421</v>
      </c>
      <c r="E904" s="704">
        <v>2021.0</v>
      </c>
      <c r="F904" s="743" t="s">
        <v>418</v>
      </c>
      <c r="G904" s="743" t="s">
        <v>50</v>
      </c>
      <c r="H904" s="705">
        <v>2250476.0</v>
      </c>
      <c r="I904" s="705">
        <v>2506075.0</v>
      </c>
      <c r="J904" s="706">
        <v>2004523.0</v>
      </c>
      <c r="K904" s="64"/>
      <c r="CE904" s="460"/>
    </row>
    <row r="905">
      <c r="A905" s="690"/>
      <c r="B905" s="712" t="s">
        <v>495</v>
      </c>
      <c r="C905" s="742" t="s">
        <v>416</v>
      </c>
      <c r="D905" s="714" t="s">
        <v>447</v>
      </c>
      <c r="E905" s="715">
        <v>2021.0</v>
      </c>
      <c r="F905" s="742" t="s">
        <v>418</v>
      </c>
      <c r="G905" s="742" t="s">
        <v>50</v>
      </c>
      <c r="H905" s="716">
        <v>6045753.0</v>
      </c>
      <c r="I905" s="716">
        <v>6732403.0</v>
      </c>
      <c r="J905" s="717">
        <v>5385016.0</v>
      </c>
      <c r="K905" s="64"/>
      <c r="CE905" s="460"/>
    </row>
    <row r="906">
      <c r="A906" s="690"/>
      <c r="B906" s="701" t="s">
        <v>495</v>
      </c>
      <c r="C906" s="743" t="s">
        <v>416</v>
      </c>
      <c r="D906" s="703" t="s">
        <v>432</v>
      </c>
      <c r="E906" s="704">
        <v>2021.0</v>
      </c>
      <c r="F906" s="743" t="s">
        <v>418</v>
      </c>
      <c r="G906" s="743" t="s">
        <v>50</v>
      </c>
      <c r="H906" s="705">
        <v>9442.0</v>
      </c>
      <c r="I906" s="705">
        <v>10514.0</v>
      </c>
      <c r="J906" s="706">
        <v>8410.0</v>
      </c>
      <c r="K906" s="64"/>
      <c r="CE906" s="460"/>
    </row>
    <row r="907">
      <c r="A907" s="690"/>
      <c r="B907" s="712" t="s">
        <v>495</v>
      </c>
      <c r="C907" s="742" t="s">
        <v>416</v>
      </c>
      <c r="D907" s="714" t="s">
        <v>450</v>
      </c>
      <c r="E907" s="715">
        <v>2021.0</v>
      </c>
      <c r="F907" s="742" t="s">
        <v>418</v>
      </c>
      <c r="G907" s="742" t="s">
        <v>50</v>
      </c>
      <c r="H907" s="716">
        <v>1745669.0</v>
      </c>
      <c r="I907" s="716">
        <v>1943934.0</v>
      </c>
      <c r="J907" s="717">
        <v>1554885.0</v>
      </c>
      <c r="K907" s="64"/>
      <c r="CE907" s="460"/>
    </row>
    <row r="908">
      <c r="A908" s="690"/>
      <c r="B908" s="701" t="s">
        <v>495</v>
      </c>
      <c r="C908" s="743" t="s">
        <v>416</v>
      </c>
      <c r="D908" s="703" t="s">
        <v>453</v>
      </c>
      <c r="E908" s="704">
        <v>2021.0</v>
      </c>
      <c r="F908" s="743" t="s">
        <v>418</v>
      </c>
      <c r="G908" s="743" t="s">
        <v>50</v>
      </c>
      <c r="H908" s="705">
        <v>3164369.0</v>
      </c>
      <c r="I908" s="705">
        <v>3523765.0</v>
      </c>
      <c r="J908" s="706">
        <v>2818537.0</v>
      </c>
      <c r="K908" s="64"/>
      <c r="CE908" s="460"/>
    </row>
    <row r="909">
      <c r="A909" s="690"/>
      <c r="B909" s="712" t="s">
        <v>495</v>
      </c>
      <c r="C909" s="742" t="s">
        <v>416</v>
      </c>
      <c r="D909" s="714" t="s">
        <v>454</v>
      </c>
      <c r="E909" s="715">
        <v>2021.0</v>
      </c>
      <c r="F909" s="742" t="s">
        <v>418</v>
      </c>
      <c r="G909" s="742" t="s">
        <v>50</v>
      </c>
      <c r="H909" s="716">
        <v>4331242.0</v>
      </c>
      <c r="I909" s="716">
        <v>4823165.0</v>
      </c>
      <c r="J909" s="717">
        <v>3857883.0</v>
      </c>
      <c r="K909" s="64"/>
      <c r="CE909" s="460"/>
    </row>
    <row r="910">
      <c r="A910" s="690"/>
      <c r="B910" s="701" t="s">
        <v>495</v>
      </c>
      <c r="C910" s="743" t="s">
        <v>416</v>
      </c>
      <c r="D910" s="703" t="s">
        <v>457</v>
      </c>
      <c r="E910" s="704">
        <v>2021.0</v>
      </c>
      <c r="F910" s="743" t="s">
        <v>418</v>
      </c>
      <c r="G910" s="743" t="s">
        <v>50</v>
      </c>
      <c r="H910" s="705">
        <v>457326.0</v>
      </c>
      <c r="I910" s="705">
        <v>509267.0</v>
      </c>
      <c r="J910" s="706">
        <v>407345.0</v>
      </c>
      <c r="K910" s="64"/>
      <c r="CE910" s="460"/>
    </row>
    <row r="911">
      <c r="A911" s="690"/>
      <c r="B911" s="712" t="s">
        <v>495</v>
      </c>
      <c r="C911" s="742" t="s">
        <v>416</v>
      </c>
      <c r="D911" s="714" t="s">
        <v>460</v>
      </c>
      <c r="E911" s="715">
        <v>2021.0</v>
      </c>
      <c r="F911" s="742" t="s">
        <v>418</v>
      </c>
      <c r="G911" s="742" t="s">
        <v>50</v>
      </c>
      <c r="H911" s="716">
        <v>202721.0</v>
      </c>
      <c r="I911" s="716">
        <v>225746.0</v>
      </c>
      <c r="J911" s="717">
        <v>180566.0</v>
      </c>
      <c r="K911" s="64"/>
      <c r="CE911" s="460"/>
    </row>
    <row r="912">
      <c r="A912" s="690"/>
      <c r="B912" s="701" t="s">
        <v>495</v>
      </c>
      <c r="C912" s="743" t="s">
        <v>416</v>
      </c>
      <c r="D912" s="703" t="s">
        <v>463</v>
      </c>
      <c r="E912" s="704">
        <v>2021.0</v>
      </c>
      <c r="F912" s="743" t="s">
        <v>418</v>
      </c>
      <c r="G912" s="743" t="s">
        <v>50</v>
      </c>
      <c r="H912" s="705">
        <v>1418701.0</v>
      </c>
      <c r="I912" s="705">
        <v>1579831.0</v>
      </c>
      <c r="J912" s="706">
        <v>1263652.0</v>
      </c>
      <c r="K912" s="64"/>
      <c r="CE912" s="460"/>
    </row>
    <row r="913">
      <c r="A913" s="690"/>
      <c r="B913" s="712" t="s">
        <v>495</v>
      </c>
      <c r="C913" s="742" t="s">
        <v>416</v>
      </c>
      <c r="D913" s="714" t="s">
        <v>465</v>
      </c>
      <c r="E913" s="715">
        <v>2021.0</v>
      </c>
      <c r="F913" s="742" t="s">
        <v>418</v>
      </c>
      <c r="G913" s="742" t="s">
        <v>50</v>
      </c>
      <c r="H913" s="716">
        <v>6131485.0</v>
      </c>
      <c r="I913" s="716">
        <v>6827872.0</v>
      </c>
      <c r="J913" s="717">
        <v>5461378.0</v>
      </c>
      <c r="K913" s="64"/>
      <c r="CE913" s="460"/>
    </row>
    <row r="914">
      <c r="A914" s="690"/>
      <c r="B914" s="701" t="s">
        <v>495</v>
      </c>
      <c r="C914" s="743" t="s">
        <v>416</v>
      </c>
      <c r="D914" s="703" t="s">
        <v>468</v>
      </c>
      <c r="E914" s="704">
        <v>2021.0</v>
      </c>
      <c r="F914" s="743" t="s">
        <v>418</v>
      </c>
      <c r="G914" s="743" t="s">
        <v>50</v>
      </c>
      <c r="H914" s="705">
        <v>1166872.0</v>
      </c>
      <c r="I914" s="705">
        <v>1299401.0</v>
      </c>
      <c r="J914" s="706">
        <v>1039346.0</v>
      </c>
      <c r="K914" s="64"/>
      <c r="CE914" s="460"/>
    </row>
    <row r="915">
      <c r="A915" s="690"/>
      <c r="B915" s="712" t="s">
        <v>495</v>
      </c>
      <c r="C915" s="742" t="s">
        <v>416</v>
      </c>
      <c r="D915" s="714" t="s">
        <v>471</v>
      </c>
      <c r="E915" s="715">
        <v>2021.0</v>
      </c>
      <c r="F915" s="742" t="s">
        <v>418</v>
      </c>
      <c r="G915" s="742" t="s">
        <v>50</v>
      </c>
      <c r="H915" s="716">
        <v>1320051.0</v>
      </c>
      <c r="I915" s="716">
        <v>1469977.0</v>
      </c>
      <c r="J915" s="717">
        <v>1175784.0</v>
      </c>
      <c r="K915" s="64"/>
      <c r="CE915" s="460"/>
    </row>
    <row r="916">
      <c r="A916" s="690"/>
      <c r="B916" s="701" t="s">
        <v>495</v>
      </c>
      <c r="C916" s="743" t="s">
        <v>416</v>
      </c>
      <c r="D916" s="703" t="s">
        <v>473</v>
      </c>
      <c r="E916" s="704">
        <v>2021.0</v>
      </c>
      <c r="F916" s="743" t="s">
        <v>418</v>
      </c>
      <c r="G916" s="743" t="s">
        <v>50</v>
      </c>
      <c r="H916" s="705">
        <v>4798425.0</v>
      </c>
      <c r="I916" s="705">
        <v>5343408.0</v>
      </c>
      <c r="J916" s="706">
        <v>4274007.0</v>
      </c>
      <c r="K916" s="64"/>
      <c r="CE916" s="460"/>
    </row>
    <row r="917">
      <c r="A917" s="690"/>
      <c r="B917" s="712" t="s">
        <v>495</v>
      </c>
      <c r="C917" s="742" t="s">
        <v>416</v>
      </c>
      <c r="D917" s="714" t="s">
        <v>476</v>
      </c>
      <c r="E917" s="715">
        <v>2021.0</v>
      </c>
      <c r="F917" s="742" t="s">
        <v>418</v>
      </c>
      <c r="G917" s="742" t="s">
        <v>50</v>
      </c>
      <c r="H917" s="716">
        <v>1006164.0</v>
      </c>
      <c r="I917" s="716">
        <v>1120440.0</v>
      </c>
      <c r="J917" s="717">
        <v>896201.0</v>
      </c>
      <c r="K917" s="64"/>
      <c r="CE917" s="460"/>
    </row>
    <row r="918">
      <c r="A918" s="690"/>
      <c r="B918" s="701" t="s">
        <v>495</v>
      </c>
      <c r="C918" s="743" t="s">
        <v>416</v>
      </c>
      <c r="D918" s="703" t="s">
        <v>479</v>
      </c>
      <c r="E918" s="704">
        <v>2021.0</v>
      </c>
      <c r="F918" s="743" t="s">
        <v>418</v>
      </c>
      <c r="G918" s="743" t="s">
        <v>50</v>
      </c>
      <c r="H918" s="705">
        <v>878263.0</v>
      </c>
      <c r="I918" s="705">
        <v>978012.0</v>
      </c>
      <c r="J918" s="706">
        <v>782278.0</v>
      </c>
      <c r="K918" s="64"/>
      <c r="CE918" s="460"/>
    </row>
    <row r="919">
      <c r="A919" s="690"/>
      <c r="B919" s="712" t="s">
        <v>495</v>
      </c>
      <c r="C919" s="742" t="s">
        <v>416</v>
      </c>
      <c r="D919" s="714" t="s">
        <v>482</v>
      </c>
      <c r="E919" s="715">
        <v>2021.0</v>
      </c>
      <c r="F919" s="742" t="s">
        <v>418</v>
      </c>
      <c r="G919" s="742" t="s">
        <v>50</v>
      </c>
      <c r="H919" s="716">
        <v>697061.0</v>
      </c>
      <c r="I919" s="716">
        <v>776230.0</v>
      </c>
      <c r="J919" s="717">
        <v>620880.0</v>
      </c>
      <c r="K919" s="64"/>
      <c r="CE919" s="460"/>
    </row>
    <row r="920">
      <c r="A920" s="690"/>
      <c r="B920" s="701" t="s">
        <v>495</v>
      </c>
      <c r="C920" s="743" t="s">
        <v>416</v>
      </c>
      <c r="D920" s="703" t="s">
        <v>485</v>
      </c>
      <c r="E920" s="704">
        <v>2021.0</v>
      </c>
      <c r="F920" s="743" t="s">
        <v>418</v>
      </c>
      <c r="G920" s="743" t="s">
        <v>50</v>
      </c>
      <c r="H920" s="705">
        <v>540002.0</v>
      </c>
      <c r="I920" s="705">
        <v>601334.0</v>
      </c>
      <c r="J920" s="706">
        <v>480986.0</v>
      </c>
      <c r="K920" s="64"/>
      <c r="CE920" s="460"/>
    </row>
    <row r="921">
      <c r="A921" s="690"/>
      <c r="B921" s="712" t="s">
        <v>495</v>
      </c>
      <c r="C921" s="742" t="s">
        <v>416</v>
      </c>
      <c r="D921" s="714" t="s">
        <v>488</v>
      </c>
      <c r="E921" s="715">
        <v>2021.0</v>
      </c>
      <c r="F921" s="742" t="s">
        <v>418</v>
      </c>
      <c r="G921" s="742" t="s">
        <v>50</v>
      </c>
      <c r="H921" s="716">
        <v>424420.0</v>
      </c>
      <c r="I921" s="716">
        <v>472624.0</v>
      </c>
      <c r="J921" s="717">
        <v>378036.0</v>
      </c>
      <c r="K921" s="64"/>
      <c r="CE921" s="460"/>
    </row>
    <row r="922">
      <c r="A922" s="690"/>
      <c r="B922" s="701" t="s">
        <v>495</v>
      </c>
      <c r="C922" s="743" t="s">
        <v>416</v>
      </c>
      <c r="D922" s="703" t="s">
        <v>491</v>
      </c>
      <c r="E922" s="704">
        <v>2021.0</v>
      </c>
      <c r="F922" s="743" t="s">
        <v>418</v>
      </c>
      <c r="G922" s="743" t="s">
        <v>50</v>
      </c>
      <c r="H922" s="705">
        <v>338955.0</v>
      </c>
      <c r="I922" s="705">
        <v>377452.0</v>
      </c>
      <c r="J922" s="706">
        <v>301911.0</v>
      </c>
      <c r="K922" s="64"/>
      <c r="CE922" s="460"/>
    </row>
    <row r="923">
      <c r="A923" s="690"/>
      <c r="B923" s="712" t="s">
        <v>495</v>
      </c>
      <c r="C923" s="742" t="s">
        <v>416</v>
      </c>
      <c r="D923" s="714" t="s">
        <v>493</v>
      </c>
      <c r="E923" s="715">
        <v>2021.0</v>
      </c>
      <c r="F923" s="742" t="s">
        <v>418</v>
      </c>
      <c r="G923" s="742" t="s">
        <v>50</v>
      </c>
      <c r="H923" s="716">
        <v>992995.0</v>
      </c>
      <c r="I923" s="716">
        <v>1105775.0</v>
      </c>
      <c r="J923" s="717">
        <v>884471.0</v>
      </c>
      <c r="K923" s="64"/>
      <c r="CE923" s="460"/>
    </row>
    <row r="924">
      <c r="A924" s="690"/>
      <c r="B924" s="701" t="s">
        <v>495</v>
      </c>
      <c r="C924" s="743" t="s">
        <v>416</v>
      </c>
      <c r="D924" s="703" t="s">
        <v>434</v>
      </c>
      <c r="E924" s="704">
        <v>2021.0</v>
      </c>
      <c r="F924" s="743" t="s">
        <v>418</v>
      </c>
      <c r="G924" s="743" t="s">
        <v>50</v>
      </c>
      <c r="H924" s="705">
        <v>3795277.0</v>
      </c>
      <c r="I924" s="705">
        <v>4226328.0</v>
      </c>
      <c r="J924" s="706">
        <v>3380493.0</v>
      </c>
      <c r="K924" s="64"/>
      <c r="CE924" s="460"/>
    </row>
    <row r="925">
      <c r="A925" s="690"/>
      <c r="B925" s="712" t="s">
        <v>495</v>
      </c>
      <c r="C925" s="742" t="s">
        <v>416</v>
      </c>
      <c r="D925" s="714" t="s">
        <v>497</v>
      </c>
      <c r="E925" s="715">
        <v>2021.0</v>
      </c>
      <c r="F925" s="742" t="s">
        <v>418</v>
      </c>
      <c r="G925" s="742" t="s">
        <v>50</v>
      </c>
      <c r="H925" s="716">
        <v>269419.0</v>
      </c>
      <c r="I925" s="716">
        <v>300019.0</v>
      </c>
      <c r="J925" s="717">
        <v>239975.0</v>
      </c>
      <c r="K925" s="64"/>
      <c r="CE925" s="460"/>
    </row>
    <row r="926">
      <c r="A926" s="690"/>
      <c r="B926" s="701" t="s">
        <v>495</v>
      </c>
      <c r="C926" s="743" t="s">
        <v>416</v>
      </c>
      <c r="D926" s="703" t="s">
        <v>500</v>
      </c>
      <c r="E926" s="704">
        <v>2021.0</v>
      </c>
      <c r="F926" s="743" t="s">
        <v>418</v>
      </c>
      <c r="G926" s="743" t="s">
        <v>50</v>
      </c>
      <c r="H926" s="705">
        <v>2049608.0</v>
      </c>
      <c r="I926" s="705">
        <v>2282394.0</v>
      </c>
      <c r="J926" s="706">
        <v>1825608.0</v>
      </c>
      <c r="K926" s="64"/>
      <c r="CE926" s="460"/>
    </row>
    <row r="927">
      <c r="A927" s="690"/>
      <c r="B927" s="712" t="s">
        <v>495</v>
      </c>
      <c r="C927" s="742" t="s">
        <v>416</v>
      </c>
      <c r="D927" s="714" t="s">
        <v>502</v>
      </c>
      <c r="E927" s="715">
        <v>2021.0</v>
      </c>
      <c r="F927" s="742" t="s">
        <v>418</v>
      </c>
      <c r="G927" s="742" t="s">
        <v>50</v>
      </c>
      <c r="H927" s="716">
        <v>218756.0</v>
      </c>
      <c r="I927" s="716">
        <v>243601.0</v>
      </c>
      <c r="J927" s="717">
        <v>194848.0</v>
      </c>
      <c r="K927" s="64"/>
      <c r="CE927" s="460"/>
    </row>
    <row r="928">
      <c r="A928" s="690"/>
      <c r="B928" s="701" t="s">
        <v>495</v>
      </c>
      <c r="C928" s="743" t="s">
        <v>416</v>
      </c>
      <c r="D928" s="703" t="s">
        <v>505</v>
      </c>
      <c r="E928" s="704">
        <v>2021.0</v>
      </c>
      <c r="F928" s="743" t="s">
        <v>418</v>
      </c>
      <c r="G928" s="743" t="s">
        <v>50</v>
      </c>
      <c r="H928" s="705">
        <v>233069.0</v>
      </c>
      <c r="I928" s="705">
        <v>259540.0</v>
      </c>
      <c r="J928" s="706">
        <v>207597.0</v>
      </c>
      <c r="K928" s="64"/>
      <c r="CE928" s="460"/>
    </row>
    <row r="929">
      <c r="A929" s="690"/>
      <c r="B929" s="712" t="s">
        <v>495</v>
      </c>
      <c r="C929" s="742" t="s">
        <v>416</v>
      </c>
      <c r="D929" s="714" t="s">
        <v>508</v>
      </c>
      <c r="E929" s="715">
        <v>2021.0</v>
      </c>
      <c r="F929" s="742" t="s">
        <v>418</v>
      </c>
      <c r="G929" s="742" t="s">
        <v>50</v>
      </c>
      <c r="H929" s="716">
        <v>165865.0</v>
      </c>
      <c r="I929" s="716">
        <v>184704.0</v>
      </c>
      <c r="J929" s="717">
        <v>147738.0</v>
      </c>
      <c r="K929" s="64"/>
      <c r="CE929" s="460"/>
    </row>
    <row r="930">
      <c r="A930" s="690"/>
      <c r="B930" s="701" t="s">
        <v>495</v>
      </c>
      <c r="C930" s="743" t="s">
        <v>416</v>
      </c>
      <c r="D930" s="703" t="s">
        <v>511</v>
      </c>
      <c r="E930" s="704">
        <v>2021.0</v>
      </c>
      <c r="F930" s="743" t="s">
        <v>418</v>
      </c>
      <c r="G930" s="743" t="s">
        <v>50</v>
      </c>
      <c r="H930" s="705">
        <v>259518.0</v>
      </c>
      <c r="I930" s="705">
        <v>288993.0</v>
      </c>
      <c r="J930" s="706">
        <v>231155.0</v>
      </c>
      <c r="K930" s="64"/>
      <c r="CE930" s="460"/>
    </row>
    <row r="931">
      <c r="A931" s="690"/>
      <c r="B931" s="712" t="s">
        <v>495</v>
      </c>
      <c r="C931" s="742" t="s">
        <v>416</v>
      </c>
      <c r="D931" s="714" t="s">
        <v>514</v>
      </c>
      <c r="E931" s="715">
        <v>2021.0</v>
      </c>
      <c r="F931" s="742" t="s">
        <v>418</v>
      </c>
      <c r="G931" s="742" t="s">
        <v>50</v>
      </c>
      <c r="H931" s="716">
        <v>117979.0</v>
      </c>
      <c r="I931" s="716">
        <v>131379.0</v>
      </c>
      <c r="J931" s="717">
        <v>105085.0</v>
      </c>
      <c r="K931" s="64"/>
      <c r="CE931" s="460"/>
    </row>
    <row r="932">
      <c r="A932" s="690"/>
      <c r="B932" s="701" t="s">
        <v>495</v>
      </c>
      <c r="C932" s="743" t="s">
        <v>416</v>
      </c>
      <c r="D932" s="703" t="s">
        <v>439</v>
      </c>
      <c r="E932" s="704">
        <v>2021.0</v>
      </c>
      <c r="F932" s="743" t="s">
        <v>418</v>
      </c>
      <c r="G932" s="743" t="s">
        <v>50</v>
      </c>
      <c r="H932" s="705">
        <v>27867.0</v>
      </c>
      <c r="I932" s="705">
        <v>31031.0</v>
      </c>
      <c r="J932" s="706">
        <v>24821.0</v>
      </c>
      <c r="K932" s="64"/>
      <c r="CE932" s="460"/>
    </row>
    <row r="933">
      <c r="A933" s="690"/>
      <c r="B933" s="712" t="s">
        <v>495</v>
      </c>
      <c r="C933" s="742" t="s">
        <v>416</v>
      </c>
      <c r="D933" s="714" t="s">
        <v>517</v>
      </c>
      <c r="E933" s="715">
        <v>2021.0</v>
      </c>
      <c r="F933" s="742" t="s">
        <v>418</v>
      </c>
      <c r="G933" s="742" t="s">
        <v>50</v>
      </c>
      <c r="H933" s="716">
        <v>72226.0</v>
      </c>
      <c r="I933" s="716">
        <v>80429.0</v>
      </c>
      <c r="J933" s="717">
        <v>64332.0</v>
      </c>
      <c r="K933" s="64"/>
      <c r="CE933" s="460"/>
    </row>
    <row r="934">
      <c r="A934" s="690"/>
      <c r="B934" s="701" t="s">
        <v>495</v>
      </c>
      <c r="C934" s="743" t="s">
        <v>416</v>
      </c>
      <c r="D934" s="703" t="s">
        <v>520</v>
      </c>
      <c r="E934" s="704">
        <v>2021.0</v>
      </c>
      <c r="F934" s="743" t="s">
        <v>418</v>
      </c>
      <c r="G934" s="743" t="s">
        <v>50</v>
      </c>
      <c r="H934" s="705">
        <v>69313.0</v>
      </c>
      <c r="I934" s="705">
        <v>77185.0</v>
      </c>
      <c r="J934" s="706">
        <v>61738.0</v>
      </c>
      <c r="K934" s="64"/>
      <c r="CE934" s="460"/>
    </row>
    <row r="935">
      <c r="A935" s="690"/>
      <c r="B935" s="712" t="s">
        <v>495</v>
      </c>
      <c r="C935" s="742" t="s">
        <v>416</v>
      </c>
      <c r="D935" s="714" t="s">
        <v>521</v>
      </c>
      <c r="E935" s="715">
        <v>2021.0</v>
      </c>
      <c r="F935" s="742" t="s">
        <v>418</v>
      </c>
      <c r="G935" s="742" t="s">
        <v>50</v>
      </c>
      <c r="H935" s="716">
        <v>41384.0</v>
      </c>
      <c r="I935" s="716">
        <v>46084.0</v>
      </c>
      <c r="J935" s="717">
        <v>36861.0</v>
      </c>
      <c r="K935" s="64"/>
      <c r="CE935" s="460"/>
    </row>
    <row r="936">
      <c r="A936" s="690"/>
      <c r="B936" s="701" t="s">
        <v>495</v>
      </c>
      <c r="C936" s="743" t="s">
        <v>416</v>
      </c>
      <c r="D936" s="703" t="s">
        <v>524</v>
      </c>
      <c r="E936" s="704">
        <v>2021.0</v>
      </c>
      <c r="F936" s="743" t="s">
        <v>418</v>
      </c>
      <c r="G936" s="743" t="s">
        <v>50</v>
      </c>
      <c r="H936" s="705">
        <v>19591.0</v>
      </c>
      <c r="I936" s="705">
        <v>21816.0</v>
      </c>
      <c r="J936" s="706">
        <v>17450.0</v>
      </c>
      <c r="K936" s="64"/>
      <c r="CE936" s="460"/>
    </row>
    <row r="937">
      <c r="A937" s="690"/>
      <c r="B937" s="712" t="s">
        <v>495</v>
      </c>
      <c r="C937" s="742" t="s">
        <v>416</v>
      </c>
      <c r="D937" s="714" t="s">
        <v>527</v>
      </c>
      <c r="E937" s="715">
        <v>2021.0</v>
      </c>
      <c r="F937" s="742" t="s">
        <v>418</v>
      </c>
      <c r="G937" s="742" t="s">
        <v>50</v>
      </c>
      <c r="H937" s="716">
        <v>6677.0</v>
      </c>
      <c r="I937" s="716">
        <v>7435.0</v>
      </c>
      <c r="J937" s="717">
        <v>5947.0</v>
      </c>
      <c r="K937" s="64"/>
      <c r="CE937" s="460"/>
    </row>
    <row r="938">
      <c r="A938" s="690"/>
      <c r="B938" s="701" t="s">
        <v>495</v>
      </c>
      <c r="C938" s="743" t="s">
        <v>416</v>
      </c>
      <c r="D938" s="703" t="s">
        <v>529</v>
      </c>
      <c r="E938" s="704">
        <v>2021.0</v>
      </c>
      <c r="F938" s="743" t="s">
        <v>418</v>
      </c>
      <c r="G938" s="743" t="s">
        <v>50</v>
      </c>
      <c r="H938" s="705">
        <v>1661.0</v>
      </c>
      <c r="I938" s="705">
        <v>1850.0</v>
      </c>
      <c r="J938" s="706">
        <v>1480.0</v>
      </c>
      <c r="K938" s="64"/>
      <c r="CE938" s="460"/>
    </row>
    <row r="939">
      <c r="A939" s="690"/>
      <c r="B939" s="712" t="s">
        <v>495</v>
      </c>
      <c r="C939" s="742" t="s">
        <v>416</v>
      </c>
      <c r="D939" s="714" t="s">
        <v>443</v>
      </c>
      <c r="E939" s="715">
        <v>2021.0</v>
      </c>
      <c r="F939" s="742" t="s">
        <v>418</v>
      </c>
      <c r="G939" s="742" t="s">
        <v>50</v>
      </c>
      <c r="H939" s="716">
        <v>1.3429751E7</v>
      </c>
      <c r="I939" s="716">
        <v>1.4955043E7</v>
      </c>
      <c r="J939" s="717">
        <v>1.1962021E7</v>
      </c>
      <c r="K939" s="64"/>
      <c r="CE939" s="460"/>
    </row>
    <row r="940">
      <c r="A940" s="690"/>
      <c r="B940" s="701" t="s">
        <v>498</v>
      </c>
      <c r="C940" s="743" t="s">
        <v>416</v>
      </c>
      <c r="D940" s="703" t="s">
        <v>417</v>
      </c>
      <c r="E940" s="704">
        <v>2021.0</v>
      </c>
      <c r="F940" s="743" t="s">
        <v>418</v>
      </c>
      <c r="G940" s="743" t="s">
        <v>50</v>
      </c>
      <c r="H940" s="705">
        <v>69112.0</v>
      </c>
      <c r="I940" s="705">
        <v>78320.0</v>
      </c>
      <c r="J940" s="706">
        <v>59616.0</v>
      </c>
      <c r="K940" s="64"/>
      <c r="CE940" s="460"/>
    </row>
    <row r="941">
      <c r="A941" s="690"/>
      <c r="B941" s="712" t="s">
        <v>498</v>
      </c>
      <c r="C941" s="742" t="s">
        <v>416</v>
      </c>
      <c r="D941" s="714" t="s">
        <v>431</v>
      </c>
      <c r="E941" s="715">
        <v>2021.0</v>
      </c>
      <c r="F941" s="742" t="s">
        <v>418</v>
      </c>
      <c r="G941" s="742" t="s">
        <v>50</v>
      </c>
      <c r="H941" s="716">
        <v>1118524.0</v>
      </c>
      <c r="I941" s="716">
        <v>1267555.0</v>
      </c>
      <c r="J941" s="717">
        <v>964845.0</v>
      </c>
      <c r="K941" s="64"/>
      <c r="CE941" s="460"/>
    </row>
    <row r="942">
      <c r="A942" s="690"/>
      <c r="B942" s="701" t="s">
        <v>498</v>
      </c>
      <c r="C942" s="743" t="s">
        <v>416</v>
      </c>
      <c r="D942" s="703" t="s">
        <v>438</v>
      </c>
      <c r="E942" s="704">
        <v>2021.0</v>
      </c>
      <c r="F942" s="743" t="s">
        <v>418</v>
      </c>
      <c r="G942" s="743" t="s">
        <v>50</v>
      </c>
      <c r="H942" s="705">
        <v>5390.0</v>
      </c>
      <c r="I942" s="705">
        <v>6108.0</v>
      </c>
      <c r="J942" s="706">
        <v>4650.0</v>
      </c>
      <c r="K942" s="64"/>
      <c r="CE942" s="460"/>
    </row>
    <row r="943">
      <c r="A943" s="690"/>
      <c r="B943" s="712" t="s">
        <v>498</v>
      </c>
      <c r="C943" s="742" t="s">
        <v>416</v>
      </c>
      <c r="D943" s="714" t="s">
        <v>421</v>
      </c>
      <c r="E943" s="715">
        <v>2021.0</v>
      </c>
      <c r="F943" s="742" t="s">
        <v>418</v>
      </c>
      <c r="G943" s="742" t="s">
        <v>50</v>
      </c>
      <c r="H943" s="716">
        <v>332655.0</v>
      </c>
      <c r="I943" s="716">
        <v>376978.0</v>
      </c>
      <c r="J943" s="717">
        <v>286950.0</v>
      </c>
      <c r="K943" s="64"/>
      <c r="CE943" s="460"/>
    </row>
    <row r="944">
      <c r="A944" s="690"/>
      <c r="B944" s="701" t="s">
        <v>498</v>
      </c>
      <c r="C944" s="743" t="s">
        <v>416</v>
      </c>
      <c r="D944" s="703" t="s">
        <v>447</v>
      </c>
      <c r="E944" s="704">
        <v>2021.0</v>
      </c>
      <c r="F944" s="743" t="s">
        <v>418</v>
      </c>
      <c r="G944" s="743" t="s">
        <v>50</v>
      </c>
      <c r="H944" s="705">
        <v>898148.0</v>
      </c>
      <c r="I944" s="705">
        <v>1017816.0</v>
      </c>
      <c r="J944" s="706">
        <v>774747.0</v>
      </c>
      <c r="K944" s="64"/>
      <c r="CE944" s="460"/>
    </row>
    <row r="945">
      <c r="A945" s="690"/>
      <c r="B945" s="712" t="s">
        <v>498</v>
      </c>
      <c r="C945" s="742" t="s">
        <v>416</v>
      </c>
      <c r="D945" s="714" t="s">
        <v>432</v>
      </c>
      <c r="E945" s="715">
        <v>2021.0</v>
      </c>
      <c r="F945" s="742" t="s">
        <v>418</v>
      </c>
      <c r="G945" s="742" t="s">
        <v>50</v>
      </c>
      <c r="H945" s="716">
        <v>1363.0</v>
      </c>
      <c r="I945" s="716">
        <v>1544.0</v>
      </c>
      <c r="J945" s="717">
        <v>1175.0</v>
      </c>
      <c r="K945" s="64"/>
      <c r="CE945" s="460"/>
    </row>
    <row r="946">
      <c r="A946" s="690"/>
      <c r="B946" s="701" t="s">
        <v>498</v>
      </c>
      <c r="C946" s="743" t="s">
        <v>416</v>
      </c>
      <c r="D946" s="703" t="s">
        <v>450</v>
      </c>
      <c r="E946" s="704">
        <v>2021.0</v>
      </c>
      <c r="F946" s="743" t="s">
        <v>418</v>
      </c>
      <c r="G946" s="743" t="s">
        <v>50</v>
      </c>
      <c r="H946" s="705">
        <v>263368.0</v>
      </c>
      <c r="I946" s="705">
        <v>298459.0</v>
      </c>
      <c r="J946" s="706">
        <v>227183.0</v>
      </c>
      <c r="K946" s="64"/>
      <c r="CE946" s="460"/>
    </row>
    <row r="947">
      <c r="A947" s="690"/>
      <c r="B947" s="712" t="s">
        <v>498</v>
      </c>
      <c r="C947" s="742" t="s">
        <v>416</v>
      </c>
      <c r="D947" s="714" t="s">
        <v>453</v>
      </c>
      <c r="E947" s="715">
        <v>2021.0</v>
      </c>
      <c r="F947" s="742" t="s">
        <v>418</v>
      </c>
      <c r="G947" s="742" t="s">
        <v>50</v>
      </c>
      <c r="H947" s="716">
        <v>483745.0</v>
      </c>
      <c r="I947" s="716">
        <v>548199.0</v>
      </c>
      <c r="J947" s="717">
        <v>417281.0</v>
      </c>
      <c r="K947" s="64"/>
      <c r="CE947" s="460"/>
    </row>
    <row r="948">
      <c r="A948" s="690"/>
      <c r="B948" s="701" t="s">
        <v>498</v>
      </c>
      <c r="C948" s="743" t="s">
        <v>416</v>
      </c>
      <c r="D948" s="703" t="s">
        <v>454</v>
      </c>
      <c r="E948" s="704">
        <v>2021.0</v>
      </c>
      <c r="F948" s="743" t="s">
        <v>418</v>
      </c>
      <c r="G948" s="743" t="s">
        <v>50</v>
      </c>
      <c r="H948" s="705">
        <v>672133.0</v>
      </c>
      <c r="I948" s="705">
        <v>761687.0</v>
      </c>
      <c r="J948" s="706">
        <v>579785.0</v>
      </c>
      <c r="K948" s="64"/>
      <c r="CE948" s="460"/>
    </row>
    <row r="949">
      <c r="A949" s="690"/>
      <c r="B949" s="712" t="s">
        <v>498</v>
      </c>
      <c r="C949" s="742" t="s">
        <v>416</v>
      </c>
      <c r="D949" s="714" t="s">
        <v>457</v>
      </c>
      <c r="E949" s="715">
        <v>2021.0</v>
      </c>
      <c r="F949" s="742" t="s">
        <v>418</v>
      </c>
      <c r="G949" s="742" t="s">
        <v>50</v>
      </c>
      <c r="H949" s="716">
        <v>67545.0</v>
      </c>
      <c r="I949" s="716">
        <v>76544.0</v>
      </c>
      <c r="J949" s="717">
        <v>58265.0</v>
      </c>
      <c r="K949" s="64"/>
      <c r="CE949" s="460"/>
    </row>
    <row r="950">
      <c r="A950" s="690"/>
      <c r="B950" s="701" t="s">
        <v>498</v>
      </c>
      <c r="C950" s="743" t="s">
        <v>416</v>
      </c>
      <c r="D950" s="703" t="s">
        <v>460</v>
      </c>
      <c r="E950" s="704">
        <v>2021.0</v>
      </c>
      <c r="F950" s="743" t="s">
        <v>418</v>
      </c>
      <c r="G950" s="743" t="s">
        <v>50</v>
      </c>
      <c r="H950" s="705">
        <v>29479.0</v>
      </c>
      <c r="I950" s="705">
        <v>33406.0</v>
      </c>
      <c r="J950" s="706">
        <v>25428.0</v>
      </c>
      <c r="K950" s="64"/>
      <c r="CE950" s="460"/>
    </row>
    <row r="951">
      <c r="A951" s="690"/>
      <c r="B951" s="712" t="s">
        <v>498</v>
      </c>
      <c r="C951" s="742" t="s">
        <v>416</v>
      </c>
      <c r="D951" s="714" t="s">
        <v>463</v>
      </c>
      <c r="E951" s="715">
        <v>2021.0</v>
      </c>
      <c r="F951" s="742" t="s">
        <v>418</v>
      </c>
      <c r="G951" s="742" t="s">
        <v>50</v>
      </c>
      <c r="H951" s="716">
        <v>220377.0</v>
      </c>
      <c r="I951" s="716">
        <v>249739.0</v>
      </c>
      <c r="J951" s="717">
        <v>190098.0</v>
      </c>
      <c r="K951" s="64"/>
      <c r="CE951" s="460"/>
    </row>
    <row r="952">
      <c r="A952" s="690"/>
      <c r="B952" s="701" t="s">
        <v>498</v>
      </c>
      <c r="C952" s="743" t="s">
        <v>416</v>
      </c>
      <c r="D952" s="703" t="s">
        <v>465</v>
      </c>
      <c r="E952" s="704">
        <v>2021.0</v>
      </c>
      <c r="F952" s="743" t="s">
        <v>418</v>
      </c>
      <c r="G952" s="743" t="s">
        <v>50</v>
      </c>
      <c r="H952" s="705">
        <v>1000159.0</v>
      </c>
      <c r="I952" s="705">
        <v>1133419.0</v>
      </c>
      <c r="J952" s="706">
        <v>862743.0</v>
      </c>
      <c r="K952" s="64"/>
      <c r="CE952" s="460"/>
    </row>
    <row r="953">
      <c r="A953" s="690"/>
      <c r="B953" s="712" t="s">
        <v>498</v>
      </c>
      <c r="C953" s="742" t="s">
        <v>416</v>
      </c>
      <c r="D953" s="714" t="s">
        <v>468</v>
      </c>
      <c r="E953" s="715">
        <v>2021.0</v>
      </c>
      <c r="F953" s="742" t="s">
        <v>418</v>
      </c>
      <c r="G953" s="742" t="s">
        <v>50</v>
      </c>
      <c r="H953" s="716">
        <v>188388.0</v>
      </c>
      <c r="I953" s="716">
        <v>213488.0</v>
      </c>
      <c r="J953" s="717">
        <v>162504.0</v>
      </c>
      <c r="K953" s="64"/>
      <c r="CE953" s="460"/>
    </row>
    <row r="954">
      <c r="A954" s="690"/>
      <c r="B954" s="701" t="s">
        <v>498</v>
      </c>
      <c r="C954" s="743" t="s">
        <v>416</v>
      </c>
      <c r="D954" s="703" t="s">
        <v>471</v>
      </c>
      <c r="E954" s="704">
        <v>2021.0</v>
      </c>
      <c r="F954" s="743" t="s">
        <v>418</v>
      </c>
      <c r="G954" s="743" t="s">
        <v>50</v>
      </c>
      <c r="H954" s="705">
        <v>195999.0</v>
      </c>
      <c r="I954" s="705">
        <v>222113.0</v>
      </c>
      <c r="J954" s="706">
        <v>169070.0</v>
      </c>
      <c r="K954" s="64"/>
      <c r="CE954" s="460"/>
    </row>
    <row r="955">
      <c r="A955" s="690"/>
      <c r="B955" s="712" t="s">
        <v>498</v>
      </c>
      <c r="C955" s="742" t="s">
        <v>416</v>
      </c>
      <c r="D955" s="714" t="s">
        <v>473</v>
      </c>
      <c r="E955" s="715">
        <v>2021.0</v>
      </c>
      <c r="F955" s="742" t="s">
        <v>418</v>
      </c>
      <c r="G955" s="742" t="s">
        <v>50</v>
      </c>
      <c r="H955" s="716">
        <v>756999.0</v>
      </c>
      <c r="I955" s="716">
        <v>857861.0</v>
      </c>
      <c r="J955" s="717">
        <v>652992.0</v>
      </c>
      <c r="K955" s="64"/>
      <c r="CE955" s="460"/>
    </row>
    <row r="956">
      <c r="A956" s="690"/>
      <c r="B956" s="701" t="s">
        <v>498</v>
      </c>
      <c r="C956" s="743" t="s">
        <v>416</v>
      </c>
      <c r="D956" s="703" t="s">
        <v>476</v>
      </c>
      <c r="E956" s="704">
        <v>2021.0</v>
      </c>
      <c r="F956" s="743" t="s">
        <v>418</v>
      </c>
      <c r="G956" s="743" t="s">
        <v>50</v>
      </c>
      <c r="H956" s="705">
        <v>168479.0</v>
      </c>
      <c r="I956" s="705">
        <v>190926.0</v>
      </c>
      <c r="J956" s="706">
        <v>145330.0</v>
      </c>
      <c r="K956" s="64"/>
      <c r="CE956" s="460"/>
    </row>
    <row r="957">
      <c r="A957" s="690"/>
      <c r="B957" s="712" t="s">
        <v>498</v>
      </c>
      <c r="C957" s="742" t="s">
        <v>416</v>
      </c>
      <c r="D957" s="714" t="s">
        <v>479</v>
      </c>
      <c r="E957" s="715">
        <v>2021.0</v>
      </c>
      <c r="F957" s="742" t="s">
        <v>418</v>
      </c>
      <c r="G957" s="742" t="s">
        <v>50</v>
      </c>
      <c r="H957" s="716">
        <v>147253.0</v>
      </c>
      <c r="I957" s="716">
        <v>166872.0</v>
      </c>
      <c r="J957" s="717">
        <v>127021.0</v>
      </c>
      <c r="K957" s="64"/>
      <c r="CE957" s="460"/>
    </row>
    <row r="958">
      <c r="A958" s="690"/>
      <c r="B958" s="701" t="s">
        <v>498</v>
      </c>
      <c r="C958" s="743" t="s">
        <v>416</v>
      </c>
      <c r="D958" s="703" t="s">
        <v>482</v>
      </c>
      <c r="E958" s="704">
        <v>2021.0</v>
      </c>
      <c r="F958" s="743" t="s">
        <v>418</v>
      </c>
      <c r="G958" s="743" t="s">
        <v>50</v>
      </c>
      <c r="H958" s="705">
        <v>119286.0</v>
      </c>
      <c r="I958" s="705">
        <v>135180.0</v>
      </c>
      <c r="J958" s="706">
        <v>102897.0</v>
      </c>
      <c r="K958" s="64"/>
      <c r="CE958" s="460"/>
    </row>
    <row r="959">
      <c r="A959" s="690"/>
      <c r="B959" s="712" t="s">
        <v>498</v>
      </c>
      <c r="C959" s="742" t="s">
        <v>416</v>
      </c>
      <c r="D959" s="714" t="s">
        <v>485</v>
      </c>
      <c r="E959" s="715">
        <v>2021.0</v>
      </c>
      <c r="F959" s="742" t="s">
        <v>418</v>
      </c>
      <c r="G959" s="742" t="s">
        <v>50</v>
      </c>
      <c r="H959" s="716">
        <v>90175.0</v>
      </c>
      <c r="I959" s="716">
        <v>102190.0</v>
      </c>
      <c r="J959" s="717">
        <v>77785.0</v>
      </c>
      <c r="K959" s="64"/>
      <c r="CE959" s="460"/>
    </row>
    <row r="960">
      <c r="A960" s="690"/>
      <c r="B960" s="701" t="s">
        <v>498</v>
      </c>
      <c r="C960" s="743" t="s">
        <v>416</v>
      </c>
      <c r="D960" s="703" t="s">
        <v>488</v>
      </c>
      <c r="E960" s="704">
        <v>2021.0</v>
      </c>
      <c r="F960" s="743" t="s">
        <v>418</v>
      </c>
      <c r="G960" s="743" t="s">
        <v>50</v>
      </c>
      <c r="H960" s="705">
        <v>66203.0</v>
      </c>
      <c r="I960" s="705">
        <v>75023.0</v>
      </c>
      <c r="J960" s="706">
        <v>57107.0</v>
      </c>
      <c r="K960" s="64"/>
      <c r="CE960" s="460"/>
    </row>
    <row r="961">
      <c r="A961" s="690"/>
      <c r="B961" s="712" t="s">
        <v>498</v>
      </c>
      <c r="C961" s="742" t="s">
        <v>416</v>
      </c>
      <c r="D961" s="714" t="s">
        <v>491</v>
      </c>
      <c r="E961" s="715">
        <v>2021.0</v>
      </c>
      <c r="F961" s="742" t="s">
        <v>418</v>
      </c>
      <c r="G961" s="742" t="s">
        <v>50</v>
      </c>
      <c r="H961" s="716">
        <v>50734.0</v>
      </c>
      <c r="I961" s="716">
        <v>57494.0</v>
      </c>
      <c r="J961" s="717">
        <v>43763.0</v>
      </c>
      <c r="K961" s="64"/>
      <c r="CE961" s="460"/>
    </row>
    <row r="962">
      <c r="A962" s="690"/>
      <c r="B962" s="701" t="s">
        <v>498</v>
      </c>
      <c r="C962" s="743" t="s">
        <v>416</v>
      </c>
      <c r="D962" s="703" t="s">
        <v>493</v>
      </c>
      <c r="E962" s="704">
        <v>2021.0</v>
      </c>
      <c r="F962" s="743" t="s">
        <v>418</v>
      </c>
      <c r="G962" s="743" t="s">
        <v>50</v>
      </c>
      <c r="H962" s="705">
        <v>140219.0</v>
      </c>
      <c r="I962" s="705">
        <v>158902.0</v>
      </c>
      <c r="J962" s="706">
        <v>120954.0</v>
      </c>
      <c r="K962" s="64"/>
      <c r="CE962" s="460"/>
    </row>
    <row r="963">
      <c r="A963" s="690"/>
      <c r="B963" s="712" t="s">
        <v>498</v>
      </c>
      <c r="C963" s="742" t="s">
        <v>416</v>
      </c>
      <c r="D963" s="714" t="s">
        <v>434</v>
      </c>
      <c r="E963" s="715">
        <v>2021.0</v>
      </c>
      <c r="F963" s="742" t="s">
        <v>418</v>
      </c>
      <c r="G963" s="742" t="s">
        <v>50</v>
      </c>
      <c r="H963" s="716">
        <v>565492.0</v>
      </c>
      <c r="I963" s="716">
        <v>640838.0</v>
      </c>
      <c r="J963" s="717">
        <v>487797.0</v>
      </c>
      <c r="K963" s="64"/>
      <c r="CE963" s="460"/>
    </row>
    <row r="964">
      <c r="A964" s="690"/>
      <c r="B964" s="701" t="s">
        <v>498</v>
      </c>
      <c r="C964" s="743" t="s">
        <v>416</v>
      </c>
      <c r="D964" s="703" t="s">
        <v>497</v>
      </c>
      <c r="E964" s="704">
        <v>2021.0</v>
      </c>
      <c r="F964" s="743" t="s">
        <v>418</v>
      </c>
      <c r="G964" s="743" t="s">
        <v>50</v>
      </c>
      <c r="H964" s="705">
        <v>38934.0</v>
      </c>
      <c r="I964" s="705">
        <v>44122.0</v>
      </c>
      <c r="J964" s="706">
        <v>33585.0</v>
      </c>
      <c r="K964" s="64"/>
      <c r="CE964" s="460"/>
    </row>
    <row r="965">
      <c r="A965" s="690"/>
      <c r="B965" s="712" t="s">
        <v>498</v>
      </c>
      <c r="C965" s="742" t="s">
        <v>416</v>
      </c>
      <c r="D965" s="714" t="s">
        <v>500</v>
      </c>
      <c r="E965" s="715">
        <v>2021.0</v>
      </c>
      <c r="F965" s="742" t="s">
        <v>418</v>
      </c>
      <c r="G965" s="742" t="s">
        <v>50</v>
      </c>
      <c r="H965" s="716">
        <v>302124.0</v>
      </c>
      <c r="I965" s="716">
        <v>342379.0</v>
      </c>
      <c r="J965" s="717">
        <v>260614.0</v>
      </c>
      <c r="K965" s="64"/>
      <c r="CE965" s="460"/>
    </row>
    <row r="966">
      <c r="A966" s="690"/>
      <c r="B966" s="701" t="s">
        <v>498</v>
      </c>
      <c r="C966" s="743" t="s">
        <v>416</v>
      </c>
      <c r="D966" s="703" t="s">
        <v>502</v>
      </c>
      <c r="E966" s="704">
        <v>2021.0</v>
      </c>
      <c r="F966" s="743" t="s">
        <v>418</v>
      </c>
      <c r="G966" s="743" t="s">
        <v>50</v>
      </c>
      <c r="H966" s="705">
        <v>29545.0</v>
      </c>
      <c r="I966" s="705">
        <v>33481.0</v>
      </c>
      <c r="J966" s="706">
        <v>25485.0</v>
      </c>
      <c r="K966" s="64"/>
      <c r="CE966" s="460"/>
    </row>
    <row r="967">
      <c r="A967" s="690"/>
      <c r="B967" s="712" t="s">
        <v>498</v>
      </c>
      <c r="C967" s="742" t="s">
        <v>416</v>
      </c>
      <c r="D967" s="714" t="s">
        <v>505</v>
      </c>
      <c r="E967" s="715">
        <v>2021.0</v>
      </c>
      <c r="F967" s="742" t="s">
        <v>418</v>
      </c>
      <c r="G967" s="742" t="s">
        <v>50</v>
      </c>
      <c r="H967" s="716">
        <v>34243.0</v>
      </c>
      <c r="I967" s="716">
        <v>38805.0</v>
      </c>
      <c r="J967" s="717">
        <v>29538.0</v>
      </c>
      <c r="K967" s="64"/>
      <c r="CE967" s="460"/>
    </row>
    <row r="968">
      <c r="A968" s="690"/>
      <c r="B968" s="701" t="s">
        <v>498</v>
      </c>
      <c r="C968" s="743" t="s">
        <v>416</v>
      </c>
      <c r="D968" s="703" t="s">
        <v>508</v>
      </c>
      <c r="E968" s="704">
        <v>2021.0</v>
      </c>
      <c r="F968" s="743" t="s">
        <v>418</v>
      </c>
      <c r="G968" s="743" t="s">
        <v>50</v>
      </c>
      <c r="H968" s="705">
        <v>21006.0</v>
      </c>
      <c r="I968" s="705">
        <v>23805.0</v>
      </c>
      <c r="J968" s="706">
        <v>18120.0</v>
      </c>
      <c r="K968" s="64"/>
      <c r="CE968" s="460"/>
    </row>
    <row r="969">
      <c r="A969" s="690"/>
      <c r="B969" s="712" t="s">
        <v>498</v>
      </c>
      <c r="C969" s="742" t="s">
        <v>416</v>
      </c>
      <c r="D969" s="714" t="s">
        <v>511</v>
      </c>
      <c r="E969" s="715">
        <v>2021.0</v>
      </c>
      <c r="F969" s="742" t="s">
        <v>418</v>
      </c>
      <c r="G969" s="742" t="s">
        <v>50</v>
      </c>
      <c r="H969" s="716">
        <v>25385.0</v>
      </c>
      <c r="I969" s="716">
        <v>28767.0</v>
      </c>
      <c r="J969" s="717">
        <v>21897.0</v>
      </c>
      <c r="K969" s="64"/>
      <c r="CE969" s="460"/>
    </row>
    <row r="970">
      <c r="A970" s="690"/>
      <c r="B970" s="701" t="s">
        <v>498</v>
      </c>
      <c r="C970" s="743" t="s">
        <v>416</v>
      </c>
      <c r="D970" s="703" t="s">
        <v>514</v>
      </c>
      <c r="E970" s="704">
        <v>2021.0</v>
      </c>
      <c r="F970" s="743" t="s">
        <v>418</v>
      </c>
      <c r="G970" s="743" t="s">
        <v>50</v>
      </c>
      <c r="H970" s="705">
        <v>13024.0</v>
      </c>
      <c r="I970" s="705">
        <v>14760.0</v>
      </c>
      <c r="J970" s="706">
        <v>11235.0</v>
      </c>
      <c r="K970" s="64"/>
      <c r="CE970" s="460"/>
    </row>
    <row r="971">
      <c r="A971" s="690"/>
      <c r="B971" s="712" t="s">
        <v>498</v>
      </c>
      <c r="C971" s="742" t="s">
        <v>416</v>
      </c>
      <c r="D971" s="714" t="s">
        <v>439</v>
      </c>
      <c r="E971" s="715">
        <v>2021.0</v>
      </c>
      <c r="F971" s="742" t="s">
        <v>418</v>
      </c>
      <c r="G971" s="742" t="s">
        <v>50</v>
      </c>
      <c r="H971" s="716">
        <v>4028.0</v>
      </c>
      <c r="I971" s="716">
        <v>4564.0</v>
      </c>
      <c r="J971" s="717">
        <v>3474.0</v>
      </c>
      <c r="K971" s="64"/>
      <c r="CE971" s="460"/>
    </row>
    <row r="972">
      <c r="A972" s="690"/>
      <c r="B972" s="701" t="s">
        <v>498</v>
      </c>
      <c r="C972" s="743" t="s">
        <v>416</v>
      </c>
      <c r="D972" s="703" t="s">
        <v>517</v>
      </c>
      <c r="E972" s="704">
        <v>2021.0</v>
      </c>
      <c r="F972" s="743" t="s">
        <v>418</v>
      </c>
      <c r="G972" s="743" t="s">
        <v>50</v>
      </c>
      <c r="H972" s="705">
        <v>7585.0</v>
      </c>
      <c r="I972" s="705">
        <v>8596.0</v>
      </c>
      <c r="J972" s="706">
        <v>6543.0</v>
      </c>
      <c r="K972" s="64"/>
      <c r="CE972" s="460"/>
    </row>
    <row r="973">
      <c r="A973" s="690"/>
      <c r="B973" s="712" t="s">
        <v>498</v>
      </c>
      <c r="C973" s="742" t="s">
        <v>416</v>
      </c>
      <c r="D973" s="714" t="s">
        <v>520</v>
      </c>
      <c r="E973" s="715">
        <v>2021.0</v>
      </c>
      <c r="F973" s="742" t="s">
        <v>418</v>
      </c>
      <c r="G973" s="742" t="s">
        <v>50</v>
      </c>
      <c r="H973" s="716">
        <v>4776.0</v>
      </c>
      <c r="I973" s="716">
        <v>5412.0</v>
      </c>
      <c r="J973" s="717">
        <v>4120.0</v>
      </c>
      <c r="K973" s="64"/>
      <c r="CE973" s="460"/>
    </row>
    <row r="974">
      <c r="A974" s="690"/>
      <c r="B974" s="701" t="s">
        <v>498</v>
      </c>
      <c r="C974" s="743" t="s">
        <v>416</v>
      </c>
      <c r="D974" s="703" t="s">
        <v>521</v>
      </c>
      <c r="E974" s="704">
        <v>2021.0</v>
      </c>
      <c r="F974" s="743" t="s">
        <v>418</v>
      </c>
      <c r="G974" s="743" t="s">
        <v>50</v>
      </c>
      <c r="H974" s="705">
        <v>3375.0</v>
      </c>
      <c r="I974" s="705">
        <v>3825.0</v>
      </c>
      <c r="J974" s="706">
        <v>2912.0</v>
      </c>
      <c r="K974" s="64"/>
      <c r="CE974" s="460"/>
    </row>
    <row r="975">
      <c r="A975" s="690"/>
      <c r="B975" s="712" t="s">
        <v>498</v>
      </c>
      <c r="C975" s="742" t="s">
        <v>416</v>
      </c>
      <c r="D975" s="714" t="s">
        <v>524</v>
      </c>
      <c r="E975" s="715">
        <v>2021.0</v>
      </c>
      <c r="F975" s="742" t="s">
        <v>418</v>
      </c>
      <c r="G975" s="742" t="s">
        <v>50</v>
      </c>
      <c r="H975" s="716">
        <v>1102.0</v>
      </c>
      <c r="I975" s="716">
        <v>1249.0</v>
      </c>
      <c r="J975" s="717">
        <v>951.0</v>
      </c>
      <c r="K975" s="64"/>
      <c r="CE975" s="460"/>
    </row>
    <row r="976">
      <c r="A976" s="690"/>
      <c r="B976" s="701" t="s">
        <v>498</v>
      </c>
      <c r="C976" s="743" t="s">
        <v>416</v>
      </c>
      <c r="D976" s="703" t="s">
        <v>527</v>
      </c>
      <c r="E976" s="704">
        <v>2021.0</v>
      </c>
      <c r="F976" s="743" t="s">
        <v>418</v>
      </c>
      <c r="G976" s="743" t="s">
        <v>50</v>
      </c>
      <c r="H976" s="705">
        <v>252.0</v>
      </c>
      <c r="I976" s="705">
        <v>285.0</v>
      </c>
      <c r="J976" s="706">
        <v>217.0</v>
      </c>
      <c r="K976" s="64"/>
      <c r="CE976" s="460"/>
    </row>
    <row r="977">
      <c r="A977" s="690"/>
      <c r="B977" s="712" t="s">
        <v>498</v>
      </c>
      <c r="C977" s="742" t="s">
        <v>416</v>
      </c>
      <c r="D977" s="714" t="s">
        <v>529</v>
      </c>
      <c r="E977" s="715">
        <v>2021.0</v>
      </c>
      <c r="F977" s="742" t="s">
        <v>418</v>
      </c>
      <c r="G977" s="742" t="s">
        <v>50</v>
      </c>
      <c r="H977" s="716">
        <v>46.0</v>
      </c>
      <c r="I977" s="716">
        <v>53.0</v>
      </c>
      <c r="J977" s="717">
        <v>40.0</v>
      </c>
      <c r="K977" s="64"/>
      <c r="CE977" s="460"/>
    </row>
    <row r="978">
      <c r="A978" s="690"/>
      <c r="B978" s="701" t="s">
        <v>498</v>
      </c>
      <c r="C978" s="743" t="s">
        <v>416</v>
      </c>
      <c r="D978" s="703" t="s">
        <v>443</v>
      </c>
      <c r="E978" s="704">
        <v>2021.0</v>
      </c>
      <c r="F978" s="743" t="s">
        <v>418</v>
      </c>
      <c r="G978" s="743" t="s">
        <v>50</v>
      </c>
      <c r="H978" s="705">
        <v>2063911.0</v>
      </c>
      <c r="I978" s="705">
        <v>2338904.0</v>
      </c>
      <c r="J978" s="706">
        <v>1780341.0</v>
      </c>
      <c r="K978" s="64"/>
      <c r="CE978" s="460"/>
    </row>
    <row r="979">
      <c r="A979" s="690"/>
      <c r="B979" s="712" t="s">
        <v>501</v>
      </c>
      <c r="C979" s="742" t="s">
        <v>416</v>
      </c>
      <c r="D979" s="714" t="s">
        <v>417</v>
      </c>
      <c r="E979" s="715">
        <v>2021.0</v>
      </c>
      <c r="F979" s="742" t="s">
        <v>418</v>
      </c>
      <c r="G979" s="742" t="s">
        <v>50</v>
      </c>
      <c r="H979" s="716">
        <v>2.1446905E7</v>
      </c>
      <c r="I979" s="716">
        <v>2.4282446E7</v>
      </c>
      <c r="J979" s="717">
        <v>1.8804822E7</v>
      </c>
      <c r="K979" s="64"/>
      <c r="CE979" s="460"/>
    </row>
    <row r="980">
      <c r="A980" s="690"/>
      <c r="B980" s="701" t="s">
        <v>501</v>
      </c>
      <c r="C980" s="743" t="s">
        <v>416</v>
      </c>
      <c r="D980" s="703" t="s">
        <v>431</v>
      </c>
      <c r="E980" s="704">
        <v>2021.0</v>
      </c>
      <c r="F980" s="743" t="s">
        <v>418</v>
      </c>
      <c r="G980" s="743" t="s">
        <v>50</v>
      </c>
      <c r="H980" s="705">
        <v>5.00572318E8</v>
      </c>
      <c r="I980" s="705">
        <v>5.66754052E8</v>
      </c>
      <c r="J980" s="706">
        <v>4.38905892E8</v>
      </c>
      <c r="K980" s="64"/>
      <c r="CE980" s="460"/>
    </row>
    <row r="981">
      <c r="A981" s="690"/>
      <c r="B981" s="712" t="s">
        <v>501</v>
      </c>
      <c r="C981" s="742" t="s">
        <v>416</v>
      </c>
      <c r="D981" s="714" t="s">
        <v>438</v>
      </c>
      <c r="E981" s="715">
        <v>2021.0</v>
      </c>
      <c r="F981" s="742" t="s">
        <v>418</v>
      </c>
      <c r="G981" s="742" t="s">
        <v>50</v>
      </c>
      <c r="H981" s="716">
        <v>1650952.0</v>
      </c>
      <c r="I981" s="716">
        <v>1869228.0</v>
      </c>
      <c r="J981" s="717">
        <v>1447568.0</v>
      </c>
      <c r="K981" s="64"/>
      <c r="CE981" s="460"/>
    </row>
    <row r="982">
      <c r="A982" s="690"/>
      <c r="B982" s="701" t="s">
        <v>501</v>
      </c>
      <c r="C982" s="743" t="s">
        <v>416</v>
      </c>
      <c r="D982" s="703" t="s">
        <v>421</v>
      </c>
      <c r="E982" s="704">
        <v>2021.0</v>
      </c>
      <c r="F982" s="743" t="s">
        <v>418</v>
      </c>
      <c r="G982" s="743" t="s">
        <v>50</v>
      </c>
      <c r="H982" s="705">
        <v>1.11336282E8</v>
      </c>
      <c r="I982" s="705">
        <v>1.26056289E8</v>
      </c>
      <c r="J982" s="706">
        <v>9.762056E7</v>
      </c>
      <c r="K982" s="64"/>
      <c r="CE982" s="460"/>
    </row>
    <row r="983">
      <c r="A983" s="690"/>
      <c r="B983" s="712" t="s">
        <v>501</v>
      </c>
      <c r="C983" s="742" t="s">
        <v>416</v>
      </c>
      <c r="D983" s="714" t="s">
        <v>447</v>
      </c>
      <c r="E983" s="715">
        <v>2021.0</v>
      </c>
      <c r="F983" s="742" t="s">
        <v>418</v>
      </c>
      <c r="G983" s="742" t="s">
        <v>50</v>
      </c>
      <c r="H983" s="716">
        <v>3.66399067E8</v>
      </c>
      <c r="I983" s="716">
        <v>4.14841469E8</v>
      </c>
      <c r="J983" s="717">
        <v>3.21261691E8</v>
      </c>
      <c r="K983" s="64"/>
      <c r="CE983" s="460"/>
    </row>
    <row r="984">
      <c r="A984" s="690"/>
      <c r="B984" s="701" t="s">
        <v>501</v>
      </c>
      <c r="C984" s="743" t="s">
        <v>416</v>
      </c>
      <c r="D984" s="703" t="s">
        <v>432</v>
      </c>
      <c r="E984" s="704">
        <v>2021.0</v>
      </c>
      <c r="F984" s="743" t="s">
        <v>418</v>
      </c>
      <c r="G984" s="743" t="s">
        <v>50</v>
      </c>
      <c r="H984" s="705">
        <v>415868.0</v>
      </c>
      <c r="I984" s="705">
        <v>470851.0</v>
      </c>
      <c r="J984" s="706">
        <v>364636.0</v>
      </c>
      <c r="K984" s="64"/>
      <c r="CE984" s="460"/>
    </row>
    <row r="985">
      <c r="A985" s="690"/>
      <c r="B985" s="712" t="s">
        <v>501</v>
      </c>
      <c r="C985" s="742" t="s">
        <v>416</v>
      </c>
      <c r="D985" s="714" t="s">
        <v>450</v>
      </c>
      <c r="E985" s="715">
        <v>2021.0</v>
      </c>
      <c r="F985" s="742" t="s">
        <v>418</v>
      </c>
      <c r="G985" s="742" t="s">
        <v>50</v>
      </c>
      <c r="H985" s="716">
        <v>1.32293158E8</v>
      </c>
      <c r="I985" s="716">
        <v>1.49783918E8</v>
      </c>
      <c r="J985" s="717">
        <v>1.1599572E8</v>
      </c>
      <c r="K985" s="64"/>
      <c r="CE985" s="460"/>
    </row>
    <row r="986">
      <c r="A986" s="690"/>
      <c r="B986" s="701" t="s">
        <v>501</v>
      </c>
      <c r="C986" s="743" t="s">
        <v>416</v>
      </c>
      <c r="D986" s="703" t="s">
        <v>453</v>
      </c>
      <c r="E986" s="704">
        <v>2021.0</v>
      </c>
      <c r="F986" s="743" t="s">
        <v>418</v>
      </c>
      <c r="G986" s="743" t="s">
        <v>50</v>
      </c>
      <c r="H986" s="705">
        <v>2.66466409E8</v>
      </c>
      <c r="I986" s="705">
        <v>3.01696502E8</v>
      </c>
      <c r="J986" s="706">
        <v>2.33639921E8</v>
      </c>
      <c r="K986" s="64"/>
      <c r="CE986" s="460"/>
    </row>
    <row r="987">
      <c r="A987" s="690"/>
      <c r="B987" s="712" t="s">
        <v>501</v>
      </c>
      <c r="C987" s="742" t="s">
        <v>416</v>
      </c>
      <c r="D987" s="714" t="s">
        <v>454</v>
      </c>
      <c r="E987" s="715">
        <v>2021.0</v>
      </c>
      <c r="F987" s="742" t="s">
        <v>418</v>
      </c>
      <c r="G987" s="742" t="s">
        <v>50</v>
      </c>
      <c r="H987" s="716">
        <v>3.97829117E8</v>
      </c>
      <c r="I987" s="716">
        <v>4.50426954E8</v>
      </c>
      <c r="J987" s="717">
        <v>3.48819816E8</v>
      </c>
      <c r="K987" s="64"/>
      <c r="CE987" s="460"/>
    </row>
    <row r="988">
      <c r="A988" s="690"/>
      <c r="B988" s="701" t="s">
        <v>501</v>
      </c>
      <c r="C988" s="743" t="s">
        <v>416</v>
      </c>
      <c r="D988" s="703" t="s">
        <v>457</v>
      </c>
      <c r="E988" s="704">
        <v>2021.0</v>
      </c>
      <c r="F988" s="743" t="s">
        <v>418</v>
      </c>
      <c r="G988" s="743" t="s">
        <v>50</v>
      </c>
      <c r="H988" s="705">
        <v>2.1767394E7</v>
      </c>
      <c r="I988" s="705">
        <v>2.4645308E7</v>
      </c>
      <c r="J988" s="706">
        <v>1.9085829E7</v>
      </c>
      <c r="K988" s="64"/>
      <c r="CE988" s="460"/>
    </row>
    <row r="989">
      <c r="A989" s="690"/>
      <c r="B989" s="712" t="s">
        <v>501</v>
      </c>
      <c r="C989" s="742" t="s">
        <v>416</v>
      </c>
      <c r="D989" s="714" t="s">
        <v>460</v>
      </c>
      <c r="E989" s="715">
        <v>2021.0</v>
      </c>
      <c r="F989" s="742" t="s">
        <v>418</v>
      </c>
      <c r="G989" s="742" t="s">
        <v>50</v>
      </c>
      <c r="H989" s="716">
        <v>9100147.0</v>
      </c>
      <c r="I989" s="716">
        <v>1.0303297E7</v>
      </c>
      <c r="J989" s="717">
        <v>7979083.0</v>
      </c>
      <c r="K989" s="64"/>
      <c r="CE989" s="460"/>
    </row>
    <row r="990">
      <c r="A990" s="690"/>
      <c r="B990" s="701" t="s">
        <v>501</v>
      </c>
      <c r="C990" s="743" t="s">
        <v>416</v>
      </c>
      <c r="D990" s="703" t="s">
        <v>463</v>
      </c>
      <c r="E990" s="704">
        <v>2021.0</v>
      </c>
      <c r="F990" s="743" t="s">
        <v>418</v>
      </c>
      <c r="G990" s="743" t="s">
        <v>50</v>
      </c>
      <c r="H990" s="705">
        <v>1.34173251E8</v>
      </c>
      <c r="I990" s="705">
        <v>1.51912583E8</v>
      </c>
      <c r="J990" s="706">
        <v>1.17644202E8</v>
      </c>
      <c r="K990" s="64"/>
      <c r="CE990" s="460"/>
    </row>
    <row r="991">
      <c r="A991" s="690"/>
      <c r="B991" s="712" t="s">
        <v>501</v>
      </c>
      <c r="C991" s="742" t="s">
        <v>416</v>
      </c>
      <c r="D991" s="714" t="s">
        <v>465</v>
      </c>
      <c r="E991" s="715">
        <v>2021.0</v>
      </c>
      <c r="F991" s="742" t="s">
        <v>418</v>
      </c>
      <c r="G991" s="742" t="s">
        <v>50</v>
      </c>
      <c r="H991" s="716">
        <v>7.79674452E8</v>
      </c>
      <c r="I991" s="716">
        <v>8.82756874E8</v>
      </c>
      <c r="J991" s="717">
        <v>6.8362492E8</v>
      </c>
      <c r="K991" s="64"/>
      <c r="CE991" s="460"/>
    </row>
    <row r="992">
      <c r="A992" s="690"/>
      <c r="B992" s="701" t="s">
        <v>501</v>
      </c>
      <c r="C992" s="743" t="s">
        <v>416</v>
      </c>
      <c r="D992" s="703" t="s">
        <v>468</v>
      </c>
      <c r="E992" s="704">
        <v>2021.0</v>
      </c>
      <c r="F992" s="743" t="s">
        <v>418</v>
      </c>
      <c r="G992" s="743" t="s">
        <v>50</v>
      </c>
      <c r="H992" s="705">
        <v>1.31362708E8</v>
      </c>
      <c r="I992" s="705">
        <v>1.48730452E8</v>
      </c>
      <c r="J992" s="706">
        <v>1.15179894E8</v>
      </c>
      <c r="K992" s="64"/>
      <c r="CE992" s="460"/>
    </row>
    <row r="993">
      <c r="A993" s="690"/>
      <c r="B993" s="712" t="s">
        <v>501</v>
      </c>
      <c r="C993" s="742" t="s">
        <v>416</v>
      </c>
      <c r="D993" s="714" t="s">
        <v>471</v>
      </c>
      <c r="E993" s="715">
        <v>2021.0</v>
      </c>
      <c r="F993" s="742" t="s">
        <v>418</v>
      </c>
      <c r="G993" s="742" t="s">
        <v>50</v>
      </c>
      <c r="H993" s="716">
        <v>6.8121982E7</v>
      </c>
      <c r="I993" s="716">
        <v>7.7128535E7</v>
      </c>
      <c r="J993" s="717">
        <v>5.972991E7</v>
      </c>
      <c r="K993" s="64"/>
      <c r="CE993" s="460"/>
    </row>
    <row r="994">
      <c r="A994" s="690"/>
      <c r="B994" s="701" t="s">
        <v>501</v>
      </c>
      <c r="C994" s="743" t="s">
        <v>416</v>
      </c>
      <c r="D994" s="703" t="s">
        <v>473</v>
      </c>
      <c r="E994" s="704">
        <v>2021.0</v>
      </c>
      <c r="F994" s="743" t="s">
        <v>418</v>
      </c>
      <c r="G994" s="743" t="s">
        <v>50</v>
      </c>
      <c r="H994" s="705">
        <v>7.82559948E8</v>
      </c>
      <c r="I994" s="705">
        <v>8.86023869E8</v>
      </c>
      <c r="J994" s="706">
        <v>6.86154947E8</v>
      </c>
      <c r="K994" s="64"/>
      <c r="CE994" s="460"/>
    </row>
    <row r="995">
      <c r="A995" s="690"/>
      <c r="B995" s="712" t="s">
        <v>501</v>
      </c>
      <c r="C995" s="742" t="s">
        <v>416</v>
      </c>
      <c r="D995" s="714" t="s">
        <v>476</v>
      </c>
      <c r="E995" s="715">
        <v>2021.0</v>
      </c>
      <c r="F995" s="742" t="s">
        <v>418</v>
      </c>
      <c r="G995" s="742" t="s">
        <v>50</v>
      </c>
      <c r="H995" s="716">
        <v>1.22744476E8</v>
      </c>
      <c r="I995" s="716">
        <v>1.38972785E8</v>
      </c>
      <c r="J995" s="717">
        <v>1.07623358E8</v>
      </c>
      <c r="K995" s="64"/>
      <c r="CE995" s="460"/>
    </row>
    <row r="996">
      <c r="A996" s="690"/>
      <c r="B996" s="701" t="s">
        <v>501</v>
      </c>
      <c r="C996" s="743" t="s">
        <v>416</v>
      </c>
      <c r="D996" s="703" t="s">
        <v>479</v>
      </c>
      <c r="E996" s="704">
        <v>2021.0</v>
      </c>
      <c r="F996" s="743" t="s">
        <v>418</v>
      </c>
      <c r="G996" s="743" t="s">
        <v>50</v>
      </c>
      <c r="H996" s="705">
        <v>1.14909201E8</v>
      </c>
      <c r="I996" s="705">
        <v>1.30101592E8</v>
      </c>
      <c r="J996" s="706">
        <v>1.00753325E8</v>
      </c>
      <c r="K996" s="64"/>
      <c r="CE996" s="460"/>
    </row>
    <row r="997">
      <c r="A997" s="690"/>
      <c r="B997" s="712" t="s">
        <v>501</v>
      </c>
      <c r="C997" s="742" t="s">
        <v>416</v>
      </c>
      <c r="D997" s="714" t="s">
        <v>482</v>
      </c>
      <c r="E997" s="715">
        <v>2021.0</v>
      </c>
      <c r="F997" s="742" t="s">
        <v>418</v>
      </c>
      <c r="G997" s="742" t="s">
        <v>50</v>
      </c>
      <c r="H997" s="716">
        <v>1.06265044E8</v>
      </c>
      <c r="I997" s="716">
        <v>1.20314573E8</v>
      </c>
      <c r="J997" s="717">
        <v>9.3174058E7</v>
      </c>
      <c r="K997" s="64"/>
      <c r="CE997" s="460"/>
    </row>
    <row r="998">
      <c r="A998" s="690"/>
      <c r="B998" s="701" t="s">
        <v>501</v>
      </c>
      <c r="C998" s="743" t="s">
        <v>416</v>
      </c>
      <c r="D998" s="703" t="s">
        <v>485</v>
      </c>
      <c r="E998" s="704">
        <v>2021.0</v>
      </c>
      <c r="F998" s="743" t="s">
        <v>418</v>
      </c>
      <c r="G998" s="743" t="s">
        <v>50</v>
      </c>
      <c r="H998" s="705">
        <v>9.1366586E7</v>
      </c>
      <c r="I998" s="705">
        <v>1.03446357E8</v>
      </c>
      <c r="J998" s="706">
        <v>8.0110968E7</v>
      </c>
      <c r="K998" s="64"/>
      <c r="CE998" s="460"/>
    </row>
    <row r="999">
      <c r="A999" s="690"/>
      <c r="B999" s="712" t="s">
        <v>501</v>
      </c>
      <c r="C999" s="742" t="s">
        <v>416</v>
      </c>
      <c r="D999" s="714" t="s">
        <v>488</v>
      </c>
      <c r="E999" s="715">
        <v>2021.0</v>
      </c>
      <c r="F999" s="742" t="s">
        <v>418</v>
      </c>
      <c r="G999" s="742" t="s">
        <v>50</v>
      </c>
      <c r="H999" s="716">
        <v>7.8853184E7</v>
      </c>
      <c r="I999" s="716">
        <v>8.9278532E7</v>
      </c>
      <c r="J999" s="717">
        <v>6.9139115E7</v>
      </c>
      <c r="K999" s="64"/>
      <c r="CE999" s="460"/>
    </row>
    <row r="1000">
      <c r="A1000" s="690"/>
      <c r="B1000" s="701" t="s">
        <v>501</v>
      </c>
      <c r="C1000" s="743" t="s">
        <v>416</v>
      </c>
      <c r="D1000" s="703" t="s">
        <v>491</v>
      </c>
      <c r="E1000" s="704">
        <v>2021.0</v>
      </c>
      <c r="F1000" s="743" t="s">
        <v>418</v>
      </c>
      <c r="G1000" s="743" t="s">
        <v>50</v>
      </c>
      <c r="H1000" s="705">
        <v>6.7376088E7</v>
      </c>
      <c r="I1000" s="705">
        <v>7.6284024E7</v>
      </c>
      <c r="J1000" s="706">
        <v>5.9075903E7</v>
      </c>
      <c r="K1000" s="64"/>
      <c r="CE1000" s="460"/>
    </row>
    <row r="1001">
      <c r="A1001" s="690"/>
      <c r="B1001" s="712" t="s">
        <v>501</v>
      </c>
      <c r="C1001" s="742" t="s">
        <v>416</v>
      </c>
      <c r="D1001" s="714" t="s">
        <v>493</v>
      </c>
      <c r="E1001" s="715">
        <v>2021.0</v>
      </c>
      <c r="F1001" s="742" t="s">
        <v>418</v>
      </c>
      <c r="G1001" s="742" t="s">
        <v>50</v>
      </c>
      <c r="H1001" s="716">
        <v>2.08837565E8</v>
      </c>
      <c r="I1001" s="716">
        <v>2.36448425E8</v>
      </c>
      <c r="J1001" s="717">
        <v>1.83110481E8</v>
      </c>
      <c r="K1001" s="64"/>
      <c r="CE1001" s="460"/>
    </row>
    <row r="1002">
      <c r="A1002" s="690"/>
      <c r="B1002" s="701" t="s">
        <v>501</v>
      </c>
      <c r="C1002" s="743" t="s">
        <v>416</v>
      </c>
      <c r="D1002" s="703" t="s">
        <v>434</v>
      </c>
      <c r="E1002" s="704">
        <v>2021.0</v>
      </c>
      <c r="F1002" s="743" t="s">
        <v>418</v>
      </c>
      <c r="G1002" s="743" t="s">
        <v>50</v>
      </c>
      <c r="H1002" s="705">
        <v>2.55062785E8</v>
      </c>
      <c r="I1002" s="705">
        <v>2.8878518E8</v>
      </c>
      <c r="J1002" s="706">
        <v>2.23641131E8</v>
      </c>
      <c r="K1002" s="64"/>
      <c r="CE1002" s="460"/>
    </row>
    <row r="1003">
      <c r="A1003" s="690"/>
      <c r="B1003" s="712" t="s">
        <v>501</v>
      </c>
      <c r="C1003" s="742" t="s">
        <v>416</v>
      </c>
      <c r="D1003" s="714" t="s">
        <v>497</v>
      </c>
      <c r="E1003" s="715">
        <v>2021.0</v>
      </c>
      <c r="F1003" s="742" t="s">
        <v>418</v>
      </c>
      <c r="G1003" s="742" t="s">
        <v>50</v>
      </c>
      <c r="H1003" s="716">
        <v>5.5926645E7</v>
      </c>
      <c r="I1003" s="716">
        <v>6.3320826E7</v>
      </c>
      <c r="J1003" s="717">
        <v>4.9036938E7</v>
      </c>
      <c r="K1003" s="64"/>
      <c r="CE1003" s="460"/>
    </row>
    <row r="1004">
      <c r="A1004" s="690"/>
      <c r="B1004" s="701" t="s">
        <v>501</v>
      </c>
      <c r="C1004" s="743" t="s">
        <v>416</v>
      </c>
      <c r="D1004" s="703" t="s">
        <v>500</v>
      </c>
      <c r="E1004" s="704">
        <v>2021.0</v>
      </c>
      <c r="F1004" s="743" t="s">
        <v>418</v>
      </c>
      <c r="G1004" s="743" t="s">
        <v>50</v>
      </c>
      <c r="H1004" s="705">
        <v>1.22769627E8</v>
      </c>
      <c r="I1004" s="705">
        <v>1.39001261E8</v>
      </c>
      <c r="J1004" s="706">
        <v>1.07645411E8</v>
      </c>
      <c r="K1004" s="64"/>
      <c r="CE1004" s="460"/>
    </row>
    <row r="1005">
      <c r="A1005" s="690"/>
      <c r="B1005" s="712" t="s">
        <v>501</v>
      </c>
      <c r="C1005" s="742" t="s">
        <v>416</v>
      </c>
      <c r="D1005" s="714" t="s">
        <v>502</v>
      </c>
      <c r="E1005" s="715">
        <v>2021.0</v>
      </c>
      <c r="F1005" s="742" t="s">
        <v>418</v>
      </c>
      <c r="G1005" s="742" t="s">
        <v>50</v>
      </c>
      <c r="H1005" s="716">
        <v>4.7627732E7</v>
      </c>
      <c r="I1005" s="716">
        <v>5.3924696E7</v>
      </c>
      <c r="J1005" s="717">
        <v>4.1760384E7</v>
      </c>
      <c r="K1005" s="64"/>
      <c r="CE1005" s="460"/>
    </row>
    <row r="1006">
      <c r="A1006" s="690"/>
      <c r="B1006" s="701" t="s">
        <v>501</v>
      </c>
      <c r="C1006" s="743" t="s">
        <v>416</v>
      </c>
      <c r="D1006" s="703" t="s">
        <v>505</v>
      </c>
      <c r="E1006" s="704">
        <v>2021.0</v>
      </c>
      <c r="F1006" s="743" t="s">
        <v>418</v>
      </c>
      <c r="G1006" s="743" t="s">
        <v>50</v>
      </c>
      <c r="H1006" s="705">
        <v>1.0695806E7</v>
      </c>
      <c r="I1006" s="705">
        <v>1.2109922E7</v>
      </c>
      <c r="J1006" s="706">
        <v>9378170.0</v>
      </c>
      <c r="K1006" s="64"/>
      <c r="CE1006" s="460"/>
    </row>
    <row r="1007">
      <c r="A1007" s="690"/>
      <c r="B1007" s="712" t="s">
        <v>501</v>
      </c>
      <c r="C1007" s="742" t="s">
        <v>416</v>
      </c>
      <c r="D1007" s="714" t="s">
        <v>508</v>
      </c>
      <c r="E1007" s="715">
        <v>2021.0</v>
      </c>
      <c r="F1007" s="742" t="s">
        <v>418</v>
      </c>
      <c r="G1007" s="742" t="s">
        <v>50</v>
      </c>
      <c r="H1007" s="716">
        <v>3.7907101E7</v>
      </c>
      <c r="I1007" s="716">
        <v>4.291888E7</v>
      </c>
      <c r="J1007" s="717">
        <v>3.3237256E7</v>
      </c>
      <c r="K1007" s="64"/>
      <c r="CE1007" s="460"/>
    </row>
    <row r="1008">
      <c r="A1008" s="690"/>
      <c r="B1008" s="701" t="s">
        <v>501</v>
      </c>
      <c r="C1008" s="743" t="s">
        <v>416</v>
      </c>
      <c r="D1008" s="703" t="s">
        <v>511</v>
      </c>
      <c r="E1008" s="704">
        <v>2021.0</v>
      </c>
      <c r="F1008" s="743" t="s">
        <v>418</v>
      </c>
      <c r="G1008" s="743" t="s">
        <v>50</v>
      </c>
      <c r="H1008" s="705">
        <v>5.9583891E7</v>
      </c>
      <c r="I1008" s="705">
        <v>6.7461605E7</v>
      </c>
      <c r="J1008" s="706">
        <v>5.2243642E7</v>
      </c>
      <c r="K1008" s="64"/>
      <c r="CE1008" s="460"/>
    </row>
    <row r="1009">
      <c r="A1009" s="690"/>
      <c r="B1009" s="712" t="s">
        <v>501</v>
      </c>
      <c r="C1009" s="742" t="s">
        <v>416</v>
      </c>
      <c r="D1009" s="714" t="s">
        <v>514</v>
      </c>
      <c r="E1009" s="715">
        <v>2021.0</v>
      </c>
      <c r="F1009" s="742" t="s">
        <v>418</v>
      </c>
      <c r="G1009" s="742" t="s">
        <v>50</v>
      </c>
      <c r="H1009" s="716">
        <v>2.7185877E7</v>
      </c>
      <c r="I1009" s="716">
        <v>3.0780179E7</v>
      </c>
      <c r="J1009" s="717">
        <v>2.3836798E7</v>
      </c>
      <c r="K1009" s="64"/>
      <c r="CE1009" s="460"/>
    </row>
    <row r="1010">
      <c r="A1010" s="690"/>
      <c r="B1010" s="701" t="s">
        <v>501</v>
      </c>
      <c r="C1010" s="743" t="s">
        <v>416</v>
      </c>
      <c r="D1010" s="703" t="s">
        <v>439</v>
      </c>
      <c r="E1010" s="704">
        <v>2021.0</v>
      </c>
      <c r="F1010" s="743" t="s">
        <v>418</v>
      </c>
      <c r="G1010" s="743" t="s">
        <v>50</v>
      </c>
      <c r="H1010" s="705">
        <v>1235084.0</v>
      </c>
      <c r="I1010" s="705">
        <v>1398377.0</v>
      </c>
      <c r="J1010" s="706">
        <v>1082932.0</v>
      </c>
      <c r="K1010" s="64"/>
      <c r="CE1010" s="460"/>
    </row>
    <row r="1011">
      <c r="A1011" s="690"/>
      <c r="B1011" s="712" t="s">
        <v>501</v>
      </c>
      <c r="C1011" s="742" t="s">
        <v>416</v>
      </c>
      <c r="D1011" s="714" t="s">
        <v>517</v>
      </c>
      <c r="E1011" s="715">
        <v>2021.0</v>
      </c>
      <c r="F1011" s="742" t="s">
        <v>418</v>
      </c>
      <c r="G1011" s="742" t="s">
        <v>50</v>
      </c>
      <c r="H1011" s="716">
        <v>1.6938729E7</v>
      </c>
      <c r="I1011" s="716">
        <v>1.9178235E7</v>
      </c>
      <c r="J1011" s="717">
        <v>1.4852016E7</v>
      </c>
      <c r="K1011" s="64"/>
      <c r="CE1011" s="460"/>
    </row>
    <row r="1012">
      <c r="A1012" s="690"/>
      <c r="B1012" s="701" t="s">
        <v>501</v>
      </c>
      <c r="C1012" s="743" t="s">
        <v>416</v>
      </c>
      <c r="D1012" s="703" t="s">
        <v>520</v>
      </c>
      <c r="E1012" s="704">
        <v>2021.0</v>
      </c>
      <c r="F1012" s="743" t="s">
        <v>418</v>
      </c>
      <c r="G1012" s="743" t="s">
        <v>50</v>
      </c>
      <c r="H1012" s="705">
        <v>1.5459286E7</v>
      </c>
      <c r="I1012" s="705">
        <v>1.7503191E7</v>
      </c>
      <c r="J1012" s="706">
        <v>1.3554828E7</v>
      </c>
      <c r="K1012" s="64"/>
      <c r="CE1012" s="460"/>
    </row>
    <row r="1013">
      <c r="A1013" s="690"/>
      <c r="B1013" s="712" t="s">
        <v>501</v>
      </c>
      <c r="C1013" s="742" t="s">
        <v>416</v>
      </c>
      <c r="D1013" s="714" t="s">
        <v>521</v>
      </c>
      <c r="E1013" s="715">
        <v>2021.0</v>
      </c>
      <c r="F1013" s="742" t="s">
        <v>418</v>
      </c>
      <c r="G1013" s="742" t="s">
        <v>50</v>
      </c>
      <c r="H1013" s="716">
        <v>9737677.0</v>
      </c>
      <c r="I1013" s="716">
        <v>1.1025116E7</v>
      </c>
      <c r="J1013" s="717">
        <v>8538075.0</v>
      </c>
      <c r="K1013" s="64"/>
      <c r="CE1013" s="460"/>
    </row>
    <row r="1014">
      <c r="A1014" s="690"/>
      <c r="B1014" s="701" t="s">
        <v>501</v>
      </c>
      <c r="C1014" s="743" t="s">
        <v>416</v>
      </c>
      <c r="D1014" s="703" t="s">
        <v>524</v>
      </c>
      <c r="E1014" s="704">
        <v>2021.0</v>
      </c>
      <c r="F1014" s="743" t="s">
        <v>418</v>
      </c>
      <c r="G1014" s="743" t="s">
        <v>50</v>
      </c>
      <c r="H1014" s="705">
        <v>4190000.0</v>
      </c>
      <c r="I1014" s="705">
        <v>4743969.0</v>
      </c>
      <c r="J1014" s="706">
        <v>3673826.0</v>
      </c>
      <c r="K1014" s="64"/>
      <c r="CE1014" s="460"/>
    </row>
    <row r="1015">
      <c r="A1015" s="690"/>
      <c r="B1015" s="712" t="s">
        <v>501</v>
      </c>
      <c r="C1015" s="742" t="s">
        <v>416</v>
      </c>
      <c r="D1015" s="714" t="s">
        <v>527</v>
      </c>
      <c r="E1015" s="715">
        <v>2021.0</v>
      </c>
      <c r="F1015" s="742" t="s">
        <v>418</v>
      </c>
      <c r="G1015" s="742" t="s">
        <v>50</v>
      </c>
      <c r="H1015" s="716">
        <v>1257423.0</v>
      </c>
      <c r="I1015" s="716">
        <v>1423670.0</v>
      </c>
      <c r="J1015" s="717">
        <v>1102519.0</v>
      </c>
      <c r="K1015" s="64"/>
      <c r="CE1015" s="460"/>
    </row>
    <row r="1016">
      <c r="A1016" s="690"/>
      <c r="B1016" s="701" t="s">
        <v>501</v>
      </c>
      <c r="C1016" s="743" t="s">
        <v>416</v>
      </c>
      <c r="D1016" s="703" t="s">
        <v>529</v>
      </c>
      <c r="E1016" s="704">
        <v>2021.0</v>
      </c>
      <c r="F1016" s="743" t="s">
        <v>418</v>
      </c>
      <c r="G1016" s="743" t="s">
        <v>50</v>
      </c>
      <c r="H1016" s="705">
        <v>274185.0</v>
      </c>
      <c r="I1016" s="705">
        <v>310436.0</v>
      </c>
      <c r="J1016" s="706">
        <v>240408.0</v>
      </c>
      <c r="K1016" s="64"/>
      <c r="CE1016" s="460"/>
    </row>
    <row r="1017">
      <c r="A1017" s="690"/>
      <c r="B1017" s="712" t="s">
        <v>501</v>
      </c>
      <c r="C1017" s="742" t="s">
        <v>416</v>
      </c>
      <c r="D1017" s="714" t="s">
        <v>443</v>
      </c>
      <c r="E1017" s="715">
        <v>2021.0</v>
      </c>
      <c r="F1017" s="742" t="s">
        <v>418</v>
      </c>
      <c r="G1017" s="742" t="s">
        <v>50</v>
      </c>
      <c r="H1017" s="716">
        <v>1.414494975E9</v>
      </c>
      <c r="I1017" s="716">
        <v>1.601508373E9</v>
      </c>
      <c r="J1017" s="717">
        <v>1.240240734E9</v>
      </c>
      <c r="K1017" s="64"/>
      <c r="CE1017" s="460"/>
    </row>
    <row r="1018">
      <c r="A1018" s="690"/>
      <c r="B1018" s="701" t="s">
        <v>503</v>
      </c>
      <c r="C1018" s="743" t="s">
        <v>416</v>
      </c>
      <c r="D1018" s="703" t="s">
        <v>417</v>
      </c>
      <c r="E1018" s="704">
        <v>2021.0</v>
      </c>
      <c r="F1018" s="743" t="s">
        <v>418</v>
      </c>
      <c r="G1018" s="743" t="s">
        <v>50</v>
      </c>
      <c r="H1018" s="705">
        <v>1158301.0</v>
      </c>
      <c r="I1018" s="705">
        <v>1250193.0</v>
      </c>
      <c r="J1018" s="706">
        <v>1069660.0</v>
      </c>
      <c r="K1018" s="64"/>
      <c r="CE1018" s="460"/>
    </row>
    <row r="1019">
      <c r="A1019" s="690"/>
      <c r="B1019" s="712" t="s">
        <v>503</v>
      </c>
      <c r="C1019" s="742" t="s">
        <v>416</v>
      </c>
      <c r="D1019" s="714" t="s">
        <v>431</v>
      </c>
      <c r="E1019" s="715">
        <v>2021.0</v>
      </c>
      <c r="F1019" s="742" t="s">
        <v>418</v>
      </c>
      <c r="G1019" s="742" t="s">
        <v>50</v>
      </c>
      <c r="H1019" s="716">
        <v>2.4600452E7</v>
      </c>
      <c r="I1019" s="716">
        <v>2.6552084E7</v>
      </c>
      <c r="J1019" s="717">
        <v>2.2717847E7</v>
      </c>
      <c r="K1019" s="64"/>
      <c r="CE1019" s="460"/>
    </row>
    <row r="1020">
      <c r="A1020" s="690"/>
      <c r="B1020" s="701" t="s">
        <v>503</v>
      </c>
      <c r="C1020" s="743" t="s">
        <v>416</v>
      </c>
      <c r="D1020" s="703" t="s">
        <v>438</v>
      </c>
      <c r="E1020" s="704">
        <v>2021.0</v>
      </c>
      <c r="F1020" s="743" t="s">
        <v>418</v>
      </c>
      <c r="G1020" s="743" t="s">
        <v>50</v>
      </c>
      <c r="H1020" s="705">
        <v>89216.0</v>
      </c>
      <c r="I1020" s="705">
        <v>96294.0</v>
      </c>
      <c r="J1020" s="706">
        <v>82389.0</v>
      </c>
      <c r="K1020" s="64"/>
      <c r="CE1020" s="460"/>
    </row>
    <row r="1021">
      <c r="A1021" s="690"/>
      <c r="B1021" s="712" t="s">
        <v>503</v>
      </c>
      <c r="C1021" s="742" t="s">
        <v>416</v>
      </c>
      <c r="D1021" s="714" t="s">
        <v>421</v>
      </c>
      <c r="E1021" s="715">
        <v>2021.0</v>
      </c>
      <c r="F1021" s="742" t="s">
        <v>418</v>
      </c>
      <c r="G1021" s="742" t="s">
        <v>50</v>
      </c>
      <c r="H1021" s="716">
        <v>5950184.0</v>
      </c>
      <c r="I1021" s="716">
        <v>6422232.0</v>
      </c>
      <c r="J1021" s="717">
        <v>5494833.0</v>
      </c>
      <c r="K1021" s="64"/>
      <c r="CE1021" s="460"/>
    </row>
    <row r="1022">
      <c r="A1022" s="690"/>
      <c r="B1022" s="701" t="s">
        <v>503</v>
      </c>
      <c r="C1022" s="743" t="s">
        <v>416</v>
      </c>
      <c r="D1022" s="703" t="s">
        <v>447</v>
      </c>
      <c r="E1022" s="704">
        <v>2021.0</v>
      </c>
      <c r="F1022" s="743" t="s">
        <v>418</v>
      </c>
      <c r="G1022" s="743" t="s">
        <v>50</v>
      </c>
      <c r="H1022" s="705">
        <v>1.8665242E7</v>
      </c>
      <c r="I1022" s="705">
        <v>2.0146015E7</v>
      </c>
      <c r="J1022" s="706">
        <v>1.7236842E7</v>
      </c>
      <c r="K1022" s="64"/>
      <c r="CE1022" s="460"/>
    </row>
    <row r="1023">
      <c r="A1023" s="690"/>
      <c r="B1023" s="712" t="s">
        <v>503</v>
      </c>
      <c r="C1023" s="742" t="s">
        <v>416</v>
      </c>
      <c r="D1023" s="714" t="s">
        <v>432</v>
      </c>
      <c r="E1023" s="715">
        <v>2021.0</v>
      </c>
      <c r="F1023" s="742" t="s">
        <v>418</v>
      </c>
      <c r="G1023" s="742" t="s">
        <v>50</v>
      </c>
      <c r="H1023" s="716">
        <v>22447.0</v>
      </c>
      <c r="I1023" s="716">
        <v>24227.0</v>
      </c>
      <c r="J1023" s="717">
        <v>20729.0</v>
      </c>
      <c r="K1023" s="64"/>
      <c r="CE1023" s="460"/>
    </row>
    <row r="1024">
      <c r="A1024" s="690"/>
      <c r="B1024" s="701" t="s">
        <v>503</v>
      </c>
      <c r="C1024" s="743" t="s">
        <v>416</v>
      </c>
      <c r="D1024" s="703" t="s">
        <v>450</v>
      </c>
      <c r="E1024" s="704">
        <v>2021.0</v>
      </c>
      <c r="F1024" s="743" t="s">
        <v>418</v>
      </c>
      <c r="G1024" s="743" t="s">
        <v>50</v>
      </c>
      <c r="H1024" s="705">
        <v>6413146.0</v>
      </c>
      <c r="I1024" s="705">
        <v>6921922.0</v>
      </c>
      <c r="J1024" s="706">
        <v>5922366.0</v>
      </c>
      <c r="K1024" s="64"/>
      <c r="CE1024" s="460"/>
    </row>
    <row r="1025">
      <c r="A1025" s="690"/>
      <c r="B1025" s="712" t="s">
        <v>503</v>
      </c>
      <c r="C1025" s="742" t="s">
        <v>416</v>
      </c>
      <c r="D1025" s="714" t="s">
        <v>453</v>
      </c>
      <c r="E1025" s="715">
        <v>2021.0</v>
      </c>
      <c r="F1025" s="742" t="s">
        <v>418</v>
      </c>
      <c r="G1025" s="742" t="s">
        <v>50</v>
      </c>
      <c r="H1025" s="716">
        <v>1.2348356E7</v>
      </c>
      <c r="I1025" s="716">
        <v>1.3327991E7</v>
      </c>
      <c r="J1025" s="717">
        <v>1.140337E7</v>
      </c>
      <c r="K1025" s="64"/>
      <c r="CE1025" s="460"/>
    </row>
    <row r="1026">
      <c r="A1026" s="690"/>
      <c r="B1026" s="701" t="s">
        <v>503</v>
      </c>
      <c r="C1026" s="743" t="s">
        <v>416</v>
      </c>
      <c r="D1026" s="703" t="s">
        <v>454</v>
      </c>
      <c r="E1026" s="704">
        <v>2021.0</v>
      </c>
      <c r="F1026" s="743" t="s">
        <v>418</v>
      </c>
      <c r="G1026" s="743" t="s">
        <v>50</v>
      </c>
      <c r="H1026" s="705">
        <v>1.7255084E7</v>
      </c>
      <c r="I1026" s="705">
        <v>1.8623985E7</v>
      </c>
      <c r="J1026" s="706">
        <v>1.59346E7</v>
      </c>
      <c r="K1026" s="64"/>
      <c r="CE1026" s="460"/>
    </row>
    <row r="1027">
      <c r="A1027" s="690"/>
      <c r="B1027" s="712" t="s">
        <v>503</v>
      </c>
      <c r="C1027" s="742" t="s">
        <v>416</v>
      </c>
      <c r="D1027" s="714" t="s">
        <v>457</v>
      </c>
      <c r="E1027" s="715">
        <v>2021.0</v>
      </c>
      <c r="F1027" s="742" t="s">
        <v>418</v>
      </c>
      <c r="G1027" s="742" t="s">
        <v>50</v>
      </c>
      <c r="H1027" s="716">
        <v>1171111.0</v>
      </c>
      <c r="I1027" s="716">
        <v>1264019.0</v>
      </c>
      <c r="J1027" s="717">
        <v>1081489.0</v>
      </c>
      <c r="K1027" s="64"/>
      <c r="CE1027" s="460"/>
    </row>
    <row r="1028">
      <c r="A1028" s="690"/>
      <c r="B1028" s="701" t="s">
        <v>503</v>
      </c>
      <c r="C1028" s="743" t="s">
        <v>416</v>
      </c>
      <c r="D1028" s="703" t="s">
        <v>460</v>
      </c>
      <c r="E1028" s="704">
        <v>2021.0</v>
      </c>
      <c r="F1028" s="743" t="s">
        <v>418</v>
      </c>
      <c r="G1028" s="743" t="s">
        <v>50</v>
      </c>
      <c r="H1028" s="705">
        <v>491802.0</v>
      </c>
      <c r="I1028" s="705">
        <v>530818.0</v>
      </c>
      <c r="J1028" s="706">
        <v>454166.0</v>
      </c>
      <c r="K1028" s="64"/>
      <c r="CE1028" s="460"/>
    </row>
    <row r="1029">
      <c r="A1029" s="690"/>
      <c r="B1029" s="712" t="s">
        <v>503</v>
      </c>
      <c r="C1029" s="742" t="s">
        <v>416</v>
      </c>
      <c r="D1029" s="714" t="s">
        <v>463</v>
      </c>
      <c r="E1029" s="715">
        <v>2021.0</v>
      </c>
      <c r="F1029" s="742" t="s">
        <v>418</v>
      </c>
      <c r="G1029" s="742" t="s">
        <v>50</v>
      </c>
      <c r="H1029" s="716">
        <v>5935210.0</v>
      </c>
      <c r="I1029" s="716">
        <v>6406069.0</v>
      </c>
      <c r="J1029" s="717">
        <v>5481005.0</v>
      </c>
      <c r="K1029" s="64"/>
      <c r="CE1029" s="460"/>
    </row>
    <row r="1030">
      <c r="A1030" s="690"/>
      <c r="B1030" s="701" t="s">
        <v>503</v>
      </c>
      <c r="C1030" s="743" t="s">
        <v>416</v>
      </c>
      <c r="D1030" s="703" t="s">
        <v>465</v>
      </c>
      <c r="E1030" s="704">
        <v>2021.0</v>
      </c>
      <c r="F1030" s="743" t="s">
        <v>418</v>
      </c>
      <c r="G1030" s="743" t="s">
        <v>50</v>
      </c>
      <c r="H1030" s="705">
        <v>2.6144385E7</v>
      </c>
      <c r="I1030" s="705">
        <v>2.8218503E7</v>
      </c>
      <c r="J1030" s="706">
        <v>2.4143627E7</v>
      </c>
      <c r="K1030" s="64"/>
      <c r="CE1030" s="460"/>
    </row>
    <row r="1031">
      <c r="A1031" s="690"/>
      <c r="B1031" s="712" t="s">
        <v>503</v>
      </c>
      <c r="C1031" s="742" t="s">
        <v>416</v>
      </c>
      <c r="D1031" s="714" t="s">
        <v>468</v>
      </c>
      <c r="E1031" s="715">
        <v>2021.0</v>
      </c>
      <c r="F1031" s="742" t="s">
        <v>418</v>
      </c>
      <c r="G1031" s="742" t="s">
        <v>50</v>
      </c>
      <c r="H1031" s="716">
        <v>4906728.0</v>
      </c>
      <c r="I1031" s="716">
        <v>5295994.0</v>
      </c>
      <c r="J1031" s="717">
        <v>4531229.0</v>
      </c>
      <c r="K1031" s="64"/>
      <c r="CE1031" s="460"/>
    </row>
    <row r="1032">
      <c r="A1032" s="690"/>
      <c r="B1032" s="701" t="s">
        <v>503</v>
      </c>
      <c r="C1032" s="743" t="s">
        <v>416</v>
      </c>
      <c r="D1032" s="703" t="s">
        <v>471</v>
      </c>
      <c r="E1032" s="704">
        <v>2021.0</v>
      </c>
      <c r="F1032" s="743" t="s">
        <v>418</v>
      </c>
      <c r="G1032" s="743" t="s">
        <v>50</v>
      </c>
      <c r="H1032" s="705">
        <v>3620772.0</v>
      </c>
      <c r="I1032" s="705">
        <v>3908019.0</v>
      </c>
      <c r="J1032" s="706">
        <v>3343684.0</v>
      </c>
      <c r="K1032" s="64"/>
      <c r="CE1032" s="460"/>
    </row>
    <row r="1033">
      <c r="A1033" s="690"/>
      <c r="B1033" s="712" t="s">
        <v>503</v>
      </c>
      <c r="C1033" s="742" t="s">
        <v>416</v>
      </c>
      <c r="D1033" s="714" t="s">
        <v>473</v>
      </c>
      <c r="E1033" s="715">
        <v>2021.0</v>
      </c>
      <c r="F1033" s="742" t="s">
        <v>418</v>
      </c>
      <c r="G1033" s="742" t="s">
        <v>50</v>
      </c>
      <c r="H1033" s="716">
        <v>2.0555216E7</v>
      </c>
      <c r="I1033" s="716">
        <v>2.2185927E7</v>
      </c>
      <c r="J1033" s="717">
        <v>1.8982181E7</v>
      </c>
      <c r="K1033" s="64"/>
      <c r="CE1033" s="460"/>
    </row>
    <row r="1034">
      <c r="A1034" s="690"/>
      <c r="B1034" s="701" t="s">
        <v>503</v>
      </c>
      <c r="C1034" s="743" t="s">
        <v>416</v>
      </c>
      <c r="D1034" s="703" t="s">
        <v>476</v>
      </c>
      <c r="E1034" s="704">
        <v>2021.0</v>
      </c>
      <c r="F1034" s="743" t="s">
        <v>418</v>
      </c>
      <c r="G1034" s="743" t="s">
        <v>50</v>
      </c>
      <c r="H1034" s="705">
        <v>4107986.0</v>
      </c>
      <c r="I1034" s="705">
        <v>4433886.0</v>
      </c>
      <c r="J1034" s="706">
        <v>3793613.0</v>
      </c>
      <c r="K1034" s="64"/>
      <c r="CE1034" s="460"/>
    </row>
    <row r="1035">
      <c r="A1035" s="690"/>
      <c r="B1035" s="712" t="s">
        <v>503</v>
      </c>
      <c r="C1035" s="742" t="s">
        <v>416</v>
      </c>
      <c r="D1035" s="714" t="s">
        <v>479</v>
      </c>
      <c r="E1035" s="715">
        <v>2021.0</v>
      </c>
      <c r="F1035" s="742" t="s">
        <v>418</v>
      </c>
      <c r="G1035" s="742" t="s">
        <v>50</v>
      </c>
      <c r="H1035" s="716">
        <v>3598596.0</v>
      </c>
      <c r="I1035" s="716">
        <v>3884084.0</v>
      </c>
      <c r="J1035" s="717">
        <v>3323205.0</v>
      </c>
      <c r="K1035" s="64"/>
      <c r="CE1035" s="460"/>
    </row>
    <row r="1036">
      <c r="A1036" s="690"/>
      <c r="B1036" s="701" t="s">
        <v>503</v>
      </c>
      <c r="C1036" s="743" t="s">
        <v>416</v>
      </c>
      <c r="D1036" s="703" t="s">
        <v>482</v>
      </c>
      <c r="E1036" s="704">
        <v>2021.0</v>
      </c>
      <c r="F1036" s="743" t="s">
        <v>418</v>
      </c>
      <c r="G1036" s="743" t="s">
        <v>50</v>
      </c>
      <c r="H1036" s="705">
        <v>3103123.0</v>
      </c>
      <c r="I1036" s="705">
        <v>3349304.0</v>
      </c>
      <c r="J1036" s="706">
        <v>2865650.0</v>
      </c>
      <c r="K1036" s="64"/>
      <c r="CE1036" s="460"/>
    </row>
    <row r="1037">
      <c r="A1037" s="690"/>
      <c r="B1037" s="712" t="s">
        <v>503</v>
      </c>
      <c r="C1037" s="742" t="s">
        <v>416</v>
      </c>
      <c r="D1037" s="714" t="s">
        <v>485</v>
      </c>
      <c r="E1037" s="715">
        <v>2021.0</v>
      </c>
      <c r="F1037" s="742" t="s">
        <v>418</v>
      </c>
      <c r="G1037" s="742" t="s">
        <v>50</v>
      </c>
      <c r="H1037" s="716">
        <v>2502526.0</v>
      </c>
      <c r="I1037" s="716">
        <v>2701060.0</v>
      </c>
      <c r="J1037" s="717">
        <v>2311015.0</v>
      </c>
      <c r="K1037" s="64"/>
      <c r="CE1037" s="460"/>
    </row>
    <row r="1038">
      <c r="A1038" s="690"/>
      <c r="B1038" s="701" t="s">
        <v>503</v>
      </c>
      <c r="C1038" s="743" t="s">
        <v>416</v>
      </c>
      <c r="D1038" s="703" t="s">
        <v>488</v>
      </c>
      <c r="E1038" s="704">
        <v>2021.0</v>
      </c>
      <c r="F1038" s="743" t="s">
        <v>418</v>
      </c>
      <c r="G1038" s="743" t="s">
        <v>50</v>
      </c>
      <c r="H1038" s="705">
        <v>1990215.0</v>
      </c>
      <c r="I1038" s="705">
        <v>2148105.0</v>
      </c>
      <c r="J1038" s="706">
        <v>1837909.0</v>
      </c>
      <c r="K1038" s="64"/>
      <c r="CE1038" s="460"/>
    </row>
    <row r="1039">
      <c r="A1039" s="690"/>
      <c r="B1039" s="712" t="s">
        <v>503</v>
      </c>
      <c r="C1039" s="742" t="s">
        <v>416</v>
      </c>
      <c r="D1039" s="714" t="s">
        <v>491</v>
      </c>
      <c r="E1039" s="715">
        <v>2021.0</v>
      </c>
      <c r="F1039" s="742" t="s">
        <v>418</v>
      </c>
      <c r="G1039" s="742" t="s">
        <v>50</v>
      </c>
      <c r="H1039" s="716">
        <v>1511996.0</v>
      </c>
      <c r="I1039" s="716">
        <v>1631948.0</v>
      </c>
      <c r="J1039" s="717">
        <v>1396287.0</v>
      </c>
      <c r="K1039" s="64"/>
      <c r="CE1039" s="460"/>
    </row>
    <row r="1040">
      <c r="A1040" s="690"/>
      <c r="B1040" s="701" t="s">
        <v>503</v>
      </c>
      <c r="C1040" s="743" t="s">
        <v>416</v>
      </c>
      <c r="D1040" s="703" t="s">
        <v>493</v>
      </c>
      <c r="E1040" s="704">
        <v>2021.0</v>
      </c>
      <c r="F1040" s="743" t="s">
        <v>418</v>
      </c>
      <c r="G1040" s="743" t="s">
        <v>50</v>
      </c>
      <c r="H1040" s="705">
        <v>4319670.0</v>
      </c>
      <c r="I1040" s="705">
        <v>4662363.0</v>
      </c>
      <c r="J1040" s="706">
        <v>3989098.0</v>
      </c>
      <c r="K1040" s="64"/>
      <c r="CE1040" s="460"/>
    </row>
    <row r="1041">
      <c r="A1041" s="690"/>
      <c r="B1041" s="712" t="s">
        <v>503</v>
      </c>
      <c r="C1041" s="742" t="s">
        <v>416</v>
      </c>
      <c r="D1041" s="714" t="s">
        <v>434</v>
      </c>
      <c r="E1041" s="715">
        <v>2021.0</v>
      </c>
      <c r="F1041" s="742" t="s">
        <v>418</v>
      </c>
      <c r="G1041" s="742" t="s">
        <v>50</v>
      </c>
      <c r="H1041" s="716">
        <v>1.2715058E7</v>
      </c>
      <c r="I1041" s="716">
        <v>1.3723784E7</v>
      </c>
      <c r="J1041" s="717">
        <v>1.1742009E7</v>
      </c>
      <c r="K1041" s="64"/>
      <c r="CE1041" s="460"/>
    </row>
    <row r="1042">
      <c r="A1042" s="690"/>
      <c r="B1042" s="701" t="s">
        <v>503</v>
      </c>
      <c r="C1042" s="743" t="s">
        <v>416</v>
      </c>
      <c r="D1042" s="703" t="s">
        <v>497</v>
      </c>
      <c r="E1042" s="704">
        <v>2021.0</v>
      </c>
      <c r="F1042" s="743" t="s">
        <v>418</v>
      </c>
      <c r="G1042" s="743" t="s">
        <v>50</v>
      </c>
      <c r="H1042" s="705">
        <v>1151300.0</v>
      </c>
      <c r="I1042" s="705">
        <v>1242637.0</v>
      </c>
      <c r="J1042" s="706">
        <v>1063195.0</v>
      </c>
      <c r="K1042" s="64"/>
      <c r="CE1042" s="460"/>
    </row>
    <row r="1043">
      <c r="A1043" s="690"/>
      <c r="B1043" s="712" t="s">
        <v>503</v>
      </c>
      <c r="C1043" s="742" t="s">
        <v>416</v>
      </c>
      <c r="D1043" s="714" t="s">
        <v>500</v>
      </c>
      <c r="E1043" s="715">
        <v>2021.0</v>
      </c>
      <c r="F1043" s="742" t="s">
        <v>418</v>
      </c>
      <c r="G1043" s="742" t="s">
        <v>50</v>
      </c>
      <c r="H1043" s="716">
        <v>6301911.0</v>
      </c>
      <c r="I1043" s="716">
        <v>6801862.0</v>
      </c>
      <c r="J1043" s="717">
        <v>5819643.0</v>
      </c>
      <c r="K1043" s="64"/>
      <c r="CE1043" s="460"/>
    </row>
    <row r="1044">
      <c r="A1044" s="690"/>
      <c r="B1044" s="701" t="s">
        <v>503</v>
      </c>
      <c r="C1044" s="743" t="s">
        <v>416</v>
      </c>
      <c r="D1044" s="703" t="s">
        <v>502</v>
      </c>
      <c r="E1044" s="704">
        <v>2021.0</v>
      </c>
      <c r="F1044" s="743" t="s">
        <v>418</v>
      </c>
      <c r="G1044" s="743" t="s">
        <v>50</v>
      </c>
      <c r="H1044" s="705">
        <v>934693.0</v>
      </c>
      <c r="I1044" s="705">
        <v>1008845.0</v>
      </c>
      <c r="J1044" s="706">
        <v>863163.0</v>
      </c>
      <c r="K1044" s="64"/>
      <c r="CE1044" s="460"/>
    </row>
    <row r="1045">
      <c r="A1045" s="690"/>
      <c r="B1045" s="712" t="s">
        <v>503</v>
      </c>
      <c r="C1045" s="742" t="s">
        <v>416</v>
      </c>
      <c r="D1045" s="714" t="s">
        <v>505</v>
      </c>
      <c r="E1045" s="715">
        <v>2021.0</v>
      </c>
      <c r="F1045" s="742" t="s">
        <v>418</v>
      </c>
      <c r="G1045" s="742" t="s">
        <v>50</v>
      </c>
      <c r="H1045" s="716">
        <v>577283.0</v>
      </c>
      <c r="I1045" s="716">
        <v>623080.0</v>
      </c>
      <c r="J1045" s="717">
        <v>533105.0</v>
      </c>
      <c r="K1045" s="64"/>
      <c r="CE1045" s="460"/>
    </row>
    <row r="1046">
      <c r="A1046" s="690"/>
      <c r="B1046" s="701" t="s">
        <v>503</v>
      </c>
      <c r="C1046" s="743" t="s">
        <v>416</v>
      </c>
      <c r="D1046" s="703" t="s">
        <v>508</v>
      </c>
      <c r="E1046" s="704">
        <v>2021.0</v>
      </c>
      <c r="F1046" s="743" t="s">
        <v>418</v>
      </c>
      <c r="G1046" s="743" t="s">
        <v>50</v>
      </c>
      <c r="H1046" s="705">
        <v>721681.0</v>
      </c>
      <c r="I1046" s="705">
        <v>778934.0</v>
      </c>
      <c r="J1046" s="706">
        <v>666452.0</v>
      </c>
      <c r="K1046" s="64"/>
      <c r="CE1046" s="460"/>
    </row>
    <row r="1047">
      <c r="A1047" s="690"/>
      <c r="B1047" s="712" t="s">
        <v>503</v>
      </c>
      <c r="C1047" s="742" t="s">
        <v>416</v>
      </c>
      <c r="D1047" s="714" t="s">
        <v>511</v>
      </c>
      <c r="E1047" s="715">
        <v>2021.0</v>
      </c>
      <c r="F1047" s="742" t="s">
        <v>418</v>
      </c>
      <c r="G1047" s="742" t="s">
        <v>50</v>
      </c>
      <c r="H1047" s="716">
        <v>933098.0</v>
      </c>
      <c r="I1047" s="716">
        <v>1007124.0</v>
      </c>
      <c r="J1047" s="717">
        <v>861691.0</v>
      </c>
      <c r="K1047" s="64"/>
      <c r="CE1047" s="460"/>
    </row>
    <row r="1048">
      <c r="A1048" s="690"/>
      <c r="B1048" s="701" t="s">
        <v>503</v>
      </c>
      <c r="C1048" s="743" t="s">
        <v>416</v>
      </c>
      <c r="D1048" s="703" t="s">
        <v>514</v>
      </c>
      <c r="E1048" s="704">
        <v>2021.0</v>
      </c>
      <c r="F1048" s="743" t="s">
        <v>418</v>
      </c>
      <c r="G1048" s="743" t="s">
        <v>50</v>
      </c>
      <c r="H1048" s="705">
        <v>468426.0</v>
      </c>
      <c r="I1048" s="705">
        <v>505588.0</v>
      </c>
      <c r="J1048" s="706">
        <v>432579.0</v>
      </c>
      <c r="K1048" s="64"/>
      <c r="CE1048" s="460"/>
    </row>
    <row r="1049">
      <c r="A1049" s="690"/>
      <c r="B1049" s="712" t="s">
        <v>503</v>
      </c>
      <c r="C1049" s="742" t="s">
        <v>416</v>
      </c>
      <c r="D1049" s="714" t="s">
        <v>439</v>
      </c>
      <c r="E1049" s="715">
        <v>2021.0</v>
      </c>
      <c r="F1049" s="742" t="s">
        <v>418</v>
      </c>
      <c r="G1049" s="742" t="s">
        <v>50</v>
      </c>
      <c r="H1049" s="716">
        <v>66770.0</v>
      </c>
      <c r="I1049" s="716">
        <v>72067.0</v>
      </c>
      <c r="J1049" s="717">
        <v>61660.0</v>
      </c>
      <c r="K1049" s="64"/>
      <c r="CE1049" s="460"/>
    </row>
    <row r="1050">
      <c r="A1050" s="690"/>
      <c r="B1050" s="701" t="s">
        <v>503</v>
      </c>
      <c r="C1050" s="743" t="s">
        <v>416</v>
      </c>
      <c r="D1050" s="703" t="s">
        <v>517</v>
      </c>
      <c r="E1050" s="704">
        <v>2021.0</v>
      </c>
      <c r="F1050" s="743" t="s">
        <v>418</v>
      </c>
      <c r="G1050" s="743" t="s">
        <v>50</v>
      </c>
      <c r="H1050" s="705">
        <v>264205.0</v>
      </c>
      <c r="I1050" s="705">
        <v>285165.0</v>
      </c>
      <c r="J1050" s="706">
        <v>243986.0</v>
      </c>
      <c r="K1050" s="64"/>
      <c r="CE1050" s="460"/>
    </row>
    <row r="1051">
      <c r="A1051" s="690"/>
      <c r="B1051" s="712" t="s">
        <v>503</v>
      </c>
      <c r="C1051" s="742" t="s">
        <v>416</v>
      </c>
      <c r="D1051" s="714" t="s">
        <v>520</v>
      </c>
      <c r="E1051" s="715">
        <v>2021.0</v>
      </c>
      <c r="F1051" s="742" t="s">
        <v>418</v>
      </c>
      <c r="G1051" s="742" t="s">
        <v>50</v>
      </c>
      <c r="H1051" s="716">
        <v>200467.0</v>
      </c>
      <c r="I1051" s="716">
        <v>216371.0</v>
      </c>
      <c r="J1051" s="717">
        <v>185126.0</v>
      </c>
      <c r="K1051" s="64"/>
      <c r="CE1051" s="460"/>
    </row>
    <row r="1052">
      <c r="A1052" s="690"/>
      <c r="B1052" s="701" t="s">
        <v>503</v>
      </c>
      <c r="C1052" s="743" t="s">
        <v>416</v>
      </c>
      <c r="D1052" s="703" t="s">
        <v>521</v>
      </c>
      <c r="E1052" s="704">
        <v>2021.0</v>
      </c>
      <c r="F1052" s="743" t="s">
        <v>418</v>
      </c>
      <c r="G1052" s="743" t="s">
        <v>50</v>
      </c>
      <c r="H1052" s="705">
        <v>128948.0</v>
      </c>
      <c r="I1052" s="705">
        <v>139178.0</v>
      </c>
      <c r="J1052" s="706">
        <v>119080.0</v>
      </c>
      <c r="K1052" s="64"/>
      <c r="CE1052" s="460"/>
    </row>
    <row r="1053">
      <c r="A1053" s="690"/>
      <c r="B1053" s="712" t="s">
        <v>503</v>
      </c>
      <c r="C1053" s="742" t="s">
        <v>416</v>
      </c>
      <c r="D1053" s="714" t="s">
        <v>524</v>
      </c>
      <c r="E1053" s="715">
        <v>2021.0</v>
      </c>
      <c r="F1053" s="742" t="s">
        <v>418</v>
      </c>
      <c r="G1053" s="742" t="s">
        <v>50</v>
      </c>
      <c r="H1053" s="716">
        <v>52638.0</v>
      </c>
      <c r="I1053" s="716">
        <v>56814.0</v>
      </c>
      <c r="J1053" s="717">
        <v>48610.0</v>
      </c>
      <c r="K1053" s="64"/>
      <c r="CE1053" s="460"/>
    </row>
    <row r="1054">
      <c r="A1054" s="690"/>
      <c r="B1054" s="701" t="s">
        <v>503</v>
      </c>
      <c r="C1054" s="743" t="s">
        <v>416</v>
      </c>
      <c r="D1054" s="703" t="s">
        <v>527</v>
      </c>
      <c r="E1054" s="704">
        <v>2021.0</v>
      </c>
      <c r="F1054" s="743" t="s">
        <v>418</v>
      </c>
      <c r="G1054" s="743" t="s">
        <v>50</v>
      </c>
      <c r="H1054" s="705">
        <v>15139.0</v>
      </c>
      <c r="I1054" s="705">
        <v>16340.0</v>
      </c>
      <c r="J1054" s="706">
        <v>13981.0</v>
      </c>
      <c r="K1054" s="64"/>
      <c r="CE1054" s="460"/>
    </row>
    <row r="1055">
      <c r="A1055" s="690"/>
      <c r="B1055" s="712" t="s">
        <v>503</v>
      </c>
      <c r="C1055" s="742" t="s">
        <v>416</v>
      </c>
      <c r="D1055" s="714" t="s">
        <v>529</v>
      </c>
      <c r="E1055" s="715">
        <v>2021.0</v>
      </c>
      <c r="F1055" s="742" t="s">
        <v>418</v>
      </c>
      <c r="G1055" s="742" t="s">
        <v>50</v>
      </c>
      <c r="H1055" s="716">
        <v>3742.0</v>
      </c>
      <c r="I1055" s="716">
        <v>4039.0</v>
      </c>
      <c r="J1055" s="717">
        <v>3455.0</v>
      </c>
      <c r="K1055" s="64"/>
      <c r="CE1055" s="460"/>
    </row>
    <row r="1056">
      <c r="A1056" s="690"/>
      <c r="B1056" s="701" t="s">
        <v>503</v>
      </c>
      <c r="C1056" s="743" t="s">
        <v>416</v>
      </c>
      <c r="D1056" s="703" t="s">
        <v>443</v>
      </c>
      <c r="E1056" s="704">
        <v>2021.0</v>
      </c>
      <c r="F1056" s="743" t="s">
        <v>418</v>
      </c>
      <c r="G1056" s="743" t="s">
        <v>50</v>
      </c>
      <c r="H1056" s="705">
        <v>5.0062396E7</v>
      </c>
      <c r="I1056" s="705">
        <v>5.4034006E7</v>
      </c>
      <c r="J1056" s="706">
        <v>4.6231258E7</v>
      </c>
      <c r="K1056" s="64"/>
      <c r="CE1056" s="460"/>
    </row>
    <row r="1057">
      <c r="A1057" s="690"/>
      <c r="B1057" s="712" t="s">
        <v>506</v>
      </c>
      <c r="C1057" s="742" t="s">
        <v>416</v>
      </c>
      <c r="D1057" s="714" t="s">
        <v>417</v>
      </c>
      <c r="E1057" s="715">
        <v>2021.0</v>
      </c>
      <c r="F1057" s="742" t="s">
        <v>418</v>
      </c>
      <c r="G1057" s="742" t="s">
        <v>50</v>
      </c>
      <c r="H1057" s="716">
        <v>40565.0</v>
      </c>
      <c r="I1057" s="716">
        <v>44742.0</v>
      </c>
      <c r="J1057" s="717">
        <v>36445.0</v>
      </c>
      <c r="K1057" s="64"/>
      <c r="CE1057" s="460"/>
    </row>
    <row r="1058">
      <c r="A1058" s="690"/>
      <c r="B1058" s="701" t="s">
        <v>506</v>
      </c>
      <c r="C1058" s="743" t="s">
        <v>416</v>
      </c>
      <c r="D1058" s="703" t="s">
        <v>431</v>
      </c>
      <c r="E1058" s="704">
        <v>2021.0</v>
      </c>
      <c r="F1058" s="743" t="s">
        <v>418</v>
      </c>
      <c r="G1058" s="743" t="s">
        <v>50</v>
      </c>
      <c r="H1058" s="705">
        <v>838824.0</v>
      </c>
      <c r="I1058" s="705">
        <v>925188.0</v>
      </c>
      <c r="J1058" s="706">
        <v>753619.0</v>
      </c>
      <c r="K1058" s="64"/>
      <c r="CE1058" s="460"/>
    </row>
    <row r="1059">
      <c r="A1059" s="690"/>
      <c r="B1059" s="712" t="s">
        <v>506</v>
      </c>
      <c r="C1059" s="742" t="s">
        <v>416</v>
      </c>
      <c r="D1059" s="714" t="s">
        <v>438</v>
      </c>
      <c r="E1059" s="715">
        <v>2021.0</v>
      </c>
      <c r="F1059" s="742" t="s">
        <v>418</v>
      </c>
      <c r="G1059" s="742" t="s">
        <v>50</v>
      </c>
      <c r="H1059" s="716">
        <v>3174.0</v>
      </c>
      <c r="I1059" s="716">
        <v>3501.0</v>
      </c>
      <c r="J1059" s="717">
        <v>2852.0</v>
      </c>
      <c r="K1059" s="64"/>
      <c r="CE1059" s="460"/>
    </row>
    <row r="1060">
      <c r="A1060" s="690"/>
      <c r="B1060" s="701" t="s">
        <v>506</v>
      </c>
      <c r="C1060" s="743" t="s">
        <v>416</v>
      </c>
      <c r="D1060" s="703" t="s">
        <v>421</v>
      </c>
      <c r="E1060" s="704">
        <v>2021.0</v>
      </c>
      <c r="F1060" s="743" t="s">
        <v>418</v>
      </c>
      <c r="G1060" s="743" t="s">
        <v>50</v>
      </c>
      <c r="H1060" s="705">
        <v>203715.0</v>
      </c>
      <c r="I1060" s="705">
        <v>224689.0</v>
      </c>
      <c r="J1060" s="706">
        <v>183022.0</v>
      </c>
      <c r="K1060" s="64"/>
      <c r="CE1060" s="460"/>
    </row>
    <row r="1061">
      <c r="A1061" s="690"/>
      <c r="B1061" s="712" t="s">
        <v>506</v>
      </c>
      <c r="C1061" s="742" t="s">
        <v>416</v>
      </c>
      <c r="D1061" s="714" t="s">
        <v>447</v>
      </c>
      <c r="E1061" s="715">
        <v>2021.0</v>
      </c>
      <c r="F1061" s="742" t="s">
        <v>418</v>
      </c>
      <c r="G1061" s="742" t="s">
        <v>50</v>
      </c>
      <c r="H1061" s="716">
        <v>630488.0</v>
      </c>
      <c r="I1061" s="716">
        <v>695402.0</v>
      </c>
      <c r="J1061" s="717">
        <v>566445.0</v>
      </c>
      <c r="K1061" s="64"/>
      <c r="CE1061" s="460"/>
    </row>
    <row r="1062">
      <c r="A1062" s="690"/>
      <c r="B1062" s="701" t="s">
        <v>506</v>
      </c>
      <c r="C1062" s="743" t="s">
        <v>416</v>
      </c>
      <c r="D1062" s="703" t="s">
        <v>432</v>
      </c>
      <c r="E1062" s="704">
        <v>2021.0</v>
      </c>
      <c r="F1062" s="743" t="s">
        <v>418</v>
      </c>
      <c r="G1062" s="743" t="s">
        <v>50</v>
      </c>
      <c r="H1062" s="705">
        <v>803.0</v>
      </c>
      <c r="I1062" s="705">
        <v>886.0</v>
      </c>
      <c r="J1062" s="706">
        <v>722.0</v>
      </c>
      <c r="K1062" s="64"/>
      <c r="CE1062" s="460"/>
    </row>
    <row r="1063">
      <c r="A1063" s="690"/>
      <c r="B1063" s="712" t="s">
        <v>506</v>
      </c>
      <c r="C1063" s="742" t="s">
        <v>416</v>
      </c>
      <c r="D1063" s="714" t="s">
        <v>450</v>
      </c>
      <c r="E1063" s="715">
        <v>2021.0</v>
      </c>
      <c r="F1063" s="742" t="s">
        <v>418</v>
      </c>
      <c r="G1063" s="742" t="s">
        <v>50</v>
      </c>
      <c r="H1063" s="716">
        <v>213892.0</v>
      </c>
      <c r="I1063" s="716">
        <v>235914.0</v>
      </c>
      <c r="J1063" s="717">
        <v>192166.0</v>
      </c>
      <c r="K1063" s="64"/>
      <c r="CE1063" s="460"/>
    </row>
    <row r="1064">
      <c r="A1064" s="690"/>
      <c r="B1064" s="701" t="s">
        <v>506</v>
      </c>
      <c r="C1064" s="743" t="s">
        <v>416</v>
      </c>
      <c r="D1064" s="703" t="s">
        <v>453</v>
      </c>
      <c r="E1064" s="704">
        <v>2021.0</v>
      </c>
      <c r="F1064" s="743" t="s">
        <v>418</v>
      </c>
      <c r="G1064" s="743" t="s">
        <v>50</v>
      </c>
      <c r="H1064" s="705">
        <v>422228.0</v>
      </c>
      <c r="I1064" s="705">
        <v>465700.0</v>
      </c>
      <c r="J1064" s="706">
        <v>379339.0</v>
      </c>
      <c r="K1064" s="64"/>
      <c r="CE1064" s="460"/>
    </row>
    <row r="1065">
      <c r="A1065" s="690"/>
      <c r="B1065" s="712" t="s">
        <v>506</v>
      </c>
      <c r="C1065" s="742" t="s">
        <v>416</v>
      </c>
      <c r="D1065" s="714" t="s">
        <v>454</v>
      </c>
      <c r="E1065" s="715">
        <v>2021.0</v>
      </c>
      <c r="F1065" s="742" t="s">
        <v>418</v>
      </c>
      <c r="G1065" s="742" t="s">
        <v>50</v>
      </c>
      <c r="H1065" s="716">
        <v>611969.0</v>
      </c>
      <c r="I1065" s="716">
        <v>674976.0</v>
      </c>
      <c r="J1065" s="717">
        <v>549807.0</v>
      </c>
      <c r="K1065" s="64"/>
      <c r="CE1065" s="460"/>
    </row>
    <row r="1066">
      <c r="A1066" s="690"/>
      <c r="B1066" s="701" t="s">
        <v>506</v>
      </c>
      <c r="C1066" s="743" t="s">
        <v>416</v>
      </c>
      <c r="D1066" s="703" t="s">
        <v>457</v>
      </c>
      <c r="E1066" s="704">
        <v>2021.0</v>
      </c>
      <c r="F1066" s="743" t="s">
        <v>418</v>
      </c>
      <c r="G1066" s="743" t="s">
        <v>50</v>
      </c>
      <c r="H1066" s="705">
        <v>40315.0</v>
      </c>
      <c r="I1066" s="705">
        <v>44466.0</v>
      </c>
      <c r="J1066" s="706">
        <v>36220.0</v>
      </c>
      <c r="K1066" s="64"/>
      <c r="CE1066" s="460"/>
    </row>
    <row r="1067">
      <c r="A1067" s="690"/>
      <c r="B1067" s="712" t="s">
        <v>506</v>
      </c>
      <c r="C1067" s="742" t="s">
        <v>416</v>
      </c>
      <c r="D1067" s="714" t="s">
        <v>460</v>
      </c>
      <c r="E1067" s="715">
        <v>2021.0</v>
      </c>
      <c r="F1067" s="742" t="s">
        <v>418</v>
      </c>
      <c r="G1067" s="742" t="s">
        <v>50</v>
      </c>
      <c r="H1067" s="716">
        <v>17312.0</v>
      </c>
      <c r="I1067" s="716">
        <v>19094.0</v>
      </c>
      <c r="J1067" s="717">
        <v>15553.0</v>
      </c>
      <c r="K1067" s="64"/>
      <c r="CE1067" s="460"/>
    </row>
    <row r="1068">
      <c r="A1068" s="690"/>
      <c r="B1068" s="701" t="s">
        <v>506</v>
      </c>
      <c r="C1068" s="743" t="s">
        <v>416</v>
      </c>
      <c r="D1068" s="703" t="s">
        <v>463</v>
      </c>
      <c r="E1068" s="704">
        <v>2021.0</v>
      </c>
      <c r="F1068" s="743" t="s">
        <v>418</v>
      </c>
      <c r="G1068" s="743" t="s">
        <v>50</v>
      </c>
      <c r="H1068" s="705">
        <v>208336.0</v>
      </c>
      <c r="I1068" s="705">
        <v>229786.0</v>
      </c>
      <c r="J1068" s="706">
        <v>187174.0</v>
      </c>
      <c r="K1068" s="64"/>
      <c r="CE1068" s="460"/>
    </row>
    <row r="1069">
      <c r="A1069" s="690"/>
      <c r="B1069" s="712" t="s">
        <v>506</v>
      </c>
      <c r="C1069" s="742" t="s">
        <v>416</v>
      </c>
      <c r="D1069" s="714" t="s">
        <v>465</v>
      </c>
      <c r="E1069" s="715">
        <v>2021.0</v>
      </c>
      <c r="F1069" s="742" t="s">
        <v>418</v>
      </c>
      <c r="G1069" s="742" t="s">
        <v>50</v>
      </c>
      <c r="H1069" s="716">
        <v>1004327.0</v>
      </c>
      <c r="I1069" s="716">
        <v>1107731.0</v>
      </c>
      <c r="J1069" s="717">
        <v>902310.0</v>
      </c>
      <c r="K1069" s="64"/>
      <c r="CE1069" s="460"/>
    </row>
    <row r="1070">
      <c r="A1070" s="690"/>
      <c r="B1070" s="701" t="s">
        <v>506</v>
      </c>
      <c r="C1070" s="743" t="s">
        <v>416</v>
      </c>
      <c r="D1070" s="703" t="s">
        <v>468</v>
      </c>
      <c r="E1070" s="704">
        <v>2021.0</v>
      </c>
      <c r="F1070" s="743" t="s">
        <v>418</v>
      </c>
      <c r="G1070" s="743" t="s">
        <v>50</v>
      </c>
      <c r="H1070" s="705">
        <v>189741.0</v>
      </c>
      <c r="I1070" s="705">
        <v>209276.0</v>
      </c>
      <c r="J1070" s="706">
        <v>170468.0</v>
      </c>
      <c r="K1070" s="64"/>
      <c r="CE1070" s="460"/>
    </row>
    <row r="1071">
      <c r="A1071" s="690"/>
      <c r="B1071" s="712" t="s">
        <v>506</v>
      </c>
      <c r="C1071" s="742" t="s">
        <v>416</v>
      </c>
      <c r="D1071" s="714" t="s">
        <v>471</v>
      </c>
      <c r="E1071" s="715">
        <v>2021.0</v>
      </c>
      <c r="F1071" s="742" t="s">
        <v>418</v>
      </c>
      <c r="G1071" s="742" t="s">
        <v>50</v>
      </c>
      <c r="H1071" s="716">
        <v>122834.0</v>
      </c>
      <c r="I1071" s="716">
        <v>135481.0</v>
      </c>
      <c r="J1071" s="717">
        <v>110357.0</v>
      </c>
      <c r="K1071" s="64"/>
      <c r="CE1071" s="460"/>
    </row>
    <row r="1072">
      <c r="A1072" s="690"/>
      <c r="B1072" s="701" t="s">
        <v>506</v>
      </c>
      <c r="C1072" s="743" t="s">
        <v>416</v>
      </c>
      <c r="D1072" s="703" t="s">
        <v>473</v>
      </c>
      <c r="E1072" s="704">
        <v>2021.0</v>
      </c>
      <c r="F1072" s="743" t="s">
        <v>418</v>
      </c>
      <c r="G1072" s="743" t="s">
        <v>50</v>
      </c>
      <c r="H1072" s="705">
        <v>845820.0</v>
      </c>
      <c r="I1072" s="705">
        <v>932905.0</v>
      </c>
      <c r="J1072" s="706">
        <v>759905.0</v>
      </c>
      <c r="K1072" s="64"/>
      <c r="CE1072" s="460"/>
    </row>
    <row r="1073">
      <c r="A1073" s="690"/>
      <c r="B1073" s="712" t="s">
        <v>506</v>
      </c>
      <c r="C1073" s="742" t="s">
        <v>416</v>
      </c>
      <c r="D1073" s="714" t="s">
        <v>476</v>
      </c>
      <c r="E1073" s="715">
        <v>2021.0</v>
      </c>
      <c r="F1073" s="742" t="s">
        <v>418</v>
      </c>
      <c r="G1073" s="742" t="s">
        <v>50</v>
      </c>
      <c r="H1073" s="716">
        <v>165975.0</v>
      </c>
      <c r="I1073" s="716">
        <v>183063.0</v>
      </c>
      <c r="J1073" s="717">
        <v>149115.0</v>
      </c>
      <c r="K1073" s="64"/>
      <c r="CE1073" s="460"/>
    </row>
    <row r="1074">
      <c r="A1074" s="690"/>
      <c r="B1074" s="701" t="s">
        <v>506</v>
      </c>
      <c r="C1074" s="743" t="s">
        <v>416</v>
      </c>
      <c r="D1074" s="703" t="s">
        <v>479</v>
      </c>
      <c r="E1074" s="704">
        <v>2021.0</v>
      </c>
      <c r="F1074" s="743" t="s">
        <v>418</v>
      </c>
      <c r="G1074" s="743" t="s">
        <v>50</v>
      </c>
      <c r="H1074" s="705">
        <v>143813.0</v>
      </c>
      <c r="I1074" s="705">
        <v>158619.0</v>
      </c>
      <c r="J1074" s="706">
        <v>129205.0</v>
      </c>
      <c r="K1074" s="64"/>
      <c r="CE1074" s="460"/>
    </row>
    <row r="1075">
      <c r="A1075" s="690"/>
      <c r="B1075" s="712" t="s">
        <v>506</v>
      </c>
      <c r="C1075" s="742" t="s">
        <v>416</v>
      </c>
      <c r="D1075" s="714" t="s">
        <v>482</v>
      </c>
      <c r="E1075" s="715">
        <v>2021.0</v>
      </c>
      <c r="F1075" s="742" t="s">
        <v>418</v>
      </c>
      <c r="G1075" s="742" t="s">
        <v>50</v>
      </c>
      <c r="H1075" s="716">
        <v>123959.0</v>
      </c>
      <c r="I1075" s="716">
        <v>136722.0</v>
      </c>
      <c r="J1075" s="717">
        <v>111368.0</v>
      </c>
      <c r="K1075" s="64"/>
      <c r="CE1075" s="460"/>
    </row>
    <row r="1076">
      <c r="A1076" s="690"/>
      <c r="B1076" s="701" t="s">
        <v>506</v>
      </c>
      <c r="C1076" s="743" t="s">
        <v>416</v>
      </c>
      <c r="D1076" s="703" t="s">
        <v>485</v>
      </c>
      <c r="E1076" s="704">
        <v>2021.0</v>
      </c>
      <c r="F1076" s="743" t="s">
        <v>418</v>
      </c>
      <c r="G1076" s="743" t="s">
        <v>50</v>
      </c>
      <c r="H1076" s="705">
        <v>100138.0</v>
      </c>
      <c r="I1076" s="705">
        <v>110448.0</v>
      </c>
      <c r="J1076" s="706">
        <v>89966.0</v>
      </c>
      <c r="K1076" s="64"/>
      <c r="CE1076" s="460"/>
    </row>
    <row r="1077">
      <c r="A1077" s="690"/>
      <c r="B1077" s="712" t="s">
        <v>506</v>
      </c>
      <c r="C1077" s="742" t="s">
        <v>416</v>
      </c>
      <c r="D1077" s="714" t="s">
        <v>488</v>
      </c>
      <c r="E1077" s="715">
        <v>2021.0</v>
      </c>
      <c r="F1077" s="742" t="s">
        <v>418</v>
      </c>
      <c r="G1077" s="742" t="s">
        <v>50</v>
      </c>
      <c r="H1077" s="716">
        <v>72366.0</v>
      </c>
      <c r="I1077" s="716">
        <v>79817.0</v>
      </c>
      <c r="J1077" s="717">
        <v>65015.0</v>
      </c>
      <c r="K1077" s="64"/>
      <c r="CE1077" s="460"/>
    </row>
    <row r="1078">
      <c r="A1078" s="690"/>
      <c r="B1078" s="701" t="s">
        <v>506</v>
      </c>
      <c r="C1078" s="743" t="s">
        <v>416</v>
      </c>
      <c r="D1078" s="703" t="s">
        <v>491</v>
      </c>
      <c r="E1078" s="704">
        <v>2021.0</v>
      </c>
      <c r="F1078" s="743" t="s">
        <v>418</v>
      </c>
      <c r="G1078" s="743" t="s">
        <v>50</v>
      </c>
      <c r="H1078" s="705">
        <v>59016.0</v>
      </c>
      <c r="I1078" s="705">
        <v>65092.0</v>
      </c>
      <c r="J1078" s="706">
        <v>53021.0</v>
      </c>
      <c r="K1078" s="64"/>
      <c r="CE1078" s="460"/>
    </row>
    <row r="1079">
      <c r="A1079" s="690"/>
      <c r="B1079" s="712" t="s">
        <v>506</v>
      </c>
      <c r="C1079" s="742" t="s">
        <v>416</v>
      </c>
      <c r="D1079" s="714" t="s">
        <v>493</v>
      </c>
      <c r="E1079" s="715">
        <v>2021.0</v>
      </c>
      <c r="F1079" s="742" t="s">
        <v>418</v>
      </c>
      <c r="G1079" s="742" t="s">
        <v>50</v>
      </c>
      <c r="H1079" s="716">
        <v>191492.0</v>
      </c>
      <c r="I1079" s="716">
        <v>211208.0</v>
      </c>
      <c r="J1079" s="717">
        <v>172041.0</v>
      </c>
      <c r="K1079" s="64"/>
      <c r="CE1079" s="460"/>
    </row>
    <row r="1080">
      <c r="A1080" s="690"/>
      <c r="B1080" s="701" t="s">
        <v>506</v>
      </c>
      <c r="C1080" s="743" t="s">
        <v>416</v>
      </c>
      <c r="D1080" s="703" t="s">
        <v>434</v>
      </c>
      <c r="E1080" s="704">
        <v>2021.0</v>
      </c>
      <c r="F1080" s="743" t="s">
        <v>418</v>
      </c>
      <c r="G1080" s="743" t="s">
        <v>50</v>
      </c>
      <c r="H1080" s="705">
        <v>426773.0</v>
      </c>
      <c r="I1080" s="705">
        <v>470713.0</v>
      </c>
      <c r="J1080" s="706">
        <v>383423.0</v>
      </c>
      <c r="K1080" s="64"/>
      <c r="CE1080" s="460"/>
    </row>
    <row r="1081">
      <c r="A1081" s="690"/>
      <c r="B1081" s="712" t="s">
        <v>506</v>
      </c>
      <c r="C1081" s="742" t="s">
        <v>416</v>
      </c>
      <c r="D1081" s="714" t="s">
        <v>497</v>
      </c>
      <c r="E1081" s="715">
        <v>2021.0</v>
      </c>
      <c r="F1081" s="742" t="s">
        <v>418</v>
      </c>
      <c r="G1081" s="742" t="s">
        <v>50</v>
      </c>
      <c r="H1081" s="716">
        <v>52449.0</v>
      </c>
      <c r="I1081" s="716">
        <v>57849.0</v>
      </c>
      <c r="J1081" s="717">
        <v>47122.0</v>
      </c>
      <c r="K1081" s="64"/>
      <c r="CE1081" s="460"/>
    </row>
    <row r="1082">
      <c r="A1082" s="690"/>
      <c r="B1082" s="701" t="s">
        <v>506</v>
      </c>
      <c r="C1082" s="743" t="s">
        <v>416</v>
      </c>
      <c r="D1082" s="703" t="s">
        <v>500</v>
      </c>
      <c r="E1082" s="704">
        <v>2021.0</v>
      </c>
      <c r="F1082" s="743" t="s">
        <v>418</v>
      </c>
      <c r="G1082" s="743" t="s">
        <v>50</v>
      </c>
      <c r="H1082" s="705">
        <v>212881.0</v>
      </c>
      <c r="I1082" s="705">
        <v>234799.0</v>
      </c>
      <c r="J1082" s="706">
        <v>191257.0</v>
      </c>
      <c r="K1082" s="64"/>
      <c r="CE1082" s="460"/>
    </row>
    <row r="1083">
      <c r="A1083" s="690"/>
      <c r="B1083" s="712" t="s">
        <v>506</v>
      </c>
      <c r="C1083" s="742" t="s">
        <v>416</v>
      </c>
      <c r="D1083" s="714" t="s">
        <v>502</v>
      </c>
      <c r="E1083" s="715">
        <v>2021.0</v>
      </c>
      <c r="F1083" s="742" t="s">
        <v>418</v>
      </c>
      <c r="G1083" s="742" t="s">
        <v>50</v>
      </c>
      <c r="H1083" s="716">
        <v>44196.0</v>
      </c>
      <c r="I1083" s="716">
        <v>48747.0</v>
      </c>
      <c r="J1083" s="717">
        <v>39707.0</v>
      </c>
      <c r="K1083" s="64"/>
      <c r="CE1083" s="460"/>
    </row>
    <row r="1084">
      <c r="A1084" s="690"/>
      <c r="B1084" s="701" t="s">
        <v>506</v>
      </c>
      <c r="C1084" s="743" t="s">
        <v>416</v>
      </c>
      <c r="D1084" s="703" t="s">
        <v>505</v>
      </c>
      <c r="E1084" s="704">
        <v>2021.0</v>
      </c>
      <c r="F1084" s="743" t="s">
        <v>418</v>
      </c>
      <c r="G1084" s="743" t="s">
        <v>50</v>
      </c>
      <c r="H1084" s="705">
        <v>20079.0</v>
      </c>
      <c r="I1084" s="705">
        <v>22147.0</v>
      </c>
      <c r="J1084" s="706">
        <v>18040.0</v>
      </c>
      <c r="K1084" s="64"/>
      <c r="CE1084" s="460"/>
    </row>
    <row r="1085">
      <c r="A1085" s="690"/>
      <c r="B1085" s="712" t="s">
        <v>506</v>
      </c>
      <c r="C1085" s="742" t="s">
        <v>416</v>
      </c>
      <c r="D1085" s="714" t="s">
        <v>508</v>
      </c>
      <c r="E1085" s="715">
        <v>2021.0</v>
      </c>
      <c r="F1085" s="742" t="s">
        <v>418</v>
      </c>
      <c r="G1085" s="742" t="s">
        <v>50</v>
      </c>
      <c r="H1085" s="716">
        <v>35831.0</v>
      </c>
      <c r="I1085" s="716">
        <v>39520.0</v>
      </c>
      <c r="J1085" s="717">
        <v>32191.0</v>
      </c>
      <c r="K1085" s="64"/>
      <c r="CE1085" s="460"/>
    </row>
    <row r="1086">
      <c r="A1086" s="690"/>
      <c r="B1086" s="701" t="s">
        <v>506</v>
      </c>
      <c r="C1086" s="743" t="s">
        <v>416</v>
      </c>
      <c r="D1086" s="703" t="s">
        <v>511</v>
      </c>
      <c r="E1086" s="704">
        <v>2021.0</v>
      </c>
      <c r="F1086" s="743" t="s">
        <v>418</v>
      </c>
      <c r="G1086" s="743" t="s">
        <v>50</v>
      </c>
      <c r="H1086" s="705">
        <v>48078.0</v>
      </c>
      <c r="I1086" s="705">
        <v>53028.0</v>
      </c>
      <c r="J1086" s="706">
        <v>43194.0</v>
      </c>
      <c r="K1086" s="64"/>
      <c r="CE1086" s="460"/>
    </row>
    <row r="1087">
      <c r="A1087" s="690"/>
      <c r="B1087" s="712" t="s">
        <v>506</v>
      </c>
      <c r="C1087" s="742" t="s">
        <v>416</v>
      </c>
      <c r="D1087" s="714" t="s">
        <v>514</v>
      </c>
      <c r="E1087" s="715">
        <v>2021.0</v>
      </c>
      <c r="F1087" s="742" t="s">
        <v>418</v>
      </c>
      <c r="G1087" s="742" t="s">
        <v>50</v>
      </c>
      <c r="H1087" s="716">
        <v>26049.0</v>
      </c>
      <c r="I1087" s="716">
        <v>28731.0</v>
      </c>
      <c r="J1087" s="717">
        <v>23403.0</v>
      </c>
      <c r="K1087" s="64"/>
      <c r="CE1087" s="460"/>
    </row>
    <row r="1088">
      <c r="A1088" s="690"/>
      <c r="B1088" s="701" t="s">
        <v>506</v>
      </c>
      <c r="C1088" s="743" t="s">
        <v>416</v>
      </c>
      <c r="D1088" s="703" t="s">
        <v>439</v>
      </c>
      <c r="E1088" s="704">
        <v>2021.0</v>
      </c>
      <c r="F1088" s="743" t="s">
        <v>418</v>
      </c>
      <c r="G1088" s="743" t="s">
        <v>50</v>
      </c>
      <c r="H1088" s="705">
        <v>2371.0</v>
      </c>
      <c r="I1088" s="705">
        <v>2615.0</v>
      </c>
      <c r="J1088" s="706">
        <v>2130.0</v>
      </c>
      <c r="K1088" s="64"/>
      <c r="CE1088" s="460"/>
    </row>
    <row r="1089">
      <c r="A1089" s="690"/>
      <c r="B1089" s="712" t="s">
        <v>506</v>
      </c>
      <c r="C1089" s="742" t="s">
        <v>416</v>
      </c>
      <c r="D1089" s="714" t="s">
        <v>517</v>
      </c>
      <c r="E1089" s="715">
        <v>2021.0</v>
      </c>
      <c r="F1089" s="742" t="s">
        <v>418</v>
      </c>
      <c r="G1089" s="742" t="s">
        <v>50</v>
      </c>
      <c r="H1089" s="716">
        <v>13540.0</v>
      </c>
      <c r="I1089" s="716">
        <v>14934.0</v>
      </c>
      <c r="J1089" s="717">
        <v>12164.0</v>
      </c>
      <c r="K1089" s="64"/>
      <c r="CE1089" s="460"/>
    </row>
    <row r="1090">
      <c r="A1090" s="690"/>
      <c r="B1090" s="701" t="s">
        <v>506</v>
      </c>
      <c r="C1090" s="743" t="s">
        <v>416</v>
      </c>
      <c r="D1090" s="703" t="s">
        <v>520</v>
      </c>
      <c r="E1090" s="704">
        <v>2021.0</v>
      </c>
      <c r="F1090" s="743" t="s">
        <v>418</v>
      </c>
      <c r="G1090" s="743" t="s">
        <v>50</v>
      </c>
      <c r="H1090" s="705">
        <v>8489.0</v>
      </c>
      <c r="I1090" s="705">
        <v>9363.0</v>
      </c>
      <c r="J1090" s="706">
        <v>7627.0</v>
      </c>
      <c r="K1090" s="64"/>
      <c r="CE1090" s="460"/>
    </row>
    <row r="1091">
      <c r="A1091" s="690"/>
      <c r="B1091" s="712" t="s">
        <v>506</v>
      </c>
      <c r="C1091" s="742" t="s">
        <v>416</v>
      </c>
      <c r="D1091" s="714" t="s">
        <v>521</v>
      </c>
      <c r="E1091" s="715">
        <v>2021.0</v>
      </c>
      <c r="F1091" s="742" t="s">
        <v>418</v>
      </c>
      <c r="G1091" s="742" t="s">
        <v>50</v>
      </c>
      <c r="H1091" s="716">
        <v>5955.0</v>
      </c>
      <c r="I1091" s="716">
        <v>6568.0</v>
      </c>
      <c r="J1091" s="717">
        <v>5350.0</v>
      </c>
      <c r="K1091" s="64"/>
      <c r="CE1091" s="460"/>
    </row>
    <row r="1092">
      <c r="A1092" s="690"/>
      <c r="B1092" s="701" t="s">
        <v>506</v>
      </c>
      <c r="C1092" s="743" t="s">
        <v>416</v>
      </c>
      <c r="D1092" s="703" t="s">
        <v>524</v>
      </c>
      <c r="E1092" s="704">
        <v>2021.0</v>
      </c>
      <c r="F1092" s="743" t="s">
        <v>418</v>
      </c>
      <c r="G1092" s="743" t="s">
        <v>50</v>
      </c>
      <c r="H1092" s="705">
        <v>2034.0</v>
      </c>
      <c r="I1092" s="705">
        <v>2243.0</v>
      </c>
      <c r="J1092" s="706">
        <v>1827.0</v>
      </c>
      <c r="K1092" s="64"/>
      <c r="CE1092" s="460"/>
    </row>
    <row r="1093">
      <c r="A1093" s="690"/>
      <c r="B1093" s="712" t="s">
        <v>506</v>
      </c>
      <c r="C1093" s="742" t="s">
        <v>416</v>
      </c>
      <c r="D1093" s="714" t="s">
        <v>527</v>
      </c>
      <c r="E1093" s="715">
        <v>2021.0</v>
      </c>
      <c r="F1093" s="742" t="s">
        <v>418</v>
      </c>
      <c r="G1093" s="742" t="s">
        <v>50</v>
      </c>
      <c r="H1093" s="716">
        <v>423.0</v>
      </c>
      <c r="I1093" s="716">
        <v>467.0</v>
      </c>
      <c r="J1093" s="717">
        <v>380.0</v>
      </c>
      <c r="K1093" s="64"/>
      <c r="CE1093" s="460"/>
    </row>
    <row r="1094">
      <c r="A1094" s="690"/>
      <c r="B1094" s="701" t="s">
        <v>506</v>
      </c>
      <c r="C1094" s="743" t="s">
        <v>416</v>
      </c>
      <c r="D1094" s="703" t="s">
        <v>529</v>
      </c>
      <c r="E1094" s="704">
        <v>2021.0</v>
      </c>
      <c r="F1094" s="743" t="s">
        <v>418</v>
      </c>
      <c r="G1094" s="743" t="s">
        <v>50</v>
      </c>
      <c r="H1094" s="705">
        <v>77.0</v>
      </c>
      <c r="I1094" s="705">
        <v>85.0</v>
      </c>
      <c r="J1094" s="706">
        <v>69.0</v>
      </c>
      <c r="K1094" s="64"/>
      <c r="CE1094" s="460"/>
    </row>
    <row r="1095">
      <c r="A1095" s="690"/>
      <c r="B1095" s="712" t="s">
        <v>506</v>
      </c>
      <c r="C1095" s="742" t="s">
        <v>416</v>
      </c>
      <c r="D1095" s="714" t="s">
        <v>443</v>
      </c>
      <c r="E1095" s="715">
        <v>2021.0</v>
      </c>
      <c r="F1095" s="742" t="s">
        <v>418</v>
      </c>
      <c r="G1095" s="742" t="s">
        <v>50</v>
      </c>
      <c r="H1095" s="716">
        <v>1874385.0</v>
      </c>
      <c r="I1095" s="716">
        <v>2067369.0</v>
      </c>
      <c r="J1095" s="717">
        <v>1683991.0</v>
      </c>
      <c r="K1095" s="64"/>
      <c r="CE1095" s="460"/>
    </row>
    <row r="1096">
      <c r="A1096" s="690"/>
      <c r="B1096" s="701" t="s">
        <v>509</v>
      </c>
      <c r="C1096" s="743" t="s">
        <v>416</v>
      </c>
      <c r="D1096" s="703" t="s">
        <v>417</v>
      </c>
      <c r="E1096" s="704">
        <v>2021.0</v>
      </c>
      <c r="F1096" s="743" t="s">
        <v>418</v>
      </c>
      <c r="G1096" s="743" t="s">
        <v>50</v>
      </c>
      <c r="H1096" s="705">
        <v>157206.0</v>
      </c>
      <c r="I1096" s="705">
        <v>181784.0</v>
      </c>
      <c r="J1096" s="706">
        <v>132648.0</v>
      </c>
      <c r="K1096" s="64"/>
      <c r="CE1096" s="460"/>
    </row>
    <row r="1097">
      <c r="A1097" s="690"/>
      <c r="B1097" s="712" t="s">
        <v>509</v>
      </c>
      <c r="C1097" s="742" t="s">
        <v>416</v>
      </c>
      <c r="D1097" s="714" t="s">
        <v>431</v>
      </c>
      <c r="E1097" s="715">
        <v>2021.0</v>
      </c>
      <c r="F1097" s="742" t="s">
        <v>418</v>
      </c>
      <c r="G1097" s="742" t="s">
        <v>50</v>
      </c>
      <c r="H1097" s="716">
        <v>2790037.0</v>
      </c>
      <c r="I1097" s="716">
        <v>3226227.0</v>
      </c>
      <c r="J1097" s="717">
        <v>2354179.0</v>
      </c>
      <c r="K1097" s="64"/>
      <c r="CE1097" s="460"/>
    </row>
    <row r="1098">
      <c r="A1098" s="690"/>
      <c r="B1098" s="701" t="s">
        <v>509</v>
      </c>
      <c r="C1098" s="743" t="s">
        <v>416</v>
      </c>
      <c r="D1098" s="703" t="s">
        <v>438</v>
      </c>
      <c r="E1098" s="704">
        <v>2021.0</v>
      </c>
      <c r="F1098" s="743" t="s">
        <v>418</v>
      </c>
      <c r="G1098" s="743" t="s">
        <v>50</v>
      </c>
      <c r="H1098" s="705">
        <v>12247.0</v>
      </c>
      <c r="I1098" s="705">
        <v>14161.0</v>
      </c>
      <c r="J1098" s="706">
        <v>10334.0</v>
      </c>
      <c r="K1098" s="64"/>
      <c r="CE1098" s="460"/>
    </row>
    <row r="1099">
      <c r="A1099" s="690"/>
      <c r="B1099" s="712" t="s">
        <v>509</v>
      </c>
      <c r="C1099" s="742" t="s">
        <v>416</v>
      </c>
      <c r="D1099" s="714" t="s">
        <v>421</v>
      </c>
      <c r="E1099" s="715">
        <v>2021.0</v>
      </c>
      <c r="F1099" s="742" t="s">
        <v>418</v>
      </c>
      <c r="G1099" s="742" t="s">
        <v>50</v>
      </c>
      <c r="H1099" s="716">
        <v>766388.0</v>
      </c>
      <c r="I1099" s="716">
        <v>886204.0</v>
      </c>
      <c r="J1099" s="717">
        <v>646663.0</v>
      </c>
      <c r="K1099" s="64"/>
      <c r="CE1099" s="460"/>
    </row>
    <row r="1100">
      <c r="A1100" s="690"/>
      <c r="B1100" s="701" t="s">
        <v>509</v>
      </c>
      <c r="C1100" s="743" t="s">
        <v>416</v>
      </c>
      <c r="D1100" s="703" t="s">
        <v>447</v>
      </c>
      <c r="E1100" s="704">
        <v>2021.0</v>
      </c>
      <c r="F1100" s="743" t="s">
        <v>418</v>
      </c>
      <c r="G1100" s="743" t="s">
        <v>50</v>
      </c>
      <c r="H1100" s="705">
        <v>2185931.0</v>
      </c>
      <c r="I1100" s="705">
        <v>2527676.0</v>
      </c>
      <c r="J1100" s="706">
        <v>1844447.0</v>
      </c>
      <c r="K1100" s="64"/>
      <c r="CE1100" s="460"/>
    </row>
    <row r="1101">
      <c r="A1101" s="690"/>
      <c r="B1101" s="712" t="s">
        <v>509</v>
      </c>
      <c r="C1101" s="742" t="s">
        <v>416</v>
      </c>
      <c r="D1101" s="714" t="s">
        <v>432</v>
      </c>
      <c r="E1101" s="715">
        <v>2021.0</v>
      </c>
      <c r="F1101" s="742" t="s">
        <v>418</v>
      </c>
      <c r="G1101" s="742" t="s">
        <v>50</v>
      </c>
      <c r="H1101" s="716">
        <v>3091.0</v>
      </c>
      <c r="I1101" s="716">
        <v>3575.0</v>
      </c>
      <c r="J1101" s="717">
        <v>2608.0</v>
      </c>
      <c r="K1101" s="64"/>
      <c r="CE1101" s="460"/>
    </row>
    <row r="1102">
      <c r="A1102" s="690"/>
      <c r="B1102" s="701" t="s">
        <v>509</v>
      </c>
      <c r="C1102" s="743" t="s">
        <v>416</v>
      </c>
      <c r="D1102" s="703" t="s">
        <v>450</v>
      </c>
      <c r="E1102" s="704">
        <v>2021.0</v>
      </c>
      <c r="F1102" s="743" t="s">
        <v>418</v>
      </c>
      <c r="G1102" s="743" t="s">
        <v>50</v>
      </c>
      <c r="H1102" s="705">
        <v>693210.0</v>
      </c>
      <c r="I1102" s="705">
        <v>801585.0</v>
      </c>
      <c r="J1102" s="706">
        <v>584917.0</v>
      </c>
      <c r="K1102" s="64"/>
      <c r="CE1102" s="460"/>
    </row>
    <row r="1103">
      <c r="A1103" s="690"/>
      <c r="B1103" s="712" t="s">
        <v>509</v>
      </c>
      <c r="C1103" s="742" t="s">
        <v>416</v>
      </c>
      <c r="D1103" s="714" t="s">
        <v>453</v>
      </c>
      <c r="E1103" s="715">
        <v>2021.0</v>
      </c>
      <c r="F1103" s="742" t="s">
        <v>418</v>
      </c>
      <c r="G1103" s="742" t="s">
        <v>50</v>
      </c>
      <c r="H1103" s="716">
        <v>1297316.0</v>
      </c>
      <c r="I1103" s="716">
        <v>1500136.0</v>
      </c>
      <c r="J1103" s="717">
        <v>1094650.0</v>
      </c>
      <c r="K1103" s="64"/>
      <c r="CE1103" s="460"/>
    </row>
    <row r="1104">
      <c r="A1104" s="690"/>
      <c r="B1104" s="701" t="s">
        <v>509</v>
      </c>
      <c r="C1104" s="743" t="s">
        <v>416</v>
      </c>
      <c r="D1104" s="703" t="s">
        <v>454</v>
      </c>
      <c r="E1104" s="704">
        <v>2021.0</v>
      </c>
      <c r="F1104" s="743" t="s">
        <v>418</v>
      </c>
      <c r="G1104" s="743" t="s">
        <v>50</v>
      </c>
      <c r="H1104" s="705">
        <v>1798376.0</v>
      </c>
      <c r="I1104" s="705">
        <v>2079531.0</v>
      </c>
      <c r="J1104" s="706">
        <v>1517435.0</v>
      </c>
      <c r="K1104" s="64"/>
      <c r="CE1104" s="460"/>
    </row>
    <row r="1105">
      <c r="A1105" s="690"/>
      <c r="B1105" s="712" t="s">
        <v>509</v>
      </c>
      <c r="C1105" s="742" t="s">
        <v>416</v>
      </c>
      <c r="D1105" s="714" t="s">
        <v>457</v>
      </c>
      <c r="E1105" s="715">
        <v>2021.0</v>
      </c>
      <c r="F1105" s="742" t="s">
        <v>418</v>
      </c>
      <c r="G1105" s="742" t="s">
        <v>50</v>
      </c>
      <c r="H1105" s="716">
        <v>154552.0</v>
      </c>
      <c r="I1105" s="716">
        <v>178714.0</v>
      </c>
      <c r="J1105" s="717">
        <v>130408.0</v>
      </c>
      <c r="K1105" s="64"/>
      <c r="CE1105" s="460"/>
    </row>
    <row r="1106">
      <c r="A1106" s="690"/>
      <c r="B1106" s="701" t="s">
        <v>509</v>
      </c>
      <c r="C1106" s="743" t="s">
        <v>416</v>
      </c>
      <c r="D1106" s="703" t="s">
        <v>460</v>
      </c>
      <c r="E1106" s="704">
        <v>2021.0</v>
      </c>
      <c r="F1106" s="743" t="s">
        <v>418</v>
      </c>
      <c r="G1106" s="743" t="s">
        <v>50</v>
      </c>
      <c r="H1106" s="705">
        <v>67036.0</v>
      </c>
      <c r="I1106" s="705">
        <v>77516.0</v>
      </c>
      <c r="J1106" s="706">
        <v>56563.0</v>
      </c>
      <c r="K1106" s="64"/>
      <c r="CE1106" s="460"/>
    </row>
    <row r="1107">
      <c r="A1107" s="690"/>
      <c r="B1107" s="712" t="s">
        <v>509</v>
      </c>
      <c r="C1107" s="742" t="s">
        <v>416</v>
      </c>
      <c r="D1107" s="714" t="s">
        <v>463</v>
      </c>
      <c r="E1107" s="715">
        <v>2021.0</v>
      </c>
      <c r="F1107" s="742" t="s">
        <v>418</v>
      </c>
      <c r="G1107" s="742" t="s">
        <v>50</v>
      </c>
      <c r="H1107" s="716">
        <v>604106.0</v>
      </c>
      <c r="I1107" s="716">
        <v>698551.0</v>
      </c>
      <c r="J1107" s="717">
        <v>509733.0</v>
      </c>
      <c r="K1107" s="64"/>
      <c r="CE1107" s="460"/>
    </row>
    <row r="1108">
      <c r="A1108" s="690"/>
      <c r="B1108" s="701" t="s">
        <v>509</v>
      </c>
      <c r="C1108" s="743" t="s">
        <v>416</v>
      </c>
      <c r="D1108" s="703" t="s">
        <v>465</v>
      </c>
      <c r="E1108" s="704">
        <v>2021.0</v>
      </c>
      <c r="F1108" s="743" t="s">
        <v>418</v>
      </c>
      <c r="G1108" s="743" t="s">
        <v>50</v>
      </c>
      <c r="H1108" s="705">
        <v>2803708.0</v>
      </c>
      <c r="I1108" s="705">
        <v>3242036.0</v>
      </c>
      <c r="J1108" s="706">
        <v>2365715.0</v>
      </c>
      <c r="K1108" s="64"/>
      <c r="CE1108" s="460"/>
    </row>
    <row r="1109">
      <c r="A1109" s="690"/>
      <c r="B1109" s="712" t="s">
        <v>509</v>
      </c>
      <c r="C1109" s="742" t="s">
        <v>416</v>
      </c>
      <c r="D1109" s="714" t="s">
        <v>468</v>
      </c>
      <c r="E1109" s="715">
        <v>2021.0</v>
      </c>
      <c r="F1109" s="742" t="s">
        <v>418</v>
      </c>
      <c r="G1109" s="742" t="s">
        <v>50</v>
      </c>
      <c r="H1109" s="716">
        <v>501061.0</v>
      </c>
      <c r="I1109" s="716">
        <v>579396.0</v>
      </c>
      <c r="J1109" s="717">
        <v>422785.0</v>
      </c>
      <c r="K1109" s="64"/>
      <c r="CE1109" s="460"/>
    </row>
    <row r="1110">
      <c r="A1110" s="690"/>
      <c r="B1110" s="701" t="s">
        <v>509</v>
      </c>
      <c r="C1110" s="743" t="s">
        <v>416</v>
      </c>
      <c r="D1110" s="703" t="s">
        <v>471</v>
      </c>
      <c r="E1110" s="704">
        <v>2021.0</v>
      </c>
      <c r="F1110" s="743" t="s">
        <v>418</v>
      </c>
      <c r="G1110" s="743" t="s">
        <v>50</v>
      </c>
      <c r="H1110" s="705">
        <v>454630.0</v>
      </c>
      <c r="I1110" s="705">
        <v>525706.0</v>
      </c>
      <c r="J1110" s="706">
        <v>383608.0</v>
      </c>
      <c r="K1110" s="64"/>
      <c r="CE1110" s="460"/>
    </row>
    <row r="1111">
      <c r="A1111" s="690"/>
      <c r="B1111" s="712" t="s">
        <v>509</v>
      </c>
      <c r="C1111" s="742" t="s">
        <v>416</v>
      </c>
      <c r="D1111" s="714" t="s">
        <v>473</v>
      </c>
      <c r="E1111" s="715">
        <v>2021.0</v>
      </c>
      <c r="F1111" s="742" t="s">
        <v>418</v>
      </c>
      <c r="G1111" s="742" t="s">
        <v>50</v>
      </c>
      <c r="H1111" s="716">
        <v>2168384.0</v>
      </c>
      <c r="I1111" s="716">
        <v>2507385.0</v>
      </c>
      <c r="J1111" s="717">
        <v>1829640.0</v>
      </c>
      <c r="K1111" s="64"/>
      <c r="CE1111" s="460"/>
    </row>
    <row r="1112">
      <c r="A1112" s="690"/>
      <c r="B1112" s="701" t="s">
        <v>509</v>
      </c>
      <c r="C1112" s="743" t="s">
        <v>416</v>
      </c>
      <c r="D1112" s="703" t="s">
        <v>476</v>
      </c>
      <c r="E1112" s="704">
        <v>2021.0</v>
      </c>
      <c r="F1112" s="743" t="s">
        <v>418</v>
      </c>
      <c r="G1112" s="743" t="s">
        <v>50</v>
      </c>
      <c r="H1112" s="705">
        <v>424210.0</v>
      </c>
      <c r="I1112" s="705">
        <v>490530.0</v>
      </c>
      <c r="J1112" s="706">
        <v>357940.0</v>
      </c>
      <c r="K1112" s="64"/>
      <c r="CE1112" s="460"/>
    </row>
    <row r="1113">
      <c r="A1113" s="690"/>
      <c r="B1113" s="712" t="s">
        <v>509</v>
      </c>
      <c r="C1113" s="742" t="s">
        <v>416</v>
      </c>
      <c r="D1113" s="714" t="s">
        <v>479</v>
      </c>
      <c r="E1113" s="715">
        <v>2021.0</v>
      </c>
      <c r="F1113" s="742" t="s">
        <v>418</v>
      </c>
      <c r="G1113" s="742" t="s">
        <v>50</v>
      </c>
      <c r="H1113" s="716">
        <v>361100.0</v>
      </c>
      <c r="I1113" s="716">
        <v>417553.0</v>
      </c>
      <c r="J1113" s="717">
        <v>304689.0</v>
      </c>
      <c r="K1113" s="64"/>
      <c r="CE1113" s="460"/>
    </row>
    <row r="1114">
      <c r="A1114" s="690"/>
      <c r="B1114" s="701" t="s">
        <v>509</v>
      </c>
      <c r="C1114" s="743" t="s">
        <v>416</v>
      </c>
      <c r="D1114" s="703" t="s">
        <v>482</v>
      </c>
      <c r="E1114" s="704">
        <v>2021.0</v>
      </c>
      <c r="F1114" s="743" t="s">
        <v>418</v>
      </c>
      <c r="G1114" s="743" t="s">
        <v>50</v>
      </c>
      <c r="H1114" s="705">
        <v>354716.0</v>
      </c>
      <c r="I1114" s="705">
        <v>410172.0</v>
      </c>
      <c r="J1114" s="706">
        <v>299303.0</v>
      </c>
      <c r="K1114" s="64"/>
      <c r="CE1114" s="460"/>
    </row>
    <row r="1115">
      <c r="A1115" s="690"/>
      <c r="B1115" s="712" t="s">
        <v>509</v>
      </c>
      <c r="C1115" s="742" t="s">
        <v>416</v>
      </c>
      <c r="D1115" s="714" t="s">
        <v>485</v>
      </c>
      <c r="E1115" s="715">
        <v>2021.0</v>
      </c>
      <c r="F1115" s="742" t="s">
        <v>418</v>
      </c>
      <c r="G1115" s="742" t="s">
        <v>50</v>
      </c>
      <c r="H1115" s="716">
        <v>309536.0</v>
      </c>
      <c r="I1115" s="716">
        <v>357929.0</v>
      </c>
      <c r="J1115" s="717">
        <v>261181.0</v>
      </c>
      <c r="K1115" s="64"/>
      <c r="CE1115" s="460"/>
    </row>
    <row r="1116">
      <c r="A1116" s="690"/>
      <c r="B1116" s="701" t="s">
        <v>509</v>
      </c>
      <c r="C1116" s="743" t="s">
        <v>416</v>
      </c>
      <c r="D1116" s="703" t="s">
        <v>488</v>
      </c>
      <c r="E1116" s="704">
        <v>2021.0</v>
      </c>
      <c r="F1116" s="743" t="s">
        <v>418</v>
      </c>
      <c r="G1116" s="743" t="s">
        <v>50</v>
      </c>
      <c r="H1116" s="705">
        <v>248980.0</v>
      </c>
      <c r="I1116" s="705">
        <v>287905.0</v>
      </c>
      <c r="J1116" s="706">
        <v>210085.0</v>
      </c>
      <c r="K1116" s="64"/>
      <c r="CE1116" s="460"/>
    </row>
    <row r="1117">
      <c r="A1117" s="690"/>
      <c r="B1117" s="712" t="s">
        <v>509</v>
      </c>
      <c r="C1117" s="742" t="s">
        <v>416</v>
      </c>
      <c r="D1117" s="714" t="s">
        <v>491</v>
      </c>
      <c r="E1117" s="715">
        <v>2021.0</v>
      </c>
      <c r="F1117" s="742" t="s">
        <v>418</v>
      </c>
      <c r="G1117" s="742" t="s">
        <v>50</v>
      </c>
      <c r="H1117" s="716">
        <v>139720.0</v>
      </c>
      <c r="I1117" s="716">
        <v>161564.0</v>
      </c>
      <c r="J1117" s="717">
        <v>117893.0</v>
      </c>
      <c r="K1117" s="64"/>
      <c r="CE1117" s="460"/>
    </row>
    <row r="1118">
      <c r="A1118" s="690"/>
      <c r="B1118" s="701" t="s">
        <v>509</v>
      </c>
      <c r="C1118" s="743" t="s">
        <v>416</v>
      </c>
      <c r="D1118" s="703" t="s">
        <v>493</v>
      </c>
      <c r="E1118" s="704">
        <v>2021.0</v>
      </c>
      <c r="F1118" s="743" t="s">
        <v>418</v>
      </c>
      <c r="G1118" s="743" t="s">
        <v>50</v>
      </c>
      <c r="H1118" s="705">
        <v>390092.0</v>
      </c>
      <c r="I1118" s="705">
        <v>451079.0</v>
      </c>
      <c r="J1118" s="706">
        <v>329152.0</v>
      </c>
      <c r="K1118" s="64"/>
      <c r="CE1118" s="460"/>
    </row>
    <row r="1119">
      <c r="A1119" s="690"/>
      <c r="B1119" s="712" t="s">
        <v>509</v>
      </c>
      <c r="C1119" s="742" t="s">
        <v>416</v>
      </c>
      <c r="D1119" s="714" t="s">
        <v>434</v>
      </c>
      <c r="E1119" s="715">
        <v>2021.0</v>
      </c>
      <c r="F1119" s="742" t="s">
        <v>418</v>
      </c>
      <c r="G1119" s="742" t="s">
        <v>50</v>
      </c>
      <c r="H1119" s="716">
        <v>1419543.0</v>
      </c>
      <c r="I1119" s="716">
        <v>1641472.0</v>
      </c>
      <c r="J1119" s="717">
        <v>1197783.0</v>
      </c>
      <c r="K1119" s="64"/>
      <c r="CE1119" s="460"/>
    </row>
    <row r="1120">
      <c r="A1120" s="690"/>
      <c r="B1120" s="701" t="s">
        <v>509</v>
      </c>
      <c r="C1120" s="743" t="s">
        <v>416</v>
      </c>
      <c r="D1120" s="703" t="s">
        <v>497</v>
      </c>
      <c r="E1120" s="704">
        <v>2021.0</v>
      </c>
      <c r="F1120" s="743" t="s">
        <v>418</v>
      </c>
      <c r="G1120" s="743" t="s">
        <v>50</v>
      </c>
      <c r="H1120" s="705">
        <v>114263.0</v>
      </c>
      <c r="I1120" s="705">
        <v>132127.0</v>
      </c>
      <c r="J1120" s="706">
        <v>96413.0</v>
      </c>
      <c r="K1120" s="64"/>
      <c r="CE1120" s="460"/>
    </row>
    <row r="1121">
      <c r="A1121" s="690"/>
      <c r="B1121" s="712" t="s">
        <v>509</v>
      </c>
      <c r="C1121" s="742" t="s">
        <v>416</v>
      </c>
      <c r="D1121" s="714" t="s">
        <v>500</v>
      </c>
      <c r="E1121" s="715">
        <v>2021.0</v>
      </c>
      <c r="F1121" s="742" t="s">
        <v>418</v>
      </c>
      <c r="G1121" s="742" t="s">
        <v>50</v>
      </c>
      <c r="H1121" s="716">
        <v>726333.0</v>
      </c>
      <c r="I1121" s="716">
        <v>839887.0</v>
      </c>
      <c r="J1121" s="717">
        <v>612866.0</v>
      </c>
      <c r="K1121" s="64"/>
      <c r="CE1121" s="460"/>
    </row>
    <row r="1122">
      <c r="A1122" s="690"/>
      <c r="B1122" s="701" t="s">
        <v>509</v>
      </c>
      <c r="C1122" s="743" t="s">
        <v>416</v>
      </c>
      <c r="D1122" s="703" t="s">
        <v>502</v>
      </c>
      <c r="E1122" s="704">
        <v>2021.0</v>
      </c>
      <c r="F1122" s="743" t="s">
        <v>418</v>
      </c>
      <c r="G1122" s="743" t="s">
        <v>50</v>
      </c>
      <c r="H1122" s="705">
        <v>77537.0</v>
      </c>
      <c r="I1122" s="705">
        <v>89660.0</v>
      </c>
      <c r="J1122" s="706">
        <v>65425.0</v>
      </c>
      <c r="K1122" s="64"/>
      <c r="CE1122" s="460"/>
    </row>
    <row r="1123">
      <c r="A1123" s="690"/>
      <c r="B1123" s="712" t="s">
        <v>509</v>
      </c>
      <c r="C1123" s="742" t="s">
        <v>416</v>
      </c>
      <c r="D1123" s="714" t="s">
        <v>505</v>
      </c>
      <c r="E1123" s="715">
        <v>2021.0</v>
      </c>
      <c r="F1123" s="742" t="s">
        <v>418</v>
      </c>
      <c r="G1123" s="742" t="s">
        <v>50</v>
      </c>
      <c r="H1123" s="716">
        <v>77924.0</v>
      </c>
      <c r="I1123" s="716">
        <v>90106.0</v>
      </c>
      <c r="J1123" s="717">
        <v>65751.0</v>
      </c>
      <c r="K1123" s="64"/>
      <c r="CE1123" s="460"/>
    </row>
    <row r="1124">
      <c r="A1124" s="690"/>
      <c r="B1124" s="701" t="s">
        <v>509</v>
      </c>
      <c r="C1124" s="743" t="s">
        <v>416</v>
      </c>
      <c r="D1124" s="703" t="s">
        <v>508</v>
      </c>
      <c r="E1124" s="704">
        <v>2021.0</v>
      </c>
      <c r="F1124" s="743" t="s">
        <v>418</v>
      </c>
      <c r="G1124" s="743" t="s">
        <v>50</v>
      </c>
      <c r="H1124" s="705">
        <v>58572.0</v>
      </c>
      <c r="I1124" s="705">
        <v>67729.0</v>
      </c>
      <c r="J1124" s="706">
        <v>49422.0</v>
      </c>
      <c r="K1124" s="64"/>
      <c r="CE1124" s="460"/>
    </row>
    <row r="1125">
      <c r="A1125" s="690"/>
      <c r="B1125" s="712" t="s">
        <v>509</v>
      </c>
      <c r="C1125" s="742" t="s">
        <v>416</v>
      </c>
      <c r="D1125" s="714" t="s">
        <v>511</v>
      </c>
      <c r="E1125" s="715">
        <v>2021.0</v>
      </c>
      <c r="F1125" s="742" t="s">
        <v>418</v>
      </c>
      <c r="G1125" s="742" t="s">
        <v>50</v>
      </c>
      <c r="H1125" s="716">
        <v>79749.0</v>
      </c>
      <c r="I1125" s="716">
        <v>92217.0</v>
      </c>
      <c r="J1125" s="717">
        <v>67291.0</v>
      </c>
      <c r="K1125" s="64"/>
      <c r="CE1125" s="460"/>
    </row>
    <row r="1126">
      <c r="A1126" s="690"/>
      <c r="B1126" s="701" t="s">
        <v>509</v>
      </c>
      <c r="C1126" s="743" t="s">
        <v>416</v>
      </c>
      <c r="D1126" s="703" t="s">
        <v>514</v>
      </c>
      <c r="E1126" s="704">
        <v>2021.0</v>
      </c>
      <c r="F1126" s="743" t="s">
        <v>418</v>
      </c>
      <c r="G1126" s="743" t="s">
        <v>50</v>
      </c>
      <c r="H1126" s="705">
        <v>35205.0</v>
      </c>
      <c r="I1126" s="705">
        <v>40709.0</v>
      </c>
      <c r="J1126" s="706">
        <v>29705.0</v>
      </c>
      <c r="K1126" s="64"/>
      <c r="CE1126" s="460"/>
    </row>
    <row r="1127">
      <c r="A1127" s="690"/>
      <c r="B1127" s="712" t="s">
        <v>509</v>
      </c>
      <c r="C1127" s="742" t="s">
        <v>416</v>
      </c>
      <c r="D1127" s="714" t="s">
        <v>439</v>
      </c>
      <c r="E1127" s="715">
        <v>2021.0</v>
      </c>
      <c r="F1127" s="742" t="s">
        <v>418</v>
      </c>
      <c r="G1127" s="742" t="s">
        <v>50</v>
      </c>
      <c r="H1127" s="716">
        <v>9155.0</v>
      </c>
      <c r="I1127" s="716">
        <v>10587.0</v>
      </c>
      <c r="J1127" s="717">
        <v>7725.0</v>
      </c>
      <c r="K1127" s="64"/>
      <c r="CE1127" s="460"/>
    </row>
    <row r="1128">
      <c r="A1128" s="690"/>
      <c r="B1128" s="701" t="s">
        <v>509</v>
      </c>
      <c r="C1128" s="743" t="s">
        <v>416</v>
      </c>
      <c r="D1128" s="703" t="s">
        <v>517</v>
      </c>
      <c r="E1128" s="704">
        <v>2021.0</v>
      </c>
      <c r="F1128" s="743" t="s">
        <v>418</v>
      </c>
      <c r="G1128" s="743" t="s">
        <v>50</v>
      </c>
      <c r="H1128" s="705">
        <v>22679.0</v>
      </c>
      <c r="I1128" s="705">
        <v>26225.0</v>
      </c>
      <c r="J1128" s="706">
        <v>19136.0</v>
      </c>
      <c r="K1128" s="64"/>
      <c r="CE1128" s="460"/>
    </row>
    <row r="1129">
      <c r="A1129" s="690"/>
      <c r="B1129" s="712" t="s">
        <v>509</v>
      </c>
      <c r="C1129" s="742" t="s">
        <v>416</v>
      </c>
      <c r="D1129" s="714" t="s">
        <v>520</v>
      </c>
      <c r="E1129" s="715">
        <v>2021.0</v>
      </c>
      <c r="F1129" s="742" t="s">
        <v>418</v>
      </c>
      <c r="G1129" s="742" t="s">
        <v>50</v>
      </c>
      <c r="H1129" s="716">
        <v>21865.0</v>
      </c>
      <c r="I1129" s="716">
        <v>25283.0</v>
      </c>
      <c r="J1129" s="717">
        <v>18449.0</v>
      </c>
      <c r="K1129" s="64"/>
      <c r="CE1129" s="460"/>
    </row>
    <row r="1130">
      <c r="A1130" s="690"/>
      <c r="B1130" s="701" t="s">
        <v>509</v>
      </c>
      <c r="C1130" s="743" t="s">
        <v>416</v>
      </c>
      <c r="D1130" s="703" t="s">
        <v>521</v>
      </c>
      <c r="E1130" s="704">
        <v>2021.0</v>
      </c>
      <c r="F1130" s="743" t="s">
        <v>418</v>
      </c>
      <c r="G1130" s="743" t="s">
        <v>50</v>
      </c>
      <c r="H1130" s="705">
        <v>13408.0</v>
      </c>
      <c r="I1130" s="705">
        <v>15504.0</v>
      </c>
      <c r="J1130" s="706">
        <v>11313.0</v>
      </c>
      <c r="K1130" s="64"/>
      <c r="CE1130" s="460"/>
    </row>
    <row r="1131">
      <c r="A1131" s="690"/>
      <c r="B1131" s="712" t="s">
        <v>509</v>
      </c>
      <c r="C1131" s="742" t="s">
        <v>416</v>
      </c>
      <c r="D1131" s="714" t="s">
        <v>524</v>
      </c>
      <c r="E1131" s="715">
        <v>2021.0</v>
      </c>
      <c r="F1131" s="742" t="s">
        <v>418</v>
      </c>
      <c r="G1131" s="742" t="s">
        <v>50</v>
      </c>
      <c r="H1131" s="716">
        <v>6061.0</v>
      </c>
      <c r="I1131" s="716">
        <v>7009.0</v>
      </c>
      <c r="J1131" s="717">
        <v>5114.0</v>
      </c>
      <c r="K1131" s="64"/>
      <c r="CE1131" s="460"/>
    </row>
    <row r="1132">
      <c r="A1132" s="690"/>
      <c r="B1132" s="701" t="s">
        <v>509</v>
      </c>
      <c r="C1132" s="743" t="s">
        <v>416</v>
      </c>
      <c r="D1132" s="703" t="s">
        <v>527</v>
      </c>
      <c r="E1132" s="704">
        <v>2021.0</v>
      </c>
      <c r="F1132" s="743" t="s">
        <v>418</v>
      </c>
      <c r="G1132" s="743" t="s">
        <v>50</v>
      </c>
      <c r="H1132" s="705">
        <v>1909.0</v>
      </c>
      <c r="I1132" s="705">
        <v>2208.0</v>
      </c>
      <c r="J1132" s="706">
        <v>1611.0</v>
      </c>
      <c r="K1132" s="64"/>
      <c r="CE1132" s="460"/>
    </row>
    <row r="1133">
      <c r="A1133" s="690"/>
      <c r="B1133" s="712" t="s">
        <v>509</v>
      </c>
      <c r="C1133" s="742" t="s">
        <v>416</v>
      </c>
      <c r="D1133" s="714" t="s">
        <v>529</v>
      </c>
      <c r="E1133" s="715">
        <v>2021.0</v>
      </c>
      <c r="F1133" s="742" t="s">
        <v>418</v>
      </c>
      <c r="G1133" s="742" t="s">
        <v>50</v>
      </c>
      <c r="H1133" s="716">
        <v>487.0</v>
      </c>
      <c r="I1133" s="716">
        <v>563.0</v>
      </c>
      <c r="J1133" s="717">
        <v>411.0</v>
      </c>
      <c r="K1133" s="64"/>
      <c r="CE1133" s="460"/>
    </row>
    <row r="1134">
      <c r="A1134" s="690"/>
      <c r="B1134" s="701" t="s">
        <v>509</v>
      </c>
      <c r="C1134" s="743" t="s">
        <v>416</v>
      </c>
      <c r="D1134" s="703" t="s">
        <v>443</v>
      </c>
      <c r="E1134" s="704">
        <v>2021.0</v>
      </c>
      <c r="F1134" s="743" t="s">
        <v>418</v>
      </c>
      <c r="G1134" s="743" t="s">
        <v>50</v>
      </c>
      <c r="H1134" s="705">
        <v>5459481.0</v>
      </c>
      <c r="I1134" s="705">
        <v>6313008.0</v>
      </c>
      <c r="J1134" s="706">
        <v>4606605.0</v>
      </c>
      <c r="K1134" s="64"/>
      <c r="CE1134" s="460"/>
    </row>
    <row r="1135">
      <c r="A1135" s="690"/>
      <c r="B1135" s="712" t="s">
        <v>512</v>
      </c>
      <c r="C1135" s="742" t="s">
        <v>416</v>
      </c>
      <c r="D1135" s="714" t="s">
        <v>417</v>
      </c>
      <c r="E1135" s="715">
        <v>2021.0</v>
      </c>
      <c r="F1135" s="742" t="s">
        <v>418</v>
      </c>
      <c r="G1135" s="742" t="s">
        <v>50</v>
      </c>
      <c r="H1135" s="716">
        <v>819349.0</v>
      </c>
      <c r="I1135" s="716">
        <v>888155.0</v>
      </c>
      <c r="J1135" s="717">
        <v>747528.0</v>
      </c>
      <c r="K1135" s="64"/>
      <c r="CE1135" s="460"/>
    </row>
    <row r="1136">
      <c r="A1136" s="690"/>
      <c r="B1136" s="701" t="s">
        <v>512</v>
      </c>
      <c r="C1136" s="743" t="s">
        <v>416</v>
      </c>
      <c r="D1136" s="703" t="s">
        <v>431</v>
      </c>
      <c r="E1136" s="704">
        <v>2021.0</v>
      </c>
      <c r="F1136" s="743" t="s">
        <v>418</v>
      </c>
      <c r="G1136" s="743" t="s">
        <v>50</v>
      </c>
      <c r="H1136" s="705">
        <v>1.4943763E7</v>
      </c>
      <c r="I1136" s="705">
        <v>1.6198689E7</v>
      </c>
      <c r="J1136" s="706">
        <v>1.3633848E7</v>
      </c>
      <c r="K1136" s="64"/>
      <c r="CE1136" s="460"/>
    </row>
    <row r="1137">
      <c r="A1137" s="690"/>
      <c r="B1137" s="712" t="s">
        <v>512</v>
      </c>
      <c r="C1137" s="742" t="s">
        <v>416</v>
      </c>
      <c r="D1137" s="714" t="s">
        <v>438</v>
      </c>
      <c r="E1137" s="715">
        <v>2021.0</v>
      </c>
      <c r="F1137" s="742" t="s">
        <v>418</v>
      </c>
      <c r="G1137" s="742" t="s">
        <v>50</v>
      </c>
      <c r="H1137" s="716">
        <v>63645.0</v>
      </c>
      <c r="I1137" s="716">
        <v>68990.0</v>
      </c>
      <c r="J1137" s="717">
        <v>58066.0</v>
      </c>
      <c r="K1137" s="64"/>
      <c r="CE1137" s="460"/>
    </row>
    <row r="1138">
      <c r="A1138" s="690"/>
      <c r="B1138" s="701" t="s">
        <v>512</v>
      </c>
      <c r="C1138" s="743" t="s">
        <v>416</v>
      </c>
      <c r="D1138" s="703" t="s">
        <v>421</v>
      </c>
      <c r="E1138" s="704">
        <v>2021.0</v>
      </c>
      <c r="F1138" s="743" t="s">
        <v>418</v>
      </c>
      <c r="G1138" s="743" t="s">
        <v>50</v>
      </c>
      <c r="H1138" s="705">
        <v>4088059.0</v>
      </c>
      <c r="I1138" s="705">
        <v>4431360.0</v>
      </c>
      <c r="J1138" s="706">
        <v>3729715.0</v>
      </c>
      <c r="K1138" s="64"/>
      <c r="CE1138" s="460"/>
    </row>
    <row r="1139">
      <c r="A1139" s="690"/>
      <c r="B1139" s="712" t="s">
        <v>512</v>
      </c>
      <c r="C1139" s="742" t="s">
        <v>416</v>
      </c>
      <c r="D1139" s="714" t="s">
        <v>447</v>
      </c>
      <c r="E1139" s="715">
        <v>2021.0</v>
      </c>
      <c r="F1139" s="742" t="s">
        <v>418</v>
      </c>
      <c r="G1139" s="742" t="s">
        <v>50</v>
      </c>
      <c r="H1139" s="716">
        <v>1.1733524E7</v>
      </c>
      <c r="I1139" s="716">
        <v>1.2718865E7</v>
      </c>
      <c r="J1139" s="717">
        <v>1.0705007E7</v>
      </c>
      <c r="K1139" s="64"/>
      <c r="CE1139" s="460"/>
    </row>
    <row r="1140">
      <c r="A1140" s="690"/>
      <c r="B1140" s="701" t="s">
        <v>512</v>
      </c>
      <c r="C1140" s="743" t="s">
        <v>416</v>
      </c>
      <c r="D1140" s="703" t="s">
        <v>432</v>
      </c>
      <c r="E1140" s="704">
        <v>2021.0</v>
      </c>
      <c r="F1140" s="743" t="s">
        <v>418</v>
      </c>
      <c r="G1140" s="743" t="s">
        <v>50</v>
      </c>
      <c r="H1140" s="705">
        <v>16050.0</v>
      </c>
      <c r="I1140" s="705">
        <v>17398.0</v>
      </c>
      <c r="J1140" s="706">
        <v>14643.0</v>
      </c>
      <c r="K1140" s="64"/>
      <c r="CE1140" s="460"/>
    </row>
    <row r="1141">
      <c r="A1141" s="690"/>
      <c r="B1141" s="712" t="s">
        <v>512</v>
      </c>
      <c r="C1141" s="742" t="s">
        <v>416</v>
      </c>
      <c r="D1141" s="714" t="s">
        <v>450</v>
      </c>
      <c r="E1141" s="715">
        <v>2021.0</v>
      </c>
      <c r="F1141" s="742" t="s">
        <v>418</v>
      </c>
      <c r="G1141" s="742" t="s">
        <v>50</v>
      </c>
      <c r="H1141" s="716">
        <v>3658092.0</v>
      </c>
      <c r="I1141" s="716">
        <v>3965286.0</v>
      </c>
      <c r="J1141" s="717">
        <v>3337437.0</v>
      </c>
      <c r="K1141" s="64"/>
      <c r="CE1141" s="460"/>
    </row>
    <row r="1142">
      <c r="A1142" s="690"/>
      <c r="B1142" s="701" t="s">
        <v>512</v>
      </c>
      <c r="C1142" s="743" t="s">
        <v>416</v>
      </c>
      <c r="D1142" s="703" t="s">
        <v>453</v>
      </c>
      <c r="E1142" s="704">
        <v>2021.0</v>
      </c>
      <c r="F1142" s="743" t="s">
        <v>418</v>
      </c>
      <c r="G1142" s="743" t="s">
        <v>50</v>
      </c>
      <c r="H1142" s="705">
        <v>6868330.0</v>
      </c>
      <c r="I1142" s="705">
        <v>7445109.0</v>
      </c>
      <c r="J1142" s="706">
        <v>6266278.0</v>
      </c>
      <c r="K1142" s="64"/>
      <c r="CE1142" s="460"/>
    </row>
    <row r="1143">
      <c r="A1143" s="690"/>
      <c r="B1143" s="712" t="s">
        <v>512</v>
      </c>
      <c r="C1143" s="742" t="s">
        <v>416</v>
      </c>
      <c r="D1143" s="714" t="s">
        <v>454</v>
      </c>
      <c r="E1143" s="715">
        <v>2021.0</v>
      </c>
      <c r="F1143" s="742" t="s">
        <v>418</v>
      </c>
      <c r="G1143" s="742" t="s">
        <v>50</v>
      </c>
      <c r="H1143" s="716">
        <v>9608681.0</v>
      </c>
      <c r="I1143" s="716">
        <v>1.0415585E7</v>
      </c>
      <c r="J1143" s="717">
        <v>8766419.0</v>
      </c>
      <c r="K1143" s="64"/>
      <c r="CE1143" s="460"/>
    </row>
    <row r="1144">
      <c r="A1144" s="690"/>
      <c r="B1144" s="701" t="s">
        <v>512</v>
      </c>
      <c r="C1144" s="743" t="s">
        <v>416</v>
      </c>
      <c r="D1144" s="703" t="s">
        <v>457</v>
      </c>
      <c r="E1144" s="704">
        <v>2021.0</v>
      </c>
      <c r="F1144" s="743" t="s">
        <v>418</v>
      </c>
      <c r="G1144" s="743" t="s">
        <v>50</v>
      </c>
      <c r="H1144" s="705">
        <v>816298.0</v>
      </c>
      <c r="I1144" s="705">
        <v>884848.0</v>
      </c>
      <c r="J1144" s="706">
        <v>744745.0</v>
      </c>
      <c r="K1144" s="64"/>
      <c r="CE1144" s="460"/>
    </row>
    <row r="1145">
      <c r="A1145" s="690"/>
      <c r="B1145" s="712" t="s">
        <v>512</v>
      </c>
      <c r="C1145" s="742" t="s">
        <v>416</v>
      </c>
      <c r="D1145" s="714" t="s">
        <v>460</v>
      </c>
      <c r="E1145" s="715">
        <v>2021.0</v>
      </c>
      <c r="F1145" s="742" t="s">
        <v>418</v>
      </c>
      <c r="G1145" s="742" t="s">
        <v>50</v>
      </c>
      <c r="H1145" s="716">
        <v>349040.0</v>
      </c>
      <c r="I1145" s="716">
        <v>378351.0</v>
      </c>
      <c r="J1145" s="717">
        <v>318445.0</v>
      </c>
      <c r="K1145" s="64"/>
      <c r="CE1145" s="460"/>
    </row>
    <row r="1146">
      <c r="A1146" s="690"/>
      <c r="B1146" s="701" t="s">
        <v>512</v>
      </c>
      <c r="C1146" s="743" t="s">
        <v>416</v>
      </c>
      <c r="D1146" s="703" t="s">
        <v>463</v>
      </c>
      <c r="E1146" s="704">
        <v>2021.0</v>
      </c>
      <c r="F1146" s="743" t="s">
        <v>418</v>
      </c>
      <c r="G1146" s="743" t="s">
        <v>50</v>
      </c>
      <c r="H1146" s="705">
        <v>3210239.0</v>
      </c>
      <c r="I1146" s="705">
        <v>3479824.0</v>
      </c>
      <c r="J1146" s="706">
        <v>2928841.0</v>
      </c>
      <c r="K1146" s="64"/>
      <c r="CE1146" s="460"/>
    </row>
    <row r="1147">
      <c r="A1147" s="690"/>
      <c r="B1147" s="712" t="s">
        <v>512</v>
      </c>
      <c r="C1147" s="742" t="s">
        <v>416</v>
      </c>
      <c r="D1147" s="714" t="s">
        <v>465</v>
      </c>
      <c r="E1147" s="715">
        <v>2021.0</v>
      </c>
      <c r="F1147" s="742" t="s">
        <v>418</v>
      </c>
      <c r="G1147" s="742" t="s">
        <v>50</v>
      </c>
      <c r="H1147" s="716">
        <v>1.41192E7</v>
      </c>
      <c r="I1147" s="716">
        <v>1.5304882E7</v>
      </c>
      <c r="J1147" s="717">
        <v>1.2881563E7</v>
      </c>
      <c r="K1147" s="64"/>
      <c r="CE1147" s="460"/>
    </row>
    <row r="1148">
      <c r="A1148" s="690"/>
      <c r="B1148" s="701" t="s">
        <v>512</v>
      </c>
      <c r="C1148" s="743" t="s">
        <v>416</v>
      </c>
      <c r="D1148" s="703" t="s">
        <v>468</v>
      </c>
      <c r="E1148" s="704">
        <v>2021.0</v>
      </c>
      <c r="F1148" s="743" t="s">
        <v>418</v>
      </c>
      <c r="G1148" s="743" t="s">
        <v>50</v>
      </c>
      <c r="H1148" s="705">
        <v>2740350.0</v>
      </c>
      <c r="I1148" s="705">
        <v>2970475.0</v>
      </c>
      <c r="J1148" s="706">
        <v>2500141.0</v>
      </c>
      <c r="K1148" s="64"/>
      <c r="CE1148" s="460"/>
    </row>
    <row r="1149">
      <c r="A1149" s="690"/>
      <c r="B1149" s="712" t="s">
        <v>512</v>
      </c>
      <c r="C1149" s="742" t="s">
        <v>416</v>
      </c>
      <c r="D1149" s="714" t="s">
        <v>471</v>
      </c>
      <c r="E1149" s="715">
        <v>2021.0</v>
      </c>
      <c r="F1149" s="742" t="s">
        <v>418</v>
      </c>
      <c r="G1149" s="742" t="s">
        <v>50</v>
      </c>
      <c r="H1149" s="716">
        <v>2452411.0</v>
      </c>
      <c r="I1149" s="716">
        <v>2658356.0</v>
      </c>
      <c r="J1149" s="717">
        <v>2237442.0</v>
      </c>
      <c r="K1149" s="64"/>
      <c r="CE1149" s="460"/>
    </row>
    <row r="1150">
      <c r="A1150" s="690"/>
      <c r="B1150" s="701" t="s">
        <v>512</v>
      </c>
      <c r="C1150" s="743" t="s">
        <v>416</v>
      </c>
      <c r="D1150" s="703" t="s">
        <v>473</v>
      </c>
      <c r="E1150" s="704">
        <v>2021.0</v>
      </c>
      <c r="F1150" s="743" t="s">
        <v>418</v>
      </c>
      <c r="G1150" s="743" t="s">
        <v>50</v>
      </c>
      <c r="H1150" s="705">
        <v>1.0873311E7</v>
      </c>
      <c r="I1150" s="705">
        <v>1.1786414E7</v>
      </c>
      <c r="J1150" s="706">
        <v>9920197.0</v>
      </c>
      <c r="K1150" s="64"/>
      <c r="CE1150" s="460"/>
    </row>
    <row r="1151">
      <c r="A1151" s="690"/>
      <c r="B1151" s="712" t="s">
        <v>512</v>
      </c>
      <c r="C1151" s="742" t="s">
        <v>416</v>
      </c>
      <c r="D1151" s="714" t="s">
        <v>476</v>
      </c>
      <c r="E1151" s="715">
        <v>2021.0</v>
      </c>
      <c r="F1151" s="742" t="s">
        <v>418</v>
      </c>
      <c r="G1151" s="742" t="s">
        <v>50</v>
      </c>
      <c r="H1151" s="716">
        <v>2286540.0</v>
      </c>
      <c r="I1151" s="716">
        <v>2478556.0</v>
      </c>
      <c r="J1151" s="717">
        <v>2086110.0</v>
      </c>
      <c r="K1151" s="64"/>
      <c r="CE1151" s="460"/>
    </row>
    <row r="1152">
      <c r="A1152" s="690"/>
      <c r="B1152" s="701" t="s">
        <v>512</v>
      </c>
      <c r="C1152" s="743" t="s">
        <v>416</v>
      </c>
      <c r="D1152" s="703" t="s">
        <v>479</v>
      </c>
      <c r="E1152" s="704">
        <v>2021.0</v>
      </c>
      <c r="F1152" s="743" t="s">
        <v>418</v>
      </c>
      <c r="G1152" s="743" t="s">
        <v>50</v>
      </c>
      <c r="H1152" s="705">
        <v>1891828.0</v>
      </c>
      <c r="I1152" s="705">
        <v>2050697.0</v>
      </c>
      <c r="J1152" s="706">
        <v>1725997.0</v>
      </c>
      <c r="K1152" s="64"/>
      <c r="CE1152" s="460"/>
    </row>
    <row r="1153">
      <c r="A1153" s="690"/>
      <c r="B1153" s="712" t="s">
        <v>512</v>
      </c>
      <c r="C1153" s="742" t="s">
        <v>416</v>
      </c>
      <c r="D1153" s="714" t="s">
        <v>482</v>
      </c>
      <c r="E1153" s="715">
        <v>2021.0</v>
      </c>
      <c r="F1153" s="742" t="s">
        <v>418</v>
      </c>
      <c r="G1153" s="742" t="s">
        <v>50</v>
      </c>
      <c r="H1153" s="716">
        <v>1581805.0</v>
      </c>
      <c r="I1153" s="716">
        <v>1714640.0</v>
      </c>
      <c r="J1153" s="717">
        <v>1443150.0</v>
      </c>
      <c r="K1153" s="64"/>
      <c r="CE1153" s="460"/>
    </row>
    <row r="1154">
      <c r="A1154" s="690"/>
      <c r="B1154" s="701" t="s">
        <v>512</v>
      </c>
      <c r="C1154" s="743" t="s">
        <v>416</v>
      </c>
      <c r="D1154" s="703" t="s">
        <v>485</v>
      </c>
      <c r="E1154" s="704">
        <v>2021.0</v>
      </c>
      <c r="F1154" s="743" t="s">
        <v>418</v>
      </c>
      <c r="G1154" s="743" t="s">
        <v>50</v>
      </c>
      <c r="H1154" s="705">
        <v>1323533.0</v>
      </c>
      <c r="I1154" s="705">
        <v>1434679.0</v>
      </c>
      <c r="J1154" s="706">
        <v>1207517.0</v>
      </c>
      <c r="K1154" s="64"/>
      <c r="CE1154" s="460"/>
    </row>
    <row r="1155">
      <c r="A1155" s="690"/>
      <c r="B1155" s="712" t="s">
        <v>512</v>
      </c>
      <c r="C1155" s="742" t="s">
        <v>416</v>
      </c>
      <c r="D1155" s="714" t="s">
        <v>488</v>
      </c>
      <c r="E1155" s="715">
        <v>2021.0</v>
      </c>
      <c r="F1155" s="742" t="s">
        <v>418</v>
      </c>
      <c r="G1155" s="742" t="s">
        <v>50</v>
      </c>
      <c r="H1155" s="716">
        <v>1084904.0</v>
      </c>
      <c r="I1155" s="716">
        <v>1176011.0</v>
      </c>
      <c r="J1155" s="717">
        <v>989806.0</v>
      </c>
      <c r="K1155" s="64"/>
      <c r="CE1155" s="460"/>
    </row>
    <row r="1156">
      <c r="A1156" s="690"/>
      <c r="B1156" s="701" t="s">
        <v>512</v>
      </c>
      <c r="C1156" s="743" t="s">
        <v>416</v>
      </c>
      <c r="D1156" s="703" t="s">
        <v>491</v>
      </c>
      <c r="E1156" s="704">
        <v>2021.0</v>
      </c>
      <c r="F1156" s="743" t="s">
        <v>418</v>
      </c>
      <c r="G1156" s="743" t="s">
        <v>50</v>
      </c>
      <c r="H1156" s="705">
        <v>858020.0</v>
      </c>
      <c r="I1156" s="705">
        <v>930073.0</v>
      </c>
      <c r="J1156" s="706">
        <v>782809.0</v>
      </c>
      <c r="K1156" s="64"/>
      <c r="CE1156" s="460"/>
    </row>
    <row r="1157">
      <c r="A1157" s="690"/>
      <c r="B1157" s="712" t="s">
        <v>512</v>
      </c>
      <c r="C1157" s="742" t="s">
        <v>416</v>
      </c>
      <c r="D1157" s="714" t="s">
        <v>493</v>
      </c>
      <c r="E1157" s="715">
        <v>2021.0</v>
      </c>
      <c r="F1157" s="742" t="s">
        <v>418</v>
      </c>
      <c r="G1157" s="742" t="s">
        <v>50</v>
      </c>
      <c r="H1157" s="716">
        <v>2340970.0</v>
      </c>
      <c r="I1157" s="716">
        <v>2537556.0</v>
      </c>
      <c r="J1157" s="717">
        <v>2135769.0</v>
      </c>
      <c r="K1157" s="64"/>
      <c r="CE1157" s="460"/>
    </row>
    <row r="1158">
      <c r="A1158" s="690"/>
      <c r="B1158" s="701" t="s">
        <v>512</v>
      </c>
      <c r="C1158" s="743" t="s">
        <v>416</v>
      </c>
      <c r="D1158" s="703" t="s">
        <v>434</v>
      </c>
      <c r="E1158" s="704">
        <v>2021.0</v>
      </c>
      <c r="F1158" s="743" t="s">
        <v>418</v>
      </c>
      <c r="G1158" s="743" t="s">
        <v>50</v>
      </c>
      <c r="H1158" s="705">
        <v>7645465.0</v>
      </c>
      <c r="I1158" s="705">
        <v>8287505.0</v>
      </c>
      <c r="J1158" s="706">
        <v>6975292.0</v>
      </c>
      <c r="K1158" s="64"/>
      <c r="CE1158" s="460"/>
    </row>
    <row r="1159">
      <c r="A1159" s="690"/>
      <c r="B1159" s="712" t="s">
        <v>512</v>
      </c>
      <c r="C1159" s="742" t="s">
        <v>416</v>
      </c>
      <c r="D1159" s="714" t="s">
        <v>497</v>
      </c>
      <c r="E1159" s="715">
        <v>2021.0</v>
      </c>
      <c r="F1159" s="742" t="s">
        <v>418</v>
      </c>
      <c r="G1159" s="742" t="s">
        <v>50</v>
      </c>
      <c r="H1159" s="716">
        <v>664261.0</v>
      </c>
      <c r="I1159" s="716">
        <v>720044.0</v>
      </c>
      <c r="J1159" s="717">
        <v>606035.0</v>
      </c>
      <c r="K1159" s="64"/>
      <c r="CE1159" s="460"/>
    </row>
    <row r="1160">
      <c r="A1160" s="690"/>
      <c r="B1160" s="701" t="s">
        <v>512</v>
      </c>
      <c r="C1160" s="743" t="s">
        <v>416</v>
      </c>
      <c r="D1160" s="703" t="s">
        <v>500</v>
      </c>
      <c r="E1160" s="704">
        <v>2021.0</v>
      </c>
      <c r="F1160" s="743" t="s">
        <v>418</v>
      </c>
      <c r="G1160" s="743" t="s">
        <v>50</v>
      </c>
      <c r="H1160" s="705">
        <v>3987374.0</v>
      </c>
      <c r="I1160" s="705">
        <v>4322220.0</v>
      </c>
      <c r="J1160" s="706">
        <v>3637855.0</v>
      </c>
      <c r="K1160" s="64"/>
      <c r="CE1160" s="460"/>
    </row>
    <row r="1161">
      <c r="A1161" s="690"/>
      <c r="B1161" s="712" t="s">
        <v>512</v>
      </c>
      <c r="C1161" s="742" t="s">
        <v>416</v>
      </c>
      <c r="D1161" s="714" t="s">
        <v>502</v>
      </c>
      <c r="E1161" s="715">
        <v>2021.0</v>
      </c>
      <c r="F1161" s="742" t="s">
        <v>418</v>
      </c>
      <c r="G1161" s="742" t="s">
        <v>50</v>
      </c>
      <c r="H1161" s="716">
        <v>495181.0</v>
      </c>
      <c r="I1161" s="716">
        <v>536765.0</v>
      </c>
      <c r="J1161" s="717">
        <v>451775.0</v>
      </c>
      <c r="K1161" s="64"/>
      <c r="CE1161" s="460"/>
    </row>
    <row r="1162">
      <c r="A1162" s="690"/>
      <c r="B1162" s="701" t="s">
        <v>512</v>
      </c>
      <c r="C1162" s="743" t="s">
        <v>416</v>
      </c>
      <c r="D1162" s="703" t="s">
        <v>505</v>
      </c>
      <c r="E1162" s="704">
        <v>2021.0</v>
      </c>
      <c r="F1162" s="743" t="s">
        <v>418</v>
      </c>
      <c r="G1162" s="743" t="s">
        <v>50</v>
      </c>
      <c r="H1162" s="705">
        <v>406663.0</v>
      </c>
      <c r="I1162" s="705">
        <v>440814.0</v>
      </c>
      <c r="J1162" s="706">
        <v>371017.0</v>
      </c>
      <c r="K1162" s="64"/>
      <c r="CE1162" s="460"/>
    </row>
    <row r="1163">
      <c r="A1163" s="690"/>
      <c r="B1163" s="712" t="s">
        <v>512</v>
      </c>
      <c r="C1163" s="742" t="s">
        <v>416</v>
      </c>
      <c r="D1163" s="714" t="s">
        <v>508</v>
      </c>
      <c r="E1163" s="715">
        <v>2021.0</v>
      </c>
      <c r="F1163" s="742" t="s">
        <v>418</v>
      </c>
      <c r="G1163" s="742" t="s">
        <v>50</v>
      </c>
      <c r="H1163" s="716">
        <v>323508.0</v>
      </c>
      <c r="I1163" s="716">
        <v>350675.0</v>
      </c>
      <c r="J1163" s="717">
        <v>295150.0</v>
      </c>
      <c r="K1163" s="64"/>
      <c r="CE1163" s="460"/>
    </row>
    <row r="1164">
      <c r="A1164" s="690"/>
      <c r="B1164" s="701" t="s">
        <v>512</v>
      </c>
      <c r="C1164" s="743" t="s">
        <v>416</v>
      </c>
      <c r="D1164" s="703" t="s">
        <v>511</v>
      </c>
      <c r="E1164" s="704">
        <v>2021.0</v>
      </c>
      <c r="F1164" s="743" t="s">
        <v>418</v>
      </c>
      <c r="G1164" s="743" t="s">
        <v>50</v>
      </c>
      <c r="H1164" s="705">
        <v>363731.0</v>
      </c>
      <c r="I1164" s="705">
        <v>394275.0</v>
      </c>
      <c r="J1164" s="706">
        <v>331847.0</v>
      </c>
      <c r="K1164" s="64"/>
      <c r="CE1164" s="460"/>
    </row>
    <row r="1165">
      <c r="A1165" s="690"/>
      <c r="B1165" s="712" t="s">
        <v>512</v>
      </c>
      <c r="C1165" s="742" t="s">
        <v>416</v>
      </c>
      <c r="D1165" s="714" t="s">
        <v>514</v>
      </c>
      <c r="E1165" s="715">
        <v>2021.0</v>
      </c>
      <c r="F1165" s="742" t="s">
        <v>418</v>
      </c>
      <c r="G1165" s="742" t="s">
        <v>50</v>
      </c>
      <c r="H1165" s="716">
        <v>189128.0</v>
      </c>
      <c r="I1165" s="716">
        <v>205010.0</v>
      </c>
      <c r="J1165" s="717">
        <v>172550.0</v>
      </c>
      <c r="K1165" s="64"/>
      <c r="CE1165" s="460"/>
    </row>
    <row r="1166">
      <c r="A1166" s="690"/>
      <c r="B1166" s="701" t="s">
        <v>512</v>
      </c>
      <c r="C1166" s="743" t="s">
        <v>416</v>
      </c>
      <c r="D1166" s="703" t="s">
        <v>439</v>
      </c>
      <c r="E1166" s="704">
        <v>2021.0</v>
      </c>
      <c r="F1166" s="743" t="s">
        <v>418</v>
      </c>
      <c r="G1166" s="743" t="s">
        <v>50</v>
      </c>
      <c r="H1166" s="705">
        <v>47596.0</v>
      </c>
      <c r="I1166" s="705">
        <v>51593.0</v>
      </c>
      <c r="J1166" s="706">
        <v>43424.0</v>
      </c>
      <c r="K1166" s="64"/>
      <c r="CE1166" s="460"/>
    </row>
    <row r="1167">
      <c r="A1167" s="690"/>
      <c r="B1167" s="712" t="s">
        <v>512</v>
      </c>
      <c r="C1167" s="742" t="s">
        <v>416</v>
      </c>
      <c r="D1167" s="714" t="s">
        <v>517</v>
      </c>
      <c r="E1167" s="715">
        <v>2021.0</v>
      </c>
      <c r="F1167" s="742" t="s">
        <v>418</v>
      </c>
      <c r="G1167" s="742" t="s">
        <v>50</v>
      </c>
      <c r="H1167" s="716">
        <v>100098.0</v>
      </c>
      <c r="I1167" s="716">
        <v>108504.0</v>
      </c>
      <c r="J1167" s="717">
        <v>91324.0</v>
      </c>
      <c r="K1167" s="64"/>
      <c r="CE1167" s="460"/>
    </row>
    <row r="1168">
      <c r="A1168" s="690"/>
      <c r="B1168" s="701" t="s">
        <v>512</v>
      </c>
      <c r="C1168" s="743" t="s">
        <v>416</v>
      </c>
      <c r="D1168" s="703" t="s">
        <v>520</v>
      </c>
      <c r="E1168" s="704">
        <v>2021.0</v>
      </c>
      <c r="F1168" s="743" t="s">
        <v>418</v>
      </c>
      <c r="G1168" s="743" t="s">
        <v>50</v>
      </c>
      <c r="H1168" s="705">
        <v>74505.0</v>
      </c>
      <c r="I1168" s="705">
        <v>80762.0</v>
      </c>
      <c r="J1168" s="706">
        <v>67974.0</v>
      </c>
      <c r="K1168" s="64"/>
      <c r="CE1168" s="460"/>
    </row>
    <row r="1169">
      <c r="A1169" s="690"/>
      <c r="B1169" s="712" t="s">
        <v>512</v>
      </c>
      <c r="C1169" s="742" t="s">
        <v>416</v>
      </c>
      <c r="D1169" s="714" t="s">
        <v>521</v>
      </c>
      <c r="E1169" s="715">
        <v>2021.0</v>
      </c>
      <c r="F1169" s="742" t="s">
        <v>418</v>
      </c>
      <c r="G1169" s="742" t="s">
        <v>50</v>
      </c>
      <c r="H1169" s="716">
        <v>48673.0</v>
      </c>
      <c r="I1169" s="716">
        <v>52760.0</v>
      </c>
      <c r="J1169" s="717">
        <v>44406.0</v>
      </c>
      <c r="K1169" s="64"/>
      <c r="CE1169" s="460"/>
    </row>
    <row r="1170">
      <c r="A1170" s="690"/>
      <c r="B1170" s="701" t="s">
        <v>512</v>
      </c>
      <c r="C1170" s="743" t="s">
        <v>416</v>
      </c>
      <c r="D1170" s="703" t="s">
        <v>524</v>
      </c>
      <c r="E1170" s="704">
        <v>2021.0</v>
      </c>
      <c r="F1170" s="743" t="s">
        <v>418</v>
      </c>
      <c r="G1170" s="743" t="s">
        <v>50</v>
      </c>
      <c r="H1170" s="705">
        <v>19254.0</v>
      </c>
      <c r="I1170" s="705">
        <v>20871.0</v>
      </c>
      <c r="J1170" s="706">
        <v>17566.0</v>
      </c>
      <c r="K1170" s="64"/>
      <c r="CE1170" s="460"/>
    </row>
    <row r="1171">
      <c r="A1171" s="690"/>
      <c r="B1171" s="712" t="s">
        <v>512</v>
      </c>
      <c r="C1171" s="742" t="s">
        <v>416</v>
      </c>
      <c r="D1171" s="714" t="s">
        <v>527</v>
      </c>
      <c r="E1171" s="715">
        <v>2021.0</v>
      </c>
      <c r="F1171" s="742" t="s">
        <v>418</v>
      </c>
      <c r="G1171" s="742" t="s">
        <v>50</v>
      </c>
      <c r="H1171" s="716">
        <v>5390.0</v>
      </c>
      <c r="I1171" s="716">
        <v>5843.0</v>
      </c>
      <c r="J1171" s="717">
        <v>4918.0</v>
      </c>
      <c r="K1171" s="64"/>
      <c r="CE1171" s="460"/>
    </row>
    <row r="1172">
      <c r="A1172" s="690"/>
      <c r="B1172" s="701" t="s">
        <v>512</v>
      </c>
      <c r="C1172" s="743" t="s">
        <v>416</v>
      </c>
      <c r="D1172" s="703" t="s">
        <v>529</v>
      </c>
      <c r="E1172" s="704">
        <v>2021.0</v>
      </c>
      <c r="F1172" s="743" t="s">
        <v>418</v>
      </c>
      <c r="G1172" s="743" t="s">
        <v>50</v>
      </c>
      <c r="H1172" s="705">
        <v>1188.0</v>
      </c>
      <c r="I1172" s="705">
        <v>1288.0</v>
      </c>
      <c r="J1172" s="706">
        <v>1084.0</v>
      </c>
      <c r="K1172" s="64"/>
      <c r="CE1172" s="460"/>
    </row>
    <row r="1173">
      <c r="A1173" s="690"/>
      <c r="B1173" s="712" t="s">
        <v>512</v>
      </c>
      <c r="C1173" s="742" t="s">
        <v>416</v>
      </c>
      <c r="D1173" s="714" t="s">
        <v>443</v>
      </c>
      <c r="E1173" s="715">
        <v>2021.0</v>
      </c>
      <c r="F1173" s="742" t="s">
        <v>418</v>
      </c>
      <c r="G1173" s="742" t="s">
        <v>50</v>
      </c>
      <c r="H1173" s="716">
        <v>2.8557425E7</v>
      </c>
      <c r="I1173" s="716">
        <v>3.0955579E7</v>
      </c>
      <c r="J1173" s="717">
        <v>2.6054185E7</v>
      </c>
      <c r="K1173" s="64"/>
      <c r="CE1173" s="460"/>
    </row>
    <row r="1174">
      <c r="A1174" s="690"/>
      <c r="B1174" s="701" t="s">
        <v>515</v>
      </c>
      <c r="C1174" s="743" t="s">
        <v>416</v>
      </c>
      <c r="D1174" s="703" t="s">
        <v>417</v>
      </c>
      <c r="E1174" s="704">
        <v>2021.0</v>
      </c>
      <c r="F1174" s="743" t="s">
        <v>418</v>
      </c>
      <c r="G1174" s="743" t="s">
        <v>50</v>
      </c>
      <c r="H1174" s="705">
        <v>552458.0</v>
      </c>
      <c r="I1174" s="705">
        <v>597443.0</v>
      </c>
      <c r="J1174" s="706">
        <v>507110.0</v>
      </c>
      <c r="K1174" s="64"/>
      <c r="CE1174" s="460"/>
    </row>
    <row r="1175">
      <c r="A1175" s="690"/>
      <c r="B1175" s="712" t="s">
        <v>515</v>
      </c>
      <c r="C1175" s="742" t="s">
        <v>416</v>
      </c>
      <c r="D1175" s="714" t="s">
        <v>431</v>
      </c>
      <c r="E1175" s="715">
        <v>2021.0</v>
      </c>
      <c r="F1175" s="742" t="s">
        <v>418</v>
      </c>
      <c r="G1175" s="742" t="s">
        <v>50</v>
      </c>
      <c r="H1175" s="716">
        <v>1.0590854E7</v>
      </c>
      <c r="I1175" s="716">
        <v>1.1453239E7</v>
      </c>
      <c r="J1175" s="717">
        <v>9721513.0</v>
      </c>
      <c r="K1175" s="64"/>
      <c r="CE1175" s="460"/>
    </row>
    <row r="1176">
      <c r="A1176" s="690"/>
      <c r="B1176" s="701" t="s">
        <v>515</v>
      </c>
      <c r="C1176" s="743" t="s">
        <v>416</v>
      </c>
      <c r="D1176" s="703" t="s">
        <v>438</v>
      </c>
      <c r="E1176" s="704">
        <v>2021.0</v>
      </c>
      <c r="F1176" s="743" t="s">
        <v>418</v>
      </c>
      <c r="G1176" s="743" t="s">
        <v>50</v>
      </c>
      <c r="H1176" s="705">
        <v>42888.0</v>
      </c>
      <c r="I1176" s="705">
        <v>46380.0</v>
      </c>
      <c r="J1176" s="706">
        <v>39368.0</v>
      </c>
      <c r="K1176" s="64"/>
      <c r="CE1176" s="460"/>
    </row>
    <row r="1177">
      <c r="A1177" s="690"/>
      <c r="B1177" s="712" t="s">
        <v>515</v>
      </c>
      <c r="C1177" s="742" t="s">
        <v>416</v>
      </c>
      <c r="D1177" s="714" t="s">
        <v>421</v>
      </c>
      <c r="E1177" s="715">
        <v>2021.0</v>
      </c>
      <c r="F1177" s="742" t="s">
        <v>418</v>
      </c>
      <c r="G1177" s="742" t="s">
        <v>50</v>
      </c>
      <c r="H1177" s="716">
        <v>2724055.0</v>
      </c>
      <c r="I1177" s="716">
        <v>2945868.0</v>
      </c>
      <c r="J1177" s="717">
        <v>2500454.0</v>
      </c>
      <c r="K1177" s="64"/>
      <c r="CE1177" s="460"/>
    </row>
    <row r="1178">
      <c r="A1178" s="690"/>
      <c r="B1178" s="701" t="s">
        <v>515</v>
      </c>
      <c r="C1178" s="743" t="s">
        <v>416</v>
      </c>
      <c r="D1178" s="703" t="s">
        <v>447</v>
      </c>
      <c r="E1178" s="704">
        <v>2021.0</v>
      </c>
      <c r="F1178" s="743" t="s">
        <v>418</v>
      </c>
      <c r="G1178" s="743" t="s">
        <v>50</v>
      </c>
      <c r="H1178" s="705">
        <v>8123862.0</v>
      </c>
      <c r="I1178" s="705">
        <v>8785367.0</v>
      </c>
      <c r="J1178" s="706">
        <v>7457023.0</v>
      </c>
      <c r="K1178" s="64"/>
      <c r="CE1178" s="460"/>
    </row>
    <row r="1179">
      <c r="A1179" s="690"/>
      <c r="B1179" s="712" t="s">
        <v>515</v>
      </c>
      <c r="C1179" s="742" t="s">
        <v>416</v>
      </c>
      <c r="D1179" s="714" t="s">
        <v>432</v>
      </c>
      <c r="E1179" s="715">
        <v>2021.0</v>
      </c>
      <c r="F1179" s="742" t="s">
        <v>418</v>
      </c>
      <c r="G1179" s="742" t="s">
        <v>50</v>
      </c>
      <c r="H1179" s="716">
        <v>10811.0</v>
      </c>
      <c r="I1179" s="716">
        <v>11692.0</v>
      </c>
      <c r="J1179" s="717">
        <v>9924.0</v>
      </c>
      <c r="K1179" s="64"/>
      <c r="CE1179" s="460"/>
    </row>
    <row r="1180">
      <c r="A1180" s="690"/>
      <c r="B1180" s="701" t="s">
        <v>515</v>
      </c>
      <c r="C1180" s="743" t="s">
        <v>416</v>
      </c>
      <c r="D1180" s="703" t="s">
        <v>450</v>
      </c>
      <c r="E1180" s="704">
        <v>2021.0</v>
      </c>
      <c r="F1180" s="743" t="s">
        <v>418</v>
      </c>
      <c r="G1180" s="743" t="s">
        <v>50</v>
      </c>
      <c r="H1180" s="705">
        <v>2707527.0</v>
      </c>
      <c r="I1180" s="705">
        <v>2927994.0</v>
      </c>
      <c r="J1180" s="706">
        <v>2485282.0</v>
      </c>
      <c r="K1180" s="64"/>
      <c r="CE1180" s="460"/>
    </row>
    <row r="1181">
      <c r="A1181" s="690"/>
      <c r="B1181" s="712" t="s">
        <v>515</v>
      </c>
      <c r="C1181" s="742" t="s">
        <v>416</v>
      </c>
      <c r="D1181" s="714" t="s">
        <v>453</v>
      </c>
      <c r="E1181" s="715">
        <v>2021.0</v>
      </c>
      <c r="F1181" s="742" t="s">
        <v>418</v>
      </c>
      <c r="G1181" s="742" t="s">
        <v>50</v>
      </c>
      <c r="H1181" s="716">
        <v>5174518.0</v>
      </c>
      <c r="I1181" s="716">
        <v>5595866.0</v>
      </c>
      <c r="J1181" s="717">
        <v>4749773.0</v>
      </c>
      <c r="K1181" s="64"/>
      <c r="CE1181" s="460"/>
    </row>
    <row r="1182">
      <c r="A1182" s="690"/>
      <c r="B1182" s="701" t="s">
        <v>515</v>
      </c>
      <c r="C1182" s="743" t="s">
        <v>416</v>
      </c>
      <c r="D1182" s="703" t="s">
        <v>454</v>
      </c>
      <c r="E1182" s="704">
        <v>2021.0</v>
      </c>
      <c r="F1182" s="743" t="s">
        <v>418</v>
      </c>
      <c r="G1182" s="743" t="s">
        <v>50</v>
      </c>
      <c r="H1182" s="705">
        <v>7114270.0</v>
      </c>
      <c r="I1182" s="705">
        <v>7693566.0</v>
      </c>
      <c r="J1182" s="706">
        <v>6530301.0</v>
      </c>
      <c r="K1182" s="64"/>
      <c r="CE1182" s="460"/>
    </row>
    <row r="1183">
      <c r="A1183" s="690"/>
      <c r="B1183" s="712" t="s">
        <v>515</v>
      </c>
      <c r="C1183" s="742" t="s">
        <v>416</v>
      </c>
      <c r="D1183" s="714" t="s">
        <v>457</v>
      </c>
      <c r="E1183" s="715">
        <v>2021.0</v>
      </c>
      <c r="F1183" s="742" t="s">
        <v>418</v>
      </c>
      <c r="G1183" s="742" t="s">
        <v>50</v>
      </c>
      <c r="H1183" s="716">
        <v>546393.0</v>
      </c>
      <c r="I1183" s="716">
        <v>590884.0</v>
      </c>
      <c r="J1183" s="717">
        <v>501543.0</v>
      </c>
      <c r="K1183" s="64"/>
      <c r="CE1183" s="460"/>
    </row>
    <row r="1184">
      <c r="A1184" s="690"/>
      <c r="B1184" s="701" t="s">
        <v>515</v>
      </c>
      <c r="C1184" s="743" t="s">
        <v>416</v>
      </c>
      <c r="D1184" s="703" t="s">
        <v>460</v>
      </c>
      <c r="E1184" s="704">
        <v>2021.0</v>
      </c>
      <c r="F1184" s="743" t="s">
        <v>418</v>
      </c>
      <c r="G1184" s="743" t="s">
        <v>50</v>
      </c>
      <c r="H1184" s="705">
        <v>235307.0</v>
      </c>
      <c r="I1184" s="705">
        <v>254467.0</v>
      </c>
      <c r="J1184" s="706">
        <v>215992.0</v>
      </c>
      <c r="K1184" s="64"/>
      <c r="CE1184" s="460"/>
    </row>
    <row r="1185">
      <c r="A1185" s="690"/>
      <c r="B1185" s="712" t="s">
        <v>515</v>
      </c>
      <c r="C1185" s="742" t="s">
        <v>416</v>
      </c>
      <c r="D1185" s="714" t="s">
        <v>463</v>
      </c>
      <c r="E1185" s="715">
        <v>2021.0</v>
      </c>
      <c r="F1185" s="742" t="s">
        <v>418</v>
      </c>
      <c r="G1185" s="742" t="s">
        <v>50</v>
      </c>
      <c r="H1185" s="716">
        <v>2466991.0</v>
      </c>
      <c r="I1185" s="716">
        <v>2667872.0</v>
      </c>
      <c r="J1185" s="717">
        <v>2264491.0</v>
      </c>
      <c r="K1185" s="64"/>
      <c r="CE1185" s="460"/>
    </row>
    <row r="1186">
      <c r="A1186" s="690"/>
      <c r="B1186" s="701" t="s">
        <v>515</v>
      </c>
      <c r="C1186" s="743" t="s">
        <v>416</v>
      </c>
      <c r="D1186" s="703" t="s">
        <v>465</v>
      </c>
      <c r="E1186" s="704">
        <v>2021.0</v>
      </c>
      <c r="F1186" s="743" t="s">
        <v>418</v>
      </c>
      <c r="G1186" s="743" t="s">
        <v>50</v>
      </c>
      <c r="H1186" s="705">
        <v>9680980.0</v>
      </c>
      <c r="I1186" s="705">
        <v>1.0469277E7</v>
      </c>
      <c r="J1186" s="706">
        <v>8886325.0</v>
      </c>
      <c r="K1186" s="64"/>
      <c r="CE1186" s="460"/>
    </row>
    <row r="1187">
      <c r="A1187" s="690"/>
      <c r="B1187" s="712" t="s">
        <v>515</v>
      </c>
      <c r="C1187" s="742" t="s">
        <v>416</v>
      </c>
      <c r="D1187" s="714" t="s">
        <v>468</v>
      </c>
      <c r="E1187" s="715">
        <v>2021.0</v>
      </c>
      <c r="F1187" s="742" t="s">
        <v>418</v>
      </c>
      <c r="G1187" s="742" t="s">
        <v>50</v>
      </c>
      <c r="H1187" s="716">
        <v>1939751.0</v>
      </c>
      <c r="I1187" s="716">
        <v>2097700.0</v>
      </c>
      <c r="J1187" s="717">
        <v>1780529.0</v>
      </c>
      <c r="K1187" s="64"/>
      <c r="CE1187" s="460"/>
    </row>
    <row r="1188">
      <c r="A1188" s="690"/>
      <c r="B1188" s="701" t="s">
        <v>515</v>
      </c>
      <c r="C1188" s="743" t="s">
        <v>416</v>
      </c>
      <c r="D1188" s="703" t="s">
        <v>471</v>
      </c>
      <c r="E1188" s="704">
        <v>2021.0</v>
      </c>
      <c r="F1188" s="743" t="s">
        <v>418</v>
      </c>
      <c r="G1188" s="743" t="s">
        <v>50</v>
      </c>
      <c r="H1188" s="705">
        <v>1625205.0</v>
      </c>
      <c r="I1188" s="705">
        <v>1757541.0</v>
      </c>
      <c r="J1188" s="706">
        <v>1491801.0</v>
      </c>
      <c r="K1188" s="64"/>
      <c r="CE1188" s="460"/>
    </row>
    <row r="1189">
      <c r="A1189" s="690"/>
      <c r="B1189" s="712" t="s">
        <v>515</v>
      </c>
      <c r="C1189" s="742" t="s">
        <v>416</v>
      </c>
      <c r="D1189" s="714" t="s">
        <v>473</v>
      </c>
      <c r="E1189" s="715">
        <v>2021.0</v>
      </c>
      <c r="F1189" s="742" t="s">
        <v>418</v>
      </c>
      <c r="G1189" s="742" t="s">
        <v>50</v>
      </c>
      <c r="H1189" s="716">
        <v>6917236.0</v>
      </c>
      <c r="I1189" s="716">
        <v>7480488.0</v>
      </c>
      <c r="J1189" s="717">
        <v>6349441.0</v>
      </c>
      <c r="K1189" s="64"/>
      <c r="CE1189" s="460"/>
    </row>
    <row r="1190">
      <c r="A1190" s="690"/>
      <c r="B1190" s="701" t="s">
        <v>515</v>
      </c>
      <c r="C1190" s="743" t="s">
        <v>416</v>
      </c>
      <c r="D1190" s="703" t="s">
        <v>476</v>
      </c>
      <c r="E1190" s="704">
        <v>2021.0</v>
      </c>
      <c r="F1190" s="743" t="s">
        <v>418</v>
      </c>
      <c r="G1190" s="743" t="s">
        <v>50</v>
      </c>
      <c r="H1190" s="705">
        <v>1461387.0</v>
      </c>
      <c r="I1190" s="705">
        <v>1580383.0</v>
      </c>
      <c r="J1190" s="706">
        <v>1341430.0</v>
      </c>
      <c r="K1190" s="64"/>
      <c r="CE1190" s="460"/>
    </row>
    <row r="1191">
      <c r="A1191" s="690"/>
      <c r="B1191" s="712" t="s">
        <v>515</v>
      </c>
      <c r="C1191" s="742" t="s">
        <v>416</v>
      </c>
      <c r="D1191" s="714" t="s">
        <v>479</v>
      </c>
      <c r="E1191" s="715">
        <v>2021.0</v>
      </c>
      <c r="F1191" s="742" t="s">
        <v>418</v>
      </c>
      <c r="G1191" s="742" t="s">
        <v>50</v>
      </c>
      <c r="H1191" s="716">
        <v>1266025.0</v>
      </c>
      <c r="I1191" s="716">
        <v>1369114.0</v>
      </c>
      <c r="J1191" s="717">
        <v>1162105.0</v>
      </c>
      <c r="K1191" s="64"/>
      <c r="CE1191" s="460"/>
    </row>
    <row r="1192">
      <c r="A1192" s="690"/>
      <c r="B1192" s="701" t="s">
        <v>515</v>
      </c>
      <c r="C1192" s="743" t="s">
        <v>416</v>
      </c>
      <c r="D1192" s="703" t="s">
        <v>482</v>
      </c>
      <c r="E1192" s="704">
        <v>2021.0</v>
      </c>
      <c r="F1192" s="743" t="s">
        <v>418</v>
      </c>
      <c r="G1192" s="743" t="s">
        <v>50</v>
      </c>
      <c r="H1192" s="705">
        <v>1049038.0</v>
      </c>
      <c r="I1192" s="705">
        <v>1134459.0</v>
      </c>
      <c r="J1192" s="706">
        <v>962929.0</v>
      </c>
      <c r="K1192" s="64"/>
      <c r="CE1192" s="460"/>
    </row>
    <row r="1193">
      <c r="A1193" s="690"/>
      <c r="B1193" s="712" t="s">
        <v>515</v>
      </c>
      <c r="C1193" s="742" t="s">
        <v>416</v>
      </c>
      <c r="D1193" s="714" t="s">
        <v>485</v>
      </c>
      <c r="E1193" s="715">
        <v>2021.0</v>
      </c>
      <c r="F1193" s="742" t="s">
        <v>418</v>
      </c>
      <c r="G1193" s="742" t="s">
        <v>50</v>
      </c>
      <c r="H1193" s="716">
        <v>857639.0</v>
      </c>
      <c r="I1193" s="716">
        <v>927475.0</v>
      </c>
      <c r="J1193" s="717">
        <v>787241.0</v>
      </c>
      <c r="K1193" s="64"/>
      <c r="CE1193" s="460"/>
    </row>
    <row r="1194">
      <c r="A1194" s="690"/>
      <c r="B1194" s="701" t="s">
        <v>515</v>
      </c>
      <c r="C1194" s="743" t="s">
        <v>416</v>
      </c>
      <c r="D1194" s="703" t="s">
        <v>488</v>
      </c>
      <c r="E1194" s="704">
        <v>2021.0</v>
      </c>
      <c r="F1194" s="743" t="s">
        <v>418</v>
      </c>
      <c r="G1194" s="743" t="s">
        <v>50</v>
      </c>
      <c r="H1194" s="705">
        <v>640147.0</v>
      </c>
      <c r="I1194" s="705">
        <v>692273.0</v>
      </c>
      <c r="J1194" s="706">
        <v>587602.0</v>
      </c>
      <c r="K1194" s="64"/>
      <c r="CE1194" s="460"/>
    </row>
    <row r="1195">
      <c r="A1195" s="690"/>
      <c r="B1195" s="712" t="s">
        <v>515</v>
      </c>
      <c r="C1195" s="742" t="s">
        <v>416</v>
      </c>
      <c r="D1195" s="714" t="s">
        <v>491</v>
      </c>
      <c r="E1195" s="715">
        <v>2021.0</v>
      </c>
      <c r="F1195" s="742" t="s">
        <v>418</v>
      </c>
      <c r="G1195" s="742" t="s">
        <v>50</v>
      </c>
      <c r="H1195" s="716">
        <v>473871.0</v>
      </c>
      <c r="I1195" s="716">
        <v>512457.0</v>
      </c>
      <c r="J1195" s="717">
        <v>434973.0</v>
      </c>
      <c r="K1195" s="64"/>
      <c r="CE1195" s="460"/>
    </row>
    <row r="1196">
      <c r="A1196" s="690"/>
      <c r="B1196" s="701" t="s">
        <v>515</v>
      </c>
      <c r="C1196" s="743" t="s">
        <v>416</v>
      </c>
      <c r="D1196" s="703" t="s">
        <v>493</v>
      </c>
      <c r="E1196" s="704">
        <v>2021.0</v>
      </c>
      <c r="F1196" s="743" t="s">
        <v>418</v>
      </c>
      <c r="G1196" s="743" t="s">
        <v>50</v>
      </c>
      <c r="H1196" s="705">
        <v>1331909.0</v>
      </c>
      <c r="I1196" s="705">
        <v>1440363.0</v>
      </c>
      <c r="J1196" s="706">
        <v>1222580.0</v>
      </c>
      <c r="K1196" s="64"/>
      <c r="CE1196" s="460"/>
    </row>
    <row r="1197">
      <c r="A1197" s="690"/>
      <c r="B1197" s="712" t="s">
        <v>515</v>
      </c>
      <c r="C1197" s="742" t="s">
        <v>416</v>
      </c>
      <c r="D1197" s="714" t="s">
        <v>434</v>
      </c>
      <c r="E1197" s="715">
        <v>2021.0</v>
      </c>
      <c r="F1197" s="742" t="s">
        <v>418</v>
      </c>
      <c r="G1197" s="742" t="s">
        <v>50</v>
      </c>
      <c r="H1197" s="716">
        <v>5399807.0</v>
      </c>
      <c r="I1197" s="716">
        <v>5839499.0</v>
      </c>
      <c r="J1197" s="717">
        <v>4956569.0</v>
      </c>
      <c r="K1197" s="64"/>
      <c r="CE1197" s="460"/>
    </row>
    <row r="1198">
      <c r="A1198" s="690"/>
      <c r="B1198" s="701" t="s">
        <v>515</v>
      </c>
      <c r="C1198" s="743" t="s">
        <v>416</v>
      </c>
      <c r="D1198" s="703" t="s">
        <v>497</v>
      </c>
      <c r="E1198" s="704">
        <v>2021.0</v>
      </c>
      <c r="F1198" s="743" t="s">
        <v>418</v>
      </c>
      <c r="G1198" s="743" t="s">
        <v>50</v>
      </c>
      <c r="H1198" s="705">
        <v>346506.0</v>
      </c>
      <c r="I1198" s="705">
        <v>374721.0</v>
      </c>
      <c r="J1198" s="706">
        <v>318063.0</v>
      </c>
      <c r="K1198" s="64"/>
      <c r="CE1198" s="460"/>
    </row>
    <row r="1199">
      <c r="A1199" s="690"/>
      <c r="B1199" s="712" t="s">
        <v>515</v>
      </c>
      <c r="C1199" s="742" t="s">
        <v>416</v>
      </c>
      <c r="D1199" s="714" t="s">
        <v>500</v>
      </c>
      <c r="E1199" s="715">
        <v>2021.0</v>
      </c>
      <c r="F1199" s="742" t="s">
        <v>418</v>
      </c>
      <c r="G1199" s="742" t="s">
        <v>50</v>
      </c>
      <c r="H1199" s="716">
        <v>2692280.0</v>
      </c>
      <c r="I1199" s="716">
        <v>2911506.0</v>
      </c>
      <c r="J1199" s="717">
        <v>2471287.0</v>
      </c>
      <c r="K1199" s="64"/>
      <c r="CE1199" s="460"/>
    </row>
    <row r="1200">
      <c r="A1200" s="690"/>
      <c r="B1200" s="701" t="s">
        <v>515</v>
      </c>
      <c r="C1200" s="743" t="s">
        <v>416</v>
      </c>
      <c r="D1200" s="703" t="s">
        <v>502</v>
      </c>
      <c r="E1200" s="704">
        <v>2021.0</v>
      </c>
      <c r="F1200" s="743" t="s">
        <v>418</v>
      </c>
      <c r="G1200" s="743" t="s">
        <v>50</v>
      </c>
      <c r="H1200" s="705">
        <v>283978.0</v>
      </c>
      <c r="I1200" s="705">
        <v>307101.0</v>
      </c>
      <c r="J1200" s="706">
        <v>260668.0</v>
      </c>
      <c r="K1200" s="64"/>
      <c r="CE1200" s="460"/>
    </row>
    <row r="1201">
      <c r="A1201" s="690"/>
      <c r="B1201" s="712" t="s">
        <v>515</v>
      </c>
      <c r="C1201" s="742" t="s">
        <v>416</v>
      </c>
      <c r="D1201" s="714" t="s">
        <v>505</v>
      </c>
      <c r="E1201" s="715">
        <v>2021.0</v>
      </c>
      <c r="F1201" s="742" t="s">
        <v>418</v>
      </c>
      <c r="G1201" s="742" t="s">
        <v>50</v>
      </c>
      <c r="H1201" s="716">
        <v>274263.0</v>
      </c>
      <c r="I1201" s="716">
        <v>296595.0</v>
      </c>
      <c r="J1201" s="717">
        <v>251750.0</v>
      </c>
      <c r="K1201" s="64"/>
      <c r="CE1201" s="460"/>
    </row>
    <row r="1202">
      <c r="A1202" s="690"/>
      <c r="B1202" s="701" t="s">
        <v>515</v>
      </c>
      <c r="C1202" s="743" t="s">
        <v>416</v>
      </c>
      <c r="D1202" s="703" t="s">
        <v>508</v>
      </c>
      <c r="E1202" s="704">
        <v>2021.0</v>
      </c>
      <c r="F1202" s="743" t="s">
        <v>418</v>
      </c>
      <c r="G1202" s="743" t="s">
        <v>50</v>
      </c>
      <c r="H1202" s="705">
        <v>227555.0</v>
      </c>
      <c r="I1202" s="705">
        <v>246084.0</v>
      </c>
      <c r="J1202" s="706">
        <v>208876.0</v>
      </c>
      <c r="K1202" s="64"/>
      <c r="CE1202" s="460"/>
    </row>
    <row r="1203">
      <c r="A1203" s="690"/>
      <c r="B1203" s="712" t="s">
        <v>515</v>
      </c>
      <c r="C1203" s="742" t="s">
        <v>416</v>
      </c>
      <c r="D1203" s="714" t="s">
        <v>511</v>
      </c>
      <c r="E1203" s="715">
        <v>2021.0</v>
      </c>
      <c r="F1203" s="742" t="s">
        <v>418</v>
      </c>
      <c r="G1203" s="742" t="s">
        <v>50</v>
      </c>
      <c r="H1203" s="716">
        <v>311090.0</v>
      </c>
      <c r="I1203" s="716">
        <v>336421.0</v>
      </c>
      <c r="J1203" s="717">
        <v>285554.0</v>
      </c>
      <c r="K1203" s="64"/>
      <c r="CE1203" s="460"/>
    </row>
    <row r="1204">
      <c r="A1204" s="749"/>
      <c r="B1204" s="701" t="s">
        <v>515</v>
      </c>
      <c r="C1204" s="743" t="s">
        <v>416</v>
      </c>
      <c r="D1204" s="703" t="s">
        <v>514</v>
      </c>
      <c r="E1204" s="704">
        <v>2021.0</v>
      </c>
      <c r="F1204" s="743" t="s">
        <v>418</v>
      </c>
      <c r="G1204" s="743" t="s">
        <v>50</v>
      </c>
      <c r="H1204" s="705">
        <v>158695.0</v>
      </c>
      <c r="I1204" s="705">
        <v>171618.0</v>
      </c>
      <c r="J1204" s="706">
        <v>145669.0</v>
      </c>
      <c r="K1204" s="64"/>
      <c r="V1204" s="750"/>
      <c r="AG1204" s="750"/>
      <c r="AR1204" s="750"/>
      <c r="BE1204" s="750"/>
      <c r="BR1204" s="750"/>
      <c r="CE1204" s="751"/>
    </row>
    <row r="1205">
      <c r="A1205" s="63"/>
      <c r="B1205" s="712" t="s">
        <v>515</v>
      </c>
      <c r="C1205" s="742" t="s">
        <v>416</v>
      </c>
      <c r="D1205" s="714" t="s">
        <v>439</v>
      </c>
      <c r="E1205" s="715">
        <v>2021.0</v>
      </c>
      <c r="F1205" s="742" t="s">
        <v>418</v>
      </c>
      <c r="G1205" s="742" t="s">
        <v>50</v>
      </c>
      <c r="H1205" s="716">
        <v>32077.0</v>
      </c>
      <c r="I1205" s="716">
        <v>34689.0</v>
      </c>
      <c r="J1205" s="717">
        <v>29444.0</v>
      </c>
      <c r="K1205" s="64"/>
      <c r="CE1205" s="460"/>
    </row>
    <row r="1206">
      <c r="A1206" s="63"/>
      <c r="B1206" s="701" t="s">
        <v>515</v>
      </c>
      <c r="C1206" s="743" t="s">
        <v>416</v>
      </c>
      <c r="D1206" s="703" t="s">
        <v>517</v>
      </c>
      <c r="E1206" s="704">
        <v>2021.0</v>
      </c>
      <c r="F1206" s="743" t="s">
        <v>418</v>
      </c>
      <c r="G1206" s="743" t="s">
        <v>50</v>
      </c>
      <c r="H1206" s="705">
        <v>88771.0</v>
      </c>
      <c r="I1206" s="705">
        <v>95999.0</v>
      </c>
      <c r="J1206" s="706">
        <v>81484.0</v>
      </c>
      <c r="K1206" s="64"/>
      <c r="CE1206" s="460"/>
    </row>
    <row r="1207">
      <c r="A1207" s="63"/>
      <c r="B1207" s="712" t="s">
        <v>515</v>
      </c>
      <c r="C1207" s="742" t="s">
        <v>416</v>
      </c>
      <c r="D1207" s="714" t="s">
        <v>520</v>
      </c>
      <c r="E1207" s="715">
        <v>2021.0</v>
      </c>
      <c r="F1207" s="742" t="s">
        <v>418</v>
      </c>
      <c r="G1207" s="742" t="s">
        <v>50</v>
      </c>
      <c r="H1207" s="716">
        <v>63623.0</v>
      </c>
      <c r="I1207" s="716">
        <v>68804.0</v>
      </c>
      <c r="J1207" s="717">
        <v>58401.0</v>
      </c>
      <c r="K1207" s="64"/>
      <c r="CE1207" s="460"/>
    </row>
    <row r="1208">
      <c r="A1208" s="63"/>
      <c r="B1208" s="701" t="s">
        <v>515</v>
      </c>
      <c r="C1208" s="743" t="s">
        <v>416</v>
      </c>
      <c r="D1208" s="703" t="s">
        <v>521</v>
      </c>
      <c r="E1208" s="704">
        <v>2021.0</v>
      </c>
      <c r="F1208" s="743" t="s">
        <v>418</v>
      </c>
      <c r="G1208" s="743" t="s">
        <v>50</v>
      </c>
      <c r="H1208" s="705">
        <v>41573.0</v>
      </c>
      <c r="I1208" s="705">
        <v>44958.0</v>
      </c>
      <c r="J1208" s="706">
        <v>38161.0</v>
      </c>
      <c r="K1208" s="64"/>
      <c r="CE1208" s="460"/>
    </row>
    <row r="1209">
      <c r="A1209" s="63"/>
      <c r="B1209" s="712" t="s">
        <v>515</v>
      </c>
      <c r="C1209" s="742" t="s">
        <v>416</v>
      </c>
      <c r="D1209" s="714" t="s">
        <v>524</v>
      </c>
      <c r="E1209" s="715">
        <v>2021.0</v>
      </c>
      <c r="F1209" s="742" t="s">
        <v>418</v>
      </c>
      <c r="G1209" s="742" t="s">
        <v>50</v>
      </c>
      <c r="H1209" s="716">
        <v>16087.0</v>
      </c>
      <c r="I1209" s="716">
        <v>17397.0</v>
      </c>
      <c r="J1209" s="717">
        <v>14766.0</v>
      </c>
      <c r="K1209" s="64"/>
      <c r="CE1209" s="460"/>
    </row>
    <row r="1210">
      <c r="A1210" s="63"/>
      <c r="B1210" s="701" t="s">
        <v>515</v>
      </c>
      <c r="C1210" s="743" t="s">
        <v>416</v>
      </c>
      <c r="D1210" s="703" t="s">
        <v>527</v>
      </c>
      <c r="E1210" s="704">
        <v>2021.0</v>
      </c>
      <c r="F1210" s="743" t="s">
        <v>418</v>
      </c>
      <c r="G1210" s="743" t="s">
        <v>50</v>
      </c>
      <c r="H1210" s="705">
        <v>4790.0</v>
      </c>
      <c r="I1210" s="705">
        <v>5180.0</v>
      </c>
      <c r="J1210" s="706">
        <v>4397.0</v>
      </c>
      <c r="K1210" s="64"/>
      <c r="CE1210" s="460"/>
    </row>
    <row r="1211">
      <c r="A1211" s="63"/>
      <c r="B1211" s="712" t="s">
        <v>515</v>
      </c>
      <c r="C1211" s="742" t="s">
        <v>416</v>
      </c>
      <c r="D1211" s="714" t="s">
        <v>529</v>
      </c>
      <c r="E1211" s="715">
        <v>2021.0</v>
      </c>
      <c r="F1211" s="742" t="s">
        <v>418</v>
      </c>
      <c r="G1211" s="742" t="s">
        <v>50</v>
      </c>
      <c r="H1211" s="716">
        <v>1174.0</v>
      </c>
      <c r="I1211" s="716">
        <v>1269.0</v>
      </c>
      <c r="J1211" s="717">
        <v>1077.0</v>
      </c>
      <c r="K1211" s="64"/>
      <c r="CE1211" s="460"/>
    </row>
    <row r="1212">
      <c r="A1212" s="63"/>
      <c r="B1212" s="701" t="s">
        <v>515</v>
      </c>
      <c r="C1212" s="743" t="s">
        <v>416</v>
      </c>
      <c r="D1212" s="703" t="s">
        <v>443</v>
      </c>
      <c r="E1212" s="704">
        <v>2021.0</v>
      </c>
      <c r="F1212" s="743" t="s">
        <v>418</v>
      </c>
      <c r="G1212" s="743" t="s">
        <v>50</v>
      </c>
      <c r="H1212" s="705">
        <v>1.9447841E7</v>
      </c>
      <c r="I1212" s="705">
        <v>2.1031427E7</v>
      </c>
      <c r="J1212" s="706">
        <v>1.7851483E7</v>
      </c>
      <c r="K1212" s="64"/>
      <c r="CE1212" s="460"/>
    </row>
    <row r="1213">
      <c r="A1213" s="63"/>
      <c r="B1213" s="712" t="s">
        <v>516</v>
      </c>
      <c r="C1213" s="742" t="s">
        <v>416</v>
      </c>
      <c r="D1213" s="714" t="s">
        <v>417</v>
      </c>
      <c r="E1213" s="715">
        <v>2021.0</v>
      </c>
      <c r="F1213" s="742" t="s">
        <v>418</v>
      </c>
      <c r="G1213" s="742" t="s">
        <v>50</v>
      </c>
      <c r="H1213" s="716">
        <v>1001231.0</v>
      </c>
      <c r="I1213" s="716">
        <v>1141213.0</v>
      </c>
      <c r="J1213" s="717">
        <v>856209.0</v>
      </c>
      <c r="K1213" s="64"/>
      <c r="CE1213" s="460"/>
    </row>
    <row r="1214">
      <c r="A1214" s="63"/>
      <c r="B1214" s="701" t="s">
        <v>516</v>
      </c>
      <c r="C1214" s="743" t="s">
        <v>416</v>
      </c>
      <c r="D1214" s="703" t="s">
        <v>431</v>
      </c>
      <c r="E1214" s="704">
        <v>2021.0</v>
      </c>
      <c r="F1214" s="743" t="s">
        <v>418</v>
      </c>
      <c r="G1214" s="743" t="s">
        <v>50</v>
      </c>
      <c r="H1214" s="705">
        <v>1.4233082E7</v>
      </c>
      <c r="I1214" s="705">
        <v>1.6222996E7</v>
      </c>
      <c r="J1214" s="706">
        <v>1.2171499E7</v>
      </c>
      <c r="K1214" s="64"/>
      <c r="CE1214" s="460"/>
    </row>
    <row r="1215">
      <c r="A1215" s="63"/>
      <c r="B1215" s="712" t="s">
        <v>516</v>
      </c>
      <c r="C1215" s="742" t="s">
        <v>416</v>
      </c>
      <c r="D1215" s="714" t="s">
        <v>438</v>
      </c>
      <c r="E1215" s="715">
        <v>2021.0</v>
      </c>
      <c r="F1215" s="742" t="s">
        <v>418</v>
      </c>
      <c r="G1215" s="742" t="s">
        <v>50</v>
      </c>
      <c r="H1215" s="716">
        <v>79639.0</v>
      </c>
      <c r="I1215" s="716">
        <v>90773.0</v>
      </c>
      <c r="J1215" s="717">
        <v>68104.0</v>
      </c>
      <c r="K1215" s="64"/>
      <c r="CE1215" s="460"/>
    </row>
    <row r="1216">
      <c r="A1216" s="63"/>
      <c r="B1216" s="701" t="s">
        <v>516</v>
      </c>
      <c r="C1216" s="743" t="s">
        <v>416</v>
      </c>
      <c r="D1216" s="703" t="s">
        <v>421</v>
      </c>
      <c r="E1216" s="704">
        <v>2021.0</v>
      </c>
      <c r="F1216" s="743" t="s">
        <v>418</v>
      </c>
      <c r="G1216" s="743" t="s">
        <v>50</v>
      </c>
      <c r="H1216" s="705">
        <v>4580380.0</v>
      </c>
      <c r="I1216" s="705">
        <v>5220759.0</v>
      </c>
      <c r="J1216" s="706">
        <v>3916937.0</v>
      </c>
      <c r="K1216" s="64"/>
      <c r="CE1216" s="460"/>
    </row>
    <row r="1217">
      <c r="A1217" s="63"/>
      <c r="B1217" s="712" t="s">
        <v>516</v>
      </c>
      <c r="C1217" s="742" t="s">
        <v>416</v>
      </c>
      <c r="D1217" s="714" t="s">
        <v>447</v>
      </c>
      <c r="E1217" s="715">
        <v>2021.0</v>
      </c>
      <c r="F1217" s="742" t="s">
        <v>418</v>
      </c>
      <c r="G1217" s="742" t="s">
        <v>50</v>
      </c>
      <c r="H1217" s="716">
        <v>1.1575787E7</v>
      </c>
      <c r="I1217" s="716">
        <v>1.3194186E7</v>
      </c>
      <c r="J1217" s="717">
        <v>9899098.0</v>
      </c>
      <c r="K1217" s="64"/>
      <c r="CE1217" s="460"/>
    </row>
    <row r="1218">
      <c r="A1218" s="63"/>
      <c r="B1218" s="701" t="s">
        <v>516</v>
      </c>
      <c r="C1218" s="743" t="s">
        <v>416</v>
      </c>
      <c r="D1218" s="703" t="s">
        <v>432</v>
      </c>
      <c r="E1218" s="704">
        <v>2021.0</v>
      </c>
      <c r="F1218" s="743" t="s">
        <v>418</v>
      </c>
      <c r="G1218" s="743" t="s">
        <v>50</v>
      </c>
      <c r="H1218" s="705">
        <v>20222.0</v>
      </c>
      <c r="I1218" s="705">
        <v>23049.0</v>
      </c>
      <c r="J1218" s="706">
        <v>17293.0</v>
      </c>
      <c r="K1218" s="64"/>
      <c r="CE1218" s="460"/>
    </row>
    <row r="1219">
      <c r="A1219" s="63"/>
      <c r="B1219" s="712" t="s">
        <v>516</v>
      </c>
      <c r="C1219" s="742" t="s">
        <v>416</v>
      </c>
      <c r="D1219" s="714" t="s">
        <v>450</v>
      </c>
      <c r="E1219" s="715">
        <v>2021.0</v>
      </c>
      <c r="F1219" s="742" t="s">
        <v>418</v>
      </c>
      <c r="G1219" s="742" t="s">
        <v>50</v>
      </c>
      <c r="H1219" s="716">
        <v>3179462.0</v>
      </c>
      <c r="I1219" s="716">
        <v>3623980.0</v>
      </c>
      <c r="J1219" s="717">
        <v>2718935.0</v>
      </c>
      <c r="K1219" s="64"/>
      <c r="CE1219" s="460"/>
    </row>
    <row r="1220">
      <c r="A1220" s="63"/>
      <c r="B1220" s="701" t="s">
        <v>516</v>
      </c>
      <c r="C1220" s="743" t="s">
        <v>416</v>
      </c>
      <c r="D1220" s="703" t="s">
        <v>453</v>
      </c>
      <c r="E1220" s="704">
        <v>2021.0</v>
      </c>
      <c r="F1220" s="743" t="s">
        <v>418</v>
      </c>
      <c r="G1220" s="743" t="s">
        <v>50</v>
      </c>
      <c r="H1220" s="705">
        <v>5836758.0</v>
      </c>
      <c r="I1220" s="705">
        <v>6652789.0</v>
      </c>
      <c r="J1220" s="706">
        <v>4991335.0</v>
      </c>
      <c r="K1220" s="64"/>
      <c r="CE1220" s="460"/>
    </row>
    <row r="1221">
      <c r="A1221" s="63"/>
      <c r="B1221" s="712" t="s">
        <v>516</v>
      </c>
      <c r="C1221" s="742" t="s">
        <v>416</v>
      </c>
      <c r="D1221" s="714" t="s">
        <v>454</v>
      </c>
      <c r="E1221" s="715">
        <v>2021.0</v>
      </c>
      <c r="F1221" s="742" t="s">
        <v>418</v>
      </c>
      <c r="G1221" s="742" t="s">
        <v>50</v>
      </c>
      <c r="H1221" s="716">
        <v>7992916.0</v>
      </c>
      <c r="I1221" s="716">
        <v>9110398.0</v>
      </c>
      <c r="J1221" s="717">
        <v>6835186.0</v>
      </c>
      <c r="K1221" s="64"/>
      <c r="CE1221" s="460"/>
    </row>
    <row r="1222">
      <c r="A1222" s="63"/>
      <c r="B1222" s="701" t="s">
        <v>516</v>
      </c>
      <c r="C1222" s="743" t="s">
        <v>416</v>
      </c>
      <c r="D1222" s="703" t="s">
        <v>457</v>
      </c>
      <c r="E1222" s="704">
        <v>2021.0</v>
      </c>
      <c r="F1222" s="743" t="s">
        <v>418</v>
      </c>
      <c r="G1222" s="743" t="s">
        <v>50</v>
      </c>
      <c r="H1222" s="705">
        <v>946979.0</v>
      </c>
      <c r="I1222" s="705">
        <v>1079375.0</v>
      </c>
      <c r="J1222" s="706">
        <v>809814.0</v>
      </c>
      <c r="K1222" s="64"/>
      <c r="CE1222" s="460"/>
    </row>
    <row r="1223">
      <c r="A1223" s="63"/>
      <c r="B1223" s="712" t="s">
        <v>516</v>
      </c>
      <c r="C1223" s="742" t="s">
        <v>416</v>
      </c>
      <c r="D1223" s="714" t="s">
        <v>460</v>
      </c>
      <c r="E1223" s="715">
        <v>2021.0</v>
      </c>
      <c r="F1223" s="742" t="s">
        <v>418</v>
      </c>
      <c r="G1223" s="742" t="s">
        <v>50</v>
      </c>
      <c r="H1223" s="716">
        <v>430496.0</v>
      </c>
      <c r="I1223" s="716">
        <v>490683.0</v>
      </c>
      <c r="J1223" s="717">
        <v>368141.0</v>
      </c>
      <c r="K1223" s="64"/>
      <c r="CE1223" s="460"/>
    </row>
    <row r="1224">
      <c r="A1224" s="63"/>
      <c r="B1224" s="701" t="s">
        <v>516</v>
      </c>
      <c r="C1224" s="743" t="s">
        <v>416</v>
      </c>
      <c r="D1224" s="703" t="s">
        <v>463</v>
      </c>
      <c r="E1224" s="704">
        <v>2021.0</v>
      </c>
      <c r="F1224" s="743" t="s">
        <v>418</v>
      </c>
      <c r="G1224" s="743" t="s">
        <v>50</v>
      </c>
      <c r="H1224" s="705">
        <v>2657295.0</v>
      </c>
      <c r="I1224" s="705">
        <v>3028809.0</v>
      </c>
      <c r="J1224" s="706">
        <v>2272401.0</v>
      </c>
      <c r="K1224" s="64"/>
      <c r="CE1224" s="460"/>
    </row>
    <row r="1225">
      <c r="A1225" s="63"/>
      <c r="B1225" s="712" t="s">
        <v>516</v>
      </c>
      <c r="C1225" s="742" t="s">
        <v>416</v>
      </c>
      <c r="D1225" s="714" t="s">
        <v>465</v>
      </c>
      <c r="E1225" s="715">
        <v>2021.0</v>
      </c>
      <c r="F1225" s="742" t="s">
        <v>418</v>
      </c>
      <c r="G1225" s="742" t="s">
        <v>50</v>
      </c>
      <c r="H1225" s="716">
        <v>1.0503575E7</v>
      </c>
      <c r="I1225" s="716">
        <v>1.197207E7</v>
      </c>
      <c r="J1225" s="717">
        <v>8982190.0</v>
      </c>
      <c r="K1225" s="64"/>
      <c r="CE1225" s="460"/>
    </row>
    <row r="1226">
      <c r="A1226" s="63"/>
      <c r="B1226" s="701" t="s">
        <v>516</v>
      </c>
      <c r="C1226" s="743" t="s">
        <v>416</v>
      </c>
      <c r="D1226" s="703" t="s">
        <v>468</v>
      </c>
      <c r="E1226" s="704">
        <v>2021.0</v>
      </c>
      <c r="F1226" s="743" t="s">
        <v>418</v>
      </c>
      <c r="G1226" s="743" t="s">
        <v>50</v>
      </c>
      <c r="H1226" s="705">
        <v>2156158.0</v>
      </c>
      <c r="I1226" s="705">
        <v>2457609.0</v>
      </c>
      <c r="J1226" s="706">
        <v>1843851.0</v>
      </c>
      <c r="K1226" s="64"/>
      <c r="CE1226" s="460"/>
    </row>
    <row r="1227">
      <c r="A1227" s="63"/>
      <c r="B1227" s="712" t="s">
        <v>516</v>
      </c>
      <c r="C1227" s="742" t="s">
        <v>416</v>
      </c>
      <c r="D1227" s="714" t="s">
        <v>471</v>
      </c>
      <c r="E1227" s="715">
        <v>2021.0</v>
      </c>
      <c r="F1227" s="742" t="s">
        <v>418</v>
      </c>
      <c r="G1227" s="742" t="s">
        <v>50</v>
      </c>
      <c r="H1227" s="716">
        <v>2632170.0</v>
      </c>
      <c r="I1227" s="716">
        <v>3000171.0</v>
      </c>
      <c r="J1227" s="717">
        <v>2250914.0</v>
      </c>
      <c r="K1227" s="64"/>
      <c r="CE1227" s="460"/>
    </row>
    <row r="1228">
      <c r="A1228" s="63"/>
      <c r="B1228" s="701" t="s">
        <v>516</v>
      </c>
      <c r="C1228" s="743" t="s">
        <v>416</v>
      </c>
      <c r="D1228" s="703" t="s">
        <v>473</v>
      </c>
      <c r="E1228" s="704">
        <v>2021.0</v>
      </c>
      <c r="F1228" s="743" t="s">
        <v>418</v>
      </c>
      <c r="G1228" s="743" t="s">
        <v>50</v>
      </c>
      <c r="H1228" s="705">
        <v>7714908.0</v>
      </c>
      <c r="I1228" s="705">
        <v>8793522.0</v>
      </c>
      <c r="J1228" s="706">
        <v>6597446.0</v>
      </c>
      <c r="K1228" s="64"/>
      <c r="CE1228" s="460"/>
    </row>
    <row r="1229">
      <c r="A1229" s="63"/>
      <c r="B1229" s="712" t="s">
        <v>516</v>
      </c>
      <c r="C1229" s="742" t="s">
        <v>416</v>
      </c>
      <c r="D1229" s="714" t="s">
        <v>476</v>
      </c>
      <c r="E1229" s="715">
        <v>2021.0</v>
      </c>
      <c r="F1229" s="742" t="s">
        <v>418</v>
      </c>
      <c r="G1229" s="742" t="s">
        <v>50</v>
      </c>
      <c r="H1229" s="716">
        <v>1691617.0</v>
      </c>
      <c r="I1229" s="716">
        <v>1928121.0</v>
      </c>
      <c r="J1229" s="717">
        <v>1446596.0</v>
      </c>
      <c r="K1229" s="64"/>
      <c r="CE1229" s="460"/>
    </row>
    <row r="1230">
      <c r="A1230" s="63"/>
      <c r="B1230" s="701" t="s">
        <v>516</v>
      </c>
      <c r="C1230" s="743" t="s">
        <v>416</v>
      </c>
      <c r="D1230" s="703" t="s">
        <v>479</v>
      </c>
      <c r="E1230" s="704">
        <v>2021.0</v>
      </c>
      <c r="F1230" s="743" t="s">
        <v>418</v>
      </c>
      <c r="G1230" s="743" t="s">
        <v>50</v>
      </c>
      <c r="H1230" s="705">
        <v>1328936.0</v>
      </c>
      <c r="I1230" s="705">
        <v>1514733.0</v>
      </c>
      <c r="J1230" s="706">
        <v>1136447.0</v>
      </c>
      <c r="K1230" s="64"/>
      <c r="CE1230" s="460"/>
    </row>
    <row r="1231">
      <c r="A1231" s="63"/>
      <c r="B1231" s="712" t="s">
        <v>516</v>
      </c>
      <c r="C1231" s="742" t="s">
        <v>416</v>
      </c>
      <c r="D1231" s="714" t="s">
        <v>482</v>
      </c>
      <c r="E1231" s="715">
        <v>2021.0</v>
      </c>
      <c r="F1231" s="742" t="s">
        <v>418</v>
      </c>
      <c r="G1231" s="742" t="s">
        <v>50</v>
      </c>
      <c r="H1231" s="716">
        <v>1073114.0</v>
      </c>
      <c r="I1231" s="716">
        <v>1223145.0</v>
      </c>
      <c r="J1231" s="717">
        <v>917679.0</v>
      </c>
      <c r="K1231" s="64"/>
      <c r="CE1231" s="460"/>
    </row>
    <row r="1232">
      <c r="A1232" s="63"/>
      <c r="B1232" s="701" t="s">
        <v>516</v>
      </c>
      <c r="C1232" s="743" t="s">
        <v>416</v>
      </c>
      <c r="D1232" s="703" t="s">
        <v>485</v>
      </c>
      <c r="E1232" s="704">
        <v>2021.0</v>
      </c>
      <c r="F1232" s="743" t="s">
        <v>418</v>
      </c>
      <c r="G1232" s="743" t="s">
        <v>50</v>
      </c>
      <c r="H1232" s="705">
        <v>884604.0</v>
      </c>
      <c r="I1232" s="705">
        <v>1008280.0</v>
      </c>
      <c r="J1232" s="706">
        <v>756474.0</v>
      </c>
      <c r="K1232" s="64"/>
      <c r="CE1232" s="460"/>
    </row>
    <row r="1233">
      <c r="A1233" s="63"/>
      <c r="B1233" s="712" t="s">
        <v>516</v>
      </c>
      <c r="C1233" s="742" t="s">
        <v>416</v>
      </c>
      <c r="D1233" s="714" t="s">
        <v>488</v>
      </c>
      <c r="E1233" s="715">
        <v>2021.0</v>
      </c>
      <c r="F1233" s="742" t="s">
        <v>418</v>
      </c>
      <c r="G1233" s="742" t="s">
        <v>50</v>
      </c>
      <c r="H1233" s="716">
        <v>711850.0</v>
      </c>
      <c r="I1233" s="716">
        <v>811373.0</v>
      </c>
      <c r="J1233" s="717">
        <v>608743.0</v>
      </c>
      <c r="K1233" s="64"/>
      <c r="CE1233" s="460"/>
    </row>
    <row r="1234">
      <c r="A1234" s="63"/>
      <c r="B1234" s="701" t="s">
        <v>516</v>
      </c>
      <c r="C1234" s="743" t="s">
        <v>416</v>
      </c>
      <c r="D1234" s="703" t="s">
        <v>491</v>
      </c>
      <c r="E1234" s="704">
        <v>2021.0</v>
      </c>
      <c r="F1234" s="743" t="s">
        <v>418</v>
      </c>
      <c r="G1234" s="743" t="s">
        <v>50</v>
      </c>
      <c r="H1234" s="705">
        <v>577414.0</v>
      </c>
      <c r="I1234" s="705">
        <v>658141.0</v>
      </c>
      <c r="J1234" s="706">
        <v>493778.0</v>
      </c>
      <c r="K1234" s="64"/>
      <c r="CE1234" s="460"/>
    </row>
    <row r="1235">
      <c r="A1235" s="63"/>
      <c r="B1235" s="712" t="s">
        <v>516</v>
      </c>
      <c r="C1235" s="742" t="s">
        <v>416</v>
      </c>
      <c r="D1235" s="714" t="s">
        <v>493</v>
      </c>
      <c r="E1235" s="715">
        <v>2021.0</v>
      </c>
      <c r="F1235" s="742" t="s">
        <v>418</v>
      </c>
      <c r="G1235" s="742" t="s">
        <v>50</v>
      </c>
      <c r="H1235" s="716">
        <v>1655602.0</v>
      </c>
      <c r="I1235" s="716">
        <v>1887070.0</v>
      </c>
      <c r="J1235" s="717">
        <v>1415797.0</v>
      </c>
      <c r="K1235" s="64"/>
      <c r="CE1235" s="460"/>
    </row>
    <row r="1236">
      <c r="A1236" s="63"/>
      <c r="B1236" s="701" t="s">
        <v>516</v>
      </c>
      <c r="C1236" s="743" t="s">
        <v>416</v>
      </c>
      <c r="D1236" s="703" t="s">
        <v>434</v>
      </c>
      <c r="E1236" s="704">
        <v>2021.0</v>
      </c>
      <c r="F1236" s="743" t="s">
        <v>418</v>
      </c>
      <c r="G1236" s="743" t="s">
        <v>50</v>
      </c>
      <c r="H1236" s="705">
        <v>6995407.0</v>
      </c>
      <c r="I1236" s="705">
        <v>7973428.0</v>
      </c>
      <c r="J1236" s="706">
        <v>5982161.0</v>
      </c>
      <c r="K1236" s="64"/>
      <c r="CE1236" s="460"/>
    </row>
    <row r="1237">
      <c r="A1237" s="63"/>
      <c r="B1237" s="712" t="s">
        <v>516</v>
      </c>
      <c r="C1237" s="742" t="s">
        <v>416</v>
      </c>
      <c r="D1237" s="714" t="s">
        <v>497</v>
      </c>
      <c r="E1237" s="715">
        <v>2021.0</v>
      </c>
      <c r="F1237" s="742" t="s">
        <v>418</v>
      </c>
      <c r="G1237" s="742" t="s">
        <v>50</v>
      </c>
      <c r="H1237" s="716">
        <v>457222.0</v>
      </c>
      <c r="I1237" s="716">
        <v>521146.0</v>
      </c>
      <c r="J1237" s="717">
        <v>390996.0</v>
      </c>
      <c r="K1237" s="64"/>
      <c r="CE1237" s="460"/>
    </row>
    <row r="1238">
      <c r="A1238" s="63"/>
      <c r="B1238" s="701" t="s">
        <v>516</v>
      </c>
      <c r="C1238" s="743" t="s">
        <v>416</v>
      </c>
      <c r="D1238" s="703" t="s">
        <v>500</v>
      </c>
      <c r="E1238" s="704">
        <v>2021.0</v>
      </c>
      <c r="F1238" s="743" t="s">
        <v>418</v>
      </c>
      <c r="G1238" s="743" t="s">
        <v>50</v>
      </c>
      <c r="H1238" s="705">
        <v>3815945.0</v>
      </c>
      <c r="I1238" s="705">
        <v>4349448.0</v>
      </c>
      <c r="J1238" s="706">
        <v>3263226.0</v>
      </c>
      <c r="K1238" s="64"/>
      <c r="CE1238" s="460"/>
    </row>
    <row r="1239">
      <c r="A1239" s="63"/>
      <c r="B1239" s="712" t="s">
        <v>516</v>
      </c>
      <c r="C1239" s="742" t="s">
        <v>416</v>
      </c>
      <c r="D1239" s="714" t="s">
        <v>502</v>
      </c>
      <c r="E1239" s="715">
        <v>2021.0</v>
      </c>
      <c r="F1239" s="742" t="s">
        <v>418</v>
      </c>
      <c r="G1239" s="742" t="s">
        <v>50</v>
      </c>
      <c r="H1239" s="716">
        <v>357118.0</v>
      </c>
      <c r="I1239" s="716">
        <v>407046.0</v>
      </c>
      <c r="J1239" s="717">
        <v>305391.0</v>
      </c>
      <c r="K1239" s="64"/>
      <c r="CE1239" s="460"/>
    </row>
    <row r="1240">
      <c r="A1240" s="63"/>
      <c r="B1240" s="701" t="s">
        <v>516</v>
      </c>
      <c r="C1240" s="743" t="s">
        <v>416</v>
      </c>
      <c r="D1240" s="703" t="s">
        <v>505</v>
      </c>
      <c r="E1240" s="704">
        <v>2021.0</v>
      </c>
      <c r="F1240" s="743" t="s">
        <v>418</v>
      </c>
      <c r="G1240" s="743" t="s">
        <v>50</v>
      </c>
      <c r="H1240" s="705">
        <v>491097.0</v>
      </c>
      <c r="I1240" s="705">
        <v>559756.0</v>
      </c>
      <c r="J1240" s="706">
        <v>419964.0</v>
      </c>
      <c r="K1240" s="64"/>
      <c r="CE1240" s="460"/>
    </row>
    <row r="1241">
      <c r="A1241" s="63"/>
      <c r="B1241" s="712" t="s">
        <v>516</v>
      </c>
      <c r="C1241" s="742" t="s">
        <v>416</v>
      </c>
      <c r="D1241" s="714" t="s">
        <v>508</v>
      </c>
      <c r="E1241" s="715">
        <v>2021.0</v>
      </c>
      <c r="F1241" s="742" t="s">
        <v>418</v>
      </c>
      <c r="G1241" s="742" t="s">
        <v>50</v>
      </c>
      <c r="H1241" s="716">
        <v>263849.0</v>
      </c>
      <c r="I1241" s="716">
        <v>300738.0</v>
      </c>
      <c r="J1241" s="717">
        <v>225632.0</v>
      </c>
      <c r="K1241" s="64"/>
      <c r="CE1241" s="460"/>
    </row>
    <row r="1242">
      <c r="A1242" s="63"/>
      <c r="B1242" s="701" t="s">
        <v>516</v>
      </c>
      <c r="C1242" s="743" t="s">
        <v>416</v>
      </c>
      <c r="D1242" s="703" t="s">
        <v>511</v>
      </c>
      <c r="E1242" s="704">
        <v>2021.0</v>
      </c>
      <c r="F1242" s="743" t="s">
        <v>418</v>
      </c>
      <c r="G1242" s="743" t="s">
        <v>50</v>
      </c>
      <c r="H1242" s="705">
        <v>369184.0</v>
      </c>
      <c r="I1242" s="705">
        <v>420800.0</v>
      </c>
      <c r="J1242" s="706">
        <v>315710.0</v>
      </c>
      <c r="K1242" s="64"/>
      <c r="CE1242" s="460"/>
    </row>
    <row r="1243">
      <c r="A1243" s="63"/>
      <c r="B1243" s="712" t="s">
        <v>516</v>
      </c>
      <c r="C1243" s="742" t="s">
        <v>416</v>
      </c>
      <c r="D1243" s="714" t="s">
        <v>514</v>
      </c>
      <c r="E1243" s="715">
        <v>2021.0</v>
      </c>
      <c r="F1243" s="742" t="s">
        <v>418</v>
      </c>
      <c r="G1243" s="742" t="s">
        <v>50</v>
      </c>
      <c r="H1243" s="716">
        <v>180249.0</v>
      </c>
      <c r="I1243" s="716">
        <v>205450.0</v>
      </c>
      <c r="J1243" s="717">
        <v>154141.0</v>
      </c>
      <c r="K1243" s="64"/>
      <c r="CE1243" s="460"/>
    </row>
    <row r="1244">
      <c r="A1244" s="63"/>
      <c r="B1244" s="701" t="s">
        <v>516</v>
      </c>
      <c r="C1244" s="743" t="s">
        <v>416</v>
      </c>
      <c r="D1244" s="703" t="s">
        <v>439</v>
      </c>
      <c r="E1244" s="704">
        <v>2021.0</v>
      </c>
      <c r="F1244" s="743" t="s">
        <v>418</v>
      </c>
      <c r="G1244" s="743" t="s">
        <v>50</v>
      </c>
      <c r="H1244" s="705">
        <v>59417.0</v>
      </c>
      <c r="I1244" s="705">
        <v>67724.0</v>
      </c>
      <c r="J1244" s="706">
        <v>50811.0</v>
      </c>
      <c r="K1244" s="64"/>
      <c r="CE1244" s="460"/>
    </row>
    <row r="1245">
      <c r="A1245" s="63"/>
      <c r="B1245" s="712" t="s">
        <v>516</v>
      </c>
      <c r="C1245" s="742" t="s">
        <v>416</v>
      </c>
      <c r="D1245" s="714" t="s">
        <v>517</v>
      </c>
      <c r="E1245" s="715">
        <v>2021.0</v>
      </c>
      <c r="F1245" s="742" t="s">
        <v>418</v>
      </c>
      <c r="G1245" s="742" t="s">
        <v>50</v>
      </c>
      <c r="H1245" s="716">
        <v>106854.0</v>
      </c>
      <c r="I1245" s="716">
        <v>121794.0</v>
      </c>
      <c r="J1245" s="717">
        <v>91377.0</v>
      </c>
      <c r="K1245" s="64"/>
      <c r="CE1245" s="460"/>
    </row>
    <row r="1246">
      <c r="A1246" s="63"/>
      <c r="B1246" s="701" t="s">
        <v>516</v>
      </c>
      <c r="C1246" s="743" t="s">
        <v>416</v>
      </c>
      <c r="D1246" s="703" t="s">
        <v>520</v>
      </c>
      <c r="E1246" s="704">
        <v>2021.0</v>
      </c>
      <c r="F1246" s="743" t="s">
        <v>418</v>
      </c>
      <c r="G1246" s="743" t="s">
        <v>50</v>
      </c>
      <c r="H1246" s="705">
        <v>82080.0</v>
      </c>
      <c r="I1246" s="705">
        <v>93556.0</v>
      </c>
      <c r="J1246" s="706">
        <v>70192.0</v>
      </c>
      <c r="K1246" s="64"/>
      <c r="CE1246" s="460"/>
    </row>
    <row r="1247">
      <c r="A1247" s="63"/>
      <c r="B1247" s="712" t="s">
        <v>516</v>
      </c>
      <c r="C1247" s="742" t="s">
        <v>416</v>
      </c>
      <c r="D1247" s="714" t="s">
        <v>521</v>
      </c>
      <c r="E1247" s="715">
        <v>2021.0</v>
      </c>
      <c r="F1247" s="742" t="s">
        <v>418</v>
      </c>
      <c r="G1247" s="742" t="s">
        <v>50</v>
      </c>
      <c r="H1247" s="716">
        <v>56391.0</v>
      </c>
      <c r="I1247" s="716">
        <v>64275.0</v>
      </c>
      <c r="J1247" s="717">
        <v>48223.0</v>
      </c>
      <c r="K1247" s="64"/>
      <c r="CE1247" s="460"/>
    </row>
    <row r="1248">
      <c r="A1248" s="63"/>
      <c r="B1248" s="701" t="s">
        <v>516</v>
      </c>
      <c r="C1248" s="743" t="s">
        <v>416</v>
      </c>
      <c r="D1248" s="703" t="s">
        <v>524</v>
      </c>
      <c r="E1248" s="704">
        <v>2021.0</v>
      </c>
      <c r="F1248" s="743" t="s">
        <v>418</v>
      </c>
      <c r="G1248" s="743" t="s">
        <v>50</v>
      </c>
      <c r="H1248" s="705">
        <v>21031.0</v>
      </c>
      <c r="I1248" s="705">
        <v>23972.0</v>
      </c>
      <c r="J1248" s="706">
        <v>17985.0</v>
      </c>
      <c r="K1248" s="64"/>
      <c r="CE1248" s="460"/>
    </row>
    <row r="1249">
      <c r="A1249" s="63"/>
      <c r="B1249" s="712" t="s">
        <v>516</v>
      </c>
      <c r="C1249" s="742" t="s">
        <v>416</v>
      </c>
      <c r="D1249" s="714" t="s">
        <v>527</v>
      </c>
      <c r="E1249" s="715">
        <v>2021.0</v>
      </c>
      <c r="F1249" s="742" t="s">
        <v>418</v>
      </c>
      <c r="G1249" s="742" t="s">
        <v>50</v>
      </c>
      <c r="H1249" s="716">
        <v>4011.0</v>
      </c>
      <c r="I1249" s="716">
        <v>4572.0</v>
      </c>
      <c r="J1249" s="717">
        <v>3430.0</v>
      </c>
      <c r="K1249" s="64"/>
      <c r="CE1249" s="460"/>
    </row>
    <row r="1250">
      <c r="A1250" s="63"/>
      <c r="B1250" s="701" t="s">
        <v>516</v>
      </c>
      <c r="C1250" s="743" t="s">
        <v>416</v>
      </c>
      <c r="D1250" s="703" t="s">
        <v>529</v>
      </c>
      <c r="E1250" s="704">
        <v>2021.0</v>
      </c>
      <c r="F1250" s="743" t="s">
        <v>418</v>
      </c>
      <c r="G1250" s="743" t="s">
        <v>50</v>
      </c>
      <c r="H1250" s="705">
        <v>647.0</v>
      </c>
      <c r="I1250" s="705">
        <v>737.0</v>
      </c>
      <c r="J1250" s="706">
        <v>553.0</v>
      </c>
      <c r="K1250" s="64"/>
      <c r="CE1250" s="460"/>
    </row>
    <row r="1251">
      <c r="A1251" s="63"/>
      <c r="B1251" s="712" t="s">
        <v>516</v>
      </c>
      <c r="C1251" s="742" t="s">
        <v>416</v>
      </c>
      <c r="D1251" s="714" t="s">
        <v>443</v>
      </c>
      <c r="E1251" s="715">
        <v>2021.0</v>
      </c>
      <c r="F1251" s="742" t="s">
        <v>418</v>
      </c>
      <c r="G1251" s="742" t="s">
        <v>50</v>
      </c>
      <c r="H1251" s="716">
        <v>2.4104149E7</v>
      </c>
      <c r="I1251" s="716">
        <v>2.7474126E7</v>
      </c>
      <c r="J1251" s="717">
        <v>2.0612795E7</v>
      </c>
      <c r="K1251" s="64"/>
      <c r="CE1251" s="460"/>
    </row>
    <row r="1252">
      <c r="A1252" s="63"/>
      <c r="B1252" s="701" t="s">
        <v>518</v>
      </c>
      <c r="C1252" s="743" t="s">
        <v>416</v>
      </c>
      <c r="D1252" s="703" t="s">
        <v>417</v>
      </c>
      <c r="E1252" s="704">
        <v>2021.0</v>
      </c>
      <c r="F1252" s="743" t="s">
        <v>418</v>
      </c>
      <c r="G1252" s="743" t="s">
        <v>50</v>
      </c>
      <c r="H1252" s="705">
        <v>132096.0</v>
      </c>
      <c r="I1252" s="705">
        <v>148117.0</v>
      </c>
      <c r="J1252" s="706">
        <v>116633.0</v>
      </c>
      <c r="K1252" s="64"/>
      <c r="CE1252" s="460"/>
    </row>
    <row r="1253">
      <c r="A1253" s="63"/>
      <c r="B1253" s="712" t="s">
        <v>518</v>
      </c>
      <c r="C1253" s="742" t="s">
        <v>416</v>
      </c>
      <c r="D1253" s="714" t="s">
        <v>431</v>
      </c>
      <c r="E1253" s="715">
        <v>2021.0</v>
      </c>
      <c r="F1253" s="742" t="s">
        <v>418</v>
      </c>
      <c r="G1253" s="742" t="s">
        <v>50</v>
      </c>
      <c r="H1253" s="716">
        <v>2332172.0</v>
      </c>
      <c r="I1253" s="716">
        <v>2615015.0</v>
      </c>
      <c r="J1253" s="717">
        <v>2059173.0</v>
      </c>
      <c r="K1253" s="64"/>
      <c r="CE1253" s="460"/>
    </row>
    <row r="1254">
      <c r="A1254" s="63"/>
      <c r="B1254" s="701" t="s">
        <v>518</v>
      </c>
      <c r="C1254" s="743" t="s">
        <v>416</v>
      </c>
      <c r="D1254" s="703" t="s">
        <v>438</v>
      </c>
      <c r="E1254" s="704">
        <v>2021.0</v>
      </c>
      <c r="F1254" s="743" t="s">
        <v>418</v>
      </c>
      <c r="G1254" s="743" t="s">
        <v>50</v>
      </c>
      <c r="H1254" s="705">
        <v>10211.0</v>
      </c>
      <c r="I1254" s="705">
        <v>11450.0</v>
      </c>
      <c r="J1254" s="706">
        <v>9016.0</v>
      </c>
      <c r="K1254" s="64"/>
      <c r="CE1254" s="460"/>
    </row>
    <row r="1255">
      <c r="A1255" s="63"/>
      <c r="B1255" s="712" t="s">
        <v>518</v>
      </c>
      <c r="C1255" s="742" t="s">
        <v>416</v>
      </c>
      <c r="D1255" s="714" t="s">
        <v>421</v>
      </c>
      <c r="E1255" s="715">
        <v>2021.0</v>
      </c>
      <c r="F1255" s="742" t="s">
        <v>418</v>
      </c>
      <c r="G1255" s="742" t="s">
        <v>50</v>
      </c>
      <c r="H1255" s="716">
        <v>657002.0</v>
      </c>
      <c r="I1255" s="716">
        <v>736682.0</v>
      </c>
      <c r="J1255" s="717">
        <v>580094.0</v>
      </c>
      <c r="K1255" s="64"/>
      <c r="CE1255" s="460"/>
    </row>
    <row r="1256">
      <c r="A1256" s="63"/>
      <c r="B1256" s="701" t="s">
        <v>518</v>
      </c>
      <c r="C1256" s="743" t="s">
        <v>416</v>
      </c>
      <c r="D1256" s="703" t="s">
        <v>447</v>
      </c>
      <c r="E1256" s="704">
        <v>2021.0</v>
      </c>
      <c r="F1256" s="743" t="s">
        <v>418</v>
      </c>
      <c r="G1256" s="743" t="s">
        <v>50</v>
      </c>
      <c r="H1256" s="705">
        <v>1853013.0</v>
      </c>
      <c r="I1256" s="705">
        <v>2077745.0</v>
      </c>
      <c r="J1256" s="706">
        <v>1636103.0</v>
      </c>
      <c r="K1256" s="64"/>
      <c r="CE1256" s="460"/>
    </row>
    <row r="1257">
      <c r="A1257" s="63"/>
      <c r="B1257" s="712" t="s">
        <v>518</v>
      </c>
      <c r="C1257" s="742" t="s">
        <v>416</v>
      </c>
      <c r="D1257" s="714" t="s">
        <v>432</v>
      </c>
      <c r="E1257" s="715">
        <v>2021.0</v>
      </c>
      <c r="F1257" s="742" t="s">
        <v>418</v>
      </c>
      <c r="G1257" s="742" t="s">
        <v>50</v>
      </c>
      <c r="H1257" s="716">
        <v>2571.0</v>
      </c>
      <c r="I1257" s="716">
        <v>2883.0</v>
      </c>
      <c r="J1257" s="717">
        <v>2270.0</v>
      </c>
      <c r="K1257" s="64"/>
      <c r="CE1257" s="460"/>
    </row>
    <row r="1258">
      <c r="A1258" s="63"/>
      <c r="B1258" s="701" t="s">
        <v>518</v>
      </c>
      <c r="C1258" s="743" t="s">
        <v>416</v>
      </c>
      <c r="D1258" s="703" t="s">
        <v>450</v>
      </c>
      <c r="E1258" s="704">
        <v>2021.0</v>
      </c>
      <c r="F1258" s="743" t="s">
        <v>418</v>
      </c>
      <c r="G1258" s="743" t="s">
        <v>50</v>
      </c>
      <c r="H1258" s="705">
        <v>565446.0</v>
      </c>
      <c r="I1258" s="705">
        <v>634023.0</v>
      </c>
      <c r="J1258" s="706">
        <v>499256.0</v>
      </c>
      <c r="K1258" s="64"/>
      <c r="CE1258" s="460"/>
    </row>
    <row r="1259">
      <c r="A1259" s="63"/>
      <c r="B1259" s="712" t="s">
        <v>518</v>
      </c>
      <c r="C1259" s="742" t="s">
        <v>416</v>
      </c>
      <c r="D1259" s="714" t="s">
        <v>453</v>
      </c>
      <c r="E1259" s="715">
        <v>2021.0</v>
      </c>
      <c r="F1259" s="742" t="s">
        <v>418</v>
      </c>
      <c r="G1259" s="742" t="s">
        <v>50</v>
      </c>
      <c r="H1259" s="716">
        <v>1044605.0</v>
      </c>
      <c r="I1259" s="716">
        <v>1171293.0</v>
      </c>
      <c r="J1259" s="717">
        <v>922325.0</v>
      </c>
      <c r="K1259" s="64"/>
      <c r="CE1259" s="460"/>
    </row>
    <row r="1260">
      <c r="A1260" s="63"/>
      <c r="B1260" s="701" t="s">
        <v>518</v>
      </c>
      <c r="C1260" s="743" t="s">
        <v>416</v>
      </c>
      <c r="D1260" s="703" t="s">
        <v>454</v>
      </c>
      <c r="E1260" s="704">
        <v>2021.0</v>
      </c>
      <c r="F1260" s="743" t="s">
        <v>418</v>
      </c>
      <c r="G1260" s="743" t="s">
        <v>50</v>
      </c>
      <c r="H1260" s="705">
        <v>1436284.0</v>
      </c>
      <c r="I1260" s="705">
        <v>1610475.0</v>
      </c>
      <c r="J1260" s="706">
        <v>1268156.0</v>
      </c>
      <c r="K1260" s="64"/>
      <c r="CE1260" s="460"/>
    </row>
    <row r="1261">
      <c r="A1261" s="63"/>
      <c r="B1261" s="712" t="s">
        <v>518</v>
      </c>
      <c r="C1261" s="742" t="s">
        <v>416</v>
      </c>
      <c r="D1261" s="714" t="s">
        <v>457</v>
      </c>
      <c r="E1261" s="715">
        <v>2021.0</v>
      </c>
      <c r="F1261" s="742" t="s">
        <v>418</v>
      </c>
      <c r="G1261" s="742" t="s">
        <v>50</v>
      </c>
      <c r="H1261" s="716">
        <v>131618.0</v>
      </c>
      <c r="I1261" s="716">
        <v>147581.0</v>
      </c>
      <c r="J1261" s="717">
        <v>116211.0</v>
      </c>
      <c r="K1261" s="64"/>
      <c r="CE1261" s="460"/>
    </row>
    <row r="1262">
      <c r="A1262" s="63"/>
      <c r="B1262" s="701" t="s">
        <v>518</v>
      </c>
      <c r="C1262" s="743" t="s">
        <v>416</v>
      </c>
      <c r="D1262" s="703" t="s">
        <v>460</v>
      </c>
      <c r="E1262" s="704">
        <v>2021.0</v>
      </c>
      <c r="F1262" s="743" t="s">
        <v>418</v>
      </c>
      <c r="G1262" s="743" t="s">
        <v>50</v>
      </c>
      <c r="H1262" s="705">
        <v>56179.0</v>
      </c>
      <c r="I1262" s="705">
        <v>62992.0</v>
      </c>
      <c r="J1262" s="706">
        <v>49603.0</v>
      </c>
      <c r="K1262" s="64"/>
      <c r="CE1262" s="460"/>
    </row>
    <row r="1263">
      <c r="A1263" s="63"/>
      <c r="B1263" s="712" t="s">
        <v>518</v>
      </c>
      <c r="C1263" s="742" t="s">
        <v>416</v>
      </c>
      <c r="D1263" s="714" t="s">
        <v>463</v>
      </c>
      <c r="E1263" s="715">
        <v>2021.0</v>
      </c>
      <c r="F1263" s="742" t="s">
        <v>418</v>
      </c>
      <c r="G1263" s="742" t="s">
        <v>50</v>
      </c>
      <c r="H1263" s="716">
        <v>479159.0</v>
      </c>
      <c r="I1263" s="716">
        <v>537271.0</v>
      </c>
      <c r="J1263" s="717">
        <v>423069.0</v>
      </c>
      <c r="K1263" s="64"/>
      <c r="CE1263" s="460"/>
    </row>
    <row r="1264">
      <c r="A1264" s="63"/>
      <c r="B1264" s="701" t="s">
        <v>518</v>
      </c>
      <c r="C1264" s="743" t="s">
        <v>416</v>
      </c>
      <c r="D1264" s="703" t="s">
        <v>465</v>
      </c>
      <c r="E1264" s="704">
        <v>2021.0</v>
      </c>
      <c r="F1264" s="743" t="s">
        <v>418</v>
      </c>
      <c r="G1264" s="743" t="s">
        <v>50</v>
      </c>
      <c r="H1264" s="705">
        <v>2056433.0</v>
      </c>
      <c r="I1264" s="705">
        <v>2305835.0</v>
      </c>
      <c r="J1264" s="706">
        <v>1815711.0</v>
      </c>
      <c r="K1264" s="64"/>
      <c r="CE1264" s="460"/>
    </row>
    <row r="1265">
      <c r="A1265" s="63"/>
      <c r="B1265" s="712" t="s">
        <v>518</v>
      </c>
      <c r="C1265" s="742" t="s">
        <v>416</v>
      </c>
      <c r="D1265" s="714" t="s">
        <v>468</v>
      </c>
      <c r="E1265" s="715">
        <v>2021.0</v>
      </c>
      <c r="F1265" s="742" t="s">
        <v>418</v>
      </c>
      <c r="G1265" s="742" t="s">
        <v>50</v>
      </c>
      <c r="H1265" s="716">
        <v>391680.0</v>
      </c>
      <c r="I1265" s="716">
        <v>439182.0</v>
      </c>
      <c r="J1265" s="717">
        <v>345830.0</v>
      </c>
      <c r="K1265" s="64"/>
      <c r="CE1265" s="460"/>
    </row>
    <row r="1266">
      <c r="A1266" s="63"/>
      <c r="B1266" s="701" t="s">
        <v>518</v>
      </c>
      <c r="C1266" s="743" t="s">
        <v>416</v>
      </c>
      <c r="D1266" s="703" t="s">
        <v>471</v>
      </c>
      <c r="E1266" s="704">
        <v>2021.0</v>
      </c>
      <c r="F1266" s="743" t="s">
        <v>418</v>
      </c>
      <c r="G1266" s="743" t="s">
        <v>50</v>
      </c>
      <c r="H1266" s="705">
        <v>393287.0</v>
      </c>
      <c r="I1266" s="705">
        <v>440985.0</v>
      </c>
      <c r="J1266" s="706">
        <v>347250.0</v>
      </c>
      <c r="K1266" s="64"/>
      <c r="CE1266" s="460"/>
    </row>
    <row r="1267">
      <c r="A1267" s="63"/>
      <c r="B1267" s="712" t="s">
        <v>518</v>
      </c>
      <c r="C1267" s="742" t="s">
        <v>416</v>
      </c>
      <c r="D1267" s="714" t="s">
        <v>473</v>
      </c>
      <c r="E1267" s="715">
        <v>2021.0</v>
      </c>
      <c r="F1267" s="742" t="s">
        <v>418</v>
      </c>
      <c r="G1267" s="742" t="s">
        <v>50</v>
      </c>
      <c r="H1267" s="716">
        <v>1672383.0</v>
      </c>
      <c r="I1267" s="716">
        <v>1875207.0</v>
      </c>
      <c r="J1267" s="717">
        <v>1476617.0</v>
      </c>
      <c r="K1267" s="64"/>
      <c r="CE1267" s="460"/>
    </row>
    <row r="1268">
      <c r="A1268" s="63"/>
      <c r="B1268" s="701" t="s">
        <v>518</v>
      </c>
      <c r="C1268" s="743" t="s">
        <v>416</v>
      </c>
      <c r="D1268" s="703" t="s">
        <v>476</v>
      </c>
      <c r="E1268" s="704">
        <v>2021.0</v>
      </c>
      <c r="F1268" s="743" t="s">
        <v>418</v>
      </c>
      <c r="G1268" s="743" t="s">
        <v>50</v>
      </c>
      <c r="H1268" s="705">
        <v>328482.0</v>
      </c>
      <c r="I1268" s="705">
        <v>368320.0</v>
      </c>
      <c r="J1268" s="706">
        <v>290031.0</v>
      </c>
      <c r="K1268" s="64"/>
      <c r="CE1268" s="460"/>
    </row>
    <row r="1269">
      <c r="A1269" s="63"/>
      <c r="B1269" s="712" t="s">
        <v>518</v>
      </c>
      <c r="C1269" s="742" t="s">
        <v>416</v>
      </c>
      <c r="D1269" s="714" t="s">
        <v>479</v>
      </c>
      <c r="E1269" s="715">
        <v>2021.0</v>
      </c>
      <c r="F1269" s="742" t="s">
        <v>418</v>
      </c>
      <c r="G1269" s="742" t="s">
        <v>50</v>
      </c>
      <c r="H1269" s="716">
        <v>275521.0</v>
      </c>
      <c r="I1269" s="716">
        <v>308936.0</v>
      </c>
      <c r="J1269" s="717">
        <v>243269.0</v>
      </c>
      <c r="K1269" s="64"/>
      <c r="CE1269" s="460"/>
    </row>
    <row r="1270">
      <c r="A1270" s="63"/>
      <c r="B1270" s="701" t="s">
        <v>518</v>
      </c>
      <c r="C1270" s="743" t="s">
        <v>416</v>
      </c>
      <c r="D1270" s="703" t="s">
        <v>482</v>
      </c>
      <c r="E1270" s="704">
        <v>2021.0</v>
      </c>
      <c r="F1270" s="743" t="s">
        <v>418</v>
      </c>
      <c r="G1270" s="743" t="s">
        <v>50</v>
      </c>
      <c r="H1270" s="705">
        <v>232188.0</v>
      </c>
      <c r="I1270" s="705">
        <v>260348.0</v>
      </c>
      <c r="J1270" s="706">
        <v>205009.0</v>
      </c>
      <c r="K1270" s="64"/>
      <c r="CE1270" s="460"/>
    </row>
    <row r="1271">
      <c r="A1271" s="63"/>
      <c r="B1271" s="712" t="s">
        <v>518</v>
      </c>
      <c r="C1271" s="742" t="s">
        <v>416</v>
      </c>
      <c r="D1271" s="714" t="s">
        <v>485</v>
      </c>
      <c r="E1271" s="715">
        <v>2021.0</v>
      </c>
      <c r="F1271" s="742" t="s">
        <v>418</v>
      </c>
      <c r="G1271" s="742" t="s">
        <v>50</v>
      </c>
      <c r="H1271" s="716">
        <v>192133.0</v>
      </c>
      <c r="I1271" s="716">
        <v>215434.0</v>
      </c>
      <c r="J1271" s="717">
        <v>169642.0</v>
      </c>
      <c r="K1271" s="64"/>
      <c r="CE1271" s="460"/>
    </row>
    <row r="1272">
      <c r="A1272" s="63"/>
      <c r="B1272" s="701" t="s">
        <v>518</v>
      </c>
      <c r="C1272" s="743" t="s">
        <v>416</v>
      </c>
      <c r="D1272" s="703" t="s">
        <v>488</v>
      </c>
      <c r="E1272" s="704">
        <v>2021.0</v>
      </c>
      <c r="F1272" s="743" t="s">
        <v>418</v>
      </c>
      <c r="G1272" s="743" t="s">
        <v>50</v>
      </c>
      <c r="H1272" s="705">
        <v>157270.0</v>
      </c>
      <c r="I1272" s="705">
        <v>176344.0</v>
      </c>
      <c r="J1272" s="706">
        <v>138861.0</v>
      </c>
      <c r="K1272" s="64"/>
      <c r="CE1272" s="460"/>
    </row>
    <row r="1273">
      <c r="A1273" s="63"/>
      <c r="B1273" s="712" t="s">
        <v>518</v>
      </c>
      <c r="C1273" s="742" t="s">
        <v>416</v>
      </c>
      <c r="D1273" s="714" t="s">
        <v>491</v>
      </c>
      <c r="E1273" s="715">
        <v>2021.0</v>
      </c>
      <c r="F1273" s="742" t="s">
        <v>418</v>
      </c>
      <c r="G1273" s="742" t="s">
        <v>50</v>
      </c>
      <c r="H1273" s="716">
        <v>128030.0</v>
      </c>
      <c r="I1273" s="716">
        <v>143558.0</v>
      </c>
      <c r="J1273" s="717">
        <v>113043.0</v>
      </c>
      <c r="K1273" s="64"/>
      <c r="CE1273" s="460"/>
    </row>
    <row r="1274">
      <c r="A1274" s="63"/>
      <c r="B1274" s="701" t="s">
        <v>518</v>
      </c>
      <c r="C1274" s="743" t="s">
        <v>416</v>
      </c>
      <c r="D1274" s="703" t="s">
        <v>493</v>
      </c>
      <c r="E1274" s="704">
        <v>2021.0</v>
      </c>
      <c r="F1274" s="743" t="s">
        <v>418</v>
      </c>
      <c r="G1274" s="743" t="s">
        <v>50</v>
      </c>
      <c r="H1274" s="705">
        <v>384991.0</v>
      </c>
      <c r="I1274" s="705">
        <v>431682.0</v>
      </c>
      <c r="J1274" s="706">
        <v>339924.0</v>
      </c>
      <c r="K1274" s="64"/>
      <c r="CE1274" s="460"/>
    </row>
    <row r="1275">
      <c r="A1275" s="63"/>
      <c r="B1275" s="712" t="s">
        <v>518</v>
      </c>
      <c r="C1275" s="742" t="s">
        <v>416</v>
      </c>
      <c r="D1275" s="714" t="s">
        <v>434</v>
      </c>
      <c r="E1275" s="715">
        <v>2021.0</v>
      </c>
      <c r="F1275" s="742" t="s">
        <v>418</v>
      </c>
      <c r="G1275" s="742" t="s">
        <v>50</v>
      </c>
      <c r="H1275" s="716">
        <v>1196012.0</v>
      </c>
      <c r="I1275" s="716">
        <v>1341063.0</v>
      </c>
      <c r="J1275" s="717">
        <v>1056009.0</v>
      </c>
      <c r="K1275" s="64"/>
      <c r="CE1275" s="460"/>
    </row>
    <row r="1276">
      <c r="A1276" s="63"/>
      <c r="B1276" s="701" t="s">
        <v>518</v>
      </c>
      <c r="C1276" s="743" t="s">
        <v>416</v>
      </c>
      <c r="D1276" s="703" t="s">
        <v>497</v>
      </c>
      <c r="E1276" s="704">
        <v>2021.0</v>
      </c>
      <c r="F1276" s="743" t="s">
        <v>418</v>
      </c>
      <c r="G1276" s="743" t="s">
        <v>50</v>
      </c>
      <c r="H1276" s="705">
        <v>104131.0</v>
      </c>
      <c r="I1276" s="705">
        <v>116760.0</v>
      </c>
      <c r="J1276" s="706">
        <v>91942.0</v>
      </c>
      <c r="K1276" s="64"/>
      <c r="CE1276" s="460"/>
    </row>
    <row r="1277">
      <c r="A1277" s="63"/>
      <c r="B1277" s="712" t="s">
        <v>518</v>
      </c>
      <c r="C1277" s="742" t="s">
        <v>416</v>
      </c>
      <c r="D1277" s="714" t="s">
        <v>500</v>
      </c>
      <c r="E1277" s="715">
        <v>2021.0</v>
      </c>
      <c r="F1277" s="742" t="s">
        <v>418</v>
      </c>
      <c r="G1277" s="742" t="s">
        <v>50</v>
      </c>
      <c r="H1277" s="716">
        <v>630566.0</v>
      </c>
      <c r="I1277" s="716">
        <v>707040.0</v>
      </c>
      <c r="J1277" s="717">
        <v>556753.0</v>
      </c>
      <c r="K1277" s="64"/>
      <c r="CE1277" s="460"/>
    </row>
    <row r="1278">
      <c r="A1278" s="63"/>
      <c r="B1278" s="701" t="s">
        <v>518</v>
      </c>
      <c r="C1278" s="743" t="s">
        <v>416</v>
      </c>
      <c r="D1278" s="703" t="s">
        <v>502</v>
      </c>
      <c r="E1278" s="704">
        <v>2021.0</v>
      </c>
      <c r="F1278" s="743" t="s">
        <v>418</v>
      </c>
      <c r="G1278" s="743" t="s">
        <v>50</v>
      </c>
      <c r="H1278" s="705">
        <v>85936.0</v>
      </c>
      <c r="I1278" s="705">
        <v>96358.0</v>
      </c>
      <c r="J1278" s="706">
        <v>75877.0</v>
      </c>
      <c r="K1278" s="64"/>
      <c r="CE1278" s="460"/>
    </row>
    <row r="1279">
      <c r="A1279" s="63"/>
      <c r="B1279" s="712" t="s">
        <v>518</v>
      </c>
      <c r="C1279" s="742" t="s">
        <v>416</v>
      </c>
      <c r="D1279" s="714" t="s">
        <v>505</v>
      </c>
      <c r="E1279" s="715">
        <v>2021.0</v>
      </c>
      <c r="F1279" s="742" t="s">
        <v>418</v>
      </c>
      <c r="G1279" s="742" t="s">
        <v>50</v>
      </c>
      <c r="H1279" s="716">
        <v>65706.0</v>
      </c>
      <c r="I1279" s="716">
        <v>73675.0</v>
      </c>
      <c r="J1279" s="717">
        <v>58015.0</v>
      </c>
      <c r="K1279" s="64"/>
      <c r="CE1279" s="460"/>
    </row>
    <row r="1280">
      <c r="A1280" s="63"/>
      <c r="B1280" s="701" t="s">
        <v>518</v>
      </c>
      <c r="C1280" s="743" t="s">
        <v>416</v>
      </c>
      <c r="D1280" s="703" t="s">
        <v>508</v>
      </c>
      <c r="E1280" s="704">
        <v>2021.0</v>
      </c>
      <c r="F1280" s="743" t="s">
        <v>418</v>
      </c>
      <c r="G1280" s="743" t="s">
        <v>50</v>
      </c>
      <c r="H1280" s="705">
        <v>66893.0</v>
      </c>
      <c r="I1280" s="705">
        <v>75006.0</v>
      </c>
      <c r="J1280" s="706">
        <v>59063.0</v>
      </c>
      <c r="K1280" s="64"/>
      <c r="CE1280" s="460"/>
    </row>
    <row r="1281">
      <c r="A1281" s="63"/>
      <c r="B1281" s="712" t="s">
        <v>518</v>
      </c>
      <c r="C1281" s="742" t="s">
        <v>416</v>
      </c>
      <c r="D1281" s="714" t="s">
        <v>511</v>
      </c>
      <c r="E1281" s="715">
        <v>2021.0</v>
      </c>
      <c r="F1281" s="742" t="s">
        <v>418</v>
      </c>
      <c r="G1281" s="742" t="s">
        <v>50</v>
      </c>
      <c r="H1281" s="716">
        <v>101797.0</v>
      </c>
      <c r="I1281" s="716">
        <v>114143.0</v>
      </c>
      <c r="J1281" s="717">
        <v>89881.0</v>
      </c>
      <c r="K1281" s="64"/>
      <c r="CE1281" s="460"/>
    </row>
    <row r="1282">
      <c r="A1282" s="63"/>
      <c r="B1282" s="701" t="s">
        <v>518</v>
      </c>
      <c r="C1282" s="743" t="s">
        <v>416</v>
      </c>
      <c r="D1282" s="703" t="s">
        <v>514</v>
      </c>
      <c r="E1282" s="704">
        <v>2021.0</v>
      </c>
      <c r="F1282" s="743" t="s">
        <v>418</v>
      </c>
      <c r="G1282" s="743" t="s">
        <v>50</v>
      </c>
      <c r="H1282" s="705">
        <v>44610.0</v>
      </c>
      <c r="I1282" s="705">
        <v>50020.0</v>
      </c>
      <c r="J1282" s="706">
        <v>39388.0</v>
      </c>
      <c r="K1282" s="64"/>
      <c r="CE1282" s="460"/>
    </row>
    <row r="1283">
      <c r="A1283" s="63"/>
      <c r="B1283" s="712" t="s">
        <v>518</v>
      </c>
      <c r="C1283" s="742" t="s">
        <v>416</v>
      </c>
      <c r="D1283" s="714" t="s">
        <v>439</v>
      </c>
      <c r="E1283" s="715">
        <v>2021.0</v>
      </c>
      <c r="F1283" s="742" t="s">
        <v>418</v>
      </c>
      <c r="G1283" s="742" t="s">
        <v>50</v>
      </c>
      <c r="H1283" s="716">
        <v>7640.0</v>
      </c>
      <c r="I1283" s="716">
        <v>8567.0</v>
      </c>
      <c r="J1283" s="717">
        <v>6746.0</v>
      </c>
      <c r="K1283" s="64"/>
      <c r="CE1283" s="460"/>
    </row>
    <row r="1284">
      <c r="A1284" s="63"/>
      <c r="B1284" s="701" t="s">
        <v>518</v>
      </c>
      <c r="C1284" s="743" t="s">
        <v>416</v>
      </c>
      <c r="D1284" s="703" t="s">
        <v>517</v>
      </c>
      <c r="E1284" s="704">
        <v>2021.0</v>
      </c>
      <c r="F1284" s="743" t="s">
        <v>418</v>
      </c>
      <c r="G1284" s="743" t="s">
        <v>50</v>
      </c>
      <c r="H1284" s="705">
        <v>29361.0</v>
      </c>
      <c r="I1284" s="705">
        <v>32922.0</v>
      </c>
      <c r="J1284" s="706">
        <v>25924.0</v>
      </c>
      <c r="K1284" s="64"/>
      <c r="CE1284" s="460"/>
    </row>
    <row r="1285">
      <c r="A1285" s="63"/>
      <c r="B1285" s="712" t="s">
        <v>518</v>
      </c>
      <c r="C1285" s="742" t="s">
        <v>416</v>
      </c>
      <c r="D1285" s="714" t="s">
        <v>520</v>
      </c>
      <c r="E1285" s="715">
        <v>2021.0</v>
      </c>
      <c r="F1285" s="742" t="s">
        <v>418</v>
      </c>
      <c r="G1285" s="742" t="s">
        <v>50</v>
      </c>
      <c r="H1285" s="716">
        <v>27826.0</v>
      </c>
      <c r="I1285" s="716">
        <v>31201.0</v>
      </c>
      <c r="J1285" s="717">
        <v>24569.0</v>
      </c>
      <c r="K1285" s="64"/>
      <c r="CE1285" s="460"/>
    </row>
    <row r="1286">
      <c r="A1286" s="63"/>
      <c r="B1286" s="701" t="s">
        <v>518</v>
      </c>
      <c r="C1286" s="743" t="s">
        <v>416</v>
      </c>
      <c r="D1286" s="703" t="s">
        <v>521</v>
      </c>
      <c r="E1286" s="704">
        <v>2021.0</v>
      </c>
      <c r="F1286" s="743" t="s">
        <v>418</v>
      </c>
      <c r="G1286" s="743" t="s">
        <v>50</v>
      </c>
      <c r="H1286" s="705">
        <v>16792.0</v>
      </c>
      <c r="I1286" s="705">
        <v>18829.0</v>
      </c>
      <c r="J1286" s="706">
        <v>14827.0</v>
      </c>
      <c r="K1286" s="64"/>
      <c r="CE1286" s="460"/>
    </row>
    <row r="1287">
      <c r="A1287" s="63"/>
      <c r="B1287" s="712" t="s">
        <v>518</v>
      </c>
      <c r="C1287" s="742" t="s">
        <v>416</v>
      </c>
      <c r="D1287" s="714" t="s">
        <v>524</v>
      </c>
      <c r="E1287" s="715">
        <v>2021.0</v>
      </c>
      <c r="F1287" s="742" t="s">
        <v>418</v>
      </c>
      <c r="G1287" s="742" t="s">
        <v>50</v>
      </c>
      <c r="H1287" s="716">
        <v>8045.0</v>
      </c>
      <c r="I1287" s="716">
        <v>9020.0</v>
      </c>
      <c r="J1287" s="717">
        <v>7103.0</v>
      </c>
      <c r="K1287" s="64"/>
      <c r="CE1287" s="460"/>
    </row>
    <row r="1288">
      <c r="A1288" s="63"/>
      <c r="B1288" s="701" t="s">
        <v>518</v>
      </c>
      <c r="C1288" s="743" t="s">
        <v>416</v>
      </c>
      <c r="D1288" s="703" t="s">
        <v>527</v>
      </c>
      <c r="E1288" s="704">
        <v>2021.0</v>
      </c>
      <c r="F1288" s="743" t="s">
        <v>418</v>
      </c>
      <c r="G1288" s="743" t="s">
        <v>50</v>
      </c>
      <c r="H1288" s="705">
        <v>2323.0</v>
      </c>
      <c r="I1288" s="705">
        <v>2605.0</v>
      </c>
      <c r="J1288" s="706">
        <v>2051.0</v>
      </c>
      <c r="K1288" s="64"/>
      <c r="CE1288" s="460"/>
    </row>
    <row r="1289">
      <c r="A1289" s="63"/>
      <c r="B1289" s="712" t="s">
        <v>518</v>
      </c>
      <c r="C1289" s="742" t="s">
        <v>416</v>
      </c>
      <c r="D1289" s="714" t="s">
        <v>529</v>
      </c>
      <c r="E1289" s="715">
        <v>2021.0</v>
      </c>
      <c r="F1289" s="742" t="s">
        <v>418</v>
      </c>
      <c r="G1289" s="742" t="s">
        <v>50</v>
      </c>
      <c r="H1289" s="716">
        <v>666.0</v>
      </c>
      <c r="I1289" s="716">
        <v>747.0</v>
      </c>
      <c r="J1289" s="717">
        <v>588.0</v>
      </c>
      <c r="K1289" s="64"/>
      <c r="CE1289" s="460"/>
    </row>
    <row r="1290">
      <c r="A1290" s="63"/>
      <c r="B1290" s="701" t="s">
        <v>518</v>
      </c>
      <c r="C1290" s="743" t="s">
        <v>416</v>
      </c>
      <c r="D1290" s="703" t="s">
        <v>443</v>
      </c>
      <c r="E1290" s="704">
        <v>2021.0</v>
      </c>
      <c r="F1290" s="743" t="s">
        <v>418</v>
      </c>
      <c r="G1290" s="743" t="s">
        <v>50</v>
      </c>
      <c r="H1290" s="705">
        <v>4396234.0</v>
      </c>
      <c r="I1290" s="705">
        <v>4929405.0</v>
      </c>
      <c r="J1290" s="706">
        <v>3881620.0</v>
      </c>
      <c r="K1290" s="64"/>
      <c r="CE1290" s="460"/>
    </row>
    <row r="1291">
      <c r="A1291" s="63"/>
      <c r="B1291" s="712" t="s">
        <v>101</v>
      </c>
      <c r="C1291" s="742" t="s">
        <v>416</v>
      </c>
      <c r="D1291" s="714" t="s">
        <v>417</v>
      </c>
      <c r="E1291" s="715">
        <v>2021.0</v>
      </c>
      <c r="F1291" s="742" t="s">
        <v>418</v>
      </c>
      <c r="G1291" s="742" t="s">
        <v>50</v>
      </c>
      <c r="H1291" s="716">
        <v>1059998.0</v>
      </c>
      <c r="I1291" s="716">
        <v>1157802.0</v>
      </c>
      <c r="J1291" s="717">
        <v>963399.0</v>
      </c>
      <c r="K1291" s="64"/>
      <c r="CE1291" s="460"/>
    </row>
    <row r="1292">
      <c r="A1292" s="63"/>
      <c r="B1292" s="701" t="s">
        <v>101</v>
      </c>
      <c r="C1292" s="743" t="s">
        <v>416</v>
      </c>
      <c r="D1292" s="703" t="s">
        <v>431</v>
      </c>
      <c r="E1292" s="704">
        <v>2021.0</v>
      </c>
      <c r="F1292" s="743" t="s">
        <v>418</v>
      </c>
      <c r="G1292" s="743" t="s">
        <v>50</v>
      </c>
      <c r="H1292" s="705">
        <v>1.7754148E7</v>
      </c>
      <c r="I1292" s="705">
        <v>1.9392293E7</v>
      </c>
      <c r="J1292" s="706">
        <v>1.6136184E7</v>
      </c>
      <c r="K1292" s="64"/>
      <c r="CE1292" s="460"/>
    </row>
    <row r="1293">
      <c r="A1293" s="63"/>
      <c r="B1293" s="712" t="s">
        <v>101</v>
      </c>
      <c r="C1293" s="742" t="s">
        <v>416</v>
      </c>
      <c r="D1293" s="714" t="s">
        <v>438</v>
      </c>
      <c r="E1293" s="715">
        <v>2021.0</v>
      </c>
      <c r="F1293" s="742" t="s">
        <v>418</v>
      </c>
      <c r="G1293" s="742" t="s">
        <v>50</v>
      </c>
      <c r="H1293" s="716">
        <v>83176.0</v>
      </c>
      <c r="I1293" s="716">
        <v>90851.0</v>
      </c>
      <c r="J1293" s="717">
        <v>75596.0</v>
      </c>
      <c r="K1293" s="64"/>
      <c r="CE1293" s="460"/>
    </row>
    <row r="1294">
      <c r="A1294" s="63"/>
      <c r="B1294" s="701" t="s">
        <v>101</v>
      </c>
      <c r="C1294" s="743" t="s">
        <v>416</v>
      </c>
      <c r="D1294" s="703" t="s">
        <v>421</v>
      </c>
      <c r="E1294" s="704">
        <v>2021.0</v>
      </c>
      <c r="F1294" s="743" t="s">
        <v>418</v>
      </c>
      <c r="G1294" s="743" t="s">
        <v>50</v>
      </c>
      <c r="H1294" s="705">
        <v>5179217.0</v>
      </c>
      <c r="I1294" s="705">
        <v>5657094.0</v>
      </c>
      <c r="J1294" s="706">
        <v>4707226.0</v>
      </c>
      <c r="K1294" s="64"/>
      <c r="CE1294" s="460"/>
    </row>
    <row r="1295">
      <c r="A1295" s="63"/>
      <c r="B1295" s="712" t="s">
        <v>101</v>
      </c>
      <c r="C1295" s="742" t="s">
        <v>416</v>
      </c>
      <c r="D1295" s="714" t="s">
        <v>447</v>
      </c>
      <c r="E1295" s="715">
        <v>2021.0</v>
      </c>
      <c r="F1295" s="742" t="s">
        <v>418</v>
      </c>
      <c r="G1295" s="742" t="s">
        <v>50</v>
      </c>
      <c r="H1295" s="716">
        <v>1.4266008E7</v>
      </c>
      <c r="I1295" s="716">
        <v>1.5582309E7</v>
      </c>
      <c r="J1295" s="717">
        <v>1.2965924E7</v>
      </c>
      <c r="K1295" s="64"/>
      <c r="CE1295" s="460"/>
    </row>
    <row r="1296">
      <c r="A1296" s="63"/>
      <c r="B1296" s="701" t="s">
        <v>101</v>
      </c>
      <c r="C1296" s="743" t="s">
        <v>416</v>
      </c>
      <c r="D1296" s="703" t="s">
        <v>432</v>
      </c>
      <c r="E1296" s="704">
        <v>2021.0</v>
      </c>
      <c r="F1296" s="743" t="s">
        <v>418</v>
      </c>
      <c r="G1296" s="743" t="s">
        <v>50</v>
      </c>
      <c r="H1296" s="705">
        <v>21003.0</v>
      </c>
      <c r="I1296" s="705">
        <v>22941.0</v>
      </c>
      <c r="J1296" s="706">
        <v>19089.0</v>
      </c>
      <c r="K1296" s="64"/>
      <c r="CE1296" s="460"/>
    </row>
    <row r="1297">
      <c r="A1297" s="63"/>
      <c r="B1297" s="712" t="s">
        <v>101</v>
      </c>
      <c r="C1297" s="742" t="s">
        <v>416</v>
      </c>
      <c r="D1297" s="714" t="s">
        <v>450</v>
      </c>
      <c r="E1297" s="715">
        <v>2021.0</v>
      </c>
      <c r="F1297" s="742" t="s">
        <v>418</v>
      </c>
      <c r="G1297" s="742" t="s">
        <v>50</v>
      </c>
      <c r="H1297" s="716">
        <v>4196585.0</v>
      </c>
      <c r="I1297" s="716">
        <v>4583797.0</v>
      </c>
      <c r="J1297" s="717">
        <v>3814144.0</v>
      </c>
      <c r="K1297" s="64"/>
      <c r="CE1297" s="460"/>
    </row>
    <row r="1298">
      <c r="A1298" s="63"/>
      <c r="B1298" s="701" t="s">
        <v>101</v>
      </c>
      <c r="C1298" s="743" t="s">
        <v>416</v>
      </c>
      <c r="D1298" s="703" t="s">
        <v>453</v>
      </c>
      <c r="E1298" s="704">
        <v>2021.0</v>
      </c>
      <c r="F1298" s="743" t="s">
        <v>418</v>
      </c>
      <c r="G1298" s="743" t="s">
        <v>50</v>
      </c>
      <c r="H1298" s="705">
        <v>7684725.0</v>
      </c>
      <c r="I1298" s="705">
        <v>8393781.0</v>
      </c>
      <c r="J1298" s="706">
        <v>6984404.0</v>
      </c>
      <c r="K1298" s="64"/>
      <c r="CE1298" s="460"/>
    </row>
    <row r="1299">
      <c r="A1299" s="63"/>
      <c r="B1299" s="712" t="s">
        <v>101</v>
      </c>
      <c r="C1299" s="742" t="s">
        <v>416</v>
      </c>
      <c r="D1299" s="714" t="s">
        <v>454</v>
      </c>
      <c r="E1299" s="715">
        <v>2021.0</v>
      </c>
      <c r="F1299" s="742" t="s">
        <v>418</v>
      </c>
      <c r="G1299" s="742" t="s">
        <v>50</v>
      </c>
      <c r="H1299" s="716">
        <v>1.0582014E7</v>
      </c>
      <c r="I1299" s="716">
        <v>1.1558399E7</v>
      </c>
      <c r="J1299" s="717">
        <v>9617659.0</v>
      </c>
      <c r="K1299" s="64"/>
      <c r="CE1299" s="460"/>
    </row>
    <row r="1300">
      <c r="A1300" s="63"/>
      <c r="B1300" s="701" t="s">
        <v>101</v>
      </c>
      <c r="C1300" s="743" t="s">
        <v>416</v>
      </c>
      <c r="D1300" s="703" t="s">
        <v>457</v>
      </c>
      <c r="E1300" s="704">
        <v>2021.0</v>
      </c>
      <c r="F1300" s="743" t="s">
        <v>418</v>
      </c>
      <c r="G1300" s="743" t="s">
        <v>50</v>
      </c>
      <c r="H1300" s="705">
        <v>1041345.0</v>
      </c>
      <c r="I1300" s="705">
        <v>1137428.0</v>
      </c>
      <c r="J1300" s="706">
        <v>946446.0</v>
      </c>
      <c r="K1300" s="64"/>
      <c r="CE1300" s="460"/>
    </row>
    <row r="1301">
      <c r="A1301" s="63"/>
      <c r="B1301" s="712" t="s">
        <v>101</v>
      </c>
      <c r="C1301" s="742" t="s">
        <v>416</v>
      </c>
      <c r="D1301" s="714" t="s">
        <v>460</v>
      </c>
      <c r="E1301" s="715">
        <v>2021.0</v>
      </c>
      <c r="F1301" s="742" t="s">
        <v>418</v>
      </c>
      <c r="G1301" s="742" t="s">
        <v>50</v>
      </c>
      <c r="H1301" s="716">
        <v>453606.0</v>
      </c>
      <c r="I1301" s="716">
        <v>495459.0</v>
      </c>
      <c r="J1301" s="717">
        <v>412268.0</v>
      </c>
      <c r="K1301" s="64"/>
      <c r="CE1301" s="460"/>
    </row>
    <row r="1302">
      <c r="A1302" s="63"/>
      <c r="B1302" s="701" t="s">
        <v>101</v>
      </c>
      <c r="C1302" s="743" t="s">
        <v>416</v>
      </c>
      <c r="D1302" s="703" t="s">
        <v>463</v>
      </c>
      <c r="E1302" s="704">
        <v>2021.0</v>
      </c>
      <c r="F1302" s="743" t="s">
        <v>418</v>
      </c>
      <c r="G1302" s="743" t="s">
        <v>50</v>
      </c>
      <c r="H1302" s="705">
        <v>3488140.0</v>
      </c>
      <c r="I1302" s="705">
        <v>3809984.0</v>
      </c>
      <c r="J1302" s="706">
        <v>3170260.0</v>
      </c>
      <c r="K1302" s="64"/>
      <c r="CE1302" s="460"/>
    </row>
    <row r="1303">
      <c r="A1303" s="63"/>
      <c r="B1303" s="712" t="s">
        <v>101</v>
      </c>
      <c r="C1303" s="742" t="s">
        <v>416</v>
      </c>
      <c r="D1303" s="714" t="s">
        <v>465</v>
      </c>
      <c r="E1303" s="715">
        <v>2021.0</v>
      </c>
      <c r="F1303" s="742" t="s">
        <v>418</v>
      </c>
      <c r="G1303" s="742" t="s">
        <v>50</v>
      </c>
      <c r="H1303" s="716">
        <v>1.4262082E7</v>
      </c>
      <c r="I1303" s="716">
        <v>1.5578021E7</v>
      </c>
      <c r="J1303" s="717">
        <v>1.2962356E7</v>
      </c>
      <c r="K1303" s="64"/>
      <c r="CE1303" s="460"/>
    </row>
    <row r="1304">
      <c r="A1304" s="63"/>
      <c r="B1304" s="701" t="s">
        <v>101</v>
      </c>
      <c r="C1304" s="743" t="s">
        <v>416</v>
      </c>
      <c r="D1304" s="703" t="s">
        <v>468</v>
      </c>
      <c r="E1304" s="704">
        <v>2021.0</v>
      </c>
      <c r="F1304" s="743" t="s">
        <v>418</v>
      </c>
      <c r="G1304" s="743" t="s">
        <v>50</v>
      </c>
      <c r="H1304" s="705">
        <v>2897290.0</v>
      </c>
      <c r="I1304" s="705">
        <v>3164618.0</v>
      </c>
      <c r="J1304" s="706">
        <v>2633255.0</v>
      </c>
      <c r="K1304" s="64"/>
      <c r="CE1304" s="460"/>
    </row>
    <row r="1305">
      <c r="A1305" s="63"/>
      <c r="B1305" s="712" t="s">
        <v>101</v>
      </c>
      <c r="C1305" s="742" t="s">
        <v>416</v>
      </c>
      <c r="D1305" s="714" t="s">
        <v>471</v>
      </c>
      <c r="E1305" s="715">
        <v>2021.0</v>
      </c>
      <c r="F1305" s="742" t="s">
        <v>418</v>
      </c>
      <c r="G1305" s="742" t="s">
        <v>50</v>
      </c>
      <c r="H1305" s="716">
        <v>3077873.0</v>
      </c>
      <c r="I1305" s="716">
        <v>3361864.0</v>
      </c>
      <c r="J1305" s="717">
        <v>2797382.0</v>
      </c>
      <c r="K1305" s="64"/>
      <c r="CE1305" s="460"/>
    </row>
    <row r="1306">
      <c r="A1306" s="63"/>
      <c r="B1306" s="701" t="s">
        <v>101</v>
      </c>
      <c r="C1306" s="743" t="s">
        <v>416</v>
      </c>
      <c r="D1306" s="703" t="s">
        <v>473</v>
      </c>
      <c r="E1306" s="704">
        <v>2021.0</v>
      </c>
      <c r="F1306" s="743" t="s">
        <v>418</v>
      </c>
      <c r="G1306" s="743" t="s">
        <v>50</v>
      </c>
      <c r="H1306" s="705">
        <v>1.0421217E7</v>
      </c>
      <c r="I1306" s="705">
        <v>1.1382765E7</v>
      </c>
      <c r="J1306" s="706">
        <v>9471515.0</v>
      </c>
      <c r="K1306" s="64"/>
      <c r="CE1306" s="460"/>
    </row>
    <row r="1307">
      <c r="A1307" s="63"/>
      <c r="B1307" s="712" t="s">
        <v>101</v>
      </c>
      <c r="C1307" s="742" t="s">
        <v>416</v>
      </c>
      <c r="D1307" s="714" t="s">
        <v>476</v>
      </c>
      <c r="E1307" s="715">
        <v>2021.0</v>
      </c>
      <c r="F1307" s="742" t="s">
        <v>418</v>
      </c>
      <c r="G1307" s="742" t="s">
        <v>50</v>
      </c>
      <c r="H1307" s="716">
        <v>2356596.0</v>
      </c>
      <c r="I1307" s="716">
        <v>2574035.0</v>
      </c>
      <c r="J1307" s="717">
        <v>2141835.0</v>
      </c>
      <c r="K1307" s="64"/>
      <c r="CE1307" s="460"/>
    </row>
    <row r="1308">
      <c r="A1308" s="63"/>
      <c r="B1308" s="701" t="s">
        <v>101</v>
      </c>
      <c r="C1308" s="743" t="s">
        <v>416</v>
      </c>
      <c r="D1308" s="703" t="s">
        <v>479</v>
      </c>
      <c r="E1308" s="704">
        <v>2021.0</v>
      </c>
      <c r="F1308" s="743" t="s">
        <v>418</v>
      </c>
      <c r="G1308" s="743" t="s">
        <v>50</v>
      </c>
      <c r="H1308" s="705">
        <v>1794213.0</v>
      </c>
      <c r="I1308" s="705">
        <v>1959762.0</v>
      </c>
      <c r="J1308" s="706">
        <v>1630703.0</v>
      </c>
      <c r="K1308" s="64"/>
      <c r="CE1308" s="460"/>
    </row>
    <row r="1309">
      <c r="A1309" s="63"/>
      <c r="B1309" s="712" t="s">
        <v>101</v>
      </c>
      <c r="C1309" s="742" t="s">
        <v>416</v>
      </c>
      <c r="D1309" s="714" t="s">
        <v>482</v>
      </c>
      <c r="E1309" s="715">
        <v>2021.0</v>
      </c>
      <c r="F1309" s="742" t="s">
        <v>418</v>
      </c>
      <c r="G1309" s="742" t="s">
        <v>50</v>
      </c>
      <c r="H1309" s="716">
        <v>1487349.0</v>
      </c>
      <c r="I1309" s="716">
        <v>1624585.0</v>
      </c>
      <c r="J1309" s="717">
        <v>1351805.0</v>
      </c>
      <c r="K1309" s="64"/>
      <c r="CE1309" s="460"/>
    </row>
    <row r="1310">
      <c r="A1310" s="63"/>
      <c r="B1310" s="701" t="s">
        <v>101</v>
      </c>
      <c r="C1310" s="743" t="s">
        <v>416</v>
      </c>
      <c r="D1310" s="703" t="s">
        <v>485</v>
      </c>
      <c r="E1310" s="704">
        <v>2021.0</v>
      </c>
      <c r="F1310" s="743" t="s">
        <v>418</v>
      </c>
      <c r="G1310" s="743" t="s">
        <v>50</v>
      </c>
      <c r="H1310" s="705">
        <v>1232877.0</v>
      </c>
      <c r="I1310" s="705">
        <v>1346633.0</v>
      </c>
      <c r="J1310" s="706">
        <v>1120523.0</v>
      </c>
      <c r="K1310" s="64"/>
      <c r="CE1310" s="460"/>
    </row>
    <row r="1311">
      <c r="A1311" s="63"/>
      <c r="B1311" s="712" t="s">
        <v>101</v>
      </c>
      <c r="C1311" s="742" t="s">
        <v>416</v>
      </c>
      <c r="D1311" s="714" t="s">
        <v>488</v>
      </c>
      <c r="E1311" s="715">
        <v>2021.0</v>
      </c>
      <c r="F1311" s="742" t="s">
        <v>418</v>
      </c>
      <c r="G1311" s="742" t="s">
        <v>50</v>
      </c>
      <c r="H1311" s="716">
        <v>1005618.0</v>
      </c>
      <c r="I1311" s="716">
        <v>1098405.0</v>
      </c>
      <c r="J1311" s="717">
        <v>913974.0</v>
      </c>
      <c r="K1311" s="64"/>
      <c r="CE1311" s="460"/>
    </row>
    <row r="1312">
      <c r="A1312" s="63"/>
      <c r="B1312" s="701" t="s">
        <v>101</v>
      </c>
      <c r="C1312" s="743" t="s">
        <v>416</v>
      </c>
      <c r="D1312" s="703" t="s">
        <v>491</v>
      </c>
      <c r="E1312" s="704">
        <v>2021.0</v>
      </c>
      <c r="F1312" s="743" t="s">
        <v>418</v>
      </c>
      <c r="G1312" s="743" t="s">
        <v>50</v>
      </c>
      <c r="H1312" s="705">
        <v>755429.0</v>
      </c>
      <c r="I1312" s="705">
        <v>825131.0</v>
      </c>
      <c r="J1312" s="706">
        <v>686586.0</v>
      </c>
      <c r="K1312" s="64"/>
      <c r="CE1312" s="460"/>
    </row>
    <row r="1313">
      <c r="A1313" s="63"/>
      <c r="B1313" s="712" t="s">
        <v>101</v>
      </c>
      <c r="C1313" s="742" t="s">
        <v>416</v>
      </c>
      <c r="D1313" s="714" t="s">
        <v>493</v>
      </c>
      <c r="E1313" s="715">
        <v>2021.0</v>
      </c>
      <c r="F1313" s="742" t="s">
        <v>418</v>
      </c>
      <c r="G1313" s="742" t="s">
        <v>50</v>
      </c>
      <c r="H1313" s="716">
        <v>2114682.0</v>
      </c>
      <c r="I1313" s="716">
        <v>2309800.0</v>
      </c>
      <c r="J1313" s="717">
        <v>1921967.0</v>
      </c>
      <c r="K1313" s="64"/>
      <c r="CE1313" s="460"/>
    </row>
    <row r="1314">
      <c r="A1314" s="63"/>
      <c r="B1314" s="701" t="s">
        <v>101</v>
      </c>
      <c r="C1314" s="743" t="s">
        <v>416</v>
      </c>
      <c r="D1314" s="703" t="s">
        <v>434</v>
      </c>
      <c r="E1314" s="704">
        <v>2021.0</v>
      </c>
      <c r="F1314" s="743" t="s">
        <v>418</v>
      </c>
      <c r="G1314" s="743" t="s">
        <v>50</v>
      </c>
      <c r="H1314" s="705">
        <v>9086792.0</v>
      </c>
      <c r="I1314" s="705">
        <v>9925215.0</v>
      </c>
      <c r="J1314" s="706">
        <v>8258698.0</v>
      </c>
      <c r="K1314" s="64"/>
      <c r="CE1314" s="460"/>
    </row>
    <row r="1315">
      <c r="A1315" s="63"/>
      <c r="B1315" s="712" t="s">
        <v>101</v>
      </c>
      <c r="C1315" s="742" t="s">
        <v>416</v>
      </c>
      <c r="D1315" s="714" t="s">
        <v>497</v>
      </c>
      <c r="E1315" s="715">
        <v>2021.0</v>
      </c>
      <c r="F1315" s="742" t="s">
        <v>418</v>
      </c>
      <c r="G1315" s="742" t="s">
        <v>50</v>
      </c>
      <c r="H1315" s="716">
        <v>578978.0</v>
      </c>
      <c r="I1315" s="716">
        <v>632399.0</v>
      </c>
      <c r="J1315" s="717">
        <v>526215.0</v>
      </c>
      <c r="K1315" s="64"/>
      <c r="CE1315" s="460"/>
    </row>
    <row r="1316">
      <c r="A1316" s="63"/>
      <c r="B1316" s="701" t="s">
        <v>101</v>
      </c>
      <c r="C1316" s="743" t="s">
        <v>416</v>
      </c>
      <c r="D1316" s="703" t="s">
        <v>500</v>
      </c>
      <c r="E1316" s="704">
        <v>2021.0</v>
      </c>
      <c r="F1316" s="743" t="s">
        <v>418</v>
      </c>
      <c r="G1316" s="743" t="s">
        <v>50</v>
      </c>
      <c r="H1316" s="705">
        <v>4890207.0</v>
      </c>
      <c r="I1316" s="705">
        <v>5341418.0</v>
      </c>
      <c r="J1316" s="706">
        <v>4444555.0</v>
      </c>
      <c r="K1316" s="64"/>
      <c r="CE1316" s="460"/>
    </row>
    <row r="1317">
      <c r="A1317" s="63"/>
      <c r="B1317" s="712" t="s">
        <v>101</v>
      </c>
      <c r="C1317" s="742" t="s">
        <v>416</v>
      </c>
      <c r="D1317" s="714" t="s">
        <v>502</v>
      </c>
      <c r="E1317" s="715">
        <v>2021.0</v>
      </c>
      <c r="F1317" s="742" t="s">
        <v>418</v>
      </c>
      <c r="G1317" s="742" t="s">
        <v>50</v>
      </c>
      <c r="H1317" s="716">
        <v>443059.0</v>
      </c>
      <c r="I1317" s="716">
        <v>483939.0</v>
      </c>
      <c r="J1317" s="717">
        <v>402682.0</v>
      </c>
      <c r="K1317" s="64"/>
      <c r="CE1317" s="460"/>
    </row>
    <row r="1318">
      <c r="A1318" s="63"/>
      <c r="B1318" s="701" t="s">
        <v>101</v>
      </c>
      <c r="C1318" s="743" t="s">
        <v>416</v>
      </c>
      <c r="D1318" s="703" t="s">
        <v>505</v>
      </c>
      <c r="E1318" s="704">
        <v>2021.0</v>
      </c>
      <c r="F1318" s="743" t="s">
        <v>418</v>
      </c>
      <c r="G1318" s="743" t="s">
        <v>50</v>
      </c>
      <c r="H1318" s="705">
        <v>523216.0</v>
      </c>
      <c r="I1318" s="705">
        <v>571492.0</v>
      </c>
      <c r="J1318" s="706">
        <v>475534.0</v>
      </c>
      <c r="K1318" s="64"/>
      <c r="CE1318" s="460"/>
    </row>
    <row r="1319">
      <c r="A1319" s="63"/>
      <c r="B1319" s="712" t="s">
        <v>101</v>
      </c>
      <c r="C1319" s="742" t="s">
        <v>416</v>
      </c>
      <c r="D1319" s="714" t="s">
        <v>508</v>
      </c>
      <c r="E1319" s="715">
        <v>2021.0</v>
      </c>
      <c r="F1319" s="742" t="s">
        <v>418</v>
      </c>
      <c r="G1319" s="742" t="s">
        <v>50</v>
      </c>
      <c r="H1319" s="716">
        <v>337216.0</v>
      </c>
      <c r="I1319" s="716">
        <v>368330.0</v>
      </c>
      <c r="J1319" s="717">
        <v>306485.0</v>
      </c>
      <c r="K1319" s="64"/>
      <c r="CE1319" s="460"/>
    </row>
    <row r="1320">
      <c r="A1320" s="63"/>
      <c r="B1320" s="701" t="s">
        <v>101</v>
      </c>
      <c r="C1320" s="743" t="s">
        <v>416</v>
      </c>
      <c r="D1320" s="703" t="s">
        <v>511</v>
      </c>
      <c r="E1320" s="704">
        <v>2021.0</v>
      </c>
      <c r="F1320" s="743" t="s">
        <v>418</v>
      </c>
      <c r="G1320" s="743" t="s">
        <v>50</v>
      </c>
      <c r="H1320" s="705">
        <v>429882.0</v>
      </c>
      <c r="I1320" s="705">
        <v>469546.0</v>
      </c>
      <c r="J1320" s="706">
        <v>390706.0</v>
      </c>
      <c r="K1320" s="64"/>
      <c r="CE1320" s="460"/>
    </row>
    <row r="1321">
      <c r="A1321" s="63"/>
      <c r="B1321" s="712" t="s">
        <v>101</v>
      </c>
      <c r="C1321" s="742" t="s">
        <v>416</v>
      </c>
      <c r="D1321" s="714" t="s">
        <v>514</v>
      </c>
      <c r="E1321" s="715">
        <v>2021.0</v>
      </c>
      <c r="F1321" s="742" t="s">
        <v>418</v>
      </c>
      <c r="G1321" s="742" t="s">
        <v>50</v>
      </c>
      <c r="H1321" s="716">
        <v>220734.0</v>
      </c>
      <c r="I1321" s="716">
        <v>241101.0</v>
      </c>
      <c r="J1321" s="717">
        <v>200618.0</v>
      </c>
      <c r="K1321" s="64"/>
      <c r="CE1321" s="460"/>
    </row>
    <row r="1322">
      <c r="A1322" s="63"/>
      <c r="B1322" s="701" t="s">
        <v>101</v>
      </c>
      <c r="C1322" s="743" t="s">
        <v>416</v>
      </c>
      <c r="D1322" s="703" t="s">
        <v>439</v>
      </c>
      <c r="E1322" s="704">
        <v>2021.0</v>
      </c>
      <c r="F1322" s="743" t="s">
        <v>418</v>
      </c>
      <c r="G1322" s="743" t="s">
        <v>50</v>
      </c>
      <c r="H1322" s="705">
        <v>62173.0</v>
      </c>
      <c r="I1322" s="705">
        <v>67909.0</v>
      </c>
      <c r="J1322" s="706">
        <v>56507.0</v>
      </c>
      <c r="K1322" s="64"/>
      <c r="CE1322" s="460"/>
    </row>
    <row r="1323">
      <c r="A1323" s="63"/>
      <c r="B1323" s="712" t="s">
        <v>101</v>
      </c>
      <c r="C1323" s="742" t="s">
        <v>416</v>
      </c>
      <c r="D1323" s="714" t="s">
        <v>517</v>
      </c>
      <c r="E1323" s="715">
        <v>2021.0</v>
      </c>
      <c r="F1323" s="742" t="s">
        <v>418</v>
      </c>
      <c r="G1323" s="742" t="s">
        <v>50</v>
      </c>
      <c r="H1323" s="716">
        <v>120901.0</v>
      </c>
      <c r="I1323" s="716">
        <v>132056.0</v>
      </c>
      <c r="J1323" s="717">
        <v>109883.0</v>
      </c>
      <c r="K1323" s="64"/>
      <c r="CE1323" s="460"/>
    </row>
    <row r="1324">
      <c r="A1324" s="63"/>
      <c r="B1324" s="701" t="s">
        <v>101</v>
      </c>
      <c r="C1324" s="743" t="s">
        <v>416</v>
      </c>
      <c r="D1324" s="703" t="s">
        <v>520</v>
      </c>
      <c r="E1324" s="704">
        <v>2021.0</v>
      </c>
      <c r="F1324" s="743" t="s">
        <v>418</v>
      </c>
      <c r="G1324" s="743" t="s">
        <v>50</v>
      </c>
      <c r="H1324" s="705">
        <v>88247.0</v>
      </c>
      <c r="I1324" s="705">
        <v>96390.0</v>
      </c>
      <c r="J1324" s="706">
        <v>80205.0</v>
      </c>
      <c r="K1324" s="64"/>
      <c r="CE1324" s="460"/>
    </row>
    <row r="1325">
      <c r="A1325" s="63"/>
      <c r="B1325" s="712" t="s">
        <v>101</v>
      </c>
      <c r="C1325" s="742" t="s">
        <v>416</v>
      </c>
      <c r="D1325" s="714" t="s">
        <v>521</v>
      </c>
      <c r="E1325" s="715">
        <v>2021.0</v>
      </c>
      <c r="F1325" s="742" t="s">
        <v>418</v>
      </c>
      <c r="G1325" s="742" t="s">
        <v>50</v>
      </c>
      <c r="H1325" s="716">
        <v>58615.0</v>
      </c>
      <c r="I1325" s="716">
        <v>64024.0</v>
      </c>
      <c r="J1325" s="717">
        <v>53274.0</v>
      </c>
      <c r="K1325" s="64"/>
      <c r="CE1325" s="460"/>
    </row>
    <row r="1326">
      <c r="A1326" s="63"/>
      <c r="B1326" s="701" t="s">
        <v>101</v>
      </c>
      <c r="C1326" s="743" t="s">
        <v>416</v>
      </c>
      <c r="D1326" s="703" t="s">
        <v>524</v>
      </c>
      <c r="E1326" s="704">
        <v>2021.0</v>
      </c>
      <c r="F1326" s="743" t="s">
        <v>418</v>
      </c>
      <c r="G1326" s="743" t="s">
        <v>50</v>
      </c>
      <c r="H1326" s="705">
        <v>21941.0</v>
      </c>
      <c r="I1326" s="705">
        <v>23966.0</v>
      </c>
      <c r="J1326" s="706">
        <v>19942.0</v>
      </c>
      <c r="K1326" s="64"/>
      <c r="CE1326" s="460"/>
    </row>
    <row r="1327">
      <c r="A1327" s="63"/>
      <c r="B1327" s="712" t="s">
        <v>101</v>
      </c>
      <c r="C1327" s="742" t="s">
        <v>416</v>
      </c>
      <c r="D1327" s="714" t="s">
        <v>527</v>
      </c>
      <c r="E1327" s="715">
        <v>2021.0</v>
      </c>
      <c r="F1327" s="742" t="s">
        <v>418</v>
      </c>
      <c r="G1327" s="742" t="s">
        <v>50</v>
      </c>
      <c r="H1327" s="716">
        <v>6069.0</v>
      </c>
      <c r="I1327" s="716">
        <v>6628.0</v>
      </c>
      <c r="J1327" s="717">
        <v>5516.0</v>
      </c>
      <c r="K1327" s="64"/>
      <c r="CE1327" s="460"/>
    </row>
    <row r="1328">
      <c r="A1328" s="63"/>
      <c r="B1328" s="701" t="s">
        <v>101</v>
      </c>
      <c r="C1328" s="743" t="s">
        <v>416</v>
      </c>
      <c r="D1328" s="703" t="s">
        <v>529</v>
      </c>
      <c r="E1328" s="704">
        <v>2021.0</v>
      </c>
      <c r="F1328" s="743" t="s">
        <v>418</v>
      </c>
      <c r="G1328" s="743" t="s">
        <v>50</v>
      </c>
      <c r="H1328" s="705">
        <v>1622.0</v>
      </c>
      <c r="I1328" s="705">
        <v>1772.0</v>
      </c>
      <c r="J1328" s="706">
        <v>1474.0</v>
      </c>
      <c r="K1328" s="64"/>
      <c r="CE1328" s="460"/>
    </row>
    <row r="1329">
      <c r="A1329" s="63"/>
      <c r="B1329" s="712" t="s">
        <v>101</v>
      </c>
      <c r="C1329" s="742" t="s">
        <v>416</v>
      </c>
      <c r="D1329" s="714" t="s">
        <v>443</v>
      </c>
      <c r="E1329" s="715">
        <v>2021.0</v>
      </c>
      <c r="F1329" s="742" t="s">
        <v>418</v>
      </c>
      <c r="G1329" s="742" t="s">
        <v>50</v>
      </c>
      <c r="H1329" s="716">
        <v>3.1072654E7</v>
      </c>
      <c r="I1329" s="716">
        <v>3.3939676E7</v>
      </c>
      <c r="J1329" s="717">
        <v>2.8240954E7</v>
      </c>
      <c r="K1329" s="64"/>
      <c r="CE1329" s="460"/>
    </row>
    <row r="1330">
      <c r="A1330" s="63"/>
      <c r="B1330" s="701" t="s">
        <v>522</v>
      </c>
      <c r="C1330" s="743" t="s">
        <v>416</v>
      </c>
      <c r="D1330" s="703" t="s">
        <v>417</v>
      </c>
      <c r="E1330" s="704">
        <v>2021.0</v>
      </c>
      <c r="F1330" s="743" t="s">
        <v>418</v>
      </c>
      <c r="G1330" s="743" t="s">
        <v>50</v>
      </c>
      <c r="H1330" s="705">
        <v>56122.0</v>
      </c>
      <c r="I1330" s="705">
        <v>62979.0</v>
      </c>
      <c r="J1330" s="706">
        <v>48322.0</v>
      </c>
      <c r="K1330" s="64"/>
      <c r="CE1330" s="460"/>
    </row>
    <row r="1331">
      <c r="A1331" s="63"/>
      <c r="B1331" s="712" t="s">
        <v>522</v>
      </c>
      <c r="C1331" s="742" t="s">
        <v>416</v>
      </c>
      <c r="D1331" s="714" t="s">
        <v>431</v>
      </c>
      <c r="E1331" s="715">
        <v>2021.0</v>
      </c>
      <c r="F1331" s="742" t="s">
        <v>418</v>
      </c>
      <c r="G1331" s="742" t="s">
        <v>50</v>
      </c>
      <c r="H1331" s="716">
        <v>1071386.0</v>
      </c>
      <c r="I1331" s="716">
        <v>1202294.0</v>
      </c>
      <c r="J1331" s="717">
        <v>922483.0</v>
      </c>
      <c r="K1331" s="64"/>
      <c r="CE1331" s="460"/>
    </row>
    <row r="1332">
      <c r="A1332" s="63"/>
      <c r="B1332" s="701" t="s">
        <v>522</v>
      </c>
      <c r="C1332" s="743" t="s">
        <v>416</v>
      </c>
      <c r="D1332" s="703" t="s">
        <v>438</v>
      </c>
      <c r="E1332" s="704">
        <v>2021.0</v>
      </c>
      <c r="F1332" s="743" t="s">
        <v>418</v>
      </c>
      <c r="G1332" s="743" t="s">
        <v>50</v>
      </c>
      <c r="H1332" s="705">
        <v>4338.0</v>
      </c>
      <c r="I1332" s="705">
        <v>4868.0</v>
      </c>
      <c r="J1332" s="706">
        <v>3735.0</v>
      </c>
      <c r="K1332" s="64"/>
      <c r="CE1332" s="460"/>
    </row>
    <row r="1333">
      <c r="A1333" s="63"/>
      <c r="B1333" s="712" t="s">
        <v>522</v>
      </c>
      <c r="C1333" s="742" t="s">
        <v>416</v>
      </c>
      <c r="D1333" s="714" t="s">
        <v>421</v>
      </c>
      <c r="E1333" s="715">
        <v>2021.0</v>
      </c>
      <c r="F1333" s="742" t="s">
        <v>418</v>
      </c>
      <c r="G1333" s="742" t="s">
        <v>50</v>
      </c>
      <c r="H1333" s="716">
        <v>278452.0</v>
      </c>
      <c r="I1333" s="716">
        <v>312475.0</v>
      </c>
      <c r="J1333" s="717">
        <v>239752.0</v>
      </c>
      <c r="K1333" s="64"/>
      <c r="CE1333" s="460"/>
    </row>
    <row r="1334">
      <c r="A1334" s="63"/>
      <c r="B1334" s="701" t="s">
        <v>522</v>
      </c>
      <c r="C1334" s="743" t="s">
        <v>416</v>
      </c>
      <c r="D1334" s="703" t="s">
        <v>447</v>
      </c>
      <c r="E1334" s="704">
        <v>2021.0</v>
      </c>
      <c r="F1334" s="743" t="s">
        <v>418</v>
      </c>
      <c r="G1334" s="743" t="s">
        <v>50</v>
      </c>
      <c r="H1334" s="705">
        <v>825426.0</v>
      </c>
      <c r="I1334" s="705">
        <v>926281.0</v>
      </c>
      <c r="J1334" s="706">
        <v>710707.0</v>
      </c>
      <c r="K1334" s="64"/>
      <c r="CE1334" s="460"/>
    </row>
    <row r="1335">
      <c r="A1335" s="63"/>
      <c r="B1335" s="712" t="s">
        <v>522</v>
      </c>
      <c r="C1335" s="742" t="s">
        <v>416</v>
      </c>
      <c r="D1335" s="714" t="s">
        <v>432</v>
      </c>
      <c r="E1335" s="715">
        <v>2021.0</v>
      </c>
      <c r="F1335" s="742" t="s">
        <v>418</v>
      </c>
      <c r="G1335" s="742" t="s">
        <v>50</v>
      </c>
      <c r="H1335" s="716">
        <v>1091.0</v>
      </c>
      <c r="I1335" s="716">
        <v>1224.0</v>
      </c>
      <c r="J1335" s="717">
        <v>939.0</v>
      </c>
      <c r="K1335" s="64"/>
      <c r="CE1335" s="460"/>
    </row>
    <row r="1336">
      <c r="A1336" s="63"/>
      <c r="B1336" s="701" t="s">
        <v>522</v>
      </c>
      <c r="C1336" s="743" t="s">
        <v>416</v>
      </c>
      <c r="D1336" s="703" t="s">
        <v>450</v>
      </c>
      <c r="E1336" s="704">
        <v>2021.0</v>
      </c>
      <c r="F1336" s="743" t="s">
        <v>418</v>
      </c>
      <c r="G1336" s="743" t="s">
        <v>50</v>
      </c>
      <c r="H1336" s="705">
        <v>270760.0</v>
      </c>
      <c r="I1336" s="705">
        <v>303843.0</v>
      </c>
      <c r="J1336" s="706">
        <v>233129.0</v>
      </c>
      <c r="K1336" s="64"/>
      <c r="CE1336" s="460"/>
    </row>
    <row r="1337">
      <c r="A1337" s="63"/>
      <c r="B1337" s="712" t="s">
        <v>522</v>
      </c>
      <c r="C1337" s="742" t="s">
        <v>416</v>
      </c>
      <c r="D1337" s="714" t="s">
        <v>453</v>
      </c>
      <c r="E1337" s="715">
        <v>2021.0</v>
      </c>
      <c r="F1337" s="742" t="s">
        <v>418</v>
      </c>
      <c r="G1337" s="742" t="s">
        <v>50</v>
      </c>
      <c r="H1337" s="716">
        <v>516720.0</v>
      </c>
      <c r="I1337" s="716">
        <v>579855.0</v>
      </c>
      <c r="J1337" s="717">
        <v>444905.0</v>
      </c>
      <c r="K1337" s="64"/>
      <c r="CE1337" s="460"/>
    </row>
    <row r="1338">
      <c r="A1338" s="63"/>
      <c r="B1338" s="701" t="s">
        <v>522</v>
      </c>
      <c r="C1338" s="743" t="s">
        <v>416</v>
      </c>
      <c r="D1338" s="703" t="s">
        <v>454</v>
      </c>
      <c r="E1338" s="704">
        <v>2021.0</v>
      </c>
      <c r="F1338" s="743" t="s">
        <v>418</v>
      </c>
      <c r="G1338" s="743" t="s">
        <v>50</v>
      </c>
      <c r="H1338" s="705">
        <v>745568.0</v>
      </c>
      <c r="I1338" s="705">
        <v>836666.0</v>
      </c>
      <c r="J1338" s="706">
        <v>641948.0</v>
      </c>
      <c r="K1338" s="64"/>
      <c r="CE1338" s="460"/>
    </row>
    <row r="1339">
      <c r="A1339" s="63"/>
      <c r="B1339" s="712" t="s">
        <v>522</v>
      </c>
      <c r="C1339" s="742" t="s">
        <v>416</v>
      </c>
      <c r="D1339" s="714" t="s">
        <v>457</v>
      </c>
      <c r="E1339" s="715">
        <v>2021.0</v>
      </c>
      <c r="F1339" s="742" t="s">
        <v>418</v>
      </c>
      <c r="G1339" s="742" t="s">
        <v>50</v>
      </c>
      <c r="H1339" s="716">
        <v>55807.0</v>
      </c>
      <c r="I1339" s="716">
        <v>62626.0</v>
      </c>
      <c r="J1339" s="717">
        <v>48051.0</v>
      </c>
      <c r="K1339" s="64"/>
      <c r="CE1339" s="460"/>
    </row>
    <row r="1340">
      <c r="A1340" s="63"/>
      <c r="B1340" s="701" t="s">
        <v>522</v>
      </c>
      <c r="C1340" s="743" t="s">
        <v>416</v>
      </c>
      <c r="D1340" s="703" t="s">
        <v>460</v>
      </c>
      <c r="E1340" s="704">
        <v>2021.0</v>
      </c>
      <c r="F1340" s="743" t="s">
        <v>418</v>
      </c>
      <c r="G1340" s="743" t="s">
        <v>50</v>
      </c>
      <c r="H1340" s="705">
        <v>23874.0</v>
      </c>
      <c r="I1340" s="705">
        <v>26791.0</v>
      </c>
      <c r="J1340" s="706">
        <v>20556.0</v>
      </c>
      <c r="K1340" s="64"/>
      <c r="CE1340" s="460"/>
    </row>
    <row r="1341">
      <c r="A1341" s="63"/>
      <c r="B1341" s="712" t="s">
        <v>522</v>
      </c>
      <c r="C1341" s="742" t="s">
        <v>416</v>
      </c>
      <c r="D1341" s="714" t="s">
        <v>463</v>
      </c>
      <c r="E1341" s="715">
        <v>2021.0</v>
      </c>
      <c r="F1341" s="742" t="s">
        <v>418</v>
      </c>
      <c r="G1341" s="742" t="s">
        <v>50</v>
      </c>
      <c r="H1341" s="716">
        <v>245960.0</v>
      </c>
      <c r="I1341" s="716">
        <v>276013.0</v>
      </c>
      <c r="J1341" s="717">
        <v>211776.0</v>
      </c>
      <c r="K1341" s="64"/>
      <c r="CE1341" s="460"/>
    </row>
    <row r="1342">
      <c r="A1342" s="63"/>
      <c r="B1342" s="701" t="s">
        <v>522</v>
      </c>
      <c r="C1342" s="743" t="s">
        <v>416</v>
      </c>
      <c r="D1342" s="703" t="s">
        <v>465</v>
      </c>
      <c r="E1342" s="704">
        <v>2021.0</v>
      </c>
      <c r="F1342" s="743" t="s">
        <v>418</v>
      </c>
      <c r="G1342" s="743" t="s">
        <v>50</v>
      </c>
      <c r="H1342" s="705">
        <v>1290684.0</v>
      </c>
      <c r="I1342" s="705">
        <v>1448387.0</v>
      </c>
      <c r="J1342" s="706">
        <v>1111303.0</v>
      </c>
      <c r="K1342" s="64"/>
      <c r="CE1342" s="460"/>
    </row>
    <row r="1343">
      <c r="A1343" s="63"/>
      <c r="B1343" s="712" t="s">
        <v>522</v>
      </c>
      <c r="C1343" s="742" t="s">
        <v>416</v>
      </c>
      <c r="D1343" s="714" t="s">
        <v>468</v>
      </c>
      <c r="E1343" s="715">
        <v>2021.0</v>
      </c>
      <c r="F1343" s="742" t="s">
        <v>418</v>
      </c>
      <c r="G1343" s="742" t="s">
        <v>50</v>
      </c>
      <c r="H1343" s="716">
        <v>228849.0</v>
      </c>
      <c r="I1343" s="716">
        <v>256811.0</v>
      </c>
      <c r="J1343" s="717">
        <v>197043.0</v>
      </c>
      <c r="K1343" s="64"/>
      <c r="CE1343" s="460"/>
    </row>
    <row r="1344">
      <c r="A1344" s="63"/>
      <c r="B1344" s="701" t="s">
        <v>522</v>
      </c>
      <c r="C1344" s="743" t="s">
        <v>416</v>
      </c>
      <c r="D1344" s="703" t="s">
        <v>471</v>
      </c>
      <c r="E1344" s="704">
        <v>2021.0</v>
      </c>
      <c r="F1344" s="743" t="s">
        <v>418</v>
      </c>
      <c r="G1344" s="743" t="s">
        <v>50</v>
      </c>
      <c r="H1344" s="705">
        <v>166523.0</v>
      </c>
      <c r="I1344" s="705">
        <v>186869.0</v>
      </c>
      <c r="J1344" s="706">
        <v>143379.0</v>
      </c>
      <c r="K1344" s="64"/>
      <c r="CE1344" s="460"/>
    </row>
    <row r="1345">
      <c r="A1345" s="63"/>
      <c r="B1345" s="712" t="s">
        <v>522</v>
      </c>
      <c r="C1345" s="742" t="s">
        <v>416</v>
      </c>
      <c r="D1345" s="714" t="s">
        <v>473</v>
      </c>
      <c r="E1345" s="715">
        <v>2021.0</v>
      </c>
      <c r="F1345" s="742" t="s">
        <v>418</v>
      </c>
      <c r="G1345" s="742" t="s">
        <v>50</v>
      </c>
      <c r="H1345" s="716">
        <v>1130936.0</v>
      </c>
      <c r="I1345" s="716">
        <v>1269121.0</v>
      </c>
      <c r="J1345" s="717">
        <v>973757.0</v>
      </c>
      <c r="K1345" s="64"/>
      <c r="CE1345" s="460"/>
    </row>
    <row r="1346">
      <c r="A1346" s="63"/>
      <c r="B1346" s="701" t="s">
        <v>522</v>
      </c>
      <c r="C1346" s="743" t="s">
        <v>416</v>
      </c>
      <c r="D1346" s="703" t="s">
        <v>476</v>
      </c>
      <c r="E1346" s="704">
        <v>2021.0</v>
      </c>
      <c r="F1346" s="743" t="s">
        <v>418</v>
      </c>
      <c r="G1346" s="743" t="s">
        <v>50</v>
      </c>
      <c r="H1346" s="705">
        <v>217290.0</v>
      </c>
      <c r="I1346" s="705">
        <v>243840.0</v>
      </c>
      <c r="J1346" s="706">
        <v>187091.0</v>
      </c>
      <c r="K1346" s="64"/>
      <c r="CE1346" s="460"/>
    </row>
    <row r="1347">
      <c r="A1347" s="63"/>
      <c r="B1347" s="712" t="s">
        <v>522</v>
      </c>
      <c r="C1347" s="742" t="s">
        <v>416</v>
      </c>
      <c r="D1347" s="714" t="s">
        <v>479</v>
      </c>
      <c r="E1347" s="715">
        <v>2021.0</v>
      </c>
      <c r="F1347" s="742" t="s">
        <v>418</v>
      </c>
      <c r="G1347" s="742" t="s">
        <v>50</v>
      </c>
      <c r="H1347" s="716">
        <v>191989.0</v>
      </c>
      <c r="I1347" s="716">
        <v>215448.0</v>
      </c>
      <c r="J1347" s="717">
        <v>165306.0</v>
      </c>
      <c r="K1347" s="64"/>
      <c r="CE1347" s="460"/>
    </row>
    <row r="1348">
      <c r="A1348" s="63"/>
      <c r="B1348" s="701" t="s">
        <v>522</v>
      </c>
      <c r="C1348" s="743" t="s">
        <v>416</v>
      </c>
      <c r="D1348" s="703" t="s">
        <v>482</v>
      </c>
      <c r="E1348" s="704">
        <v>2021.0</v>
      </c>
      <c r="F1348" s="743" t="s">
        <v>418</v>
      </c>
      <c r="G1348" s="743" t="s">
        <v>50</v>
      </c>
      <c r="H1348" s="705">
        <v>160994.0</v>
      </c>
      <c r="I1348" s="705">
        <v>180665.0</v>
      </c>
      <c r="J1348" s="706">
        <v>138619.0</v>
      </c>
      <c r="K1348" s="64"/>
      <c r="CE1348" s="460"/>
    </row>
    <row r="1349">
      <c r="A1349" s="63"/>
      <c r="B1349" s="712" t="s">
        <v>522</v>
      </c>
      <c r="C1349" s="742" t="s">
        <v>416</v>
      </c>
      <c r="D1349" s="714" t="s">
        <v>485</v>
      </c>
      <c r="E1349" s="715">
        <v>2021.0</v>
      </c>
      <c r="F1349" s="742" t="s">
        <v>418</v>
      </c>
      <c r="G1349" s="742" t="s">
        <v>50</v>
      </c>
      <c r="H1349" s="716">
        <v>134288.0</v>
      </c>
      <c r="I1349" s="716">
        <v>150697.0</v>
      </c>
      <c r="J1349" s="717">
        <v>115625.0</v>
      </c>
      <c r="K1349" s="64"/>
      <c r="CE1349" s="460"/>
    </row>
    <row r="1350">
      <c r="A1350" s="63"/>
      <c r="B1350" s="701" t="s">
        <v>522</v>
      </c>
      <c r="C1350" s="743" t="s">
        <v>416</v>
      </c>
      <c r="D1350" s="703" t="s">
        <v>488</v>
      </c>
      <c r="E1350" s="704">
        <v>2021.0</v>
      </c>
      <c r="F1350" s="743" t="s">
        <v>418</v>
      </c>
      <c r="G1350" s="743" t="s">
        <v>50</v>
      </c>
      <c r="H1350" s="705">
        <v>111314.0</v>
      </c>
      <c r="I1350" s="705">
        <v>124915.0</v>
      </c>
      <c r="J1350" s="706">
        <v>95843.0</v>
      </c>
      <c r="K1350" s="64"/>
      <c r="CE1350" s="460"/>
    </row>
    <row r="1351">
      <c r="A1351" s="63"/>
      <c r="B1351" s="712" t="s">
        <v>522</v>
      </c>
      <c r="C1351" s="742" t="s">
        <v>416</v>
      </c>
      <c r="D1351" s="714" t="s">
        <v>491</v>
      </c>
      <c r="E1351" s="715">
        <v>2021.0</v>
      </c>
      <c r="F1351" s="742" t="s">
        <v>418</v>
      </c>
      <c r="G1351" s="742" t="s">
        <v>50</v>
      </c>
      <c r="H1351" s="716">
        <v>89114.0</v>
      </c>
      <c r="I1351" s="716">
        <v>100003.0</v>
      </c>
      <c r="J1351" s="717">
        <v>76729.0</v>
      </c>
      <c r="K1351" s="64"/>
      <c r="CE1351" s="460"/>
    </row>
    <row r="1352">
      <c r="A1352" s="63"/>
      <c r="B1352" s="701" t="s">
        <v>522</v>
      </c>
      <c r="C1352" s="743" t="s">
        <v>416</v>
      </c>
      <c r="D1352" s="703" t="s">
        <v>493</v>
      </c>
      <c r="E1352" s="704">
        <v>2021.0</v>
      </c>
      <c r="F1352" s="743" t="s">
        <v>418</v>
      </c>
      <c r="G1352" s="743" t="s">
        <v>50</v>
      </c>
      <c r="H1352" s="705">
        <v>255195.0</v>
      </c>
      <c r="I1352" s="705">
        <v>286376.0</v>
      </c>
      <c r="J1352" s="706">
        <v>219728.0</v>
      </c>
      <c r="K1352" s="64"/>
      <c r="CE1352" s="460"/>
    </row>
    <row r="1353">
      <c r="A1353" s="63"/>
      <c r="B1353" s="712" t="s">
        <v>522</v>
      </c>
      <c r="C1353" s="742" t="s">
        <v>416</v>
      </c>
      <c r="D1353" s="714" t="s">
        <v>434</v>
      </c>
      <c r="E1353" s="715">
        <v>2021.0</v>
      </c>
      <c r="F1353" s="742" t="s">
        <v>418</v>
      </c>
      <c r="G1353" s="742" t="s">
        <v>50</v>
      </c>
      <c r="H1353" s="716">
        <v>546974.0</v>
      </c>
      <c r="I1353" s="716">
        <v>613806.0</v>
      </c>
      <c r="J1353" s="717">
        <v>470955.0</v>
      </c>
      <c r="K1353" s="64"/>
      <c r="CE1353" s="460"/>
    </row>
    <row r="1354">
      <c r="A1354" s="63"/>
      <c r="B1354" s="701" t="s">
        <v>522</v>
      </c>
      <c r="C1354" s="743" t="s">
        <v>416</v>
      </c>
      <c r="D1354" s="703" t="s">
        <v>497</v>
      </c>
      <c r="E1354" s="704">
        <v>2021.0</v>
      </c>
      <c r="F1354" s="743" t="s">
        <v>418</v>
      </c>
      <c r="G1354" s="743" t="s">
        <v>50</v>
      </c>
      <c r="H1354" s="705">
        <v>70021.0</v>
      </c>
      <c r="I1354" s="705">
        <v>78576.0</v>
      </c>
      <c r="J1354" s="706">
        <v>60289.0</v>
      </c>
      <c r="K1354" s="64"/>
      <c r="CE1354" s="460"/>
    </row>
    <row r="1355">
      <c r="A1355" s="63"/>
      <c r="B1355" s="712" t="s">
        <v>522</v>
      </c>
      <c r="C1355" s="742" t="s">
        <v>416</v>
      </c>
      <c r="D1355" s="714" t="s">
        <v>500</v>
      </c>
      <c r="E1355" s="715">
        <v>2021.0</v>
      </c>
      <c r="F1355" s="742" t="s">
        <v>418</v>
      </c>
      <c r="G1355" s="742" t="s">
        <v>50</v>
      </c>
      <c r="H1355" s="716">
        <v>276214.0</v>
      </c>
      <c r="I1355" s="716">
        <v>309964.0</v>
      </c>
      <c r="J1355" s="717">
        <v>237825.0</v>
      </c>
      <c r="K1355" s="64"/>
      <c r="CE1355" s="460"/>
    </row>
    <row r="1356">
      <c r="A1356" s="63"/>
      <c r="B1356" s="701" t="s">
        <v>522</v>
      </c>
      <c r="C1356" s="743" t="s">
        <v>416</v>
      </c>
      <c r="D1356" s="703" t="s">
        <v>502</v>
      </c>
      <c r="E1356" s="704">
        <v>2021.0</v>
      </c>
      <c r="F1356" s="743" t="s">
        <v>418</v>
      </c>
      <c r="G1356" s="743" t="s">
        <v>50</v>
      </c>
      <c r="H1356" s="705">
        <v>54662.0</v>
      </c>
      <c r="I1356" s="705">
        <v>61341.0</v>
      </c>
      <c r="J1356" s="706">
        <v>47065.0</v>
      </c>
      <c r="K1356" s="64"/>
      <c r="CE1356" s="460"/>
    </row>
    <row r="1357">
      <c r="A1357" s="63"/>
      <c r="B1357" s="712" t="s">
        <v>522</v>
      </c>
      <c r="C1357" s="742" t="s">
        <v>416</v>
      </c>
      <c r="D1357" s="714" t="s">
        <v>505</v>
      </c>
      <c r="E1357" s="715">
        <v>2021.0</v>
      </c>
      <c r="F1357" s="742" t="s">
        <v>418</v>
      </c>
      <c r="G1357" s="742" t="s">
        <v>50</v>
      </c>
      <c r="H1357" s="716">
        <v>27909.0</v>
      </c>
      <c r="I1357" s="716">
        <v>31319.0</v>
      </c>
      <c r="J1357" s="717">
        <v>24030.0</v>
      </c>
      <c r="K1357" s="64"/>
      <c r="CE1357" s="460"/>
    </row>
    <row r="1358">
      <c r="A1358" s="63"/>
      <c r="B1358" s="701" t="s">
        <v>522</v>
      </c>
      <c r="C1358" s="743" t="s">
        <v>416</v>
      </c>
      <c r="D1358" s="703" t="s">
        <v>508</v>
      </c>
      <c r="E1358" s="704">
        <v>2021.0</v>
      </c>
      <c r="F1358" s="743" t="s">
        <v>418</v>
      </c>
      <c r="G1358" s="743" t="s">
        <v>50</v>
      </c>
      <c r="H1358" s="705">
        <v>41398.0</v>
      </c>
      <c r="I1358" s="705">
        <v>46456.0</v>
      </c>
      <c r="J1358" s="706">
        <v>35644.0</v>
      </c>
      <c r="K1358" s="64"/>
      <c r="CE1358" s="460"/>
    </row>
    <row r="1359">
      <c r="A1359" s="63"/>
      <c r="B1359" s="712" t="s">
        <v>522</v>
      </c>
      <c r="C1359" s="742" t="s">
        <v>416</v>
      </c>
      <c r="D1359" s="714" t="s">
        <v>511</v>
      </c>
      <c r="E1359" s="715">
        <v>2021.0</v>
      </c>
      <c r="F1359" s="742" t="s">
        <v>418</v>
      </c>
      <c r="G1359" s="742" t="s">
        <v>50</v>
      </c>
      <c r="H1359" s="716">
        <v>59866.0</v>
      </c>
      <c r="I1359" s="716">
        <v>67181.0</v>
      </c>
      <c r="J1359" s="717">
        <v>51546.0</v>
      </c>
      <c r="K1359" s="64"/>
      <c r="CE1359" s="460"/>
    </row>
    <row r="1360">
      <c r="A1360" s="63"/>
      <c r="B1360" s="701" t="s">
        <v>522</v>
      </c>
      <c r="C1360" s="743" t="s">
        <v>416</v>
      </c>
      <c r="D1360" s="703" t="s">
        <v>514</v>
      </c>
      <c r="E1360" s="704">
        <v>2021.0</v>
      </c>
      <c r="F1360" s="743" t="s">
        <v>418</v>
      </c>
      <c r="G1360" s="743" t="s">
        <v>50</v>
      </c>
      <c r="H1360" s="705">
        <v>28665.0</v>
      </c>
      <c r="I1360" s="705">
        <v>32168.0</v>
      </c>
      <c r="J1360" s="706">
        <v>24681.0</v>
      </c>
      <c r="K1360" s="64"/>
      <c r="CE1360" s="460"/>
    </row>
    <row r="1361">
      <c r="A1361" s="63"/>
      <c r="B1361" s="712" t="s">
        <v>522</v>
      </c>
      <c r="C1361" s="742" t="s">
        <v>416</v>
      </c>
      <c r="D1361" s="714" t="s">
        <v>439</v>
      </c>
      <c r="E1361" s="715">
        <v>2021.0</v>
      </c>
      <c r="F1361" s="742" t="s">
        <v>418</v>
      </c>
      <c r="G1361" s="742" t="s">
        <v>50</v>
      </c>
      <c r="H1361" s="716">
        <v>3247.0</v>
      </c>
      <c r="I1361" s="716">
        <v>3644.0</v>
      </c>
      <c r="J1361" s="717">
        <v>2796.0</v>
      </c>
      <c r="K1361" s="64"/>
      <c r="CE1361" s="460"/>
    </row>
    <row r="1362">
      <c r="A1362" s="63"/>
      <c r="B1362" s="701" t="s">
        <v>522</v>
      </c>
      <c r="C1362" s="743" t="s">
        <v>416</v>
      </c>
      <c r="D1362" s="703" t="s">
        <v>517</v>
      </c>
      <c r="E1362" s="704">
        <v>2021.0</v>
      </c>
      <c r="F1362" s="743" t="s">
        <v>418</v>
      </c>
      <c r="G1362" s="743" t="s">
        <v>50</v>
      </c>
      <c r="H1362" s="705">
        <v>17581.0</v>
      </c>
      <c r="I1362" s="705">
        <v>19729.0</v>
      </c>
      <c r="J1362" s="706">
        <v>15137.0</v>
      </c>
      <c r="K1362" s="64"/>
      <c r="CE1362" s="460"/>
    </row>
    <row r="1363">
      <c r="A1363" s="63"/>
      <c r="B1363" s="712" t="s">
        <v>522</v>
      </c>
      <c r="C1363" s="742" t="s">
        <v>416</v>
      </c>
      <c r="D1363" s="714" t="s">
        <v>520</v>
      </c>
      <c r="E1363" s="715">
        <v>2021.0</v>
      </c>
      <c r="F1363" s="742" t="s">
        <v>418</v>
      </c>
      <c r="G1363" s="742" t="s">
        <v>50</v>
      </c>
      <c r="H1363" s="716">
        <v>13620.0</v>
      </c>
      <c r="I1363" s="716">
        <v>15284.0</v>
      </c>
      <c r="J1363" s="717">
        <v>11727.0</v>
      </c>
      <c r="K1363" s="64"/>
      <c r="CE1363" s="460"/>
    </row>
    <row r="1364">
      <c r="A1364" s="63"/>
      <c r="B1364" s="701" t="s">
        <v>522</v>
      </c>
      <c r="C1364" s="743" t="s">
        <v>416</v>
      </c>
      <c r="D1364" s="703" t="s">
        <v>521</v>
      </c>
      <c r="E1364" s="704">
        <v>2021.0</v>
      </c>
      <c r="F1364" s="743" t="s">
        <v>418</v>
      </c>
      <c r="G1364" s="743" t="s">
        <v>50</v>
      </c>
      <c r="H1364" s="705">
        <v>9059.0</v>
      </c>
      <c r="I1364" s="705">
        <v>10166.0</v>
      </c>
      <c r="J1364" s="706">
        <v>7800.0</v>
      </c>
      <c r="K1364" s="64"/>
      <c r="CE1364" s="460"/>
    </row>
    <row r="1365">
      <c r="A1365" s="63"/>
      <c r="B1365" s="712" t="s">
        <v>522</v>
      </c>
      <c r="C1365" s="742" t="s">
        <v>416</v>
      </c>
      <c r="D1365" s="714" t="s">
        <v>524</v>
      </c>
      <c r="E1365" s="715">
        <v>2021.0</v>
      </c>
      <c r="F1365" s="742" t="s">
        <v>418</v>
      </c>
      <c r="G1365" s="742" t="s">
        <v>50</v>
      </c>
      <c r="H1365" s="716">
        <v>3454.0</v>
      </c>
      <c r="I1365" s="716">
        <v>3876.0</v>
      </c>
      <c r="J1365" s="717">
        <v>2974.0</v>
      </c>
      <c r="K1365" s="64"/>
      <c r="CE1365" s="460"/>
    </row>
    <row r="1366">
      <c r="A1366" s="63"/>
      <c r="B1366" s="701" t="s">
        <v>522</v>
      </c>
      <c r="C1366" s="743" t="s">
        <v>416</v>
      </c>
      <c r="D1366" s="703" t="s">
        <v>527</v>
      </c>
      <c r="E1366" s="704">
        <v>2021.0</v>
      </c>
      <c r="F1366" s="743" t="s">
        <v>418</v>
      </c>
      <c r="G1366" s="743" t="s">
        <v>50</v>
      </c>
      <c r="H1366" s="705">
        <v>901.0</v>
      </c>
      <c r="I1366" s="705">
        <v>1012.0</v>
      </c>
      <c r="J1366" s="706">
        <v>776.0</v>
      </c>
      <c r="K1366" s="64"/>
      <c r="CE1366" s="460"/>
    </row>
    <row r="1367">
      <c r="A1367" s="63"/>
      <c r="B1367" s="712" t="s">
        <v>522</v>
      </c>
      <c r="C1367" s="742" t="s">
        <v>416</v>
      </c>
      <c r="D1367" s="714" t="s">
        <v>529</v>
      </c>
      <c r="E1367" s="715">
        <v>2021.0</v>
      </c>
      <c r="F1367" s="742" t="s">
        <v>418</v>
      </c>
      <c r="G1367" s="742" t="s">
        <v>50</v>
      </c>
      <c r="H1367" s="716">
        <v>206.0</v>
      </c>
      <c r="I1367" s="716">
        <v>231.0</v>
      </c>
      <c r="J1367" s="717">
        <v>178.0</v>
      </c>
      <c r="K1367" s="64"/>
      <c r="CE1367" s="460"/>
    </row>
    <row r="1368">
      <c r="A1368" s="63"/>
      <c r="B1368" s="701" t="s">
        <v>522</v>
      </c>
      <c r="C1368" s="743" t="s">
        <v>416</v>
      </c>
      <c r="D1368" s="703" t="s">
        <v>443</v>
      </c>
      <c r="E1368" s="704">
        <v>2021.0</v>
      </c>
      <c r="F1368" s="743" t="s">
        <v>418</v>
      </c>
      <c r="G1368" s="743" t="s">
        <v>50</v>
      </c>
      <c r="H1368" s="705">
        <v>2431170.0</v>
      </c>
      <c r="I1368" s="705">
        <v>2728225.0</v>
      </c>
      <c r="J1368" s="706">
        <v>2093283.0</v>
      </c>
      <c r="K1368" s="64"/>
      <c r="CE1368" s="460"/>
    </row>
    <row r="1369">
      <c r="A1369" s="63"/>
      <c r="B1369" s="712" t="s">
        <v>525</v>
      </c>
      <c r="C1369" s="742" t="s">
        <v>416</v>
      </c>
      <c r="D1369" s="714" t="s">
        <v>417</v>
      </c>
      <c r="E1369" s="715">
        <v>2021.0</v>
      </c>
      <c r="F1369" s="742" t="s">
        <v>418</v>
      </c>
      <c r="G1369" s="742" t="s">
        <v>50</v>
      </c>
      <c r="H1369" s="716">
        <v>627399.0</v>
      </c>
      <c r="I1369" s="716">
        <v>712074.0</v>
      </c>
      <c r="J1369" s="717">
        <v>551011.0</v>
      </c>
      <c r="K1369" s="64"/>
      <c r="CE1369" s="460"/>
    </row>
    <row r="1370">
      <c r="A1370" s="63"/>
      <c r="B1370" s="701" t="s">
        <v>525</v>
      </c>
      <c r="C1370" s="743" t="s">
        <v>416</v>
      </c>
      <c r="D1370" s="703" t="s">
        <v>431</v>
      </c>
      <c r="E1370" s="704">
        <v>2021.0</v>
      </c>
      <c r="F1370" s="743" t="s">
        <v>418</v>
      </c>
      <c r="G1370" s="743" t="s">
        <v>50</v>
      </c>
      <c r="H1370" s="705">
        <v>1.2454523E7</v>
      </c>
      <c r="I1370" s="705">
        <v>1.413539E7</v>
      </c>
      <c r="J1370" s="706">
        <v>1.0938135E7</v>
      </c>
      <c r="K1370" s="64"/>
      <c r="CE1370" s="460"/>
    </row>
    <row r="1371">
      <c r="A1371" s="63"/>
      <c r="B1371" s="712" t="s">
        <v>525</v>
      </c>
      <c r="C1371" s="742" t="s">
        <v>416</v>
      </c>
      <c r="D1371" s="714" t="s">
        <v>438</v>
      </c>
      <c r="E1371" s="715">
        <v>2021.0</v>
      </c>
      <c r="F1371" s="742" t="s">
        <v>418</v>
      </c>
      <c r="G1371" s="742" t="s">
        <v>50</v>
      </c>
      <c r="H1371" s="716">
        <v>48462.0</v>
      </c>
      <c r="I1371" s="716">
        <v>55003.0</v>
      </c>
      <c r="J1371" s="717">
        <v>42562.0</v>
      </c>
      <c r="K1371" s="64"/>
      <c r="CE1371" s="460"/>
    </row>
    <row r="1372">
      <c r="A1372" s="63"/>
      <c r="B1372" s="701" t="s">
        <v>525</v>
      </c>
      <c r="C1372" s="743" t="s">
        <v>416</v>
      </c>
      <c r="D1372" s="703" t="s">
        <v>421</v>
      </c>
      <c r="E1372" s="704">
        <v>2021.0</v>
      </c>
      <c r="F1372" s="743" t="s">
        <v>418</v>
      </c>
      <c r="G1372" s="743" t="s">
        <v>50</v>
      </c>
      <c r="H1372" s="705">
        <v>3106391.0</v>
      </c>
      <c r="I1372" s="705">
        <v>3525631.0</v>
      </c>
      <c r="J1372" s="706">
        <v>2728175.0</v>
      </c>
      <c r="K1372" s="64"/>
      <c r="CE1372" s="460"/>
    </row>
    <row r="1373">
      <c r="A1373" s="63"/>
      <c r="B1373" s="712" t="s">
        <v>525</v>
      </c>
      <c r="C1373" s="742" t="s">
        <v>416</v>
      </c>
      <c r="D1373" s="714" t="s">
        <v>447</v>
      </c>
      <c r="E1373" s="715">
        <v>2021.0</v>
      </c>
      <c r="F1373" s="742" t="s">
        <v>418</v>
      </c>
      <c r="G1373" s="742" t="s">
        <v>50</v>
      </c>
      <c r="H1373" s="716">
        <v>9227225.0</v>
      </c>
      <c r="I1373" s="716">
        <v>1.0472534E7</v>
      </c>
      <c r="J1373" s="717">
        <v>8103773.0</v>
      </c>
      <c r="K1373" s="64"/>
      <c r="CE1373" s="460"/>
    </row>
    <row r="1374">
      <c r="A1374" s="63"/>
      <c r="B1374" s="701" t="s">
        <v>525</v>
      </c>
      <c r="C1374" s="743" t="s">
        <v>416</v>
      </c>
      <c r="D1374" s="703" t="s">
        <v>432</v>
      </c>
      <c r="E1374" s="704">
        <v>2021.0</v>
      </c>
      <c r="F1374" s="743" t="s">
        <v>418</v>
      </c>
      <c r="G1374" s="743" t="s">
        <v>50</v>
      </c>
      <c r="H1374" s="705">
        <v>12205.0</v>
      </c>
      <c r="I1374" s="705">
        <v>13852.0</v>
      </c>
      <c r="J1374" s="706">
        <v>10719.0</v>
      </c>
      <c r="K1374" s="64"/>
      <c r="CE1374" s="460"/>
    </row>
    <row r="1375">
      <c r="A1375" s="63"/>
      <c r="B1375" s="712" t="s">
        <v>525</v>
      </c>
      <c r="C1375" s="742" t="s">
        <v>416</v>
      </c>
      <c r="D1375" s="714" t="s">
        <v>450</v>
      </c>
      <c r="E1375" s="715">
        <v>2021.0</v>
      </c>
      <c r="F1375" s="742" t="s">
        <v>418</v>
      </c>
      <c r="G1375" s="742" t="s">
        <v>50</v>
      </c>
      <c r="H1375" s="716">
        <v>3087980.0</v>
      </c>
      <c r="I1375" s="716">
        <v>3504734.0</v>
      </c>
      <c r="J1375" s="717">
        <v>2712006.0</v>
      </c>
      <c r="K1375" s="64"/>
      <c r="CE1375" s="460"/>
    </row>
    <row r="1376">
      <c r="A1376" s="63"/>
      <c r="B1376" s="701" t="s">
        <v>525</v>
      </c>
      <c r="C1376" s="743" t="s">
        <v>416</v>
      </c>
      <c r="D1376" s="703" t="s">
        <v>453</v>
      </c>
      <c r="E1376" s="704">
        <v>2021.0</v>
      </c>
      <c r="F1376" s="743" t="s">
        <v>418</v>
      </c>
      <c r="G1376" s="743" t="s">
        <v>50</v>
      </c>
      <c r="H1376" s="705">
        <v>6315278.0</v>
      </c>
      <c r="I1376" s="705">
        <v>7167590.0</v>
      </c>
      <c r="J1376" s="706">
        <v>5546368.0</v>
      </c>
      <c r="K1376" s="64"/>
      <c r="CE1376" s="460"/>
    </row>
    <row r="1377">
      <c r="A1377" s="63"/>
      <c r="B1377" s="712" t="s">
        <v>525</v>
      </c>
      <c r="C1377" s="742" t="s">
        <v>416</v>
      </c>
      <c r="D1377" s="714" t="s">
        <v>454</v>
      </c>
      <c r="E1377" s="715">
        <v>2021.0</v>
      </c>
      <c r="F1377" s="742" t="s">
        <v>418</v>
      </c>
      <c r="G1377" s="742" t="s">
        <v>50</v>
      </c>
      <c r="H1377" s="716">
        <v>9451190.0</v>
      </c>
      <c r="I1377" s="716">
        <v>1.0726726E7</v>
      </c>
      <c r="J1377" s="717">
        <v>8300470.0</v>
      </c>
      <c r="K1377" s="64"/>
      <c r="CE1377" s="460"/>
    </row>
    <row r="1378">
      <c r="A1378" s="63"/>
      <c r="B1378" s="701" t="s">
        <v>525</v>
      </c>
      <c r="C1378" s="743" t="s">
        <v>416</v>
      </c>
      <c r="D1378" s="703" t="s">
        <v>457</v>
      </c>
      <c r="E1378" s="704">
        <v>2021.0</v>
      </c>
      <c r="F1378" s="743" t="s">
        <v>418</v>
      </c>
      <c r="G1378" s="743" t="s">
        <v>50</v>
      </c>
      <c r="H1378" s="705">
        <v>624102.0</v>
      </c>
      <c r="I1378" s="705">
        <v>708331.0</v>
      </c>
      <c r="J1378" s="706">
        <v>548115.0</v>
      </c>
      <c r="K1378" s="64"/>
      <c r="CE1378" s="460"/>
    </row>
    <row r="1379">
      <c r="A1379" s="63"/>
      <c r="B1379" s="712" t="s">
        <v>525</v>
      </c>
      <c r="C1379" s="742" t="s">
        <v>416</v>
      </c>
      <c r="D1379" s="714" t="s">
        <v>460</v>
      </c>
      <c r="E1379" s="715">
        <v>2021.0</v>
      </c>
      <c r="F1379" s="742" t="s">
        <v>418</v>
      </c>
      <c r="G1379" s="742" t="s">
        <v>50</v>
      </c>
      <c r="H1379" s="716">
        <v>266650.0</v>
      </c>
      <c r="I1379" s="716">
        <v>302637.0</v>
      </c>
      <c r="J1379" s="717">
        <v>234185.0</v>
      </c>
      <c r="K1379" s="64"/>
      <c r="CE1379" s="460"/>
    </row>
    <row r="1380">
      <c r="A1380" s="63"/>
      <c r="B1380" s="701" t="s">
        <v>525</v>
      </c>
      <c r="C1380" s="743" t="s">
        <v>416</v>
      </c>
      <c r="D1380" s="703" t="s">
        <v>463</v>
      </c>
      <c r="E1380" s="704">
        <v>2021.0</v>
      </c>
      <c r="F1380" s="743" t="s">
        <v>418</v>
      </c>
      <c r="G1380" s="743" t="s">
        <v>50</v>
      </c>
      <c r="H1380" s="705">
        <v>3227299.0</v>
      </c>
      <c r="I1380" s="705">
        <v>3662856.0</v>
      </c>
      <c r="J1380" s="706">
        <v>2834362.0</v>
      </c>
      <c r="K1380" s="64"/>
      <c r="CE1380" s="460"/>
    </row>
    <row r="1381">
      <c r="A1381" s="63"/>
      <c r="B1381" s="712" t="s">
        <v>525</v>
      </c>
      <c r="C1381" s="742" t="s">
        <v>416</v>
      </c>
      <c r="D1381" s="714" t="s">
        <v>465</v>
      </c>
      <c r="E1381" s="715">
        <v>2021.0</v>
      </c>
      <c r="F1381" s="742" t="s">
        <v>418</v>
      </c>
      <c r="G1381" s="742" t="s">
        <v>50</v>
      </c>
      <c r="H1381" s="716">
        <v>1.6645751E7</v>
      </c>
      <c r="I1381" s="716">
        <v>1.8892267E7</v>
      </c>
      <c r="J1381" s="717">
        <v>1.4619063E7</v>
      </c>
      <c r="K1381" s="64"/>
      <c r="CE1381" s="460"/>
    </row>
    <row r="1382">
      <c r="A1382" s="63"/>
      <c r="B1382" s="701" t="s">
        <v>525</v>
      </c>
      <c r="C1382" s="743" t="s">
        <v>416</v>
      </c>
      <c r="D1382" s="703" t="s">
        <v>468</v>
      </c>
      <c r="E1382" s="704">
        <v>2021.0</v>
      </c>
      <c r="F1382" s="743" t="s">
        <v>418</v>
      </c>
      <c r="G1382" s="743" t="s">
        <v>50</v>
      </c>
      <c r="H1382" s="705">
        <v>3135912.0</v>
      </c>
      <c r="I1382" s="705">
        <v>3559136.0</v>
      </c>
      <c r="J1382" s="706">
        <v>2754102.0</v>
      </c>
      <c r="K1382" s="64"/>
      <c r="CE1382" s="460"/>
    </row>
    <row r="1383">
      <c r="A1383" s="63"/>
      <c r="B1383" s="712" t="s">
        <v>525</v>
      </c>
      <c r="C1383" s="742" t="s">
        <v>416</v>
      </c>
      <c r="D1383" s="714" t="s">
        <v>471</v>
      </c>
      <c r="E1383" s="715">
        <v>2021.0</v>
      </c>
      <c r="F1383" s="742" t="s">
        <v>418</v>
      </c>
      <c r="G1383" s="742" t="s">
        <v>50</v>
      </c>
      <c r="H1383" s="716">
        <v>1854890.0</v>
      </c>
      <c r="I1383" s="716">
        <v>2105226.0</v>
      </c>
      <c r="J1383" s="717">
        <v>1629049.0</v>
      </c>
      <c r="K1383" s="64"/>
      <c r="CE1383" s="460"/>
    </row>
    <row r="1384">
      <c r="A1384" s="63"/>
      <c r="B1384" s="701" t="s">
        <v>525</v>
      </c>
      <c r="C1384" s="743" t="s">
        <v>416</v>
      </c>
      <c r="D1384" s="703" t="s">
        <v>473</v>
      </c>
      <c r="E1384" s="704">
        <v>2021.0</v>
      </c>
      <c r="F1384" s="743" t="s">
        <v>418</v>
      </c>
      <c r="G1384" s="743" t="s">
        <v>50</v>
      </c>
      <c r="H1384" s="705">
        <v>1.5539376E7</v>
      </c>
      <c r="I1384" s="705">
        <v>1.7636576E7</v>
      </c>
      <c r="J1384" s="706">
        <v>1.3647394E7</v>
      </c>
      <c r="K1384" s="64"/>
      <c r="CE1384" s="460"/>
    </row>
    <row r="1385">
      <c r="A1385" s="63"/>
      <c r="B1385" s="712" t="s">
        <v>525</v>
      </c>
      <c r="C1385" s="742" t="s">
        <v>416</v>
      </c>
      <c r="D1385" s="714" t="s">
        <v>476</v>
      </c>
      <c r="E1385" s="715">
        <v>2021.0</v>
      </c>
      <c r="F1385" s="742" t="s">
        <v>418</v>
      </c>
      <c r="G1385" s="742" t="s">
        <v>50</v>
      </c>
      <c r="H1385" s="716">
        <v>2732959.0</v>
      </c>
      <c r="I1385" s="716">
        <v>3101800.0</v>
      </c>
      <c r="J1385" s="717">
        <v>2400210.0</v>
      </c>
      <c r="K1385" s="64"/>
      <c r="CE1385" s="460"/>
    </row>
    <row r="1386">
      <c r="A1386" s="63"/>
      <c r="B1386" s="701" t="s">
        <v>525</v>
      </c>
      <c r="C1386" s="743" t="s">
        <v>416</v>
      </c>
      <c r="D1386" s="703" t="s">
        <v>479</v>
      </c>
      <c r="E1386" s="704">
        <v>2021.0</v>
      </c>
      <c r="F1386" s="743" t="s">
        <v>418</v>
      </c>
      <c r="G1386" s="743" t="s">
        <v>50</v>
      </c>
      <c r="H1386" s="705">
        <v>2313754.0</v>
      </c>
      <c r="I1386" s="705">
        <v>2626019.0</v>
      </c>
      <c r="J1386" s="706">
        <v>2032045.0</v>
      </c>
      <c r="K1386" s="64"/>
      <c r="CE1386" s="460"/>
    </row>
    <row r="1387">
      <c r="A1387" s="63"/>
      <c r="B1387" s="712" t="s">
        <v>525</v>
      </c>
      <c r="C1387" s="742" t="s">
        <v>416</v>
      </c>
      <c r="D1387" s="714" t="s">
        <v>482</v>
      </c>
      <c r="E1387" s="715">
        <v>2021.0</v>
      </c>
      <c r="F1387" s="742" t="s">
        <v>418</v>
      </c>
      <c r="G1387" s="742" t="s">
        <v>50</v>
      </c>
      <c r="H1387" s="716">
        <v>1997698.0</v>
      </c>
      <c r="I1387" s="716">
        <v>2267308.0</v>
      </c>
      <c r="J1387" s="717">
        <v>1754470.0</v>
      </c>
      <c r="K1387" s="64"/>
      <c r="CE1387" s="460"/>
    </row>
    <row r="1388">
      <c r="A1388" s="63"/>
      <c r="B1388" s="701" t="s">
        <v>525</v>
      </c>
      <c r="C1388" s="743" t="s">
        <v>416</v>
      </c>
      <c r="D1388" s="703" t="s">
        <v>485</v>
      </c>
      <c r="E1388" s="704">
        <v>2021.0</v>
      </c>
      <c r="F1388" s="743" t="s">
        <v>418</v>
      </c>
      <c r="G1388" s="743" t="s">
        <v>50</v>
      </c>
      <c r="H1388" s="705">
        <v>1738270.0</v>
      </c>
      <c r="I1388" s="705">
        <v>1972868.0</v>
      </c>
      <c r="J1388" s="706">
        <v>1526629.0</v>
      </c>
      <c r="K1388" s="64"/>
      <c r="CE1388" s="460"/>
    </row>
    <row r="1389">
      <c r="A1389" s="63"/>
      <c r="B1389" s="712" t="s">
        <v>525</v>
      </c>
      <c r="C1389" s="742" t="s">
        <v>416</v>
      </c>
      <c r="D1389" s="714" t="s">
        <v>488</v>
      </c>
      <c r="E1389" s="715">
        <v>2021.0</v>
      </c>
      <c r="F1389" s="742" t="s">
        <v>418</v>
      </c>
      <c r="G1389" s="742" t="s">
        <v>50</v>
      </c>
      <c r="H1389" s="716">
        <v>1499858.0</v>
      </c>
      <c r="I1389" s="716">
        <v>1702280.0</v>
      </c>
      <c r="J1389" s="717">
        <v>1317244.0</v>
      </c>
      <c r="K1389" s="64"/>
      <c r="CE1389" s="460"/>
    </row>
    <row r="1390">
      <c r="A1390" s="63"/>
      <c r="B1390" s="701" t="s">
        <v>525</v>
      </c>
      <c r="C1390" s="743" t="s">
        <v>416</v>
      </c>
      <c r="D1390" s="703" t="s">
        <v>491</v>
      </c>
      <c r="E1390" s="704">
        <v>2021.0</v>
      </c>
      <c r="F1390" s="743" t="s">
        <v>418</v>
      </c>
      <c r="G1390" s="743" t="s">
        <v>50</v>
      </c>
      <c r="H1390" s="705">
        <v>1298981.0</v>
      </c>
      <c r="I1390" s="705">
        <v>1474292.0</v>
      </c>
      <c r="J1390" s="706">
        <v>1140825.0</v>
      </c>
      <c r="K1390" s="64"/>
      <c r="CE1390" s="460"/>
    </row>
    <row r="1391">
      <c r="A1391" s="63"/>
      <c r="B1391" s="712" t="s">
        <v>525</v>
      </c>
      <c r="C1391" s="742" t="s">
        <v>416</v>
      </c>
      <c r="D1391" s="714" t="s">
        <v>493</v>
      </c>
      <c r="E1391" s="715">
        <v>2021.0</v>
      </c>
      <c r="F1391" s="742" t="s">
        <v>418</v>
      </c>
      <c r="G1391" s="742" t="s">
        <v>50</v>
      </c>
      <c r="H1391" s="716">
        <v>4091814.0</v>
      </c>
      <c r="I1391" s="716">
        <v>4644046.0</v>
      </c>
      <c r="J1391" s="717">
        <v>3593619.0</v>
      </c>
      <c r="K1391" s="64"/>
      <c r="CE1391" s="460"/>
    </row>
    <row r="1392">
      <c r="A1392" s="63"/>
      <c r="B1392" s="701" t="s">
        <v>525</v>
      </c>
      <c r="C1392" s="743" t="s">
        <v>416</v>
      </c>
      <c r="D1392" s="703" t="s">
        <v>434</v>
      </c>
      <c r="E1392" s="704">
        <v>2021.0</v>
      </c>
      <c r="F1392" s="743" t="s">
        <v>418</v>
      </c>
      <c r="G1392" s="743" t="s">
        <v>50</v>
      </c>
      <c r="H1392" s="705">
        <v>6120833.0</v>
      </c>
      <c r="I1392" s="705">
        <v>6946903.0</v>
      </c>
      <c r="J1392" s="706">
        <v>5375597.0</v>
      </c>
      <c r="K1392" s="64"/>
      <c r="CE1392" s="460"/>
    </row>
    <row r="1393">
      <c r="A1393" s="63"/>
      <c r="B1393" s="712" t="s">
        <v>525</v>
      </c>
      <c r="C1393" s="742" t="s">
        <v>416</v>
      </c>
      <c r="D1393" s="714" t="s">
        <v>497</v>
      </c>
      <c r="E1393" s="715">
        <v>2021.0</v>
      </c>
      <c r="F1393" s="742" t="s">
        <v>418</v>
      </c>
      <c r="G1393" s="742" t="s">
        <v>50</v>
      </c>
      <c r="H1393" s="716">
        <v>1109574.0</v>
      </c>
      <c r="I1393" s="716">
        <v>1259323.0</v>
      </c>
      <c r="J1393" s="717">
        <v>974479.0</v>
      </c>
      <c r="K1393" s="64"/>
      <c r="CE1393" s="460"/>
    </row>
    <row r="1394">
      <c r="A1394" s="63"/>
      <c r="B1394" s="701" t="s">
        <v>525</v>
      </c>
      <c r="C1394" s="743" t="s">
        <v>416</v>
      </c>
      <c r="D1394" s="703" t="s">
        <v>500</v>
      </c>
      <c r="E1394" s="704">
        <v>2021.0</v>
      </c>
      <c r="F1394" s="743" t="s">
        <v>418</v>
      </c>
      <c r="G1394" s="743" t="s">
        <v>50</v>
      </c>
      <c r="H1394" s="705">
        <v>3032854.0</v>
      </c>
      <c r="I1394" s="705">
        <v>3442169.0</v>
      </c>
      <c r="J1394" s="706">
        <v>2663592.0</v>
      </c>
      <c r="K1394" s="64"/>
      <c r="CE1394" s="460"/>
    </row>
    <row r="1395">
      <c r="A1395" s="63"/>
      <c r="B1395" s="712" t="s">
        <v>525</v>
      </c>
      <c r="C1395" s="742" t="s">
        <v>416</v>
      </c>
      <c r="D1395" s="714" t="s">
        <v>502</v>
      </c>
      <c r="E1395" s="715">
        <v>2021.0</v>
      </c>
      <c r="F1395" s="742" t="s">
        <v>418</v>
      </c>
      <c r="G1395" s="742" t="s">
        <v>50</v>
      </c>
      <c r="H1395" s="716">
        <v>933667.0</v>
      </c>
      <c r="I1395" s="716">
        <v>1059675.0</v>
      </c>
      <c r="J1395" s="717">
        <v>819989.0</v>
      </c>
      <c r="K1395" s="64"/>
      <c r="CE1395" s="460"/>
    </row>
    <row r="1396">
      <c r="A1396" s="63"/>
      <c r="B1396" s="701" t="s">
        <v>525</v>
      </c>
      <c r="C1396" s="743" t="s">
        <v>416</v>
      </c>
      <c r="D1396" s="703" t="s">
        <v>505</v>
      </c>
      <c r="E1396" s="704">
        <v>2021.0</v>
      </c>
      <c r="F1396" s="743" t="s">
        <v>418</v>
      </c>
      <c r="G1396" s="743" t="s">
        <v>50</v>
      </c>
      <c r="H1396" s="705">
        <v>312287.0</v>
      </c>
      <c r="I1396" s="705">
        <v>354433.0</v>
      </c>
      <c r="J1396" s="706">
        <v>274265.0</v>
      </c>
      <c r="K1396" s="64"/>
      <c r="CE1396" s="460"/>
    </row>
    <row r="1397">
      <c r="A1397" s="63"/>
      <c r="B1397" s="712" t="s">
        <v>525</v>
      </c>
      <c r="C1397" s="742" t="s">
        <v>416</v>
      </c>
      <c r="D1397" s="714" t="s">
        <v>508</v>
      </c>
      <c r="E1397" s="715">
        <v>2021.0</v>
      </c>
      <c r="F1397" s="742" t="s">
        <v>418</v>
      </c>
      <c r="G1397" s="742" t="s">
        <v>50</v>
      </c>
      <c r="H1397" s="716">
        <v>749592.0</v>
      </c>
      <c r="I1397" s="716">
        <v>850757.0</v>
      </c>
      <c r="J1397" s="717">
        <v>658326.0</v>
      </c>
      <c r="K1397" s="64"/>
      <c r="CE1397" s="460"/>
    </row>
    <row r="1398">
      <c r="A1398" s="63"/>
      <c r="B1398" s="701" t="s">
        <v>525</v>
      </c>
      <c r="C1398" s="743" t="s">
        <v>416</v>
      </c>
      <c r="D1398" s="703" t="s">
        <v>511</v>
      </c>
      <c r="E1398" s="704">
        <v>2021.0</v>
      </c>
      <c r="F1398" s="743" t="s">
        <v>418</v>
      </c>
      <c r="G1398" s="743" t="s">
        <v>50</v>
      </c>
      <c r="H1398" s="705">
        <v>1165023.0</v>
      </c>
      <c r="I1398" s="705">
        <v>1322255.0</v>
      </c>
      <c r="J1398" s="706">
        <v>1023177.0</v>
      </c>
      <c r="K1398" s="64"/>
      <c r="CE1398" s="460"/>
    </row>
    <row r="1399">
      <c r="A1399" s="63"/>
      <c r="B1399" s="712" t="s">
        <v>525</v>
      </c>
      <c r="C1399" s="742" t="s">
        <v>416</v>
      </c>
      <c r="D1399" s="714" t="s">
        <v>514</v>
      </c>
      <c r="E1399" s="715">
        <v>2021.0</v>
      </c>
      <c r="F1399" s="742" t="s">
        <v>418</v>
      </c>
      <c r="G1399" s="742" t="s">
        <v>50</v>
      </c>
      <c r="H1399" s="716">
        <v>546004.0</v>
      </c>
      <c r="I1399" s="716">
        <v>619693.0</v>
      </c>
      <c r="J1399" s="717">
        <v>479526.0</v>
      </c>
      <c r="K1399" s="64"/>
      <c r="CE1399" s="460"/>
    </row>
    <row r="1400">
      <c r="A1400" s="63"/>
      <c r="B1400" s="701" t="s">
        <v>525</v>
      </c>
      <c r="C1400" s="743" t="s">
        <v>416</v>
      </c>
      <c r="D1400" s="703" t="s">
        <v>439</v>
      </c>
      <c r="E1400" s="704">
        <v>2021.0</v>
      </c>
      <c r="F1400" s="743" t="s">
        <v>418</v>
      </c>
      <c r="G1400" s="743" t="s">
        <v>50</v>
      </c>
      <c r="H1400" s="705">
        <v>36258.0</v>
      </c>
      <c r="I1400" s="705">
        <v>41151.0</v>
      </c>
      <c r="J1400" s="706">
        <v>31843.0</v>
      </c>
      <c r="K1400" s="64"/>
      <c r="CE1400" s="460"/>
    </row>
    <row r="1401">
      <c r="A1401" s="63"/>
      <c r="B1401" s="712" t="s">
        <v>525</v>
      </c>
      <c r="C1401" s="742" t="s">
        <v>416</v>
      </c>
      <c r="D1401" s="714" t="s">
        <v>517</v>
      </c>
      <c r="E1401" s="715">
        <v>2021.0</v>
      </c>
      <c r="F1401" s="742" t="s">
        <v>418</v>
      </c>
      <c r="G1401" s="742" t="s">
        <v>50</v>
      </c>
      <c r="H1401" s="716">
        <v>341620.0</v>
      </c>
      <c r="I1401" s="716">
        <v>387725.0</v>
      </c>
      <c r="J1401" s="717">
        <v>300026.0</v>
      </c>
      <c r="K1401" s="64"/>
      <c r="CE1401" s="460"/>
    </row>
    <row r="1402">
      <c r="A1402" s="63"/>
      <c r="B1402" s="701" t="s">
        <v>525</v>
      </c>
      <c r="C1402" s="743" t="s">
        <v>416</v>
      </c>
      <c r="D1402" s="703" t="s">
        <v>520</v>
      </c>
      <c r="E1402" s="704">
        <v>2021.0</v>
      </c>
      <c r="F1402" s="743" t="s">
        <v>418</v>
      </c>
      <c r="G1402" s="743" t="s">
        <v>50</v>
      </c>
      <c r="H1402" s="705">
        <v>277399.0</v>
      </c>
      <c r="I1402" s="705">
        <v>314837.0</v>
      </c>
      <c r="J1402" s="706">
        <v>243625.0</v>
      </c>
      <c r="K1402" s="64"/>
      <c r="CE1402" s="460"/>
    </row>
    <row r="1403">
      <c r="A1403" s="63"/>
      <c r="B1403" s="712" t="s">
        <v>525</v>
      </c>
      <c r="C1403" s="742" t="s">
        <v>416</v>
      </c>
      <c r="D1403" s="714" t="s">
        <v>521</v>
      </c>
      <c r="E1403" s="715">
        <v>2021.0</v>
      </c>
      <c r="F1403" s="742" t="s">
        <v>418</v>
      </c>
      <c r="G1403" s="742" t="s">
        <v>50</v>
      </c>
      <c r="H1403" s="716">
        <v>177657.0</v>
      </c>
      <c r="I1403" s="716">
        <v>201633.0</v>
      </c>
      <c r="J1403" s="717">
        <v>156026.0</v>
      </c>
      <c r="K1403" s="64"/>
      <c r="CE1403" s="460"/>
    </row>
    <row r="1404">
      <c r="A1404" s="63"/>
      <c r="B1404" s="701" t="s">
        <v>525</v>
      </c>
      <c r="C1404" s="743" t="s">
        <v>416</v>
      </c>
      <c r="D1404" s="703" t="s">
        <v>524</v>
      </c>
      <c r="E1404" s="704">
        <v>2021.0</v>
      </c>
      <c r="F1404" s="743" t="s">
        <v>418</v>
      </c>
      <c r="G1404" s="743" t="s">
        <v>50</v>
      </c>
      <c r="H1404" s="705">
        <v>72199.0</v>
      </c>
      <c r="I1404" s="705">
        <v>81943.0</v>
      </c>
      <c r="J1404" s="706">
        <v>63409.0</v>
      </c>
      <c r="K1404" s="64"/>
      <c r="CE1404" s="460"/>
    </row>
    <row r="1405">
      <c r="A1405" s="63"/>
      <c r="B1405" s="712" t="s">
        <v>525</v>
      </c>
      <c r="C1405" s="742" t="s">
        <v>416</v>
      </c>
      <c r="D1405" s="714" t="s">
        <v>527</v>
      </c>
      <c r="E1405" s="715">
        <v>2021.0</v>
      </c>
      <c r="F1405" s="742" t="s">
        <v>418</v>
      </c>
      <c r="G1405" s="742" t="s">
        <v>50</v>
      </c>
      <c r="H1405" s="716">
        <v>21950.0</v>
      </c>
      <c r="I1405" s="716">
        <v>24913.0</v>
      </c>
      <c r="J1405" s="717">
        <v>19278.0</v>
      </c>
      <c r="K1405" s="64"/>
      <c r="CE1405" s="460"/>
    </row>
    <row r="1406">
      <c r="A1406" s="63"/>
      <c r="B1406" s="701" t="s">
        <v>525</v>
      </c>
      <c r="C1406" s="743" t="s">
        <v>416</v>
      </c>
      <c r="D1406" s="703" t="s">
        <v>529</v>
      </c>
      <c r="E1406" s="704">
        <v>2021.0</v>
      </c>
      <c r="F1406" s="743" t="s">
        <v>418</v>
      </c>
      <c r="G1406" s="743" t="s">
        <v>50</v>
      </c>
      <c r="H1406" s="705">
        <v>5593.0</v>
      </c>
      <c r="I1406" s="705">
        <v>6348.0</v>
      </c>
      <c r="J1406" s="706">
        <v>4912.0</v>
      </c>
      <c r="K1406" s="64"/>
      <c r="CE1406" s="460"/>
    </row>
    <row r="1407">
      <c r="A1407" s="63"/>
      <c r="B1407" s="712" t="s">
        <v>525</v>
      </c>
      <c r="C1407" s="742" t="s">
        <v>416</v>
      </c>
      <c r="D1407" s="714" t="s">
        <v>443</v>
      </c>
      <c r="E1407" s="715">
        <v>2021.0</v>
      </c>
      <c r="F1407" s="742" t="s">
        <v>418</v>
      </c>
      <c r="G1407" s="742" t="s">
        <v>50</v>
      </c>
      <c r="H1407" s="716">
        <v>3.1129812E7</v>
      </c>
      <c r="I1407" s="716">
        <v>3.5331102E7</v>
      </c>
      <c r="J1407" s="717">
        <v>2.7339631E7</v>
      </c>
      <c r="K1407" s="64"/>
      <c r="CE1407" s="460"/>
    </row>
    <row r="1408">
      <c r="A1408" s="63"/>
      <c r="B1408" s="701" t="s">
        <v>504</v>
      </c>
      <c r="C1408" s="743" t="s">
        <v>416</v>
      </c>
      <c r="D1408" s="703" t="s">
        <v>417</v>
      </c>
      <c r="E1408" s="704">
        <v>2021.0</v>
      </c>
      <c r="F1408" s="743" t="s">
        <v>418</v>
      </c>
      <c r="G1408" s="743" t="s">
        <v>50</v>
      </c>
      <c r="H1408" s="705">
        <v>1118902.0</v>
      </c>
      <c r="I1408" s="705">
        <v>1252641.0</v>
      </c>
      <c r="J1408" s="706">
        <v>978174.0</v>
      </c>
      <c r="K1408" s="64"/>
      <c r="CE1408" s="460"/>
    </row>
    <row r="1409">
      <c r="A1409" s="63"/>
      <c r="B1409" s="712" t="s">
        <v>504</v>
      </c>
      <c r="C1409" s="742" t="s">
        <v>416</v>
      </c>
      <c r="D1409" s="714" t="s">
        <v>431</v>
      </c>
      <c r="E1409" s="715">
        <v>2021.0</v>
      </c>
      <c r="F1409" s="742" t="s">
        <v>418</v>
      </c>
      <c r="G1409" s="742" t="s">
        <v>50</v>
      </c>
      <c r="H1409" s="716">
        <v>1.5586764E7</v>
      </c>
      <c r="I1409" s="716">
        <v>1.7449811E7</v>
      </c>
      <c r="J1409" s="717">
        <v>1.3626368E7</v>
      </c>
      <c r="K1409" s="64"/>
      <c r="CE1409" s="460"/>
    </row>
    <row r="1410">
      <c r="A1410" s="63"/>
      <c r="B1410" s="701" t="s">
        <v>504</v>
      </c>
      <c r="C1410" s="743" t="s">
        <v>416</v>
      </c>
      <c r="D1410" s="703" t="s">
        <v>438</v>
      </c>
      <c r="E1410" s="704">
        <v>2021.0</v>
      </c>
      <c r="F1410" s="743" t="s">
        <v>418</v>
      </c>
      <c r="G1410" s="743" t="s">
        <v>50</v>
      </c>
      <c r="H1410" s="705">
        <v>88892.0</v>
      </c>
      <c r="I1410" s="705">
        <v>99517.0</v>
      </c>
      <c r="J1410" s="706">
        <v>77712.0</v>
      </c>
      <c r="K1410" s="64"/>
      <c r="CE1410" s="460"/>
    </row>
    <row r="1411">
      <c r="A1411" s="63"/>
      <c r="B1411" s="712" t="s">
        <v>504</v>
      </c>
      <c r="C1411" s="742" t="s">
        <v>416</v>
      </c>
      <c r="D1411" s="714" t="s">
        <v>421</v>
      </c>
      <c r="E1411" s="715">
        <v>2021.0</v>
      </c>
      <c r="F1411" s="742" t="s">
        <v>418</v>
      </c>
      <c r="G1411" s="742" t="s">
        <v>50</v>
      </c>
      <c r="H1411" s="716">
        <v>5096341.0</v>
      </c>
      <c r="I1411" s="716">
        <v>5705494.0</v>
      </c>
      <c r="J1411" s="717">
        <v>4455358.0</v>
      </c>
      <c r="K1411" s="64"/>
      <c r="CE1411" s="460"/>
    </row>
    <row r="1412">
      <c r="A1412" s="63"/>
      <c r="B1412" s="701" t="s">
        <v>504</v>
      </c>
      <c r="C1412" s="743" t="s">
        <v>416</v>
      </c>
      <c r="D1412" s="703" t="s">
        <v>447</v>
      </c>
      <c r="E1412" s="704">
        <v>2021.0</v>
      </c>
      <c r="F1412" s="743" t="s">
        <v>418</v>
      </c>
      <c r="G1412" s="743" t="s">
        <v>50</v>
      </c>
      <c r="H1412" s="705">
        <v>1.2763994E7</v>
      </c>
      <c r="I1412" s="705">
        <v>1.4289642E7</v>
      </c>
      <c r="J1412" s="706">
        <v>1.1158627E7</v>
      </c>
      <c r="K1412" s="64"/>
      <c r="CE1412" s="460"/>
    </row>
    <row r="1413">
      <c r="A1413" s="63"/>
      <c r="B1413" s="712" t="s">
        <v>504</v>
      </c>
      <c r="C1413" s="742" t="s">
        <v>416</v>
      </c>
      <c r="D1413" s="714" t="s">
        <v>432</v>
      </c>
      <c r="E1413" s="715">
        <v>2021.0</v>
      </c>
      <c r="F1413" s="742" t="s">
        <v>418</v>
      </c>
      <c r="G1413" s="742" t="s">
        <v>50</v>
      </c>
      <c r="H1413" s="716">
        <v>22460.0</v>
      </c>
      <c r="I1413" s="716">
        <v>25145.0</v>
      </c>
      <c r="J1413" s="717">
        <v>19635.0</v>
      </c>
      <c r="K1413" s="64"/>
      <c r="CE1413" s="460"/>
    </row>
    <row r="1414">
      <c r="A1414" s="63"/>
      <c r="B1414" s="701" t="s">
        <v>504</v>
      </c>
      <c r="C1414" s="743" t="s">
        <v>416</v>
      </c>
      <c r="D1414" s="703" t="s">
        <v>450</v>
      </c>
      <c r="E1414" s="704">
        <v>2021.0</v>
      </c>
      <c r="F1414" s="743" t="s">
        <v>418</v>
      </c>
      <c r="G1414" s="743" t="s">
        <v>50</v>
      </c>
      <c r="H1414" s="705">
        <v>3440628.0</v>
      </c>
      <c r="I1414" s="705">
        <v>3851878.0</v>
      </c>
      <c r="J1414" s="706">
        <v>3007890.0</v>
      </c>
      <c r="K1414" s="64"/>
      <c r="CE1414" s="460"/>
    </row>
    <row r="1415">
      <c r="A1415" s="63"/>
      <c r="B1415" s="712" t="s">
        <v>504</v>
      </c>
      <c r="C1415" s="742" t="s">
        <v>416</v>
      </c>
      <c r="D1415" s="714" t="s">
        <v>453</v>
      </c>
      <c r="E1415" s="715">
        <v>2021.0</v>
      </c>
      <c r="F1415" s="742" t="s">
        <v>418</v>
      </c>
      <c r="G1415" s="742" t="s">
        <v>50</v>
      </c>
      <c r="H1415" s="716">
        <v>6263398.0</v>
      </c>
      <c r="I1415" s="716">
        <v>7012047.0</v>
      </c>
      <c r="J1415" s="717">
        <v>5475631.0</v>
      </c>
      <c r="K1415" s="64"/>
      <c r="CE1415" s="460"/>
    </row>
    <row r="1416">
      <c r="A1416" s="63"/>
      <c r="B1416" s="701" t="s">
        <v>504</v>
      </c>
      <c r="C1416" s="743" t="s">
        <v>416</v>
      </c>
      <c r="D1416" s="703" t="s">
        <v>454</v>
      </c>
      <c r="E1416" s="704">
        <v>2021.0</v>
      </c>
      <c r="F1416" s="743" t="s">
        <v>418</v>
      </c>
      <c r="G1416" s="743" t="s">
        <v>50</v>
      </c>
      <c r="H1416" s="705">
        <v>8424035.0</v>
      </c>
      <c r="I1416" s="705">
        <v>9430939.0</v>
      </c>
      <c r="J1416" s="706">
        <v>7364518.0</v>
      </c>
      <c r="K1416" s="64"/>
      <c r="CE1416" s="460"/>
    </row>
    <row r="1417">
      <c r="A1417" s="63"/>
      <c r="B1417" s="712" t="s">
        <v>504</v>
      </c>
      <c r="C1417" s="742" t="s">
        <v>416</v>
      </c>
      <c r="D1417" s="714" t="s">
        <v>457</v>
      </c>
      <c r="E1417" s="715">
        <v>2021.0</v>
      </c>
      <c r="F1417" s="742" t="s">
        <v>418</v>
      </c>
      <c r="G1417" s="742" t="s">
        <v>50</v>
      </c>
      <c r="H1417" s="716">
        <v>1059071.0</v>
      </c>
      <c r="I1417" s="716">
        <v>1185659.0</v>
      </c>
      <c r="J1417" s="717">
        <v>925868.0</v>
      </c>
      <c r="K1417" s="64"/>
      <c r="CE1417" s="460"/>
    </row>
    <row r="1418">
      <c r="A1418" s="63"/>
      <c r="B1418" s="701" t="s">
        <v>504</v>
      </c>
      <c r="C1418" s="743" t="s">
        <v>416</v>
      </c>
      <c r="D1418" s="703" t="s">
        <v>460</v>
      </c>
      <c r="E1418" s="704">
        <v>2021.0</v>
      </c>
      <c r="F1418" s="743" t="s">
        <v>418</v>
      </c>
      <c r="G1418" s="743" t="s">
        <v>50</v>
      </c>
      <c r="H1418" s="705">
        <v>481296.0</v>
      </c>
      <c r="I1418" s="705">
        <v>538824.0</v>
      </c>
      <c r="J1418" s="706">
        <v>420762.0</v>
      </c>
      <c r="K1418" s="64"/>
      <c r="CE1418" s="460"/>
    </row>
    <row r="1419">
      <c r="A1419" s="63"/>
      <c r="B1419" s="712" t="s">
        <v>504</v>
      </c>
      <c r="C1419" s="742" t="s">
        <v>416</v>
      </c>
      <c r="D1419" s="714" t="s">
        <v>463</v>
      </c>
      <c r="E1419" s="715">
        <v>2021.0</v>
      </c>
      <c r="F1419" s="742" t="s">
        <v>418</v>
      </c>
      <c r="G1419" s="742" t="s">
        <v>50</v>
      </c>
      <c r="H1419" s="716">
        <v>2822770.0</v>
      </c>
      <c r="I1419" s="716">
        <v>3160169.0</v>
      </c>
      <c r="J1419" s="717">
        <v>2467741.0</v>
      </c>
      <c r="K1419" s="64"/>
      <c r="CE1419" s="460"/>
    </row>
    <row r="1420">
      <c r="A1420" s="63"/>
      <c r="B1420" s="701" t="s">
        <v>504</v>
      </c>
      <c r="C1420" s="743" t="s">
        <v>416</v>
      </c>
      <c r="D1420" s="703" t="s">
        <v>465</v>
      </c>
      <c r="E1420" s="704">
        <v>2021.0</v>
      </c>
      <c r="F1420" s="743" t="s">
        <v>418</v>
      </c>
      <c r="G1420" s="743" t="s">
        <v>50</v>
      </c>
      <c r="H1420" s="705">
        <v>1.0372036E7</v>
      </c>
      <c r="I1420" s="705">
        <v>1.161178E7</v>
      </c>
      <c r="J1420" s="706">
        <v>9067513.0</v>
      </c>
      <c r="K1420" s="64"/>
      <c r="CE1420" s="460"/>
    </row>
    <row r="1421">
      <c r="A1421" s="63"/>
      <c r="B1421" s="712" t="s">
        <v>504</v>
      </c>
      <c r="C1421" s="742" t="s">
        <v>416</v>
      </c>
      <c r="D1421" s="714" t="s">
        <v>468</v>
      </c>
      <c r="E1421" s="715">
        <v>2021.0</v>
      </c>
      <c r="F1421" s="742" t="s">
        <v>418</v>
      </c>
      <c r="G1421" s="742" t="s">
        <v>50</v>
      </c>
      <c r="H1421" s="716">
        <v>2160637.0</v>
      </c>
      <c r="I1421" s="716">
        <v>2418892.0</v>
      </c>
      <c r="J1421" s="717">
        <v>1888887.0</v>
      </c>
      <c r="K1421" s="64"/>
      <c r="CE1421" s="460"/>
    </row>
    <row r="1422">
      <c r="A1422" s="63"/>
      <c r="B1422" s="701" t="s">
        <v>504</v>
      </c>
      <c r="C1422" s="743" t="s">
        <v>416</v>
      </c>
      <c r="D1422" s="703" t="s">
        <v>471</v>
      </c>
      <c r="E1422" s="704">
        <v>2021.0</v>
      </c>
      <c r="F1422" s="743" t="s">
        <v>418</v>
      </c>
      <c r="G1422" s="743" t="s">
        <v>50</v>
      </c>
      <c r="H1422" s="705">
        <v>2918368.0</v>
      </c>
      <c r="I1422" s="705">
        <v>3267194.0</v>
      </c>
      <c r="J1422" s="706">
        <v>2551316.0</v>
      </c>
      <c r="K1422" s="64"/>
      <c r="CE1422" s="460"/>
    </row>
    <row r="1423">
      <c r="A1423" s="63"/>
      <c r="B1423" s="712" t="s">
        <v>504</v>
      </c>
      <c r="C1423" s="742" t="s">
        <v>416</v>
      </c>
      <c r="D1423" s="714" t="s">
        <v>473</v>
      </c>
      <c r="E1423" s="715">
        <v>2021.0</v>
      </c>
      <c r="F1423" s="742" t="s">
        <v>418</v>
      </c>
      <c r="G1423" s="742" t="s">
        <v>50</v>
      </c>
      <c r="H1423" s="716">
        <v>7290786.0</v>
      </c>
      <c r="I1423" s="716">
        <v>8162235.0</v>
      </c>
      <c r="J1423" s="717">
        <v>6373801.0</v>
      </c>
      <c r="K1423" s="64"/>
      <c r="CE1423" s="460"/>
    </row>
    <row r="1424">
      <c r="A1424" s="63"/>
      <c r="B1424" s="701" t="s">
        <v>504</v>
      </c>
      <c r="C1424" s="743" t="s">
        <v>416</v>
      </c>
      <c r="D1424" s="703" t="s">
        <v>476</v>
      </c>
      <c r="E1424" s="704">
        <v>2021.0</v>
      </c>
      <c r="F1424" s="743" t="s">
        <v>418</v>
      </c>
      <c r="G1424" s="743" t="s">
        <v>50</v>
      </c>
      <c r="H1424" s="705">
        <v>1670689.0</v>
      </c>
      <c r="I1424" s="705">
        <v>1870382.0</v>
      </c>
      <c r="J1424" s="706">
        <v>1460561.0</v>
      </c>
      <c r="K1424" s="64"/>
      <c r="CE1424" s="460"/>
    </row>
    <row r="1425">
      <c r="A1425" s="63"/>
      <c r="B1425" s="712" t="s">
        <v>504</v>
      </c>
      <c r="C1425" s="742" t="s">
        <v>416</v>
      </c>
      <c r="D1425" s="714" t="s">
        <v>479</v>
      </c>
      <c r="E1425" s="715">
        <v>2021.0</v>
      </c>
      <c r="F1425" s="742" t="s">
        <v>418</v>
      </c>
      <c r="G1425" s="742" t="s">
        <v>50</v>
      </c>
      <c r="H1425" s="716">
        <v>1248215.0</v>
      </c>
      <c r="I1425" s="716">
        <v>1397411.0</v>
      </c>
      <c r="J1425" s="717">
        <v>1091223.0</v>
      </c>
      <c r="K1425" s="64"/>
      <c r="CE1425" s="460"/>
    </row>
    <row r="1426">
      <c r="A1426" s="63"/>
      <c r="B1426" s="701" t="s">
        <v>504</v>
      </c>
      <c r="C1426" s="743" t="s">
        <v>416</v>
      </c>
      <c r="D1426" s="703" t="s">
        <v>482</v>
      </c>
      <c r="E1426" s="704">
        <v>2021.0</v>
      </c>
      <c r="F1426" s="743" t="s">
        <v>418</v>
      </c>
      <c r="G1426" s="743" t="s">
        <v>50</v>
      </c>
      <c r="H1426" s="705">
        <v>1015091.0</v>
      </c>
      <c r="I1426" s="705">
        <v>1136422.0</v>
      </c>
      <c r="J1426" s="706">
        <v>887419.0</v>
      </c>
      <c r="K1426" s="64"/>
      <c r="CE1426" s="460"/>
    </row>
    <row r="1427">
      <c r="A1427" s="63"/>
      <c r="B1427" s="712" t="s">
        <v>504</v>
      </c>
      <c r="C1427" s="742" t="s">
        <v>416</v>
      </c>
      <c r="D1427" s="714" t="s">
        <v>485</v>
      </c>
      <c r="E1427" s="715">
        <v>2021.0</v>
      </c>
      <c r="F1427" s="742" t="s">
        <v>418</v>
      </c>
      <c r="G1427" s="742" t="s">
        <v>50</v>
      </c>
      <c r="H1427" s="716">
        <v>824381.0</v>
      </c>
      <c r="I1427" s="716">
        <v>922917.0</v>
      </c>
      <c r="J1427" s="717">
        <v>720696.0</v>
      </c>
      <c r="K1427" s="64"/>
      <c r="CE1427" s="460"/>
    </row>
    <row r="1428">
      <c r="A1428" s="63"/>
      <c r="B1428" s="701" t="s">
        <v>504</v>
      </c>
      <c r="C1428" s="743" t="s">
        <v>416</v>
      </c>
      <c r="D1428" s="703" t="s">
        <v>488</v>
      </c>
      <c r="E1428" s="704">
        <v>2021.0</v>
      </c>
      <c r="F1428" s="743" t="s">
        <v>418</v>
      </c>
      <c r="G1428" s="743" t="s">
        <v>50</v>
      </c>
      <c r="H1428" s="705">
        <v>630254.0</v>
      </c>
      <c r="I1428" s="705">
        <v>705587.0</v>
      </c>
      <c r="J1428" s="706">
        <v>550985.0</v>
      </c>
      <c r="K1428" s="64"/>
      <c r="CE1428" s="460"/>
    </row>
    <row r="1429">
      <c r="A1429" s="63"/>
      <c r="B1429" s="712" t="s">
        <v>504</v>
      </c>
      <c r="C1429" s="742" t="s">
        <v>416</v>
      </c>
      <c r="D1429" s="714" t="s">
        <v>491</v>
      </c>
      <c r="E1429" s="715">
        <v>2021.0</v>
      </c>
      <c r="F1429" s="742" t="s">
        <v>418</v>
      </c>
      <c r="G1429" s="742" t="s">
        <v>50</v>
      </c>
      <c r="H1429" s="716">
        <v>509942.0</v>
      </c>
      <c r="I1429" s="716">
        <v>570894.0</v>
      </c>
      <c r="J1429" s="717">
        <v>445805.0</v>
      </c>
      <c r="K1429" s="64"/>
      <c r="CE1429" s="460"/>
    </row>
    <row r="1430">
      <c r="A1430" s="63"/>
      <c r="B1430" s="701" t="s">
        <v>504</v>
      </c>
      <c r="C1430" s="743" t="s">
        <v>416</v>
      </c>
      <c r="D1430" s="703" t="s">
        <v>493</v>
      </c>
      <c r="E1430" s="704">
        <v>2021.0</v>
      </c>
      <c r="F1430" s="743" t="s">
        <v>418</v>
      </c>
      <c r="G1430" s="743" t="s">
        <v>50</v>
      </c>
      <c r="H1430" s="705">
        <v>1561429.0</v>
      </c>
      <c r="I1430" s="705">
        <v>1748063.0</v>
      </c>
      <c r="J1430" s="706">
        <v>1365043.0</v>
      </c>
      <c r="K1430" s="64"/>
      <c r="CE1430" s="460"/>
    </row>
    <row r="1431">
      <c r="A1431" s="63"/>
      <c r="B1431" s="712" t="s">
        <v>504</v>
      </c>
      <c r="C1431" s="742" t="s">
        <v>416</v>
      </c>
      <c r="D1431" s="714" t="s">
        <v>434</v>
      </c>
      <c r="E1431" s="715">
        <v>2021.0</v>
      </c>
      <c r="F1431" s="742" t="s">
        <v>418</v>
      </c>
      <c r="G1431" s="742" t="s">
        <v>50</v>
      </c>
      <c r="H1431" s="716">
        <v>7667653.0</v>
      </c>
      <c r="I1431" s="716">
        <v>8584148.0</v>
      </c>
      <c r="J1431" s="717">
        <v>6703268.0</v>
      </c>
      <c r="K1431" s="64"/>
      <c r="CE1431" s="460"/>
    </row>
    <row r="1432">
      <c r="A1432" s="63"/>
      <c r="B1432" s="701" t="s">
        <v>504</v>
      </c>
      <c r="C1432" s="743" t="s">
        <v>416</v>
      </c>
      <c r="D1432" s="703" t="s">
        <v>497</v>
      </c>
      <c r="E1432" s="704">
        <v>2021.0</v>
      </c>
      <c r="F1432" s="743" t="s">
        <v>418</v>
      </c>
      <c r="G1432" s="743" t="s">
        <v>50</v>
      </c>
      <c r="H1432" s="705">
        <v>462221.0</v>
      </c>
      <c r="I1432" s="705">
        <v>517469.0</v>
      </c>
      <c r="J1432" s="706">
        <v>404086.0</v>
      </c>
      <c r="K1432" s="64"/>
      <c r="CE1432" s="460"/>
    </row>
    <row r="1433">
      <c r="A1433" s="63"/>
      <c r="B1433" s="712" t="s">
        <v>504</v>
      </c>
      <c r="C1433" s="742" t="s">
        <v>416</v>
      </c>
      <c r="D1433" s="714" t="s">
        <v>500</v>
      </c>
      <c r="E1433" s="715">
        <v>2021.0</v>
      </c>
      <c r="F1433" s="742" t="s">
        <v>418</v>
      </c>
      <c r="G1433" s="742" t="s">
        <v>50</v>
      </c>
      <c r="H1433" s="716">
        <v>4227025.0</v>
      </c>
      <c r="I1433" s="716">
        <v>4732270.0</v>
      </c>
      <c r="J1433" s="717">
        <v>3695378.0</v>
      </c>
      <c r="K1433" s="64"/>
      <c r="CE1433" s="460"/>
    </row>
    <row r="1434">
      <c r="A1434" s="63"/>
      <c r="B1434" s="701" t="s">
        <v>504</v>
      </c>
      <c r="C1434" s="743" t="s">
        <v>416</v>
      </c>
      <c r="D1434" s="703" t="s">
        <v>502</v>
      </c>
      <c r="E1434" s="704">
        <v>2021.0</v>
      </c>
      <c r="F1434" s="743" t="s">
        <v>418</v>
      </c>
      <c r="G1434" s="743" t="s">
        <v>50</v>
      </c>
      <c r="H1434" s="705">
        <v>357456.0</v>
      </c>
      <c r="I1434" s="705">
        <v>400182.0</v>
      </c>
      <c r="J1434" s="706">
        <v>312498.0</v>
      </c>
      <c r="K1434" s="64"/>
      <c r="CE1434" s="460"/>
    </row>
    <row r="1435">
      <c r="A1435" s="63"/>
      <c r="B1435" s="712" t="s">
        <v>504</v>
      </c>
      <c r="C1435" s="742" t="s">
        <v>416</v>
      </c>
      <c r="D1435" s="714" t="s">
        <v>505</v>
      </c>
      <c r="E1435" s="715">
        <v>2021.0</v>
      </c>
      <c r="F1435" s="742" t="s">
        <v>418</v>
      </c>
      <c r="G1435" s="742" t="s">
        <v>50</v>
      </c>
      <c r="H1435" s="716">
        <v>548714.0</v>
      </c>
      <c r="I1435" s="716">
        <v>614300.0</v>
      </c>
      <c r="J1435" s="717">
        <v>479700.0</v>
      </c>
      <c r="K1435" s="64"/>
      <c r="CE1435" s="460"/>
    </row>
    <row r="1436">
      <c r="A1436" s="63"/>
      <c r="B1436" s="701" t="s">
        <v>504</v>
      </c>
      <c r="C1436" s="743" t="s">
        <v>416</v>
      </c>
      <c r="D1436" s="703" t="s">
        <v>508</v>
      </c>
      <c r="E1436" s="704">
        <v>2021.0</v>
      </c>
      <c r="F1436" s="743" t="s">
        <v>418</v>
      </c>
      <c r="G1436" s="743" t="s">
        <v>50</v>
      </c>
      <c r="H1436" s="705">
        <v>231810.0</v>
      </c>
      <c r="I1436" s="705">
        <v>259517.0</v>
      </c>
      <c r="J1436" s="706">
        <v>202654.0</v>
      </c>
      <c r="K1436" s="64"/>
      <c r="CE1436" s="460"/>
    </row>
    <row r="1437">
      <c r="A1437" s="63"/>
      <c r="B1437" s="712" t="s">
        <v>504</v>
      </c>
      <c r="C1437" s="742" t="s">
        <v>416</v>
      </c>
      <c r="D1437" s="714" t="s">
        <v>511</v>
      </c>
      <c r="E1437" s="715">
        <v>2021.0</v>
      </c>
      <c r="F1437" s="742" t="s">
        <v>418</v>
      </c>
      <c r="G1437" s="742" t="s">
        <v>50</v>
      </c>
      <c r="H1437" s="716">
        <v>340727.0</v>
      </c>
      <c r="I1437" s="716">
        <v>381454.0</v>
      </c>
      <c r="J1437" s="717">
        <v>297873.0</v>
      </c>
      <c r="K1437" s="64"/>
      <c r="CE1437" s="460"/>
    </row>
    <row r="1438">
      <c r="A1438" s="63"/>
      <c r="B1438" s="701" t="s">
        <v>504</v>
      </c>
      <c r="C1438" s="743" t="s">
        <v>416</v>
      </c>
      <c r="D1438" s="703" t="s">
        <v>514</v>
      </c>
      <c r="E1438" s="704">
        <v>2021.0</v>
      </c>
      <c r="F1438" s="743" t="s">
        <v>418</v>
      </c>
      <c r="G1438" s="743" t="s">
        <v>50</v>
      </c>
      <c r="H1438" s="705">
        <v>167376.0</v>
      </c>
      <c r="I1438" s="705">
        <v>187382.0</v>
      </c>
      <c r="J1438" s="706">
        <v>146324.0</v>
      </c>
      <c r="K1438" s="64"/>
      <c r="CE1438" s="460"/>
    </row>
    <row r="1439">
      <c r="A1439" s="63"/>
      <c r="B1439" s="712" t="s">
        <v>504</v>
      </c>
      <c r="C1439" s="742" t="s">
        <v>416</v>
      </c>
      <c r="D1439" s="714" t="s">
        <v>439</v>
      </c>
      <c r="E1439" s="715">
        <v>2021.0</v>
      </c>
      <c r="F1439" s="742" t="s">
        <v>418</v>
      </c>
      <c r="G1439" s="742" t="s">
        <v>50</v>
      </c>
      <c r="H1439" s="716">
        <v>66432.0</v>
      </c>
      <c r="I1439" s="716">
        <v>74372.0</v>
      </c>
      <c r="J1439" s="717">
        <v>58077.0</v>
      </c>
      <c r="K1439" s="64"/>
      <c r="CE1439" s="460"/>
    </row>
    <row r="1440">
      <c r="A1440" s="63"/>
      <c r="B1440" s="701" t="s">
        <v>504</v>
      </c>
      <c r="C1440" s="743" t="s">
        <v>416</v>
      </c>
      <c r="D1440" s="703" t="s">
        <v>517</v>
      </c>
      <c r="E1440" s="704">
        <v>2021.0</v>
      </c>
      <c r="F1440" s="743" t="s">
        <v>418</v>
      </c>
      <c r="G1440" s="743" t="s">
        <v>50</v>
      </c>
      <c r="H1440" s="705">
        <v>109224.0</v>
      </c>
      <c r="I1440" s="705">
        <v>122280.0</v>
      </c>
      <c r="J1440" s="706">
        <v>95487.0</v>
      </c>
      <c r="K1440" s="64"/>
      <c r="CE1440" s="460"/>
    </row>
    <row r="1441">
      <c r="A1441" s="63"/>
      <c r="B1441" s="712" t="s">
        <v>504</v>
      </c>
      <c r="C1441" s="742" t="s">
        <v>416</v>
      </c>
      <c r="D1441" s="714" t="s">
        <v>520</v>
      </c>
      <c r="E1441" s="715">
        <v>2021.0</v>
      </c>
      <c r="F1441" s="742" t="s">
        <v>418</v>
      </c>
      <c r="G1441" s="742" t="s">
        <v>50</v>
      </c>
      <c r="H1441" s="716">
        <v>64127.0</v>
      </c>
      <c r="I1441" s="716">
        <v>71792.0</v>
      </c>
      <c r="J1441" s="717">
        <v>56062.0</v>
      </c>
      <c r="K1441" s="64"/>
      <c r="CE1441" s="460"/>
    </row>
    <row r="1442">
      <c r="A1442" s="63"/>
      <c r="B1442" s="701" t="s">
        <v>504</v>
      </c>
      <c r="C1442" s="743" t="s">
        <v>416</v>
      </c>
      <c r="D1442" s="703" t="s">
        <v>521</v>
      </c>
      <c r="E1442" s="704">
        <v>2021.0</v>
      </c>
      <c r="F1442" s="743" t="s">
        <v>418</v>
      </c>
      <c r="G1442" s="743" t="s">
        <v>50</v>
      </c>
      <c r="H1442" s="705">
        <v>42685.0</v>
      </c>
      <c r="I1442" s="705">
        <v>47788.0</v>
      </c>
      <c r="J1442" s="706">
        <v>37317.0</v>
      </c>
      <c r="K1442" s="64"/>
      <c r="CE1442" s="460"/>
    </row>
    <row r="1443">
      <c r="A1443" s="63"/>
      <c r="B1443" s="712" t="s">
        <v>504</v>
      </c>
      <c r="C1443" s="742" t="s">
        <v>416</v>
      </c>
      <c r="D1443" s="714" t="s">
        <v>524</v>
      </c>
      <c r="E1443" s="715">
        <v>2021.0</v>
      </c>
      <c r="F1443" s="742" t="s">
        <v>418</v>
      </c>
      <c r="G1443" s="742" t="s">
        <v>50</v>
      </c>
      <c r="H1443" s="716">
        <v>14768.0</v>
      </c>
      <c r="I1443" s="716">
        <v>16533.0</v>
      </c>
      <c r="J1443" s="717">
        <v>12911.0</v>
      </c>
      <c r="K1443" s="64"/>
      <c r="CE1443" s="460"/>
    </row>
    <row r="1444">
      <c r="A1444" s="63"/>
      <c r="B1444" s="701" t="s">
        <v>504</v>
      </c>
      <c r="C1444" s="743" t="s">
        <v>416</v>
      </c>
      <c r="D1444" s="703" t="s">
        <v>527</v>
      </c>
      <c r="E1444" s="704">
        <v>2021.0</v>
      </c>
      <c r="F1444" s="743" t="s">
        <v>418</v>
      </c>
      <c r="G1444" s="743" t="s">
        <v>50</v>
      </c>
      <c r="H1444" s="705">
        <v>5546.0</v>
      </c>
      <c r="I1444" s="705">
        <v>6209.0</v>
      </c>
      <c r="J1444" s="706">
        <v>4849.0</v>
      </c>
      <c r="K1444" s="64"/>
      <c r="CE1444" s="460"/>
    </row>
    <row r="1445">
      <c r="A1445" s="63"/>
      <c r="B1445" s="712" t="s">
        <v>504</v>
      </c>
      <c r="C1445" s="742" t="s">
        <v>416</v>
      </c>
      <c r="D1445" s="714" t="s">
        <v>529</v>
      </c>
      <c r="E1445" s="715">
        <v>2021.0</v>
      </c>
      <c r="F1445" s="742" t="s">
        <v>418</v>
      </c>
      <c r="G1445" s="742" t="s">
        <v>50</v>
      </c>
      <c r="H1445" s="716">
        <v>1127.0</v>
      </c>
      <c r="I1445" s="716">
        <v>1262.0</v>
      </c>
      <c r="J1445" s="717">
        <v>986.0</v>
      </c>
      <c r="K1445" s="64"/>
      <c r="CE1445" s="460"/>
    </row>
    <row r="1446">
      <c r="A1446" s="63"/>
      <c r="B1446" s="701" t="s">
        <v>504</v>
      </c>
      <c r="C1446" s="743" t="s">
        <v>416</v>
      </c>
      <c r="D1446" s="703" t="s">
        <v>443</v>
      </c>
      <c r="E1446" s="704">
        <v>2021.0</v>
      </c>
      <c r="F1446" s="743" t="s">
        <v>418</v>
      </c>
      <c r="G1446" s="743" t="s">
        <v>50</v>
      </c>
      <c r="H1446" s="705">
        <v>2.5038187E7</v>
      </c>
      <c r="I1446" s="705">
        <v>2.8030939E7</v>
      </c>
      <c r="J1446" s="706">
        <v>2.1889056E7</v>
      </c>
      <c r="K1446" s="64"/>
      <c r="CE1446" s="460"/>
    </row>
    <row r="1447">
      <c r="A1447" s="63"/>
      <c r="B1447" s="712" t="s">
        <v>102</v>
      </c>
      <c r="C1447" s="742" t="s">
        <v>416</v>
      </c>
      <c r="D1447" s="714" t="s">
        <v>417</v>
      </c>
      <c r="E1447" s="715">
        <v>2021.0</v>
      </c>
      <c r="F1447" s="742" t="s">
        <v>418</v>
      </c>
      <c r="G1447" s="742" t="s">
        <v>50</v>
      </c>
      <c r="H1447" s="716">
        <v>7850142.0</v>
      </c>
      <c r="I1447" s="716">
        <v>8761196.0</v>
      </c>
      <c r="J1447" s="717">
        <v>6982097.0</v>
      </c>
      <c r="K1447" s="64"/>
      <c r="CE1447" s="460"/>
    </row>
    <row r="1448">
      <c r="A1448" s="63"/>
      <c r="B1448" s="701" t="s">
        <v>102</v>
      </c>
      <c r="C1448" s="743" t="s">
        <v>416</v>
      </c>
      <c r="D1448" s="703" t="s">
        <v>431</v>
      </c>
      <c r="E1448" s="704">
        <v>2021.0</v>
      </c>
      <c r="F1448" s="743" t="s">
        <v>418</v>
      </c>
      <c r="G1448" s="743" t="s">
        <v>50</v>
      </c>
      <c r="H1448" s="705">
        <v>1.27772277E8</v>
      </c>
      <c r="I1448" s="705">
        <v>1.42600976E8</v>
      </c>
      <c r="J1448" s="706">
        <v>1.1364361E8</v>
      </c>
      <c r="K1448" s="64"/>
      <c r="CE1448" s="460"/>
    </row>
    <row r="1449">
      <c r="A1449" s="63"/>
      <c r="B1449" s="712" t="s">
        <v>102</v>
      </c>
      <c r="C1449" s="742" t="s">
        <v>416</v>
      </c>
      <c r="D1449" s="714" t="s">
        <v>438</v>
      </c>
      <c r="E1449" s="715">
        <v>2021.0</v>
      </c>
      <c r="F1449" s="742" t="s">
        <v>418</v>
      </c>
      <c r="G1449" s="742" t="s">
        <v>50</v>
      </c>
      <c r="H1449" s="716">
        <v>618269.0</v>
      </c>
      <c r="I1449" s="716">
        <v>690023.0</v>
      </c>
      <c r="J1449" s="717">
        <v>549903.0</v>
      </c>
      <c r="K1449" s="64"/>
      <c r="CE1449" s="460"/>
    </row>
    <row r="1450">
      <c r="A1450" s="63"/>
      <c r="B1450" s="701" t="s">
        <v>102</v>
      </c>
      <c r="C1450" s="743" t="s">
        <v>416</v>
      </c>
      <c r="D1450" s="703" t="s">
        <v>421</v>
      </c>
      <c r="E1450" s="704">
        <v>2021.0</v>
      </c>
      <c r="F1450" s="743" t="s">
        <v>418</v>
      </c>
      <c r="G1450" s="743" t="s">
        <v>50</v>
      </c>
      <c r="H1450" s="705">
        <v>3.7117842E7</v>
      </c>
      <c r="I1450" s="705">
        <v>4.1425579E7</v>
      </c>
      <c r="J1450" s="706">
        <v>3.3013465E7</v>
      </c>
      <c r="K1450" s="64"/>
      <c r="CE1450" s="460"/>
    </row>
    <row r="1451">
      <c r="A1451" s="63"/>
      <c r="B1451" s="712" t="s">
        <v>102</v>
      </c>
      <c r="C1451" s="742" t="s">
        <v>416</v>
      </c>
      <c r="D1451" s="714" t="s">
        <v>447</v>
      </c>
      <c r="E1451" s="715">
        <v>2021.0</v>
      </c>
      <c r="F1451" s="742" t="s">
        <v>418</v>
      </c>
      <c r="G1451" s="742" t="s">
        <v>50</v>
      </c>
      <c r="H1451" s="716">
        <v>1.01589062E8</v>
      </c>
      <c r="I1451" s="716">
        <v>1.1337905E8</v>
      </c>
      <c r="J1451" s="717">
        <v>9.0355655E7</v>
      </c>
      <c r="K1451" s="64"/>
      <c r="CE1451" s="460"/>
    </row>
    <row r="1452">
      <c r="A1452" s="63"/>
      <c r="B1452" s="701" t="s">
        <v>102</v>
      </c>
      <c r="C1452" s="743" t="s">
        <v>416</v>
      </c>
      <c r="D1452" s="703" t="s">
        <v>432</v>
      </c>
      <c r="E1452" s="704">
        <v>2021.0</v>
      </c>
      <c r="F1452" s="743" t="s">
        <v>418</v>
      </c>
      <c r="G1452" s="743" t="s">
        <v>50</v>
      </c>
      <c r="H1452" s="705">
        <v>156774.0</v>
      </c>
      <c r="I1452" s="705">
        <v>174968.0</v>
      </c>
      <c r="J1452" s="706">
        <v>139438.0</v>
      </c>
      <c r="K1452" s="64"/>
      <c r="CE1452" s="460"/>
    </row>
    <row r="1453">
      <c r="A1453" s="63"/>
      <c r="B1453" s="712" t="s">
        <v>102</v>
      </c>
      <c r="C1453" s="742" t="s">
        <v>416</v>
      </c>
      <c r="D1453" s="714" t="s">
        <v>450</v>
      </c>
      <c r="E1453" s="715">
        <v>2021.0</v>
      </c>
      <c r="F1453" s="742" t="s">
        <v>418</v>
      </c>
      <c r="G1453" s="742" t="s">
        <v>50</v>
      </c>
      <c r="H1453" s="716">
        <v>3.0691349E7</v>
      </c>
      <c r="I1453" s="716">
        <v>3.4253255E7</v>
      </c>
      <c r="J1453" s="717">
        <v>2.7297594E7</v>
      </c>
      <c r="K1453" s="64"/>
      <c r="CE1453" s="460"/>
    </row>
    <row r="1454">
      <c r="A1454" s="63"/>
      <c r="B1454" s="701" t="s">
        <v>102</v>
      </c>
      <c r="C1454" s="743" t="s">
        <v>416</v>
      </c>
      <c r="D1454" s="703" t="s">
        <v>453</v>
      </c>
      <c r="E1454" s="704">
        <v>2021.0</v>
      </c>
      <c r="F1454" s="743" t="s">
        <v>418</v>
      </c>
      <c r="G1454" s="743" t="s">
        <v>50</v>
      </c>
      <c r="H1454" s="705">
        <v>5.6874564E7</v>
      </c>
      <c r="I1454" s="705">
        <v>6.3475181E7</v>
      </c>
      <c r="J1454" s="706">
        <v>5.0585549E7</v>
      </c>
      <c r="K1454" s="64"/>
      <c r="CE1454" s="460"/>
    </row>
    <row r="1455">
      <c r="A1455" s="63"/>
      <c r="B1455" s="712" t="s">
        <v>102</v>
      </c>
      <c r="C1455" s="742" t="s">
        <v>416</v>
      </c>
      <c r="D1455" s="714" t="s">
        <v>454</v>
      </c>
      <c r="E1455" s="715">
        <v>2021.0</v>
      </c>
      <c r="F1455" s="742" t="s">
        <v>418</v>
      </c>
      <c r="G1455" s="742" t="s">
        <v>50</v>
      </c>
      <c r="H1455" s="716">
        <v>7.7940416E7</v>
      </c>
      <c r="I1455" s="716">
        <v>8.6985844E7</v>
      </c>
      <c r="J1455" s="717">
        <v>6.9322003E7</v>
      </c>
      <c r="K1455" s="64"/>
      <c r="CE1455" s="460"/>
    </row>
    <row r="1456">
      <c r="A1456" s="63"/>
      <c r="B1456" s="701" t="s">
        <v>102</v>
      </c>
      <c r="C1456" s="743" t="s">
        <v>416</v>
      </c>
      <c r="D1456" s="703" t="s">
        <v>457</v>
      </c>
      <c r="E1456" s="704">
        <v>2021.0</v>
      </c>
      <c r="F1456" s="743" t="s">
        <v>418</v>
      </c>
      <c r="G1456" s="743" t="s">
        <v>50</v>
      </c>
      <c r="H1456" s="705">
        <v>7551375.0</v>
      </c>
      <c r="I1456" s="705">
        <v>8427755.0</v>
      </c>
      <c r="J1456" s="706">
        <v>6716367.0</v>
      </c>
      <c r="K1456" s="64"/>
      <c r="CE1456" s="460"/>
    </row>
    <row r="1457">
      <c r="A1457" s="63"/>
      <c r="B1457" s="712" t="s">
        <v>102</v>
      </c>
      <c r="C1457" s="742" t="s">
        <v>416</v>
      </c>
      <c r="D1457" s="714" t="s">
        <v>460</v>
      </c>
      <c r="E1457" s="715">
        <v>2021.0</v>
      </c>
      <c r="F1457" s="742" t="s">
        <v>418</v>
      </c>
      <c r="G1457" s="742" t="s">
        <v>50</v>
      </c>
      <c r="H1457" s="716">
        <v>3361104.0</v>
      </c>
      <c r="I1457" s="716">
        <v>3751179.0</v>
      </c>
      <c r="J1457" s="717">
        <v>2989443.0</v>
      </c>
      <c r="K1457" s="64"/>
      <c r="CE1457" s="460"/>
    </row>
    <row r="1458">
      <c r="A1458" s="63"/>
      <c r="B1458" s="701" t="s">
        <v>102</v>
      </c>
      <c r="C1458" s="743" t="s">
        <v>416</v>
      </c>
      <c r="D1458" s="703" t="s">
        <v>463</v>
      </c>
      <c r="E1458" s="704">
        <v>2021.0</v>
      </c>
      <c r="F1458" s="743" t="s">
        <v>418</v>
      </c>
      <c r="G1458" s="743" t="s">
        <v>50</v>
      </c>
      <c r="H1458" s="705">
        <v>2.6183215E7</v>
      </c>
      <c r="I1458" s="705">
        <v>2.9221926E7</v>
      </c>
      <c r="J1458" s="706">
        <v>2.3287955E7</v>
      </c>
      <c r="K1458" s="64"/>
      <c r="CE1458" s="460"/>
    </row>
    <row r="1459">
      <c r="A1459" s="63"/>
      <c r="B1459" s="712" t="s">
        <v>102</v>
      </c>
      <c r="C1459" s="742" t="s">
        <v>416</v>
      </c>
      <c r="D1459" s="714" t="s">
        <v>465</v>
      </c>
      <c r="E1459" s="715">
        <v>2021.0</v>
      </c>
      <c r="F1459" s="742" t="s">
        <v>418</v>
      </c>
      <c r="G1459" s="742" t="s">
        <v>50</v>
      </c>
      <c r="H1459" s="716">
        <v>1.07866565E8</v>
      </c>
      <c r="I1459" s="716">
        <v>1.20385094E8</v>
      </c>
      <c r="J1459" s="717">
        <v>9.5939011E7</v>
      </c>
      <c r="K1459" s="64"/>
      <c r="CE1459" s="460"/>
    </row>
    <row r="1460">
      <c r="A1460" s="63"/>
      <c r="B1460" s="701" t="s">
        <v>102</v>
      </c>
      <c r="C1460" s="743" t="s">
        <v>416</v>
      </c>
      <c r="D1460" s="703" t="s">
        <v>468</v>
      </c>
      <c r="E1460" s="704">
        <v>2021.0</v>
      </c>
      <c r="F1460" s="743" t="s">
        <v>418</v>
      </c>
      <c r="G1460" s="743" t="s">
        <v>50</v>
      </c>
      <c r="H1460" s="705">
        <v>2.1065851E7</v>
      </c>
      <c r="I1460" s="705">
        <v>2.3510663E7</v>
      </c>
      <c r="J1460" s="706">
        <v>1.8736454E7</v>
      </c>
      <c r="K1460" s="64"/>
      <c r="CE1460" s="460"/>
    </row>
    <row r="1461">
      <c r="A1461" s="63"/>
      <c r="B1461" s="712" t="s">
        <v>102</v>
      </c>
      <c r="C1461" s="742" t="s">
        <v>416</v>
      </c>
      <c r="D1461" s="714" t="s">
        <v>471</v>
      </c>
      <c r="E1461" s="715">
        <v>2021.0</v>
      </c>
      <c r="F1461" s="742" t="s">
        <v>418</v>
      </c>
      <c r="G1461" s="742" t="s">
        <v>50</v>
      </c>
      <c r="H1461" s="716">
        <v>2.1716325E7</v>
      </c>
      <c r="I1461" s="716">
        <v>2.4236628E7</v>
      </c>
      <c r="J1461" s="717">
        <v>1.9315E7</v>
      </c>
      <c r="K1461" s="64"/>
      <c r="CE1461" s="460"/>
    </row>
    <row r="1462">
      <c r="A1462" s="63"/>
      <c r="B1462" s="701" t="s">
        <v>102</v>
      </c>
      <c r="C1462" s="743" t="s">
        <v>416</v>
      </c>
      <c r="D1462" s="703" t="s">
        <v>473</v>
      </c>
      <c r="E1462" s="704">
        <v>2021.0</v>
      </c>
      <c r="F1462" s="743" t="s">
        <v>418</v>
      </c>
      <c r="G1462" s="743" t="s">
        <v>50</v>
      </c>
      <c r="H1462" s="705">
        <v>8.2327551E7</v>
      </c>
      <c r="I1462" s="705">
        <v>9.1882131E7</v>
      </c>
      <c r="J1462" s="706">
        <v>7.3224022E7</v>
      </c>
      <c r="K1462" s="64"/>
      <c r="CE1462" s="460"/>
    </row>
    <row r="1463">
      <c r="A1463" s="63"/>
      <c r="B1463" s="712" t="s">
        <v>102</v>
      </c>
      <c r="C1463" s="742" t="s">
        <v>416</v>
      </c>
      <c r="D1463" s="714" t="s">
        <v>476</v>
      </c>
      <c r="E1463" s="715">
        <v>2021.0</v>
      </c>
      <c r="F1463" s="742" t="s">
        <v>418</v>
      </c>
      <c r="G1463" s="742" t="s">
        <v>50</v>
      </c>
      <c r="H1463" s="716">
        <v>1.7146916E7</v>
      </c>
      <c r="I1463" s="716">
        <v>1.9136913E7</v>
      </c>
      <c r="J1463" s="717">
        <v>1.5250863E7</v>
      </c>
      <c r="K1463" s="64"/>
      <c r="CE1463" s="460"/>
    </row>
    <row r="1464">
      <c r="A1464" s="63"/>
      <c r="B1464" s="701" t="s">
        <v>102</v>
      </c>
      <c r="C1464" s="743" t="s">
        <v>416</v>
      </c>
      <c r="D1464" s="703" t="s">
        <v>479</v>
      </c>
      <c r="E1464" s="704">
        <v>2021.0</v>
      </c>
      <c r="F1464" s="743" t="s">
        <v>418</v>
      </c>
      <c r="G1464" s="743" t="s">
        <v>50</v>
      </c>
      <c r="H1464" s="705">
        <v>1.3910305E7</v>
      </c>
      <c r="I1464" s="705">
        <v>1.5524674E7</v>
      </c>
      <c r="J1464" s="706">
        <v>1.2372146E7</v>
      </c>
      <c r="K1464" s="64"/>
      <c r="CE1464" s="460"/>
    </row>
    <row r="1465">
      <c r="A1465" s="63"/>
      <c r="B1465" s="712" t="s">
        <v>102</v>
      </c>
      <c r="C1465" s="742" t="s">
        <v>416</v>
      </c>
      <c r="D1465" s="714" t="s">
        <v>482</v>
      </c>
      <c r="E1465" s="715">
        <v>2021.0</v>
      </c>
      <c r="F1465" s="742" t="s">
        <v>418</v>
      </c>
      <c r="G1465" s="742" t="s">
        <v>50</v>
      </c>
      <c r="H1465" s="716">
        <v>1.1632418E7</v>
      </c>
      <c r="I1465" s="716">
        <v>1.2982426E7</v>
      </c>
      <c r="J1465" s="717">
        <v>1.0346141E7</v>
      </c>
      <c r="K1465" s="64"/>
      <c r="CE1465" s="460"/>
    </row>
    <row r="1466">
      <c r="A1466" s="63"/>
      <c r="B1466" s="701" t="s">
        <v>102</v>
      </c>
      <c r="C1466" s="743" t="s">
        <v>416</v>
      </c>
      <c r="D1466" s="703" t="s">
        <v>485</v>
      </c>
      <c r="E1466" s="704">
        <v>2021.0</v>
      </c>
      <c r="F1466" s="743" t="s">
        <v>418</v>
      </c>
      <c r="G1466" s="743" t="s">
        <v>50</v>
      </c>
      <c r="H1466" s="705">
        <v>9748309.0</v>
      </c>
      <c r="I1466" s="705">
        <v>1.0879656E7</v>
      </c>
      <c r="J1466" s="706">
        <v>8670371.0</v>
      </c>
      <c r="K1466" s="64"/>
      <c r="CE1466" s="460"/>
    </row>
    <row r="1467">
      <c r="A1467" s="63"/>
      <c r="B1467" s="712" t="s">
        <v>102</v>
      </c>
      <c r="C1467" s="742" t="s">
        <v>416</v>
      </c>
      <c r="D1467" s="714" t="s">
        <v>488</v>
      </c>
      <c r="E1467" s="715">
        <v>2021.0</v>
      </c>
      <c r="F1467" s="742" t="s">
        <v>418</v>
      </c>
      <c r="G1467" s="742" t="s">
        <v>50</v>
      </c>
      <c r="H1467" s="716">
        <v>8179552.0</v>
      </c>
      <c r="I1467" s="716">
        <v>9128835.0</v>
      </c>
      <c r="J1467" s="717">
        <v>7275082.0</v>
      </c>
      <c r="K1467" s="64"/>
      <c r="CE1467" s="460"/>
    </row>
    <row r="1468">
      <c r="A1468" s="63"/>
      <c r="B1468" s="701" t="s">
        <v>102</v>
      </c>
      <c r="C1468" s="743" t="s">
        <v>416</v>
      </c>
      <c r="D1468" s="703" t="s">
        <v>491</v>
      </c>
      <c r="E1468" s="704">
        <v>2021.0</v>
      </c>
      <c r="F1468" s="743" t="s">
        <v>418</v>
      </c>
      <c r="G1468" s="743" t="s">
        <v>50</v>
      </c>
      <c r="H1468" s="705">
        <v>6708539.0</v>
      </c>
      <c r="I1468" s="705">
        <v>7487104.0</v>
      </c>
      <c r="J1468" s="706">
        <v>5966730.0</v>
      </c>
      <c r="K1468" s="64"/>
      <c r="CE1468" s="460"/>
    </row>
    <row r="1469">
      <c r="A1469" s="63"/>
      <c r="B1469" s="712" t="s">
        <v>102</v>
      </c>
      <c r="C1469" s="742" t="s">
        <v>416</v>
      </c>
      <c r="D1469" s="714" t="s">
        <v>493</v>
      </c>
      <c r="E1469" s="715">
        <v>2021.0</v>
      </c>
      <c r="F1469" s="742" t="s">
        <v>418</v>
      </c>
      <c r="G1469" s="742" t="s">
        <v>50</v>
      </c>
      <c r="H1469" s="716">
        <v>1.7965743E7</v>
      </c>
      <c r="I1469" s="716">
        <v>2.005077E7</v>
      </c>
      <c r="J1469" s="717">
        <v>1.5979146E7</v>
      </c>
      <c r="K1469" s="64"/>
      <c r="CE1469" s="460"/>
    </row>
    <row r="1470">
      <c r="A1470" s="63"/>
      <c r="B1470" s="701" t="s">
        <v>102</v>
      </c>
      <c r="C1470" s="743" t="s">
        <v>416</v>
      </c>
      <c r="D1470" s="703" t="s">
        <v>434</v>
      </c>
      <c r="E1470" s="704">
        <v>2021.0</v>
      </c>
      <c r="F1470" s="743" t="s">
        <v>418</v>
      </c>
      <c r="G1470" s="743" t="s">
        <v>50</v>
      </c>
      <c r="H1470" s="705">
        <v>6.447122E7</v>
      </c>
      <c r="I1470" s="705">
        <v>7.1953471E7</v>
      </c>
      <c r="J1470" s="706">
        <v>5.734219E7</v>
      </c>
      <c r="K1470" s="64"/>
      <c r="CE1470" s="460"/>
    </row>
    <row r="1471">
      <c r="A1471" s="63"/>
      <c r="B1471" s="712" t="s">
        <v>102</v>
      </c>
      <c r="C1471" s="742" t="s">
        <v>416</v>
      </c>
      <c r="D1471" s="714" t="s">
        <v>497</v>
      </c>
      <c r="E1471" s="715">
        <v>2021.0</v>
      </c>
      <c r="F1471" s="742" t="s">
        <v>418</v>
      </c>
      <c r="G1471" s="742" t="s">
        <v>50</v>
      </c>
      <c r="H1471" s="716">
        <v>5118840.0</v>
      </c>
      <c r="I1471" s="716">
        <v>5712911.0</v>
      </c>
      <c r="J1471" s="717">
        <v>4552815.0</v>
      </c>
      <c r="K1471" s="64"/>
      <c r="CE1471" s="460"/>
    </row>
    <row r="1472">
      <c r="A1472" s="63"/>
      <c r="B1472" s="701" t="s">
        <v>102</v>
      </c>
      <c r="C1472" s="743" t="s">
        <v>416</v>
      </c>
      <c r="D1472" s="703" t="s">
        <v>500</v>
      </c>
      <c r="E1472" s="704">
        <v>2021.0</v>
      </c>
      <c r="F1472" s="743" t="s">
        <v>418</v>
      </c>
      <c r="G1472" s="743" t="s">
        <v>50</v>
      </c>
      <c r="H1472" s="705">
        <v>3.377987E7</v>
      </c>
      <c r="I1472" s="705">
        <v>3.7700216E7</v>
      </c>
      <c r="J1472" s="706">
        <v>3.0044596E7</v>
      </c>
      <c r="K1472" s="64"/>
      <c r="CE1472" s="460"/>
    </row>
    <row r="1473">
      <c r="A1473" s="63"/>
      <c r="B1473" s="712" t="s">
        <v>102</v>
      </c>
      <c r="C1473" s="742" t="s">
        <v>416</v>
      </c>
      <c r="D1473" s="714" t="s">
        <v>502</v>
      </c>
      <c r="E1473" s="715">
        <v>2021.0</v>
      </c>
      <c r="F1473" s="742" t="s">
        <v>418</v>
      </c>
      <c r="G1473" s="742" t="s">
        <v>50</v>
      </c>
      <c r="H1473" s="716">
        <v>3683367.0</v>
      </c>
      <c r="I1473" s="716">
        <v>4110842.0</v>
      </c>
      <c r="J1473" s="717">
        <v>3276071.0</v>
      </c>
      <c r="K1473" s="64"/>
      <c r="CE1473" s="460"/>
    </row>
    <row r="1474">
      <c r="A1474" s="63"/>
      <c r="B1474" s="701" t="s">
        <v>102</v>
      </c>
      <c r="C1474" s="743" t="s">
        <v>416</v>
      </c>
      <c r="D1474" s="703" t="s">
        <v>505</v>
      </c>
      <c r="E1474" s="704">
        <v>2021.0</v>
      </c>
      <c r="F1474" s="743" t="s">
        <v>418</v>
      </c>
      <c r="G1474" s="743" t="s">
        <v>50</v>
      </c>
      <c r="H1474" s="705">
        <v>3870769.0</v>
      </c>
      <c r="I1474" s="705">
        <v>4319993.0</v>
      </c>
      <c r="J1474" s="706">
        <v>3442751.0</v>
      </c>
      <c r="K1474" s="64"/>
      <c r="CE1474" s="460"/>
    </row>
    <row r="1475">
      <c r="A1475" s="63"/>
      <c r="B1475" s="712" t="s">
        <v>102</v>
      </c>
      <c r="C1475" s="742" t="s">
        <v>416</v>
      </c>
      <c r="D1475" s="714" t="s">
        <v>508</v>
      </c>
      <c r="E1475" s="715">
        <v>2021.0</v>
      </c>
      <c r="F1475" s="742" t="s">
        <v>418</v>
      </c>
      <c r="G1475" s="742" t="s">
        <v>50</v>
      </c>
      <c r="H1475" s="716">
        <v>2454997.0</v>
      </c>
      <c r="I1475" s="716">
        <v>2739913.0</v>
      </c>
      <c r="J1475" s="717">
        <v>2183531.0</v>
      </c>
      <c r="K1475" s="64"/>
      <c r="CE1475" s="460"/>
    </row>
    <row r="1476">
      <c r="A1476" s="63"/>
      <c r="B1476" s="701" t="s">
        <v>102</v>
      </c>
      <c r="C1476" s="743" t="s">
        <v>416</v>
      </c>
      <c r="D1476" s="703" t="s">
        <v>511</v>
      </c>
      <c r="E1476" s="704">
        <v>2021.0</v>
      </c>
      <c r="F1476" s="743" t="s">
        <v>418</v>
      </c>
      <c r="G1476" s="743" t="s">
        <v>50</v>
      </c>
      <c r="H1476" s="705">
        <v>3744309.0</v>
      </c>
      <c r="I1476" s="705">
        <v>4178857.0</v>
      </c>
      <c r="J1476" s="706">
        <v>3330274.0</v>
      </c>
      <c r="K1476" s="64"/>
      <c r="CE1476" s="460"/>
    </row>
    <row r="1477">
      <c r="A1477" s="63"/>
      <c r="B1477" s="712" t="s">
        <v>102</v>
      </c>
      <c r="C1477" s="742" t="s">
        <v>416</v>
      </c>
      <c r="D1477" s="714" t="s">
        <v>514</v>
      </c>
      <c r="E1477" s="715">
        <v>2021.0</v>
      </c>
      <c r="F1477" s="742" t="s">
        <v>418</v>
      </c>
      <c r="G1477" s="742" t="s">
        <v>50</v>
      </c>
      <c r="H1477" s="716">
        <v>1667449.0</v>
      </c>
      <c r="I1477" s="716">
        <v>1860966.0</v>
      </c>
      <c r="J1477" s="717">
        <v>1483067.0</v>
      </c>
      <c r="K1477" s="64"/>
      <c r="CE1477" s="460"/>
    </row>
    <row r="1478">
      <c r="A1478" s="63"/>
      <c r="B1478" s="701" t="s">
        <v>102</v>
      </c>
      <c r="C1478" s="743" t="s">
        <v>416</v>
      </c>
      <c r="D1478" s="703" t="s">
        <v>439</v>
      </c>
      <c r="E1478" s="704">
        <v>2021.0</v>
      </c>
      <c r="F1478" s="743" t="s">
        <v>418</v>
      </c>
      <c r="G1478" s="743" t="s">
        <v>50</v>
      </c>
      <c r="H1478" s="705">
        <v>461496.0</v>
      </c>
      <c r="I1478" s="705">
        <v>515055.0</v>
      </c>
      <c r="J1478" s="706">
        <v>410465.0</v>
      </c>
      <c r="K1478" s="64"/>
      <c r="CE1478" s="460"/>
    </row>
    <row r="1479">
      <c r="A1479" s="63"/>
      <c r="B1479" s="712" t="s">
        <v>102</v>
      </c>
      <c r="C1479" s="742" t="s">
        <v>416</v>
      </c>
      <c r="D1479" s="714" t="s">
        <v>517</v>
      </c>
      <c r="E1479" s="715">
        <v>2021.0</v>
      </c>
      <c r="F1479" s="742" t="s">
        <v>418</v>
      </c>
      <c r="G1479" s="742" t="s">
        <v>50</v>
      </c>
      <c r="H1479" s="716">
        <v>1082222.0</v>
      </c>
      <c r="I1479" s="716">
        <v>1207820.0</v>
      </c>
      <c r="J1479" s="717">
        <v>962553.0</v>
      </c>
      <c r="K1479" s="64"/>
      <c r="CE1479" s="460"/>
    </row>
    <row r="1480">
      <c r="A1480" s="63"/>
      <c r="B1480" s="701" t="s">
        <v>102</v>
      </c>
      <c r="C1480" s="743" t="s">
        <v>416</v>
      </c>
      <c r="D1480" s="703" t="s">
        <v>520</v>
      </c>
      <c r="E1480" s="704">
        <v>2021.0</v>
      </c>
      <c r="F1480" s="743" t="s">
        <v>418</v>
      </c>
      <c r="G1480" s="743" t="s">
        <v>50</v>
      </c>
      <c r="H1480" s="705">
        <v>994638.0</v>
      </c>
      <c r="I1480" s="705">
        <v>1110071.0</v>
      </c>
      <c r="J1480" s="706">
        <v>884654.0</v>
      </c>
      <c r="K1480" s="64"/>
      <c r="CE1480" s="460"/>
    </row>
    <row r="1481">
      <c r="A1481" s="63"/>
      <c r="B1481" s="712" t="s">
        <v>102</v>
      </c>
      <c r="C1481" s="742" t="s">
        <v>416</v>
      </c>
      <c r="D1481" s="714" t="s">
        <v>521</v>
      </c>
      <c r="E1481" s="715">
        <v>2021.0</v>
      </c>
      <c r="F1481" s="742" t="s">
        <v>418</v>
      </c>
      <c r="G1481" s="742" t="s">
        <v>50</v>
      </c>
      <c r="H1481" s="716">
        <v>614447.0</v>
      </c>
      <c r="I1481" s="716">
        <v>685757.0</v>
      </c>
      <c r="J1481" s="717">
        <v>546503.0</v>
      </c>
      <c r="K1481" s="64"/>
      <c r="CE1481" s="460"/>
    </row>
    <row r="1482">
      <c r="A1482" s="63"/>
      <c r="B1482" s="701" t="s">
        <v>102</v>
      </c>
      <c r="C1482" s="743" t="s">
        <v>416</v>
      </c>
      <c r="D1482" s="703" t="s">
        <v>524</v>
      </c>
      <c r="E1482" s="704">
        <v>2021.0</v>
      </c>
      <c r="F1482" s="743" t="s">
        <v>418</v>
      </c>
      <c r="G1482" s="743" t="s">
        <v>50</v>
      </c>
      <c r="H1482" s="705">
        <v>266369.0</v>
      </c>
      <c r="I1482" s="705">
        <v>297282.0</v>
      </c>
      <c r="J1482" s="706">
        <v>236914.0</v>
      </c>
      <c r="K1482" s="64"/>
      <c r="CE1482" s="460"/>
    </row>
    <row r="1483">
      <c r="A1483" s="63"/>
      <c r="B1483" s="712" t="s">
        <v>102</v>
      </c>
      <c r="C1483" s="742" t="s">
        <v>416</v>
      </c>
      <c r="D1483" s="714" t="s">
        <v>527</v>
      </c>
      <c r="E1483" s="715">
        <v>2021.0</v>
      </c>
      <c r="F1483" s="742" t="s">
        <v>418</v>
      </c>
      <c r="G1483" s="742" t="s">
        <v>50</v>
      </c>
      <c r="H1483" s="716">
        <v>87870.0</v>
      </c>
      <c r="I1483" s="716">
        <v>98068.0</v>
      </c>
      <c r="J1483" s="717">
        <v>78154.0</v>
      </c>
      <c r="K1483" s="64"/>
      <c r="CE1483" s="460"/>
    </row>
    <row r="1484">
      <c r="A1484" s="63"/>
      <c r="B1484" s="701" t="s">
        <v>102</v>
      </c>
      <c r="C1484" s="743" t="s">
        <v>416</v>
      </c>
      <c r="D1484" s="703" t="s">
        <v>529</v>
      </c>
      <c r="E1484" s="704">
        <v>2021.0</v>
      </c>
      <c r="F1484" s="743" t="s">
        <v>418</v>
      </c>
      <c r="G1484" s="743" t="s">
        <v>50</v>
      </c>
      <c r="H1484" s="705">
        <v>25952.0</v>
      </c>
      <c r="I1484" s="705">
        <v>28964.0</v>
      </c>
      <c r="J1484" s="706">
        <v>23083.0</v>
      </c>
      <c r="K1484" s="64"/>
      <c r="CE1484" s="460"/>
    </row>
    <row r="1485">
      <c r="A1485" s="63"/>
      <c r="B1485" s="712" t="s">
        <v>102</v>
      </c>
      <c r="C1485" s="742" t="s">
        <v>416</v>
      </c>
      <c r="D1485" s="714" t="s">
        <v>443</v>
      </c>
      <c r="E1485" s="715">
        <v>2021.0</v>
      </c>
      <c r="F1485" s="742" t="s">
        <v>418</v>
      </c>
      <c r="G1485" s="742" t="s">
        <v>50</v>
      </c>
      <c r="H1485" s="716">
        <v>2.31165679E8</v>
      </c>
      <c r="I1485" s="716">
        <v>2.57993771E8</v>
      </c>
      <c r="J1485" s="717">
        <v>2.05604086E8</v>
      </c>
      <c r="K1485" s="64"/>
      <c r="CE1485" s="460"/>
    </row>
    <row r="1486">
      <c r="A1486" s="63"/>
      <c r="B1486" s="701" t="s">
        <v>530</v>
      </c>
      <c r="C1486" s="743" t="s">
        <v>416</v>
      </c>
      <c r="D1486" s="703" t="s">
        <v>417</v>
      </c>
      <c r="E1486" s="704">
        <v>2021.0</v>
      </c>
      <c r="F1486" s="743" t="s">
        <v>418</v>
      </c>
      <c r="G1486" s="743" t="s">
        <v>50</v>
      </c>
      <c r="H1486" s="705">
        <v>5985519.0</v>
      </c>
      <c r="I1486" s="705">
        <v>6524717.0</v>
      </c>
      <c r="J1486" s="706">
        <v>5474214.0</v>
      </c>
      <c r="K1486" s="64"/>
      <c r="CE1486" s="460"/>
    </row>
    <row r="1487">
      <c r="A1487" s="63"/>
      <c r="B1487" s="712" t="s">
        <v>530</v>
      </c>
      <c r="C1487" s="742" t="s">
        <v>416</v>
      </c>
      <c r="D1487" s="714" t="s">
        <v>431</v>
      </c>
      <c r="E1487" s="715">
        <v>2021.0</v>
      </c>
      <c r="F1487" s="742" t="s">
        <v>418</v>
      </c>
      <c r="G1487" s="742" t="s">
        <v>50</v>
      </c>
      <c r="H1487" s="716">
        <v>1.09223749E8</v>
      </c>
      <c r="I1487" s="716">
        <v>1.19063033E8</v>
      </c>
      <c r="J1487" s="717">
        <v>9.9893456E7</v>
      </c>
      <c r="K1487" s="64"/>
      <c r="CE1487" s="460"/>
    </row>
    <row r="1488">
      <c r="A1488" s="63"/>
      <c r="B1488" s="701" t="s">
        <v>530</v>
      </c>
      <c r="C1488" s="743" t="s">
        <v>416</v>
      </c>
      <c r="D1488" s="703" t="s">
        <v>438</v>
      </c>
      <c r="E1488" s="704">
        <v>2021.0</v>
      </c>
      <c r="F1488" s="743" t="s">
        <v>418</v>
      </c>
      <c r="G1488" s="743" t="s">
        <v>50</v>
      </c>
      <c r="H1488" s="705">
        <v>466868.0</v>
      </c>
      <c r="I1488" s="705">
        <v>508925.0</v>
      </c>
      <c r="J1488" s="706">
        <v>426986.0</v>
      </c>
      <c r="K1488" s="64"/>
      <c r="CE1488" s="460"/>
    </row>
    <row r="1489">
      <c r="A1489" s="63"/>
      <c r="B1489" s="712" t="s">
        <v>530</v>
      </c>
      <c r="C1489" s="742" t="s">
        <v>416</v>
      </c>
      <c r="D1489" s="714" t="s">
        <v>421</v>
      </c>
      <c r="E1489" s="715">
        <v>2021.0</v>
      </c>
      <c r="F1489" s="742" t="s">
        <v>418</v>
      </c>
      <c r="G1489" s="742" t="s">
        <v>50</v>
      </c>
      <c r="H1489" s="716">
        <v>2.9725996E7</v>
      </c>
      <c r="I1489" s="716">
        <v>3.2403825E7</v>
      </c>
      <c r="J1489" s="717">
        <v>2.7186692E7</v>
      </c>
      <c r="K1489" s="64"/>
      <c r="CE1489" s="460"/>
    </row>
    <row r="1490">
      <c r="A1490" s="63"/>
      <c r="B1490" s="701" t="s">
        <v>530</v>
      </c>
      <c r="C1490" s="743" t="s">
        <v>416</v>
      </c>
      <c r="D1490" s="703" t="s">
        <v>447</v>
      </c>
      <c r="E1490" s="704">
        <v>2021.0</v>
      </c>
      <c r="F1490" s="743" t="s">
        <v>418</v>
      </c>
      <c r="G1490" s="743" t="s">
        <v>50</v>
      </c>
      <c r="H1490" s="705">
        <v>8.5442082E7</v>
      </c>
      <c r="I1490" s="705">
        <v>9.3139024E7</v>
      </c>
      <c r="J1490" s="706">
        <v>7.8143306E7</v>
      </c>
      <c r="K1490" s="64"/>
      <c r="CE1490" s="460"/>
    </row>
    <row r="1491">
      <c r="A1491" s="63"/>
      <c r="B1491" s="712" t="s">
        <v>530</v>
      </c>
      <c r="C1491" s="742" t="s">
        <v>416</v>
      </c>
      <c r="D1491" s="714" t="s">
        <v>432</v>
      </c>
      <c r="E1491" s="715">
        <v>2021.0</v>
      </c>
      <c r="F1491" s="742" t="s">
        <v>418</v>
      </c>
      <c r="G1491" s="742" t="s">
        <v>50</v>
      </c>
      <c r="H1491" s="716">
        <v>118374.0</v>
      </c>
      <c r="I1491" s="716">
        <v>129038.0</v>
      </c>
      <c r="J1491" s="717">
        <v>108262.0</v>
      </c>
      <c r="K1491" s="64"/>
      <c r="CE1491" s="460"/>
    </row>
    <row r="1492">
      <c r="A1492" s="63"/>
      <c r="B1492" s="701" t="s">
        <v>530</v>
      </c>
      <c r="C1492" s="743" t="s">
        <v>416</v>
      </c>
      <c r="D1492" s="703" t="s">
        <v>450</v>
      </c>
      <c r="E1492" s="704">
        <v>2021.0</v>
      </c>
      <c r="F1492" s="743" t="s">
        <v>418</v>
      </c>
      <c r="G1492" s="743" t="s">
        <v>50</v>
      </c>
      <c r="H1492" s="705">
        <v>2.677303E7</v>
      </c>
      <c r="I1492" s="705">
        <v>2.9184845E7</v>
      </c>
      <c r="J1492" s="706">
        <v>2.448598E7</v>
      </c>
      <c r="K1492" s="64"/>
      <c r="CE1492" s="460"/>
    </row>
    <row r="1493">
      <c r="A1493" s="63"/>
      <c r="B1493" s="712" t="s">
        <v>530</v>
      </c>
      <c r="C1493" s="742" t="s">
        <v>416</v>
      </c>
      <c r="D1493" s="714" t="s">
        <v>453</v>
      </c>
      <c r="E1493" s="715">
        <v>2021.0</v>
      </c>
      <c r="F1493" s="742" t="s">
        <v>418</v>
      </c>
      <c r="G1493" s="742" t="s">
        <v>50</v>
      </c>
      <c r="H1493" s="716">
        <v>5.0554698E7</v>
      </c>
      <c r="I1493" s="716">
        <v>5.5108854E7</v>
      </c>
      <c r="J1493" s="717">
        <v>4.623613E7</v>
      </c>
      <c r="K1493" s="64"/>
      <c r="CE1493" s="460"/>
    </row>
    <row r="1494">
      <c r="A1494" s="63"/>
      <c r="B1494" s="701" t="s">
        <v>530</v>
      </c>
      <c r="C1494" s="743" t="s">
        <v>416</v>
      </c>
      <c r="D1494" s="703" t="s">
        <v>454</v>
      </c>
      <c r="E1494" s="704">
        <v>2021.0</v>
      </c>
      <c r="F1494" s="743" t="s">
        <v>418</v>
      </c>
      <c r="G1494" s="743" t="s">
        <v>50</v>
      </c>
      <c r="H1494" s="705">
        <v>7.2590983E7</v>
      </c>
      <c r="I1494" s="705">
        <v>7.913025E7</v>
      </c>
      <c r="J1494" s="706">
        <v>6.6389995E7</v>
      </c>
      <c r="K1494" s="64"/>
      <c r="CE1494" s="460"/>
    </row>
    <row r="1495">
      <c r="A1495" s="63"/>
      <c r="B1495" s="712" t="s">
        <v>530</v>
      </c>
      <c r="C1495" s="742" t="s">
        <v>416</v>
      </c>
      <c r="D1495" s="714" t="s">
        <v>457</v>
      </c>
      <c r="E1495" s="715">
        <v>2021.0</v>
      </c>
      <c r="F1495" s="742" t="s">
        <v>418</v>
      </c>
      <c r="G1495" s="742" t="s">
        <v>50</v>
      </c>
      <c r="H1495" s="716">
        <v>5945050.0</v>
      </c>
      <c r="I1495" s="716">
        <v>6480602.0</v>
      </c>
      <c r="J1495" s="717">
        <v>5437202.0</v>
      </c>
      <c r="K1495" s="64"/>
      <c r="CE1495" s="460"/>
    </row>
    <row r="1496">
      <c r="A1496" s="63"/>
      <c r="B1496" s="701" t="s">
        <v>530</v>
      </c>
      <c r="C1496" s="743" t="s">
        <v>416</v>
      </c>
      <c r="D1496" s="703" t="s">
        <v>460</v>
      </c>
      <c r="E1496" s="704">
        <v>2021.0</v>
      </c>
      <c r="F1496" s="743" t="s">
        <v>418</v>
      </c>
      <c r="G1496" s="743" t="s">
        <v>50</v>
      </c>
      <c r="H1496" s="705">
        <v>2549741.0</v>
      </c>
      <c r="I1496" s="705">
        <v>2779431.0</v>
      </c>
      <c r="J1496" s="706">
        <v>2331933.0</v>
      </c>
      <c r="K1496" s="64"/>
      <c r="CE1496" s="460"/>
    </row>
    <row r="1497">
      <c r="A1497" s="63"/>
      <c r="B1497" s="712" t="s">
        <v>530</v>
      </c>
      <c r="C1497" s="742" t="s">
        <v>416</v>
      </c>
      <c r="D1497" s="714" t="s">
        <v>463</v>
      </c>
      <c r="E1497" s="715">
        <v>2021.0</v>
      </c>
      <c r="F1497" s="742" t="s">
        <v>418</v>
      </c>
      <c r="G1497" s="742" t="s">
        <v>50</v>
      </c>
      <c r="H1497" s="716">
        <v>2.3781667E7</v>
      </c>
      <c r="I1497" s="716">
        <v>2.5924009E7</v>
      </c>
      <c r="J1497" s="717">
        <v>2.175015E7</v>
      </c>
      <c r="K1497" s="64"/>
      <c r="CE1497" s="460"/>
    </row>
    <row r="1498">
      <c r="A1498" s="63"/>
      <c r="B1498" s="701" t="s">
        <v>530</v>
      </c>
      <c r="C1498" s="743" t="s">
        <v>416</v>
      </c>
      <c r="D1498" s="703" t="s">
        <v>465</v>
      </c>
      <c r="E1498" s="704">
        <v>2021.0</v>
      </c>
      <c r="F1498" s="743" t="s">
        <v>418</v>
      </c>
      <c r="G1498" s="743" t="s">
        <v>50</v>
      </c>
      <c r="H1498" s="705">
        <v>1.21990658E8</v>
      </c>
      <c r="I1498" s="705">
        <v>1.32980033E8</v>
      </c>
      <c r="J1498" s="706">
        <v>1.11569769E8</v>
      </c>
      <c r="K1498" s="64"/>
      <c r="CE1498" s="460"/>
    </row>
    <row r="1499">
      <c r="A1499" s="63"/>
      <c r="B1499" s="712" t="s">
        <v>530</v>
      </c>
      <c r="C1499" s="742" t="s">
        <v>416</v>
      </c>
      <c r="D1499" s="714" t="s">
        <v>468</v>
      </c>
      <c r="E1499" s="715">
        <v>2021.0</v>
      </c>
      <c r="F1499" s="742" t="s">
        <v>418</v>
      </c>
      <c r="G1499" s="742" t="s">
        <v>50</v>
      </c>
      <c r="H1499" s="716">
        <v>2.2036285E7</v>
      </c>
      <c r="I1499" s="716">
        <v>2.4021396E7</v>
      </c>
      <c r="J1499" s="717">
        <v>2.0153865E7</v>
      </c>
      <c r="K1499" s="64"/>
      <c r="CE1499" s="460"/>
    </row>
    <row r="1500">
      <c r="A1500" s="63"/>
      <c r="B1500" s="701" t="s">
        <v>530</v>
      </c>
      <c r="C1500" s="743" t="s">
        <v>416</v>
      </c>
      <c r="D1500" s="703" t="s">
        <v>471</v>
      </c>
      <c r="E1500" s="704">
        <v>2021.0</v>
      </c>
      <c r="F1500" s="743" t="s">
        <v>418</v>
      </c>
      <c r="G1500" s="743" t="s">
        <v>50</v>
      </c>
      <c r="H1500" s="705">
        <v>1.7795427E7</v>
      </c>
      <c r="I1500" s="705">
        <v>1.9398506E7</v>
      </c>
      <c r="J1500" s="706">
        <v>1.6275277E7</v>
      </c>
      <c r="K1500" s="64"/>
      <c r="CE1500" s="460"/>
    </row>
    <row r="1501">
      <c r="A1501" s="63"/>
      <c r="B1501" s="712" t="s">
        <v>530</v>
      </c>
      <c r="C1501" s="742" t="s">
        <v>416</v>
      </c>
      <c r="D1501" s="714" t="s">
        <v>473</v>
      </c>
      <c r="E1501" s="715">
        <v>2021.0</v>
      </c>
      <c r="F1501" s="742" t="s">
        <v>418</v>
      </c>
      <c r="G1501" s="742" t="s">
        <v>50</v>
      </c>
      <c r="H1501" s="716">
        <v>1.04293574E8</v>
      </c>
      <c r="I1501" s="716">
        <v>1.13688729E8</v>
      </c>
      <c r="J1501" s="717">
        <v>9.5384434E7</v>
      </c>
      <c r="K1501" s="64"/>
      <c r="CE1501" s="460"/>
    </row>
    <row r="1502">
      <c r="A1502" s="63"/>
      <c r="B1502" s="701" t="s">
        <v>530</v>
      </c>
      <c r="C1502" s="743" t="s">
        <v>416</v>
      </c>
      <c r="D1502" s="703" t="s">
        <v>476</v>
      </c>
      <c r="E1502" s="704">
        <v>2021.0</v>
      </c>
      <c r="F1502" s="743" t="s">
        <v>418</v>
      </c>
      <c r="G1502" s="743" t="s">
        <v>50</v>
      </c>
      <c r="H1502" s="705">
        <v>2.0380159E7</v>
      </c>
      <c r="I1502" s="705">
        <v>2.221608E7</v>
      </c>
      <c r="J1502" s="706">
        <v>1.8639211E7</v>
      </c>
      <c r="K1502" s="64"/>
      <c r="CE1502" s="460"/>
    </row>
    <row r="1503">
      <c r="A1503" s="63"/>
      <c r="B1503" s="712" t="s">
        <v>530</v>
      </c>
      <c r="C1503" s="742" t="s">
        <v>416</v>
      </c>
      <c r="D1503" s="714" t="s">
        <v>479</v>
      </c>
      <c r="E1503" s="715">
        <v>2021.0</v>
      </c>
      <c r="F1503" s="742" t="s">
        <v>418</v>
      </c>
      <c r="G1503" s="742" t="s">
        <v>50</v>
      </c>
      <c r="H1503" s="716">
        <v>1.7603951E7</v>
      </c>
      <c r="I1503" s="716">
        <v>1.918978E7</v>
      </c>
      <c r="J1503" s="717">
        <v>1.6100157E7</v>
      </c>
      <c r="K1503" s="64"/>
      <c r="CE1503" s="460"/>
    </row>
    <row r="1504">
      <c r="A1504" s="63"/>
      <c r="B1504" s="701" t="s">
        <v>530</v>
      </c>
      <c r="C1504" s="743" t="s">
        <v>416</v>
      </c>
      <c r="D1504" s="703" t="s">
        <v>482</v>
      </c>
      <c r="E1504" s="704">
        <v>2021.0</v>
      </c>
      <c r="F1504" s="743" t="s">
        <v>418</v>
      </c>
      <c r="G1504" s="743" t="s">
        <v>50</v>
      </c>
      <c r="H1504" s="705">
        <v>1.5104179E7</v>
      </c>
      <c r="I1504" s="705">
        <v>1.646482E7</v>
      </c>
      <c r="J1504" s="706">
        <v>1.3813925E7</v>
      </c>
      <c r="K1504" s="64"/>
      <c r="CE1504" s="460"/>
    </row>
    <row r="1505">
      <c r="A1505" s="63"/>
      <c r="B1505" s="712" t="s">
        <v>530</v>
      </c>
      <c r="C1505" s="742" t="s">
        <v>416</v>
      </c>
      <c r="D1505" s="714" t="s">
        <v>485</v>
      </c>
      <c r="E1505" s="715">
        <v>2021.0</v>
      </c>
      <c r="F1505" s="742" t="s">
        <v>418</v>
      </c>
      <c r="G1505" s="742" t="s">
        <v>50</v>
      </c>
      <c r="H1505" s="716">
        <v>1.2724028E7</v>
      </c>
      <c r="I1505" s="716">
        <v>1.3870256E7</v>
      </c>
      <c r="J1505" s="717">
        <v>1.1637095E7</v>
      </c>
      <c r="K1505" s="64"/>
      <c r="CE1505" s="460"/>
    </row>
    <row r="1506">
      <c r="A1506" s="63"/>
      <c r="B1506" s="701" t="s">
        <v>530</v>
      </c>
      <c r="C1506" s="743" t="s">
        <v>416</v>
      </c>
      <c r="D1506" s="703" t="s">
        <v>488</v>
      </c>
      <c r="E1506" s="704">
        <v>2021.0</v>
      </c>
      <c r="F1506" s="743" t="s">
        <v>418</v>
      </c>
      <c r="G1506" s="743" t="s">
        <v>50</v>
      </c>
      <c r="H1506" s="705">
        <v>1.0360388E7</v>
      </c>
      <c r="I1506" s="705">
        <v>1.1293691E7</v>
      </c>
      <c r="J1506" s="706">
        <v>9475366.0</v>
      </c>
      <c r="K1506" s="64"/>
      <c r="CE1506" s="460"/>
    </row>
    <row r="1507">
      <c r="A1507" s="63"/>
      <c r="B1507" s="712" t="s">
        <v>530</v>
      </c>
      <c r="C1507" s="742" t="s">
        <v>416</v>
      </c>
      <c r="D1507" s="714" t="s">
        <v>491</v>
      </c>
      <c r="E1507" s="715">
        <v>2021.0</v>
      </c>
      <c r="F1507" s="742" t="s">
        <v>418</v>
      </c>
      <c r="G1507" s="742" t="s">
        <v>50</v>
      </c>
      <c r="H1507" s="716">
        <v>8294870.0</v>
      </c>
      <c r="I1507" s="716">
        <v>9042103.0</v>
      </c>
      <c r="J1507" s="717">
        <v>7586292.0</v>
      </c>
      <c r="K1507" s="64"/>
      <c r="CE1507" s="460"/>
    </row>
    <row r="1508">
      <c r="A1508" s="63"/>
      <c r="B1508" s="701" t="s">
        <v>530</v>
      </c>
      <c r="C1508" s="743" t="s">
        <v>416</v>
      </c>
      <c r="D1508" s="703" t="s">
        <v>493</v>
      </c>
      <c r="E1508" s="704">
        <v>2021.0</v>
      </c>
      <c r="F1508" s="743" t="s">
        <v>418</v>
      </c>
      <c r="G1508" s="743" t="s">
        <v>50</v>
      </c>
      <c r="H1508" s="705">
        <v>2.3057151E7</v>
      </c>
      <c r="I1508" s="705">
        <v>2.5134225E7</v>
      </c>
      <c r="J1508" s="706">
        <v>2.1087525E7</v>
      </c>
      <c r="K1508" s="64"/>
      <c r="CE1508" s="460"/>
    </row>
    <row r="1509">
      <c r="A1509" s="63"/>
      <c r="B1509" s="712" t="s">
        <v>530</v>
      </c>
      <c r="C1509" s="742" t="s">
        <v>416</v>
      </c>
      <c r="D1509" s="714" t="s">
        <v>434</v>
      </c>
      <c r="E1509" s="715">
        <v>2021.0</v>
      </c>
      <c r="F1509" s="742" t="s">
        <v>418</v>
      </c>
      <c r="G1509" s="742" t="s">
        <v>50</v>
      </c>
      <c r="H1509" s="716">
        <v>5.5716086E7</v>
      </c>
      <c r="I1509" s="716">
        <v>6.07352E7</v>
      </c>
      <c r="J1509" s="717">
        <v>5.0956614E7</v>
      </c>
      <c r="K1509" s="64"/>
      <c r="CE1509" s="460"/>
    </row>
    <row r="1510">
      <c r="A1510" s="63"/>
      <c r="B1510" s="701" t="s">
        <v>530</v>
      </c>
      <c r="C1510" s="743" t="s">
        <v>416</v>
      </c>
      <c r="D1510" s="703" t="s">
        <v>497</v>
      </c>
      <c r="E1510" s="704">
        <v>2021.0</v>
      </c>
      <c r="F1510" s="743" t="s">
        <v>418</v>
      </c>
      <c r="G1510" s="743" t="s">
        <v>50</v>
      </c>
      <c r="H1510" s="705">
        <v>6385684.0</v>
      </c>
      <c r="I1510" s="705">
        <v>6960930.0</v>
      </c>
      <c r="J1510" s="706">
        <v>5840195.0</v>
      </c>
      <c r="K1510" s="64"/>
      <c r="CE1510" s="460"/>
    </row>
    <row r="1511">
      <c r="A1511" s="63"/>
      <c r="B1511" s="712" t="s">
        <v>530</v>
      </c>
      <c r="C1511" s="742" t="s">
        <v>416</v>
      </c>
      <c r="D1511" s="714" t="s">
        <v>500</v>
      </c>
      <c r="E1511" s="715">
        <v>2021.0</v>
      </c>
      <c r="F1511" s="742" t="s">
        <v>418</v>
      </c>
      <c r="G1511" s="742" t="s">
        <v>50</v>
      </c>
      <c r="H1511" s="716">
        <v>2.8943056E7</v>
      </c>
      <c r="I1511" s="716">
        <v>3.1550355E7</v>
      </c>
      <c r="J1511" s="717">
        <v>2.6470634E7</v>
      </c>
      <c r="K1511" s="64"/>
      <c r="CE1511" s="460"/>
    </row>
    <row r="1512">
      <c r="A1512" s="63"/>
      <c r="B1512" s="701" t="s">
        <v>530</v>
      </c>
      <c r="C1512" s="743" t="s">
        <v>416</v>
      </c>
      <c r="D1512" s="703" t="s">
        <v>502</v>
      </c>
      <c r="E1512" s="704">
        <v>2021.0</v>
      </c>
      <c r="F1512" s="743" t="s">
        <v>418</v>
      </c>
      <c r="G1512" s="743" t="s">
        <v>50</v>
      </c>
      <c r="H1512" s="705">
        <v>4894363.0</v>
      </c>
      <c r="I1512" s="705">
        <v>5335266.0</v>
      </c>
      <c r="J1512" s="706">
        <v>4476269.0</v>
      </c>
      <c r="K1512" s="64"/>
      <c r="CE1512" s="460"/>
    </row>
    <row r="1513">
      <c r="A1513" s="63"/>
      <c r="B1513" s="712" t="s">
        <v>530</v>
      </c>
      <c r="C1513" s="742" t="s">
        <v>416</v>
      </c>
      <c r="D1513" s="714" t="s">
        <v>505</v>
      </c>
      <c r="E1513" s="715">
        <v>2021.0</v>
      </c>
      <c r="F1513" s="742" t="s">
        <v>418</v>
      </c>
      <c r="G1513" s="742" t="s">
        <v>50</v>
      </c>
      <c r="H1513" s="716">
        <v>2968910.0</v>
      </c>
      <c r="I1513" s="716">
        <v>3236361.0</v>
      </c>
      <c r="J1513" s="717">
        <v>2715295.0</v>
      </c>
      <c r="K1513" s="64"/>
      <c r="CE1513" s="460"/>
    </row>
    <row r="1514">
      <c r="A1514" s="63"/>
      <c r="B1514" s="701" t="s">
        <v>530</v>
      </c>
      <c r="C1514" s="743" t="s">
        <v>416</v>
      </c>
      <c r="D1514" s="703" t="s">
        <v>508</v>
      </c>
      <c r="E1514" s="704">
        <v>2021.0</v>
      </c>
      <c r="F1514" s="743" t="s">
        <v>418</v>
      </c>
      <c r="G1514" s="743" t="s">
        <v>50</v>
      </c>
      <c r="H1514" s="705">
        <v>3482234.0</v>
      </c>
      <c r="I1514" s="705">
        <v>3795926.0</v>
      </c>
      <c r="J1514" s="706">
        <v>3184769.0</v>
      </c>
      <c r="K1514" s="64"/>
      <c r="CE1514" s="460"/>
    </row>
    <row r="1515">
      <c r="A1515" s="63"/>
      <c r="B1515" s="712" t="s">
        <v>530</v>
      </c>
      <c r="C1515" s="742" t="s">
        <v>416</v>
      </c>
      <c r="D1515" s="714" t="s">
        <v>511</v>
      </c>
      <c r="E1515" s="715">
        <v>2021.0</v>
      </c>
      <c r="F1515" s="742" t="s">
        <v>418</v>
      </c>
      <c r="G1515" s="742" t="s">
        <v>50</v>
      </c>
      <c r="H1515" s="716">
        <v>5063717.0</v>
      </c>
      <c r="I1515" s="716">
        <v>5519876.0</v>
      </c>
      <c r="J1515" s="717">
        <v>4631156.0</v>
      </c>
      <c r="K1515" s="64"/>
      <c r="CE1515" s="460"/>
    </row>
    <row r="1516">
      <c r="A1516" s="63"/>
      <c r="B1516" s="701" t="s">
        <v>530</v>
      </c>
      <c r="C1516" s="743" t="s">
        <v>416</v>
      </c>
      <c r="D1516" s="703" t="s">
        <v>514</v>
      </c>
      <c r="E1516" s="704">
        <v>2021.0</v>
      </c>
      <c r="F1516" s="743" t="s">
        <v>418</v>
      </c>
      <c r="G1516" s="743" t="s">
        <v>50</v>
      </c>
      <c r="H1516" s="705">
        <v>2332893.0</v>
      </c>
      <c r="I1516" s="705">
        <v>2543049.0</v>
      </c>
      <c r="J1516" s="706">
        <v>2133609.0</v>
      </c>
      <c r="K1516" s="64"/>
      <c r="CE1516" s="460"/>
    </row>
    <row r="1517">
      <c r="A1517" s="63"/>
      <c r="B1517" s="712" t="s">
        <v>530</v>
      </c>
      <c r="C1517" s="742" t="s">
        <v>416</v>
      </c>
      <c r="D1517" s="714" t="s">
        <v>439</v>
      </c>
      <c r="E1517" s="715">
        <v>2021.0</v>
      </c>
      <c r="F1517" s="742" t="s">
        <v>418</v>
      </c>
      <c r="G1517" s="742" t="s">
        <v>50</v>
      </c>
      <c r="H1517" s="716">
        <v>348494.0</v>
      </c>
      <c r="I1517" s="716">
        <v>379888.0</v>
      </c>
      <c r="J1517" s="717">
        <v>318724.0</v>
      </c>
      <c r="K1517" s="64"/>
      <c r="CE1517" s="460"/>
    </row>
    <row r="1518">
      <c r="A1518" s="63"/>
      <c r="B1518" s="701" t="s">
        <v>530</v>
      </c>
      <c r="C1518" s="743" t="s">
        <v>416</v>
      </c>
      <c r="D1518" s="703" t="s">
        <v>517</v>
      </c>
      <c r="E1518" s="704">
        <v>2021.0</v>
      </c>
      <c r="F1518" s="743" t="s">
        <v>418</v>
      </c>
      <c r="G1518" s="743" t="s">
        <v>50</v>
      </c>
      <c r="H1518" s="705">
        <v>1479473.0</v>
      </c>
      <c r="I1518" s="705">
        <v>1612749.0</v>
      </c>
      <c r="J1518" s="706">
        <v>1353091.0</v>
      </c>
      <c r="K1518" s="64"/>
      <c r="CE1518" s="460"/>
    </row>
    <row r="1519">
      <c r="A1519" s="63"/>
      <c r="B1519" s="712" t="s">
        <v>530</v>
      </c>
      <c r="C1519" s="742" t="s">
        <v>416</v>
      </c>
      <c r="D1519" s="714" t="s">
        <v>520</v>
      </c>
      <c r="E1519" s="715">
        <v>2021.0</v>
      </c>
      <c r="F1519" s="742" t="s">
        <v>418</v>
      </c>
      <c r="G1519" s="742" t="s">
        <v>50</v>
      </c>
      <c r="H1519" s="716">
        <v>1251352.0</v>
      </c>
      <c r="I1519" s="716">
        <v>1364078.0</v>
      </c>
      <c r="J1519" s="717">
        <v>1144457.0</v>
      </c>
      <c r="K1519" s="64"/>
      <c r="CE1519" s="460"/>
    </row>
    <row r="1520">
      <c r="A1520" s="63"/>
      <c r="B1520" s="701" t="s">
        <v>530</v>
      </c>
      <c r="C1520" s="743" t="s">
        <v>416</v>
      </c>
      <c r="D1520" s="703" t="s">
        <v>521</v>
      </c>
      <c r="E1520" s="704">
        <v>2021.0</v>
      </c>
      <c r="F1520" s="743" t="s">
        <v>418</v>
      </c>
      <c r="G1520" s="743" t="s">
        <v>50</v>
      </c>
      <c r="H1520" s="705">
        <v>787565.0</v>
      </c>
      <c r="I1520" s="705">
        <v>858512.0</v>
      </c>
      <c r="J1520" s="706">
        <v>720288.0</v>
      </c>
      <c r="K1520" s="64"/>
      <c r="CE1520" s="460"/>
    </row>
    <row r="1521">
      <c r="A1521" s="63"/>
      <c r="B1521" s="712" t="s">
        <v>530</v>
      </c>
      <c r="C1521" s="742" t="s">
        <v>416</v>
      </c>
      <c r="D1521" s="714" t="s">
        <v>524</v>
      </c>
      <c r="E1521" s="715">
        <v>2021.0</v>
      </c>
      <c r="F1521" s="742" t="s">
        <v>418</v>
      </c>
      <c r="G1521" s="742" t="s">
        <v>50</v>
      </c>
      <c r="H1521" s="716">
        <v>331828.0</v>
      </c>
      <c r="I1521" s="716">
        <v>361721.0</v>
      </c>
      <c r="J1521" s="717">
        <v>303482.0</v>
      </c>
      <c r="K1521" s="64"/>
      <c r="CE1521" s="460"/>
    </row>
    <row r="1522">
      <c r="A1522" s="63"/>
      <c r="B1522" s="701" t="s">
        <v>530</v>
      </c>
      <c r="C1522" s="743" t="s">
        <v>416</v>
      </c>
      <c r="D1522" s="703" t="s">
        <v>527</v>
      </c>
      <c r="E1522" s="704">
        <v>2021.0</v>
      </c>
      <c r="F1522" s="743" t="s">
        <v>418</v>
      </c>
      <c r="G1522" s="743" t="s">
        <v>50</v>
      </c>
      <c r="H1522" s="705">
        <v>104408.0</v>
      </c>
      <c r="I1522" s="705">
        <v>113813.0</v>
      </c>
      <c r="J1522" s="706">
        <v>95489.0</v>
      </c>
      <c r="K1522" s="64"/>
      <c r="CE1522" s="460"/>
    </row>
    <row r="1523">
      <c r="A1523" s="63"/>
      <c r="B1523" s="712" t="s">
        <v>530</v>
      </c>
      <c r="C1523" s="742" t="s">
        <v>416</v>
      </c>
      <c r="D1523" s="714" t="s">
        <v>529</v>
      </c>
      <c r="E1523" s="715">
        <v>2021.0</v>
      </c>
      <c r="F1523" s="742" t="s">
        <v>418</v>
      </c>
      <c r="G1523" s="742" t="s">
        <v>50</v>
      </c>
      <c r="H1523" s="716">
        <v>27551.0</v>
      </c>
      <c r="I1523" s="716">
        <v>30033.0</v>
      </c>
      <c r="J1523" s="717">
        <v>25197.0</v>
      </c>
      <c r="K1523" s="64"/>
      <c r="CE1523" s="460"/>
    </row>
    <row r="1524">
      <c r="A1524" s="63"/>
      <c r="B1524" s="701" t="s">
        <v>530</v>
      </c>
      <c r="C1524" s="743" t="s">
        <v>416</v>
      </c>
      <c r="D1524" s="703" t="s">
        <v>443</v>
      </c>
      <c r="E1524" s="704">
        <v>2021.0</v>
      </c>
      <c r="F1524" s="743" t="s">
        <v>418</v>
      </c>
      <c r="G1524" s="743" t="s">
        <v>50</v>
      </c>
      <c r="H1524" s="705">
        <v>2.35553608E8</v>
      </c>
      <c r="I1524" s="705">
        <v>2.56773158E8</v>
      </c>
      <c r="J1524" s="706">
        <v>2.15431755E8</v>
      </c>
      <c r="K1524" s="64"/>
      <c r="CE1524" s="460"/>
    </row>
    <row r="1525">
      <c r="A1525" s="63"/>
      <c r="B1525" s="712" t="s">
        <v>531</v>
      </c>
      <c r="C1525" s="742" t="s">
        <v>416</v>
      </c>
      <c r="D1525" s="714" t="s">
        <v>417</v>
      </c>
      <c r="E1525" s="715">
        <v>2021.0</v>
      </c>
      <c r="F1525" s="742" t="s">
        <v>418</v>
      </c>
      <c r="G1525" s="742" t="s">
        <v>50</v>
      </c>
      <c r="H1525" s="716">
        <v>358307.0</v>
      </c>
      <c r="I1525" s="716">
        <v>403628.0</v>
      </c>
      <c r="J1525" s="717">
        <v>310975.0</v>
      </c>
      <c r="K1525" s="64"/>
      <c r="CE1525" s="460"/>
    </row>
    <row r="1526">
      <c r="A1526" s="63"/>
      <c r="B1526" s="701" t="s">
        <v>531</v>
      </c>
      <c r="C1526" s="743" t="s">
        <v>416</v>
      </c>
      <c r="D1526" s="703" t="s">
        <v>431</v>
      </c>
      <c r="E1526" s="704">
        <v>2021.0</v>
      </c>
      <c r="F1526" s="743" t="s">
        <v>418</v>
      </c>
      <c r="G1526" s="743" t="s">
        <v>50</v>
      </c>
      <c r="H1526" s="705">
        <v>6438088.0</v>
      </c>
      <c r="I1526" s="705">
        <v>7252422.0</v>
      </c>
      <c r="J1526" s="706">
        <v>5587613.0</v>
      </c>
      <c r="K1526" s="64"/>
      <c r="CE1526" s="460"/>
    </row>
    <row r="1527">
      <c r="A1527" s="63"/>
      <c r="B1527" s="712" t="s">
        <v>531</v>
      </c>
      <c r="C1527" s="742" t="s">
        <v>416</v>
      </c>
      <c r="D1527" s="714" t="s">
        <v>438</v>
      </c>
      <c r="E1527" s="715">
        <v>2021.0</v>
      </c>
      <c r="F1527" s="742" t="s">
        <v>418</v>
      </c>
      <c r="G1527" s="742" t="s">
        <v>50</v>
      </c>
      <c r="H1527" s="716">
        <v>27870.0</v>
      </c>
      <c r="I1527" s="716">
        <v>31395.0</v>
      </c>
      <c r="J1527" s="717">
        <v>24188.0</v>
      </c>
      <c r="K1527" s="64"/>
      <c r="CE1527" s="460"/>
    </row>
    <row r="1528">
      <c r="A1528" s="63"/>
      <c r="B1528" s="701" t="s">
        <v>531</v>
      </c>
      <c r="C1528" s="743" t="s">
        <v>416</v>
      </c>
      <c r="D1528" s="703" t="s">
        <v>421</v>
      </c>
      <c r="E1528" s="704">
        <v>2021.0</v>
      </c>
      <c r="F1528" s="743" t="s">
        <v>418</v>
      </c>
      <c r="G1528" s="743" t="s">
        <v>50</v>
      </c>
      <c r="H1528" s="705">
        <v>1748462.0</v>
      </c>
      <c r="I1528" s="705">
        <v>1969620.0</v>
      </c>
      <c r="J1528" s="706">
        <v>1517489.0</v>
      </c>
      <c r="K1528" s="64"/>
      <c r="CE1528" s="460"/>
    </row>
    <row r="1529">
      <c r="A1529" s="63"/>
      <c r="B1529" s="712" t="s">
        <v>531</v>
      </c>
      <c r="C1529" s="742" t="s">
        <v>416</v>
      </c>
      <c r="D1529" s="714" t="s">
        <v>447</v>
      </c>
      <c r="E1529" s="715">
        <v>2021.0</v>
      </c>
      <c r="F1529" s="742" t="s">
        <v>418</v>
      </c>
      <c r="G1529" s="742" t="s">
        <v>50</v>
      </c>
      <c r="H1529" s="716">
        <v>4970423.0</v>
      </c>
      <c r="I1529" s="716">
        <v>5599117.0</v>
      </c>
      <c r="J1529" s="717">
        <v>4313828.0</v>
      </c>
      <c r="K1529" s="64"/>
      <c r="CE1529" s="460"/>
    </row>
    <row r="1530">
      <c r="A1530" s="63"/>
      <c r="B1530" s="701" t="s">
        <v>531</v>
      </c>
      <c r="C1530" s="743" t="s">
        <v>416</v>
      </c>
      <c r="D1530" s="703" t="s">
        <v>432</v>
      </c>
      <c r="E1530" s="704">
        <v>2021.0</v>
      </c>
      <c r="F1530" s="743" t="s">
        <v>418</v>
      </c>
      <c r="G1530" s="743" t="s">
        <v>50</v>
      </c>
      <c r="H1530" s="705">
        <v>7017.0</v>
      </c>
      <c r="I1530" s="705">
        <v>7904.0</v>
      </c>
      <c r="J1530" s="706">
        <v>6090.0</v>
      </c>
      <c r="K1530" s="64"/>
      <c r="CE1530" s="460"/>
    </row>
    <row r="1531">
      <c r="A1531" s="63"/>
      <c r="B1531" s="712" t="s">
        <v>531</v>
      </c>
      <c r="C1531" s="742" t="s">
        <v>416</v>
      </c>
      <c r="D1531" s="714" t="s">
        <v>450</v>
      </c>
      <c r="E1531" s="715">
        <v>2021.0</v>
      </c>
      <c r="F1531" s="742" t="s">
        <v>418</v>
      </c>
      <c r="G1531" s="742" t="s">
        <v>50</v>
      </c>
      <c r="H1531" s="716">
        <v>1567553.0</v>
      </c>
      <c r="I1531" s="716">
        <v>1765828.0</v>
      </c>
      <c r="J1531" s="717">
        <v>1360479.0</v>
      </c>
      <c r="K1531" s="64"/>
      <c r="CE1531" s="460"/>
    </row>
    <row r="1532">
      <c r="A1532" s="63"/>
      <c r="B1532" s="701" t="s">
        <v>531</v>
      </c>
      <c r="C1532" s="743" t="s">
        <v>416</v>
      </c>
      <c r="D1532" s="703" t="s">
        <v>453</v>
      </c>
      <c r="E1532" s="704">
        <v>2021.0</v>
      </c>
      <c r="F1532" s="743" t="s">
        <v>418</v>
      </c>
      <c r="G1532" s="743" t="s">
        <v>50</v>
      </c>
      <c r="H1532" s="705">
        <v>3035218.0</v>
      </c>
      <c r="I1532" s="705">
        <v>3419133.0</v>
      </c>
      <c r="J1532" s="706">
        <v>2634264.0</v>
      </c>
      <c r="K1532" s="64"/>
      <c r="CE1532" s="460"/>
    </row>
    <row r="1533">
      <c r="A1533" s="63"/>
      <c r="B1533" s="712" t="s">
        <v>531</v>
      </c>
      <c r="C1533" s="742" t="s">
        <v>416</v>
      </c>
      <c r="D1533" s="714" t="s">
        <v>454</v>
      </c>
      <c r="E1533" s="715">
        <v>2021.0</v>
      </c>
      <c r="F1533" s="742" t="s">
        <v>418</v>
      </c>
      <c r="G1533" s="742" t="s">
        <v>50</v>
      </c>
      <c r="H1533" s="716">
        <v>4316373.0</v>
      </c>
      <c r="I1533" s="716">
        <v>4862337.0</v>
      </c>
      <c r="J1533" s="717">
        <v>3746178.0</v>
      </c>
      <c r="K1533" s="64"/>
      <c r="CE1533" s="460"/>
    </row>
    <row r="1534">
      <c r="A1534" s="63"/>
      <c r="B1534" s="701" t="s">
        <v>531</v>
      </c>
      <c r="C1534" s="743" t="s">
        <v>416</v>
      </c>
      <c r="D1534" s="703" t="s">
        <v>457</v>
      </c>
      <c r="E1534" s="704">
        <v>2021.0</v>
      </c>
      <c r="F1534" s="743" t="s">
        <v>418</v>
      </c>
      <c r="G1534" s="743" t="s">
        <v>50</v>
      </c>
      <c r="H1534" s="705">
        <v>352222.0</v>
      </c>
      <c r="I1534" s="705">
        <v>396773.0</v>
      </c>
      <c r="J1534" s="706">
        <v>305693.0</v>
      </c>
      <c r="K1534" s="64"/>
      <c r="CE1534" s="460"/>
    </row>
    <row r="1535">
      <c r="A1535" s="63"/>
      <c r="B1535" s="712" t="s">
        <v>531</v>
      </c>
      <c r="C1535" s="742" t="s">
        <v>416</v>
      </c>
      <c r="D1535" s="714" t="s">
        <v>460</v>
      </c>
      <c r="E1535" s="715">
        <v>2021.0</v>
      </c>
      <c r="F1535" s="742" t="s">
        <v>418</v>
      </c>
      <c r="G1535" s="742" t="s">
        <v>50</v>
      </c>
      <c r="H1535" s="716">
        <v>152799.0</v>
      </c>
      <c r="I1535" s="716">
        <v>172126.0</v>
      </c>
      <c r="J1535" s="717">
        <v>132614.0</v>
      </c>
      <c r="K1535" s="64"/>
      <c r="CE1535" s="460"/>
    </row>
    <row r="1536">
      <c r="A1536" s="63"/>
      <c r="B1536" s="701" t="s">
        <v>531</v>
      </c>
      <c r="C1536" s="743" t="s">
        <v>416</v>
      </c>
      <c r="D1536" s="703" t="s">
        <v>463</v>
      </c>
      <c r="E1536" s="704">
        <v>2021.0</v>
      </c>
      <c r="F1536" s="743" t="s">
        <v>418</v>
      </c>
      <c r="G1536" s="743" t="s">
        <v>50</v>
      </c>
      <c r="H1536" s="705">
        <v>1467665.0</v>
      </c>
      <c r="I1536" s="705">
        <v>1653305.0</v>
      </c>
      <c r="J1536" s="706">
        <v>1273785.0</v>
      </c>
      <c r="K1536" s="64"/>
      <c r="CE1536" s="460"/>
    </row>
    <row r="1537">
      <c r="A1537" s="63"/>
      <c r="B1537" s="712" t="s">
        <v>531</v>
      </c>
      <c r="C1537" s="742" t="s">
        <v>416</v>
      </c>
      <c r="D1537" s="714" t="s">
        <v>465</v>
      </c>
      <c r="E1537" s="715">
        <v>2021.0</v>
      </c>
      <c r="F1537" s="742" t="s">
        <v>418</v>
      </c>
      <c r="G1537" s="742" t="s">
        <v>50</v>
      </c>
      <c r="H1537" s="716">
        <v>6851202.0</v>
      </c>
      <c r="I1537" s="716">
        <v>7717789.0</v>
      </c>
      <c r="J1537" s="717">
        <v>5946155.0</v>
      </c>
      <c r="K1537" s="64"/>
      <c r="CE1537" s="460"/>
    </row>
    <row r="1538">
      <c r="A1538" s="63"/>
      <c r="B1538" s="701" t="s">
        <v>531</v>
      </c>
      <c r="C1538" s="743" t="s">
        <v>416</v>
      </c>
      <c r="D1538" s="703" t="s">
        <v>468</v>
      </c>
      <c r="E1538" s="704">
        <v>2021.0</v>
      </c>
      <c r="F1538" s="743" t="s">
        <v>418</v>
      </c>
      <c r="G1538" s="743" t="s">
        <v>50</v>
      </c>
      <c r="H1538" s="705">
        <v>1281155.0</v>
      </c>
      <c r="I1538" s="705">
        <v>1443204.0</v>
      </c>
      <c r="J1538" s="706">
        <v>1111914.0</v>
      </c>
      <c r="K1538" s="64"/>
      <c r="CE1538" s="460"/>
    </row>
    <row r="1539">
      <c r="A1539" s="63"/>
      <c r="B1539" s="712" t="s">
        <v>531</v>
      </c>
      <c r="C1539" s="742" t="s">
        <v>416</v>
      </c>
      <c r="D1539" s="714" t="s">
        <v>471</v>
      </c>
      <c r="E1539" s="715">
        <v>2021.0</v>
      </c>
      <c r="F1539" s="742" t="s">
        <v>418</v>
      </c>
      <c r="G1539" s="742" t="s">
        <v>50</v>
      </c>
      <c r="H1539" s="716">
        <v>1037933.0</v>
      </c>
      <c r="I1539" s="716">
        <v>1169218.0</v>
      </c>
      <c r="J1539" s="717">
        <v>900822.0</v>
      </c>
      <c r="K1539" s="64"/>
      <c r="CE1539" s="460"/>
    </row>
    <row r="1540">
      <c r="A1540" s="63"/>
      <c r="B1540" s="701" t="s">
        <v>531</v>
      </c>
      <c r="C1540" s="743" t="s">
        <v>416</v>
      </c>
      <c r="D1540" s="703" t="s">
        <v>473</v>
      </c>
      <c r="E1540" s="704">
        <v>2021.0</v>
      </c>
      <c r="F1540" s="743" t="s">
        <v>418</v>
      </c>
      <c r="G1540" s="743" t="s">
        <v>50</v>
      </c>
      <c r="H1540" s="705">
        <v>5550790.0</v>
      </c>
      <c r="I1540" s="705">
        <v>6252892.0</v>
      </c>
      <c r="J1540" s="706">
        <v>4817527.0</v>
      </c>
      <c r="K1540" s="64"/>
      <c r="CE1540" s="460"/>
    </row>
    <row r="1541">
      <c r="A1541" s="63"/>
      <c r="B1541" s="712" t="s">
        <v>531</v>
      </c>
      <c r="C1541" s="742" t="s">
        <v>416</v>
      </c>
      <c r="D1541" s="714" t="s">
        <v>476</v>
      </c>
      <c r="E1541" s="715">
        <v>2021.0</v>
      </c>
      <c r="F1541" s="742" t="s">
        <v>418</v>
      </c>
      <c r="G1541" s="742" t="s">
        <v>50</v>
      </c>
      <c r="H1541" s="716">
        <v>1067271.0</v>
      </c>
      <c r="I1541" s="716">
        <v>1202267.0</v>
      </c>
      <c r="J1541" s="717">
        <v>926284.0</v>
      </c>
      <c r="K1541" s="64"/>
      <c r="CE1541" s="460"/>
    </row>
    <row r="1542">
      <c r="A1542" s="63"/>
      <c r="B1542" s="701" t="s">
        <v>531</v>
      </c>
      <c r="C1542" s="743" t="s">
        <v>416</v>
      </c>
      <c r="D1542" s="703" t="s">
        <v>479</v>
      </c>
      <c r="E1542" s="704">
        <v>2021.0</v>
      </c>
      <c r="F1542" s="743" t="s">
        <v>418</v>
      </c>
      <c r="G1542" s="743" t="s">
        <v>50</v>
      </c>
      <c r="H1542" s="705">
        <v>971697.0</v>
      </c>
      <c r="I1542" s="705">
        <v>1094604.0</v>
      </c>
      <c r="J1542" s="706">
        <v>843335.0</v>
      </c>
      <c r="K1542" s="64"/>
      <c r="CE1542" s="460"/>
    </row>
    <row r="1543">
      <c r="A1543" s="63"/>
      <c r="B1543" s="712" t="s">
        <v>531</v>
      </c>
      <c r="C1543" s="742" t="s">
        <v>416</v>
      </c>
      <c r="D1543" s="714" t="s">
        <v>482</v>
      </c>
      <c r="E1543" s="715">
        <v>2021.0</v>
      </c>
      <c r="F1543" s="742" t="s">
        <v>418</v>
      </c>
      <c r="G1543" s="742" t="s">
        <v>50</v>
      </c>
      <c r="H1543" s="716">
        <v>883587.0</v>
      </c>
      <c r="I1543" s="716">
        <v>995349.0</v>
      </c>
      <c r="J1543" s="717">
        <v>766865.0</v>
      </c>
      <c r="K1543" s="64"/>
      <c r="CE1543" s="460"/>
    </row>
    <row r="1544">
      <c r="A1544" s="63"/>
      <c r="B1544" s="701" t="s">
        <v>531</v>
      </c>
      <c r="C1544" s="743" t="s">
        <v>416</v>
      </c>
      <c r="D1544" s="703" t="s">
        <v>485</v>
      </c>
      <c r="E1544" s="704">
        <v>2021.0</v>
      </c>
      <c r="F1544" s="743" t="s">
        <v>418</v>
      </c>
      <c r="G1544" s="743" t="s">
        <v>50</v>
      </c>
      <c r="H1544" s="705">
        <v>674300.0</v>
      </c>
      <c r="I1544" s="705">
        <v>759590.0</v>
      </c>
      <c r="J1544" s="706">
        <v>585225.0</v>
      </c>
      <c r="K1544" s="64"/>
      <c r="CE1544" s="460"/>
    </row>
    <row r="1545">
      <c r="A1545" s="63"/>
      <c r="B1545" s="712" t="s">
        <v>531</v>
      </c>
      <c r="C1545" s="742" t="s">
        <v>416</v>
      </c>
      <c r="D1545" s="714" t="s">
        <v>488</v>
      </c>
      <c r="E1545" s="715">
        <v>2021.0</v>
      </c>
      <c r="F1545" s="742" t="s">
        <v>418</v>
      </c>
      <c r="G1545" s="742" t="s">
        <v>50</v>
      </c>
      <c r="H1545" s="716">
        <v>505527.0</v>
      </c>
      <c r="I1545" s="716">
        <v>569469.0</v>
      </c>
      <c r="J1545" s="717">
        <v>438746.0</v>
      </c>
      <c r="K1545" s="64"/>
      <c r="CE1545" s="460"/>
    </row>
    <row r="1546">
      <c r="A1546" s="63"/>
      <c r="B1546" s="701" t="s">
        <v>531</v>
      </c>
      <c r="C1546" s="743" t="s">
        <v>416</v>
      </c>
      <c r="D1546" s="703" t="s">
        <v>491</v>
      </c>
      <c r="E1546" s="704">
        <v>2021.0</v>
      </c>
      <c r="F1546" s="743" t="s">
        <v>418</v>
      </c>
      <c r="G1546" s="743" t="s">
        <v>50</v>
      </c>
      <c r="H1546" s="705">
        <v>390941.0</v>
      </c>
      <c r="I1546" s="705">
        <v>440390.0</v>
      </c>
      <c r="J1546" s="706">
        <v>339298.0</v>
      </c>
      <c r="K1546" s="64"/>
      <c r="CE1546" s="460"/>
    </row>
    <row r="1547">
      <c r="A1547" s="63"/>
      <c r="B1547" s="712" t="s">
        <v>531</v>
      </c>
      <c r="C1547" s="742" t="s">
        <v>416</v>
      </c>
      <c r="D1547" s="714" t="s">
        <v>493</v>
      </c>
      <c r="E1547" s="715">
        <v>2021.0</v>
      </c>
      <c r="F1547" s="742" t="s">
        <v>418</v>
      </c>
      <c r="G1547" s="742" t="s">
        <v>50</v>
      </c>
      <c r="H1547" s="716">
        <v>1201315.0</v>
      </c>
      <c r="I1547" s="716">
        <v>1353266.0</v>
      </c>
      <c r="J1547" s="717">
        <v>1042621.0</v>
      </c>
      <c r="K1547" s="64"/>
      <c r="CE1547" s="460"/>
    </row>
    <row r="1548">
      <c r="A1548" s="63"/>
      <c r="B1548" s="701" t="s">
        <v>531</v>
      </c>
      <c r="C1548" s="743" t="s">
        <v>416</v>
      </c>
      <c r="D1548" s="703" t="s">
        <v>434</v>
      </c>
      <c r="E1548" s="704">
        <v>2021.0</v>
      </c>
      <c r="F1548" s="743" t="s">
        <v>418</v>
      </c>
      <c r="G1548" s="743" t="s">
        <v>50</v>
      </c>
      <c r="H1548" s="705">
        <v>3221961.0</v>
      </c>
      <c r="I1548" s="705">
        <v>3629497.0</v>
      </c>
      <c r="J1548" s="706">
        <v>2796338.0</v>
      </c>
      <c r="K1548" s="64"/>
      <c r="CE1548" s="460"/>
    </row>
    <row r="1549">
      <c r="A1549" s="63"/>
      <c r="B1549" s="712" t="s">
        <v>531</v>
      </c>
      <c r="C1549" s="742" t="s">
        <v>416</v>
      </c>
      <c r="D1549" s="714" t="s">
        <v>497</v>
      </c>
      <c r="E1549" s="715">
        <v>2021.0</v>
      </c>
      <c r="F1549" s="742" t="s">
        <v>418</v>
      </c>
      <c r="G1549" s="742" t="s">
        <v>50</v>
      </c>
      <c r="H1549" s="716">
        <v>328832.0</v>
      </c>
      <c r="I1549" s="716">
        <v>370425.0</v>
      </c>
      <c r="J1549" s="717">
        <v>285393.0</v>
      </c>
      <c r="K1549" s="64"/>
      <c r="CE1549" s="460"/>
    </row>
    <row r="1550">
      <c r="A1550" s="63"/>
      <c r="B1550" s="701" t="s">
        <v>531</v>
      </c>
      <c r="C1550" s="743" t="s">
        <v>416</v>
      </c>
      <c r="D1550" s="703" t="s">
        <v>500</v>
      </c>
      <c r="E1550" s="704">
        <v>2021.0</v>
      </c>
      <c r="F1550" s="743" t="s">
        <v>418</v>
      </c>
      <c r="G1550" s="743" t="s">
        <v>50</v>
      </c>
      <c r="H1550" s="705">
        <v>1654408.0</v>
      </c>
      <c r="I1550" s="705">
        <v>1863669.0</v>
      </c>
      <c r="J1550" s="706">
        <v>1435860.0</v>
      </c>
      <c r="K1550" s="64"/>
      <c r="CE1550" s="460"/>
    </row>
    <row r="1551">
      <c r="A1551" s="63"/>
      <c r="B1551" s="712" t="s">
        <v>531</v>
      </c>
      <c r="C1551" s="742" t="s">
        <v>416</v>
      </c>
      <c r="D1551" s="714" t="s">
        <v>502</v>
      </c>
      <c r="E1551" s="715">
        <v>2021.0</v>
      </c>
      <c r="F1551" s="742" t="s">
        <v>418</v>
      </c>
      <c r="G1551" s="742" t="s">
        <v>50</v>
      </c>
      <c r="H1551" s="716">
        <v>277443.0</v>
      </c>
      <c r="I1551" s="716">
        <v>312536.0</v>
      </c>
      <c r="J1551" s="717">
        <v>240792.0</v>
      </c>
      <c r="K1551" s="64"/>
      <c r="CE1551" s="460"/>
    </row>
    <row r="1552">
      <c r="A1552" s="63"/>
      <c r="B1552" s="701" t="s">
        <v>531</v>
      </c>
      <c r="C1552" s="743" t="s">
        <v>416</v>
      </c>
      <c r="D1552" s="703" t="s">
        <v>505</v>
      </c>
      <c r="E1552" s="704">
        <v>2021.0</v>
      </c>
      <c r="F1552" s="743" t="s">
        <v>418</v>
      </c>
      <c r="G1552" s="743" t="s">
        <v>50</v>
      </c>
      <c r="H1552" s="705">
        <v>177638.0</v>
      </c>
      <c r="I1552" s="705">
        <v>200107.0</v>
      </c>
      <c r="J1552" s="706">
        <v>154172.0</v>
      </c>
      <c r="K1552" s="64"/>
      <c r="CE1552" s="460"/>
    </row>
    <row r="1553">
      <c r="A1553" s="63"/>
      <c r="B1553" s="712" t="s">
        <v>531</v>
      </c>
      <c r="C1553" s="742" t="s">
        <v>416</v>
      </c>
      <c r="D1553" s="714" t="s">
        <v>508</v>
      </c>
      <c r="E1553" s="715">
        <v>2021.0</v>
      </c>
      <c r="F1553" s="742" t="s">
        <v>418</v>
      </c>
      <c r="G1553" s="742" t="s">
        <v>50</v>
      </c>
      <c r="H1553" s="716">
        <v>204099.0</v>
      </c>
      <c r="I1553" s="716">
        <v>229915.0</v>
      </c>
      <c r="J1553" s="717">
        <v>177138.0</v>
      </c>
      <c r="K1553" s="64"/>
      <c r="CE1553" s="460"/>
    </row>
    <row r="1554">
      <c r="A1554" s="63"/>
      <c r="B1554" s="701" t="s">
        <v>531</v>
      </c>
      <c r="C1554" s="743" t="s">
        <v>416</v>
      </c>
      <c r="D1554" s="703" t="s">
        <v>511</v>
      </c>
      <c r="E1554" s="704">
        <v>2021.0</v>
      </c>
      <c r="F1554" s="743" t="s">
        <v>418</v>
      </c>
      <c r="G1554" s="743" t="s">
        <v>50</v>
      </c>
      <c r="H1554" s="705">
        <v>247092.0</v>
      </c>
      <c r="I1554" s="705">
        <v>278346.0</v>
      </c>
      <c r="J1554" s="706">
        <v>214451.0</v>
      </c>
      <c r="K1554" s="64"/>
      <c r="CE1554" s="460"/>
    </row>
    <row r="1555">
      <c r="A1555" s="63"/>
      <c r="B1555" s="712" t="s">
        <v>531</v>
      </c>
      <c r="C1555" s="742" t="s">
        <v>416</v>
      </c>
      <c r="D1555" s="714" t="s">
        <v>514</v>
      </c>
      <c r="E1555" s="715">
        <v>2021.0</v>
      </c>
      <c r="F1555" s="742" t="s">
        <v>418</v>
      </c>
      <c r="G1555" s="742" t="s">
        <v>50</v>
      </c>
      <c r="H1555" s="716">
        <v>120067.0</v>
      </c>
      <c r="I1555" s="716">
        <v>135254.0</v>
      </c>
      <c r="J1555" s="717">
        <v>104206.0</v>
      </c>
      <c r="K1555" s="64"/>
      <c r="CE1555" s="460"/>
    </row>
    <row r="1556">
      <c r="A1556" s="63"/>
      <c r="B1556" s="701" t="s">
        <v>531</v>
      </c>
      <c r="C1556" s="743" t="s">
        <v>416</v>
      </c>
      <c r="D1556" s="703" t="s">
        <v>439</v>
      </c>
      <c r="E1556" s="704">
        <v>2021.0</v>
      </c>
      <c r="F1556" s="743" t="s">
        <v>418</v>
      </c>
      <c r="G1556" s="743" t="s">
        <v>50</v>
      </c>
      <c r="H1556" s="705">
        <v>20854.0</v>
      </c>
      <c r="I1556" s="705">
        <v>23491.0</v>
      </c>
      <c r="J1556" s="706">
        <v>18099.0</v>
      </c>
      <c r="K1556" s="64"/>
      <c r="CE1556" s="460"/>
    </row>
    <row r="1557">
      <c r="A1557" s="63"/>
      <c r="B1557" s="712" t="s">
        <v>531</v>
      </c>
      <c r="C1557" s="742" t="s">
        <v>416</v>
      </c>
      <c r="D1557" s="714" t="s">
        <v>517</v>
      </c>
      <c r="E1557" s="715">
        <v>2021.0</v>
      </c>
      <c r="F1557" s="742" t="s">
        <v>418</v>
      </c>
      <c r="G1557" s="742" t="s">
        <v>50</v>
      </c>
      <c r="H1557" s="716">
        <v>70021.0</v>
      </c>
      <c r="I1557" s="716">
        <v>78878.0</v>
      </c>
      <c r="J1557" s="717">
        <v>60771.0</v>
      </c>
      <c r="K1557" s="64"/>
      <c r="CE1557" s="460"/>
    </row>
    <row r="1558">
      <c r="A1558" s="63"/>
      <c r="B1558" s="701" t="s">
        <v>531</v>
      </c>
      <c r="C1558" s="743" t="s">
        <v>416</v>
      </c>
      <c r="D1558" s="703" t="s">
        <v>520</v>
      </c>
      <c r="E1558" s="704">
        <v>2021.0</v>
      </c>
      <c r="F1558" s="743" t="s">
        <v>418</v>
      </c>
      <c r="G1558" s="743" t="s">
        <v>50</v>
      </c>
      <c r="H1558" s="705">
        <v>57004.0</v>
      </c>
      <c r="I1558" s="705">
        <v>64214.0</v>
      </c>
      <c r="J1558" s="706">
        <v>49474.0</v>
      </c>
      <c r="K1558" s="64"/>
      <c r="CE1558" s="460"/>
    </row>
    <row r="1559">
      <c r="A1559" s="63"/>
      <c r="B1559" s="712" t="s">
        <v>531</v>
      </c>
      <c r="C1559" s="742" t="s">
        <v>416</v>
      </c>
      <c r="D1559" s="714" t="s">
        <v>521</v>
      </c>
      <c r="E1559" s="715">
        <v>2021.0</v>
      </c>
      <c r="F1559" s="742" t="s">
        <v>418</v>
      </c>
      <c r="G1559" s="742" t="s">
        <v>50</v>
      </c>
      <c r="H1559" s="716">
        <v>36696.0</v>
      </c>
      <c r="I1559" s="716">
        <v>41337.0</v>
      </c>
      <c r="J1559" s="717">
        <v>31848.0</v>
      </c>
      <c r="K1559" s="64"/>
      <c r="CE1559" s="460"/>
    </row>
    <row r="1560">
      <c r="A1560" s="63"/>
      <c r="B1560" s="701" t="s">
        <v>531</v>
      </c>
      <c r="C1560" s="743" t="s">
        <v>416</v>
      </c>
      <c r="D1560" s="703" t="s">
        <v>524</v>
      </c>
      <c r="E1560" s="704">
        <v>2021.0</v>
      </c>
      <c r="F1560" s="743" t="s">
        <v>418</v>
      </c>
      <c r="G1560" s="743" t="s">
        <v>50</v>
      </c>
      <c r="H1560" s="705">
        <v>15141.0</v>
      </c>
      <c r="I1560" s="705">
        <v>17056.0</v>
      </c>
      <c r="J1560" s="706">
        <v>13141.0</v>
      </c>
      <c r="K1560" s="64"/>
      <c r="CE1560" s="460"/>
    </row>
    <row r="1561">
      <c r="A1561" s="63"/>
      <c r="B1561" s="712" t="s">
        <v>531</v>
      </c>
      <c r="C1561" s="742" t="s">
        <v>416</v>
      </c>
      <c r="D1561" s="714" t="s">
        <v>527</v>
      </c>
      <c r="E1561" s="715">
        <v>2021.0</v>
      </c>
      <c r="F1561" s="742" t="s">
        <v>418</v>
      </c>
      <c r="G1561" s="742" t="s">
        <v>50</v>
      </c>
      <c r="H1561" s="716">
        <v>4286.0</v>
      </c>
      <c r="I1561" s="716">
        <v>4828.0</v>
      </c>
      <c r="J1561" s="717">
        <v>3719.0</v>
      </c>
      <c r="K1561" s="64"/>
      <c r="CE1561" s="460"/>
    </row>
    <row r="1562">
      <c r="A1562" s="63"/>
      <c r="B1562" s="701" t="s">
        <v>531</v>
      </c>
      <c r="C1562" s="743" t="s">
        <v>416</v>
      </c>
      <c r="D1562" s="703" t="s">
        <v>529</v>
      </c>
      <c r="E1562" s="704">
        <v>2021.0</v>
      </c>
      <c r="F1562" s="743" t="s">
        <v>418</v>
      </c>
      <c r="G1562" s="743" t="s">
        <v>50</v>
      </c>
      <c r="H1562" s="705">
        <v>882.0</v>
      </c>
      <c r="I1562" s="705">
        <v>993.0</v>
      </c>
      <c r="J1562" s="706">
        <v>765.0</v>
      </c>
      <c r="K1562" s="64"/>
      <c r="CE1562" s="460"/>
    </row>
    <row r="1563">
      <c r="A1563" s="63"/>
      <c r="B1563" s="712" t="s">
        <v>531</v>
      </c>
      <c r="C1563" s="742" t="s">
        <v>416</v>
      </c>
      <c r="D1563" s="714" t="s">
        <v>443</v>
      </c>
      <c r="E1563" s="715">
        <v>2021.0</v>
      </c>
      <c r="F1563" s="742" t="s">
        <v>418</v>
      </c>
      <c r="G1563" s="742" t="s">
        <v>50</v>
      </c>
      <c r="H1563" s="716">
        <v>1.3270033E7</v>
      </c>
      <c r="I1563" s="716">
        <v>1.4948518E7</v>
      </c>
      <c r="J1563" s="717">
        <v>1.1517055E7</v>
      </c>
      <c r="K1563" s="64"/>
      <c r="CE1563" s="460"/>
    </row>
    <row r="1564">
      <c r="A1564" s="63"/>
      <c r="B1564" s="701" t="s">
        <v>532</v>
      </c>
      <c r="C1564" s="743" t="s">
        <v>416</v>
      </c>
      <c r="D1564" s="703" t="s">
        <v>417</v>
      </c>
      <c r="E1564" s="704">
        <v>2021.0</v>
      </c>
      <c r="F1564" s="743" t="s">
        <v>418</v>
      </c>
      <c r="G1564" s="743" t="s">
        <v>50</v>
      </c>
      <c r="H1564" s="705">
        <v>4872.0</v>
      </c>
      <c r="I1564" s="705">
        <v>5465.0</v>
      </c>
      <c r="J1564" s="706">
        <v>4296.0</v>
      </c>
      <c r="K1564" s="64"/>
      <c r="CE1564" s="460"/>
    </row>
    <row r="1565">
      <c r="A1565" s="63"/>
      <c r="B1565" s="712" t="s">
        <v>532</v>
      </c>
      <c r="C1565" s="742" t="s">
        <v>416</v>
      </c>
      <c r="D1565" s="714" t="s">
        <v>431</v>
      </c>
      <c r="E1565" s="715">
        <v>2021.0</v>
      </c>
      <c r="F1565" s="742" t="s">
        <v>418</v>
      </c>
      <c r="G1565" s="742" t="s">
        <v>50</v>
      </c>
      <c r="H1565" s="716">
        <v>101803.0</v>
      </c>
      <c r="I1565" s="716">
        <v>114211.0</v>
      </c>
      <c r="J1565" s="717">
        <v>89783.0</v>
      </c>
      <c r="K1565" s="64"/>
      <c r="CE1565" s="460"/>
    </row>
    <row r="1566">
      <c r="A1566" s="63"/>
      <c r="B1566" s="701" t="s">
        <v>532</v>
      </c>
      <c r="C1566" s="743" t="s">
        <v>416</v>
      </c>
      <c r="D1566" s="703" t="s">
        <v>438</v>
      </c>
      <c r="E1566" s="704">
        <v>2021.0</v>
      </c>
      <c r="F1566" s="743" t="s">
        <v>418</v>
      </c>
      <c r="G1566" s="743" t="s">
        <v>50</v>
      </c>
      <c r="H1566" s="705">
        <v>374.0</v>
      </c>
      <c r="I1566" s="705">
        <v>420.0</v>
      </c>
      <c r="J1566" s="706">
        <v>330.0</v>
      </c>
      <c r="K1566" s="64"/>
      <c r="CE1566" s="460"/>
    </row>
    <row r="1567">
      <c r="A1567" s="63"/>
      <c r="B1567" s="712" t="s">
        <v>532</v>
      </c>
      <c r="C1567" s="742" t="s">
        <v>416</v>
      </c>
      <c r="D1567" s="714" t="s">
        <v>421</v>
      </c>
      <c r="E1567" s="715">
        <v>2021.0</v>
      </c>
      <c r="F1567" s="742" t="s">
        <v>418</v>
      </c>
      <c r="G1567" s="742" t="s">
        <v>50</v>
      </c>
      <c r="H1567" s="716">
        <v>24944.0</v>
      </c>
      <c r="I1567" s="716">
        <v>27984.0</v>
      </c>
      <c r="J1567" s="717">
        <v>21999.0</v>
      </c>
      <c r="K1567" s="64"/>
      <c r="CE1567" s="460"/>
    </row>
    <row r="1568">
      <c r="A1568" s="63"/>
      <c r="B1568" s="701" t="s">
        <v>532</v>
      </c>
      <c r="C1568" s="743" t="s">
        <v>416</v>
      </c>
      <c r="D1568" s="703" t="s">
        <v>447</v>
      </c>
      <c r="E1568" s="704">
        <v>2021.0</v>
      </c>
      <c r="F1568" s="743" t="s">
        <v>418</v>
      </c>
      <c r="G1568" s="743" t="s">
        <v>50</v>
      </c>
      <c r="H1568" s="705">
        <v>77832.0</v>
      </c>
      <c r="I1568" s="705">
        <v>87318.0</v>
      </c>
      <c r="J1568" s="706">
        <v>68642.0</v>
      </c>
      <c r="K1568" s="64"/>
      <c r="CE1568" s="460"/>
    </row>
    <row r="1569">
      <c r="A1569" s="63"/>
      <c r="B1569" s="712" t="s">
        <v>532</v>
      </c>
      <c r="C1569" s="742" t="s">
        <v>416</v>
      </c>
      <c r="D1569" s="714" t="s">
        <v>432</v>
      </c>
      <c r="E1569" s="715">
        <v>2021.0</v>
      </c>
      <c r="F1569" s="742" t="s">
        <v>418</v>
      </c>
      <c r="G1569" s="742" t="s">
        <v>50</v>
      </c>
      <c r="H1569" s="716">
        <v>94.0</v>
      </c>
      <c r="I1569" s="716">
        <v>105.0</v>
      </c>
      <c r="J1569" s="717">
        <v>83.0</v>
      </c>
      <c r="K1569" s="64"/>
      <c r="CE1569" s="460"/>
    </row>
    <row r="1570">
      <c r="A1570" s="63"/>
      <c r="B1570" s="701" t="s">
        <v>532</v>
      </c>
      <c r="C1570" s="743" t="s">
        <v>416</v>
      </c>
      <c r="D1570" s="703" t="s">
        <v>450</v>
      </c>
      <c r="E1570" s="704">
        <v>2021.0</v>
      </c>
      <c r="F1570" s="743" t="s">
        <v>418</v>
      </c>
      <c r="G1570" s="743" t="s">
        <v>50</v>
      </c>
      <c r="H1570" s="705">
        <v>26619.0</v>
      </c>
      <c r="I1570" s="705">
        <v>29863.0</v>
      </c>
      <c r="J1570" s="706">
        <v>23476.0</v>
      </c>
      <c r="K1570" s="64"/>
      <c r="CE1570" s="460"/>
    </row>
    <row r="1571">
      <c r="A1571" s="63"/>
      <c r="B1571" s="712" t="s">
        <v>532</v>
      </c>
      <c r="C1571" s="742" t="s">
        <v>416</v>
      </c>
      <c r="D1571" s="714" t="s">
        <v>453</v>
      </c>
      <c r="E1571" s="715">
        <v>2021.0</v>
      </c>
      <c r="F1571" s="742" t="s">
        <v>418</v>
      </c>
      <c r="G1571" s="742" t="s">
        <v>50</v>
      </c>
      <c r="H1571" s="716">
        <v>50590.0</v>
      </c>
      <c r="I1571" s="716">
        <v>56756.0</v>
      </c>
      <c r="J1571" s="717">
        <v>44617.0</v>
      </c>
      <c r="K1571" s="64"/>
      <c r="CE1571" s="460"/>
    </row>
    <row r="1572">
      <c r="A1572" s="63"/>
      <c r="B1572" s="701" t="s">
        <v>532</v>
      </c>
      <c r="C1572" s="743" t="s">
        <v>416</v>
      </c>
      <c r="D1572" s="703" t="s">
        <v>454</v>
      </c>
      <c r="E1572" s="704">
        <v>2021.0</v>
      </c>
      <c r="F1572" s="743" t="s">
        <v>418</v>
      </c>
      <c r="G1572" s="743" t="s">
        <v>50</v>
      </c>
      <c r="H1572" s="705">
        <v>70537.0</v>
      </c>
      <c r="I1572" s="705">
        <v>79134.0</v>
      </c>
      <c r="J1572" s="706">
        <v>62209.0</v>
      </c>
      <c r="K1572" s="64"/>
      <c r="CE1572" s="460"/>
    </row>
    <row r="1573">
      <c r="A1573" s="63"/>
      <c r="B1573" s="712" t="s">
        <v>532</v>
      </c>
      <c r="C1573" s="742" t="s">
        <v>416</v>
      </c>
      <c r="D1573" s="714" t="s">
        <v>457</v>
      </c>
      <c r="E1573" s="715">
        <v>2021.0</v>
      </c>
      <c r="F1573" s="742" t="s">
        <v>418</v>
      </c>
      <c r="G1573" s="742" t="s">
        <v>50</v>
      </c>
      <c r="H1573" s="716">
        <v>4906.0</v>
      </c>
      <c r="I1573" s="716">
        <v>5504.0</v>
      </c>
      <c r="J1573" s="717">
        <v>4327.0</v>
      </c>
      <c r="K1573" s="64"/>
      <c r="CE1573" s="460"/>
    </row>
    <row r="1574">
      <c r="A1574" s="63"/>
      <c r="B1574" s="701" t="s">
        <v>532</v>
      </c>
      <c r="C1574" s="743" t="s">
        <v>416</v>
      </c>
      <c r="D1574" s="703" t="s">
        <v>460</v>
      </c>
      <c r="E1574" s="704">
        <v>2021.0</v>
      </c>
      <c r="F1574" s="743" t="s">
        <v>418</v>
      </c>
      <c r="G1574" s="743" t="s">
        <v>50</v>
      </c>
      <c r="H1574" s="705">
        <v>2067.0</v>
      </c>
      <c r="I1574" s="705">
        <v>2319.0</v>
      </c>
      <c r="J1574" s="706">
        <v>1823.0</v>
      </c>
      <c r="K1574" s="64"/>
      <c r="CE1574" s="460"/>
    </row>
    <row r="1575">
      <c r="A1575" s="63"/>
      <c r="B1575" s="712" t="s">
        <v>532</v>
      </c>
      <c r="C1575" s="742" t="s">
        <v>416</v>
      </c>
      <c r="D1575" s="714" t="s">
        <v>463</v>
      </c>
      <c r="E1575" s="715">
        <v>2021.0</v>
      </c>
      <c r="F1575" s="742" t="s">
        <v>418</v>
      </c>
      <c r="G1575" s="742" t="s">
        <v>50</v>
      </c>
      <c r="H1575" s="716">
        <v>23971.0</v>
      </c>
      <c r="I1575" s="716">
        <v>26893.0</v>
      </c>
      <c r="J1575" s="717">
        <v>21141.0</v>
      </c>
      <c r="K1575" s="64"/>
      <c r="CE1575" s="460"/>
    </row>
    <row r="1576">
      <c r="A1576" s="63"/>
      <c r="B1576" s="701" t="s">
        <v>532</v>
      </c>
      <c r="C1576" s="743" t="s">
        <v>416</v>
      </c>
      <c r="D1576" s="703" t="s">
        <v>465</v>
      </c>
      <c r="E1576" s="704">
        <v>2021.0</v>
      </c>
      <c r="F1576" s="743" t="s">
        <v>418</v>
      </c>
      <c r="G1576" s="743" t="s">
        <v>50</v>
      </c>
      <c r="H1576" s="705">
        <v>112892.0</v>
      </c>
      <c r="I1576" s="705">
        <v>126651.0</v>
      </c>
      <c r="J1576" s="706">
        <v>99563.0</v>
      </c>
      <c r="K1576" s="64"/>
      <c r="CE1576" s="460"/>
    </row>
    <row r="1577">
      <c r="A1577" s="63"/>
      <c r="B1577" s="712" t="s">
        <v>532</v>
      </c>
      <c r="C1577" s="742" t="s">
        <v>416</v>
      </c>
      <c r="D1577" s="714" t="s">
        <v>468</v>
      </c>
      <c r="E1577" s="715">
        <v>2021.0</v>
      </c>
      <c r="F1577" s="742" t="s">
        <v>418</v>
      </c>
      <c r="G1577" s="742" t="s">
        <v>50</v>
      </c>
      <c r="H1577" s="716">
        <v>19947.0</v>
      </c>
      <c r="I1577" s="716">
        <v>22378.0</v>
      </c>
      <c r="J1577" s="717">
        <v>17592.0</v>
      </c>
      <c r="K1577" s="64"/>
      <c r="CE1577" s="460"/>
    </row>
    <row r="1578">
      <c r="A1578" s="63"/>
      <c r="B1578" s="701" t="s">
        <v>532</v>
      </c>
      <c r="C1578" s="743" t="s">
        <v>416</v>
      </c>
      <c r="D1578" s="703" t="s">
        <v>471</v>
      </c>
      <c r="E1578" s="704">
        <v>2021.0</v>
      </c>
      <c r="F1578" s="743" t="s">
        <v>418</v>
      </c>
      <c r="G1578" s="743" t="s">
        <v>50</v>
      </c>
      <c r="H1578" s="705">
        <v>15166.0</v>
      </c>
      <c r="I1578" s="705">
        <v>17015.0</v>
      </c>
      <c r="J1578" s="706">
        <v>13376.0</v>
      </c>
      <c r="K1578" s="64"/>
      <c r="CE1578" s="460"/>
    </row>
    <row r="1579">
      <c r="A1579" s="63"/>
      <c r="B1579" s="712" t="s">
        <v>532</v>
      </c>
      <c r="C1579" s="742" t="s">
        <v>416</v>
      </c>
      <c r="D1579" s="714" t="s">
        <v>473</v>
      </c>
      <c r="E1579" s="715">
        <v>2021.0</v>
      </c>
      <c r="F1579" s="742" t="s">
        <v>418</v>
      </c>
      <c r="G1579" s="742" t="s">
        <v>50</v>
      </c>
      <c r="H1579" s="716">
        <v>94868.0</v>
      </c>
      <c r="I1579" s="716">
        <v>106431.0</v>
      </c>
      <c r="J1579" s="717">
        <v>83667.0</v>
      </c>
      <c r="K1579" s="64"/>
      <c r="CE1579" s="460"/>
    </row>
    <row r="1580">
      <c r="A1580" s="63"/>
      <c r="B1580" s="701" t="s">
        <v>532</v>
      </c>
      <c r="C1580" s="743" t="s">
        <v>416</v>
      </c>
      <c r="D1580" s="703" t="s">
        <v>476</v>
      </c>
      <c r="E1580" s="704">
        <v>2021.0</v>
      </c>
      <c r="F1580" s="743" t="s">
        <v>418</v>
      </c>
      <c r="G1580" s="743" t="s">
        <v>50</v>
      </c>
      <c r="H1580" s="705">
        <v>17086.0</v>
      </c>
      <c r="I1580" s="705">
        <v>19168.0</v>
      </c>
      <c r="J1580" s="706">
        <v>15068.0</v>
      </c>
      <c r="K1580" s="64"/>
      <c r="CE1580" s="460"/>
    </row>
    <row r="1581">
      <c r="A1581" s="63"/>
      <c r="B1581" s="712" t="s">
        <v>532</v>
      </c>
      <c r="C1581" s="742" t="s">
        <v>416</v>
      </c>
      <c r="D1581" s="714" t="s">
        <v>479</v>
      </c>
      <c r="E1581" s="715">
        <v>2021.0</v>
      </c>
      <c r="F1581" s="742" t="s">
        <v>418</v>
      </c>
      <c r="G1581" s="742" t="s">
        <v>50</v>
      </c>
      <c r="H1581" s="716">
        <v>15741.0</v>
      </c>
      <c r="I1581" s="716">
        <v>17659.0</v>
      </c>
      <c r="J1581" s="717">
        <v>13882.0</v>
      </c>
      <c r="K1581" s="64"/>
      <c r="CE1581" s="460"/>
    </row>
    <row r="1582">
      <c r="A1582" s="63"/>
      <c r="B1582" s="701" t="s">
        <v>532</v>
      </c>
      <c r="C1582" s="743" t="s">
        <v>416</v>
      </c>
      <c r="D1582" s="703" t="s">
        <v>482</v>
      </c>
      <c r="E1582" s="704">
        <v>2021.0</v>
      </c>
      <c r="F1582" s="743" t="s">
        <v>418</v>
      </c>
      <c r="G1582" s="743" t="s">
        <v>50</v>
      </c>
      <c r="H1582" s="705">
        <v>14143.0</v>
      </c>
      <c r="I1582" s="705">
        <v>15867.0</v>
      </c>
      <c r="J1582" s="706">
        <v>12474.0</v>
      </c>
      <c r="K1582" s="64"/>
      <c r="CE1582" s="460"/>
    </row>
    <row r="1583">
      <c r="A1583" s="63"/>
      <c r="B1583" s="712" t="s">
        <v>532</v>
      </c>
      <c r="C1583" s="742" t="s">
        <v>416</v>
      </c>
      <c r="D1583" s="714" t="s">
        <v>485</v>
      </c>
      <c r="E1583" s="715">
        <v>2021.0</v>
      </c>
      <c r="F1583" s="742" t="s">
        <v>418</v>
      </c>
      <c r="G1583" s="742" t="s">
        <v>50</v>
      </c>
      <c r="H1583" s="716">
        <v>12087.0</v>
      </c>
      <c r="I1583" s="716">
        <v>13560.0</v>
      </c>
      <c r="J1583" s="717">
        <v>10660.0</v>
      </c>
      <c r="K1583" s="64"/>
      <c r="CE1583" s="460"/>
    </row>
    <row r="1584">
      <c r="A1584" s="63"/>
      <c r="B1584" s="701" t="s">
        <v>532</v>
      </c>
      <c r="C1584" s="743" t="s">
        <v>416</v>
      </c>
      <c r="D1584" s="703" t="s">
        <v>488</v>
      </c>
      <c r="E1584" s="704">
        <v>2021.0</v>
      </c>
      <c r="F1584" s="743" t="s">
        <v>418</v>
      </c>
      <c r="G1584" s="743" t="s">
        <v>50</v>
      </c>
      <c r="H1584" s="705">
        <v>9917.0</v>
      </c>
      <c r="I1584" s="705">
        <v>11126.0</v>
      </c>
      <c r="J1584" s="706">
        <v>8746.0</v>
      </c>
      <c r="K1584" s="64"/>
      <c r="CE1584" s="460"/>
    </row>
    <row r="1585">
      <c r="A1585" s="63"/>
      <c r="B1585" s="712" t="s">
        <v>532</v>
      </c>
      <c r="C1585" s="742" t="s">
        <v>416</v>
      </c>
      <c r="D1585" s="714" t="s">
        <v>491</v>
      </c>
      <c r="E1585" s="715">
        <v>2021.0</v>
      </c>
      <c r="F1585" s="742" t="s">
        <v>418</v>
      </c>
      <c r="G1585" s="742" t="s">
        <v>50</v>
      </c>
      <c r="H1585" s="716">
        <v>7611.0</v>
      </c>
      <c r="I1585" s="716">
        <v>8538.0</v>
      </c>
      <c r="J1585" s="717">
        <v>6712.0</v>
      </c>
      <c r="K1585" s="64"/>
      <c r="CE1585" s="460"/>
    </row>
    <row r="1586">
      <c r="A1586" s="63"/>
      <c r="B1586" s="701" t="s">
        <v>532</v>
      </c>
      <c r="C1586" s="743" t="s">
        <v>416</v>
      </c>
      <c r="D1586" s="703" t="s">
        <v>493</v>
      </c>
      <c r="E1586" s="704">
        <v>2021.0</v>
      </c>
      <c r="F1586" s="743" t="s">
        <v>418</v>
      </c>
      <c r="G1586" s="743" t="s">
        <v>50</v>
      </c>
      <c r="H1586" s="705">
        <v>21310.0</v>
      </c>
      <c r="I1586" s="705">
        <v>23908.0</v>
      </c>
      <c r="J1586" s="706">
        <v>18794.0</v>
      </c>
      <c r="K1586" s="64"/>
      <c r="CE1586" s="460"/>
    </row>
    <row r="1587">
      <c r="A1587" s="63"/>
      <c r="B1587" s="712" t="s">
        <v>532</v>
      </c>
      <c r="C1587" s="742" t="s">
        <v>416</v>
      </c>
      <c r="D1587" s="714" t="s">
        <v>434</v>
      </c>
      <c r="E1587" s="715">
        <v>2021.0</v>
      </c>
      <c r="F1587" s="742" t="s">
        <v>418</v>
      </c>
      <c r="G1587" s="742" t="s">
        <v>50</v>
      </c>
      <c r="H1587" s="716">
        <v>52888.0</v>
      </c>
      <c r="I1587" s="716">
        <v>59333.0</v>
      </c>
      <c r="J1587" s="717">
        <v>46643.0</v>
      </c>
      <c r="K1587" s="64"/>
      <c r="CE1587" s="460"/>
    </row>
    <row r="1588">
      <c r="A1588" s="63"/>
      <c r="B1588" s="701" t="s">
        <v>532</v>
      </c>
      <c r="C1588" s="743" t="s">
        <v>416</v>
      </c>
      <c r="D1588" s="703" t="s">
        <v>497</v>
      </c>
      <c r="E1588" s="704">
        <v>2021.0</v>
      </c>
      <c r="F1588" s="743" t="s">
        <v>418</v>
      </c>
      <c r="G1588" s="743" t="s">
        <v>50</v>
      </c>
      <c r="H1588" s="705">
        <v>5968.0</v>
      </c>
      <c r="I1588" s="705">
        <v>6696.0</v>
      </c>
      <c r="J1588" s="706">
        <v>5264.0</v>
      </c>
      <c r="K1588" s="64"/>
      <c r="CE1588" s="460"/>
    </row>
    <row r="1589">
      <c r="A1589" s="63"/>
      <c r="B1589" s="712" t="s">
        <v>532</v>
      </c>
      <c r="C1589" s="742" t="s">
        <v>416</v>
      </c>
      <c r="D1589" s="714" t="s">
        <v>500</v>
      </c>
      <c r="E1589" s="715">
        <v>2021.0</v>
      </c>
      <c r="F1589" s="742" t="s">
        <v>418</v>
      </c>
      <c r="G1589" s="742" t="s">
        <v>50</v>
      </c>
      <c r="H1589" s="716">
        <v>26269.0</v>
      </c>
      <c r="I1589" s="716">
        <v>29470.0</v>
      </c>
      <c r="J1589" s="717">
        <v>23167.0</v>
      </c>
      <c r="K1589" s="64"/>
      <c r="CE1589" s="460"/>
    </row>
    <row r="1590">
      <c r="A1590" s="63"/>
      <c r="B1590" s="701" t="s">
        <v>532</v>
      </c>
      <c r="C1590" s="743" t="s">
        <v>416</v>
      </c>
      <c r="D1590" s="703" t="s">
        <v>502</v>
      </c>
      <c r="E1590" s="704">
        <v>2021.0</v>
      </c>
      <c r="F1590" s="743" t="s">
        <v>418</v>
      </c>
      <c r="G1590" s="743" t="s">
        <v>50</v>
      </c>
      <c r="H1590" s="705">
        <v>4553.0</v>
      </c>
      <c r="I1590" s="705">
        <v>5108.0</v>
      </c>
      <c r="J1590" s="706">
        <v>4016.0</v>
      </c>
      <c r="K1590" s="64"/>
      <c r="CE1590" s="460"/>
    </row>
    <row r="1591">
      <c r="A1591" s="63"/>
      <c r="B1591" s="712" t="s">
        <v>532</v>
      </c>
      <c r="C1591" s="742" t="s">
        <v>416</v>
      </c>
      <c r="D1591" s="714" t="s">
        <v>505</v>
      </c>
      <c r="E1591" s="715">
        <v>2021.0</v>
      </c>
      <c r="F1591" s="742" t="s">
        <v>418</v>
      </c>
      <c r="G1591" s="742" t="s">
        <v>50</v>
      </c>
      <c r="H1591" s="716">
        <v>2430.0</v>
      </c>
      <c r="I1591" s="716">
        <v>2727.0</v>
      </c>
      <c r="J1591" s="717">
        <v>2143.0</v>
      </c>
      <c r="K1591" s="64"/>
      <c r="CE1591" s="460"/>
    </row>
    <row r="1592">
      <c r="A1592" s="63"/>
      <c r="B1592" s="701" t="s">
        <v>532</v>
      </c>
      <c r="C1592" s="743" t="s">
        <v>416</v>
      </c>
      <c r="D1592" s="703" t="s">
        <v>508</v>
      </c>
      <c r="E1592" s="704">
        <v>2021.0</v>
      </c>
      <c r="F1592" s="743" t="s">
        <v>418</v>
      </c>
      <c r="G1592" s="743" t="s">
        <v>50</v>
      </c>
      <c r="H1592" s="705">
        <v>3178.0</v>
      </c>
      <c r="I1592" s="705">
        <v>3565.0</v>
      </c>
      <c r="J1592" s="706">
        <v>2803.0</v>
      </c>
      <c r="K1592" s="64"/>
      <c r="CE1592" s="460"/>
    </row>
    <row r="1593">
      <c r="A1593" s="63"/>
      <c r="B1593" s="712" t="s">
        <v>532</v>
      </c>
      <c r="C1593" s="742" t="s">
        <v>416</v>
      </c>
      <c r="D1593" s="714" t="s">
        <v>511</v>
      </c>
      <c r="E1593" s="715">
        <v>2021.0</v>
      </c>
      <c r="F1593" s="742" t="s">
        <v>418</v>
      </c>
      <c r="G1593" s="742" t="s">
        <v>50</v>
      </c>
      <c r="H1593" s="716">
        <v>4584.0</v>
      </c>
      <c r="I1593" s="716">
        <v>5143.0</v>
      </c>
      <c r="J1593" s="717">
        <v>4043.0</v>
      </c>
      <c r="K1593" s="64"/>
      <c r="CE1593" s="460"/>
    </row>
    <row r="1594">
      <c r="A1594" s="63"/>
      <c r="B1594" s="701" t="s">
        <v>532</v>
      </c>
      <c r="C1594" s="743" t="s">
        <v>416</v>
      </c>
      <c r="D1594" s="703" t="s">
        <v>514</v>
      </c>
      <c r="E1594" s="704">
        <v>2021.0</v>
      </c>
      <c r="F1594" s="743" t="s">
        <v>418</v>
      </c>
      <c r="G1594" s="743" t="s">
        <v>50</v>
      </c>
      <c r="H1594" s="705">
        <v>1943.0</v>
      </c>
      <c r="I1594" s="705">
        <v>2180.0</v>
      </c>
      <c r="J1594" s="706">
        <v>1714.0</v>
      </c>
      <c r="K1594" s="64"/>
      <c r="CE1594" s="460"/>
    </row>
    <row r="1595">
      <c r="A1595" s="63"/>
      <c r="B1595" s="712" t="s">
        <v>532</v>
      </c>
      <c r="C1595" s="742" t="s">
        <v>416</v>
      </c>
      <c r="D1595" s="714" t="s">
        <v>439</v>
      </c>
      <c r="E1595" s="715">
        <v>2021.0</v>
      </c>
      <c r="F1595" s="742" t="s">
        <v>418</v>
      </c>
      <c r="G1595" s="742" t="s">
        <v>50</v>
      </c>
      <c r="H1595" s="716">
        <v>280.0</v>
      </c>
      <c r="I1595" s="716">
        <v>314.0</v>
      </c>
      <c r="J1595" s="717">
        <v>247.0</v>
      </c>
      <c r="K1595" s="64"/>
      <c r="CE1595" s="460"/>
    </row>
    <row r="1596">
      <c r="A1596" s="63"/>
      <c r="B1596" s="701" t="s">
        <v>532</v>
      </c>
      <c r="C1596" s="743" t="s">
        <v>416</v>
      </c>
      <c r="D1596" s="703" t="s">
        <v>517</v>
      </c>
      <c r="E1596" s="704">
        <v>2021.0</v>
      </c>
      <c r="F1596" s="743" t="s">
        <v>418</v>
      </c>
      <c r="G1596" s="743" t="s">
        <v>50</v>
      </c>
      <c r="H1596" s="705">
        <v>1271.0</v>
      </c>
      <c r="I1596" s="705">
        <v>1426.0</v>
      </c>
      <c r="J1596" s="706">
        <v>1121.0</v>
      </c>
      <c r="K1596" s="64"/>
      <c r="CE1596" s="460"/>
    </row>
    <row r="1597">
      <c r="A1597" s="63"/>
      <c r="B1597" s="712" t="s">
        <v>532</v>
      </c>
      <c r="C1597" s="742" t="s">
        <v>416</v>
      </c>
      <c r="D1597" s="714" t="s">
        <v>520</v>
      </c>
      <c r="E1597" s="715">
        <v>2021.0</v>
      </c>
      <c r="F1597" s="742" t="s">
        <v>418</v>
      </c>
      <c r="G1597" s="742" t="s">
        <v>50</v>
      </c>
      <c r="H1597" s="716">
        <v>1370.0</v>
      </c>
      <c r="I1597" s="716">
        <v>1537.0</v>
      </c>
      <c r="J1597" s="717">
        <v>1208.0</v>
      </c>
      <c r="K1597" s="64"/>
      <c r="CE1597" s="460"/>
    </row>
    <row r="1598">
      <c r="A1598" s="63"/>
      <c r="B1598" s="701" t="s">
        <v>532</v>
      </c>
      <c r="C1598" s="743" t="s">
        <v>416</v>
      </c>
      <c r="D1598" s="703" t="s">
        <v>521</v>
      </c>
      <c r="E1598" s="704">
        <v>2021.0</v>
      </c>
      <c r="F1598" s="743" t="s">
        <v>418</v>
      </c>
      <c r="G1598" s="743" t="s">
        <v>50</v>
      </c>
      <c r="H1598" s="705">
        <v>850.0</v>
      </c>
      <c r="I1598" s="705">
        <v>953.0</v>
      </c>
      <c r="J1598" s="706">
        <v>749.0</v>
      </c>
      <c r="K1598" s="64"/>
      <c r="CE1598" s="460"/>
    </row>
    <row r="1599">
      <c r="A1599" s="63"/>
      <c r="B1599" s="712" t="s">
        <v>532</v>
      </c>
      <c r="C1599" s="742" t="s">
        <v>416</v>
      </c>
      <c r="D1599" s="714" t="s">
        <v>524</v>
      </c>
      <c r="E1599" s="715">
        <v>2021.0</v>
      </c>
      <c r="F1599" s="742" t="s">
        <v>418</v>
      </c>
      <c r="G1599" s="742" t="s">
        <v>50</v>
      </c>
      <c r="H1599" s="716">
        <v>392.0</v>
      </c>
      <c r="I1599" s="716">
        <v>439.0</v>
      </c>
      <c r="J1599" s="717">
        <v>345.0</v>
      </c>
      <c r="K1599" s="64"/>
      <c r="CE1599" s="460"/>
    </row>
    <row r="1600">
      <c r="A1600" s="63"/>
      <c r="B1600" s="701" t="s">
        <v>532</v>
      </c>
      <c r="C1600" s="743" t="s">
        <v>416</v>
      </c>
      <c r="D1600" s="703" t="s">
        <v>527</v>
      </c>
      <c r="E1600" s="704">
        <v>2021.0</v>
      </c>
      <c r="F1600" s="743" t="s">
        <v>418</v>
      </c>
      <c r="G1600" s="743" t="s">
        <v>50</v>
      </c>
      <c r="H1600" s="705">
        <v>107.0</v>
      </c>
      <c r="I1600" s="705">
        <v>120.0</v>
      </c>
      <c r="J1600" s="706">
        <v>94.0</v>
      </c>
      <c r="K1600" s="64"/>
      <c r="CE1600" s="460"/>
    </row>
    <row r="1601">
      <c r="A1601" s="63"/>
      <c r="B1601" s="712" t="s">
        <v>532</v>
      </c>
      <c r="C1601" s="742" t="s">
        <v>416</v>
      </c>
      <c r="D1601" s="714" t="s">
        <v>529</v>
      </c>
      <c r="E1601" s="715">
        <v>2021.0</v>
      </c>
      <c r="F1601" s="742" t="s">
        <v>418</v>
      </c>
      <c r="G1601" s="742" t="s">
        <v>50</v>
      </c>
      <c r="H1601" s="716">
        <v>21.0</v>
      </c>
      <c r="I1601" s="716">
        <v>24.0</v>
      </c>
      <c r="J1601" s="717">
        <v>19.0</v>
      </c>
      <c r="K1601" s="64"/>
      <c r="CE1601" s="460"/>
    </row>
    <row r="1602">
      <c r="A1602" s="63"/>
      <c r="B1602" s="701" t="s">
        <v>532</v>
      </c>
      <c r="C1602" s="743" t="s">
        <v>416</v>
      </c>
      <c r="D1602" s="703" t="s">
        <v>443</v>
      </c>
      <c r="E1602" s="704">
        <v>2021.0</v>
      </c>
      <c r="F1602" s="743" t="s">
        <v>418</v>
      </c>
      <c r="G1602" s="743" t="s">
        <v>50</v>
      </c>
      <c r="H1602" s="705">
        <v>216618.0</v>
      </c>
      <c r="I1602" s="705">
        <v>243019.0</v>
      </c>
      <c r="J1602" s="706">
        <v>191042.0</v>
      </c>
      <c r="K1602" s="64"/>
      <c r="CE1602" s="460"/>
    </row>
    <row r="1603">
      <c r="A1603" s="63"/>
      <c r="B1603" s="712" t="s">
        <v>533</v>
      </c>
      <c r="C1603" s="742" t="s">
        <v>416</v>
      </c>
      <c r="D1603" s="714" t="s">
        <v>417</v>
      </c>
      <c r="E1603" s="715">
        <v>2021.0</v>
      </c>
      <c r="F1603" s="742" t="s">
        <v>418</v>
      </c>
      <c r="G1603" s="742" t="s">
        <v>50</v>
      </c>
      <c r="H1603" s="716">
        <v>467324.0</v>
      </c>
      <c r="I1603" s="716">
        <v>519067.0</v>
      </c>
      <c r="J1603" s="717">
        <v>412787.0</v>
      </c>
      <c r="K1603" s="64"/>
      <c r="CE1603" s="460"/>
    </row>
    <row r="1604">
      <c r="A1604" s="63"/>
      <c r="B1604" s="701" t="s">
        <v>533</v>
      </c>
      <c r="C1604" s="743" t="s">
        <v>416</v>
      </c>
      <c r="D1604" s="703" t="s">
        <v>431</v>
      </c>
      <c r="E1604" s="704">
        <v>2021.0</v>
      </c>
      <c r="F1604" s="743" t="s">
        <v>418</v>
      </c>
      <c r="G1604" s="743" t="s">
        <v>50</v>
      </c>
      <c r="H1604" s="705">
        <v>8115304.0</v>
      </c>
      <c r="I1604" s="705">
        <v>9013851.0</v>
      </c>
      <c r="J1604" s="706">
        <v>7168254.0</v>
      </c>
      <c r="K1604" s="64"/>
      <c r="CE1604" s="460"/>
    </row>
    <row r="1605">
      <c r="A1605" s="63"/>
      <c r="B1605" s="712" t="s">
        <v>533</v>
      </c>
      <c r="C1605" s="742" t="s">
        <v>416</v>
      </c>
      <c r="D1605" s="714" t="s">
        <v>438</v>
      </c>
      <c r="E1605" s="715">
        <v>2021.0</v>
      </c>
      <c r="F1605" s="742" t="s">
        <v>418</v>
      </c>
      <c r="G1605" s="742" t="s">
        <v>50</v>
      </c>
      <c r="H1605" s="716">
        <v>36250.0</v>
      </c>
      <c r="I1605" s="716">
        <v>40264.0</v>
      </c>
      <c r="J1605" s="717">
        <v>32020.0</v>
      </c>
      <c r="K1605" s="64"/>
      <c r="CE1605" s="460"/>
    </row>
    <row r="1606">
      <c r="A1606" s="63"/>
      <c r="B1606" s="701" t="s">
        <v>533</v>
      </c>
      <c r="C1606" s="743" t="s">
        <v>416</v>
      </c>
      <c r="D1606" s="703" t="s">
        <v>421</v>
      </c>
      <c r="E1606" s="704">
        <v>2021.0</v>
      </c>
      <c r="F1606" s="743" t="s">
        <v>418</v>
      </c>
      <c r="G1606" s="743" t="s">
        <v>50</v>
      </c>
      <c r="H1606" s="705">
        <v>2271447.0</v>
      </c>
      <c r="I1606" s="705">
        <v>2522947.0</v>
      </c>
      <c r="J1606" s="706">
        <v>2006371.0</v>
      </c>
      <c r="K1606" s="64"/>
      <c r="CE1606" s="460"/>
    </row>
    <row r="1607">
      <c r="A1607" s="63"/>
      <c r="B1607" s="712" t="s">
        <v>533</v>
      </c>
      <c r="C1607" s="742" t="s">
        <v>416</v>
      </c>
      <c r="D1607" s="714" t="s">
        <v>447</v>
      </c>
      <c r="E1607" s="715">
        <v>2021.0</v>
      </c>
      <c r="F1607" s="742" t="s">
        <v>418</v>
      </c>
      <c r="G1607" s="742" t="s">
        <v>50</v>
      </c>
      <c r="H1607" s="716">
        <v>6360569.0</v>
      </c>
      <c r="I1607" s="716">
        <v>7064827.0</v>
      </c>
      <c r="J1607" s="717">
        <v>5618295.0</v>
      </c>
      <c r="K1607" s="64"/>
      <c r="CE1607" s="460"/>
    </row>
    <row r="1608">
      <c r="A1608" s="63"/>
      <c r="B1608" s="701" t="s">
        <v>533</v>
      </c>
      <c r="C1608" s="743" t="s">
        <v>416</v>
      </c>
      <c r="D1608" s="703" t="s">
        <v>432</v>
      </c>
      <c r="E1608" s="704">
        <v>2021.0</v>
      </c>
      <c r="F1608" s="743" t="s">
        <v>418</v>
      </c>
      <c r="G1608" s="743" t="s">
        <v>50</v>
      </c>
      <c r="H1608" s="705">
        <v>9137.0</v>
      </c>
      <c r="I1608" s="705">
        <v>10149.0</v>
      </c>
      <c r="J1608" s="706">
        <v>8071.0</v>
      </c>
      <c r="K1608" s="64"/>
      <c r="CE1608" s="460"/>
    </row>
    <row r="1609">
      <c r="A1609" s="63"/>
      <c r="B1609" s="712" t="s">
        <v>533</v>
      </c>
      <c r="C1609" s="742" t="s">
        <v>416</v>
      </c>
      <c r="D1609" s="714" t="s">
        <v>450</v>
      </c>
      <c r="E1609" s="715">
        <v>2021.0</v>
      </c>
      <c r="F1609" s="742" t="s">
        <v>418</v>
      </c>
      <c r="G1609" s="742" t="s">
        <v>50</v>
      </c>
      <c r="H1609" s="716">
        <v>1979417.0</v>
      </c>
      <c r="I1609" s="716">
        <v>2198583.0</v>
      </c>
      <c r="J1609" s="717">
        <v>1748420.0</v>
      </c>
      <c r="K1609" s="64"/>
      <c r="CE1609" s="460"/>
    </row>
    <row r="1610">
      <c r="A1610" s="63"/>
      <c r="B1610" s="701" t="s">
        <v>533</v>
      </c>
      <c r="C1610" s="743" t="s">
        <v>416</v>
      </c>
      <c r="D1610" s="703" t="s">
        <v>453</v>
      </c>
      <c r="E1610" s="704">
        <v>2021.0</v>
      </c>
      <c r="F1610" s="743" t="s">
        <v>418</v>
      </c>
      <c r="G1610" s="743" t="s">
        <v>50</v>
      </c>
      <c r="H1610" s="705">
        <v>3734153.0</v>
      </c>
      <c r="I1610" s="705">
        <v>4147607.0</v>
      </c>
      <c r="J1610" s="706">
        <v>3298380.0</v>
      </c>
      <c r="K1610" s="64"/>
      <c r="CE1610" s="460"/>
    </row>
    <row r="1611">
      <c r="A1611" s="63"/>
      <c r="B1611" s="712" t="s">
        <v>533</v>
      </c>
      <c r="C1611" s="742" t="s">
        <v>416</v>
      </c>
      <c r="D1611" s="714" t="s">
        <v>454</v>
      </c>
      <c r="E1611" s="715">
        <v>2021.0</v>
      </c>
      <c r="F1611" s="742" t="s">
        <v>418</v>
      </c>
      <c r="G1611" s="742" t="s">
        <v>50</v>
      </c>
      <c r="H1611" s="716">
        <v>5231748.0</v>
      </c>
      <c r="I1611" s="716">
        <v>5811021.0</v>
      </c>
      <c r="J1611" s="717">
        <v>4621207.0</v>
      </c>
      <c r="K1611" s="64"/>
      <c r="CE1611" s="460"/>
    </row>
    <row r="1612">
      <c r="A1612" s="63"/>
      <c r="B1612" s="701" t="s">
        <v>533</v>
      </c>
      <c r="C1612" s="743" t="s">
        <v>416</v>
      </c>
      <c r="D1612" s="703" t="s">
        <v>457</v>
      </c>
      <c r="E1612" s="704">
        <v>2021.0</v>
      </c>
      <c r="F1612" s="743" t="s">
        <v>418</v>
      </c>
      <c r="G1612" s="743" t="s">
        <v>50</v>
      </c>
      <c r="H1612" s="705">
        <v>460321.0</v>
      </c>
      <c r="I1612" s="705">
        <v>511289.0</v>
      </c>
      <c r="J1612" s="706">
        <v>406602.0</v>
      </c>
      <c r="K1612" s="64"/>
      <c r="CE1612" s="460"/>
    </row>
    <row r="1613">
      <c r="A1613" s="63"/>
      <c r="B1613" s="712" t="s">
        <v>533</v>
      </c>
      <c r="C1613" s="742" t="s">
        <v>416</v>
      </c>
      <c r="D1613" s="714" t="s">
        <v>460</v>
      </c>
      <c r="E1613" s="715">
        <v>2021.0</v>
      </c>
      <c r="F1613" s="742" t="s">
        <v>418</v>
      </c>
      <c r="G1613" s="742" t="s">
        <v>50</v>
      </c>
      <c r="H1613" s="716">
        <v>198861.0</v>
      </c>
      <c r="I1613" s="716">
        <v>220879.0</v>
      </c>
      <c r="J1613" s="717">
        <v>175654.0</v>
      </c>
      <c r="K1613" s="64"/>
      <c r="CE1613" s="460"/>
    </row>
    <row r="1614">
      <c r="A1614" s="63"/>
      <c r="B1614" s="701" t="s">
        <v>533</v>
      </c>
      <c r="C1614" s="743" t="s">
        <v>416</v>
      </c>
      <c r="D1614" s="703" t="s">
        <v>463</v>
      </c>
      <c r="E1614" s="704">
        <v>2021.0</v>
      </c>
      <c r="F1614" s="743" t="s">
        <v>418</v>
      </c>
      <c r="G1614" s="743" t="s">
        <v>50</v>
      </c>
      <c r="H1614" s="705">
        <v>1754736.0</v>
      </c>
      <c r="I1614" s="705">
        <v>1949024.0</v>
      </c>
      <c r="J1614" s="706">
        <v>1549959.0</v>
      </c>
      <c r="K1614" s="64"/>
      <c r="CE1614" s="460"/>
    </row>
    <row r="1615">
      <c r="A1615" s="63"/>
      <c r="B1615" s="712" t="s">
        <v>533</v>
      </c>
      <c r="C1615" s="742" t="s">
        <v>416</v>
      </c>
      <c r="D1615" s="714" t="s">
        <v>465</v>
      </c>
      <c r="E1615" s="715">
        <v>2021.0</v>
      </c>
      <c r="F1615" s="742" t="s">
        <v>418</v>
      </c>
      <c r="G1615" s="742" t="s">
        <v>50</v>
      </c>
      <c r="H1615" s="716">
        <v>7736126.0</v>
      </c>
      <c r="I1615" s="716">
        <v>8592689.0</v>
      </c>
      <c r="J1615" s="717">
        <v>6833326.0</v>
      </c>
      <c r="K1615" s="64"/>
      <c r="CE1615" s="460"/>
    </row>
    <row r="1616">
      <c r="A1616" s="63"/>
      <c r="B1616" s="701" t="s">
        <v>533</v>
      </c>
      <c r="C1616" s="743" t="s">
        <v>416</v>
      </c>
      <c r="D1616" s="703" t="s">
        <v>468</v>
      </c>
      <c r="E1616" s="704">
        <v>2021.0</v>
      </c>
      <c r="F1616" s="743" t="s">
        <v>418</v>
      </c>
      <c r="G1616" s="743" t="s">
        <v>50</v>
      </c>
      <c r="H1616" s="705">
        <v>1497596.0</v>
      </c>
      <c r="I1616" s="705">
        <v>1663413.0</v>
      </c>
      <c r="J1616" s="706">
        <v>1322827.0</v>
      </c>
      <c r="K1616" s="64"/>
      <c r="CE1616" s="460"/>
    </row>
    <row r="1617">
      <c r="A1617" s="63"/>
      <c r="B1617" s="712" t="s">
        <v>533</v>
      </c>
      <c r="C1617" s="742" t="s">
        <v>416</v>
      </c>
      <c r="D1617" s="714" t="s">
        <v>471</v>
      </c>
      <c r="E1617" s="715">
        <v>2021.0</v>
      </c>
      <c r="F1617" s="742" t="s">
        <v>418</v>
      </c>
      <c r="G1617" s="742" t="s">
        <v>50</v>
      </c>
      <c r="H1617" s="716">
        <v>1343802.0</v>
      </c>
      <c r="I1617" s="716">
        <v>1492591.0</v>
      </c>
      <c r="J1617" s="717">
        <v>1186981.0</v>
      </c>
      <c r="K1617" s="64"/>
      <c r="CE1617" s="460"/>
    </row>
    <row r="1618">
      <c r="A1618" s="63"/>
      <c r="B1618" s="701" t="s">
        <v>533</v>
      </c>
      <c r="C1618" s="743" t="s">
        <v>416</v>
      </c>
      <c r="D1618" s="703" t="s">
        <v>473</v>
      </c>
      <c r="E1618" s="704">
        <v>2021.0</v>
      </c>
      <c r="F1618" s="743" t="s">
        <v>418</v>
      </c>
      <c r="G1618" s="743" t="s">
        <v>50</v>
      </c>
      <c r="H1618" s="705">
        <v>6246652.0</v>
      </c>
      <c r="I1618" s="705">
        <v>6938297.0</v>
      </c>
      <c r="J1618" s="706">
        <v>5517672.0</v>
      </c>
      <c r="K1618" s="64"/>
      <c r="CE1618" s="460"/>
    </row>
    <row r="1619">
      <c r="A1619" s="63"/>
      <c r="B1619" s="712" t="s">
        <v>533</v>
      </c>
      <c r="C1619" s="742" t="s">
        <v>416</v>
      </c>
      <c r="D1619" s="714" t="s">
        <v>476</v>
      </c>
      <c r="E1619" s="715">
        <v>2021.0</v>
      </c>
      <c r="F1619" s="742" t="s">
        <v>418</v>
      </c>
      <c r="G1619" s="742" t="s">
        <v>50</v>
      </c>
      <c r="H1619" s="716">
        <v>1260543.0</v>
      </c>
      <c r="I1619" s="716">
        <v>1400113.0</v>
      </c>
      <c r="J1619" s="717">
        <v>1113439.0</v>
      </c>
      <c r="K1619" s="64"/>
      <c r="CE1619" s="460"/>
    </row>
    <row r="1620">
      <c r="A1620" s="63"/>
      <c r="B1620" s="701" t="s">
        <v>533</v>
      </c>
      <c r="C1620" s="743" t="s">
        <v>416</v>
      </c>
      <c r="D1620" s="703" t="s">
        <v>479</v>
      </c>
      <c r="E1620" s="704">
        <v>2021.0</v>
      </c>
      <c r="F1620" s="743" t="s">
        <v>418</v>
      </c>
      <c r="G1620" s="743" t="s">
        <v>50</v>
      </c>
      <c r="H1620" s="705">
        <v>1062388.0</v>
      </c>
      <c r="I1620" s="705">
        <v>1180018.0</v>
      </c>
      <c r="J1620" s="706">
        <v>938408.0</v>
      </c>
      <c r="K1620" s="64"/>
      <c r="CE1620" s="460"/>
    </row>
    <row r="1621">
      <c r="A1621" s="63"/>
      <c r="B1621" s="712" t="s">
        <v>533</v>
      </c>
      <c r="C1621" s="742" t="s">
        <v>416</v>
      </c>
      <c r="D1621" s="714" t="s">
        <v>482</v>
      </c>
      <c r="E1621" s="715">
        <v>2021.0</v>
      </c>
      <c r="F1621" s="742" t="s">
        <v>418</v>
      </c>
      <c r="G1621" s="742" t="s">
        <v>50</v>
      </c>
      <c r="H1621" s="716">
        <v>872595.0</v>
      </c>
      <c r="I1621" s="716">
        <v>969211.0</v>
      </c>
      <c r="J1621" s="717">
        <v>770764.0</v>
      </c>
      <c r="K1621" s="64"/>
      <c r="CE1621" s="460"/>
    </row>
    <row r="1622">
      <c r="A1622" s="63"/>
      <c r="B1622" s="701" t="s">
        <v>533</v>
      </c>
      <c r="C1622" s="743" t="s">
        <v>416</v>
      </c>
      <c r="D1622" s="703" t="s">
        <v>485</v>
      </c>
      <c r="E1622" s="704">
        <v>2021.0</v>
      </c>
      <c r="F1622" s="743" t="s">
        <v>418</v>
      </c>
      <c r="G1622" s="743" t="s">
        <v>50</v>
      </c>
      <c r="H1622" s="705">
        <v>709943.0</v>
      </c>
      <c r="I1622" s="705">
        <v>788549.0</v>
      </c>
      <c r="J1622" s="706">
        <v>627093.0</v>
      </c>
      <c r="K1622" s="64"/>
      <c r="CE1622" s="460"/>
    </row>
    <row r="1623">
      <c r="A1623" s="63"/>
      <c r="B1623" s="712" t="s">
        <v>533</v>
      </c>
      <c r="C1623" s="742" t="s">
        <v>416</v>
      </c>
      <c r="D1623" s="714" t="s">
        <v>488</v>
      </c>
      <c r="E1623" s="715">
        <v>2021.0</v>
      </c>
      <c r="F1623" s="742" t="s">
        <v>418</v>
      </c>
      <c r="G1623" s="742" t="s">
        <v>50</v>
      </c>
      <c r="H1623" s="716">
        <v>578327.0</v>
      </c>
      <c r="I1623" s="716">
        <v>642360.0</v>
      </c>
      <c r="J1623" s="717">
        <v>510836.0</v>
      </c>
      <c r="K1623" s="64"/>
      <c r="BF1623" s="750"/>
      <c r="BG1623" s="750"/>
      <c r="BH1623" s="750"/>
      <c r="BI1623" s="750"/>
      <c r="BJ1623" s="750"/>
      <c r="BK1623" s="750"/>
      <c r="BL1623" s="750"/>
      <c r="BM1623" s="750"/>
      <c r="BN1623" s="750"/>
      <c r="BO1623" s="750"/>
      <c r="BP1623" s="750"/>
      <c r="BQ1623" s="750"/>
      <c r="CE1623" s="460"/>
    </row>
    <row r="1624">
      <c r="A1624" s="63"/>
      <c r="B1624" s="701" t="s">
        <v>533</v>
      </c>
      <c r="C1624" s="743" t="s">
        <v>416</v>
      </c>
      <c r="D1624" s="703" t="s">
        <v>491</v>
      </c>
      <c r="E1624" s="704">
        <v>2021.0</v>
      </c>
      <c r="F1624" s="743" t="s">
        <v>418</v>
      </c>
      <c r="G1624" s="743" t="s">
        <v>50</v>
      </c>
      <c r="H1624" s="705">
        <v>471692.0</v>
      </c>
      <c r="I1624" s="705">
        <v>523919.0</v>
      </c>
      <c r="J1624" s="706">
        <v>416646.0</v>
      </c>
      <c r="K1624" s="64"/>
      <c r="CE1624" s="460"/>
    </row>
    <row r="1625">
      <c r="A1625" s="63"/>
      <c r="B1625" s="712" t="s">
        <v>533</v>
      </c>
      <c r="C1625" s="742" t="s">
        <v>416</v>
      </c>
      <c r="D1625" s="714" t="s">
        <v>493</v>
      </c>
      <c r="E1625" s="715">
        <v>2021.0</v>
      </c>
      <c r="F1625" s="742" t="s">
        <v>418</v>
      </c>
      <c r="G1625" s="742" t="s">
        <v>50</v>
      </c>
      <c r="H1625" s="716">
        <v>1408788.0</v>
      </c>
      <c r="I1625" s="716">
        <v>1564772.0</v>
      </c>
      <c r="J1625" s="717">
        <v>1244383.0</v>
      </c>
      <c r="K1625" s="64"/>
      <c r="CE1625" s="460"/>
    </row>
    <row r="1626">
      <c r="A1626" s="63"/>
      <c r="B1626" s="701" t="s">
        <v>533</v>
      </c>
      <c r="C1626" s="743" t="s">
        <v>416</v>
      </c>
      <c r="D1626" s="703" t="s">
        <v>434</v>
      </c>
      <c r="E1626" s="704">
        <v>2021.0</v>
      </c>
      <c r="F1626" s="743" t="s">
        <v>418</v>
      </c>
      <c r="G1626" s="743" t="s">
        <v>50</v>
      </c>
      <c r="H1626" s="705">
        <v>4089121.0</v>
      </c>
      <c r="I1626" s="705">
        <v>4541879.0</v>
      </c>
      <c r="J1626" s="706">
        <v>3611924.0</v>
      </c>
      <c r="K1626" s="64"/>
      <c r="CE1626" s="460"/>
    </row>
    <row r="1627">
      <c r="A1627" s="63"/>
      <c r="B1627" s="712" t="s">
        <v>533</v>
      </c>
      <c r="C1627" s="742" t="s">
        <v>416</v>
      </c>
      <c r="D1627" s="714" t="s">
        <v>497</v>
      </c>
      <c r="E1627" s="715">
        <v>2021.0</v>
      </c>
      <c r="F1627" s="742" t="s">
        <v>418</v>
      </c>
      <c r="G1627" s="742" t="s">
        <v>50</v>
      </c>
      <c r="H1627" s="716">
        <v>395067.0</v>
      </c>
      <c r="I1627" s="716">
        <v>438810.0</v>
      </c>
      <c r="J1627" s="717">
        <v>348963.0</v>
      </c>
      <c r="K1627" s="64"/>
      <c r="CE1627" s="460"/>
    </row>
    <row r="1628">
      <c r="A1628" s="63"/>
      <c r="B1628" s="701" t="s">
        <v>533</v>
      </c>
      <c r="C1628" s="743" t="s">
        <v>416</v>
      </c>
      <c r="D1628" s="703" t="s">
        <v>500</v>
      </c>
      <c r="E1628" s="704">
        <v>2021.0</v>
      </c>
      <c r="F1628" s="743" t="s">
        <v>418</v>
      </c>
      <c r="G1628" s="743" t="s">
        <v>50</v>
      </c>
      <c r="H1628" s="705">
        <v>2109704.0</v>
      </c>
      <c r="I1628" s="705">
        <v>2343296.0</v>
      </c>
      <c r="J1628" s="706">
        <v>1863503.0</v>
      </c>
      <c r="K1628" s="64"/>
      <c r="CE1628" s="460"/>
    </row>
    <row r="1629">
      <c r="A1629" s="63"/>
      <c r="B1629" s="712" t="s">
        <v>533</v>
      </c>
      <c r="C1629" s="742" t="s">
        <v>416</v>
      </c>
      <c r="D1629" s="714" t="s">
        <v>502</v>
      </c>
      <c r="E1629" s="715">
        <v>2021.0</v>
      </c>
      <c r="F1629" s="742" t="s">
        <v>418</v>
      </c>
      <c r="G1629" s="742" t="s">
        <v>50</v>
      </c>
      <c r="H1629" s="716">
        <v>313432.0</v>
      </c>
      <c r="I1629" s="716">
        <v>348136.0</v>
      </c>
      <c r="J1629" s="717">
        <v>276855.0</v>
      </c>
      <c r="K1629" s="64"/>
      <c r="CE1629" s="460"/>
    </row>
    <row r="1630">
      <c r="A1630" s="63"/>
      <c r="B1630" s="701" t="s">
        <v>533</v>
      </c>
      <c r="C1630" s="743" t="s">
        <v>416</v>
      </c>
      <c r="D1630" s="703" t="s">
        <v>505</v>
      </c>
      <c r="E1630" s="704">
        <v>2021.0</v>
      </c>
      <c r="F1630" s="743" t="s">
        <v>418</v>
      </c>
      <c r="G1630" s="743" t="s">
        <v>50</v>
      </c>
      <c r="H1630" s="705">
        <v>232212.0</v>
      </c>
      <c r="I1630" s="705">
        <v>257923.0</v>
      </c>
      <c r="J1630" s="706">
        <v>205113.0</v>
      </c>
      <c r="K1630" s="64"/>
      <c r="CE1630" s="460"/>
    </row>
    <row r="1631">
      <c r="A1631" s="63"/>
      <c r="B1631" s="712" t="s">
        <v>533</v>
      </c>
      <c r="C1631" s="742" t="s">
        <v>416</v>
      </c>
      <c r="D1631" s="714" t="s">
        <v>508</v>
      </c>
      <c r="E1631" s="715">
        <v>2021.0</v>
      </c>
      <c r="F1631" s="742" t="s">
        <v>418</v>
      </c>
      <c r="G1631" s="742" t="s">
        <v>50</v>
      </c>
      <c r="H1631" s="716">
        <v>228596.0</v>
      </c>
      <c r="I1631" s="716">
        <v>253907.0</v>
      </c>
      <c r="J1631" s="717">
        <v>201919.0</v>
      </c>
      <c r="K1631" s="64"/>
      <c r="CE1631" s="460"/>
    </row>
    <row r="1632">
      <c r="A1632" s="63"/>
      <c r="B1632" s="701" t="s">
        <v>533</v>
      </c>
      <c r="C1632" s="743" t="s">
        <v>416</v>
      </c>
      <c r="D1632" s="703" t="s">
        <v>511</v>
      </c>
      <c r="E1632" s="704">
        <v>2021.0</v>
      </c>
      <c r="F1632" s="743" t="s">
        <v>418</v>
      </c>
      <c r="G1632" s="743" t="s">
        <v>50</v>
      </c>
      <c r="H1632" s="705">
        <v>354070.0</v>
      </c>
      <c r="I1632" s="705">
        <v>393273.0</v>
      </c>
      <c r="J1632" s="706">
        <v>312750.0</v>
      </c>
      <c r="K1632" s="64"/>
      <c r="CE1632" s="460"/>
    </row>
    <row r="1633">
      <c r="A1633" s="63"/>
      <c r="B1633" s="712" t="s">
        <v>533</v>
      </c>
      <c r="C1633" s="742" t="s">
        <v>416</v>
      </c>
      <c r="D1633" s="714" t="s">
        <v>514</v>
      </c>
      <c r="E1633" s="715">
        <v>2021.0</v>
      </c>
      <c r="F1633" s="742" t="s">
        <v>418</v>
      </c>
      <c r="G1633" s="742" t="s">
        <v>50</v>
      </c>
      <c r="H1633" s="716">
        <v>156773.0</v>
      </c>
      <c r="I1633" s="716">
        <v>174131.0</v>
      </c>
      <c r="J1633" s="717">
        <v>138478.0</v>
      </c>
      <c r="K1633" s="64"/>
      <c r="CE1633" s="460"/>
    </row>
    <row r="1634">
      <c r="A1634" s="63"/>
      <c r="B1634" s="701" t="s">
        <v>533</v>
      </c>
      <c r="C1634" s="743" t="s">
        <v>416</v>
      </c>
      <c r="D1634" s="703" t="s">
        <v>439</v>
      </c>
      <c r="E1634" s="704">
        <v>2021.0</v>
      </c>
      <c r="F1634" s="743" t="s">
        <v>418</v>
      </c>
      <c r="G1634" s="743" t="s">
        <v>50</v>
      </c>
      <c r="H1634" s="705">
        <v>27113.0</v>
      </c>
      <c r="I1634" s="705">
        <v>30115.0</v>
      </c>
      <c r="J1634" s="706">
        <v>23949.0</v>
      </c>
      <c r="K1634" s="64"/>
      <c r="CE1634" s="460"/>
    </row>
    <row r="1635">
      <c r="A1635" s="63"/>
      <c r="B1635" s="712" t="s">
        <v>533</v>
      </c>
      <c r="C1635" s="742" t="s">
        <v>416</v>
      </c>
      <c r="D1635" s="714" t="s">
        <v>517</v>
      </c>
      <c r="E1635" s="715">
        <v>2021.0</v>
      </c>
      <c r="F1635" s="742" t="s">
        <v>418</v>
      </c>
      <c r="G1635" s="742" t="s">
        <v>50</v>
      </c>
      <c r="H1635" s="716">
        <v>104250.0</v>
      </c>
      <c r="I1635" s="716">
        <v>115793.0</v>
      </c>
      <c r="J1635" s="717">
        <v>92084.0</v>
      </c>
      <c r="K1635" s="64"/>
      <c r="CE1635" s="460"/>
    </row>
    <row r="1636">
      <c r="A1636" s="63"/>
      <c r="B1636" s="701" t="s">
        <v>533</v>
      </c>
      <c r="C1636" s="743" t="s">
        <v>416</v>
      </c>
      <c r="D1636" s="703" t="s">
        <v>520</v>
      </c>
      <c r="E1636" s="704">
        <v>2021.0</v>
      </c>
      <c r="F1636" s="743" t="s">
        <v>418</v>
      </c>
      <c r="G1636" s="743" t="s">
        <v>50</v>
      </c>
      <c r="H1636" s="705">
        <v>93047.0</v>
      </c>
      <c r="I1636" s="705">
        <v>103349.0</v>
      </c>
      <c r="J1636" s="706">
        <v>82188.0</v>
      </c>
      <c r="K1636" s="64"/>
      <c r="CE1636" s="460"/>
    </row>
    <row r="1637">
      <c r="A1637" s="63"/>
      <c r="B1637" s="712" t="s">
        <v>533</v>
      </c>
      <c r="C1637" s="742" t="s">
        <v>416</v>
      </c>
      <c r="D1637" s="714" t="s">
        <v>521</v>
      </c>
      <c r="E1637" s="715">
        <v>2021.0</v>
      </c>
      <c r="F1637" s="742" t="s">
        <v>418</v>
      </c>
      <c r="G1637" s="742" t="s">
        <v>50</v>
      </c>
      <c r="H1637" s="716">
        <v>57697.0</v>
      </c>
      <c r="I1637" s="716">
        <v>64085.0</v>
      </c>
      <c r="J1637" s="717">
        <v>50963.0</v>
      </c>
      <c r="K1637" s="64"/>
      <c r="CE1637" s="460"/>
    </row>
    <row r="1638">
      <c r="A1638" s="63"/>
      <c r="B1638" s="701" t="s">
        <v>533</v>
      </c>
      <c r="C1638" s="743" t="s">
        <v>416</v>
      </c>
      <c r="D1638" s="703" t="s">
        <v>524</v>
      </c>
      <c r="E1638" s="704">
        <v>2021.0</v>
      </c>
      <c r="F1638" s="743" t="s">
        <v>418</v>
      </c>
      <c r="G1638" s="743" t="s">
        <v>50</v>
      </c>
      <c r="H1638" s="705">
        <v>25407.0</v>
      </c>
      <c r="I1638" s="705">
        <v>28221.0</v>
      </c>
      <c r="J1638" s="706">
        <v>22442.0</v>
      </c>
      <c r="K1638" s="64"/>
      <c r="CE1638" s="460"/>
    </row>
    <row r="1639">
      <c r="A1639" s="63"/>
      <c r="B1639" s="712" t="s">
        <v>533</v>
      </c>
      <c r="C1639" s="742" t="s">
        <v>416</v>
      </c>
      <c r="D1639" s="714" t="s">
        <v>527</v>
      </c>
      <c r="E1639" s="715">
        <v>2021.0</v>
      </c>
      <c r="F1639" s="742" t="s">
        <v>418</v>
      </c>
      <c r="G1639" s="742" t="s">
        <v>50</v>
      </c>
      <c r="H1639" s="716">
        <v>8023.0</v>
      </c>
      <c r="I1639" s="716">
        <v>8912.0</v>
      </c>
      <c r="J1639" s="717">
        <v>7087.0</v>
      </c>
      <c r="K1639" s="64"/>
      <c r="CE1639" s="460"/>
    </row>
    <row r="1640">
      <c r="A1640" s="63"/>
      <c r="B1640" s="701" t="s">
        <v>533</v>
      </c>
      <c r="C1640" s="743" t="s">
        <v>416</v>
      </c>
      <c r="D1640" s="703" t="s">
        <v>529</v>
      </c>
      <c r="E1640" s="704">
        <v>2021.0</v>
      </c>
      <c r="F1640" s="743" t="s">
        <v>418</v>
      </c>
      <c r="G1640" s="743" t="s">
        <v>50</v>
      </c>
      <c r="H1640" s="705">
        <v>1919.0</v>
      </c>
      <c r="I1640" s="705">
        <v>2132.0</v>
      </c>
      <c r="J1640" s="706">
        <v>1695.0</v>
      </c>
      <c r="K1640" s="64"/>
      <c r="CE1640" s="460"/>
    </row>
    <row r="1641">
      <c r="A1641" s="63"/>
      <c r="B1641" s="712" t="s">
        <v>533</v>
      </c>
      <c r="C1641" s="742" t="s">
        <v>416</v>
      </c>
      <c r="D1641" s="714" t="s">
        <v>443</v>
      </c>
      <c r="E1641" s="715">
        <v>2021.0</v>
      </c>
      <c r="F1641" s="742" t="s">
        <v>418</v>
      </c>
      <c r="G1641" s="742" t="s">
        <v>50</v>
      </c>
      <c r="H1641" s="716">
        <v>1.5859552E7</v>
      </c>
      <c r="I1641" s="716">
        <v>1.7615561E7</v>
      </c>
      <c r="J1641" s="717">
        <v>1.4008754E7</v>
      </c>
      <c r="K1641" s="64"/>
      <c r="CE1641" s="460"/>
    </row>
    <row r="1642">
      <c r="A1642" s="63"/>
      <c r="B1642" s="701" t="s">
        <v>534</v>
      </c>
      <c r="C1642" s="743" t="s">
        <v>416</v>
      </c>
      <c r="D1642" s="703" t="s">
        <v>417</v>
      </c>
      <c r="E1642" s="704">
        <v>2021.0</v>
      </c>
      <c r="F1642" s="743" t="s">
        <v>418</v>
      </c>
      <c r="G1642" s="743" t="s">
        <v>50</v>
      </c>
      <c r="H1642" s="705">
        <v>286290.0</v>
      </c>
      <c r="I1642" s="705">
        <v>316677.0</v>
      </c>
      <c r="J1642" s="706">
        <v>256480.0</v>
      </c>
      <c r="K1642" s="64"/>
      <c r="CE1642" s="460"/>
    </row>
    <row r="1643">
      <c r="A1643" s="63"/>
      <c r="B1643" s="712" t="s">
        <v>534</v>
      </c>
      <c r="C1643" s="742" t="s">
        <v>416</v>
      </c>
      <c r="D1643" s="714" t="s">
        <v>431</v>
      </c>
      <c r="E1643" s="715">
        <v>2021.0</v>
      </c>
      <c r="F1643" s="742" t="s">
        <v>418</v>
      </c>
      <c r="G1643" s="742" t="s">
        <v>50</v>
      </c>
      <c r="H1643" s="716">
        <v>4550663.0</v>
      </c>
      <c r="I1643" s="716">
        <v>5033668.0</v>
      </c>
      <c r="J1643" s="717">
        <v>4076822.0</v>
      </c>
      <c r="K1643" s="64"/>
      <c r="CE1643" s="460"/>
    </row>
    <row r="1644">
      <c r="A1644" s="63"/>
      <c r="B1644" s="701" t="s">
        <v>534</v>
      </c>
      <c r="C1644" s="743" t="s">
        <v>416</v>
      </c>
      <c r="D1644" s="703" t="s">
        <v>438</v>
      </c>
      <c r="E1644" s="704">
        <v>2021.0</v>
      </c>
      <c r="F1644" s="743" t="s">
        <v>418</v>
      </c>
      <c r="G1644" s="743" t="s">
        <v>50</v>
      </c>
      <c r="H1644" s="705">
        <v>22672.0</v>
      </c>
      <c r="I1644" s="705">
        <v>25078.0</v>
      </c>
      <c r="J1644" s="706">
        <v>20311.0</v>
      </c>
      <c r="K1644" s="64"/>
      <c r="CE1644" s="460"/>
    </row>
    <row r="1645">
      <c r="A1645" s="63"/>
      <c r="B1645" s="712" t="s">
        <v>534</v>
      </c>
      <c r="C1645" s="742" t="s">
        <v>416</v>
      </c>
      <c r="D1645" s="714" t="s">
        <v>421</v>
      </c>
      <c r="E1645" s="715">
        <v>2021.0</v>
      </c>
      <c r="F1645" s="742" t="s">
        <v>418</v>
      </c>
      <c r="G1645" s="742" t="s">
        <v>50</v>
      </c>
      <c r="H1645" s="716">
        <v>1342952.0</v>
      </c>
      <c r="I1645" s="716">
        <v>1485492.0</v>
      </c>
      <c r="J1645" s="717">
        <v>1203116.0</v>
      </c>
      <c r="K1645" s="64"/>
      <c r="CE1645" s="460"/>
    </row>
    <row r="1646">
      <c r="A1646" s="63"/>
      <c r="B1646" s="701" t="s">
        <v>534</v>
      </c>
      <c r="C1646" s="743" t="s">
        <v>416</v>
      </c>
      <c r="D1646" s="703" t="s">
        <v>447</v>
      </c>
      <c r="E1646" s="704">
        <v>2021.0</v>
      </c>
      <c r="F1646" s="743" t="s">
        <v>418</v>
      </c>
      <c r="G1646" s="743" t="s">
        <v>50</v>
      </c>
      <c r="H1646" s="705">
        <v>3576207.0</v>
      </c>
      <c r="I1646" s="705">
        <v>3955784.0</v>
      </c>
      <c r="J1646" s="706">
        <v>3203832.0</v>
      </c>
      <c r="K1646" s="64"/>
      <c r="CE1646" s="460"/>
    </row>
    <row r="1647">
      <c r="A1647" s="63"/>
      <c r="B1647" s="712" t="s">
        <v>534</v>
      </c>
      <c r="C1647" s="742" t="s">
        <v>416</v>
      </c>
      <c r="D1647" s="714" t="s">
        <v>432</v>
      </c>
      <c r="E1647" s="715">
        <v>2021.0</v>
      </c>
      <c r="F1647" s="742" t="s">
        <v>418</v>
      </c>
      <c r="G1647" s="742" t="s">
        <v>50</v>
      </c>
      <c r="H1647" s="716">
        <v>5736.0</v>
      </c>
      <c r="I1647" s="716">
        <v>6345.0</v>
      </c>
      <c r="J1647" s="717">
        <v>5139.0</v>
      </c>
      <c r="K1647" s="64"/>
      <c r="CE1647" s="460"/>
    </row>
    <row r="1648">
      <c r="A1648" s="63"/>
      <c r="B1648" s="701" t="s">
        <v>534</v>
      </c>
      <c r="C1648" s="743" t="s">
        <v>416</v>
      </c>
      <c r="D1648" s="703" t="s">
        <v>450</v>
      </c>
      <c r="E1648" s="704">
        <v>2021.0</v>
      </c>
      <c r="F1648" s="743" t="s">
        <v>418</v>
      </c>
      <c r="G1648" s="743" t="s">
        <v>50</v>
      </c>
      <c r="H1648" s="705">
        <v>1053009.0</v>
      </c>
      <c r="I1648" s="705">
        <v>1164775.0</v>
      </c>
      <c r="J1648" s="706">
        <v>943364.0</v>
      </c>
      <c r="K1648" s="64"/>
      <c r="CE1648" s="460"/>
    </row>
    <row r="1649">
      <c r="A1649" s="63"/>
      <c r="B1649" s="712" t="s">
        <v>534</v>
      </c>
      <c r="C1649" s="742" t="s">
        <v>416</v>
      </c>
      <c r="D1649" s="714" t="s">
        <v>453</v>
      </c>
      <c r="E1649" s="715">
        <v>2021.0</v>
      </c>
      <c r="F1649" s="742" t="s">
        <v>418</v>
      </c>
      <c r="G1649" s="742" t="s">
        <v>50</v>
      </c>
      <c r="H1649" s="716">
        <v>2027465.0</v>
      </c>
      <c r="I1649" s="716">
        <v>2242659.0</v>
      </c>
      <c r="J1649" s="717">
        <v>1816354.0</v>
      </c>
      <c r="K1649" s="64"/>
      <c r="CE1649" s="460"/>
    </row>
    <row r="1650">
      <c r="A1650" s="63"/>
      <c r="B1650" s="701" t="s">
        <v>534</v>
      </c>
      <c r="C1650" s="743" t="s">
        <v>416</v>
      </c>
      <c r="D1650" s="703" t="s">
        <v>454</v>
      </c>
      <c r="E1650" s="704">
        <v>2021.0</v>
      </c>
      <c r="F1650" s="743" t="s">
        <v>418</v>
      </c>
      <c r="G1650" s="743" t="s">
        <v>50</v>
      </c>
      <c r="H1650" s="705">
        <v>2909779.0</v>
      </c>
      <c r="I1650" s="705">
        <v>3218622.0</v>
      </c>
      <c r="J1650" s="706">
        <v>2606797.0</v>
      </c>
      <c r="K1650" s="64"/>
      <c r="CE1650" s="460"/>
    </row>
    <row r="1651">
      <c r="A1651" s="63"/>
      <c r="B1651" s="712" t="s">
        <v>534</v>
      </c>
      <c r="C1651" s="742" t="s">
        <v>416</v>
      </c>
      <c r="D1651" s="714" t="s">
        <v>457</v>
      </c>
      <c r="E1651" s="715">
        <v>2021.0</v>
      </c>
      <c r="F1651" s="742" t="s">
        <v>418</v>
      </c>
      <c r="G1651" s="742" t="s">
        <v>50</v>
      </c>
      <c r="H1651" s="716">
        <v>274435.0</v>
      </c>
      <c r="I1651" s="716">
        <v>303564.0</v>
      </c>
      <c r="J1651" s="717">
        <v>245860.0</v>
      </c>
      <c r="K1651" s="64"/>
      <c r="CE1651" s="460"/>
    </row>
    <row r="1652">
      <c r="A1652" s="63"/>
      <c r="B1652" s="701" t="s">
        <v>534</v>
      </c>
      <c r="C1652" s="743" t="s">
        <v>416</v>
      </c>
      <c r="D1652" s="703" t="s">
        <v>460</v>
      </c>
      <c r="E1652" s="704">
        <v>2021.0</v>
      </c>
      <c r="F1652" s="743" t="s">
        <v>418</v>
      </c>
      <c r="G1652" s="743" t="s">
        <v>50</v>
      </c>
      <c r="H1652" s="705">
        <v>123010.0</v>
      </c>
      <c r="I1652" s="705">
        <v>136067.0</v>
      </c>
      <c r="J1652" s="706">
        <v>110202.0</v>
      </c>
      <c r="K1652" s="64"/>
      <c r="CE1652" s="460"/>
    </row>
    <row r="1653">
      <c r="A1653" s="63"/>
      <c r="B1653" s="712" t="s">
        <v>534</v>
      </c>
      <c r="C1653" s="742" t="s">
        <v>416</v>
      </c>
      <c r="D1653" s="714" t="s">
        <v>463</v>
      </c>
      <c r="E1653" s="715">
        <v>2021.0</v>
      </c>
      <c r="F1653" s="742" t="s">
        <v>418</v>
      </c>
      <c r="G1653" s="742" t="s">
        <v>50</v>
      </c>
      <c r="H1653" s="716">
        <v>974456.0</v>
      </c>
      <c r="I1653" s="716">
        <v>1077884.0</v>
      </c>
      <c r="J1653" s="717">
        <v>872990.0</v>
      </c>
      <c r="K1653" s="64"/>
      <c r="CE1653" s="460"/>
    </row>
    <row r="1654">
      <c r="A1654" s="63"/>
      <c r="B1654" s="701" t="s">
        <v>534</v>
      </c>
      <c r="C1654" s="743" t="s">
        <v>416</v>
      </c>
      <c r="D1654" s="703" t="s">
        <v>465</v>
      </c>
      <c r="E1654" s="704">
        <v>2021.0</v>
      </c>
      <c r="F1654" s="743" t="s">
        <v>418</v>
      </c>
      <c r="G1654" s="743" t="s">
        <v>50</v>
      </c>
      <c r="H1654" s="705">
        <v>4446641.0</v>
      </c>
      <c r="I1654" s="705">
        <v>4918605.0</v>
      </c>
      <c r="J1654" s="706">
        <v>3983632.0</v>
      </c>
      <c r="K1654" s="64"/>
      <c r="CE1654" s="460"/>
    </row>
    <row r="1655">
      <c r="A1655" s="63"/>
      <c r="B1655" s="712" t="s">
        <v>534</v>
      </c>
      <c r="C1655" s="742" t="s">
        <v>416</v>
      </c>
      <c r="D1655" s="714" t="s">
        <v>468</v>
      </c>
      <c r="E1655" s="715">
        <v>2021.0</v>
      </c>
      <c r="F1655" s="742" t="s">
        <v>418</v>
      </c>
      <c r="G1655" s="742" t="s">
        <v>50</v>
      </c>
      <c r="H1655" s="716">
        <v>882315.0</v>
      </c>
      <c r="I1655" s="716">
        <v>975963.0</v>
      </c>
      <c r="J1655" s="717">
        <v>790443.0</v>
      </c>
      <c r="K1655" s="64"/>
      <c r="CE1655" s="460"/>
    </row>
    <row r="1656">
      <c r="A1656" s="63"/>
      <c r="B1656" s="701" t="s">
        <v>534</v>
      </c>
      <c r="C1656" s="743" t="s">
        <v>416</v>
      </c>
      <c r="D1656" s="703" t="s">
        <v>471</v>
      </c>
      <c r="E1656" s="704">
        <v>2021.0</v>
      </c>
      <c r="F1656" s="743" t="s">
        <v>418</v>
      </c>
      <c r="G1656" s="743" t="s">
        <v>50</v>
      </c>
      <c r="H1656" s="705">
        <v>782226.0</v>
      </c>
      <c r="I1656" s="705">
        <v>865251.0</v>
      </c>
      <c r="J1656" s="706">
        <v>700776.0</v>
      </c>
      <c r="K1656" s="64"/>
      <c r="CE1656" s="460"/>
    </row>
    <row r="1657">
      <c r="A1657" s="63"/>
      <c r="B1657" s="712" t="s">
        <v>534</v>
      </c>
      <c r="C1657" s="742" t="s">
        <v>416</v>
      </c>
      <c r="D1657" s="714" t="s">
        <v>473</v>
      </c>
      <c r="E1657" s="715">
        <v>2021.0</v>
      </c>
      <c r="F1657" s="742" t="s">
        <v>418</v>
      </c>
      <c r="G1657" s="742" t="s">
        <v>50</v>
      </c>
      <c r="H1657" s="716">
        <v>3434285.0</v>
      </c>
      <c r="I1657" s="716">
        <v>3798798.0</v>
      </c>
      <c r="J1657" s="717">
        <v>3076688.0</v>
      </c>
      <c r="K1657" s="64"/>
      <c r="CE1657" s="460"/>
    </row>
    <row r="1658">
      <c r="A1658" s="63"/>
      <c r="B1658" s="701" t="s">
        <v>534</v>
      </c>
      <c r="C1658" s="743" t="s">
        <v>416</v>
      </c>
      <c r="D1658" s="703" t="s">
        <v>476</v>
      </c>
      <c r="E1658" s="704">
        <v>2021.0</v>
      </c>
      <c r="F1658" s="743" t="s">
        <v>418</v>
      </c>
      <c r="G1658" s="743" t="s">
        <v>50</v>
      </c>
      <c r="H1658" s="705">
        <v>750859.0</v>
      </c>
      <c r="I1658" s="705">
        <v>830554.0</v>
      </c>
      <c r="J1658" s="706">
        <v>672675.0</v>
      </c>
      <c r="K1658" s="64"/>
      <c r="CE1658" s="460"/>
    </row>
    <row r="1659">
      <c r="A1659" s="63"/>
      <c r="B1659" s="712" t="s">
        <v>534</v>
      </c>
      <c r="C1659" s="742" t="s">
        <v>416</v>
      </c>
      <c r="D1659" s="714" t="s">
        <v>479</v>
      </c>
      <c r="E1659" s="715">
        <v>2021.0</v>
      </c>
      <c r="F1659" s="742" t="s">
        <v>418</v>
      </c>
      <c r="G1659" s="742" t="s">
        <v>50</v>
      </c>
      <c r="H1659" s="716">
        <v>628956.0</v>
      </c>
      <c r="I1659" s="716">
        <v>695713.0</v>
      </c>
      <c r="J1659" s="717">
        <v>563465.0</v>
      </c>
      <c r="K1659" s="64"/>
      <c r="CE1659" s="460"/>
    </row>
    <row r="1660">
      <c r="A1660" s="63"/>
      <c r="B1660" s="701" t="s">
        <v>534</v>
      </c>
      <c r="C1660" s="743" t="s">
        <v>416</v>
      </c>
      <c r="D1660" s="703" t="s">
        <v>482</v>
      </c>
      <c r="E1660" s="704">
        <v>2021.0</v>
      </c>
      <c r="F1660" s="743" t="s">
        <v>418</v>
      </c>
      <c r="G1660" s="743" t="s">
        <v>50</v>
      </c>
      <c r="H1660" s="705">
        <v>493150.0</v>
      </c>
      <c r="I1660" s="705">
        <v>545493.0</v>
      </c>
      <c r="J1660" s="706">
        <v>441801.0</v>
      </c>
      <c r="K1660" s="64"/>
      <c r="BS1660" s="750"/>
      <c r="BT1660" s="750"/>
      <c r="BU1660" s="750"/>
      <c r="BV1660" s="750"/>
      <c r="BW1660" s="750"/>
      <c r="BX1660" s="750"/>
      <c r="BY1660" s="750"/>
      <c r="BZ1660" s="750"/>
      <c r="CA1660" s="750"/>
      <c r="CB1660" s="750"/>
      <c r="CC1660" s="750"/>
      <c r="CD1660" s="750"/>
      <c r="CE1660" s="460"/>
    </row>
    <row r="1661">
      <c r="A1661" s="63"/>
      <c r="B1661" s="712" t="s">
        <v>534</v>
      </c>
      <c r="C1661" s="742" t="s">
        <v>416</v>
      </c>
      <c r="D1661" s="714" t="s">
        <v>485</v>
      </c>
      <c r="E1661" s="715">
        <v>2021.0</v>
      </c>
      <c r="F1661" s="742" t="s">
        <v>418</v>
      </c>
      <c r="G1661" s="742" t="s">
        <v>50</v>
      </c>
      <c r="H1661" s="716">
        <v>406763.0</v>
      </c>
      <c r="I1661" s="716">
        <v>449937.0</v>
      </c>
      <c r="J1661" s="717">
        <v>364409.0</v>
      </c>
      <c r="K1661" s="64"/>
      <c r="CE1661" s="460"/>
    </row>
    <row r="1662">
      <c r="A1662" s="63"/>
      <c r="B1662" s="701" t="s">
        <v>534</v>
      </c>
      <c r="C1662" s="743" t="s">
        <v>416</v>
      </c>
      <c r="D1662" s="703" t="s">
        <v>488</v>
      </c>
      <c r="E1662" s="704">
        <v>2021.0</v>
      </c>
      <c r="F1662" s="743" t="s">
        <v>418</v>
      </c>
      <c r="G1662" s="743" t="s">
        <v>50</v>
      </c>
      <c r="H1662" s="705">
        <v>310143.0</v>
      </c>
      <c r="I1662" s="705">
        <v>343061.0</v>
      </c>
      <c r="J1662" s="706">
        <v>277849.0</v>
      </c>
      <c r="K1662" s="64"/>
      <c r="CE1662" s="460"/>
    </row>
    <row r="1663">
      <c r="A1663" s="63"/>
      <c r="B1663" s="712" t="s">
        <v>534</v>
      </c>
      <c r="C1663" s="742" t="s">
        <v>416</v>
      </c>
      <c r="D1663" s="714" t="s">
        <v>491</v>
      </c>
      <c r="E1663" s="715">
        <v>2021.0</v>
      </c>
      <c r="F1663" s="742" t="s">
        <v>418</v>
      </c>
      <c r="G1663" s="742" t="s">
        <v>50</v>
      </c>
      <c r="H1663" s="716">
        <v>240331.0</v>
      </c>
      <c r="I1663" s="716">
        <v>265839.0</v>
      </c>
      <c r="J1663" s="717">
        <v>215306.0</v>
      </c>
      <c r="K1663" s="64"/>
      <c r="CE1663" s="460"/>
    </row>
    <row r="1664">
      <c r="A1664" s="63"/>
      <c r="B1664" s="701" t="s">
        <v>534</v>
      </c>
      <c r="C1664" s="743" t="s">
        <v>416</v>
      </c>
      <c r="D1664" s="703" t="s">
        <v>493</v>
      </c>
      <c r="E1664" s="704">
        <v>2021.0</v>
      </c>
      <c r="F1664" s="743" t="s">
        <v>418</v>
      </c>
      <c r="G1664" s="743" t="s">
        <v>50</v>
      </c>
      <c r="H1664" s="705">
        <v>672947.0</v>
      </c>
      <c r="I1664" s="705">
        <v>744373.0</v>
      </c>
      <c r="J1664" s="706">
        <v>602876.0</v>
      </c>
      <c r="K1664" s="64"/>
      <c r="CE1664" s="460"/>
    </row>
    <row r="1665">
      <c r="A1665" s="63"/>
      <c r="B1665" s="712" t="s">
        <v>534</v>
      </c>
      <c r="C1665" s="742" t="s">
        <v>416</v>
      </c>
      <c r="D1665" s="714" t="s">
        <v>434</v>
      </c>
      <c r="E1665" s="715">
        <v>2021.0</v>
      </c>
      <c r="F1665" s="742" t="s">
        <v>418</v>
      </c>
      <c r="G1665" s="742" t="s">
        <v>50</v>
      </c>
      <c r="H1665" s="716">
        <v>2233255.0</v>
      </c>
      <c r="I1665" s="716">
        <v>2470292.0</v>
      </c>
      <c r="J1665" s="717">
        <v>2000716.0</v>
      </c>
      <c r="K1665" s="64"/>
      <c r="CE1665" s="460"/>
    </row>
    <row r="1666">
      <c r="A1666" s="63"/>
      <c r="B1666" s="701" t="s">
        <v>534</v>
      </c>
      <c r="C1666" s="743" t="s">
        <v>416</v>
      </c>
      <c r="D1666" s="703" t="s">
        <v>497</v>
      </c>
      <c r="E1666" s="704">
        <v>2021.0</v>
      </c>
      <c r="F1666" s="743" t="s">
        <v>418</v>
      </c>
      <c r="G1666" s="743" t="s">
        <v>50</v>
      </c>
      <c r="H1666" s="705">
        <v>185646.0</v>
      </c>
      <c r="I1666" s="705">
        <v>205351.0</v>
      </c>
      <c r="J1666" s="706">
        <v>166316.0</v>
      </c>
      <c r="K1666" s="64"/>
      <c r="CE1666" s="460"/>
    </row>
    <row r="1667">
      <c r="A1667" s="63"/>
      <c r="B1667" s="712" t="s">
        <v>534</v>
      </c>
      <c r="C1667" s="742" t="s">
        <v>416</v>
      </c>
      <c r="D1667" s="714" t="s">
        <v>500</v>
      </c>
      <c r="E1667" s="715">
        <v>2021.0</v>
      </c>
      <c r="F1667" s="742" t="s">
        <v>418</v>
      </c>
      <c r="G1667" s="742" t="s">
        <v>50</v>
      </c>
      <c r="H1667" s="716">
        <v>1180246.0</v>
      </c>
      <c r="I1667" s="716">
        <v>1305517.0</v>
      </c>
      <c r="J1667" s="717">
        <v>1057352.0</v>
      </c>
      <c r="K1667" s="64"/>
      <c r="CE1667" s="460"/>
    </row>
    <row r="1668">
      <c r="A1668" s="63"/>
      <c r="B1668" s="701" t="s">
        <v>534</v>
      </c>
      <c r="C1668" s="743" t="s">
        <v>416</v>
      </c>
      <c r="D1668" s="703" t="s">
        <v>502</v>
      </c>
      <c r="E1668" s="704">
        <v>2021.0</v>
      </c>
      <c r="F1668" s="743" t="s">
        <v>418</v>
      </c>
      <c r="G1668" s="743" t="s">
        <v>50</v>
      </c>
      <c r="H1668" s="705">
        <v>142325.0</v>
      </c>
      <c r="I1668" s="705">
        <v>157431.0</v>
      </c>
      <c r="J1668" s="706">
        <v>127505.0</v>
      </c>
      <c r="K1668" s="64"/>
      <c r="CE1668" s="460"/>
    </row>
    <row r="1669">
      <c r="A1669" s="63"/>
      <c r="B1669" s="712" t="s">
        <v>534</v>
      </c>
      <c r="C1669" s="742" t="s">
        <v>416</v>
      </c>
      <c r="D1669" s="714" t="s">
        <v>505</v>
      </c>
      <c r="E1669" s="715">
        <v>2021.0</v>
      </c>
      <c r="F1669" s="742" t="s">
        <v>418</v>
      </c>
      <c r="G1669" s="742" t="s">
        <v>50</v>
      </c>
      <c r="H1669" s="716">
        <v>140608.0</v>
      </c>
      <c r="I1669" s="716">
        <v>155533.0</v>
      </c>
      <c r="J1669" s="717">
        <v>125968.0</v>
      </c>
      <c r="K1669" s="64"/>
      <c r="CE1669" s="460"/>
    </row>
    <row r="1670">
      <c r="A1670" s="63"/>
      <c r="B1670" s="701" t="s">
        <v>534</v>
      </c>
      <c r="C1670" s="743" t="s">
        <v>416</v>
      </c>
      <c r="D1670" s="703" t="s">
        <v>508</v>
      </c>
      <c r="E1670" s="704">
        <v>2021.0</v>
      </c>
      <c r="F1670" s="743" t="s">
        <v>418</v>
      </c>
      <c r="G1670" s="743" t="s">
        <v>50</v>
      </c>
      <c r="H1670" s="705">
        <v>104646.0</v>
      </c>
      <c r="I1670" s="705">
        <v>115753.0</v>
      </c>
      <c r="J1670" s="706">
        <v>93749.0</v>
      </c>
      <c r="K1670" s="64"/>
      <c r="CE1670" s="460"/>
    </row>
    <row r="1671">
      <c r="A1671" s="63"/>
      <c r="B1671" s="712" t="s">
        <v>534</v>
      </c>
      <c r="C1671" s="742" t="s">
        <v>416</v>
      </c>
      <c r="D1671" s="714" t="s">
        <v>511</v>
      </c>
      <c r="E1671" s="715">
        <v>2021.0</v>
      </c>
      <c r="F1671" s="742" t="s">
        <v>418</v>
      </c>
      <c r="G1671" s="742" t="s">
        <v>50</v>
      </c>
      <c r="H1671" s="716">
        <v>171467.0</v>
      </c>
      <c r="I1671" s="716">
        <v>189667.0</v>
      </c>
      <c r="J1671" s="717">
        <v>153613.0</v>
      </c>
      <c r="K1671" s="64"/>
      <c r="CE1671" s="460"/>
    </row>
    <row r="1672">
      <c r="A1672" s="63"/>
      <c r="B1672" s="701" t="s">
        <v>534</v>
      </c>
      <c r="C1672" s="743" t="s">
        <v>416</v>
      </c>
      <c r="D1672" s="703" t="s">
        <v>514</v>
      </c>
      <c r="E1672" s="704">
        <v>2021.0</v>
      </c>
      <c r="F1672" s="743" t="s">
        <v>418</v>
      </c>
      <c r="G1672" s="743" t="s">
        <v>50</v>
      </c>
      <c r="H1672" s="705">
        <v>75227.0</v>
      </c>
      <c r="I1672" s="705">
        <v>83212.0</v>
      </c>
      <c r="J1672" s="706">
        <v>67394.0</v>
      </c>
      <c r="K1672" s="64"/>
      <c r="CE1672" s="460"/>
    </row>
    <row r="1673">
      <c r="A1673" s="63"/>
      <c r="B1673" s="712" t="s">
        <v>534</v>
      </c>
      <c r="C1673" s="742" t="s">
        <v>416</v>
      </c>
      <c r="D1673" s="714" t="s">
        <v>439</v>
      </c>
      <c r="E1673" s="715">
        <v>2021.0</v>
      </c>
      <c r="F1673" s="742" t="s">
        <v>418</v>
      </c>
      <c r="G1673" s="742" t="s">
        <v>50</v>
      </c>
      <c r="H1673" s="716">
        <v>16935.0</v>
      </c>
      <c r="I1673" s="716">
        <v>18733.0</v>
      </c>
      <c r="J1673" s="717">
        <v>15172.0</v>
      </c>
      <c r="K1673" s="64"/>
      <c r="CE1673" s="460"/>
    </row>
    <row r="1674">
      <c r="A1674" s="63"/>
      <c r="B1674" s="701" t="s">
        <v>534</v>
      </c>
      <c r="C1674" s="743" t="s">
        <v>416</v>
      </c>
      <c r="D1674" s="703" t="s">
        <v>517</v>
      </c>
      <c r="E1674" s="704">
        <v>2021.0</v>
      </c>
      <c r="F1674" s="743" t="s">
        <v>418</v>
      </c>
      <c r="G1674" s="743" t="s">
        <v>50</v>
      </c>
      <c r="H1674" s="705">
        <v>52656.0</v>
      </c>
      <c r="I1674" s="705">
        <v>58245.0</v>
      </c>
      <c r="J1674" s="706">
        <v>47173.0</v>
      </c>
      <c r="K1674" s="64"/>
      <c r="CE1674" s="460"/>
    </row>
    <row r="1675">
      <c r="A1675" s="63"/>
      <c r="B1675" s="712" t="s">
        <v>534</v>
      </c>
      <c r="C1675" s="742" t="s">
        <v>416</v>
      </c>
      <c r="D1675" s="714" t="s">
        <v>520</v>
      </c>
      <c r="E1675" s="715">
        <v>2021.0</v>
      </c>
      <c r="F1675" s="742" t="s">
        <v>418</v>
      </c>
      <c r="G1675" s="742" t="s">
        <v>50</v>
      </c>
      <c r="H1675" s="716">
        <v>43584.0</v>
      </c>
      <c r="I1675" s="716">
        <v>48210.0</v>
      </c>
      <c r="J1675" s="717">
        <v>39045.0</v>
      </c>
      <c r="K1675" s="64"/>
      <c r="CE1675" s="460"/>
    </row>
    <row r="1676">
      <c r="A1676" s="63"/>
      <c r="B1676" s="701" t="s">
        <v>534</v>
      </c>
      <c r="C1676" s="743" t="s">
        <v>416</v>
      </c>
      <c r="D1676" s="703" t="s">
        <v>521</v>
      </c>
      <c r="E1676" s="704">
        <v>2021.0</v>
      </c>
      <c r="F1676" s="743" t="s">
        <v>418</v>
      </c>
      <c r="G1676" s="743" t="s">
        <v>50</v>
      </c>
      <c r="H1676" s="705">
        <v>28902.0</v>
      </c>
      <c r="I1676" s="705">
        <v>31970.0</v>
      </c>
      <c r="J1676" s="706">
        <v>25893.0</v>
      </c>
      <c r="K1676" s="64"/>
      <c r="CE1676" s="460"/>
    </row>
    <row r="1677">
      <c r="A1677" s="63"/>
      <c r="B1677" s="712" t="s">
        <v>534</v>
      </c>
      <c r="C1677" s="742" t="s">
        <v>416</v>
      </c>
      <c r="D1677" s="714" t="s">
        <v>524</v>
      </c>
      <c r="E1677" s="715">
        <v>2021.0</v>
      </c>
      <c r="F1677" s="742" t="s">
        <v>418</v>
      </c>
      <c r="G1677" s="742" t="s">
        <v>50</v>
      </c>
      <c r="H1677" s="716">
        <v>10795.0</v>
      </c>
      <c r="I1677" s="716">
        <v>11941.0</v>
      </c>
      <c r="J1677" s="717">
        <v>9671.0</v>
      </c>
      <c r="K1677" s="64"/>
      <c r="CE1677" s="460"/>
    </row>
    <row r="1678">
      <c r="A1678" s="63"/>
      <c r="B1678" s="701" t="s">
        <v>534</v>
      </c>
      <c r="C1678" s="743" t="s">
        <v>416</v>
      </c>
      <c r="D1678" s="703" t="s">
        <v>527</v>
      </c>
      <c r="E1678" s="704">
        <v>2021.0</v>
      </c>
      <c r="F1678" s="743" t="s">
        <v>418</v>
      </c>
      <c r="G1678" s="743" t="s">
        <v>50</v>
      </c>
      <c r="H1678" s="705">
        <v>3119.0</v>
      </c>
      <c r="I1678" s="705">
        <v>3450.0</v>
      </c>
      <c r="J1678" s="706">
        <v>2794.0</v>
      </c>
      <c r="K1678" s="64"/>
      <c r="CE1678" s="460"/>
    </row>
    <row r="1679">
      <c r="A1679" s="63"/>
      <c r="B1679" s="712" t="s">
        <v>534</v>
      </c>
      <c r="C1679" s="742" t="s">
        <v>416</v>
      </c>
      <c r="D1679" s="714" t="s">
        <v>529</v>
      </c>
      <c r="E1679" s="715">
        <v>2021.0</v>
      </c>
      <c r="F1679" s="742" t="s">
        <v>418</v>
      </c>
      <c r="G1679" s="742" t="s">
        <v>50</v>
      </c>
      <c r="H1679" s="716">
        <v>767.0</v>
      </c>
      <c r="I1679" s="716">
        <v>848.0</v>
      </c>
      <c r="J1679" s="717">
        <v>687.0</v>
      </c>
      <c r="K1679" s="64"/>
      <c r="CE1679" s="460"/>
    </row>
    <row r="1680">
      <c r="A1680" s="63"/>
      <c r="B1680" s="701" t="s">
        <v>534</v>
      </c>
      <c r="C1680" s="743" t="s">
        <v>416</v>
      </c>
      <c r="D1680" s="703" t="s">
        <v>443</v>
      </c>
      <c r="E1680" s="704">
        <v>2021.0</v>
      </c>
      <c r="F1680" s="743" t="s">
        <v>418</v>
      </c>
      <c r="G1680" s="743" t="s">
        <v>50</v>
      </c>
      <c r="H1680" s="705">
        <v>8867262.0</v>
      </c>
      <c r="I1680" s="705">
        <v>9808430.0</v>
      </c>
      <c r="J1680" s="706">
        <v>7943953.0</v>
      </c>
      <c r="K1680" s="64"/>
      <c r="CE1680" s="460"/>
    </row>
    <row r="1681">
      <c r="A1681" s="63"/>
      <c r="B1681" s="712" t="s">
        <v>535</v>
      </c>
      <c r="C1681" s="742" t="s">
        <v>416</v>
      </c>
      <c r="D1681" s="714" t="s">
        <v>417</v>
      </c>
      <c r="E1681" s="715">
        <v>2021.0</v>
      </c>
      <c r="F1681" s="742" t="s">
        <v>418</v>
      </c>
      <c r="G1681" s="742" t="s">
        <v>50</v>
      </c>
      <c r="H1681" s="716">
        <v>903598.0</v>
      </c>
      <c r="I1681" s="716">
        <v>1130393.0</v>
      </c>
      <c r="J1681" s="717">
        <v>651510.0</v>
      </c>
      <c r="K1681" s="64"/>
      <c r="CE1681" s="460"/>
    </row>
    <row r="1682">
      <c r="A1682" s="63"/>
      <c r="B1682" s="701" t="s">
        <v>535</v>
      </c>
      <c r="C1682" s="743" t="s">
        <v>416</v>
      </c>
      <c r="D1682" s="703" t="s">
        <v>431</v>
      </c>
      <c r="E1682" s="704">
        <v>2021.0</v>
      </c>
      <c r="F1682" s="743" t="s">
        <v>418</v>
      </c>
      <c r="G1682" s="743" t="s">
        <v>50</v>
      </c>
      <c r="H1682" s="705">
        <v>1.2784401E7</v>
      </c>
      <c r="I1682" s="705">
        <v>1.5993173E7</v>
      </c>
      <c r="J1682" s="706">
        <v>9217773.0</v>
      </c>
      <c r="K1682" s="64"/>
      <c r="CE1682" s="460"/>
    </row>
    <row r="1683">
      <c r="A1683" s="63"/>
      <c r="B1683" s="712" t="s">
        <v>535</v>
      </c>
      <c r="C1683" s="742" t="s">
        <v>416</v>
      </c>
      <c r="D1683" s="714" t="s">
        <v>438</v>
      </c>
      <c r="E1683" s="715">
        <v>2021.0</v>
      </c>
      <c r="F1683" s="742" t="s">
        <v>418</v>
      </c>
      <c r="G1683" s="742" t="s">
        <v>50</v>
      </c>
      <c r="H1683" s="716">
        <v>72121.0</v>
      </c>
      <c r="I1683" s="716">
        <v>90223.0</v>
      </c>
      <c r="J1683" s="717">
        <v>52001.0</v>
      </c>
      <c r="K1683" s="64"/>
      <c r="CE1683" s="460"/>
    </row>
    <row r="1684">
      <c r="A1684" s="63"/>
      <c r="B1684" s="701" t="s">
        <v>535</v>
      </c>
      <c r="C1684" s="743" t="s">
        <v>416</v>
      </c>
      <c r="D1684" s="703" t="s">
        <v>421</v>
      </c>
      <c r="E1684" s="704">
        <v>2021.0</v>
      </c>
      <c r="F1684" s="743" t="s">
        <v>418</v>
      </c>
      <c r="G1684" s="743" t="s">
        <v>50</v>
      </c>
      <c r="H1684" s="705">
        <v>4129071.0</v>
      </c>
      <c r="I1684" s="705">
        <v>5165431.0</v>
      </c>
      <c r="J1684" s="706">
        <v>2977131.0</v>
      </c>
      <c r="K1684" s="64"/>
      <c r="CE1684" s="460"/>
    </row>
    <row r="1685">
      <c r="A1685" s="63"/>
      <c r="B1685" s="712" t="s">
        <v>535</v>
      </c>
      <c r="C1685" s="742" t="s">
        <v>416</v>
      </c>
      <c r="D1685" s="714" t="s">
        <v>447</v>
      </c>
      <c r="E1685" s="715">
        <v>2021.0</v>
      </c>
      <c r="F1685" s="742" t="s">
        <v>418</v>
      </c>
      <c r="G1685" s="742" t="s">
        <v>50</v>
      </c>
      <c r="H1685" s="716">
        <v>1.0329428E7</v>
      </c>
      <c r="I1685" s="716">
        <v>1.2922023E7</v>
      </c>
      <c r="J1685" s="717">
        <v>7447695.0</v>
      </c>
      <c r="K1685" s="64"/>
      <c r="CE1685" s="460"/>
    </row>
    <row r="1686">
      <c r="A1686" s="63"/>
      <c r="B1686" s="701" t="s">
        <v>535</v>
      </c>
      <c r="C1686" s="743" t="s">
        <v>416</v>
      </c>
      <c r="D1686" s="703" t="s">
        <v>432</v>
      </c>
      <c r="E1686" s="704">
        <v>2021.0</v>
      </c>
      <c r="F1686" s="743" t="s">
        <v>418</v>
      </c>
      <c r="G1686" s="743" t="s">
        <v>50</v>
      </c>
      <c r="H1686" s="705">
        <v>18261.0</v>
      </c>
      <c r="I1686" s="705">
        <v>22845.0</v>
      </c>
      <c r="J1686" s="706">
        <v>13167.0</v>
      </c>
      <c r="K1686" s="64"/>
      <c r="CE1686" s="460"/>
    </row>
    <row r="1687">
      <c r="A1687" s="63"/>
      <c r="B1687" s="712" t="s">
        <v>535</v>
      </c>
      <c r="C1687" s="742" t="s">
        <v>416</v>
      </c>
      <c r="D1687" s="714" t="s">
        <v>450</v>
      </c>
      <c r="E1687" s="715">
        <v>2021.0</v>
      </c>
      <c r="F1687" s="742" t="s">
        <v>418</v>
      </c>
      <c r="G1687" s="742" t="s">
        <v>50</v>
      </c>
      <c r="H1687" s="716">
        <v>2805653.0</v>
      </c>
      <c r="I1687" s="716">
        <v>3509847.0</v>
      </c>
      <c r="J1687" s="717">
        <v>2022924.0</v>
      </c>
      <c r="K1687" s="64"/>
      <c r="CE1687" s="460"/>
    </row>
    <row r="1688">
      <c r="A1688" s="63"/>
      <c r="B1688" s="701" t="s">
        <v>535</v>
      </c>
      <c r="C1688" s="743" t="s">
        <v>416</v>
      </c>
      <c r="D1688" s="703" t="s">
        <v>453</v>
      </c>
      <c r="E1688" s="704">
        <v>2021.0</v>
      </c>
      <c r="F1688" s="743" t="s">
        <v>418</v>
      </c>
      <c r="G1688" s="743" t="s">
        <v>50</v>
      </c>
      <c r="H1688" s="705">
        <v>5260627.0</v>
      </c>
      <c r="I1688" s="705">
        <v>6580997.0</v>
      </c>
      <c r="J1688" s="706">
        <v>3793002.0</v>
      </c>
      <c r="K1688" s="64"/>
      <c r="CE1688" s="460"/>
    </row>
    <row r="1689">
      <c r="A1689" s="63"/>
      <c r="B1689" s="712" t="s">
        <v>535</v>
      </c>
      <c r="C1689" s="742" t="s">
        <v>416</v>
      </c>
      <c r="D1689" s="714" t="s">
        <v>454</v>
      </c>
      <c r="E1689" s="715">
        <v>2021.0</v>
      </c>
      <c r="F1689" s="742" t="s">
        <v>418</v>
      </c>
      <c r="G1689" s="742" t="s">
        <v>50</v>
      </c>
      <c r="H1689" s="716">
        <v>7274529.0</v>
      </c>
      <c r="I1689" s="716">
        <v>9100371.0</v>
      </c>
      <c r="J1689" s="717">
        <v>5245060.0</v>
      </c>
      <c r="K1689" s="64"/>
      <c r="AH1689" s="750"/>
      <c r="AI1689" s="750"/>
      <c r="AJ1689" s="750"/>
      <c r="AK1689" s="750"/>
      <c r="AL1689" s="750"/>
      <c r="AM1689" s="750"/>
      <c r="AN1689" s="750"/>
      <c r="AO1689" s="750"/>
      <c r="AP1689" s="750"/>
      <c r="AQ1689" s="750"/>
      <c r="CE1689" s="460"/>
    </row>
    <row r="1690">
      <c r="A1690" s="63"/>
      <c r="B1690" s="701" t="s">
        <v>535</v>
      </c>
      <c r="C1690" s="743" t="s">
        <v>416</v>
      </c>
      <c r="D1690" s="703" t="s">
        <v>457</v>
      </c>
      <c r="E1690" s="704">
        <v>2021.0</v>
      </c>
      <c r="F1690" s="743" t="s">
        <v>418</v>
      </c>
      <c r="G1690" s="743" t="s">
        <v>50</v>
      </c>
      <c r="H1690" s="705">
        <v>854698.0</v>
      </c>
      <c r="I1690" s="705">
        <v>1069219.0</v>
      </c>
      <c r="J1690" s="706">
        <v>616252.0</v>
      </c>
      <c r="K1690" s="64"/>
      <c r="CE1690" s="460"/>
    </row>
    <row r="1691">
      <c r="A1691" s="63"/>
      <c r="B1691" s="712" t="s">
        <v>535</v>
      </c>
      <c r="C1691" s="742" t="s">
        <v>416</v>
      </c>
      <c r="D1691" s="714" t="s">
        <v>460</v>
      </c>
      <c r="E1691" s="715">
        <v>2021.0</v>
      </c>
      <c r="F1691" s="742" t="s">
        <v>418</v>
      </c>
      <c r="G1691" s="742" t="s">
        <v>50</v>
      </c>
      <c r="H1691" s="716">
        <v>388975.0</v>
      </c>
      <c r="I1691" s="716">
        <v>486604.0</v>
      </c>
      <c r="J1691" s="717">
        <v>280458.0</v>
      </c>
      <c r="K1691" s="64"/>
      <c r="CE1691" s="460"/>
    </row>
    <row r="1692">
      <c r="A1692" s="63"/>
      <c r="B1692" s="701" t="s">
        <v>535</v>
      </c>
      <c r="C1692" s="743" t="s">
        <v>416</v>
      </c>
      <c r="D1692" s="703" t="s">
        <v>463</v>
      </c>
      <c r="E1692" s="704">
        <v>2021.0</v>
      </c>
      <c r="F1692" s="743" t="s">
        <v>418</v>
      </c>
      <c r="G1692" s="743" t="s">
        <v>50</v>
      </c>
      <c r="H1692" s="705">
        <v>2454973.0</v>
      </c>
      <c r="I1692" s="705">
        <v>3071150.0</v>
      </c>
      <c r="J1692" s="706">
        <v>1770078.0</v>
      </c>
      <c r="K1692" s="64"/>
      <c r="CE1692" s="460"/>
    </row>
    <row r="1693">
      <c r="A1693" s="63"/>
      <c r="B1693" s="712" t="s">
        <v>535</v>
      </c>
      <c r="C1693" s="742" t="s">
        <v>416</v>
      </c>
      <c r="D1693" s="714" t="s">
        <v>465</v>
      </c>
      <c r="E1693" s="715">
        <v>2021.0</v>
      </c>
      <c r="F1693" s="742" t="s">
        <v>418</v>
      </c>
      <c r="G1693" s="742" t="s">
        <v>50</v>
      </c>
      <c r="H1693" s="716">
        <v>9962849.0</v>
      </c>
      <c r="I1693" s="716">
        <v>1.2463436E7</v>
      </c>
      <c r="J1693" s="717">
        <v>7183385.0</v>
      </c>
      <c r="K1693" s="64"/>
      <c r="CE1693" s="460"/>
    </row>
    <row r="1694">
      <c r="A1694" s="63"/>
      <c r="B1694" s="701" t="s">
        <v>535</v>
      </c>
      <c r="C1694" s="743" t="s">
        <v>416</v>
      </c>
      <c r="D1694" s="703" t="s">
        <v>468</v>
      </c>
      <c r="E1694" s="704">
        <v>2021.0</v>
      </c>
      <c r="F1694" s="743" t="s">
        <v>418</v>
      </c>
      <c r="G1694" s="743" t="s">
        <v>50</v>
      </c>
      <c r="H1694" s="705">
        <v>2013902.0</v>
      </c>
      <c r="I1694" s="705">
        <v>2519374.0</v>
      </c>
      <c r="J1694" s="706">
        <v>1452058.0</v>
      </c>
      <c r="K1694" s="64"/>
      <c r="CE1694" s="460"/>
    </row>
    <row r="1695">
      <c r="A1695" s="63"/>
      <c r="B1695" s="712" t="s">
        <v>535</v>
      </c>
      <c r="C1695" s="742" t="s">
        <v>416</v>
      </c>
      <c r="D1695" s="714" t="s">
        <v>471</v>
      </c>
      <c r="E1695" s="715">
        <v>2021.0</v>
      </c>
      <c r="F1695" s="742" t="s">
        <v>418</v>
      </c>
      <c r="G1695" s="742" t="s">
        <v>50</v>
      </c>
      <c r="H1695" s="716">
        <v>2370775.0</v>
      </c>
      <c r="I1695" s="716">
        <v>2965818.0</v>
      </c>
      <c r="J1695" s="717">
        <v>1709369.0</v>
      </c>
      <c r="K1695" s="64"/>
      <c r="CE1695" s="460"/>
    </row>
    <row r="1696">
      <c r="A1696" s="63"/>
      <c r="B1696" s="701" t="s">
        <v>535</v>
      </c>
      <c r="C1696" s="743" t="s">
        <v>416</v>
      </c>
      <c r="D1696" s="703" t="s">
        <v>473</v>
      </c>
      <c r="E1696" s="704">
        <v>2021.0</v>
      </c>
      <c r="F1696" s="743" t="s">
        <v>418</v>
      </c>
      <c r="G1696" s="743" t="s">
        <v>50</v>
      </c>
      <c r="H1696" s="705">
        <v>6808217.0</v>
      </c>
      <c r="I1696" s="705">
        <v>8517019.0</v>
      </c>
      <c r="J1696" s="706">
        <v>4908841.0</v>
      </c>
      <c r="K1696" s="64"/>
      <c r="CE1696" s="460"/>
    </row>
    <row r="1697">
      <c r="A1697" s="63"/>
      <c r="B1697" s="712" t="s">
        <v>535</v>
      </c>
      <c r="C1697" s="742" t="s">
        <v>416</v>
      </c>
      <c r="D1697" s="714" t="s">
        <v>476</v>
      </c>
      <c r="E1697" s="715">
        <v>2021.0</v>
      </c>
      <c r="F1697" s="742" t="s">
        <v>418</v>
      </c>
      <c r="G1697" s="742" t="s">
        <v>50</v>
      </c>
      <c r="H1697" s="716">
        <v>1539806.0</v>
      </c>
      <c r="I1697" s="716">
        <v>1926284.0</v>
      </c>
      <c r="J1697" s="717">
        <v>1110227.0</v>
      </c>
      <c r="K1697" s="64"/>
      <c r="CE1697" s="460"/>
    </row>
    <row r="1698">
      <c r="A1698" s="63"/>
      <c r="B1698" s="701" t="s">
        <v>535</v>
      </c>
      <c r="C1698" s="743" t="s">
        <v>416</v>
      </c>
      <c r="D1698" s="703" t="s">
        <v>479</v>
      </c>
      <c r="E1698" s="704">
        <v>2021.0</v>
      </c>
      <c r="F1698" s="743" t="s">
        <v>418</v>
      </c>
      <c r="G1698" s="743" t="s">
        <v>50</v>
      </c>
      <c r="H1698" s="705">
        <v>1184691.0</v>
      </c>
      <c r="I1698" s="705">
        <v>1482038.0</v>
      </c>
      <c r="J1698" s="706">
        <v>854182.0</v>
      </c>
      <c r="K1698" s="64"/>
      <c r="CE1698" s="460"/>
    </row>
    <row r="1699">
      <c r="A1699" s="63"/>
      <c r="B1699" s="712" t="s">
        <v>535</v>
      </c>
      <c r="C1699" s="742" t="s">
        <v>416</v>
      </c>
      <c r="D1699" s="714" t="s">
        <v>482</v>
      </c>
      <c r="E1699" s="715">
        <v>2021.0</v>
      </c>
      <c r="F1699" s="742" t="s">
        <v>418</v>
      </c>
      <c r="G1699" s="742" t="s">
        <v>50</v>
      </c>
      <c r="H1699" s="716">
        <v>1097319.0</v>
      </c>
      <c r="I1699" s="716">
        <v>1372737.0</v>
      </c>
      <c r="J1699" s="717">
        <v>791186.0</v>
      </c>
      <c r="K1699" s="64"/>
      <c r="CE1699" s="460"/>
    </row>
    <row r="1700">
      <c r="A1700" s="63"/>
      <c r="B1700" s="701" t="s">
        <v>535</v>
      </c>
      <c r="C1700" s="743" t="s">
        <v>416</v>
      </c>
      <c r="D1700" s="703" t="s">
        <v>485</v>
      </c>
      <c r="E1700" s="704">
        <v>2021.0</v>
      </c>
      <c r="F1700" s="743" t="s">
        <v>418</v>
      </c>
      <c r="G1700" s="743" t="s">
        <v>50</v>
      </c>
      <c r="H1700" s="705">
        <v>1006103.0</v>
      </c>
      <c r="I1700" s="705">
        <v>1258626.0</v>
      </c>
      <c r="J1700" s="706">
        <v>725417.0</v>
      </c>
      <c r="K1700" s="64"/>
      <c r="CE1700" s="460"/>
    </row>
    <row r="1701">
      <c r="A1701" s="63"/>
      <c r="B1701" s="712" t="s">
        <v>535</v>
      </c>
      <c r="C1701" s="742" t="s">
        <v>416</v>
      </c>
      <c r="D1701" s="714" t="s">
        <v>488</v>
      </c>
      <c r="E1701" s="715">
        <v>2021.0</v>
      </c>
      <c r="F1701" s="742" t="s">
        <v>418</v>
      </c>
      <c r="G1701" s="742" t="s">
        <v>50</v>
      </c>
      <c r="H1701" s="716">
        <v>666055.0</v>
      </c>
      <c r="I1701" s="716">
        <v>833229.0</v>
      </c>
      <c r="J1701" s="717">
        <v>480237.0</v>
      </c>
      <c r="K1701" s="64"/>
      <c r="CE1701" s="460"/>
    </row>
    <row r="1702">
      <c r="A1702" s="63"/>
      <c r="B1702" s="701" t="s">
        <v>535</v>
      </c>
      <c r="C1702" s="743" t="s">
        <v>416</v>
      </c>
      <c r="D1702" s="703" t="s">
        <v>491</v>
      </c>
      <c r="E1702" s="704">
        <v>2021.0</v>
      </c>
      <c r="F1702" s="743" t="s">
        <v>418</v>
      </c>
      <c r="G1702" s="743" t="s">
        <v>50</v>
      </c>
      <c r="H1702" s="705">
        <v>371183.0</v>
      </c>
      <c r="I1702" s="705">
        <v>464347.0</v>
      </c>
      <c r="J1702" s="706">
        <v>267629.0</v>
      </c>
      <c r="K1702" s="64"/>
      <c r="CE1702" s="460"/>
    </row>
    <row r="1703">
      <c r="A1703" s="63"/>
      <c r="B1703" s="712" t="s">
        <v>535</v>
      </c>
      <c r="C1703" s="742" t="s">
        <v>416</v>
      </c>
      <c r="D1703" s="714" t="s">
        <v>493</v>
      </c>
      <c r="E1703" s="715">
        <v>2021.0</v>
      </c>
      <c r="F1703" s="742" t="s">
        <v>418</v>
      </c>
      <c r="G1703" s="742" t="s">
        <v>50</v>
      </c>
      <c r="H1703" s="716">
        <v>1123725.0</v>
      </c>
      <c r="I1703" s="716">
        <v>1405770.0</v>
      </c>
      <c r="J1703" s="717">
        <v>810225.0</v>
      </c>
      <c r="K1703" s="64"/>
      <c r="CE1703" s="460"/>
    </row>
    <row r="1704">
      <c r="A1704" s="63"/>
      <c r="B1704" s="701" t="s">
        <v>535</v>
      </c>
      <c r="C1704" s="743" t="s">
        <v>416</v>
      </c>
      <c r="D1704" s="703" t="s">
        <v>434</v>
      </c>
      <c r="E1704" s="704">
        <v>2021.0</v>
      </c>
      <c r="F1704" s="743" t="s">
        <v>418</v>
      </c>
      <c r="G1704" s="743" t="s">
        <v>50</v>
      </c>
      <c r="H1704" s="705">
        <v>6200358.0</v>
      </c>
      <c r="I1704" s="705">
        <v>7756592.0</v>
      </c>
      <c r="J1704" s="706">
        <v>4470564.0</v>
      </c>
      <c r="K1704" s="64"/>
      <c r="CE1704" s="460"/>
    </row>
    <row r="1705">
      <c r="A1705" s="63"/>
      <c r="B1705" s="712" t="s">
        <v>535</v>
      </c>
      <c r="C1705" s="742" t="s">
        <v>416</v>
      </c>
      <c r="D1705" s="714" t="s">
        <v>497</v>
      </c>
      <c r="E1705" s="715">
        <v>2021.0</v>
      </c>
      <c r="F1705" s="742" t="s">
        <v>418</v>
      </c>
      <c r="G1705" s="742" t="s">
        <v>50</v>
      </c>
      <c r="H1705" s="716">
        <v>298418.0</v>
      </c>
      <c r="I1705" s="716">
        <v>373318.0</v>
      </c>
      <c r="J1705" s="717">
        <v>215164.0</v>
      </c>
      <c r="K1705" s="64"/>
      <c r="CE1705" s="460"/>
    </row>
    <row r="1706">
      <c r="A1706" s="63"/>
      <c r="B1706" s="701" t="s">
        <v>535</v>
      </c>
      <c r="C1706" s="743" t="s">
        <v>416</v>
      </c>
      <c r="D1706" s="703" t="s">
        <v>500</v>
      </c>
      <c r="E1706" s="704">
        <v>2021.0</v>
      </c>
      <c r="F1706" s="743" t="s">
        <v>418</v>
      </c>
      <c r="G1706" s="743" t="s">
        <v>50</v>
      </c>
      <c r="H1706" s="705">
        <v>3394704.0</v>
      </c>
      <c r="I1706" s="705">
        <v>4246745.0</v>
      </c>
      <c r="J1706" s="706">
        <v>2447640.0</v>
      </c>
      <c r="K1706" s="64"/>
      <c r="CE1706" s="460"/>
    </row>
    <row r="1707">
      <c r="A1707" s="63"/>
      <c r="B1707" s="712" t="s">
        <v>535</v>
      </c>
      <c r="C1707" s="742" t="s">
        <v>416</v>
      </c>
      <c r="D1707" s="714" t="s">
        <v>502</v>
      </c>
      <c r="E1707" s="715">
        <v>2021.0</v>
      </c>
      <c r="F1707" s="742" t="s">
        <v>418</v>
      </c>
      <c r="G1707" s="742" t="s">
        <v>50</v>
      </c>
      <c r="H1707" s="716">
        <v>258181.0</v>
      </c>
      <c r="I1707" s="716">
        <v>322982.0</v>
      </c>
      <c r="J1707" s="717">
        <v>186153.0</v>
      </c>
      <c r="K1707" s="64"/>
      <c r="CE1707" s="460"/>
    </row>
    <row r="1708">
      <c r="A1708" s="63"/>
      <c r="B1708" s="701" t="s">
        <v>535</v>
      </c>
      <c r="C1708" s="743" t="s">
        <v>416</v>
      </c>
      <c r="D1708" s="703" t="s">
        <v>505</v>
      </c>
      <c r="E1708" s="704">
        <v>2021.0</v>
      </c>
      <c r="F1708" s="743" t="s">
        <v>418</v>
      </c>
      <c r="G1708" s="743" t="s">
        <v>50</v>
      </c>
      <c r="H1708" s="705">
        <v>442502.0</v>
      </c>
      <c r="I1708" s="705">
        <v>553565.0</v>
      </c>
      <c r="J1708" s="706">
        <v>319051.0</v>
      </c>
      <c r="K1708" s="64"/>
      <c r="CE1708" s="460"/>
    </row>
    <row r="1709">
      <c r="A1709" s="63"/>
      <c r="B1709" s="712" t="s">
        <v>535</v>
      </c>
      <c r="C1709" s="742" t="s">
        <v>416</v>
      </c>
      <c r="D1709" s="714" t="s">
        <v>508</v>
      </c>
      <c r="E1709" s="715">
        <v>2021.0</v>
      </c>
      <c r="F1709" s="742" t="s">
        <v>418</v>
      </c>
      <c r="G1709" s="742" t="s">
        <v>50</v>
      </c>
      <c r="H1709" s="716">
        <v>195943.0</v>
      </c>
      <c r="I1709" s="716">
        <v>245123.0</v>
      </c>
      <c r="J1709" s="717">
        <v>141278.0</v>
      </c>
      <c r="K1709" s="64"/>
      <c r="CE1709" s="460"/>
    </row>
    <row r="1710">
      <c r="A1710" s="63"/>
      <c r="B1710" s="701" t="s">
        <v>535</v>
      </c>
      <c r="C1710" s="743" t="s">
        <v>416</v>
      </c>
      <c r="D1710" s="703" t="s">
        <v>511</v>
      </c>
      <c r="E1710" s="704">
        <v>2021.0</v>
      </c>
      <c r="F1710" s="743" t="s">
        <v>418</v>
      </c>
      <c r="G1710" s="743" t="s">
        <v>50</v>
      </c>
      <c r="H1710" s="705">
        <v>190519.0</v>
      </c>
      <c r="I1710" s="705">
        <v>238337.0</v>
      </c>
      <c r="J1710" s="706">
        <v>137367.0</v>
      </c>
      <c r="K1710" s="64"/>
      <c r="CE1710" s="460"/>
    </row>
    <row r="1711">
      <c r="A1711" s="63"/>
      <c r="B1711" s="712" t="s">
        <v>535</v>
      </c>
      <c r="C1711" s="742" t="s">
        <v>416</v>
      </c>
      <c r="D1711" s="714" t="s">
        <v>514</v>
      </c>
      <c r="E1711" s="715">
        <v>2021.0</v>
      </c>
      <c r="F1711" s="742" t="s">
        <v>418</v>
      </c>
      <c r="G1711" s="742" t="s">
        <v>50</v>
      </c>
      <c r="H1711" s="716">
        <v>111022.0</v>
      </c>
      <c r="I1711" s="716">
        <v>138888.0</v>
      </c>
      <c r="J1711" s="717">
        <v>80049.0</v>
      </c>
      <c r="K1711" s="64"/>
      <c r="CE1711" s="460"/>
    </row>
    <row r="1712">
      <c r="A1712" s="63"/>
      <c r="B1712" s="701" t="s">
        <v>535</v>
      </c>
      <c r="C1712" s="743" t="s">
        <v>416</v>
      </c>
      <c r="D1712" s="703" t="s">
        <v>439</v>
      </c>
      <c r="E1712" s="704">
        <v>2021.0</v>
      </c>
      <c r="F1712" s="743" t="s">
        <v>418</v>
      </c>
      <c r="G1712" s="743" t="s">
        <v>50</v>
      </c>
      <c r="H1712" s="705">
        <v>53860.0</v>
      </c>
      <c r="I1712" s="705">
        <v>67379.0</v>
      </c>
      <c r="J1712" s="706">
        <v>38834.0</v>
      </c>
      <c r="K1712" s="64"/>
      <c r="CE1712" s="460"/>
    </row>
    <row r="1713">
      <c r="A1713" s="63"/>
      <c r="B1713" s="712" t="s">
        <v>535</v>
      </c>
      <c r="C1713" s="742" t="s">
        <v>416</v>
      </c>
      <c r="D1713" s="714" t="s">
        <v>517</v>
      </c>
      <c r="E1713" s="715">
        <v>2021.0</v>
      </c>
      <c r="F1713" s="742" t="s">
        <v>418</v>
      </c>
      <c r="G1713" s="742" t="s">
        <v>50</v>
      </c>
      <c r="H1713" s="716">
        <v>52492.0</v>
      </c>
      <c r="I1713" s="716">
        <v>65667.0</v>
      </c>
      <c r="J1713" s="717">
        <v>37848.0</v>
      </c>
      <c r="K1713" s="64"/>
      <c r="CE1713" s="460"/>
    </row>
    <row r="1714">
      <c r="A1714" s="63"/>
      <c r="B1714" s="701" t="s">
        <v>535</v>
      </c>
      <c r="C1714" s="743" t="s">
        <v>416</v>
      </c>
      <c r="D1714" s="703" t="s">
        <v>520</v>
      </c>
      <c r="E1714" s="704">
        <v>2021.0</v>
      </c>
      <c r="F1714" s="743" t="s">
        <v>418</v>
      </c>
      <c r="G1714" s="743" t="s">
        <v>50</v>
      </c>
      <c r="H1714" s="705">
        <v>27004.0</v>
      </c>
      <c r="I1714" s="705">
        <v>33782.0</v>
      </c>
      <c r="J1714" s="706">
        <v>19471.0</v>
      </c>
      <c r="K1714" s="64"/>
      <c r="CE1714" s="460"/>
    </row>
    <row r="1715">
      <c r="A1715" s="63"/>
      <c r="B1715" s="712" t="s">
        <v>535</v>
      </c>
      <c r="C1715" s="742" t="s">
        <v>416</v>
      </c>
      <c r="D1715" s="714" t="s">
        <v>521</v>
      </c>
      <c r="E1715" s="715">
        <v>2021.0</v>
      </c>
      <c r="F1715" s="742" t="s">
        <v>418</v>
      </c>
      <c r="G1715" s="742" t="s">
        <v>50</v>
      </c>
      <c r="H1715" s="716">
        <v>20030.0</v>
      </c>
      <c r="I1715" s="716">
        <v>25058.0</v>
      </c>
      <c r="J1715" s="717">
        <v>14442.0</v>
      </c>
      <c r="K1715" s="64"/>
      <c r="CE1715" s="460"/>
    </row>
    <row r="1716">
      <c r="A1716" s="63"/>
      <c r="B1716" s="701" t="s">
        <v>535</v>
      </c>
      <c r="C1716" s="743" t="s">
        <v>416</v>
      </c>
      <c r="D1716" s="703" t="s">
        <v>524</v>
      </c>
      <c r="E1716" s="704">
        <v>2021.0</v>
      </c>
      <c r="F1716" s="743" t="s">
        <v>418</v>
      </c>
      <c r="G1716" s="743" t="s">
        <v>50</v>
      </c>
      <c r="H1716" s="705">
        <v>5734.0</v>
      </c>
      <c r="I1716" s="705">
        <v>7173.0</v>
      </c>
      <c r="J1716" s="706">
        <v>4134.0</v>
      </c>
      <c r="K1716" s="64"/>
      <c r="CE1716" s="460"/>
    </row>
    <row r="1717">
      <c r="A1717" s="63"/>
      <c r="B1717" s="712" t="s">
        <v>535</v>
      </c>
      <c r="C1717" s="742" t="s">
        <v>416</v>
      </c>
      <c r="D1717" s="714" t="s">
        <v>527</v>
      </c>
      <c r="E1717" s="715">
        <v>2021.0</v>
      </c>
      <c r="F1717" s="742" t="s">
        <v>418</v>
      </c>
      <c r="G1717" s="742" t="s">
        <v>50</v>
      </c>
      <c r="H1717" s="716">
        <v>1086.0</v>
      </c>
      <c r="I1717" s="716">
        <v>1359.0</v>
      </c>
      <c r="J1717" s="717">
        <v>783.0</v>
      </c>
      <c r="K1717" s="64"/>
      <c r="CE1717" s="460"/>
    </row>
    <row r="1718">
      <c r="A1718" s="63"/>
      <c r="B1718" s="701" t="s">
        <v>535</v>
      </c>
      <c r="C1718" s="743" t="s">
        <v>416</v>
      </c>
      <c r="D1718" s="703" t="s">
        <v>529</v>
      </c>
      <c r="E1718" s="704">
        <v>2021.0</v>
      </c>
      <c r="F1718" s="743" t="s">
        <v>418</v>
      </c>
      <c r="G1718" s="743" t="s">
        <v>50</v>
      </c>
      <c r="H1718" s="705">
        <v>155.0</v>
      </c>
      <c r="I1718" s="705">
        <v>193.0</v>
      </c>
      <c r="J1718" s="706">
        <v>111.0</v>
      </c>
      <c r="K1718" s="64"/>
      <c r="CE1718" s="460"/>
    </row>
    <row r="1719">
      <c r="A1719" s="63"/>
      <c r="B1719" s="712" t="s">
        <v>535</v>
      </c>
      <c r="C1719" s="742" t="s">
        <v>416</v>
      </c>
      <c r="D1719" s="714" t="s">
        <v>443</v>
      </c>
      <c r="E1719" s="715">
        <v>2021.0</v>
      </c>
      <c r="F1719" s="742" t="s">
        <v>418</v>
      </c>
      <c r="G1719" s="742" t="s">
        <v>50</v>
      </c>
      <c r="H1719" s="716">
        <v>2.1606521E7</v>
      </c>
      <c r="I1719" s="716">
        <v>2.7029566E7</v>
      </c>
      <c r="J1719" s="717">
        <v>1.5578672E7</v>
      </c>
      <c r="K1719" s="64"/>
      <c r="CE1719" s="460"/>
    </row>
    <row r="1720">
      <c r="A1720" s="63"/>
      <c r="B1720" s="701" t="s">
        <v>536</v>
      </c>
      <c r="C1720" s="743" t="s">
        <v>416</v>
      </c>
      <c r="D1720" s="703" t="s">
        <v>417</v>
      </c>
      <c r="E1720" s="704">
        <v>2021.0</v>
      </c>
      <c r="F1720" s="743" t="s">
        <v>418</v>
      </c>
      <c r="G1720" s="743" t="s">
        <v>50</v>
      </c>
      <c r="H1720" s="705">
        <v>967360.0</v>
      </c>
      <c r="I1720" s="705">
        <v>1093751.0</v>
      </c>
      <c r="J1720" s="706">
        <v>846088.0</v>
      </c>
      <c r="K1720" s="64"/>
      <c r="CE1720" s="460"/>
    </row>
    <row r="1721">
      <c r="A1721" s="63"/>
      <c r="B1721" s="712" t="s">
        <v>536</v>
      </c>
      <c r="C1721" s="742" t="s">
        <v>416</v>
      </c>
      <c r="D1721" s="714" t="s">
        <v>431</v>
      </c>
      <c r="E1721" s="715">
        <v>2021.0</v>
      </c>
      <c r="F1721" s="742" t="s">
        <v>418</v>
      </c>
      <c r="G1721" s="742" t="s">
        <v>50</v>
      </c>
      <c r="H1721" s="716">
        <v>1.9918004E7</v>
      </c>
      <c r="I1721" s="716">
        <v>2.2520407E7</v>
      </c>
      <c r="J1721" s="717">
        <v>1.7420999E7</v>
      </c>
      <c r="K1721" s="64"/>
      <c r="CE1721" s="460"/>
    </row>
    <row r="1722">
      <c r="A1722" s="63"/>
      <c r="B1722" s="701" t="s">
        <v>536</v>
      </c>
      <c r="C1722" s="743" t="s">
        <v>416</v>
      </c>
      <c r="D1722" s="703" t="s">
        <v>438</v>
      </c>
      <c r="E1722" s="704">
        <v>2021.0</v>
      </c>
      <c r="F1722" s="743" t="s">
        <v>418</v>
      </c>
      <c r="G1722" s="743" t="s">
        <v>50</v>
      </c>
      <c r="H1722" s="705">
        <v>74397.0</v>
      </c>
      <c r="I1722" s="705">
        <v>84117.0</v>
      </c>
      <c r="J1722" s="706">
        <v>65070.0</v>
      </c>
      <c r="K1722" s="64"/>
      <c r="CE1722" s="460"/>
    </row>
    <row r="1723">
      <c r="A1723" s="63"/>
      <c r="B1723" s="712" t="s">
        <v>536</v>
      </c>
      <c r="C1723" s="742" t="s">
        <v>416</v>
      </c>
      <c r="D1723" s="714" t="s">
        <v>421</v>
      </c>
      <c r="E1723" s="715">
        <v>2021.0</v>
      </c>
      <c r="F1723" s="742" t="s">
        <v>418</v>
      </c>
      <c r="G1723" s="742" t="s">
        <v>50</v>
      </c>
      <c r="H1723" s="716">
        <v>4961315.0</v>
      </c>
      <c r="I1723" s="716">
        <v>5609540.0</v>
      </c>
      <c r="J1723" s="717">
        <v>4339344.0</v>
      </c>
      <c r="K1723" s="64"/>
      <c r="CE1723" s="460"/>
    </row>
    <row r="1724">
      <c r="A1724" s="63"/>
      <c r="B1724" s="701" t="s">
        <v>536</v>
      </c>
      <c r="C1724" s="743" t="s">
        <v>416</v>
      </c>
      <c r="D1724" s="703" t="s">
        <v>447</v>
      </c>
      <c r="E1724" s="704">
        <v>2021.0</v>
      </c>
      <c r="F1724" s="743" t="s">
        <v>418</v>
      </c>
      <c r="G1724" s="743" t="s">
        <v>50</v>
      </c>
      <c r="H1724" s="705">
        <v>1.5205177E7</v>
      </c>
      <c r="I1724" s="705">
        <v>1.7191823E7</v>
      </c>
      <c r="J1724" s="706">
        <v>1.3298992E7</v>
      </c>
      <c r="K1724" s="64"/>
      <c r="CE1724" s="460"/>
    </row>
    <row r="1725">
      <c r="A1725" s="63"/>
      <c r="B1725" s="712" t="s">
        <v>536</v>
      </c>
      <c r="C1725" s="742" t="s">
        <v>416</v>
      </c>
      <c r="D1725" s="714" t="s">
        <v>432</v>
      </c>
      <c r="E1725" s="715">
        <v>2021.0</v>
      </c>
      <c r="F1725" s="742" t="s">
        <v>418</v>
      </c>
      <c r="G1725" s="742" t="s">
        <v>50</v>
      </c>
      <c r="H1725" s="716">
        <v>18728.0</v>
      </c>
      <c r="I1725" s="716">
        <v>21175.0</v>
      </c>
      <c r="J1725" s="717">
        <v>16380.0</v>
      </c>
      <c r="K1725" s="64"/>
      <c r="CE1725" s="460"/>
    </row>
    <row r="1726">
      <c r="A1726" s="63"/>
      <c r="B1726" s="701" t="s">
        <v>536</v>
      </c>
      <c r="C1726" s="743" t="s">
        <v>416</v>
      </c>
      <c r="D1726" s="703" t="s">
        <v>450</v>
      </c>
      <c r="E1726" s="704">
        <v>2021.0</v>
      </c>
      <c r="F1726" s="743" t="s">
        <v>418</v>
      </c>
      <c r="G1726" s="743" t="s">
        <v>50</v>
      </c>
      <c r="H1726" s="705">
        <v>5074675.0</v>
      </c>
      <c r="I1726" s="705">
        <v>5737711.0</v>
      </c>
      <c r="J1726" s="706">
        <v>4438493.0</v>
      </c>
      <c r="K1726" s="64"/>
      <c r="CE1726" s="460"/>
    </row>
    <row r="1727">
      <c r="A1727" s="63"/>
      <c r="B1727" s="712" t="s">
        <v>536</v>
      </c>
      <c r="C1727" s="742" t="s">
        <v>416</v>
      </c>
      <c r="D1727" s="714" t="s">
        <v>453</v>
      </c>
      <c r="E1727" s="715">
        <v>2021.0</v>
      </c>
      <c r="F1727" s="742" t="s">
        <v>418</v>
      </c>
      <c r="G1727" s="742" t="s">
        <v>50</v>
      </c>
      <c r="H1727" s="716">
        <v>9787502.0</v>
      </c>
      <c r="I1727" s="716">
        <v>1.1066296E7</v>
      </c>
      <c r="J1727" s="717">
        <v>8560499.0</v>
      </c>
      <c r="K1727" s="64"/>
      <c r="CE1727" s="460"/>
    </row>
    <row r="1728">
      <c r="A1728" s="63"/>
      <c r="B1728" s="701" t="s">
        <v>536</v>
      </c>
      <c r="C1728" s="743" t="s">
        <v>416</v>
      </c>
      <c r="D1728" s="703" t="s">
        <v>454</v>
      </c>
      <c r="E1728" s="704">
        <v>2021.0</v>
      </c>
      <c r="F1728" s="743" t="s">
        <v>418</v>
      </c>
      <c r="G1728" s="743" t="s">
        <v>50</v>
      </c>
      <c r="H1728" s="705">
        <v>1.4332148E7</v>
      </c>
      <c r="I1728" s="705">
        <v>1.6204726E7</v>
      </c>
      <c r="J1728" s="706">
        <v>1.2535409E7</v>
      </c>
      <c r="K1728" s="64"/>
      <c r="CE1728" s="460"/>
    </row>
    <row r="1729">
      <c r="A1729" s="63"/>
      <c r="B1729" s="712" t="s">
        <v>536</v>
      </c>
      <c r="C1729" s="742" t="s">
        <v>416</v>
      </c>
      <c r="D1729" s="714" t="s">
        <v>457</v>
      </c>
      <c r="E1729" s="715">
        <v>2021.0</v>
      </c>
      <c r="F1729" s="742" t="s">
        <v>418</v>
      </c>
      <c r="G1729" s="742" t="s">
        <v>50</v>
      </c>
      <c r="H1729" s="716">
        <v>979624.0</v>
      </c>
      <c r="I1729" s="716">
        <v>1107618.0</v>
      </c>
      <c r="J1729" s="717">
        <v>856814.0</v>
      </c>
      <c r="K1729" s="64"/>
      <c r="CE1729" s="460"/>
    </row>
    <row r="1730">
      <c r="A1730" s="63"/>
      <c r="B1730" s="701" t="s">
        <v>536</v>
      </c>
      <c r="C1730" s="743" t="s">
        <v>416</v>
      </c>
      <c r="D1730" s="703" t="s">
        <v>460</v>
      </c>
      <c r="E1730" s="704">
        <v>2021.0</v>
      </c>
      <c r="F1730" s="743" t="s">
        <v>418</v>
      </c>
      <c r="G1730" s="743" t="s">
        <v>50</v>
      </c>
      <c r="H1730" s="705">
        <v>410192.0</v>
      </c>
      <c r="I1730" s="705">
        <v>463786.0</v>
      </c>
      <c r="J1730" s="706">
        <v>358768.0</v>
      </c>
      <c r="K1730" s="64"/>
      <c r="CE1730" s="460"/>
    </row>
    <row r="1731">
      <c r="A1731" s="63"/>
      <c r="B1731" s="712" t="s">
        <v>536</v>
      </c>
      <c r="C1731" s="742" t="s">
        <v>416</v>
      </c>
      <c r="D1731" s="714" t="s">
        <v>463</v>
      </c>
      <c r="E1731" s="715">
        <v>2021.0</v>
      </c>
      <c r="F1731" s="742" t="s">
        <v>418</v>
      </c>
      <c r="G1731" s="742" t="s">
        <v>50</v>
      </c>
      <c r="H1731" s="716">
        <v>4712827.0</v>
      </c>
      <c r="I1731" s="716">
        <v>5328585.0</v>
      </c>
      <c r="J1731" s="717">
        <v>4122007.0</v>
      </c>
      <c r="K1731" s="64"/>
      <c r="CE1731" s="460"/>
    </row>
    <row r="1732">
      <c r="A1732" s="63"/>
      <c r="B1732" s="701" t="s">
        <v>536</v>
      </c>
      <c r="C1732" s="743" t="s">
        <v>416</v>
      </c>
      <c r="D1732" s="703" t="s">
        <v>465</v>
      </c>
      <c r="E1732" s="704">
        <v>2021.0</v>
      </c>
      <c r="F1732" s="743" t="s">
        <v>418</v>
      </c>
      <c r="G1732" s="743" t="s">
        <v>50</v>
      </c>
      <c r="H1732" s="705">
        <v>3.115382E7</v>
      </c>
      <c r="I1732" s="705">
        <v>3.5224248E7</v>
      </c>
      <c r="J1732" s="706">
        <v>2.7248246E7</v>
      </c>
      <c r="K1732" s="64"/>
      <c r="CE1732" s="460"/>
    </row>
    <row r="1733">
      <c r="A1733" s="63"/>
      <c r="B1733" s="712" t="s">
        <v>536</v>
      </c>
      <c r="C1733" s="742" t="s">
        <v>416</v>
      </c>
      <c r="D1733" s="714" t="s">
        <v>468</v>
      </c>
      <c r="E1733" s="715">
        <v>2021.0</v>
      </c>
      <c r="F1733" s="742" t="s">
        <v>418</v>
      </c>
      <c r="G1733" s="742" t="s">
        <v>50</v>
      </c>
      <c r="H1733" s="716">
        <v>4544646.0</v>
      </c>
      <c r="I1733" s="716">
        <v>5138430.0</v>
      </c>
      <c r="J1733" s="717">
        <v>3974910.0</v>
      </c>
      <c r="K1733" s="64"/>
      <c r="CE1733" s="460"/>
    </row>
    <row r="1734">
      <c r="A1734" s="63"/>
      <c r="B1734" s="701" t="s">
        <v>536</v>
      </c>
      <c r="C1734" s="743" t="s">
        <v>416</v>
      </c>
      <c r="D1734" s="703" t="s">
        <v>471</v>
      </c>
      <c r="E1734" s="704">
        <v>2021.0</v>
      </c>
      <c r="F1734" s="743" t="s">
        <v>418</v>
      </c>
      <c r="G1734" s="743" t="s">
        <v>50</v>
      </c>
      <c r="H1734" s="705">
        <v>3014331.0</v>
      </c>
      <c r="I1734" s="705">
        <v>3408171.0</v>
      </c>
      <c r="J1734" s="706">
        <v>2636442.0</v>
      </c>
      <c r="K1734" s="64"/>
      <c r="AS1734" s="750"/>
      <c r="AT1734" s="750"/>
      <c r="AU1734" s="750"/>
      <c r="AV1734" s="750"/>
      <c r="AW1734" s="750"/>
      <c r="AX1734" s="750"/>
      <c r="AY1734" s="750"/>
      <c r="AZ1734" s="750"/>
      <c r="BA1734" s="750"/>
      <c r="BB1734" s="750"/>
      <c r="BC1734" s="750"/>
      <c r="BD1734" s="750"/>
      <c r="CE1734" s="460"/>
    </row>
    <row r="1735">
      <c r="A1735" s="63"/>
      <c r="B1735" s="712" t="s">
        <v>536</v>
      </c>
      <c r="C1735" s="742" t="s">
        <v>416</v>
      </c>
      <c r="D1735" s="714" t="s">
        <v>473</v>
      </c>
      <c r="E1735" s="715">
        <v>2021.0</v>
      </c>
      <c r="F1735" s="742" t="s">
        <v>418</v>
      </c>
      <c r="G1735" s="742" t="s">
        <v>50</v>
      </c>
      <c r="H1735" s="716">
        <v>3.2391741E7</v>
      </c>
      <c r="I1735" s="716">
        <v>3.6623912E7</v>
      </c>
      <c r="J1735" s="717">
        <v>2.8330977E7</v>
      </c>
      <c r="K1735" s="64"/>
      <c r="CE1735" s="460"/>
    </row>
    <row r="1736">
      <c r="A1736" s="63"/>
      <c r="B1736" s="701" t="s">
        <v>536</v>
      </c>
      <c r="C1736" s="743" t="s">
        <v>416</v>
      </c>
      <c r="D1736" s="703" t="s">
        <v>476</v>
      </c>
      <c r="E1736" s="704">
        <v>2021.0</v>
      </c>
      <c r="F1736" s="743" t="s">
        <v>418</v>
      </c>
      <c r="G1736" s="743" t="s">
        <v>50</v>
      </c>
      <c r="H1736" s="705">
        <v>4995053.0</v>
      </c>
      <c r="I1736" s="705">
        <v>5647686.0</v>
      </c>
      <c r="J1736" s="706">
        <v>4368852.0</v>
      </c>
      <c r="K1736" s="64"/>
      <c r="CE1736" s="460"/>
    </row>
    <row r="1737">
      <c r="A1737" s="63"/>
      <c r="B1737" s="712" t="s">
        <v>536</v>
      </c>
      <c r="C1737" s="742" t="s">
        <v>416</v>
      </c>
      <c r="D1737" s="714" t="s">
        <v>479</v>
      </c>
      <c r="E1737" s="715">
        <v>2021.0</v>
      </c>
      <c r="F1737" s="742" t="s">
        <v>418</v>
      </c>
      <c r="G1737" s="742" t="s">
        <v>50</v>
      </c>
      <c r="H1737" s="716">
        <v>5221497.0</v>
      </c>
      <c r="I1737" s="716">
        <v>5903716.0</v>
      </c>
      <c r="J1737" s="717">
        <v>4566908.0</v>
      </c>
      <c r="K1737" s="64"/>
      <c r="CE1737" s="460"/>
    </row>
    <row r="1738">
      <c r="A1738" s="63"/>
      <c r="B1738" s="701" t="s">
        <v>536</v>
      </c>
      <c r="C1738" s="743" t="s">
        <v>416</v>
      </c>
      <c r="D1738" s="703" t="s">
        <v>482</v>
      </c>
      <c r="E1738" s="704">
        <v>2021.0</v>
      </c>
      <c r="F1738" s="743" t="s">
        <v>418</v>
      </c>
      <c r="G1738" s="743" t="s">
        <v>50</v>
      </c>
      <c r="H1738" s="705">
        <v>4772953.0</v>
      </c>
      <c r="I1738" s="705">
        <v>5396568.0</v>
      </c>
      <c r="J1738" s="706">
        <v>4174596.0</v>
      </c>
      <c r="K1738" s="64"/>
      <c r="CE1738" s="460"/>
    </row>
    <row r="1739">
      <c r="A1739" s="63"/>
      <c r="B1739" s="712" t="s">
        <v>536</v>
      </c>
      <c r="C1739" s="742" t="s">
        <v>416</v>
      </c>
      <c r="D1739" s="714" t="s">
        <v>485</v>
      </c>
      <c r="E1739" s="715">
        <v>2021.0</v>
      </c>
      <c r="F1739" s="742" t="s">
        <v>418</v>
      </c>
      <c r="G1739" s="742" t="s">
        <v>50</v>
      </c>
      <c r="H1739" s="716">
        <v>3779600.0</v>
      </c>
      <c r="I1739" s="716">
        <v>4273427.0</v>
      </c>
      <c r="J1739" s="717">
        <v>3305774.0</v>
      </c>
      <c r="K1739" s="64"/>
      <c r="CE1739" s="460"/>
    </row>
    <row r="1740">
      <c r="A1740" s="63"/>
      <c r="B1740" s="701" t="s">
        <v>536</v>
      </c>
      <c r="C1740" s="743" t="s">
        <v>416</v>
      </c>
      <c r="D1740" s="703" t="s">
        <v>488</v>
      </c>
      <c r="E1740" s="704">
        <v>2021.0</v>
      </c>
      <c r="F1740" s="743" t="s">
        <v>418</v>
      </c>
      <c r="G1740" s="743" t="s">
        <v>50</v>
      </c>
      <c r="H1740" s="705">
        <v>3127243.0</v>
      </c>
      <c r="I1740" s="705">
        <v>3535836.0</v>
      </c>
      <c r="J1740" s="706">
        <v>2735199.0</v>
      </c>
      <c r="K1740" s="64"/>
      <c r="CE1740" s="460"/>
    </row>
    <row r="1741">
      <c r="A1741" s="63"/>
      <c r="B1741" s="712" t="s">
        <v>536</v>
      </c>
      <c r="C1741" s="742" t="s">
        <v>416</v>
      </c>
      <c r="D1741" s="714" t="s">
        <v>491</v>
      </c>
      <c r="E1741" s="715">
        <v>2021.0</v>
      </c>
      <c r="F1741" s="742" t="s">
        <v>418</v>
      </c>
      <c r="G1741" s="742" t="s">
        <v>50</v>
      </c>
      <c r="H1741" s="716">
        <v>2606842.0</v>
      </c>
      <c r="I1741" s="716">
        <v>2947441.0</v>
      </c>
      <c r="J1741" s="717">
        <v>2280037.0</v>
      </c>
      <c r="K1741" s="64"/>
      <c r="CE1741" s="460"/>
    </row>
    <row r="1742">
      <c r="A1742" s="63"/>
      <c r="B1742" s="701" t="s">
        <v>536</v>
      </c>
      <c r="C1742" s="743" t="s">
        <v>416</v>
      </c>
      <c r="D1742" s="703" t="s">
        <v>493</v>
      </c>
      <c r="E1742" s="704">
        <v>2021.0</v>
      </c>
      <c r="F1742" s="743" t="s">
        <v>418</v>
      </c>
      <c r="G1742" s="743" t="s">
        <v>50</v>
      </c>
      <c r="H1742" s="705">
        <v>8282929.0</v>
      </c>
      <c r="I1742" s="705">
        <v>9365142.0</v>
      </c>
      <c r="J1742" s="706">
        <v>7244546.0</v>
      </c>
      <c r="K1742" s="64"/>
      <c r="CE1742" s="460"/>
    </row>
    <row r="1743">
      <c r="A1743" s="63"/>
      <c r="B1743" s="712" t="s">
        <v>536</v>
      </c>
      <c r="C1743" s="742" t="s">
        <v>416</v>
      </c>
      <c r="D1743" s="714" t="s">
        <v>434</v>
      </c>
      <c r="E1743" s="715">
        <v>2021.0</v>
      </c>
      <c r="F1743" s="742" t="s">
        <v>418</v>
      </c>
      <c r="G1743" s="742" t="s">
        <v>50</v>
      </c>
      <c r="H1743" s="716">
        <v>1.0243862E7</v>
      </c>
      <c r="I1743" s="716">
        <v>1.1582282E7</v>
      </c>
      <c r="J1743" s="717">
        <v>8959648.0</v>
      </c>
      <c r="K1743" s="64"/>
      <c r="CE1743" s="460"/>
    </row>
    <row r="1744">
      <c r="A1744" s="63"/>
      <c r="B1744" s="701" t="s">
        <v>536</v>
      </c>
      <c r="C1744" s="743" t="s">
        <v>416</v>
      </c>
      <c r="D1744" s="703" t="s">
        <v>497</v>
      </c>
      <c r="E1744" s="704">
        <v>2021.0</v>
      </c>
      <c r="F1744" s="743" t="s">
        <v>418</v>
      </c>
      <c r="G1744" s="743" t="s">
        <v>50</v>
      </c>
      <c r="H1744" s="705">
        <v>2295193.0</v>
      </c>
      <c r="I1744" s="705">
        <v>2595073.0</v>
      </c>
      <c r="J1744" s="706">
        <v>2007458.0</v>
      </c>
      <c r="K1744" s="64"/>
      <c r="CE1744" s="460"/>
    </row>
    <row r="1745">
      <c r="A1745" s="63"/>
      <c r="B1745" s="712" t="s">
        <v>536</v>
      </c>
      <c r="C1745" s="742" t="s">
        <v>416</v>
      </c>
      <c r="D1745" s="714" t="s">
        <v>500</v>
      </c>
      <c r="E1745" s="715">
        <v>2021.0</v>
      </c>
      <c r="F1745" s="742" t="s">
        <v>418</v>
      </c>
      <c r="G1745" s="742" t="s">
        <v>50</v>
      </c>
      <c r="H1745" s="716">
        <v>5169187.0</v>
      </c>
      <c r="I1745" s="716">
        <v>5844571.0</v>
      </c>
      <c r="J1745" s="717">
        <v>4521156.0</v>
      </c>
      <c r="K1745" s="64"/>
      <c r="CE1745" s="460"/>
    </row>
    <row r="1746">
      <c r="A1746" s="63"/>
      <c r="B1746" s="701" t="s">
        <v>536</v>
      </c>
      <c r="C1746" s="743" t="s">
        <v>416</v>
      </c>
      <c r="D1746" s="703" t="s">
        <v>502</v>
      </c>
      <c r="E1746" s="704">
        <v>2021.0</v>
      </c>
      <c r="F1746" s="743" t="s">
        <v>418</v>
      </c>
      <c r="G1746" s="743" t="s">
        <v>50</v>
      </c>
      <c r="H1746" s="705">
        <v>1927751.0</v>
      </c>
      <c r="I1746" s="705">
        <v>2179623.0</v>
      </c>
      <c r="J1746" s="706">
        <v>1686080.0</v>
      </c>
      <c r="K1746" s="64"/>
      <c r="CE1746" s="460"/>
    </row>
    <row r="1747">
      <c r="A1747" s="63"/>
      <c r="B1747" s="712" t="s">
        <v>536</v>
      </c>
      <c r="C1747" s="742" t="s">
        <v>416</v>
      </c>
      <c r="D1747" s="714" t="s">
        <v>505</v>
      </c>
      <c r="E1747" s="715">
        <v>2021.0</v>
      </c>
      <c r="F1747" s="742" t="s">
        <v>418</v>
      </c>
      <c r="G1747" s="742" t="s">
        <v>50</v>
      </c>
      <c r="H1747" s="716">
        <v>482772.0</v>
      </c>
      <c r="I1747" s="716">
        <v>545849.0</v>
      </c>
      <c r="J1747" s="717">
        <v>422249.0</v>
      </c>
      <c r="K1747" s="64"/>
      <c r="CE1747" s="460"/>
    </row>
    <row r="1748">
      <c r="A1748" s="63"/>
      <c r="B1748" s="701" t="s">
        <v>536</v>
      </c>
      <c r="C1748" s="743" t="s">
        <v>416</v>
      </c>
      <c r="D1748" s="703" t="s">
        <v>508</v>
      </c>
      <c r="E1748" s="704">
        <v>2021.0</v>
      </c>
      <c r="F1748" s="743" t="s">
        <v>418</v>
      </c>
      <c r="G1748" s="743" t="s">
        <v>50</v>
      </c>
      <c r="H1748" s="705">
        <v>1453144.0</v>
      </c>
      <c r="I1748" s="705">
        <v>1643006.0</v>
      </c>
      <c r="J1748" s="706">
        <v>1270972.0</v>
      </c>
      <c r="K1748" s="64"/>
      <c r="CE1748" s="460"/>
    </row>
    <row r="1749">
      <c r="A1749" s="63"/>
      <c r="B1749" s="712" t="s">
        <v>536</v>
      </c>
      <c r="C1749" s="742" t="s">
        <v>416</v>
      </c>
      <c r="D1749" s="714" t="s">
        <v>511</v>
      </c>
      <c r="E1749" s="715">
        <v>2021.0</v>
      </c>
      <c r="F1749" s="742" t="s">
        <v>418</v>
      </c>
      <c r="G1749" s="742" t="s">
        <v>50</v>
      </c>
      <c r="H1749" s="716">
        <v>2212466.0</v>
      </c>
      <c r="I1749" s="716">
        <v>2501537.0</v>
      </c>
      <c r="J1749" s="717">
        <v>1935102.0</v>
      </c>
      <c r="K1749" s="64"/>
      <c r="CE1749" s="460"/>
    </row>
    <row r="1750">
      <c r="A1750" s="63"/>
      <c r="B1750" s="701" t="s">
        <v>536</v>
      </c>
      <c r="C1750" s="743" t="s">
        <v>416</v>
      </c>
      <c r="D1750" s="703" t="s">
        <v>514</v>
      </c>
      <c r="E1750" s="704">
        <v>2021.0</v>
      </c>
      <c r="F1750" s="743" t="s">
        <v>418</v>
      </c>
      <c r="G1750" s="743" t="s">
        <v>50</v>
      </c>
      <c r="H1750" s="705">
        <v>990616.0</v>
      </c>
      <c r="I1750" s="705">
        <v>1120046.0</v>
      </c>
      <c r="J1750" s="706">
        <v>866428.0</v>
      </c>
      <c r="K1750" s="64"/>
      <c r="CE1750" s="460"/>
    </row>
    <row r="1751">
      <c r="A1751" s="63"/>
      <c r="B1751" s="712" t="s">
        <v>536</v>
      </c>
      <c r="C1751" s="742" t="s">
        <v>416</v>
      </c>
      <c r="D1751" s="714" t="s">
        <v>439</v>
      </c>
      <c r="E1751" s="715">
        <v>2021.0</v>
      </c>
      <c r="F1751" s="742" t="s">
        <v>418</v>
      </c>
      <c r="G1751" s="742" t="s">
        <v>50</v>
      </c>
      <c r="H1751" s="716">
        <v>55669.0</v>
      </c>
      <c r="I1751" s="716">
        <v>62942.0</v>
      </c>
      <c r="J1751" s="717">
        <v>48690.0</v>
      </c>
      <c r="K1751" s="64"/>
      <c r="CE1751" s="460"/>
    </row>
    <row r="1752">
      <c r="A1752" s="63"/>
      <c r="B1752" s="701" t="s">
        <v>536</v>
      </c>
      <c r="C1752" s="743" t="s">
        <v>416</v>
      </c>
      <c r="D1752" s="703" t="s">
        <v>517</v>
      </c>
      <c r="E1752" s="704">
        <v>2021.0</v>
      </c>
      <c r="F1752" s="743" t="s">
        <v>418</v>
      </c>
      <c r="G1752" s="743" t="s">
        <v>50</v>
      </c>
      <c r="H1752" s="705">
        <v>606501.0</v>
      </c>
      <c r="I1752" s="705">
        <v>685744.0</v>
      </c>
      <c r="J1752" s="706">
        <v>530467.0</v>
      </c>
      <c r="K1752" s="64"/>
      <c r="CE1752" s="460"/>
    </row>
    <row r="1753">
      <c r="A1753" s="63"/>
      <c r="B1753" s="712" t="s">
        <v>536</v>
      </c>
      <c r="C1753" s="742" t="s">
        <v>416</v>
      </c>
      <c r="D1753" s="714" t="s">
        <v>520</v>
      </c>
      <c r="E1753" s="715">
        <v>2021.0</v>
      </c>
      <c r="F1753" s="742" t="s">
        <v>418</v>
      </c>
      <c r="G1753" s="742" t="s">
        <v>50</v>
      </c>
      <c r="H1753" s="716">
        <v>615349.0</v>
      </c>
      <c r="I1753" s="716">
        <v>695747.0</v>
      </c>
      <c r="J1753" s="717">
        <v>538206.0</v>
      </c>
      <c r="K1753" s="64"/>
      <c r="CE1753" s="460"/>
    </row>
    <row r="1754">
      <c r="A1754" s="63"/>
      <c r="B1754" s="701" t="s">
        <v>536</v>
      </c>
      <c r="C1754" s="743" t="s">
        <v>416</v>
      </c>
      <c r="D1754" s="703" t="s">
        <v>521</v>
      </c>
      <c r="E1754" s="704">
        <v>2021.0</v>
      </c>
      <c r="F1754" s="743" t="s">
        <v>418</v>
      </c>
      <c r="G1754" s="743" t="s">
        <v>50</v>
      </c>
      <c r="H1754" s="705">
        <v>381670.0</v>
      </c>
      <c r="I1754" s="705">
        <v>431538.0</v>
      </c>
      <c r="J1754" s="706">
        <v>333823.0</v>
      </c>
      <c r="K1754" s="64"/>
      <c r="CE1754" s="460"/>
    </row>
    <row r="1755">
      <c r="A1755" s="63"/>
      <c r="B1755" s="712" t="s">
        <v>536</v>
      </c>
      <c r="C1755" s="742" t="s">
        <v>416</v>
      </c>
      <c r="D1755" s="714" t="s">
        <v>524</v>
      </c>
      <c r="E1755" s="715">
        <v>2021.0</v>
      </c>
      <c r="F1755" s="742" t="s">
        <v>418</v>
      </c>
      <c r="G1755" s="742" t="s">
        <v>50</v>
      </c>
      <c r="H1755" s="716">
        <v>174204.0</v>
      </c>
      <c r="I1755" s="716">
        <v>196965.0</v>
      </c>
      <c r="J1755" s="717">
        <v>152365.0</v>
      </c>
      <c r="K1755" s="64"/>
      <c r="CE1755" s="460"/>
    </row>
    <row r="1756">
      <c r="A1756" s="63"/>
      <c r="B1756" s="701" t="s">
        <v>536</v>
      </c>
      <c r="C1756" s="743" t="s">
        <v>416</v>
      </c>
      <c r="D1756" s="703" t="s">
        <v>527</v>
      </c>
      <c r="E1756" s="704">
        <v>2021.0</v>
      </c>
      <c r="F1756" s="743" t="s">
        <v>418</v>
      </c>
      <c r="G1756" s="743" t="s">
        <v>50</v>
      </c>
      <c r="H1756" s="705">
        <v>51649.0</v>
      </c>
      <c r="I1756" s="705">
        <v>58397.0</v>
      </c>
      <c r="J1756" s="706">
        <v>45174.0</v>
      </c>
      <c r="K1756" s="64"/>
      <c r="CE1756" s="460"/>
    </row>
    <row r="1757">
      <c r="A1757" s="63"/>
      <c r="B1757" s="712" t="s">
        <v>536</v>
      </c>
      <c r="C1757" s="742" t="s">
        <v>416</v>
      </c>
      <c r="D1757" s="714" t="s">
        <v>529</v>
      </c>
      <c r="E1757" s="715">
        <v>2021.0</v>
      </c>
      <c r="F1757" s="742" t="s">
        <v>418</v>
      </c>
      <c r="G1757" s="742" t="s">
        <v>50</v>
      </c>
      <c r="H1757" s="716">
        <v>7826.0</v>
      </c>
      <c r="I1757" s="716">
        <v>8848.0</v>
      </c>
      <c r="J1757" s="717">
        <v>6844.0</v>
      </c>
      <c r="K1757" s="64"/>
      <c r="CE1757" s="460"/>
    </row>
    <row r="1758">
      <c r="A1758" s="63"/>
      <c r="B1758" s="701" t="s">
        <v>536</v>
      </c>
      <c r="C1758" s="743" t="s">
        <v>416</v>
      </c>
      <c r="D1758" s="703" t="s">
        <v>443</v>
      </c>
      <c r="E1758" s="704">
        <v>2021.0</v>
      </c>
      <c r="F1758" s="743" t="s">
        <v>418</v>
      </c>
      <c r="G1758" s="743" t="s">
        <v>50</v>
      </c>
      <c r="H1758" s="705">
        <v>5.6854391E7</v>
      </c>
      <c r="I1758" s="705">
        <v>6.4282749E7</v>
      </c>
      <c r="J1758" s="706">
        <v>4.9726886E7</v>
      </c>
      <c r="K1758" s="64"/>
      <c r="CE1758" s="460"/>
    </row>
    <row r="1759">
      <c r="A1759" s="63"/>
      <c r="B1759" s="712" t="s">
        <v>103</v>
      </c>
      <c r="C1759" s="742" t="s">
        <v>416</v>
      </c>
      <c r="D1759" s="714" t="s">
        <v>417</v>
      </c>
      <c r="E1759" s="715">
        <v>2021.0</v>
      </c>
      <c r="F1759" s="742" t="s">
        <v>418</v>
      </c>
      <c r="G1759" s="742" t="s">
        <v>50</v>
      </c>
      <c r="H1759" s="716">
        <v>355856.0</v>
      </c>
      <c r="I1759" s="716">
        <v>406211.0</v>
      </c>
      <c r="J1759" s="717">
        <v>298811.0</v>
      </c>
      <c r="K1759" s="64"/>
      <c r="CE1759" s="460"/>
    </row>
    <row r="1760">
      <c r="A1760" s="63"/>
      <c r="B1760" s="701" t="s">
        <v>103</v>
      </c>
      <c r="C1760" s="743" t="s">
        <v>416</v>
      </c>
      <c r="D1760" s="703" t="s">
        <v>431</v>
      </c>
      <c r="E1760" s="704">
        <v>2021.0</v>
      </c>
      <c r="F1760" s="743" t="s">
        <v>418</v>
      </c>
      <c r="G1760" s="743" t="s">
        <v>50</v>
      </c>
      <c r="H1760" s="705">
        <v>5487345.0</v>
      </c>
      <c r="I1760" s="705">
        <v>6263829.0</v>
      </c>
      <c r="J1760" s="706">
        <v>4607710.0</v>
      </c>
      <c r="K1760" s="64"/>
      <c r="CE1760" s="460"/>
    </row>
    <row r="1761">
      <c r="A1761" s="63"/>
      <c r="B1761" s="712" t="s">
        <v>103</v>
      </c>
      <c r="C1761" s="742" t="s">
        <v>416</v>
      </c>
      <c r="D1761" s="714" t="s">
        <v>438</v>
      </c>
      <c r="E1761" s="715">
        <v>2021.0</v>
      </c>
      <c r="F1761" s="742" t="s">
        <v>418</v>
      </c>
      <c r="G1761" s="742" t="s">
        <v>50</v>
      </c>
      <c r="H1761" s="716">
        <v>28571.0</v>
      </c>
      <c r="I1761" s="716">
        <v>32614.0</v>
      </c>
      <c r="J1761" s="717">
        <v>23991.0</v>
      </c>
      <c r="K1761" s="64"/>
      <c r="CE1761" s="460"/>
    </row>
    <row r="1762">
      <c r="A1762" s="63"/>
      <c r="B1762" s="701" t="s">
        <v>103</v>
      </c>
      <c r="C1762" s="743" t="s">
        <v>416</v>
      </c>
      <c r="D1762" s="703" t="s">
        <v>421</v>
      </c>
      <c r="E1762" s="704">
        <v>2021.0</v>
      </c>
      <c r="F1762" s="743" t="s">
        <v>418</v>
      </c>
      <c r="G1762" s="743" t="s">
        <v>50</v>
      </c>
      <c r="H1762" s="705">
        <v>1562334.0</v>
      </c>
      <c r="I1762" s="705">
        <v>1783411.0</v>
      </c>
      <c r="J1762" s="706">
        <v>1311888.0</v>
      </c>
      <c r="K1762" s="64"/>
      <c r="CE1762" s="460"/>
    </row>
    <row r="1763">
      <c r="A1763" s="63"/>
      <c r="B1763" s="712" t="s">
        <v>103</v>
      </c>
      <c r="C1763" s="742" t="s">
        <v>416</v>
      </c>
      <c r="D1763" s="714" t="s">
        <v>447</v>
      </c>
      <c r="E1763" s="715">
        <v>2021.0</v>
      </c>
      <c r="F1763" s="742" t="s">
        <v>418</v>
      </c>
      <c r="G1763" s="742" t="s">
        <v>50</v>
      </c>
      <c r="H1763" s="716">
        <v>4294951.0</v>
      </c>
      <c r="I1763" s="716">
        <v>4902706.0</v>
      </c>
      <c r="J1763" s="717">
        <v>3606460.0</v>
      </c>
      <c r="K1763" s="64"/>
      <c r="CE1763" s="460"/>
    </row>
    <row r="1764">
      <c r="A1764" s="63"/>
      <c r="B1764" s="701" t="s">
        <v>103</v>
      </c>
      <c r="C1764" s="743" t="s">
        <v>416</v>
      </c>
      <c r="D1764" s="703" t="s">
        <v>432</v>
      </c>
      <c r="E1764" s="704">
        <v>2021.0</v>
      </c>
      <c r="F1764" s="743" t="s">
        <v>418</v>
      </c>
      <c r="G1764" s="743" t="s">
        <v>50</v>
      </c>
      <c r="H1764" s="705">
        <v>7264.0</v>
      </c>
      <c r="I1764" s="705">
        <v>8291.0</v>
      </c>
      <c r="J1764" s="706">
        <v>6099.0</v>
      </c>
      <c r="K1764" s="64"/>
      <c r="CE1764" s="460"/>
    </row>
    <row r="1765">
      <c r="A1765" s="63"/>
      <c r="B1765" s="712" t="s">
        <v>103</v>
      </c>
      <c r="C1765" s="742" t="s">
        <v>416</v>
      </c>
      <c r="D1765" s="714" t="s">
        <v>450</v>
      </c>
      <c r="E1765" s="715">
        <v>2021.0</v>
      </c>
      <c r="F1765" s="742" t="s">
        <v>418</v>
      </c>
      <c r="G1765" s="742" t="s">
        <v>50</v>
      </c>
      <c r="H1765" s="716">
        <v>1361791.0</v>
      </c>
      <c r="I1765" s="716">
        <v>1554490.0</v>
      </c>
      <c r="J1765" s="717">
        <v>1143492.0</v>
      </c>
      <c r="K1765" s="64"/>
      <c r="CE1765" s="460"/>
    </row>
    <row r="1766">
      <c r="A1766" s="63"/>
      <c r="B1766" s="701" t="s">
        <v>103</v>
      </c>
      <c r="C1766" s="743" t="s">
        <v>416</v>
      </c>
      <c r="D1766" s="703" t="s">
        <v>453</v>
      </c>
      <c r="E1766" s="704">
        <v>2021.0</v>
      </c>
      <c r="F1766" s="743" t="s">
        <v>418</v>
      </c>
      <c r="G1766" s="743" t="s">
        <v>50</v>
      </c>
      <c r="H1766" s="705">
        <v>2554185.0</v>
      </c>
      <c r="I1766" s="705">
        <v>2915613.0</v>
      </c>
      <c r="J1766" s="706">
        <v>2144742.0</v>
      </c>
      <c r="K1766" s="64"/>
      <c r="CE1766" s="460"/>
    </row>
    <row r="1767">
      <c r="A1767" s="63"/>
      <c r="B1767" s="712" t="s">
        <v>103</v>
      </c>
      <c r="C1767" s="742" t="s">
        <v>416</v>
      </c>
      <c r="D1767" s="714" t="s">
        <v>454</v>
      </c>
      <c r="E1767" s="715">
        <v>2021.0</v>
      </c>
      <c r="F1767" s="742" t="s">
        <v>418</v>
      </c>
      <c r="G1767" s="742" t="s">
        <v>50</v>
      </c>
      <c r="H1767" s="716">
        <v>3401209.0</v>
      </c>
      <c r="I1767" s="716">
        <v>3882496.0</v>
      </c>
      <c r="J1767" s="717">
        <v>2855987.0</v>
      </c>
      <c r="K1767" s="64"/>
      <c r="CE1767" s="460"/>
    </row>
    <row r="1768">
      <c r="A1768" s="63"/>
      <c r="B1768" s="701" t="s">
        <v>103</v>
      </c>
      <c r="C1768" s="743" t="s">
        <v>416</v>
      </c>
      <c r="D1768" s="703" t="s">
        <v>457</v>
      </c>
      <c r="E1768" s="704">
        <v>2021.0</v>
      </c>
      <c r="F1768" s="743" t="s">
        <v>418</v>
      </c>
      <c r="G1768" s="743" t="s">
        <v>50</v>
      </c>
      <c r="H1768" s="705">
        <v>331495.0</v>
      </c>
      <c r="I1768" s="705">
        <v>378403.0</v>
      </c>
      <c r="J1768" s="706">
        <v>278356.0</v>
      </c>
      <c r="K1768" s="64"/>
      <c r="CE1768" s="460"/>
    </row>
    <row r="1769">
      <c r="A1769" s="63"/>
      <c r="B1769" s="712" t="s">
        <v>103</v>
      </c>
      <c r="C1769" s="742" t="s">
        <v>416</v>
      </c>
      <c r="D1769" s="714" t="s">
        <v>460</v>
      </c>
      <c r="E1769" s="715">
        <v>2021.0</v>
      </c>
      <c r="F1769" s="742" t="s">
        <v>418</v>
      </c>
      <c r="G1769" s="742" t="s">
        <v>50</v>
      </c>
      <c r="H1769" s="716">
        <v>153356.0</v>
      </c>
      <c r="I1769" s="716">
        <v>175057.0</v>
      </c>
      <c r="J1769" s="717">
        <v>128773.0</v>
      </c>
      <c r="K1769" s="64"/>
      <c r="CE1769" s="460"/>
    </row>
    <row r="1770">
      <c r="A1770" s="63"/>
      <c r="B1770" s="701" t="s">
        <v>103</v>
      </c>
      <c r="C1770" s="743" t="s">
        <v>416</v>
      </c>
      <c r="D1770" s="703" t="s">
        <v>463</v>
      </c>
      <c r="E1770" s="704">
        <v>2021.0</v>
      </c>
      <c r="F1770" s="743" t="s">
        <v>418</v>
      </c>
      <c r="G1770" s="743" t="s">
        <v>50</v>
      </c>
      <c r="H1770" s="705">
        <v>1192394.0</v>
      </c>
      <c r="I1770" s="705">
        <v>1361123.0</v>
      </c>
      <c r="J1770" s="706">
        <v>1001250.0</v>
      </c>
      <c r="K1770" s="64"/>
      <c r="CE1770" s="460"/>
    </row>
    <row r="1771">
      <c r="A1771" s="63"/>
      <c r="B1771" s="712" t="s">
        <v>103</v>
      </c>
      <c r="C1771" s="742" t="s">
        <v>416</v>
      </c>
      <c r="D1771" s="714" t="s">
        <v>465</v>
      </c>
      <c r="E1771" s="715">
        <v>2021.0</v>
      </c>
      <c r="F1771" s="742" t="s">
        <v>418</v>
      </c>
      <c r="G1771" s="742" t="s">
        <v>50</v>
      </c>
      <c r="H1771" s="716">
        <v>4448788.0</v>
      </c>
      <c r="I1771" s="716">
        <v>5078311.0</v>
      </c>
      <c r="J1771" s="717">
        <v>3735636.0</v>
      </c>
      <c r="K1771" s="64"/>
      <c r="CE1771" s="460"/>
    </row>
    <row r="1772">
      <c r="A1772" s="63"/>
      <c r="B1772" s="701" t="s">
        <v>103</v>
      </c>
      <c r="C1772" s="743" t="s">
        <v>416</v>
      </c>
      <c r="D1772" s="703" t="s">
        <v>468</v>
      </c>
      <c r="E1772" s="704">
        <v>2021.0</v>
      </c>
      <c r="F1772" s="743" t="s">
        <v>418</v>
      </c>
      <c r="G1772" s="743" t="s">
        <v>50</v>
      </c>
      <c r="H1772" s="705">
        <v>847025.0</v>
      </c>
      <c r="I1772" s="705">
        <v>966883.0</v>
      </c>
      <c r="J1772" s="706">
        <v>711245.0</v>
      </c>
      <c r="K1772" s="64"/>
      <c r="CE1772" s="460"/>
    </row>
    <row r="1773">
      <c r="A1773" s="63"/>
      <c r="B1773" s="712" t="s">
        <v>103</v>
      </c>
      <c r="C1773" s="742" t="s">
        <v>416</v>
      </c>
      <c r="D1773" s="714" t="s">
        <v>471</v>
      </c>
      <c r="E1773" s="715">
        <v>2021.0</v>
      </c>
      <c r="F1773" s="742" t="s">
        <v>418</v>
      </c>
      <c r="G1773" s="742" t="s">
        <v>50</v>
      </c>
      <c r="H1773" s="716">
        <v>874983.0</v>
      </c>
      <c r="I1773" s="716">
        <v>998797.0</v>
      </c>
      <c r="J1773" s="717">
        <v>734721.0</v>
      </c>
      <c r="K1773" s="64"/>
      <c r="CE1773" s="460"/>
    </row>
    <row r="1774">
      <c r="A1774" s="63"/>
      <c r="B1774" s="701" t="s">
        <v>103</v>
      </c>
      <c r="C1774" s="743" t="s">
        <v>416</v>
      </c>
      <c r="D1774" s="703" t="s">
        <v>473</v>
      </c>
      <c r="E1774" s="704">
        <v>2021.0</v>
      </c>
      <c r="F1774" s="743" t="s">
        <v>418</v>
      </c>
      <c r="G1774" s="743" t="s">
        <v>50</v>
      </c>
      <c r="H1774" s="705">
        <v>3338152.0</v>
      </c>
      <c r="I1774" s="705">
        <v>3810516.0</v>
      </c>
      <c r="J1774" s="706">
        <v>2803038.0</v>
      </c>
      <c r="K1774" s="64"/>
      <c r="CE1774" s="460"/>
    </row>
    <row r="1775">
      <c r="A1775" s="63"/>
      <c r="B1775" s="712" t="s">
        <v>103</v>
      </c>
      <c r="C1775" s="742" t="s">
        <v>416</v>
      </c>
      <c r="D1775" s="714" t="s">
        <v>476</v>
      </c>
      <c r="E1775" s="715">
        <v>2021.0</v>
      </c>
      <c r="F1775" s="742" t="s">
        <v>418</v>
      </c>
      <c r="G1775" s="742" t="s">
        <v>50</v>
      </c>
      <c r="H1775" s="716">
        <v>521138.0</v>
      </c>
      <c r="I1775" s="716">
        <v>594882.0</v>
      </c>
      <c r="J1775" s="717">
        <v>437599.0</v>
      </c>
      <c r="K1775" s="64"/>
      <c r="CE1775" s="460"/>
    </row>
    <row r="1776">
      <c r="A1776" s="63"/>
      <c r="B1776" s="701" t="s">
        <v>103</v>
      </c>
      <c r="C1776" s="743" t="s">
        <v>416</v>
      </c>
      <c r="D1776" s="703" t="s">
        <v>479</v>
      </c>
      <c r="E1776" s="704">
        <v>2021.0</v>
      </c>
      <c r="F1776" s="743" t="s">
        <v>418</v>
      </c>
      <c r="G1776" s="743" t="s">
        <v>50</v>
      </c>
      <c r="H1776" s="705">
        <v>523546.0</v>
      </c>
      <c r="I1776" s="705">
        <v>597631.0</v>
      </c>
      <c r="J1776" s="706">
        <v>439621.0</v>
      </c>
      <c r="K1776" s="64"/>
      <c r="CE1776" s="460"/>
    </row>
    <row r="1777">
      <c r="A1777" s="63"/>
      <c r="B1777" s="712" t="s">
        <v>103</v>
      </c>
      <c r="C1777" s="742" t="s">
        <v>416</v>
      </c>
      <c r="D1777" s="714" t="s">
        <v>482</v>
      </c>
      <c r="E1777" s="715">
        <v>2021.0</v>
      </c>
      <c r="F1777" s="742" t="s">
        <v>418</v>
      </c>
      <c r="G1777" s="742" t="s">
        <v>50</v>
      </c>
      <c r="H1777" s="716">
        <v>514996.0</v>
      </c>
      <c r="I1777" s="716">
        <v>587871.0</v>
      </c>
      <c r="J1777" s="717">
        <v>432441.0</v>
      </c>
      <c r="K1777" s="64"/>
      <c r="CE1777" s="460"/>
    </row>
    <row r="1778">
      <c r="A1778" s="63"/>
      <c r="B1778" s="701" t="s">
        <v>103</v>
      </c>
      <c r="C1778" s="743" t="s">
        <v>416</v>
      </c>
      <c r="D1778" s="703" t="s">
        <v>485</v>
      </c>
      <c r="E1778" s="704">
        <v>2021.0</v>
      </c>
      <c r="F1778" s="743" t="s">
        <v>418</v>
      </c>
      <c r="G1778" s="743" t="s">
        <v>50</v>
      </c>
      <c r="H1778" s="705">
        <v>463159.0</v>
      </c>
      <c r="I1778" s="705">
        <v>528698.0</v>
      </c>
      <c r="J1778" s="706">
        <v>388914.0</v>
      </c>
      <c r="K1778" s="64"/>
      <c r="CE1778" s="460"/>
    </row>
    <row r="1779">
      <c r="A1779" s="63"/>
      <c r="B1779" s="712" t="s">
        <v>103</v>
      </c>
      <c r="C1779" s="742" t="s">
        <v>416</v>
      </c>
      <c r="D1779" s="714" t="s">
        <v>488</v>
      </c>
      <c r="E1779" s="715">
        <v>2021.0</v>
      </c>
      <c r="F1779" s="742" t="s">
        <v>418</v>
      </c>
      <c r="G1779" s="742" t="s">
        <v>50</v>
      </c>
      <c r="H1779" s="716">
        <v>386529.0</v>
      </c>
      <c r="I1779" s="716">
        <v>441224.0</v>
      </c>
      <c r="J1779" s="717">
        <v>324567.0</v>
      </c>
      <c r="K1779" s="64"/>
      <c r="CE1779" s="460"/>
    </row>
    <row r="1780">
      <c r="A1780" s="63"/>
      <c r="B1780" s="701" t="s">
        <v>103</v>
      </c>
      <c r="C1780" s="743" t="s">
        <v>416</v>
      </c>
      <c r="D1780" s="703" t="s">
        <v>491</v>
      </c>
      <c r="E1780" s="704">
        <v>2021.0</v>
      </c>
      <c r="F1780" s="743" t="s">
        <v>418</v>
      </c>
      <c r="G1780" s="743" t="s">
        <v>50</v>
      </c>
      <c r="H1780" s="705">
        <v>306061.0</v>
      </c>
      <c r="I1780" s="705">
        <v>349370.0</v>
      </c>
      <c r="J1780" s="706">
        <v>256999.0</v>
      </c>
      <c r="K1780" s="64"/>
      <c r="CE1780" s="460"/>
    </row>
    <row r="1781">
      <c r="A1781" s="63"/>
      <c r="B1781" s="712" t="s">
        <v>103</v>
      </c>
      <c r="C1781" s="742" t="s">
        <v>416</v>
      </c>
      <c r="D1781" s="714" t="s">
        <v>493</v>
      </c>
      <c r="E1781" s="715">
        <v>2021.0</v>
      </c>
      <c r="F1781" s="742" t="s">
        <v>418</v>
      </c>
      <c r="G1781" s="742" t="s">
        <v>50</v>
      </c>
      <c r="H1781" s="716">
        <v>789584.0</v>
      </c>
      <c r="I1781" s="716">
        <v>901314.0</v>
      </c>
      <c r="J1781" s="717">
        <v>663012.0</v>
      </c>
      <c r="K1781" s="64"/>
      <c r="CE1781" s="460"/>
    </row>
    <row r="1782">
      <c r="A1782" s="63"/>
      <c r="B1782" s="701" t="s">
        <v>103</v>
      </c>
      <c r="C1782" s="743" t="s">
        <v>416</v>
      </c>
      <c r="D1782" s="703" t="s">
        <v>434</v>
      </c>
      <c r="E1782" s="704">
        <v>2021.0</v>
      </c>
      <c r="F1782" s="743" t="s">
        <v>418</v>
      </c>
      <c r="G1782" s="743" t="s">
        <v>50</v>
      </c>
      <c r="H1782" s="705">
        <v>2732617.0</v>
      </c>
      <c r="I1782" s="705">
        <v>3119295.0</v>
      </c>
      <c r="J1782" s="706">
        <v>2294572.0</v>
      </c>
      <c r="K1782" s="64"/>
      <c r="CE1782" s="460"/>
    </row>
    <row r="1783">
      <c r="A1783" s="63"/>
      <c r="B1783" s="712" t="s">
        <v>103</v>
      </c>
      <c r="C1783" s="742" t="s">
        <v>416</v>
      </c>
      <c r="D1783" s="714" t="s">
        <v>497</v>
      </c>
      <c r="E1783" s="715">
        <v>2021.0</v>
      </c>
      <c r="F1783" s="742" t="s">
        <v>418</v>
      </c>
      <c r="G1783" s="742" t="s">
        <v>50</v>
      </c>
      <c r="H1783" s="716">
        <v>224903.0</v>
      </c>
      <c r="I1783" s="716">
        <v>256728.0</v>
      </c>
      <c r="J1783" s="717">
        <v>188851.0</v>
      </c>
      <c r="K1783" s="64"/>
      <c r="CE1783" s="460"/>
    </row>
    <row r="1784">
      <c r="A1784" s="63"/>
      <c r="B1784" s="701" t="s">
        <v>103</v>
      </c>
      <c r="C1784" s="743" t="s">
        <v>416</v>
      </c>
      <c r="D1784" s="703" t="s">
        <v>500</v>
      </c>
      <c r="E1784" s="704">
        <v>2021.0</v>
      </c>
      <c r="F1784" s="743" t="s">
        <v>418</v>
      </c>
      <c r="G1784" s="743" t="s">
        <v>50</v>
      </c>
      <c r="H1784" s="705">
        <v>1370827.0</v>
      </c>
      <c r="I1784" s="705">
        <v>1564805.0</v>
      </c>
      <c r="J1784" s="706">
        <v>1151080.0</v>
      </c>
      <c r="K1784" s="64"/>
      <c r="CE1784" s="460"/>
    </row>
    <row r="1785">
      <c r="A1785" s="63"/>
      <c r="B1785" s="712" t="s">
        <v>103</v>
      </c>
      <c r="C1785" s="742" t="s">
        <v>416</v>
      </c>
      <c r="D1785" s="714" t="s">
        <v>502</v>
      </c>
      <c r="E1785" s="715">
        <v>2021.0</v>
      </c>
      <c r="F1785" s="742" t="s">
        <v>418</v>
      </c>
      <c r="G1785" s="742" t="s">
        <v>50</v>
      </c>
      <c r="H1785" s="716">
        <v>155901.0</v>
      </c>
      <c r="I1785" s="716">
        <v>177962.0</v>
      </c>
      <c r="J1785" s="717">
        <v>130910.0</v>
      </c>
      <c r="K1785" s="64"/>
      <c r="CE1785" s="460"/>
    </row>
    <row r="1786">
      <c r="A1786" s="63"/>
      <c r="B1786" s="701" t="s">
        <v>103</v>
      </c>
      <c r="C1786" s="743" t="s">
        <v>416</v>
      </c>
      <c r="D1786" s="703" t="s">
        <v>505</v>
      </c>
      <c r="E1786" s="704">
        <v>2021.0</v>
      </c>
      <c r="F1786" s="743" t="s">
        <v>418</v>
      </c>
      <c r="G1786" s="743" t="s">
        <v>50</v>
      </c>
      <c r="H1786" s="705">
        <v>173928.0</v>
      </c>
      <c r="I1786" s="705">
        <v>198540.0</v>
      </c>
      <c r="J1786" s="706">
        <v>146047.0</v>
      </c>
      <c r="K1786" s="64"/>
      <c r="CE1786" s="460"/>
    </row>
    <row r="1787">
      <c r="A1787" s="63"/>
      <c r="B1787" s="712" t="s">
        <v>103</v>
      </c>
      <c r="C1787" s="742" t="s">
        <v>416</v>
      </c>
      <c r="D1787" s="714" t="s">
        <v>508</v>
      </c>
      <c r="E1787" s="715">
        <v>2021.0</v>
      </c>
      <c r="F1787" s="742" t="s">
        <v>418</v>
      </c>
      <c r="G1787" s="742" t="s">
        <v>50</v>
      </c>
      <c r="H1787" s="716">
        <v>102719.0</v>
      </c>
      <c r="I1787" s="716">
        <v>117254.0</v>
      </c>
      <c r="J1787" s="717">
        <v>86253.0</v>
      </c>
      <c r="K1787" s="64"/>
      <c r="CE1787" s="460"/>
    </row>
    <row r="1788">
      <c r="A1788" s="63"/>
      <c r="B1788" s="701" t="s">
        <v>103</v>
      </c>
      <c r="C1788" s="743" t="s">
        <v>416</v>
      </c>
      <c r="D1788" s="703" t="s">
        <v>511</v>
      </c>
      <c r="E1788" s="704">
        <v>2021.0</v>
      </c>
      <c r="F1788" s="743" t="s">
        <v>418</v>
      </c>
      <c r="G1788" s="743" t="s">
        <v>50</v>
      </c>
      <c r="H1788" s="705">
        <v>139199.0</v>
      </c>
      <c r="I1788" s="705">
        <v>158896.0</v>
      </c>
      <c r="J1788" s="706">
        <v>116885.0</v>
      </c>
      <c r="K1788" s="64"/>
      <c r="CE1788" s="460"/>
    </row>
    <row r="1789">
      <c r="A1789" s="63"/>
      <c r="B1789" s="712" t="s">
        <v>103</v>
      </c>
      <c r="C1789" s="742" t="s">
        <v>416</v>
      </c>
      <c r="D1789" s="714" t="s">
        <v>514</v>
      </c>
      <c r="E1789" s="715">
        <v>2021.0</v>
      </c>
      <c r="F1789" s="742" t="s">
        <v>418</v>
      </c>
      <c r="G1789" s="742" t="s">
        <v>50</v>
      </c>
      <c r="H1789" s="716">
        <v>64491.0</v>
      </c>
      <c r="I1789" s="716">
        <v>73617.0</v>
      </c>
      <c r="J1789" s="717">
        <v>54153.0</v>
      </c>
      <c r="K1789" s="64"/>
      <c r="CE1789" s="460"/>
    </row>
    <row r="1790">
      <c r="A1790" s="63"/>
      <c r="B1790" s="701" t="s">
        <v>103</v>
      </c>
      <c r="C1790" s="743" t="s">
        <v>416</v>
      </c>
      <c r="D1790" s="703" t="s">
        <v>439</v>
      </c>
      <c r="E1790" s="704">
        <v>2021.0</v>
      </c>
      <c r="F1790" s="743" t="s">
        <v>418</v>
      </c>
      <c r="G1790" s="743" t="s">
        <v>50</v>
      </c>
      <c r="H1790" s="705">
        <v>21307.0</v>
      </c>
      <c r="I1790" s="705">
        <v>24322.0</v>
      </c>
      <c r="J1790" s="706">
        <v>17892.0</v>
      </c>
      <c r="K1790" s="64"/>
      <c r="CE1790" s="460"/>
    </row>
    <row r="1791">
      <c r="A1791" s="63"/>
      <c r="B1791" s="712" t="s">
        <v>103</v>
      </c>
      <c r="C1791" s="742" t="s">
        <v>416</v>
      </c>
      <c r="D1791" s="714" t="s">
        <v>517</v>
      </c>
      <c r="E1791" s="715">
        <v>2021.0</v>
      </c>
      <c r="F1791" s="742" t="s">
        <v>418</v>
      </c>
      <c r="G1791" s="742" t="s">
        <v>50</v>
      </c>
      <c r="H1791" s="716">
        <v>40863.0</v>
      </c>
      <c r="I1791" s="716">
        <v>46645.0</v>
      </c>
      <c r="J1791" s="717">
        <v>34312.0</v>
      </c>
      <c r="K1791" s="64"/>
      <c r="CE1791" s="460"/>
    </row>
    <row r="1792">
      <c r="A1792" s="63"/>
      <c r="B1792" s="701" t="s">
        <v>103</v>
      </c>
      <c r="C1792" s="743" t="s">
        <v>416</v>
      </c>
      <c r="D1792" s="703" t="s">
        <v>520</v>
      </c>
      <c r="E1792" s="704">
        <v>2021.0</v>
      </c>
      <c r="F1792" s="743" t="s">
        <v>418</v>
      </c>
      <c r="G1792" s="743" t="s">
        <v>50</v>
      </c>
      <c r="H1792" s="705">
        <v>33845.0</v>
      </c>
      <c r="I1792" s="705">
        <v>38635.0</v>
      </c>
      <c r="J1792" s="706">
        <v>28420.0</v>
      </c>
      <c r="K1792" s="64"/>
      <c r="CE1792" s="460"/>
    </row>
    <row r="1793">
      <c r="A1793" s="63"/>
      <c r="B1793" s="712" t="s">
        <v>103</v>
      </c>
      <c r="C1793" s="742" t="s">
        <v>416</v>
      </c>
      <c r="D1793" s="714" t="s">
        <v>521</v>
      </c>
      <c r="E1793" s="715">
        <v>2021.0</v>
      </c>
      <c r="F1793" s="742" t="s">
        <v>418</v>
      </c>
      <c r="G1793" s="742" t="s">
        <v>50</v>
      </c>
      <c r="H1793" s="716">
        <v>20981.0</v>
      </c>
      <c r="I1793" s="716">
        <v>23949.0</v>
      </c>
      <c r="J1793" s="717">
        <v>17617.0</v>
      </c>
      <c r="K1793" s="64"/>
      <c r="CE1793" s="460"/>
    </row>
    <row r="1794">
      <c r="A1794" s="63"/>
      <c r="B1794" s="701" t="s">
        <v>103</v>
      </c>
      <c r="C1794" s="743" t="s">
        <v>416</v>
      </c>
      <c r="D1794" s="703" t="s">
        <v>524</v>
      </c>
      <c r="E1794" s="704">
        <v>2021.0</v>
      </c>
      <c r="F1794" s="743" t="s">
        <v>418</v>
      </c>
      <c r="G1794" s="743" t="s">
        <v>50</v>
      </c>
      <c r="H1794" s="705">
        <v>9140.0</v>
      </c>
      <c r="I1794" s="705">
        <v>10434.0</v>
      </c>
      <c r="J1794" s="706">
        <v>7675.0</v>
      </c>
      <c r="K1794" s="64"/>
      <c r="CE1794" s="460"/>
    </row>
    <row r="1795">
      <c r="A1795" s="63"/>
      <c r="B1795" s="712" t="s">
        <v>103</v>
      </c>
      <c r="C1795" s="742" t="s">
        <v>416</v>
      </c>
      <c r="D1795" s="714" t="s">
        <v>527</v>
      </c>
      <c r="E1795" s="715">
        <v>2021.0</v>
      </c>
      <c r="F1795" s="742" t="s">
        <v>418</v>
      </c>
      <c r="G1795" s="742" t="s">
        <v>50</v>
      </c>
      <c r="H1795" s="716">
        <v>2864.0</v>
      </c>
      <c r="I1795" s="716">
        <v>3270.0</v>
      </c>
      <c r="J1795" s="717">
        <v>2405.0</v>
      </c>
      <c r="K1795" s="64"/>
      <c r="CE1795" s="460"/>
    </row>
    <row r="1796">
      <c r="A1796" s="63"/>
      <c r="B1796" s="701" t="s">
        <v>103</v>
      </c>
      <c r="C1796" s="743" t="s">
        <v>416</v>
      </c>
      <c r="D1796" s="703" t="s">
        <v>529</v>
      </c>
      <c r="E1796" s="704">
        <v>2021.0</v>
      </c>
      <c r="F1796" s="743" t="s">
        <v>418</v>
      </c>
      <c r="G1796" s="743" t="s">
        <v>50</v>
      </c>
      <c r="H1796" s="705">
        <v>860.0</v>
      </c>
      <c r="I1796" s="705">
        <v>982.0</v>
      </c>
      <c r="J1796" s="706">
        <v>722.0</v>
      </c>
      <c r="K1796" s="64"/>
      <c r="CE1796" s="460"/>
    </row>
    <row r="1797">
      <c r="A1797" s="63"/>
      <c r="B1797" s="712" t="s">
        <v>103</v>
      </c>
      <c r="C1797" s="742" t="s">
        <v>416</v>
      </c>
      <c r="D1797" s="714" t="s">
        <v>443</v>
      </c>
      <c r="E1797" s="715">
        <v>2021.0</v>
      </c>
      <c r="F1797" s="742" t="s">
        <v>418</v>
      </c>
      <c r="G1797" s="742" t="s">
        <v>50</v>
      </c>
      <c r="H1797" s="716">
        <v>9672522.0</v>
      </c>
      <c r="I1797" s="716">
        <v>1.1041228E7</v>
      </c>
      <c r="J1797" s="717">
        <v>8121993.0</v>
      </c>
      <c r="K1797" s="64"/>
      <c r="CE1797" s="460"/>
    </row>
    <row r="1798">
      <c r="A1798" s="63"/>
      <c r="B1798" s="701" t="s">
        <v>104</v>
      </c>
      <c r="C1798" s="743" t="s">
        <v>416</v>
      </c>
      <c r="D1798" s="703" t="s">
        <v>417</v>
      </c>
      <c r="E1798" s="704">
        <v>2021.0</v>
      </c>
      <c r="F1798" s="743" t="s">
        <v>418</v>
      </c>
      <c r="G1798" s="743" t="s">
        <v>50</v>
      </c>
      <c r="H1798" s="705">
        <v>235998.0</v>
      </c>
      <c r="I1798" s="705">
        <v>267949.0</v>
      </c>
      <c r="J1798" s="706">
        <v>201996.0</v>
      </c>
      <c r="K1798" s="64"/>
      <c r="CE1798" s="460"/>
    </row>
    <row r="1799">
      <c r="A1799" s="63"/>
      <c r="B1799" s="712" t="s">
        <v>104</v>
      </c>
      <c r="C1799" s="742" t="s">
        <v>416</v>
      </c>
      <c r="D1799" s="714" t="s">
        <v>431</v>
      </c>
      <c r="E1799" s="715">
        <v>2021.0</v>
      </c>
      <c r="F1799" s="742" t="s">
        <v>418</v>
      </c>
      <c r="G1799" s="742" t="s">
        <v>50</v>
      </c>
      <c r="H1799" s="716">
        <v>4175409.0</v>
      </c>
      <c r="I1799" s="716">
        <v>4740703.0</v>
      </c>
      <c r="J1799" s="717">
        <v>3573824.0</v>
      </c>
      <c r="K1799" s="64"/>
      <c r="CE1799" s="460"/>
    </row>
    <row r="1800">
      <c r="A1800" s="63"/>
      <c r="B1800" s="701" t="s">
        <v>104</v>
      </c>
      <c r="C1800" s="743" t="s">
        <v>416</v>
      </c>
      <c r="D1800" s="703" t="s">
        <v>438</v>
      </c>
      <c r="E1800" s="704">
        <v>2021.0</v>
      </c>
      <c r="F1800" s="743" t="s">
        <v>418</v>
      </c>
      <c r="G1800" s="743" t="s">
        <v>50</v>
      </c>
      <c r="H1800" s="705">
        <v>18283.0</v>
      </c>
      <c r="I1800" s="705">
        <v>20758.0</v>
      </c>
      <c r="J1800" s="706">
        <v>15649.0</v>
      </c>
      <c r="K1800" s="64"/>
      <c r="CE1800" s="460"/>
    </row>
    <row r="1801">
      <c r="A1801" s="63"/>
      <c r="B1801" s="712" t="s">
        <v>104</v>
      </c>
      <c r="C1801" s="742" t="s">
        <v>416</v>
      </c>
      <c r="D1801" s="714" t="s">
        <v>421</v>
      </c>
      <c r="E1801" s="715">
        <v>2021.0</v>
      </c>
      <c r="F1801" s="742" t="s">
        <v>418</v>
      </c>
      <c r="G1801" s="742" t="s">
        <v>50</v>
      </c>
      <c r="H1801" s="716">
        <v>1172510.0</v>
      </c>
      <c r="I1801" s="716">
        <v>1331252.0</v>
      </c>
      <c r="J1801" s="717">
        <v>1003577.0</v>
      </c>
      <c r="K1801" s="64"/>
      <c r="CE1801" s="460"/>
    </row>
    <row r="1802">
      <c r="A1802" s="63"/>
      <c r="B1802" s="701" t="s">
        <v>104</v>
      </c>
      <c r="C1802" s="743" t="s">
        <v>416</v>
      </c>
      <c r="D1802" s="703" t="s">
        <v>447</v>
      </c>
      <c r="E1802" s="704">
        <v>2021.0</v>
      </c>
      <c r="F1802" s="743" t="s">
        <v>418</v>
      </c>
      <c r="G1802" s="743" t="s">
        <v>50</v>
      </c>
      <c r="H1802" s="705">
        <v>3309042.0</v>
      </c>
      <c r="I1802" s="705">
        <v>3757042.0</v>
      </c>
      <c r="J1802" s="706">
        <v>2832282.0</v>
      </c>
      <c r="K1802" s="64"/>
      <c r="CE1802" s="460"/>
    </row>
    <row r="1803">
      <c r="A1803" s="63"/>
      <c r="B1803" s="712" t="s">
        <v>104</v>
      </c>
      <c r="C1803" s="742" t="s">
        <v>416</v>
      </c>
      <c r="D1803" s="714" t="s">
        <v>432</v>
      </c>
      <c r="E1803" s="715">
        <v>2021.0</v>
      </c>
      <c r="F1803" s="742" t="s">
        <v>418</v>
      </c>
      <c r="G1803" s="742" t="s">
        <v>50</v>
      </c>
      <c r="H1803" s="716">
        <v>4611.0</v>
      </c>
      <c r="I1803" s="716">
        <v>5236.0</v>
      </c>
      <c r="J1803" s="717">
        <v>3947.0</v>
      </c>
      <c r="K1803" s="64"/>
      <c r="CE1803" s="460"/>
    </row>
    <row r="1804">
      <c r="A1804" s="63"/>
      <c r="B1804" s="701" t="s">
        <v>104</v>
      </c>
      <c r="C1804" s="743" t="s">
        <v>416</v>
      </c>
      <c r="D1804" s="703" t="s">
        <v>450</v>
      </c>
      <c r="E1804" s="704">
        <v>2021.0</v>
      </c>
      <c r="F1804" s="743" t="s">
        <v>418</v>
      </c>
      <c r="G1804" s="743" t="s">
        <v>50</v>
      </c>
      <c r="H1804" s="705">
        <v>1008922.0</v>
      </c>
      <c r="I1804" s="705">
        <v>1145516.0</v>
      </c>
      <c r="J1804" s="706">
        <v>863558.0</v>
      </c>
      <c r="K1804" s="64"/>
      <c r="CE1804" s="460"/>
    </row>
    <row r="1805">
      <c r="A1805" s="63"/>
      <c r="B1805" s="712" t="s">
        <v>104</v>
      </c>
      <c r="C1805" s="742" t="s">
        <v>416</v>
      </c>
      <c r="D1805" s="714" t="s">
        <v>453</v>
      </c>
      <c r="E1805" s="715">
        <v>2021.0</v>
      </c>
      <c r="F1805" s="742" t="s">
        <v>418</v>
      </c>
      <c r="G1805" s="742" t="s">
        <v>50</v>
      </c>
      <c r="H1805" s="716">
        <v>1875288.0</v>
      </c>
      <c r="I1805" s="716">
        <v>2129177.0</v>
      </c>
      <c r="J1805" s="717">
        <v>1605100.0</v>
      </c>
      <c r="K1805" s="64"/>
      <c r="CE1805" s="460"/>
    </row>
    <row r="1806">
      <c r="A1806" s="63"/>
      <c r="B1806" s="701" t="s">
        <v>104</v>
      </c>
      <c r="C1806" s="743" t="s">
        <v>416</v>
      </c>
      <c r="D1806" s="703" t="s">
        <v>454</v>
      </c>
      <c r="E1806" s="704">
        <v>2021.0</v>
      </c>
      <c r="F1806" s="743" t="s">
        <v>418</v>
      </c>
      <c r="G1806" s="743" t="s">
        <v>50</v>
      </c>
      <c r="H1806" s="705">
        <v>2618754.0</v>
      </c>
      <c r="I1806" s="705">
        <v>2973298.0</v>
      </c>
      <c r="J1806" s="706">
        <v>2241449.0</v>
      </c>
      <c r="K1806" s="64"/>
      <c r="CE1806" s="460"/>
    </row>
    <row r="1807">
      <c r="A1807" s="63"/>
      <c r="B1807" s="712" t="s">
        <v>104</v>
      </c>
      <c r="C1807" s="742" t="s">
        <v>416</v>
      </c>
      <c r="D1807" s="714" t="s">
        <v>457</v>
      </c>
      <c r="E1807" s="715">
        <v>2021.0</v>
      </c>
      <c r="F1807" s="742" t="s">
        <v>418</v>
      </c>
      <c r="G1807" s="742" t="s">
        <v>50</v>
      </c>
      <c r="H1807" s="716">
        <v>234603.0</v>
      </c>
      <c r="I1807" s="716">
        <v>266365.0</v>
      </c>
      <c r="J1807" s="717">
        <v>200802.0</v>
      </c>
      <c r="K1807" s="64"/>
      <c r="CE1807" s="460"/>
    </row>
    <row r="1808">
      <c r="A1808" s="63"/>
      <c r="B1808" s="701" t="s">
        <v>104</v>
      </c>
      <c r="C1808" s="743" t="s">
        <v>416</v>
      </c>
      <c r="D1808" s="703" t="s">
        <v>460</v>
      </c>
      <c r="E1808" s="704">
        <v>2021.0</v>
      </c>
      <c r="F1808" s="743" t="s">
        <v>418</v>
      </c>
      <c r="G1808" s="743" t="s">
        <v>50</v>
      </c>
      <c r="H1808" s="705">
        <v>100441.0</v>
      </c>
      <c r="I1808" s="705">
        <v>114040.0</v>
      </c>
      <c r="J1808" s="706">
        <v>85970.0</v>
      </c>
      <c r="K1808" s="64"/>
      <c r="CE1808" s="460"/>
    </row>
    <row r="1809">
      <c r="A1809" s="63"/>
      <c r="B1809" s="712" t="s">
        <v>104</v>
      </c>
      <c r="C1809" s="742" t="s">
        <v>416</v>
      </c>
      <c r="D1809" s="714" t="s">
        <v>463</v>
      </c>
      <c r="E1809" s="715">
        <v>2021.0</v>
      </c>
      <c r="F1809" s="742" t="s">
        <v>418</v>
      </c>
      <c r="G1809" s="742" t="s">
        <v>50</v>
      </c>
      <c r="H1809" s="716">
        <v>866367.0</v>
      </c>
      <c r="I1809" s="716">
        <v>983661.0</v>
      </c>
      <c r="J1809" s="717">
        <v>741542.0</v>
      </c>
      <c r="K1809" s="64"/>
      <c r="CE1809" s="460"/>
    </row>
    <row r="1810">
      <c r="A1810" s="63"/>
      <c r="B1810" s="701" t="s">
        <v>104</v>
      </c>
      <c r="C1810" s="743" t="s">
        <v>416</v>
      </c>
      <c r="D1810" s="703" t="s">
        <v>465</v>
      </c>
      <c r="E1810" s="704">
        <v>2021.0</v>
      </c>
      <c r="F1810" s="743" t="s">
        <v>418</v>
      </c>
      <c r="G1810" s="743" t="s">
        <v>50</v>
      </c>
      <c r="H1810" s="705">
        <v>4156502.0</v>
      </c>
      <c r="I1810" s="705">
        <v>4719237.0</v>
      </c>
      <c r="J1810" s="706">
        <v>3557642.0</v>
      </c>
      <c r="K1810" s="64"/>
      <c r="CE1810" s="460"/>
    </row>
    <row r="1811">
      <c r="A1811" s="63"/>
      <c r="B1811" s="712" t="s">
        <v>104</v>
      </c>
      <c r="C1811" s="742" t="s">
        <v>416</v>
      </c>
      <c r="D1811" s="714" t="s">
        <v>468</v>
      </c>
      <c r="E1811" s="715">
        <v>2021.0</v>
      </c>
      <c r="F1811" s="742" t="s">
        <v>418</v>
      </c>
      <c r="G1811" s="742" t="s">
        <v>50</v>
      </c>
      <c r="H1811" s="716">
        <v>743466.0</v>
      </c>
      <c r="I1811" s="716">
        <v>844121.0</v>
      </c>
      <c r="J1811" s="717">
        <v>636349.0</v>
      </c>
      <c r="K1811" s="64"/>
      <c r="CE1811" s="460"/>
    </row>
    <row r="1812">
      <c r="A1812" s="63"/>
      <c r="B1812" s="701" t="s">
        <v>104</v>
      </c>
      <c r="C1812" s="743" t="s">
        <v>416</v>
      </c>
      <c r="D1812" s="703" t="s">
        <v>471</v>
      </c>
      <c r="E1812" s="704">
        <v>2021.0</v>
      </c>
      <c r="F1812" s="743" t="s">
        <v>418</v>
      </c>
      <c r="G1812" s="743" t="s">
        <v>50</v>
      </c>
      <c r="H1812" s="705">
        <v>701908.0</v>
      </c>
      <c r="I1812" s="705">
        <v>796937.0</v>
      </c>
      <c r="J1812" s="706">
        <v>600779.0</v>
      </c>
      <c r="K1812" s="64"/>
      <c r="CE1812" s="460"/>
    </row>
    <row r="1813">
      <c r="A1813" s="63"/>
      <c r="B1813" s="712" t="s">
        <v>104</v>
      </c>
      <c r="C1813" s="742" t="s">
        <v>416</v>
      </c>
      <c r="D1813" s="714" t="s">
        <v>473</v>
      </c>
      <c r="E1813" s="715">
        <v>2021.0</v>
      </c>
      <c r="F1813" s="742" t="s">
        <v>418</v>
      </c>
      <c r="G1813" s="742" t="s">
        <v>50</v>
      </c>
      <c r="H1813" s="716">
        <v>3452056.0</v>
      </c>
      <c r="I1813" s="716">
        <v>3919418.0</v>
      </c>
      <c r="J1813" s="717">
        <v>2954691.0</v>
      </c>
      <c r="K1813" s="64"/>
      <c r="CE1813" s="460"/>
    </row>
    <row r="1814">
      <c r="A1814" s="63"/>
      <c r="B1814" s="701" t="s">
        <v>104</v>
      </c>
      <c r="C1814" s="743" t="s">
        <v>416</v>
      </c>
      <c r="D1814" s="703" t="s">
        <v>476</v>
      </c>
      <c r="E1814" s="704">
        <v>2021.0</v>
      </c>
      <c r="F1814" s="743" t="s">
        <v>418</v>
      </c>
      <c r="G1814" s="743" t="s">
        <v>50</v>
      </c>
      <c r="H1814" s="705">
        <v>656833.0</v>
      </c>
      <c r="I1814" s="705">
        <v>745760.0</v>
      </c>
      <c r="J1814" s="706">
        <v>562198.0</v>
      </c>
      <c r="K1814" s="64"/>
      <c r="CE1814" s="460"/>
    </row>
    <row r="1815">
      <c r="A1815" s="63"/>
      <c r="B1815" s="712" t="s">
        <v>104</v>
      </c>
      <c r="C1815" s="742" t="s">
        <v>416</v>
      </c>
      <c r="D1815" s="714" t="s">
        <v>479</v>
      </c>
      <c r="E1815" s="715">
        <v>2021.0</v>
      </c>
      <c r="F1815" s="742" t="s">
        <v>418</v>
      </c>
      <c r="G1815" s="742" t="s">
        <v>50</v>
      </c>
      <c r="H1815" s="716">
        <v>587284.0</v>
      </c>
      <c r="I1815" s="716">
        <v>666795.0</v>
      </c>
      <c r="J1815" s="717">
        <v>502670.0</v>
      </c>
      <c r="K1815" s="64"/>
      <c r="CE1815" s="460"/>
    </row>
    <row r="1816">
      <c r="A1816" s="63"/>
      <c r="B1816" s="701" t="s">
        <v>104</v>
      </c>
      <c r="C1816" s="743" t="s">
        <v>416</v>
      </c>
      <c r="D1816" s="703" t="s">
        <v>482</v>
      </c>
      <c r="E1816" s="704">
        <v>2021.0</v>
      </c>
      <c r="F1816" s="743" t="s">
        <v>418</v>
      </c>
      <c r="G1816" s="743" t="s">
        <v>50</v>
      </c>
      <c r="H1816" s="705">
        <v>510573.0</v>
      </c>
      <c r="I1816" s="705">
        <v>579697.0</v>
      </c>
      <c r="J1816" s="706">
        <v>437010.0</v>
      </c>
      <c r="K1816" s="64"/>
      <c r="CE1816" s="460"/>
    </row>
    <row r="1817">
      <c r="A1817" s="63"/>
      <c r="B1817" s="712" t="s">
        <v>104</v>
      </c>
      <c r="C1817" s="742" t="s">
        <v>416</v>
      </c>
      <c r="D1817" s="714" t="s">
        <v>485</v>
      </c>
      <c r="E1817" s="715">
        <v>2021.0</v>
      </c>
      <c r="F1817" s="742" t="s">
        <v>418</v>
      </c>
      <c r="G1817" s="742" t="s">
        <v>50</v>
      </c>
      <c r="H1817" s="716">
        <v>432910.0</v>
      </c>
      <c r="I1817" s="716">
        <v>491520.0</v>
      </c>
      <c r="J1817" s="717">
        <v>370537.0</v>
      </c>
      <c r="K1817" s="64"/>
      <c r="CE1817" s="460"/>
    </row>
    <row r="1818">
      <c r="A1818" s="63"/>
      <c r="B1818" s="701" t="s">
        <v>104</v>
      </c>
      <c r="C1818" s="743" t="s">
        <v>416</v>
      </c>
      <c r="D1818" s="703" t="s">
        <v>488</v>
      </c>
      <c r="E1818" s="704">
        <v>2021.0</v>
      </c>
      <c r="F1818" s="743" t="s">
        <v>418</v>
      </c>
      <c r="G1818" s="743" t="s">
        <v>50</v>
      </c>
      <c r="H1818" s="705">
        <v>359070.0</v>
      </c>
      <c r="I1818" s="705">
        <v>407684.0</v>
      </c>
      <c r="J1818" s="706">
        <v>307336.0</v>
      </c>
      <c r="K1818" s="64"/>
      <c r="CE1818" s="460"/>
    </row>
    <row r="1819">
      <c r="A1819" s="63"/>
      <c r="B1819" s="712" t="s">
        <v>104</v>
      </c>
      <c r="C1819" s="742" t="s">
        <v>416</v>
      </c>
      <c r="D1819" s="714" t="s">
        <v>491</v>
      </c>
      <c r="E1819" s="715">
        <v>2021.0</v>
      </c>
      <c r="F1819" s="742" t="s">
        <v>418</v>
      </c>
      <c r="G1819" s="742" t="s">
        <v>50</v>
      </c>
      <c r="H1819" s="716">
        <v>280698.0</v>
      </c>
      <c r="I1819" s="716">
        <v>318701.0</v>
      </c>
      <c r="J1819" s="717">
        <v>240256.0</v>
      </c>
      <c r="K1819" s="64"/>
      <c r="CE1819" s="460"/>
    </row>
    <row r="1820">
      <c r="A1820" s="63"/>
      <c r="B1820" s="701" t="s">
        <v>104</v>
      </c>
      <c r="C1820" s="743" t="s">
        <v>416</v>
      </c>
      <c r="D1820" s="703" t="s">
        <v>493</v>
      </c>
      <c r="E1820" s="704">
        <v>2021.0</v>
      </c>
      <c r="F1820" s="743" t="s">
        <v>418</v>
      </c>
      <c r="G1820" s="743" t="s">
        <v>50</v>
      </c>
      <c r="H1820" s="705">
        <v>760857.0</v>
      </c>
      <c r="I1820" s="705">
        <v>863867.0</v>
      </c>
      <c r="J1820" s="706">
        <v>651234.0</v>
      </c>
      <c r="K1820" s="64"/>
      <c r="CE1820" s="460"/>
    </row>
    <row r="1821">
      <c r="A1821" s="63"/>
      <c r="B1821" s="712" t="s">
        <v>104</v>
      </c>
      <c r="C1821" s="742" t="s">
        <v>416</v>
      </c>
      <c r="D1821" s="714" t="s">
        <v>434</v>
      </c>
      <c r="E1821" s="715">
        <v>2021.0</v>
      </c>
      <c r="F1821" s="742" t="s">
        <v>418</v>
      </c>
      <c r="G1821" s="742" t="s">
        <v>50</v>
      </c>
      <c r="H1821" s="716">
        <v>2136532.0</v>
      </c>
      <c r="I1821" s="716">
        <v>2425790.0</v>
      </c>
      <c r="J1821" s="717">
        <v>1828705.0</v>
      </c>
      <c r="K1821" s="64"/>
      <c r="CE1821" s="460"/>
    </row>
    <row r="1822">
      <c r="A1822" s="63"/>
      <c r="B1822" s="701" t="s">
        <v>104</v>
      </c>
      <c r="C1822" s="743" t="s">
        <v>416</v>
      </c>
      <c r="D1822" s="703" t="s">
        <v>497</v>
      </c>
      <c r="E1822" s="704">
        <v>2021.0</v>
      </c>
      <c r="F1822" s="743" t="s">
        <v>418</v>
      </c>
      <c r="G1822" s="743" t="s">
        <v>50</v>
      </c>
      <c r="H1822" s="705">
        <v>216964.0</v>
      </c>
      <c r="I1822" s="705">
        <v>246338.0</v>
      </c>
      <c r="J1822" s="706">
        <v>185705.0</v>
      </c>
      <c r="K1822" s="64"/>
      <c r="CE1822" s="460"/>
    </row>
    <row r="1823">
      <c r="A1823" s="63"/>
      <c r="B1823" s="712" t="s">
        <v>104</v>
      </c>
      <c r="C1823" s="742" t="s">
        <v>416</v>
      </c>
      <c r="D1823" s="714" t="s">
        <v>500</v>
      </c>
      <c r="E1823" s="715">
        <v>2021.0</v>
      </c>
      <c r="F1823" s="742" t="s">
        <v>418</v>
      </c>
      <c r="G1823" s="742" t="s">
        <v>50</v>
      </c>
      <c r="H1823" s="716">
        <v>1127611.0</v>
      </c>
      <c r="I1823" s="716">
        <v>1280274.0</v>
      </c>
      <c r="J1823" s="717">
        <v>965147.0</v>
      </c>
      <c r="K1823" s="64"/>
      <c r="CE1823" s="460"/>
    </row>
    <row r="1824">
      <c r="A1824" s="63"/>
      <c r="B1824" s="701" t="s">
        <v>104</v>
      </c>
      <c r="C1824" s="743" t="s">
        <v>416</v>
      </c>
      <c r="D1824" s="703" t="s">
        <v>502</v>
      </c>
      <c r="E1824" s="704">
        <v>2021.0</v>
      </c>
      <c r="F1824" s="743" t="s">
        <v>418</v>
      </c>
      <c r="G1824" s="743" t="s">
        <v>50</v>
      </c>
      <c r="H1824" s="705">
        <v>154234.0</v>
      </c>
      <c r="I1824" s="705">
        <v>175115.0</v>
      </c>
      <c r="J1824" s="706">
        <v>132012.0</v>
      </c>
      <c r="K1824" s="64"/>
      <c r="CE1824" s="460"/>
    </row>
    <row r="1825">
      <c r="A1825" s="63"/>
      <c r="B1825" s="712" t="s">
        <v>104</v>
      </c>
      <c r="C1825" s="742" t="s">
        <v>416</v>
      </c>
      <c r="D1825" s="714" t="s">
        <v>505</v>
      </c>
      <c r="E1825" s="715">
        <v>2021.0</v>
      </c>
      <c r="F1825" s="742" t="s">
        <v>418</v>
      </c>
      <c r="G1825" s="742" t="s">
        <v>50</v>
      </c>
      <c r="H1825" s="716">
        <v>117274.0</v>
      </c>
      <c r="I1825" s="716">
        <v>133151.0</v>
      </c>
      <c r="J1825" s="717">
        <v>100377.0</v>
      </c>
      <c r="K1825" s="64"/>
      <c r="CE1825" s="460"/>
    </row>
    <row r="1826">
      <c r="A1826" s="63"/>
      <c r="B1826" s="701" t="s">
        <v>104</v>
      </c>
      <c r="C1826" s="743" t="s">
        <v>416</v>
      </c>
      <c r="D1826" s="703" t="s">
        <v>508</v>
      </c>
      <c r="E1826" s="704">
        <v>2021.0</v>
      </c>
      <c r="F1826" s="743" t="s">
        <v>418</v>
      </c>
      <c r="G1826" s="743" t="s">
        <v>50</v>
      </c>
      <c r="H1826" s="705">
        <v>108961.0</v>
      </c>
      <c r="I1826" s="705">
        <v>123712.0</v>
      </c>
      <c r="J1826" s="706">
        <v>93262.0</v>
      </c>
      <c r="K1826" s="64"/>
      <c r="CE1826" s="460"/>
    </row>
    <row r="1827">
      <c r="A1827" s="63"/>
      <c r="B1827" s="712" t="s">
        <v>104</v>
      </c>
      <c r="C1827" s="742" t="s">
        <v>416</v>
      </c>
      <c r="D1827" s="714" t="s">
        <v>511</v>
      </c>
      <c r="E1827" s="715">
        <v>2021.0</v>
      </c>
      <c r="F1827" s="742" t="s">
        <v>418</v>
      </c>
      <c r="G1827" s="742" t="s">
        <v>50</v>
      </c>
      <c r="H1827" s="716">
        <v>144529.0</v>
      </c>
      <c r="I1827" s="716">
        <v>164096.0</v>
      </c>
      <c r="J1827" s="717">
        <v>123705.0</v>
      </c>
      <c r="K1827" s="64"/>
      <c r="CE1827" s="460"/>
    </row>
    <row r="1828">
      <c r="A1828" s="63"/>
      <c r="B1828" s="701" t="s">
        <v>104</v>
      </c>
      <c r="C1828" s="743" t="s">
        <v>416</v>
      </c>
      <c r="D1828" s="703" t="s">
        <v>514</v>
      </c>
      <c r="E1828" s="704">
        <v>2021.0</v>
      </c>
      <c r="F1828" s="743" t="s">
        <v>418</v>
      </c>
      <c r="G1828" s="743" t="s">
        <v>50</v>
      </c>
      <c r="H1828" s="705">
        <v>71587.0</v>
      </c>
      <c r="I1828" s="705">
        <v>81278.0</v>
      </c>
      <c r="J1828" s="706">
        <v>61273.0</v>
      </c>
      <c r="K1828" s="64"/>
      <c r="CE1828" s="460"/>
    </row>
    <row r="1829">
      <c r="A1829" s="63"/>
      <c r="B1829" s="712" t="s">
        <v>104</v>
      </c>
      <c r="C1829" s="742" t="s">
        <v>416</v>
      </c>
      <c r="D1829" s="714" t="s">
        <v>439</v>
      </c>
      <c r="E1829" s="715">
        <v>2021.0</v>
      </c>
      <c r="F1829" s="742" t="s">
        <v>418</v>
      </c>
      <c r="G1829" s="742" t="s">
        <v>50</v>
      </c>
      <c r="H1829" s="716">
        <v>13672.0</v>
      </c>
      <c r="I1829" s="716">
        <v>15523.0</v>
      </c>
      <c r="J1829" s="717">
        <v>11702.0</v>
      </c>
      <c r="K1829" s="64"/>
      <c r="CE1829" s="460"/>
    </row>
    <row r="1830">
      <c r="A1830" s="63"/>
      <c r="B1830" s="701" t="s">
        <v>104</v>
      </c>
      <c r="C1830" s="743" t="s">
        <v>416</v>
      </c>
      <c r="D1830" s="703" t="s">
        <v>517</v>
      </c>
      <c r="E1830" s="704">
        <v>2021.0</v>
      </c>
      <c r="F1830" s="743" t="s">
        <v>418</v>
      </c>
      <c r="G1830" s="743" t="s">
        <v>50</v>
      </c>
      <c r="H1830" s="705">
        <v>43702.0</v>
      </c>
      <c r="I1830" s="705">
        <v>49619.0</v>
      </c>
      <c r="J1830" s="706">
        <v>37406.0</v>
      </c>
      <c r="K1830" s="64"/>
      <c r="CE1830" s="460"/>
    </row>
    <row r="1831">
      <c r="A1831" s="63"/>
      <c r="B1831" s="712" t="s">
        <v>104</v>
      </c>
      <c r="C1831" s="742" t="s">
        <v>416</v>
      </c>
      <c r="D1831" s="714" t="s">
        <v>520</v>
      </c>
      <c r="E1831" s="715">
        <v>2021.0</v>
      </c>
      <c r="F1831" s="742" t="s">
        <v>418</v>
      </c>
      <c r="G1831" s="742" t="s">
        <v>50</v>
      </c>
      <c r="H1831" s="716">
        <v>29240.0</v>
      </c>
      <c r="I1831" s="716">
        <v>33198.0</v>
      </c>
      <c r="J1831" s="717">
        <v>25027.0</v>
      </c>
      <c r="K1831" s="64"/>
      <c r="CE1831" s="460"/>
    </row>
    <row r="1832">
      <c r="A1832" s="63"/>
      <c r="B1832" s="701" t="s">
        <v>104</v>
      </c>
      <c r="C1832" s="743" t="s">
        <v>416</v>
      </c>
      <c r="D1832" s="703" t="s">
        <v>521</v>
      </c>
      <c r="E1832" s="704">
        <v>2021.0</v>
      </c>
      <c r="F1832" s="743" t="s">
        <v>418</v>
      </c>
      <c r="G1832" s="743" t="s">
        <v>50</v>
      </c>
      <c r="H1832" s="705">
        <v>19798.0</v>
      </c>
      <c r="I1832" s="705">
        <v>22479.0</v>
      </c>
      <c r="J1832" s="706">
        <v>16946.0</v>
      </c>
      <c r="K1832" s="64"/>
      <c r="CE1832" s="460"/>
    </row>
    <row r="1833">
      <c r="A1833" s="63"/>
      <c r="B1833" s="712" t="s">
        <v>104</v>
      </c>
      <c r="C1833" s="742" t="s">
        <v>416</v>
      </c>
      <c r="D1833" s="714" t="s">
        <v>524</v>
      </c>
      <c r="E1833" s="715">
        <v>2021.0</v>
      </c>
      <c r="F1833" s="742" t="s">
        <v>418</v>
      </c>
      <c r="G1833" s="742" t="s">
        <v>50</v>
      </c>
      <c r="H1833" s="716">
        <v>7007.0</v>
      </c>
      <c r="I1833" s="716">
        <v>7955.0</v>
      </c>
      <c r="J1833" s="717">
        <v>5997.0</v>
      </c>
      <c r="K1833" s="64"/>
      <c r="CE1833" s="460"/>
    </row>
    <row r="1834">
      <c r="A1834" s="63"/>
      <c r="B1834" s="701" t="s">
        <v>104</v>
      </c>
      <c r="C1834" s="743" t="s">
        <v>416</v>
      </c>
      <c r="D1834" s="703" t="s">
        <v>527</v>
      </c>
      <c r="E1834" s="704">
        <v>2021.0</v>
      </c>
      <c r="F1834" s="743" t="s">
        <v>418</v>
      </c>
      <c r="G1834" s="743" t="s">
        <v>50</v>
      </c>
      <c r="H1834" s="705">
        <v>1981.0</v>
      </c>
      <c r="I1834" s="705">
        <v>2249.0</v>
      </c>
      <c r="J1834" s="706">
        <v>1695.0</v>
      </c>
      <c r="K1834" s="64"/>
      <c r="CE1834" s="460"/>
    </row>
    <row r="1835">
      <c r="A1835" s="63"/>
      <c r="B1835" s="712" t="s">
        <v>104</v>
      </c>
      <c r="C1835" s="742" t="s">
        <v>416</v>
      </c>
      <c r="D1835" s="714" t="s">
        <v>529</v>
      </c>
      <c r="E1835" s="715">
        <v>2021.0</v>
      </c>
      <c r="F1835" s="742" t="s">
        <v>418</v>
      </c>
      <c r="G1835" s="742" t="s">
        <v>50</v>
      </c>
      <c r="H1835" s="716">
        <v>454.0</v>
      </c>
      <c r="I1835" s="716">
        <v>516.0</v>
      </c>
      <c r="J1835" s="717">
        <v>389.0</v>
      </c>
      <c r="K1835" s="64"/>
      <c r="CE1835" s="460"/>
    </row>
    <row r="1836">
      <c r="A1836" s="63"/>
      <c r="B1836" s="701" t="s">
        <v>104</v>
      </c>
      <c r="C1836" s="743" t="s">
        <v>416</v>
      </c>
      <c r="D1836" s="703" t="s">
        <v>443</v>
      </c>
      <c r="E1836" s="704">
        <v>2021.0</v>
      </c>
      <c r="F1836" s="743" t="s">
        <v>418</v>
      </c>
      <c r="G1836" s="743" t="s">
        <v>50</v>
      </c>
      <c r="H1836" s="705">
        <v>8370930.0</v>
      </c>
      <c r="I1836" s="705">
        <v>9504242.0</v>
      </c>
      <c r="J1836" s="706">
        <v>7164864.0</v>
      </c>
      <c r="K1836" s="64"/>
      <c r="CE1836" s="460"/>
    </row>
    <row r="1837">
      <c r="A1837" s="63"/>
      <c r="B1837" s="712" t="s">
        <v>105</v>
      </c>
      <c r="C1837" s="742" t="s">
        <v>416</v>
      </c>
      <c r="D1837" s="714" t="s">
        <v>417</v>
      </c>
      <c r="E1837" s="715">
        <v>2021.0</v>
      </c>
      <c r="F1837" s="742" t="s">
        <v>418</v>
      </c>
      <c r="G1837" s="742" t="s">
        <v>50</v>
      </c>
      <c r="H1837" s="716">
        <v>1524054.0</v>
      </c>
      <c r="I1837" s="716">
        <v>1700016.0</v>
      </c>
      <c r="J1837" s="717">
        <v>1360105.0</v>
      </c>
      <c r="K1837" s="64"/>
      <c r="CE1837" s="460"/>
    </row>
    <row r="1838">
      <c r="A1838" s="63"/>
      <c r="B1838" s="701" t="s">
        <v>105</v>
      </c>
      <c r="C1838" s="743" t="s">
        <v>416</v>
      </c>
      <c r="D1838" s="703" t="s">
        <v>431</v>
      </c>
      <c r="E1838" s="704">
        <v>2021.0</v>
      </c>
      <c r="F1838" s="743" t="s">
        <v>418</v>
      </c>
      <c r="G1838" s="743" t="s">
        <v>50</v>
      </c>
      <c r="H1838" s="705">
        <v>2.4943534E7</v>
      </c>
      <c r="I1838" s="705">
        <v>2.7823431E7</v>
      </c>
      <c r="J1838" s="706">
        <v>2.2260251E7</v>
      </c>
      <c r="K1838" s="64"/>
      <c r="CE1838" s="460"/>
    </row>
    <row r="1839">
      <c r="A1839" s="63"/>
      <c r="B1839" s="712" t="s">
        <v>105</v>
      </c>
      <c r="C1839" s="742" t="s">
        <v>416</v>
      </c>
      <c r="D1839" s="714" t="s">
        <v>438</v>
      </c>
      <c r="E1839" s="715">
        <v>2021.0</v>
      </c>
      <c r="F1839" s="742" t="s">
        <v>418</v>
      </c>
      <c r="G1839" s="742" t="s">
        <v>50</v>
      </c>
      <c r="H1839" s="716">
        <v>118852.0</v>
      </c>
      <c r="I1839" s="716">
        <v>132574.0</v>
      </c>
      <c r="J1839" s="717">
        <v>106066.0</v>
      </c>
      <c r="K1839" s="64"/>
      <c r="CE1839" s="460"/>
    </row>
    <row r="1840">
      <c r="A1840" s="63"/>
      <c r="B1840" s="701" t="s">
        <v>105</v>
      </c>
      <c r="C1840" s="743" t="s">
        <v>416</v>
      </c>
      <c r="D1840" s="703" t="s">
        <v>421</v>
      </c>
      <c r="E1840" s="704">
        <v>2021.0</v>
      </c>
      <c r="F1840" s="743" t="s">
        <v>418</v>
      </c>
      <c r="G1840" s="743" t="s">
        <v>50</v>
      </c>
      <c r="H1840" s="705">
        <v>7317718.0</v>
      </c>
      <c r="I1840" s="705">
        <v>8162597.0</v>
      </c>
      <c r="J1840" s="706">
        <v>6530520.0</v>
      </c>
      <c r="K1840" s="64"/>
      <c r="CE1840" s="460"/>
    </row>
    <row r="1841">
      <c r="A1841" s="63"/>
      <c r="B1841" s="712" t="s">
        <v>105</v>
      </c>
      <c r="C1841" s="742" t="s">
        <v>416</v>
      </c>
      <c r="D1841" s="714" t="s">
        <v>447</v>
      </c>
      <c r="E1841" s="715">
        <v>2021.0</v>
      </c>
      <c r="F1841" s="742" t="s">
        <v>418</v>
      </c>
      <c r="G1841" s="742" t="s">
        <v>50</v>
      </c>
      <c r="H1841" s="716">
        <v>1.9835705E7</v>
      </c>
      <c r="I1841" s="716">
        <v>2.2125869E7</v>
      </c>
      <c r="J1841" s="717">
        <v>1.7701893E7</v>
      </c>
      <c r="K1841" s="64"/>
      <c r="CE1841" s="460"/>
    </row>
    <row r="1842">
      <c r="A1842" s="63"/>
      <c r="B1842" s="701" t="s">
        <v>105</v>
      </c>
      <c r="C1842" s="743" t="s">
        <v>416</v>
      </c>
      <c r="D1842" s="703" t="s">
        <v>432</v>
      </c>
      <c r="E1842" s="704">
        <v>2021.0</v>
      </c>
      <c r="F1842" s="743" t="s">
        <v>418</v>
      </c>
      <c r="G1842" s="743" t="s">
        <v>50</v>
      </c>
      <c r="H1842" s="705">
        <v>29972.0</v>
      </c>
      <c r="I1842" s="705">
        <v>33433.0</v>
      </c>
      <c r="J1842" s="706">
        <v>26748.0</v>
      </c>
      <c r="K1842" s="64"/>
      <c r="CE1842" s="460"/>
    </row>
    <row r="1843">
      <c r="A1843" s="63"/>
      <c r="B1843" s="712" t="s">
        <v>105</v>
      </c>
      <c r="C1843" s="742" t="s">
        <v>416</v>
      </c>
      <c r="D1843" s="714" t="s">
        <v>450</v>
      </c>
      <c r="E1843" s="715">
        <v>2021.0</v>
      </c>
      <c r="F1843" s="742" t="s">
        <v>418</v>
      </c>
      <c r="G1843" s="742" t="s">
        <v>50</v>
      </c>
      <c r="H1843" s="716">
        <v>5922845.0</v>
      </c>
      <c r="I1843" s="716">
        <v>6606677.0</v>
      </c>
      <c r="J1843" s="717">
        <v>5285699.0</v>
      </c>
      <c r="K1843" s="64"/>
      <c r="CE1843" s="460"/>
    </row>
    <row r="1844">
      <c r="A1844" s="63"/>
      <c r="B1844" s="701" t="s">
        <v>105</v>
      </c>
      <c r="C1844" s="743" t="s">
        <v>416</v>
      </c>
      <c r="D1844" s="703" t="s">
        <v>453</v>
      </c>
      <c r="E1844" s="704">
        <v>2021.0</v>
      </c>
      <c r="F1844" s="743" t="s">
        <v>418</v>
      </c>
      <c r="G1844" s="743" t="s">
        <v>50</v>
      </c>
      <c r="H1844" s="705">
        <v>1.1030674E7</v>
      </c>
      <c r="I1844" s="705">
        <v>1.2304239E7</v>
      </c>
      <c r="J1844" s="706">
        <v>9844057.0</v>
      </c>
      <c r="K1844" s="64"/>
      <c r="CE1844" s="460"/>
    </row>
    <row r="1845">
      <c r="A1845" s="63"/>
      <c r="B1845" s="712" t="s">
        <v>105</v>
      </c>
      <c r="C1845" s="742" t="s">
        <v>416</v>
      </c>
      <c r="D1845" s="714" t="s">
        <v>454</v>
      </c>
      <c r="E1845" s="715">
        <v>2021.0</v>
      </c>
      <c r="F1845" s="742" t="s">
        <v>418</v>
      </c>
      <c r="G1845" s="742" t="s">
        <v>50</v>
      </c>
      <c r="H1845" s="716">
        <v>1.5171066E7</v>
      </c>
      <c r="I1845" s="716">
        <v>1.6922667E7</v>
      </c>
      <c r="J1845" s="717">
        <v>1.3539049E7</v>
      </c>
      <c r="K1845" s="64"/>
      <c r="CE1845" s="460"/>
    </row>
    <row r="1846">
      <c r="A1846" s="63"/>
      <c r="B1846" s="701" t="s">
        <v>105</v>
      </c>
      <c r="C1846" s="743" t="s">
        <v>416</v>
      </c>
      <c r="D1846" s="703" t="s">
        <v>457</v>
      </c>
      <c r="E1846" s="704">
        <v>2021.0</v>
      </c>
      <c r="F1846" s="743" t="s">
        <v>418</v>
      </c>
      <c r="G1846" s="743" t="s">
        <v>50</v>
      </c>
      <c r="H1846" s="705">
        <v>1488521.0</v>
      </c>
      <c r="I1846" s="705">
        <v>1660380.0</v>
      </c>
      <c r="J1846" s="706">
        <v>1328394.0</v>
      </c>
      <c r="K1846" s="64"/>
      <c r="CE1846" s="460"/>
    </row>
    <row r="1847">
      <c r="A1847" s="63"/>
      <c r="B1847" s="712" t="s">
        <v>105</v>
      </c>
      <c r="C1847" s="742" t="s">
        <v>416</v>
      </c>
      <c r="D1847" s="714" t="s">
        <v>460</v>
      </c>
      <c r="E1847" s="715">
        <v>2021.0</v>
      </c>
      <c r="F1847" s="742" t="s">
        <v>418</v>
      </c>
      <c r="G1847" s="742" t="s">
        <v>50</v>
      </c>
      <c r="H1847" s="716">
        <v>650513.0</v>
      </c>
      <c r="I1847" s="716">
        <v>725619.0</v>
      </c>
      <c r="J1847" s="717">
        <v>580534.0</v>
      </c>
      <c r="K1847" s="64"/>
      <c r="CE1847" s="460"/>
    </row>
    <row r="1848">
      <c r="A1848" s="63"/>
      <c r="B1848" s="701" t="s">
        <v>105</v>
      </c>
      <c r="C1848" s="743" t="s">
        <v>416</v>
      </c>
      <c r="D1848" s="703" t="s">
        <v>463</v>
      </c>
      <c r="E1848" s="704">
        <v>2021.0</v>
      </c>
      <c r="F1848" s="743" t="s">
        <v>418</v>
      </c>
      <c r="G1848" s="743" t="s">
        <v>50</v>
      </c>
      <c r="H1848" s="705">
        <v>5107829.0</v>
      </c>
      <c r="I1848" s="705">
        <v>5697562.0</v>
      </c>
      <c r="J1848" s="706">
        <v>4558358.0</v>
      </c>
      <c r="K1848" s="64"/>
      <c r="CE1848" s="460"/>
    </row>
    <row r="1849">
      <c r="A1849" s="63"/>
      <c r="B1849" s="712" t="s">
        <v>105</v>
      </c>
      <c r="C1849" s="742" t="s">
        <v>416</v>
      </c>
      <c r="D1849" s="714" t="s">
        <v>465</v>
      </c>
      <c r="E1849" s="715">
        <v>2021.0</v>
      </c>
      <c r="F1849" s="742" t="s">
        <v>418</v>
      </c>
      <c r="G1849" s="742" t="s">
        <v>50</v>
      </c>
      <c r="H1849" s="716">
        <v>2.01013E7</v>
      </c>
      <c r="I1849" s="716">
        <v>2.2422129E7</v>
      </c>
      <c r="J1849" s="717">
        <v>1.7938917E7</v>
      </c>
      <c r="K1849" s="64"/>
      <c r="CE1849" s="460"/>
    </row>
    <row r="1850">
      <c r="A1850" s="63"/>
      <c r="B1850" s="701" t="s">
        <v>105</v>
      </c>
      <c r="C1850" s="743" t="s">
        <v>416</v>
      </c>
      <c r="D1850" s="703" t="s">
        <v>468</v>
      </c>
      <c r="E1850" s="704">
        <v>2021.0</v>
      </c>
      <c r="F1850" s="743" t="s">
        <v>418</v>
      </c>
      <c r="G1850" s="743" t="s">
        <v>50</v>
      </c>
      <c r="H1850" s="705">
        <v>4140392.0</v>
      </c>
      <c r="I1850" s="705">
        <v>4618428.0</v>
      </c>
      <c r="J1850" s="706">
        <v>3694992.0</v>
      </c>
      <c r="K1850" s="64"/>
      <c r="CE1850" s="460"/>
    </row>
    <row r="1851">
      <c r="A1851" s="63"/>
      <c r="B1851" s="712" t="s">
        <v>105</v>
      </c>
      <c r="C1851" s="742" t="s">
        <v>416</v>
      </c>
      <c r="D1851" s="714" t="s">
        <v>471</v>
      </c>
      <c r="E1851" s="715">
        <v>2021.0</v>
      </c>
      <c r="F1851" s="742" t="s">
        <v>418</v>
      </c>
      <c r="G1851" s="742" t="s">
        <v>50</v>
      </c>
      <c r="H1851" s="716">
        <v>4305143.0</v>
      </c>
      <c r="I1851" s="716">
        <v>4802201.0</v>
      </c>
      <c r="J1851" s="717">
        <v>3842021.0</v>
      </c>
      <c r="K1851" s="64"/>
      <c r="CE1851" s="460"/>
    </row>
    <row r="1852">
      <c r="A1852" s="63"/>
      <c r="B1852" s="701" t="s">
        <v>105</v>
      </c>
      <c r="C1852" s="743" t="s">
        <v>416</v>
      </c>
      <c r="D1852" s="703" t="s">
        <v>473</v>
      </c>
      <c r="E1852" s="704">
        <v>2021.0</v>
      </c>
      <c r="F1852" s="743" t="s">
        <v>418</v>
      </c>
      <c r="G1852" s="743" t="s">
        <v>50</v>
      </c>
      <c r="H1852" s="705">
        <v>1.4231127E7</v>
      </c>
      <c r="I1852" s="705">
        <v>1.5874205E7</v>
      </c>
      <c r="J1852" s="706">
        <v>1.2700223E7</v>
      </c>
      <c r="K1852" s="64"/>
      <c r="CE1852" s="460"/>
    </row>
    <row r="1853">
      <c r="A1853" s="63"/>
      <c r="B1853" s="712" t="s">
        <v>105</v>
      </c>
      <c r="C1853" s="742" t="s">
        <v>416</v>
      </c>
      <c r="D1853" s="714" t="s">
        <v>476</v>
      </c>
      <c r="E1853" s="715">
        <v>2021.0</v>
      </c>
      <c r="F1853" s="742" t="s">
        <v>418</v>
      </c>
      <c r="G1853" s="742" t="s">
        <v>50</v>
      </c>
      <c r="H1853" s="716">
        <v>3294329.0</v>
      </c>
      <c r="I1853" s="716">
        <v>3674681.0</v>
      </c>
      <c r="J1853" s="717">
        <v>2939944.0</v>
      </c>
      <c r="K1853" s="64"/>
      <c r="CE1853" s="460"/>
    </row>
    <row r="1854">
      <c r="A1854" s="63"/>
      <c r="B1854" s="701" t="s">
        <v>105</v>
      </c>
      <c r="C1854" s="743" t="s">
        <v>416</v>
      </c>
      <c r="D1854" s="703" t="s">
        <v>479</v>
      </c>
      <c r="E1854" s="704">
        <v>2021.0</v>
      </c>
      <c r="F1854" s="743" t="s">
        <v>418</v>
      </c>
      <c r="G1854" s="743" t="s">
        <v>50</v>
      </c>
      <c r="H1854" s="705">
        <v>2621845.0</v>
      </c>
      <c r="I1854" s="705">
        <v>2924554.0</v>
      </c>
      <c r="J1854" s="706">
        <v>2339802.0</v>
      </c>
      <c r="K1854" s="64"/>
      <c r="CE1854" s="460"/>
    </row>
    <row r="1855">
      <c r="A1855" s="63"/>
      <c r="B1855" s="712" t="s">
        <v>105</v>
      </c>
      <c r="C1855" s="742" t="s">
        <v>416</v>
      </c>
      <c r="D1855" s="714" t="s">
        <v>482</v>
      </c>
      <c r="E1855" s="715">
        <v>2021.0</v>
      </c>
      <c r="F1855" s="742" t="s">
        <v>418</v>
      </c>
      <c r="G1855" s="742" t="s">
        <v>50</v>
      </c>
      <c r="H1855" s="716">
        <v>2034138.0</v>
      </c>
      <c r="I1855" s="716">
        <v>2268992.0</v>
      </c>
      <c r="J1855" s="717">
        <v>1815317.0</v>
      </c>
      <c r="K1855" s="64"/>
      <c r="CE1855" s="460"/>
    </row>
    <row r="1856">
      <c r="A1856" s="63"/>
      <c r="B1856" s="701" t="s">
        <v>105</v>
      </c>
      <c r="C1856" s="743" t="s">
        <v>416</v>
      </c>
      <c r="D1856" s="703" t="s">
        <v>485</v>
      </c>
      <c r="E1856" s="704">
        <v>2021.0</v>
      </c>
      <c r="F1856" s="743" t="s">
        <v>418</v>
      </c>
      <c r="G1856" s="743" t="s">
        <v>50</v>
      </c>
      <c r="H1856" s="705">
        <v>1614809.0</v>
      </c>
      <c r="I1856" s="705">
        <v>1801250.0</v>
      </c>
      <c r="J1856" s="706">
        <v>1441097.0</v>
      </c>
      <c r="K1856" s="64"/>
      <c r="CE1856" s="460"/>
    </row>
    <row r="1857">
      <c r="A1857" s="63"/>
      <c r="B1857" s="712" t="s">
        <v>105</v>
      </c>
      <c r="C1857" s="742" t="s">
        <v>416</v>
      </c>
      <c r="D1857" s="714" t="s">
        <v>488</v>
      </c>
      <c r="E1857" s="715">
        <v>2021.0</v>
      </c>
      <c r="F1857" s="742" t="s">
        <v>418</v>
      </c>
      <c r="G1857" s="742" t="s">
        <v>50</v>
      </c>
      <c r="H1857" s="716">
        <v>1287959.0</v>
      </c>
      <c r="I1857" s="716">
        <v>1436662.0</v>
      </c>
      <c r="J1857" s="717">
        <v>1149407.0</v>
      </c>
      <c r="K1857" s="64"/>
      <c r="CE1857" s="460"/>
    </row>
    <row r="1858">
      <c r="A1858" s="63"/>
      <c r="B1858" s="701" t="s">
        <v>105</v>
      </c>
      <c r="C1858" s="743" t="s">
        <v>416</v>
      </c>
      <c r="D1858" s="703" t="s">
        <v>491</v>
      </c>
      <c r="E1858" s="704">
        <v>2021.0</v>
      </c>
      <c r="F1858" s="743" t="s">
        <v>418</v>
      </c>
      <c r="G1858" s="743" t="s">
        <v>50</v>
      </c>
      <c r="H1858" s="705">
        <v>1006555.0</v>
      </c>
      <c r="I1858" s="705">
        <v>1122769.0</v>
      </c>
      <c r="J1858" s="706">
        <v>898276.0</v>
      </c>
      <c r="K1858" s="64"/>
      <c r="CE1858" s="460"/>
    </row>
    <row r="1859">
      <c r="A1859" s="63"/>
      <c r="B1859" s="712" t="s">
        <v>105</v>
      </c>
      <c r="C1859" s="742" t="s">
        <v>416</v>
      </c>
      <c r="D1859" s="714" t="s">
        <v>493</v>
      </c>
      <c r="E1859" s="715">
        <v>2021.0</v>
      </c>
      <c r="F1859" s="742" t="s">
        <v>418</v>
      </c>
      <c r="G1859" s="742" t="s">
        <v>50</v>
      </c>
      <c r="H1859" s="716">
        <v>2776333.0</v>
      </c>
      <c r="I1859" s="716">
        <v>3096879.0</v>
      </c>
      <c r="J1859" s="717">
        <v>2477670.0</v>
      </c>
      <c r="K1859" s="64"/>
      <c r="CE1859" s="460"/>
    </row>
    <row r="1860">
      <c r="A1860" s="63"/>
      <c r="B1860" s="701" t="s">
        <v>105</v>
      </c>
      <c r="C1860" s="743" t="s">
        <v>416</v>
      </c>
      <c r="D1860" s="703" t="s">
        <v>434</v>
      </c>
      <c r="E1860" s="704">
        <v>2021.0</v>
      </c>
      <c r="F1860" s="743" t="s">
        <v>418</v>
      </c>
      <c r="G1860" s="743" t="s">
        <v>50</v>
      </c>
      <c r="H1860" s="705">
        <v>1.2517987E7</v>
      </c>
      <c r="I1860" s="705">
        <v>1.3963272E7</v>
      </c>
      <c r="J1860" s="706">
        <v>1.1171373E7</v>
      </c>
      <c r="K1860" s="64"/>
      <c r="CE1860" s="460"/>
    </row>
    <row r="1861">
      <c r="A1861" s="63"/>
      <c r="B1861" s="712" t="s">
        <v>105</v>
      </c>
      <c r="C1861" s="742" t="s">
        <v>416</v>
      </c>
      <c r="D1861" s="714" t="s">
        <v>497</v>
      </c>
      <c r="E1861" s="715">
        <v>2021.0</v>
      </c>
      <c r="F1861" s="742" t="s">
        <v>418</v>
      </c>
      <c r="G1861" s="742" t="s">
        <v>50</v>
      </c>
      <c r="H1861" s="716">
        <v>779239.0</v>
      </c>
      <c r="I1861" s="716">
        <v>869207.0</v>
      </c>
      <c r="J1861" s="717">
        <v>695413.0</v>
      </c>
      <c r="K1861" s="64"/>
      <c r="CE1861" s="460"/>
    </row>
    <row r="1862">
      <c r="A1862" s="63"/>
      <c r="B1862" s="701" t="s">
        <v>105</v>
      </c>
      <c r="C1862" s="743" t="s">
        <v>416</v>
      </c>
      <c r="D1862" s="703" t="s">
        <v>500</v>
      </c>
      <c r="E1862" s="704">
        <v>2021.0</v>
      </c>
      <c r="F1862" s="743" t="s">
        <v>418</v>
      </c>
      <c r="G1862" s="743" t="s">
        <v>50</v>
      </c>
      <c r="H1862" s="705">
        <v>6595142.0</v>
      </c>
      <c r="I1862" s="705">
        <v>7356595.0</v>
      </c>
      <c r="J1862" s="706">
        <v>5885674.0</v>
      </c>
      <c r="K1862" s="64"/>
      <c r="CE1862" s="460"/>
    </row>
    <row r="1863">
      <c r="A1863" s="63"/>
      <c r="B1863" s="712" t="s">
        <v>105</v>
      </c>
      <c r="C1863" s="742" t="s">
        <v>416</v>
      </c>
      <c r="D1863" s="714" t="s">
        <v>502</v>
      </c>
      <c r="E1863" s="715">
        <v>2021.0</v>
      </c>
      <c r="F1863" s="742" t="s">
        <v>418</v>
      </c>
      <c r="G1863" s="742" t="s">
        <v>50</v>
      </c>
      <c r="H1863" s="716">
        <v>578529.0</v>
      </c>
      <c r="I1863" s="716">
        <v>645324.0</v>
      </c>
      <c r="J1863" s="717">
        <v>516294.0</v>
      </c>
      <c r="K1863" s="64"/>
      <c r="CE1863" s="460"/>
    </row>
    <row r="1864">
      <c r="A1864" s="63"/>
      <c r="B1864" s="701" t="s">
        <v>105</v>
      </c>
      <c r="C1864" s="743" t="s">
        <v>416</v>
      </c>
      <c r="D1864" s="703" t="s">
        <v>505</v>
      </c>
      <c r="E1864" s="704">
        <v>2021.0</v>
      </c>
      <c r="F1864" s="743" t="s">
        <v>418</v>
      </c>
      <c r="G1864" s="743" t="s">
        <v>50</v>
      </c>
      <c r="H1864" s="705">
        <v>754690.0</v>
      </c>
      <c r="I1864" s="705">
        <v>841824.0</v>
      </c>
      <c r="J1864" s="706">
        <v>673504.0</v>
      </c>
      <c r="K1864" s="64"/>
      <c r="CE1864" s="460"/>
    </row>
    <row r="1865">
      <c r="A1865" s="63"/>
      <c r="B1865" s="712" t="s">
        <v>105</v>
      </c>
      <c r="C1865" s="742" t="s">
        <v>416</v>
      </c>
      <c r="D1865" s="714" t="s">
        <v>508</v>
      </c>
      <c r="E1865" s="715">
        <v>2021.0</v>
      </c>
      <c r="F1865" s="742" t="s">
        <v>418</v>
      </c>
      <c r="G1865" s="742" t="s">
        <v>50</v>
      </c>
      <c r="H1865" s="716">
        <v>412010.0</v>
      </c>
      <c r="I1865" s="716">
        <v>459579.0</v>
      </c>
      <c r="J1865" s="717">
        <v>367688.0</v>
      </c>
      <c r="K1865" s="64"/>
      <c r="CE1865" s="460"/>
    </row>
    <row r="1866">
      <c r="A1866" s="63"/>
      <c r="B1866" s="701" t="s">
        <v>105</v>
      </c>
      <c r="C1866" s="743" t="s">
        <v>416</v>
      </c>
      <c r="D1866" s="703" t="s">
        <v>511</v>
      </c>
      <c r="E1866" s="704">
        <v>2021.0</v>
      </c>
      <c r="F1866" s="743" t="s">
        <v>418</v>
      </c>
      <c r="G1866" s="743" t="s">
        <v>50</v>
      </c>
      <c r="H1866" s="705">
        <v>601715.0</v>
      </c>
      <c r="I1866" s="705">
        <v>671187.0</v>
      </c>
      <c r="J1866" s="706">
        <v>536986.0</v>
      </c>
      <c r="K1866" s="64"/>
      <c r="CE1866" s="460"/>
    </row>
    <row r="1867">
      <c r="A1867" s="63"/>
      <c r="B1867" s="712" t="s">
        <v>105</v>
      </c>
      <c r="C1867" s="742" t="s">
        <v>416</v>
      </c>
      <c r="D1867" s="714" t="s">
        <v>514</v>
      </c>
      <c r="E1867" s="715">
        <v>2021.0</v>
      </c>
      <c r="F1867" s="742" t="s">
        <v>418</v>
      </c>
      <c r="G1867" s="742" t="s">
        <v>50</v>
      </c>
      <c r="H1867" s="716">
        <v>272463.0</v>
      </c>
      <c r="I1867" s="716">
        <v>303920.0</v>
      </c>
      <c r="J1867" s="717">
        <v>243153.0</v>
      </c>
      <c r="K1867" s="64"/>
      <c r="CE1867" s="460"/>
    </row>
    <row r="1868">
      <c r="A1868" s="63"/>
      <c r="B1868" s="701" t="s">
        <v>105</v>
      </c>
      <c r="C1868" s="743" t="s">
        <v>416</v>
      </c>
      <c r="D1868" s="703" t="s">
        <v>439</v>
      </c>
      <c r="E1868" s="704">
        <v>2021.0</v>
      </c>
      <c r="F1868" s="743" t="s">
        <v>418</v>
      </c>
      <c r="G1868" s="743" t="s">
        <v>50</v>
      </c>
      <c r="H1868" s="705">
        <v>88880.0</v>
      </c>
      <c r="I1868" s="705">
        <v>99141.0</v>
      </c>
      <c r="J1868" s="706">
        <v>79318.0</v>
      </c>
      <c r="K1868" s="64"/>
      <c r="CE1868" s="460"/>
    </row>
    <row r="1869">
      <c r="A1869" s="63"/>
      <c r="B1869" s="712" t="s">
        <v>105</v>
      </c>
      <c r="C1869" s="742" t="s">
        <v>416</v>
      </c>
      <c r="D1869" s="714" t="s">
        <v>517</v>
      </c>
      <c r="E1869" s="715">
        <v>2021.0</v>
      </c>
      <c r="F1869" s="742" t="s">
        <v>418</v>
      </c>
      <c r="G1869" s="742" t="s">
        <v>50</v>
      </c>
      <c r="H1869" s="716">
        <v>175886.0</v>
      </c>
      <c r="I1869" s="716">
        <v>196193.0</v>
      </c>
      <c r="J1869" s="717">
        <v>156965.0</v>
      </c>
      <c r="K1869" s="64"/>
      <c r="CE1869" s="460"/>
    </row>
    <row r="1870">
      <c r="A1870" s="63"/>
      <c r="B1870" s="701" t="s">
        <v>105</v>
      </c>
      <c r="C1870" s="743" t="s">
        <v>416</v>
      </c>
      <c r="D1870" s="703" t="s">
        <v>520</v>
      </c>
      <c r="E1870" s="704">
        <v>2021.0</v>
      </c>
      <c r="F1870" s="743" t="s">
        <v>418</v>
      </c>
      <c r="G1870" s="743" t="s">
        <v>50</v>
      </c>
      <c r="H1870" s="705">
        <v>153366.0</v>
      </c>
      <c r="I1870" s="705">
        <v>171074.0</v>
      </c>
      <c r="J1870" s="706">
        <v>136868.0</v>
      </c>
      <c r="K1870" s="64"/>
      <c r="CE1870" s="460"/>
    </row>
    <row r="1871">
      <c r="A1871" s="63"/>
      <c r="B1871" s="712" t="s">
        <v>105</v>
      </c>
      <c r="C1871" s="742" t="s">
        <v>416</v>
      </c>
      <c r="D1871" s="714" t="s">
        <v>521</v>
      </c>
      <c r="E1871" s="715">
        <v>2021.0</v>
      </c>
      <c r="F1871" s="742" t="s">
        <v>418</v>
      </c>
      <c r="G1871" s="742" t="s">
        <v>50</v>
      </c>
      <c r="H1871" s="716">
        <v>98118.0</v>
      </c>
      <c r="I1871" s="716">
        <v>109446.0</v>
      </c>
      <c r="J1871" s="717">
        <v>87563.0</v>
      </c>
      <c r="K1871" s="64"/>
      <c r="CE1871" s="460"/>
    </row>
    <row r="1872">
      <c r="A1872" s="63"/>
      <c r="B1872" s="701" t="s">
        <v>105</v>
      </c>
      <c r="C1872" s="743" t="s">
        <v>416</v>
      </c>
      <c r="D1872" s="703" t="s">
        <v>524</v>
      </c>
      <c r="E1872" s="704">
        <v>2021.0</v>
      </c>
      <c r="F1872" s="743" t="s">
        <v>418</v>
      </c>
      <c r="G1872" s="743" t="s">
        <v>50</v>
      </c>
      <c r="H1872" s="705">
        <v>40378.0</v>
      </c>
      <c r="I1872" s="705">
        <v>45040.0</v>
      </c>
      <c r="J1872" s="706">
        <v>36034.0</v>
      </c>
      <c r="K1872" s="64"/>
      <c r="CE1872" s="460"/>
    </row>
    <row r="1873">
      <c r="A1873" s="63"/>
      <c r="B1873" s="712" t="s">
        <v>105</v>
      </c>
      <c r="C1873" s="742" t="s">
        <v>416</v>
      </c>
      <c r="D1873" s="714" t="s">
        <v>527</v>
      </c>
      <c r="E1873" s="715">
        <v>2021.0</v>
      </c>
      <c r="F1873" s="742" t="s">
        <v>418</v>
      </c>
      <c r="G1873" s="742" t="s">
        <v>50</v>
      </c>
      <c r="H1873" s="716">
        <v>11872.0</v>
      </c>
      <c r="I1873" s="716">
        <v>13243.0</v>
      </c>
      <c r="J1873" s="717">
        <v>10595.0</v>
      </c>
      <c r="K1873" s="64"/>
      <c r="CE1873" s="460"/>
    </row>
    <row r="1874">
      <c r="A1874" s="63"/>
      <c r="B1874" s="701" t="s">
        <v>105</v>
      </c>
      <c r="C1874" s="743" t="s">
        <v>416</v>
      </c>
      <c r="D1874" s="703" t="s">
        <v>529</v>
      </c>
      <c r="E1874" s="704">
        <v>2021.0</v>
      </c>
      <c r="F1874" s="743" t="s">
        <v>418</v>
      </c>
      <c r="G1874" s="743" t="s">
        <v>50</v>
      </c>
      <c r="H1874" s="705">
        <v>2999.0</v>
      </c>
      <c r="I1874" s="705">
        <v>3345.0</v>
      </c>
      <c r="J1874" s="706">
        <v>2676.0</v>
      </c>
      <c r="K1874" s="64"/>
      <c r="CE1874" s="460"/>
    </row>
    <row r="1875">
      <c r="A1875" s="63"/>
      <c r="B1875" s="712" t="s">
        <v>105</v>
      </c>
      <c r="C1875" s="742" t="s">
        <v>416</v>
      </c>
      <c r="D1875" s="714" t="s">
        <v>443</v>
      </c>
      <c r="E1875" s="715">
        <v>2021.0</v>
      </c>
      <c r="F1875" s="742" t="s">
        <v>418</v>
      </c>
      <c r="G1875" s="742" t="s">
        <v>50</v>
      </c>
      <c r="H1875" s="716">
        <v>4.3315053E7</v>
      </c>
      <c r="I1875" s="716">
        <v>4.8316064E7</v>
      </c>
      <c r="J1875" s="717">
        <v>3.8655466E7</v>
      </c>
      <c r="K1875" s="64"/>
      <c r="CE1875" s="460"/>
    </row>
    <row r="1876">
      <c r="A1876" s="63"/>
      <c r="B1876" s="701" t="s">
        <v>537</v>
      </c>
      <c r="C1876" s="743" t="s">
        <v>416</v>
      </c>
      <c r="D1876" s="703" t="s">
        <v>417</v>
      </c>
      <c r="E1876" s="704">
        <v>2021.0</v>
      </c>
      <c r="F1876" s="743" t="s">
        <v>418</v>
      </c>
      <c r="G1876" s="743" t="s">
        <v>50</v>
      </c>
      <c r="H1876" s="705">
        <v>1824198.0</v>
      </c>
      <c r="I1876" s="705">
        <v>2044121.0</v>
      </c>
      <c r="J1876" s="706">
        <v>1607466.0</v>
      </c>
      <c r="K1876" s="64"/>
      <c r="CE1876" s="460"/>
    </row>
    <row r="1877">
      <c r="A1877" s="63"/>
      <c r="B1877" s="712" t="s">
        <v>537</v>
      </c>
      <c r="C1877" s="742" t="s">
        <v>416</v>
      </c>
      <c r="D1877" s="714" t="s">
        <v>431</v>
      </c>
      <c r="E1877" s="715">
        <v>2021.0</v>
      </c>
      <c r="F1877" s="742" t="s">
        <v>418</v>
      </c>
      <c r="G1877" s="742" t="s">
        <v>50</v>
      </c>
      <c r="H1877" s="716">
        <v>3.085826E7</v>
      </c>
      <c r="I1877" s="716">
        <v>3.4578496E7</v>
      </c>
      <c r="J1877" s="717">
        <v>2.7191998E7</v>
      </c>
      <c r="K1877" s="64"/>
      <c r="CE1877" s="460"/>
    </row>
    <row r="1878">
      <c r="A1878" s="63"/>
      <c r="B1878" s="701" t="s">
        <v>537</v>
      </c>
      <c r="C1878" s="743" t="s">
        <v>416</v>
      </c>
      <c r="D1878" s="703" t="s">
        <v>438</v>
      </c>
      <c r="E1878" s="704">
        <v>2021.0</v>
      </c>
      <c r="F1878" s="743" t="s">
        <v>418</v>
      </c>
      <c r="G1878" s="743" t="s">
        <v>50</v>
      </c>
      <c r="H1878" s="705">
        <v>141916.0</v>
      </c>
      <c r="I1878" s="705">
        <v>159025.0</v>
      </c>
      <c r="J1878" s="706">
        <v>125055.0</v>
      </c>
      <c r="K1878" s="64"/>
      <c r="CE1878" s="460"/>
    </row>
    <row r="1879">
      <c r="A1879" s="63"/>
      <c r="B1879" s="712" t="s">
        <v>537</v>
      </c>
      <c r="C1879" s="742" t="s">
        <v>416</v>
      </c>
      <c r="D1879" s="714" t="s">
        <v>421</v>
      </c>
      <c r="E1879" s="715">
        <v>2021.0</v>
      </c>
      <c r="F1879" s="742" t="s">
        <v>418</v>
      </c>
      <c r="G1879" s="742" t="s">
        <v>50</v>
      </c>
      <c r="H1879" s="716">
        <v>8846164.0</v>
      </c>
      <c r="I1879" s="716">
        <v>9912647.0</v>
      </c>
      <c r="J1879" s="717">
        <v>7795153.0</v>
      </c>
      <c r="K1879" s="64"/>
      <c r="CE1879" s="460"/>
    </row>
    <row r="1880">
      <c r="A1880" s="63"/>
      <c r="B1880" s="701" t="s">
        <v>537</v>
      </c>
      <c r="C1880" s="743" t="s">
        <v>416</v>
      </c>
      <c r="D1880" s="703" t="s">
        <v>447</v>
      </c>
      <c r="E1880" s="704">
        <v>2021.0</v>
      </c>
      <c r="F1880" s="743" t="s">
        <v>418</v>
      </c>
      <c r="G1880" s="743" t="s">
        <v>50</v>
      </c>
      <c r="H1880" s="705">
        <v>2.440291E7</v>
      </c>
      <c r="I1880" s="705">
        <v>2.7344896E7</v>
      </c>
      <c r="J1880" s="706">
        <v>2.1503606E7</v>
      </c>
      <c r="K1880" s="64"/>
      <c r="CE1880" s="460"/>
    </row>
    <row r="1881">
      <c r="A1881" s="63"/>
      <c r="B1881" s="712" t="s">
        <v>537</v>
      </c>
      <c r="C1881" s="742" t="s">
        <v>416</v>
      </c>
      <c r="D1881" s="714" t="s">
        <v>432</v>
      </c>
      <c r="E1881" s="715">
        <v>2021.0</v>
      </c>
      <c r="F1881" s="742" t="s">
        <v>418</v>
      </c>
      <c r="G1881" s="742" t="s">
        <v>50</v>
      </c>
      <c r="H1881" s="716">
        <v>35790.0</v>
      </c>
      <c r="I1881" s="716">
        <v>40105.0</v>
      </c>
      <c r="J1881" s="717">
        <v>31538.0</v>
      </c>
      <c r="K1881" s="64"/>
      <c r="CE1881" s="460"/>
    </row>
    <row r="1882">
      <c r="A1882" s="63"/>
      <c r="B1882" s="701" t="s">
        <v>537</v>
      </c>
      <c r="C1882" s="743" t="s">
        <v>416</v>
      </c>
      <c r="D1882" s="703" t="s">
        <v>450</v>
      </c>
      <c r="E1882" s="704">
        <v>2021.0</v>
      </c>
      <c r="F1882" s="743" t="s">
        <v>418</v>
      </c>
      <c r="G1882" s="743" t="s">
        <v>50</v>
      </c>
      <c r="H1882" s="705">
        <v>7389355.0</v>
      </c>
      <c r="I1882" s="705">
        <v>8280208.0</v>
      </c>
      <c r="J1882" s="706">
        <v>6511428.0</v>
      </c>
      <c r="K1882" s="64"/>
      <c r="CE1882" s="460"/>
    </row>
    <row r="1883">
      <c r="A1883" s="63"/>
      <c r="B1883" s="712" t="s">
        <v>537</v>
      </c>
      <c r="C1883" s="742" t="s">
        <v>416</v>
      </c>
      <c r="D1883" s="714" t="s">
        <v>453</v>
      </c>
      <c r="E1883" s="715">
        <v>2021.0</v>
      </c>
      <c r="F1883" s="742" t="s">
        <v>418</v>
      </c>
      <c r="G1883" s="742" t="s">
        <v>50</v>
      </c>
      <c r="H1883" s="716">
        <v>1.3844706E7</v>
      </c>
      <c r="I1883" s="716">
        <v>1.5513807E7</v>
      </c>
      <c r="J1883" s="717">
        <v>1.219982E7</v>
      </c>
      <c r="K1883" s="64"/>
      <c r="CE1883" s="460"/>
    </row>
    <row r="1884">
      <c r="A1884" s="63"/>
      <c r="B1884" s="701" t="s">
        <v>537</v>
      </c>
      <c r="C1884" s="743" t="s">
        <v>416</v>
      </c>
      <c r="D1884" s="703" t="s">
        <v>454</v>
      </c>
      <c r="E1884" s="704">
        <v>2021.0</v>
      </c>
      <c r="F1884" s="743" t="s">
        <v>418</v>
      </c>
      <c r="G1884" s="743" t="s">
        <v>50</v>
      </c>
      <c r="H1884" s="705">
        <v>1.9285745E7</v>
      </c>
      <c r="I1884" s="705">
        <v>2.1610812E7</v>
      </c>
      <c r="J1884" s="706">
        <v>1.6994411E7</v>
      </c>
      <c r="K1884" s="64"/>
      <c r="CE1884" s="460"/>
    </row>
    <row r="1885">
      <c r="A1885" s="63"/>
      <c r="B1885" s="712" t="s">
        <v>537</v>
      </c>
      <c r="C1885" s="742" t="s">
        <v>416</v>
      </c>
      <c r="D1885" s="714" t="s">
        <v>457</v>
      </c>
      <c r="E1885" s="715">
        <v>2021.0</v>
      </c>
      <c r="F1885" s="742" t="s">
        <v>418</v>
      </c>
      <c r="G1885" s="742" t="s">
        <v>50</v>
      </c>
      <c r="H1885" s="716">
        <v>1792003.0</v>
      </c>
      <c r="I1885" s="716">
        <v>2008045.0</v>
      </c>
      <c r="J1885" s="717">
        <v>1579096.0</v>
      </c>
      <c r="K1885" s="64"/>
      <c r="CE1885" s="460"/>
    </row>
    <row r="1886">
      <c r="A1886" s="63"/>
      <c r="B1886" s="701" t="s">
        <v>537</v>
      </c>
      <c r="C1886" s="743" t="s">
        <v>416</v>
      </c>
      <c r="D1886" s="703" t="s">
        <v>460</v>
      </c>
      <c r="E1886" s="704">
        <v>2021.0</v>
      </c>
      <c r="F1886" s="743" t="s">
        <v>418</v>
      </c>
      <c r="G1886" s="743" t="s">
        <v>50</v>
      </c>
      <c r="H1886" s="705">
        <v>777760.0</v>
      </c>
      <c r="I1886" s="705">
        <v>871526.0</v>
      </c>
      <c r="J1886" s="706">
        <v>685355.0</v>
      </c>
      <c r="K1886" s="64"/>
      <c r="CE1886" s="460"/>
    </row>
    <row r="1887">
      <c r="A1887" s="63"/>
      <c r="B1887" s="712" t="s">
        <v>537</v>
      </c>
      <c r="C1887" s="742" t="s">
        <v>416</v>
      </c>
      <c r="D1887" s="714" t="s">
        <v>463</v>
      </c>
      <c r="E1887" s="715">
        <v>2021.0</v>
      </c>
      <c r="F1887" s="742" t="s">
        <v>418</v>
      </c>
      <c r="G1887" s="742" t="s">
        <v>50</v>
      </c>
      <c r="H1887" s="716">
        <v>6455350.0</v>
      </c>
      <c r="I1887" s="716">
        <v>7233600.0</v>
      </c>
      <c r="J1887" s="717">
        <v>5688392.0</v>
      </c>
      <c r="K1887" s="64"/>
      <c r="CE1887" s="460"/>
    </row>
    <row r="1888">
      <c r="A1888" s="63"/>
      <c r="B1888" s="701" t="s">
        <v>537</v>
      </c>
      <c r="C1888" s="743" t="s">
        <v>416</v>
      </c>
      <c r="D1888" s="703" t="s">
        <v>465</v>
      </c>
      <c r="E1888" s="704">
        <v>2021.0</v>
      </c>
      <c r="F1888" s="743" t="s">
        <v>418</v>
      </c>
      <c r="G1888" s="743" t="s">
        <v>50</v>
      </c>
      <c r="H1888" s="705">
        <v>2.8197882E7</v>
      </c>
      <c r="I1888" s="705">
        <v>3.1597387E7</v>
      </c>
      <c r="J1888" s="706">
        <v>2.4847699E7</v>
      </c>
      <c r="K1888" s="64"/>
      <c r="CE1888" s="460"/>
    </row>
    <row r="1889">
      <c r="A1889" s="63"/>
      <c r="B1889" s="712" t="s">
        <v>537</v>
      </c>
      <c r="C1889" s="742" t="s">
        <v>416</v>
      </c>
      <c r="D1889" s="714" t="s">
        <v>468</v>
      </c>
      <c r="E1889" s="715">
        <v>2021.0</v>
      </c>
      <c r="F1889" s="742" t="s">
        <v>418</v>
      </c>
      <c r="G1889" s="742" t="s">
        <v>50</v>
      </c>
      <c r="H1889" s="716">
        <v>5441039.0</v>
      </c>
      <c r="I1889" s="716">
        <v>6097005.0</v>
      </c>
      <c r="J1889" s="717">
        <v>4794591.0</v>
      </c>
      <c r="K1889" s="64"/>
      <c r="CE1889" s="460"/>
    </row>
    <row r="1890">
      <c r="A1890" s="63"/>
      <c r="B1890" s="701" t="s">
        <v>537</v>
      </c>
      <c r="C1890" s="743" t="s">
        <v>416</v>
      </c>
      <c r="D1890" s="703" t="s">
        <v>471</v>
      </c>
      <c r="E1890" s="704">
        <v>2021.0</v>
      </c>
      <c r="F1890" s="743" t="s">
        <v>418</v>
      </c>
      <c r="G1890" s="743" t="s">
        <v>50</v>
      </c>
      <c r="H1890" s="705">
        <v>5229962.0</v>
      </c>
      <c r="I1890" s="705">
        <v>5860480.0</v>
      </c>
      <c r="J1890" s="706">
        <v>4608592.0</v>
      </c>
      <c r="K1890" s="64"/>
      <c r="CE1890" s="460"/>
    </row>
    <row r="1891">
      <c r="A1891" s="63"/>
      <c r="B1891" s="712" t="s">
        <v>537</v>
      </c>
      <c r="C1891" s="742" t="s">
        <v>416</v>
      </c>
      <c r="D1891" s="714" t="s">
        <v>473</v>
      </c>
      <c r="E1891" s="715">
        <v>2021.0</v>
      </c>
      <c r="F1891" s="742" t="s">
        <v>418</v>
      </c>
      <c r="G1891" s="742" t="s">
        <v>50</v>
      </c>
      <c r="H1891" s="716">
        <v>2.2148553E7</v>
      </c>
      <c r="I1891" s="716">
        <v>2.4818757E7</v>
      </c>
      <c r="J1891" s="717">
        <v>1.951709E7</v>
      </c>
      <c r="K1891" s="64"/>
      <c r="CE1891" s="460"/>
    </row>
    <row r="1892">
      <c r="A1892" s="63"/>
      <c r="B1892" s="701" t="s">
        <v>537</v>
      </c>
      <c r="C1892" s="743" t="s">
        <v>416</v>
      </c>
      <c r="D1892" s="703" t="s">
        <v>476</v>
      </c>
      <c r="E1892" s="704">
        <v>2021.0</v>
      </c>
      <c r="F1892" s="743" t="s">
        <v>418</v>
      </c>
      <c r="G1892" s="743" t="s">
        <v>50</v>
      </c>
      <c r="H1892" s="705">
        <v>4498812.0</v>
      </c>
      <c r="I1892" s="705">
        <v>5041184.0</v>
      </c>
      <c r="J1892" s="706">
        <v>3964310.0</v>
      </c>
      <c r="K1892" s="64"/>
      <c r="CE1892" s="460"/>
    </row>
    <row r="1893">
      <c r="A1893" s="63"/>
      <c r="B1893" s="712" t="s">
        <v>537</v>
      </c>
      <c r="C1893" s="742" t="s">
        <v>416</v>
      </c>
      <c r="D1893" s="714" t="s">
        <v>479</v>
      </c>
      <c r="E1893" s="715">
        <v>2021.0</v>
      </c>
      <c r="F1893" s="742" t="s">
        <v>418</v>
      </c>
      <c r="G1893" s="742" t="s">
        <v>50</v>
      </c>
      <c r="H1893" s="716">
        <v>3746621.0</v>
      </c>
      <c r="I1893" s="716">
        <v>4198309.0</v>
      </c>
      <c r="J1893" s="717">
        <v>3301486.0</v>
      </c>
      <c r="K1893" s="64"/>
      <c r="CE1893" s="460"/>
    </row>
    <row r="1894">
      <c r="A1894" s="63"/>
      <c r="B1894" s="701" t="s">
        <v>537</v>
      </c>
      <c r="C1894" s="743" t="s">
        <v>416</v>
      </c>
      <c r="D1894" s="703" t="s">
        <v>482</v>
      </c>
      <c r="E1894" s="704">
        <v>2021.0</v>
      </c>
      <c r="F1894" s="743" t="s">
        <v>418</v>
      </c>
      <c r="G1894" s="743" t="s">
        <v>50</v>
      </c>
      <c r="H1894" s="705">
        <v>3191733.0</v>
      </c>
      <c r="I1894" s="705">
        <v>3576524.0</v>
      </c>
      <c r="J1894" s="706">
        <v>2812524.0</v>
      </c>
      <c r="K1894" s="64"/>
      <c r="CE1894" s="460"/>
    </row>
    <row r="1895">
      <c r="A1895" s="63"/>
      <c r="B1895" s="712" t="s">
        <v>537</v>
      </c>
      <c r="C1895" s="742" t="s">
        <v>416</v>
      </c>
      <c r="D1895" s="714" t="s">
        <v>485</v>
      </c>
      <c r="E1895" s="715">
        <v>2021.0</v>
      </c>
      <c r="F1895" s="742" t="s">
        <v>418</v>
      </c>
      <c r="G1895" s="742" t="s">
        <v>50</v>
      </c>
      <c r="H1895" s="716">
        <v>2684008.0</v>
      </c>
      <c r="I1895" s="716">
        <v>3007589.0</v>
      </c>
      <c r="J1895" s="717">
        <v>2365121.0</v>
      </c>
      <c r="K1895" s="64"/>
      <c r="CE1895" s="460"/>
    </row>
    <row r="1896">
      <c r="A1896" s="63"/>
      <c r="B1896" s="701" t="s">
        <v>537</v>
      </c>
      <c r="C1896" s="743" t="s">
        <v>416</v>
      </c>
      <c r="D1896" s="703" t="s">
        <v>488</v>
      </c>
      <c r="E1896" s="704">
        <v>2021.0</v>
      </c>
      <c r="F1896" s="743" t="s">
        <v>418</v>
      </c>
      <c r="G1896" s="743" t="s">
        <v>50</v>
      </c>
      <c r="H1896" s="705">
        <v>2180319.0</v>
      </c>
      <c r="I1896" s="705">
        <v>2443176.0</v>
      </c>
      <c r="J1896" s="706">
        <v>1921276.0</v>
      </c>
      <c r="K1896" s="64"/>
      <c r="CE1896" s="460"/>
    </row>
    <row r="1897">
      <c r="A1897" s="63"/>
      <c r="B1897" s="712" t="s">
        <v>537</v>
      </c>
      <c r="C1897" s="742" t="s">
        <v>416</v>
      </c>
      <c r="D1897" s="714" t="s">
        <v>491</v>
      </c>
      <c r="E1897" s="715">
        <v>2021.0</v>
      </c>
      <c r="F1897" s="742" t="s">
        <v>418</v>
      </c>
      <c r="G1897" s="742" t="s">
        <v>50</v>
      </c>
      <c r="H1897" s="716">
        <v>1724879.0</v>
      </c>
      <c r="I1897" s="716">
        <v>1932829.0</v>
      </c>
      <c r="J1897" s="717">
        <v>1519947.0</v>
      </c>
      <c r="K1897" s="64"/>
      <c r="CE1897" s="460"/>
    </row>
    <row r="1898">
      <c r="A1898" s="63"/>
      <c r="B1898" s="701" t="s">
        <v>537</v>
      </c>
      <c r="C1898" s="743" t="s">
        <v>416</v>
      </c>
      <c r="D1898" s="703" t="s">
        <v>493</v>
      </c>
      <c r="E1898" s="704">
        <v>2021.0</v>
      </c>
      <c r="F1898" s="743" t="s">
        <v>418</v>
      </c>
      <c r="G1898" s="743" t="s">
        <v>50</v>
      </c>
      <c r="H1898" s="705">
        <v>4736377.0</v>
      </c>
      <c r="I1898" s="705">
        <v>5307390.0</v>
      </c>
      <c r="J1898" s="706">
        <v>4173650.0</v>
      </c>
      <c r="K1898" s="64"/>
      <c r="CE1898" s="460"/>
    </row>
    <row r="1899">
      <c r="A1899" s="63"/>
      <c r="B1899" s="712" t="s">
        <v>537</v>
      </c>
      <c r="C1899" s="742" t="s">
        <v>416</v>
      </c>
      <c r="D1899" s="714" t="s">
        <v>434</v>
      </c>
      <c r="E1899" s="715">
        <v>2021.0</v>
      </c>
      <c r="F1899" s="742" t="s">
        <v>418</v>
      </c>
      <c r="G1899" s="742" t="s">
        <v>50</v>
      </c>
      <c r="H1899" s="716">
        <v>1.5556746E7</v>
      </c>
      <c r="I1899" s="716">
        <v>1.7432249E7</v>
      </c>
      <c r="J1899" s="717">
        <v>1.3708453E7</v>
      </c>
      <c r="K1899" s="64"/>
      <c r="CE1899" s="460"/>
    </row>
    <row r="1900">
      <c r="A1900" s="63"/>
      <c r="B1900" s="701" t="s">
        <v>537</v>
      </c>
      <c r="C1900" s="743" t="s">
        <v>416</v>
      </c>
      <c r="D1900" s="703" t="s">
        <v>497</v>
      </c>
      <c r="E1900" s="704">
        <v>2021.0</v>
      </c>
      <c r="F1900" s="743" t="s">
        <v>418</v>
      </c>
      <c r="G1900" s="743" t="s">
        <v>50</v>
      </c>
      <c r="H1900" s="705">
        <v>1306703.0</v>
      </c>
      <c r="I1900" s="705">
        <v>1464238.0</v>
      </c>
      <c r="J1900" s="706">
        <v>1151454.0</v>
      </c>
      <c r="K1900" s="64"/>
      <c r="CE1900" s="460"/>
    </row>
    <row r="1901">
      <c r="A1901" s="63"/>
      <c r="B1901" s="712" t="s">
        <v>537</v>
      </c>
      <c r="C1901" s="742" t="s">
        <v>416</v>
      </c>
      <c r="D1901" s="714" t="s">
        <v>500</v>
      </c>
      <c r="E1901" s="715">
        <v>2021.0</v>
      </c>
      <c r="F1901" s="742" t="s">
        <v>418</v>
      </c>
      <c r="G1901" s="742" t="s">
        <v>50</v>
      </c>
      <c r="H1901" s="716">
        <v>8167391.0</v>
      </c>
      <c r="I1901" s="716">
        <v>9152042.0</v>
      </c>
      <c r="J1901" s="717">
        <v>7197025.0</v>
      </c>
      <c r="K1901" s="64"/>
      <c r="CE1901" s="460"/>
    </row>
    <row r="1902">
      <c r="A1902" s="63"/>
      <c r="B1902" s="701" t="s">
        <v>537</v>
      </c>
      <c r="C1902" s="743" t="s">
        <v>416</v>
      </c>
      <c r="D1902" s="703" t="s">
        <v>502</v>
      </c>
      <c r="E1902" s="704">
        <v>2021.0</v>
      </c>
      <c r="F1902" s="743" t="s">
        <v>418</v>
      </c>
      <c r="G1902" s="743" t="s">
        <v>50</v>
      </c>
      <c r="H1902" s="705">
        <v>976427.0</v>
      </c>
      <c r="I1902" s="705">
        <v>1094143.0</v>
      </c>
      <c r="J1902" s="706">
        <v>860418.0</v>
      </c>
      <c r="K1902" s="64"/>
      <c r="CE1902" s="460"/>
    </row>
    <row r="1903">
      <c r="A1903" s="63"/>
      <c r="B1903" s="712" t="s">
        <v>537</v>
      </c>
      <c r="C1903" s="742" t="s">
        <v>416</v>
      </c>
      <c r="D1903" s="714" t="s">
        <v>505</v>
      </c>
      <c r="E1903" s="715">
        <v>2021.0</v>
      </c>
      <c r="F1903" s="742" t="s">
        <v>418</v>
      </c>
      <c r="G1903" s="742" t="s">
        <v>50</v>
      </c>
      <c r="H1903" s="716">
        <v>904522.0</v>
      </c>
      <c r="I1903" s="716">
        <v>1013570.0</v>
      </c>
      <c r="J1903" s="717">
        <v>797056.0</v>
      </c>
      <c r="K1903" s="64"/>
      <c r="CE1903" s="460"/>
    </row>
    <row r="1904">
      <c r="A1904" s="63"/>
      <c r="B1904" s="701" t="s">
        <v>537</v>
      </c>
      <c r="C1904" s="743" t="s">
        <v>416</v>
      </c>
      <c r="D1904" s="703" t="s">
        <v>508</v>
      </c>
      <c r="E1904" s="704">
        <v>2021.0</v>
      </c>
      <c r="F1904" s="743" t="s">
        <v>418</v>
      </c>
      <c r="G1904" s="743" t="s">
        <v>50</v>
      </c>
      <c r="H1904" s="705">
        <v>728368.0</v>
      </c>
      <c r="I1904" s="705">
        <v>816180.0</v>
      </c>
      <c r="J1904" s="706">
        <v>641831.0</v>
      </c>
      <c r="K1904" s="64"/>
      <c r="CE1904" s="460"/>
    </row>
    <row r="1905">
      <c r="A1905" s="63"/>
      <c r="B1905" s="712" t="s">
        <v>537</v>
      </c>
      <c r="C1905" s="742" t="s">
        <v>416</v>
      </c>
      <c r="D1905" s="714" t="s">
        <v>511</v>
      </c>
      <c r="E1905" s="715">
        <v>2021.0</v>
      </c>
      <c r="F1905" s="742" t="s">
        <v>418</v>
      </c>
      <c r="G1905" s="742" t="s">
        <v>50</v>
      </c>
      <c r="H1905" s="716">
        <v>1110683.0</v>
      </c>
      <c r="I1905" s="716">
        <v>1244586.0</v>
      </c>
      <c r="J1905" s="717">
        <v>978723.0</v>
      </c>
      <c r="K1905" s="64"/>
      <c r="CE1905" s="460"/>
    </row>
    <row r="1906">
      <c r="A1906" s="63"/>
      <c r="B1906" s="701" t="s">
        <v>537</v>
      </c>
      <c r="C1906" s="743" t="s">
        <v>416</v>
      </c>
      <c r="D1906" s="703" t="s">
        <v>514</v>
      </c>
      <c r="E1906" s="704">
        <v>2021.0</v>
      </c>
      <c r="F1906" s="743" t="s">
        <v>418</v>
      </c>
      <c r="G1906" s="743" t="s">
        <v>50</v>
      </c>
      <c r="H1906" s="705">
        <v>487976.0</v>
      </c>
      <c r="I1906" s="705">
        <v>546806.0</v>
      </c>
      <c r="J1906" s="706">
        <v>430000.0</v>
      </c>
      <c r="K1906" s="64"/>
      <c r="CE1906" s="460"/>
    </row>
    <row r="1907">
      <c r="A1907" s="63"/>
      <c r="B1907" s="712" t="s">
        <v>537</v>
      </c>
      <c r="C1907" s="742" t="s">
        <v>416</v>
      </c>
      <c r="D1907" s="714" t="s">
        <v>439</v>
      </c>
      <c r="E1907" s="715">
        <v>2021.0</v>
      </c>
      <c r="F1907" s="742" t="s">
        <v>418</v>
      </c>
      <c r="G1907" s="742" t="s">
        <v>50</v>
      </c>
      <c r="H1907" s="716">
        <v>106126.0</v>
      </c>
      <c r="I1907" s="716">
        <v>118920.0</v>
      </c>
      <c r="J1907" s="717">
        <v>93517.0</v>
      </c>
      <c r="K1907" s="64"/>
      <c r="CE1907" s="460"/>
    </row>
    <row r="1908">
      <c r="A1908" s="63"/>
      <c r="B1908" s="701" t="s">
        <v>537</v>
      </c>
      <c r="C1908" s="743" t="s">
        <v>416</v>
      </c>
      <c r="D1908" s="703" t="s">
        <v>517</v>
      </c>
      <c r="E1908" s="704">
        <v>2021.0</v>
      </c>
      <c r="F1908" s="743" t="s">
        <v>418</v>
      </c>
      <c r="G1908" s="743" t="s">
        <v>50</v>
      </c>
      <c r="H1908" s="705">
        <v>322516.0</v>
      </c>
      <c r="I1908" s="705">
        <v>361398.0</v>
      </c>
      <c r="J1908" s="706">
        <v>284198.0</v>
      </c>
      <c r="K1908" s="64"/>
      <c r="CE1908" s="460"/>
    </row>
    <row r="1909">
      <c r="A1909" s="63"/>
      <c r="B1909" s="712" t="s">
        <v>537</v>
      </c>
      <c r="C1909" s="742" t="s">
        <v>416</v>
      </c>
      <c r="D1909" s="714" t="s">
        <v>520</v>
      </c>
      <c r="E1909" s="715">
        <v>2021.0</v>
      </c>
      <c r="F1909" s="742" t="s">
        <v>418</v>
      </c>
      <c r="G1909" s="742" t="s">
        <v>50</v>
      </c>
      <c r="H1909" s="716">
        <v>300191.0</v>
      </c>
      <c r="I1909" s="716">
        <v>336381.0</v>
      </c>
      <c r="J1909" s="717">
        <v>264525.0</v>
      </c>
      <c r="K1909" s="64"/>
      <c r="CE1909" s="460"/>
    </row>
    <row r="1910">
      <c r="A1910" s="63"/>
      <c r="B1910" s="701" t="s">
        <v>537</v>
      </c>
      <c r="C1910" s="743" t="s">
        <v>416</v>
      </c>
      <c r="D1910" s="703" t="s">
        <v>521</v>
      </c>
      <c r="E1910" s="704">
        <v>2021.0</v>
      </c>
      <c r="F1910" s="743" t="s">
        <v>418</v>
      </c>
      <c r="G1910" s="743" t="s">
        <v>50</v>
      </c>
      <c r="H1910" s="705">
        <v>188058.0</v>
      </c>
      <c r="I1910" s="705">
        <v>210730.0</v>
      </c>
      <c r="J1910" s="706">
        <v>165715.0</v>
      </c>
      <c r="K1910" s="64"/>
      <c r="CE1910" s="460"/>
    </row>
    <row r="1911">
      <c r="A1911" s="63"/>
      <c r="B1911" s="712" t="s">
        <v>537</v>
      </c>
      <c r="C1911" s="742" t="s">
        <v>416</v>
      </c>
      <c r="D1911" s="714" t="s">
        <v>524</v>
      </c>
      <c r="E1911" s="715">
        <v>2021.0</v>
      </c>
      <c r="F1911" s="742" t="s">
        <v>418</v>
      </c>
      <c r="G1911" s="742" t="s">
        <v>50</v>
      </c>
      <c r="H1911" s="716">
        <v>82144.0</v>
      </c>
      <c r="I1911" s="716">
        <v>92047.0</v>
      </c>
      <c r="J1911" s="717">
        <v>72384.0</v>
      </c>
      <c r="K1911" s="64"/>
      <c r="CE1911" s="460"/>
    </row>
    <row r="1912">
      <c r="A1912" s="63"/>
      <c r="B1912" s="701" t="s">
        <v>537</v>
      </c>
      <c r="C1912" s="743" t="s">
        <v>416</v>
      </c>
      <c r="D1912" s="703" t="s">
        <v>527</v>
      </c>
      <c r="E1912" s="704">
        <v>2021.0</v>
      </c>
      <c r="F1912" s="743" t="s">
        <v>418</v>
      </c>
      <c r="G1912" s="743" t="s">
        <v>50</v>
      </c>
      <c r="H1912" s="705">
        <v>24009.0</v>
      </c>
      <c r="I1912" s="705">
        <v>26903.0</v>
      </c>
      <c r="J1912" s="706">
        <v>21156.0</v>
      </c>
      <c r="K1912" s="64"/>
      <c r="CE1912" s="460"/>
    </row>
    <row r="1913">
      <c r="A1913" s="63"/>
      <c r="B1913" s="712" t="s">
        <v>537</v>
      </c>
      <c r="C1913" s="742" t="s">
        <v>416</v>
      </c>
      <c r="D1913" s="714" t="s">
        <v>529</v>
      </c>
      <c r="E1913" s="715">
        <v>2021.0</v>
      </c>
      <c r="F1913" s="742" t="s">
        <v>418</v>
      </c>
      <c r="G1913" s="742" t="s">
        <v>50</v>
      </c>
      <c r="H1913" s="716">
        <v>5981.0</v>
      </c>
      <c r="I1913" s="716">
        <v>6702.0</v>
      </c>
      <c r="J1913" s="717">
        <v>5270.0</v>
      </c>
      <c r="K1913" s="64"/>
      <c r="CE1913" s="460"/>
    </row>
    <row r="1914">
      <c r="A1914" s="63"/>
      <c r="B1914" s="701" t="s">
        <v>537</v>
      </c>
      <c r="C1914" s="743" t="s">
        <v>416</v>
      </c>
      <c r="D1914" s="703" t="s">
        <v>443</v>
      </c>
      <c r="E1914" s="704">
        <v>2021.0</v>
      </c>
      <c r="F1914" s="743" t="s">
        <v>418</v>
      </c>
      <c r="G1914" s="743" t="s">
        <v>50</v>
      </c>
      <c r="H1914" s="705">
        <v>5.8447852E7</v>
      </c>
      <c r="I1914" s="705">
        <v>6.5494258E7</v>
      </c>
      <c r="J1914" s="706">
        <v>5.1503679E7</v>
      </c>
      <c r="K1914" s="64"/>
      <c r="CE1914" s="460"/>
    </row>
    <row r="1915">
      <c r="A1915" s="63"/>
      <c r="B1915" s="712" t="s">
        <v>538</v>
      </c>
      <c r="C1915" s="742" t="s">
        <v>416</v>
      </c>
      <c r="D1915" s="714" t="s">
        <v>417</v>
      </c>
      <c r="E1915" s="715">
        <v>2021.0</v>
      </c>
      <c r="F1915" s="742" t="s">
        <v>418</v>
      </c>
      <c r="G1915" s="742" t="s">
        <v>50</v>
      </c>
      <c r="H1915" s="716">
        <v>588502.0</v>
      </c>
      <c r="I1915" s="716">
        <v>671595.0</v>
      </c>
      <c r="J1915" s="717">
        <v>505775.0</v>
      </c>
      <c r="K1915" s="64"/>
      <c r="CE1915" s="460"/>
    </row>
    <row r="1916">
      <c r="A1916" s="63"/>
      <c r="B1916" s="701" t="s">
        <v>538</v>
      </c>
      <c r="C1916" s="743" t="s">
        <v>416</v>
      </c>
      <c r="D1916" s="703" t="s">
        <v>431</v>
      </c>
      <c r="E1916" s="704">
        <v>2021.0</v>
      </c>
      <c r="F1916" s="743" t="s">
        <v>418</v>
      </c>
      <c r="G1916" s="743" t="s">
        <v>50</v>
      </c>
      <c r="H1916" s="705">
        <v>1.0454228E7</v>
      </c>
      <c r="I1916" s="705">
        <v>1.1930305E7</v>
      </c>
      <c r="J1916" s="706">
        <v>8984647.0</v>
      </c>
      <c r="K1916" s="64"/>
      <c r="CE1916" s="460"/>
    </row>
    <row r="1917">
      <c r="A1917" s="63"/>
      <c r="B1917" s="712" t="s">
        <v>538</v>
      </c>
      <c r="C1917" s="742" t="s">
        <v>416</v>
      </c>
      <c r="D1917" s="714" t="s">
        <v>438</v>
      </c>
      <c r="E1917" s="715">
        <v>2021.0</v>
      </c>
      <c r="F1917" s="742" t="s">
        <v>418</v>
      </c>
      <c r="G1917" s="742" t="s">
        <v>50</v>
      </c>
      <c r="H1917" s="716">
        <v>45568.0</v>
      </c>
      <c r="I1917" s="716">
        <v>52002.0</v>
      </c>
      <c r="J1917" s="717">
        <v>39162.0</v>
      </c>
      <c r="K1917" s="64"/>
      <c r="CE1917" s="460"/>
    </row>
    <row r="1918">
      <c r="A1918" s="63"/>
      <c r="B1918" s="701" t="s">
        <v>538</v>
      </c>
      <c r="C1918" s="743" t="s">
        <v>416</v>
      </c>
      <c r="D1918" s="703" t="s">
        <v>421</v>
      </c>
      <c r="E1918" s="704">
        <v>2021.0</v>
      </c>
      <c r="F1918" s="743" t="s">
        <v>418</v>
      </c>
      <c r="G1918" s="743" t="s">
        <v>50</v>
      </c>
      <c r="H1918" s="705">
        <v>2925038.0</v>
      </c>
      <c r="I1918" s="705">
        <v>3338036.0</v>
      </c>
      <c r="J1918" s="706">
        <v>2513857.0</v>
      </c>
      <c r="K1918" s="64"/>
      <c r="CE1918" s="460"/>
    </row>
    <row r="1919">
      <c r="A1919" s="63"/>
      <c r="B1919" s="712" t="s">
        <v>538</v>
      </c>
      <c r="C1919" s="742" t="s">
        <v>416</v>
      </c>
      <c r="D1919" s="714" t="s">
        <v>447</v>
      </c>
      <c r="E1919" s="715">
        <v>2021.0</v>
      </c>
      <c r="F1919" s="742" t="s">
        <v>418</v>
      </c>
      <c r="G1919" s="742" t="s">
        <v>50</v>
      </c>
      <c r="H1919" s="716">
        <v>8271557.0</v>
      </c>
      <c r="I1919" s="716">
        <v>9439453.0</v>
      </c>
      <c r="J1919" s="717">
        <v>7108801.0</v>
      </c>
      <c r="K1919" s="64"/>
      <c r="CE1919" s="460"/>
    </row>
    <row r="1920">
      <c r="A1920" s="63"/>
      <c r="B1920" s="701" t="s">
        <v>538</v>
      </c>
      <c r="C1920" s="743" t="s">
        <v>416</v>
      </c>
      <c r="D1920" s="703" t="s">
        <v>432</v>
      </c>
      <c r="E1920" s="704">
        <v>2021.0</v>
      </c>
      <c r="F1920" s="743" t="s">
        <v>418</v>
      </c>
      <c r="G1920" s="743" t="s">
        <v>50</v>
      </c>
      <c r="H1920" s="705">
        <v>11477.0</v>
      </c>
      <c r="I1920" s="705">
        <v>13098.0</v>
      </c>
      <c r="J1920" s="706">
        <v>9864.0</v>
      </c>
      <c r="K1920" s="64"/>
      <c r="CE1920" s="460"/>
    </row>
    <row r="1921">
      <c r="A1921" s="63"/>
      <c r="B1921" s="712" t="s">
        <v>538</v>
      </c>
      <c r="C1921" s="742" t="s">
        <v>416</v>
      </c>
      <c r="D1921" s="714" t="s">
        <v>450</v>
      </c>
      <c r="E1921" s="715">
        <v>2021.0</v>
      </c>
      <c r="F1921" s="742" t="s">
        <v>418</v>
      </c>
      <c r="G1921" s="742" t="s">
        <v>50</v>
      </c>
      <c r="H1921" s="716">
        <v>2538025.0</v>
      </c>
      <c r="I1921" s="716">
        <v>2896380.0</v>
      </c>
      <c r="J1921" s="717">
        <v>2181248.0</v>
      </c>
      <c r="K1921" s="64"/>
      <c r="CE1921" s="460"/>
    </row>
    <row r="1922">
      <c r="A1922" s="63"/>
      <c r="B1922" s="701" t="s">
        <v>538</v>
      </c>
      <c r="C1922" s="743" t="s">
        <v>416</v>
      </c>
      <c r="D1922" s="703" t="s">
        <v>453</v>
      </c>
      <c r="E1922" s="704">
        <v>2021.0</v>
      </c>
      <c r="F1922" s="743" t="s">
        <v>418</v>
      </c>
      <c r="G1922" s="743" t="s">
        <v>50</v>
      </c>
      <c r="H1922" s="705">
        <v>4720696.0</v>
      </c>
      <c r="I1922" s="705">
        <v>5387231.0</v>
      </c>
      <c r="J1922" s="706">
        <v>4057094.0</v>
      </c>
      <c r="K1922" s="64"/>
      <c r="CE1922" s="460"/>
    </row>
    <row r="1923">
      <c r="A1923" s="63"/>
      <c r="B1923" s="712" t="s">
        <v>538</v>
      </c>
      <c r="C1923" s="742" t="s">
        <v>416</v>
      </c>
      <c r="D1923" s="714" t="s">
        <v>454</v>
      </c>
      <c r="E1923" s="715">
        <v>2021.0</v>
      </c>
      <c r="F1923" s="742" t="s">
        <v>418</v>
      </c>
      <c r="G1923" s="742" t="s">
        <v>50</v>
      </c>
      <c r="H1923" s="716">
        <v>6601675.0</v>
      </c>
      <c r="I1923" s="716">
        <v>7533794.0</v>
      </c>
      <c r="J1923" s="717">
        <v>5673659.0</v>
      </c>
      <c r="K1923" s="64"/>
      <c r="CE1923" s="460"/>
    </row>
    <row r="1924">
      <c r="A1924" s="63"/>
      <c r="B1924" s="701" t="s">
        <v>538</v>
      </c>
      <c r="C1924" s="743" t="s">
        <v>416</v>
      </c>
      <c r="D1924" s="703" t="s">
        <v>457</v>
      </c>
      <c r="E1924" s="704">
        <v>2021.0</v>
      </c>
      <c r="F1924" s="743" t="s">
        <v>418</v>
      </c>
      <c r="G1924" s="743" t="s">
        <v>50</v>
      </c>
      <c r="H1924" s="705">
        <v>585901.0</v>
      </c>
      <c r="I1924" s="705">
        <v>668627.0</v>
      </c>
      <c r="J1924" s="706">
        <v>503539.0</v>
      </c>
      <c r="K1924" s="64"/>
      <c r="CE1924" s="460"/>
    </row>
    <row r="1925">
      <c r="A1925" s="63"/>
      <c r="B1925" s="712" t="s">
        <v>538</v>
      </c>
      <c r="C1925" s="742" t="s">
        <v>416</v>
      </c>
      <c r="D1925" s="714" t="s">
        <v>460</v>
      </c>
      <c r="E1925" s="715">
        <v>2021.0</v>
      </c>
      <c r="F1925" s="742" t="s">
        <v>418</v>
      </c>
      <c r="G1925" s="742" t="s">
        <v>50</v>
      </c>
      <c r="H1925" s="716">
        <v>250468.0</v>
      </c>
      <c r="I1925" s="716">
        <v>285833.0</v>
      </c>
      <c r="J1925" s="717">
        <v>215259.0</v>
      </c>
      <c r="K1925" s="64"/>
      <c r="CE1925" s="460"/>
    </row>
    <row r="1926">
      <c r="A1926" s="63"/>
      <c r="B1926" s="701" t="s">
        <v>538</v>
      </c>
      <c r="C1926" s="743" t="s">
        <v>416</v>
      </c>
      <c r="D1926" s="703" t="s">
        <v>463</v>
      </c>
      <c r="E1926" s="704">
        <v>2021.0</v>
      </c>
      <c r="F1926" s="743" t="s">
        <v>418</v>
      </c>
      <c r="G1926" s="743" t="s">
        <v>50</v>
      </c>
      <c r="H1926" s="705">
        <v>2182671.0</v>
      </c>
      <c r="I1926" s="705">
        <v>2490851.0</v>
      </c>
      <c r="J1926" s="706">
        <v>1875846.0</v>
      </c>
      <c r="K1926" s="64"/>
      <c r="CE1926" s="460"/>
    </row>
    <row r="1927">
      <c r="A1927" s="63"/>
      <c r="B1927" s="712" t="s">
        <v>538</v>
      </c>
      <c r="C1927" s="742" t="s">
        <v>416</v>
      </c>
      <c r="D1927" s="714" t="s">
        <v>465</v>
      </c>
      <c r="E1927" s="715">
        <v>2021.0</v>
      </c>
      <c r="F1927" s="742" t="s">
        <v>418</v>
      </c>
      <c r="G1927" s="742" t="s">
        <v>50</v>
      </c>
      <c r="H1927" s="716">
        <v>9661415.0</v>
      </c>
      <c r="I1927" s="716">
        <v>1.1025551E7</v>
      </c>
      <c r="J1927" s="717">
        <v>8303282.0</v>
      </c>
      <c r="K1927" s="64"/>
      <c r="CE1927" s="460"/>
    </row>
    <row r="1928">
      <c r="A1928" s="63"/>
      <c r="B1928" s="701" t="s">
        <v>538</v>
      </c>
      <c r="C1928" s="743" t="s">
        <v>416</v>
      </c>
      <c r="D1928" s="703" t="s">
        <v>468</v>
      </c>
      <c r="E1928" s="704">
        <v>2021.0</v>
      </c>
      <c r="F1928" s="743" t="s">
        <v>418</v>
      </c>
      <c r="G1928" s="743" t="s">
        <v>50</v>
      </c>
      <c r="H1928" s="705">
        <v>1880979.0</v>
      </c>
      <c r="I1928" s="705">
        <v>2146563.0</v>
      </c>
      <c r="J1928" s="706">
        <v>1616565.0</v>
      </c>
      <c r="K1928" s="64"/>
      <c r="CE1928" s="460"/>
    </row>
    <row r="1929">
      <c r="A1929" s="63"/>
      <c r="B1929" s="712" t="s">
        <v>538</v>
      </c>
      <c r="C1929" s="742" t="s">
        <v>416</v>
      </c>
      <c r="D1929" s="714" t="s">
        <v>471</v>
      </c>
      <c r="E1929" s="715">
        <v>2021.0</v>
      </c>
      <c r="F1929" s="742" t="s">
        <v>418</v>
      </c>
      <c r="G1929" s="742" t="s">
        <v>50</v>
      </c>
      <c r="H1929" s="716">
        <v>1750634.0</v>
      </c>
      <c r="I1929" s="716">
        <v>1997814.0</v>
      </c>
      <c r="J1929" s="717">
        <v>1504542.0</v>
      </c>
      <c r="K1929" s="64"/>
      <c r="CE1929" s="460"/>
    </row>
    <row r="1930">
      <c r="A1930" s="63"/>
      <c r="B1930" s="701" t="s">
        <v>538</v>
      </c>
      <c r="C1930" s="743" t="s">
        <v>416</v>
      </c>
      <c r="D1930" s="703" t="s">
        <v>473</v>
      </c>
      <c r="E1930" s="704">
        <v>2021.0</v>
      </c>
      <c r="F1930" s="743" t="s">
        <v>418</v>
      </c>
      <c r="G1930" s="743" t="s">
        <v>50</v>
      </c>
      <c r="H1930" s="705">
        <v>7180064.0</v>
      </c>
      <c r="I1930" s="705">
        <v>8193847.0</v>
      </c>
      <c r="J1930" s="706">
        <v>6170741.0</v>
      </c>
      <c r="K1930" s="64"/>
      <c r="CE1930" s="460"/>
    </row>
    <row r="1931">
      <c r="A1931" s="63"/>
      <c r="B1931" s="712" t="s">
        <v>538</v>
      </c>
      <c r="C1931" s="742" t="s">
        <v>416</v>
      </c>
      <c r="D1931" s="714" t="s">
        <v>476</v>
      </c>
      <c r="E1931" s="715">
        <v>2021.0</v>
      </c>
      <c r="F1931" s="742" t="s">
        <v>418</v>
      </c>
      <c r="G1931" s="742" t="s">
        <v>50</v>
      </c>
      <c r="H1931" s="716">
        <v>1611885.0</v>
      </c>
      <c r="I1931" s="716">
        <v>1839474.0</v>
      </c>
      <c r="J1931" s="717">
        <v>1385298.0</v>
      </c>
      <c r="K1931" s="64"/>
      <c r="CE1931" s="460"/>
    </row>
    <row r="1932">
      <c r="A1932" s="63"/>
      <c r="B1932" s="701" t="s">
        <v>538</v>
      </c>
      <c r="C1932" s="743" t="s">
        <v>416</v>
      </c>
      <c r="D1932" s="703" t="s">
        <v>479</v>
      </c>
      <c r="E1932" s="704">
        <v>2021.0</v>
      </c>
      <c r="F1932" s="743" t="s">
        <v>418</v>
      </c>
      <c r="G1932" s="743" t="s">
        <v>50</v>
      </c>
      <c r="H1932" s="705">
        <v>1329780.0</v>
      </c>
      <c r="I1932" s="705">
        <v>1517537.0</v>
      </c>
      <c r="J1932" s="706">
        <v>1142849.0</v>
      </c>
      <c r="K1932" s="64"/>
      <c r="CE1932" s="460"/>
    </row>
    <row r="1933">
      <c r="A1933" s="63"/>
      <c r="B1933" s="712" t="s">
        <v>538</v>
      </c>
      <c r="C1933" s="742" t="s">
        <v>416</v>
      </c>
      <c r="D1933" s="714" t="s">
        <v>482</v>
      </c>
      <c r="E1933" s="715">
        <v>2021.0</v>
      </c>
      <c r="F1933" s="742" t="s">
        <v>418</v>
      </c>
      <c r="G1933" s="742" t="s">
        <v>50</v>
      </c>
      <c r="H1933" s="716">
        <v>1087563.0</v>
      </c>
      <c r="I1933" s="716">
        <v>1241120.0</v>
      </c>
      <c r="J1933" s="717">
        <v>934681.0</v>
      </c>
      <c r="K1933" s="64"/>
      <c r="CE1933" s="460"/>
    </row>
    <row r="1934">
      <c r="A1934" s="63"/>
      <c r="B1934" s="701" t="s">
        <v>538</v>
      </c>
      <c r="C1934" s="743" t="s">
        <v>416</v>
      </c>
      <c r="D1934" s="703" t="s">
        <v>485</v>
      </c>
      <c r="E1934" s="704">
        <v>2021.0</v>
      </c>
      <c r="F1934" s="743" t="s">
        <v>418</v>
      </c>
      <c r="G1934" s="743" t="s">
        <v>50</v>
      </c>
      <c r="H1934" s="705">
        <v>883806.0</v>
      </c>
      <c r="I1934" s="705">
        <v>1008595.0</v>
      </c>
      <c r="J1934" s="706">
        <v>759567.0</v>
      </c>
      <c r="K1934" s="64"/>
      <c r="CE1934" s="460"/>
    </row>
    <row r="1935">
      <c r="A1935" s="63"/>
      <c r="B1935" s="712" t="s">
        <v>538</v>
      </c>
      <c r="C1935" s="742" t="s">
        <v>416</v>
      </c>
      <c r="D1935" s="714" t="s">
        <v>488</v>
      </c>
      <c r="E1935" s="715">
        <v>2021.0</v>
      </c>
      <c r="F1935" s="742" t="s">
        <v>418</v>
      </c>
      <c r="G1935" s="742" t="s">
        <v>50</v>
      </c>
      <c r="H1935" s="716">
        <v>684731.0</v>
      </c>
      <c r="I1935" s="716">
        <v>781411.0</v>
      </c>
      <c r="J1935" s="717">
        <v>588476.0</v>
      </c>
      <c r="K1935" s="64"/>
      <c r="CE1935" s="460"/>
    </row>
    <row r="1936">
      <c r="A1936" s="63"/>
      <c r="B1936" s="701" t="s">
        <v>538</v>
      </c>
      <c r="C1936" s="743" t="s">
        <v>416</v>
      </c>
      <c r="D1936" s="703" t="s">
        <v>491</v>
      </c>
      <c r="E1936" s="704">
        <v>2021.0</v>
      </c>
      <c r="F1936" s="743" t="s">
        <v>418</v>
      </c>
      <c r="G1936" s="743" t="s">
        <v>50</v>
      </c>
      <c r="H1936" s="705">
        <v>502140.0</v>
      </c>
      <c r="I1936" s="705">
        <v>573040.0</v>
      </c>
      <c r="J1936" s="706">
        <v>431553.0</v>
      </c>
      <c r="K1936" s="64"/>
      <c r="CE1936" s="460"/>
    </row>
    <row r="1937">
      <c r="A1937" s="63"/>
      <c r="B1937" s="712" t="s">
        <v>538</v>
      </c>
      <c r="C1937" s="742" t="s">
        <v>416</v>
      </c>
      <c r="D1937" s="714" t="s">
        <v>493</v>
      </c>
      <c r="E1937" s="715">
        <v>2021.0</v>
      </c>
      <c r="F1937" s="742" t="s">
        <v>418</v>
      </c>
      <c r="G1937" s="742" t="s">
        <v>50</v>
      </c>
      <c r="H1937" s="716">
        <v>1313215.0</v>
      </c>
      <c r="I1937" s="716">
        <v>1498633.0</v>
      </c>
      <c r="J1937" s="717">
        <v>1128612.0</v>
      </c>
      <c r="K1937" s="64"/>
      <c r="CE1937" s="460"/>
    </row>
    <row r="1938">
      <c r="A1938" s="63"/>
      <c r="B1938" s="701" t="s">
        <v>538</v>
      </c>
      <c r="C1938" s="743" t="s">
        <v>416</v>
      </c>
      <c r="D1938" s="703" t="s">
        <v>434</v>
      </c>
      <c r="E1938" s="704">
        <v>2021.0</v>
      </c>
      <c r="F1938" s="743" t="s">
        <v>418</v>
      </c>
      <c r="G1938" s="743" t="s">
        <v>50</v>
      </c>
      <c r="H1938" s="705">
        <v>5346520.0</v>
      </c>
      <c r="I1938" s="705">
        <v>6101417.0</v>
      </c>
      <c r="J1938" s="706">
        <v>4594944.0</v>
      </c>
      <c r="K1938" s="64"/>
      <c r="CE1938" s="460"/>
    </row>
    <row r="1939">
      <c r="A1939" s="63"/>
      <c r="B1939" s="712" t="s">
        <v>538</v>
      </c>
      <c r="C1939" s="742" t="s">
        <v>416</v>
      </c>
      <c r="D1939" s="714" t="s">
        <v>497</v>
      </c>
      <c r="E1939" s="715">
        <v>2021.0</v>
      </c>
      <c r="F1939" s="742" t="s">
        <v>418</v>
      </c>
      <c r="G1939" s="742" t="s">
        <v>50</v>
      </c>
      <c r="H1939" s="716">
        <v>360183.0</v>
      </c>
      <c r="I1939" s="716">
        <v>411039.0</v>
      </c>
      <c r="J1939" s="717">
        <v>309551.0</v>
      </c>
      <c r="K1939" s="64"/>
      <c r="CE1939" s="460"/>
    </row>
    <row r="1940">
      <c r="A1940" s="63"/>
      <c r="B1940" s="701" t="s">
        <v>538</v>
      </c>
      <c r="C1940" s="743" t="s">
        <v>416</v>
      </c>
      <c r="D1940" s="703" t="s">
        <v>500</v>
      </c>
      <c r="E1940" s="704">
        <v>2021.0</v>
      </c>
      <c r="F1940" s="743" t="s">
        <v>418</v>
      </c>
      <c r="G1940" s="743" t="s">
        <v>50</v>
      </c>
      <c r="H1940" s="705">
        <v>2808494.0</v>
      </c>
      <c r="I1940" s="705">
        <v>3205037.0</v>
      </c>
      <c r="J1940" s="706">
        <v>2413696.0</v>
      </c>
      <c r="K1940" s="64"/>
      <c r="CE1940" s="460"/>
    </row>
    <row r="1941">
      <c r="A1941" s="63"/>
      <c r="B1941" s="712" t="s">
        <v>538</v>
      </c>
      <c r="C1941" s="742" t="s">
        <v>416</v>
      </c>
      <c r="D1941" s="714" t="s">
        <v>502</v>
      </c>
      <c r="E1941" s="715">
        <v>2021.0</v>
      </c>
      <c r="F1941" s="742" t="s">
        <v>418</v>
      </c>
      <c r="G1941" s="742" t="s">
        <v>50</v>
      </c>
      <c r="H1941" s="716">
        <v>265330.0</v>
      </c>
      <c r="I1941" s="716">
        <v>302793.0</v>
      </c>
      <c r="J1941" s="717">
        <v>228032.0</v>
      </c>
      <c r="K1941" s="64"/>
      <c r="CE1941" s="460"/>
    </row>
    <row r="1942">
      <c r="A1942" s="63"/>
      <c r="B1942" s="701" t="s">
        <v>538</v>
      </c>
      <c r="C1942" s="743" t="s">
        <v>416</v>
      </c>
      <c r="D1942" s="703" t="s">
        <v>505</v>
      </c>
      <c r="E1942" s="704">
        <v>2021.0</v>
      </c>
      <c r="F1942" s="743" t="s">
        <v>418</v>
      </c>
      <c r="G1942" s="743" t="s">
        <v>50</v>
      </c>
      <c r="H1942" s="705">
        <v>292466.0</v>
      </c>
      <c r="I1942" s="705">
        <v>333761.0</v>
      </c>
      <c r="J1942" s="706">
        <v>251354.0</v>
      </c>
      <c r="K1942" s="64"/>
      <c r="CE1942" s="460"/>
    </row>
    <row r="1943">
      <c r="A1943" s="63"/>
      <c r="B1943" s="712" t="s">
        <v>538</v>
      </c>
      <c r="C1943" s="742" t="s">
        <v>416</v>
      </c>
      <c r="D1943" s="714" t="s">
        <v>508</v>
      </c>
      <c r="E1943" s="715">
        <v>2021.0</v>
      </c>
      <c r="F1943" s="742" t="s">
        <v>418</v>
      </c>
      <c r="G1943" s="742" t="s">
        <v>50</v>
      </c>
      <c r="H1943" s="716">
        <v>185562.0</v>
      </c>
      <c r="I1943" s="716">
        <v>211762.0</v>
      </c>
      <c r="J1943" s="717">
        <v>159477.0</v>
      </c>
      <c r="K1943" s="64"/>
      <c r="CE1943" s="460"/>
    </row>
    <row r="1944">
      <c r="A1944" s="63"/>
      <c r="B1944" s="701" t="s">
        <v>538</v>
      </c>
      <c r="C1944" s="743" t="s">
        <v>416</v>
      </c>
      <c r="D1944" s="703" t="s">
        <v>511</v>
      </c>
      <c r="E1944" s="704">
        <v>2021.0</v>
      </c>
      <c r="F1944" s="743" t="s">
        <v>418</v>
      </c>
      <c r="G1944" s="743" t="s">
        <v>50</v>
      </c>
      <c r="H1944" s="705">
        <v>269084.0</v>
      </c>
      <c r="I1944" s="705">
        <v>307077.0</v>
      </c>
      <c r="J1944" s="706">
        <v>231258.0</v>
      </c>
      <c r="K1944" s="64"/>
      <c r="CE1944" s="460"/>
    </row>
    <row r="1945">
      <c r="A1945" s="63"/>
      <c r="B1945" s="712" t="s">
        <v>538</v>
      </c>
      <c r="C1945" s="742" t="s">
        <v>416</v>
      </c>
      <c r="D1945" s="714" t="s">
        <v>514</v>
      </c>
      <c r="E1945" s="715">
        <v>2021.0</v>
      </c>
      <c r="F1945" s="742" t="s">
        <v>418</v>
      </c>
      <c r="G1945" s="742" t="s">
        <v>50</v>
      </c>
      <c r="H1945" s="716">
        <v>127323.0</v>
      </c>
      <c r="I1945" s="716">
        <v>145300.0</v>
      </c>
      <c r="J1945" s="717">
        <v>109425.0</v>
      </c>
      <c r="K1945" s="64"/>
      <c r="CE1945" s="460"/>
    </row>
    <row r="1946">
      <c r="A1946" s="63"/>
      <c r="B1946" s="701" t="s">
        <v>538</v>
      </c>
      <c r="C1946" s="743" t="s">
        <v>416</v>
      </c>
      <c r="D1946" s="703" t="s">
        <v>439</v>
      </c>
      <c r="E1946" s="704">
        <v>2021.0</v>
      </c>
      <c r="F1946" s="743" t="s">
        <v>418</v>
      </c>
      <c r="G1946" s="743" t="s">
        <v>50</v>
      </c>
      <c r="H1946" s="705">
        <v>34091.0</v>
      </c>
      <c r="I1946" s="705">
        <v>38904.0</v>
      </c>
      <c r="J1946" s="706">
        <v>29299.0</v>
      </c>
      <c r="K1946" s="64"/>
      <c r="CE1946" s="460"/>
    </row>
    <row r="1947">
      <c r="A1947" s="63"/>
      <c r="B1947" s="712" t="s">
        <v>538</v>
      </c>
      <c r="C1947" s="742" t="s">
        <v>416</v>
      </c>
      <c r="D1947" s="714" t="s">
        <v>517</v>
      </c>
      <c r="E1947" s="715">
        <v>2021.0</v>
      </c>
      <c r="F1947" s="742" t="s">
        <v>418</v>
      </c>
      <c r="G1947" s="742" t="s">
        <v>50</v>
      </c>
      <c r="H1947" s="716">
        <v>82055.0</v>
      </c>
      <c r="I1947" s="716">
        <v>93641.0</v>
      </c>
      <c r="J1947" s="717">
        <v>70521.0</v>
      </c>
      <c r="K1947" s="64"/>
      <c r="CE1947" s="460"/>
    </row>
    <row r="1948">
      <c r="A1948" s="63"/>
      <c r="B1948" s="701" t="s">
        <v>538</v>
      </c>
      <c r="C1948" s="743" t="s">
        <v>416</v>
      </c>
      <c r="D1948" s="703" t="s">
        <v>520</v>
      </c>
      <c r="E1948" s="704">
        <v>2021.0</v>
      </c>
      <c r="F1948" s="743" t="s">
        <v>418</v>
      </c>
      <c r="G1948" s="743" t="s">
        <v>50</v>
      </c>
      <c r="H1948" s="705">
        <v>59705.0</v>
      </c>
      <c r="I1948" s="705">
        <v>68135.0</v>
      </c>
      <c r="J1948" s="706">
        <v>51312.0</v>
      </c>
      <c r="K1948" s="64"/>
      <c r="CE1948" s="460"/>
    </row>
    <row r="1949">
      <c r="A1949" s="63"/>
      <c r="B1949" s="712" t="s">
        <v>538</v>
      </c>
      <c r="C1949" s="742" t="s">
        <v>416</v>
      </c>
      <c r="D1949" s="714" t="s">
        <v>521</v>
      </c>
      <c r="E1949" s="715">
        <v>2021.0</v>
      </c>
      <c r="F1949" s="742" t="s">
        <v>418</v>
      </c>
      <c r="G1949" s="742" t="s">
        <v>50</v>
      </c>
      <c r="H1949" s="716">
        <v>40413.0</v>
      </c>
      <c r="I1949" s="716">
        <v>46119.0</v>
      </c>
      <c r="J1949" s="717">
        <v>34732.0</v>
      </c>
      <c r="K1949" s="64"/>
      <c r="CE1949" s="460"/>
    </row>
    <row r="1950">
      <c r="A1950" s="63"/>
      <c r="B1950" s="701" t="s">
        <v>538</v>
      </c>
      <c r="C1950" s="743" t="s">
        <v>416</v>
      </c>
      <c r="D1950" s="703" t="s">
        <v>524</v>
      </c>
      <c r="E1950" s="704">
        <v>2021.0</v>
      </c>
      <c r="F1950" s="743" t="s">
        <v>418</v>
      </c>
      <c r="G1950" s="743" t="s">
        <v>50</v>
      </c>
      <c r="H1950" s="705">
        <v>15056.0</v>
      </c>
      <c r="I1950" s="705">
        <v>17182.0</v>
      </c>
      <c r="J1950" s="706">
        <v>12940.0</v>
      </c>
      <c r="K1950" s="64"/>
      <c r="CE1950" s="460"/>
    </row>
    <row r="1951">
      <c r="A1951" s="63"/>
      <c r="B1951" s="712" t="s">
        <v>538</v>
      </c>
      <c r="C1951" s="742" t="s">
        <v>416</v>
      </c>
      <c r="D1951" s="714" t="s">
        <v>527</v>
      </c>
      <c r="E1951" s="715">
        <v>2021.0</v>
      </c>
      <c r="F1951" s="742" t="s">
        <v>418</v>
      </c>
      <c r="G1951" s="742" t="s">
        <v>50</v>
      </c>
      <c r="H1951" s="716">
        <v>3557.0</v>
      </c>
      <c r="I1951" s="716">
        <v>4059.0</v>
      </c>
      <c r="J1951" s="717">
        <v>3057.0</v>
      </c>
      <c r="K1951" s="64"/>
      <c r="CE1951" s="460"/>
    </row>
    <row r="1952">
      <c r="A1952" s="63"/>
      <c r="B1952" s="701" t="s">
        <v>538</v>
      </c>
      <c r="C1952" s="743" t="s">
        <v>416</v>
      </c>
      <c r="D1952" s="703" t="s">
        <v>529</v>
      </c>
      <c r="E1952" s="704">
        <v>2021.0</v>
      </c>
      <c r="F1952" s="743" t="s">
        <v>418</v>
      </c>
      <c r="G1952" s="743" t="s">
        <v>50</v>
      </c>
      <c r="H1952" s="705">
        <v>679.0</v>
      </c>
      <c r="I1952" s="705">
        <v>775.0</v>
      </c>
      <c r="J1952" s="706">
        <v>584.0</v>
      </c>
      <c r="K1952" s="64"/>
      <c r="CE1952" s="460"/>
    </row>
    <row r="1953">
      <c r="A1953" s="63"/>
      <c r="B1953" s="712" t="s">
        <v>538</v>
      </c>
      <c r="C1953" s="742" t="s">
        <v>416</v>
      </c>
      <c r="D1953" s="714" t="s">
        <v>443</v>
      </c>
      <c r="E1953" s="715">
        <v>2021.0</v>
      </c>
      <c r="F1953" s="742" t="s">
        <v>418</v>
      </c>
      <c r="G1953" s="742" t="s">
        <v>50</v>
      </c>
      <c r="H1953" s="716">
        <v>1.9515271E7</v>
      </c>
      <c r="I1953" s="716">
        <v>2.2270714E7</v>
      </c>
      <c r="J1953" s="717">
        <v>1.6771953E7</v>
      </c>
      <c r="K1953" s="64"/>
      <c r="CE1953" s="460"/>
    </row>
    <row r="1954">
      <c r="A1954" s="63"/>
      <c r="B1954" s="701" t="s">
        <v>539</v>
      </c>
      <c r="C1954" s="743" t="s">
        <v>416</v>
      </c>
      <c r="D1954" s="703" t="s">
        <v>417</v>
      </c>
      <c r="E1954" s="704">
        <v>2021.0</v>
      </c>
      <c r="F1954" s="743" t="s">
        <v>418</v>
      </c>
      <c r="G1954" s="743" t="s">
        <v>50</v>
      </c>
      <c r="H1954" s="705">
        <v>451677.0</v>
      </c>
      <c r="I1954" s="705">
        <v>505836.0</v>
      </c>
      <c r="J1954" s="706">
        <v>399742.0</v>
      </c>
      <c r="K1954" s="64"/>
      <c r="CE1954" s="460"/>
    </row>
    <row r="1955">
      <c r="A1955" s="63"/>
      <c r="B1955" s="712" t="s">
        <v>539</v>
      </c>
      <c r="C1955" s="742" t="s">
        <v>416</v>
      </c>
      <c r="D1955" s="714" t="s">
        <v>431</v>
      </c>
      <c r="E1955" s="715">
        <v>2021.0</v>
      </c>
      <c r="F1955" s="742" t="s">
        <v>418</v>
      </c>
      <c r="G1955" s="742" t="s">
        <v>50</v>
      </c>
      <c r="H1955" s="716">
        <v>7984239.0</v>
      </c>
      <c r="I1955" s="716">
        <v>8941611.0</v>
      </c>
      <c r="J1955" s="717">
        <v>7066199.0</v>
      </c>
      <c r="K1955" s="64"/>
      <c r="CE1955" s="460"/>
    </row>
    <row r="1956">
      <c r="A1956" s="63"/>
      <c r="B1956" s="701" t="s">
        <v>539</v>
      </c>
      <c r="C1956" s="743" t="s">
        <v>416</v>
      </c>
      <c r="D1956" s="703" t="s">
        <v>438</v>
      </c>
      <c r="E1956" s="704">
        <v>2021.0</v>
      </c>
      <c r="F1956" s="743" t="s">
        <v>418</v>
      </c>
      <c r="G1956" s="743" t="s">
        <v>50</v>
      </c>
      <c r="H1956" s="705">
        <v>35189.0</v>
      </c>
      <c r="I1956" s="705">
        <v>39408.0</v>
      </c>
      <c r="J1956" s="706">
        <v>31143.0</v>
      </c>
      <c r="K1956" s="64"/>
      <c r="CE1956" s="460"/>
    </row>
    <row r="1957">
      <c r="A1957" s="63"/>
      <c r="B1957" s="712" t="s">
        <v>539</v>
      </c>
      <c r="C1957" s="742" t="s">
        <v>416</v>
      </c>
      <c r="D1957" s="714" t="s">
        <v>421</v>
      </c>
      <c r="E1957" s="715">
        <v>2021.0</v>
      </c>
      <c r="F1957" s="742" t="s">
        <v>418</v>
      </c>
      <c r="G1957" s="742" t="s">
        <v>50</v>
      </c>
      <c r="H1957" s="716">
        <v>2209717.0</v>
      </c>
      <c r="I1957" s="716">
        <v>2474680.0</v>
      </c>
      <c r="J1957" s="717">
        <v>1955641.0</v>
      </c>
      <c r="K1957" s="64"/>
      <c r="CE1957" s="460"/>
    </row>
    <row r="1958">
      <c r="A1958" s="63"/>
      <c r="B1958" s="701" t="s">
        <v>539</v>
      </c>
      <c r="C1958" s="743" t="s">
        <v>416</v>
      </c>
      <c r="D1958" s="703" t="s">
        <v>447</v>
      </c>
      <c r="E1958" s="704">
        <v>2021.0</v>
      </c>
      <c r="F1958" s="743" t="s">
        <v>418</v>
      </c>
      <c r="G1958" s="743" t="s">
        <v>50</v>
      </c>
      <c r="H1958" s="705">
        <v>6293849.0</v>
      </c>
      <c r="I1958" s="705">
        <v>7048531.0</v>
      </c>
      <c r="J1958" s="706">
        <v>5570173.0</v>
      </c>
      <c r="K1958" s="64"/>
      <c r="CE1958" s="460"/>
    </row>
    <row r="1959">
      <c r="A1959" s="63"/>
      <c r="B1959" s="712" t="s">
        <v>539</v>
      </c>
      <c r="C1959" s="742" t="s">
        <v>416</v>
      </c>
      <c r="D1959" s="714" t="s">
        <v>432</v>
      </c>
      <c r="E1959" s="715">
        <v>2021.0</v>
      </c>
      <c r="F1959" s="742" t="s">
        <v>418</v>
      </c>
      <c r="G1959" s="742" t="s">
        <v>50</v>
      </c>
      <c r="H1959" s="716">
        <v>8877.0</v>
      </c>
      <c r="I1959" s="716">
        <v>9942.0</v>
      </c>
      <c r="J1959" s="717">
        <v>7857.0</v>
      </c>
      <c r="K1959" s="64"/>
      <c r="CE1959" s="460"/>
    </row>
    <row r="1960">
      <c r="A1960" s="63"/>
      <c r="B1960" s="701" t="s">
        <v>539</v>
      </c>
      <c r="C1960" s="743" t="s">
        <v>416</v>
      </c>
      <c r="D1960" s="703" t="s">
        <v>450</v>
      </c>
      <c r="E1960" s="704">
        <v>2021.0</v>
      </c>
      <c r="F1960" s="743" t="s">
        <v>418</v>
      </c>
      <c r="G1960" s="743" t="s">
        <v>50</v>
      </c>
      <c r="H1960" s="705">
        <v>1959184.0</v>
      </c>
      <c r="I1960" s="705">
        <v>2194106.0</v>
      </c>
      <c r="J1960" s="706">
        <v>1733914.0</v>
      </c>
      <c r="K1960" s="64"/>
      <c r="CE1960" s="460"/>
    </row>
    <row r="1961">
      <c r="A1961" s="63"/>
      <c r="B1961" s="712" t="s">
        <v>539</v>
      </c>
      <c r="C1961" s="742" t="s">
        <v>416</v>
      </c>
      <c r="D1961" s="714" t="s">
        <v>453</v>
      </c>
      <c r="E1961" s="715">
        <v>2021.0</v>
      </c>
      <c r="F1961" s="742" t="s">
        <v>418</v>
      </c>
      <c r="G1961" s="742" t="s">
        <v>50</v>
      </c>
      <c r="H1961" s="716">
        <v>3649574.0</v>
      </c>
      <c r="I1961" s="716">
        <v>4087186.0</v>
      </c>
      <c r="J1961" s="717">
        <v>3229940.0</v>
      </c>
      <c r="K1961" s="64"/>
      <c r="CE1961" s="460"/>
    </row>
    <row r="1962">
      <c r="A1962" s="63"/>
      <c r="B1962" s="701" t="s">
        <v>539</v>
      </c>
      <c r="C1962" s="743" t="s">
        <v>416</v>
      </c>
      <c r="D1962" s="703" t="s">
        <v>454</v>
      </c>
      <c r="E1962" s="704">
        <v>2021.0</v>
      </c>
      <c r="F1962" s="743" t="s">
        <v>418</v>
      </c>
      <c r="G1962" s="743" t="s">
        <v>50</v>
      </c>
      <c r="H1962" s="705">
        <v>5103213.0</v>
      </c>
      <c r="I1962" s="705">
        <v>5715128.0</v>
      </c>
      <c r="J1962" s="706">
        <v>4516438.0</v>
      </c>
      <c r="K1962" s="64"/>
      <c r="CE1962" s="460"/>
    </row>
    <row r="1963">
      <c r="A1963" s="63"/>
      <c r="B1963" s="712" t="s">
        <v>539</v>
      </c>
      <c r="C1963" s="742" t="s">
        <v>416</v>
      </c>
      <c r="D1963" s="714" t="s">
        <v>457</v>
      </c>
      <c r="E1963" s="715">
        <v>2021.0</v>
      </c>
      <c r="F1963" s="742" t="s">
        <v>418</v>
      </c>
      <c r="G1963" s="742" t="s">
        <v>50</v>
      </c>
      <c r="H1963" s="716">
        <v>445026.0</v>
      </c>
      <c r="I1963" s="716">
        <v>498388.0</v>
      </c>
      <c r="J1963" s="717">
        <v>393856.0</v>
      </c>
      <c r="K1963" s="64"/>
      <c r="CE1963" s="460"/>
    </row>
    <row r="1964">
      <c r="A1964" s="63"/>
      <c r="B1964" s="701" t="s">
        <v>539</v>
      </c>
      <c r="C1964" s="743" t="s">
        <v>416</v>
      </c>
      <c r="D1964" s="703" t="s">
        <v>460</v>
      </c>
      <c r="E1964" s="704">
        <v>2021.0</v>
      </c>
      <c r="F1964" s="743" t="s">
        <v>418</v>
      </c>
      <c r="G1964" s="743" t="s">
        <v>50</v>
      </c>
      <c r="H1964" s="705">
        <v>192581.0</v>
      </c>
      <c r="I1964" s="705">
        <v>215673.0</v>
      </c>
      <c r="J1964" s="706">
        <v>170438.0</v>
      </c>
      <c r="K1964" s="64"/>
      <c r="CE1964" s="460"/>
    </row>
    <row r="1965">
      <c r="A1965" s="63"/>
      <c r="B1965" s="712" t="s">
        <v>539</v>
      </c>
      <c r="C1965" s="742" t="s">
        <v>416</v>
      </c>
      <c r="D1965" s="714" t="s">
        <v>463</v>
      </c>
      <c r="E1965" s="715">
        <v>2021.0</v>
      </c>
      <c r="F1965" s="742" t="s">
        <v>418</v>
      </c>
      <c r="G1965" s="742" t="s">
        <v>50</v>
      </c>
      <c r="H1965" s="716">
        <v>1690390.0</v>
      </c>
      <c r="I1965" s="716">
        <v>1893081.0</v>
      </c>
      <c r="J1965" s="717">
        <v>1496026.0</v>
      </c>
      <c r="K1965" s="64"/>
      <c r="CE1965" s="460"/>
    </row>
    <row r="1966">
      <c r="A1966" s="63"/>
      <c r="B1966" s="701" t="s">
        <v>539</v>
      </c>
      <c r="C1966" s="743" t="s">
        <v>416</v>
      </c>
      <c r="D1966" s="703" t="s">
        <v>465</v>
      </c>
      <c r="E1966" s="704">
        <v>2021.0</v>
      </c>
      <c r="F1966" s="743" t="s">
        <v>418</v>
      </c>
      <c r="G1966" s="743" t="s">
        <v>50</v>
      </c>
      <c r="H1966" s="705">
        <v>7745441.0</v>
      </c>
      <c r="I1966" s="705">
        <v>8674179.0</v>
      </c>
      <c r="J1966" s="706">
        <v>6854858.0</v>
      </c>
      <c r="K1966" s="64"/>
      <c r="CE1966" s="460"/>
    </row>
    <row r="1967">
      <c r="A1967" s="63"/>
      <c r="B1967" s="712" t="s">
        <v>539</v>
      </c>
      <c r="C1967" s="742" t="s">
        <v>416</v>
      </c>
      <c r="D1967" s="714" t="s">
        <v>468</v>
      </c>
      <c r="E1967" s="715">
        <v>2021.0</v>
      </c>
      <c r="F1967" s="742" t="s">
        <v>418</v>
      </c>
      <c r="G1967" s="742" t="s">
        <v>50</v>
      </c>
      <c r="H1967" s="716">
        <v>1453639.0</v>
      </c>
      <c r="I1967" s="716">
        <v>1627941.0</v>
      </c>
      <c r="J1967" s="717">
        <v>1286497.0</v>
      </c>
      <c r="K1967" s="64"/>
      <c r="CE1967" s="460"/>
    </row>
    <row r="1968">
      <c r="A1968" s="63"/>
      <c r="B1968" s="701" t="s">
        <v>539</v>
      </c>
      <c r="C1968" s="743" t="s">
        <v>416</v>
      </c>
      <c r="D1968" s="703" t="s">
        <v>471</v>
      </c>
      <c r="E1968" s="704">
        <v>2021.0</v>
      </c>
      <c r="F1968" s="743" t="s">
        <v>418</v>
      </c>
      <c r="G1968" s="743" t="s">
        <v>50</v>
      </c>
      <c r="H1968" s="705">
        <v>1313015.0</v>
      </c>
      <c r="I1968" s="705">
        <v>1470455.0</v>
      </c>
      <c r="J1968" s="706">
        <v>1162042.0</v>
      </c>
      <c r="K1968" s="64"/>
      <c r="CE1968" s="460"/>
    </row>
    <row r="1969">
      <c r="A1969" s="63"/>
      <c r="B1969" s="712" t="s">
        <v>539</v>
      </c>
      <c r="C1969" s="742" t="s">
        <v>416</v>
      </c>
      <c r="D1969" s="714" t="s">
        <v>473</v>
      </c>
      <c r="E1969" s="715">
        <v>2021.0</v>
      </c>
      <c r="F1969" s="742" t="s">
        <v>418</v>
      </c>
      <c r="G1969" s="742" t="s">
        <v>50</v>
      </c>
      <c r="H1969" s="716">
        <v>6157496.0</v>
      </c>
      <c r="I1969" s="716">
        <v>6895828.0</v>
      </c>
      <c r="J1969" s="717">
        <v>5449498.0</v>
      </c>
      <c r="K1969" s="64"/>
      <c r="CE1969" s="460"/>
    </row>
    <row r="1970">
      <c r="A1970" s="63"/>
      <c r="B1970" s="701" t="s">
        <v>539</v>
      </c>
      <c r="C1970" s="743" t="s">
        <v>416</v>
      </c>
      <c r="D1970" s="703" t="s">
        <v>476</v>
      </c>
      <c r="E1970" s="704">
        <v>2021.0</v>
      </c>
      <c r="F1970" s="743" t="s">
        <v>418</v>
      </c>
      <c r="G1970" s="743" t="s">
        <v>50</v>
      </c>
      <c r="H1970" s="705">
        <v>1201745.0</v>
      </c>
      <c r="I1970" s="705">
        <v>1345844.0</v>
      </c>
      <c r="J1970" s="706">
        <v>1063567.0</v>
      </c>
      <c r="K1970" s="64"/>
      <c r="CE1970" s="460"/>
    </row>
    <row r="1971">
      <c r="A1971" s="63"/>
      <c r="B1971" s="712" t="s">
        <v>539</v>
      </c>
      <c r="C1971" s="742" t="s">
        <v>416</v>
      </c>
      <c r="D1971" s="714" t="s">
        <v>479</v>
      </c>
      <c r="E1971" s="715">
        <v>2021.0</v>
      </c>
      <c r="F1971" s="742" t="s">
        <v>418</v>
      </c>
      <c r="G1971" s="742" t="s">
        <v>50</v>
      </c>
      <c r="H1971" s="716">
        <v>1041267.0</v>
      </c>
      <c r="I1971" s="716">
        <v>1166123.0</v>
      </c>
      <c r="J1971" s="717">
        <v>921540.0</v>
      </c>
      <c r="K1971" s="64"/>
      <c r="CE1971" s="460"/>
    </row>
    <row r="1972">
      <c r="A1972" s="63"/>
      <c r="B1972" s="701" t="s">
        <v>539</v>
      </c>
      <c r="C1972" s="743" t="s">
        <v>416</v>
      </c>
      <c r="D1972" s="703" t="s">
        <v>482</v>
      </c>
      <c r="E1972" s="704">
        <v>2021.0</v>
      </c>
      <c r="F1972" s="743" t="s">
        <v>418</v>
      </c>
      <c r="G1972" s="743" t="s">
        <v>50</v>
      </c>
      <c r="H1972" s="705">
        <v>950593.0</v>
      </c>
      <c r="I1972" s="705">
        <v>1064577.0</v>
      </c>
      <c r="J1972" s="706">
        <v>841293.0</v>
      </c>
      <c r="K1972" s="64"/>
      <c r="CE1972" s="460"/>
    </row>
    <row r="1973">
      <c r="A1973" s="63"/>
      <c r="B1973" s="712" t="s">
        <v>539</v>
      </c>
      <c r="C1973" s="742" t="s">
        <v>416</v>
      </c>
      <c r="D1973" s="714" t="s">
        <v>485</v>
      </c>
      <c r="E1973" s="715">
        <v>2021.0</v>
      </c>
      <c r="F1973" s="742" t="s">
        <v>418</v>
      </c>
      <c r="G1973" s="742" t="s">
        <v>50</v>
      </c>
      <c r="H1973" s="716">
        <v>796181.0</v>
      </c>
      <c r="I1973" s="716">
        <v>891649.0</v>
      </c>
      <c r="J1973" s="717">
        <v>704635.0</v>
      </c>
      <c r="K1973" s="64"/>
      <c r="CE1973" s="460"/>
    </row>
    <row r="1974">
      <c r="A1974" s="63"/>
      <c r="B1974" s="701" t="s">
        <v>539</v>
      </c>
      <c r="C1974" s="743" t="s">
        <v>416</v>
      </c>
      <c r="D1974" s="703" t="s">
        <v>488</v>
      </c>
      <c r="E1974" s="704">
        <v>2021.0</v>
      </c>
      <c r="F1974" s="743" t="s">
        <v>418</v>
      </c>
      <c r="G1974" s="743" t="s">
        <v>50</v>
      </c>
      <c r="H1974" s="705">
        <v>611626.0</v>
      </c>
      <c r="I1974" s="705">
        <v>684965.0</v>
      </c>
      <c r="J1974" s="706">
        <v>541300.0</v>
      </c>
      <c r="K1974" s="64"/>
      <c r="CE1974" s="460"/>
    </row>
    <row r="1975">
      <c r="A1975" s="63"/>
      <c r="B1975" s="712" t="s">
        <v>539</v>
      </c>
      <c r="C1975" s="742" t="s">
        <v>416</v>
      </c>
      <c r="D1975" s="714" t="s">
        <v>491</v>
      </c>
      <c r="E1975" s="715">
        <v>2021.0</v>
      </c>
      <c r="F1975" s="742" t="s">
        <v>418</v>
      </c>
      <c r="G1975" s="742" t="s">
        <v>50</v>
      </c>
      <c r="H1975" s="716">
        <v>448813.0</v>
      </c>
      <c r="I1975" s="716">
        <v>502629.0</v>
      </c>
      <c r="J1975" s="717">
        <v>397208.0</v>
      </c>
      <c r="K1975" s="64"/>
      <c r="CE1975" s="460"/>
    </row>
    <row r="1976">
      <c r="A1976" s="63"/>
      <c r="B1976" s="701" t="s">
        <v>539</v>
      </c>
      <c r="C1976" s="743" t="s">
        <v>416</v>
      </c>
      <c r="D1976" s="703" t="s">
        <v>493</v>
      </c>
      <c r="E1976" s="704">
        <v>2021.0</v>
      </c>
      <c r="F1976" s="743" t="s">
        <v>418</v>
      </c>
      <c r="G1976" s="743" t="s">
        <v>50</v>
      </c>
      <c r="H1976" s="705">
        <v>1290627.0</v>
      </c>
      <c r="I1976" s="705">
        <v>1445383.0</v>
      </c>
      <c r="J1976" s="706">
        <v>1142228.0</v>
      </c>
      <c r="K1976" s="64"/>
      <c r="CE1976" s="460"/>
    </row>
    <row r="1977">
      <c r="A1977" s="63"/>
      <c r="B1977" s="712" t="s">
        <v>539</v>
      </c>
      <c r="C1977" s="742" t="s">
        <v>416</v>
      </c>
      <c r="D1977" s="714" t="s">
        <v>434</v>
      </c>
      <c r="E1977" s="715">
        <v>2021.0</v>
      </c>
      <c r="F1977" s="742" t="s">
        <v>418</v>
      </c>
      <c r="G1977" s="742" t="s">
        <v>50</v>
      </c>
      <c r="H1977" s="716">
        <v>4084132.0</v>
      </c>
      <c r="I1977" s="716">
        <v>4573851.0</v>
      </c>
      <c r="J1977" s="717">
        <v>3614532.0</v>
      </c>
      <c r="K1977" s="64"/>
      <c r="CE1977" s="460"/>
    </row>
    <row r="1978">
      <c r="A1978" s="63"/>
      <c r="B1978" s="701" t="s">
        <v>539</v>
      </c>
      <c r="C1978" s="743" t="s">
        <v>416</v>
      </c>
      <c r="D1978" s="703" t="s">
        <v>497</v>
      </c>
      <c r="E1978" s="704">
        <v>2021.0</v>
      </c>
      <c r="F1978" s="743" t="s">
        <v>418</v>
      </c>
      <c r="G1978" s="743" t="s">
        <v>50</v>
      </c>
      <c r="H1978" s="705">
        <v>333479.0</v>
      </c>
      <c r="I1978" s="705">
        <v>373465.0</v>
      </c>
      <c r="J1978" s="706">
        <v>295135.0</v>
      </c>
      <c r="K1978" s="64"/>
      <c r="CE1978" s="460"/>
    </row>
    <row r="1979">
      <c r="A1979" s="63"/>
      <c r="B1979" s="712" t="s">
        <v>539</v>
      </c>
      <c r="C1979" s="742" t="s">
        <v>416</v>
      </c>
      <c r="D1979" s="714" t="s">
        <v>500</v>
      </c>
      <c r="E1979" s="715">
        <v>2021.0</v>
      </c>
      <c r="F1979" s="742" t="s">
        <v>418</v>
      </c>
      <c r="G1979" s="742" t="s">
        <v>50</v>
      </c>
      <c r="H1979" s="716">
        <v>2124948.0</v>
      </c>
      <c r="I1979" s="716">
        <v>2379746.0</v>
      </c>
      <c r="J1979" s="717">
        <v>1880618.0</v>
      </c>
      <c r="K1979" s="64"/>
      <c r="CE1979" s="460"/>
    </row>
    <row r="1980">
      <c r="A1980" s="63"/>
      <c r="B1980" s="701" t="s">
        <v>539</v>
      </c>
      <c r="C1980" s="743" t="s">
        <v>416</v>
      </c>
      <c r="D1980" s="703" t="s">
        <v>502</v>
      </c>
      <c r="E1980" s="704">
        <v>2021.0</v>
      </c>
      <c r="F1980" s="743" t="s">
        <v>418</v>
      </c>
      <c r="G1980" s="743" t="s">
        <v>50</v>
      </c>
      <c r="H1980" s="705">
        <v>279630.0</v>
      </c>
      <c r="I1980" s="705">
        <v>313159.0</v>
      </c>
      <c r="J1980" s="706">
        <v>247477.0</v>
      </c>
      <c r="K1980" s="64"/>
      <c r="CE1980" s="460"/>
    </row>
    <row r="1981">
      <c r="A1981" s="63"/>
      <c r="B1981" s="712" t="s">
        <v>539</v>
      </c>
      <c r="C1981" s="742" t="s">
        <v>416</v>
      </c>
      <c r="D1981" s="714" t="s">
        <v>505</v>
      </c>
      <c r="E1981" s="715">
        <v>2021.0</v>
      </c>
      <c r="F1981" s="742" t="s">
        <v>418</v>
      </c>
      <c r="G1981" s="742" t="s">
        <v>50</v>
      </c>
      <c r="H1981" s="716">
        <v>223906.0</v>
      </c>
      <c r="I1981" s="716">
        <v>250754.0</v>
      </c>
      <c r="J1981" s="717">
        <v>198161.0</v>
      </c>
      <c r="K1981" s="64"/>
      <c r="CE1981" s="460"/>
    </row>
    <row r="1982">
      <c r="A1982" s="63"/>
      <c r="B1982" s="701" t="s">
        <v>539</v>
      </c>
      <c r="C1982" s="743" t="s">
        <v>416</v>
      </c>
      <c r="D1982" s="703" t="s">
        <v>508</v>
      </c>
      <c r="E1982" s="704">
        <v>2021.0</v>
      </c>
      <c r="F1982" s="743" t="s">
        <v>418</v>
      </c>
      <c r="G1982" s="743" t="s">
        <v>50</v>
      </c>
      <c r="H1982" s="705">
        <v>228706.0</v>
      </c>
      <c r="I1982" s="705">
        <v>256129.0</v>
      </c>
      <c r="J1982" s="706">
        <v>202409.0</v>
      </c>
      <c r="K1982" s="64"/>
      <c r="CE1982" s="460"/>
    </row>
    <row r="1983">
      <c r="A1983" s="63"/>
      <c r="B1983" s="712" t="s">
        <v>539</v>
      </c>
      <c r="C1983" s="742" t="s">
        <v>416</v>
      </c>
      <c r="D1983" s="714" t="s">
        <v>511</v>
      </c>
      <c r="E1983" s="715">
        <v>2021.0</v>
      </c>
      <c r="F1983" s="742" t="s">
        <v>418</v>
      </c>
      <c r="G1983" s="742" t="s">
        <v>50</v>
      </c>
      <c r="H1983" s="716">
        <v>265457.0</v>
      </c>
      <c r="I1983" s="716">
        <v>297288.0</v>
      </c>
      <c r="J1983" s="717">
        <v>234935.0</v>
      </c>
      <c r="K1983" s="64"/>
      <c r="CE1983" s="460"/>
    </row>
    <row r="1984">
      <c r="A1984" s="63"/>
      <c r="B1984" s="701" t="s">
        <v>539</v>
      </c>
      <c r="C1984" s="743" t="s">
        <v>416</v>
      </c>
      <c r="D1984" s="703" t="s">
        <v>514</v>
      </c>
      <c r="E1984" s="704">
        <v>2021.0</v>
      </c>
      <c r="F1984" s="743" t="s">
        <v>418</v>
      </c>
      <c r="G1984" s="743" t="s">
        <v>50</v>
      </c>
      <c r="H1984" s="705">
        <v>141688.0</v>
      </c>
      <c r="I1984" s="705">
        <v>158677.0</v>
      </c>
      <c r="J1984" s="706">
        <v>125396.0</v>
      </c>
      <c r="K1984" s="64"/>
      <c r="CE1984" s="460"/>
    </row>
    <row r="1985">
      <c r="A1985" s="63"/>
      <c r="B1985" s="712" t="s">
        <v>539</v>
      </c>
      <c r="C1985" s="742" t="s">
        <v>416</v>
      </c>
      <c r="D1985" s="714" t="s">
        <v>439</v>
      </c>
      <c r="E1985" s="715">
        <v>2021.0</v>
      </c>
      <c r="F1985" s="742" t="s">
        <v>418</v>
      </c>
      <c r="G1985" s="742" t="s">
        <v>50</v>
      </c>
      <c r="H1985" s="716">
        <v>26312.0</v>
      </c>
      <c r="I1985" s="716">
        <v>29467.0</v>
      </c>
      <c r="J1985" s="717">
        <v>23286.0</v>
      </c>
      <c r="K1985" s="64"/>
      <c r="CE1985" s="460"/>
    </row>
    <row r="1986">
      <c r="A1986" s="63"/>
      <c r="B1986" s="701" t="s">
        <v>539</v>
      </c>
      <c r="C1986" s="743" t="s">
        <v>416</v>
      </c>
      <c r="D1986" s="703" t="s">
        <v>517</v>
      </c>
      <c r="E1986" s="704">
        <v>2021.0</v>
      </c>
      <c r="F1986" s="743" t="s">
        <v>418</v>
      </c>
      <c r="G1986" s="743" t="s">
        <v>50</v>
      </c>
      <c r="H1986" s="705">
        <v>76386.0</v>
      </c>
      <c r="I1986" s="705">
        <v>85546.0</v>
      </c>
      <c r="J1986" s="706">
        <v>67603.0</v>
      </c>
      <c r="K1986" s="64"/>
      <c r="CE1986" s="460"/>
    </row>
    <row r="1987">
      <c r="A1987" s="63"/>
      <c r="B1987" s="712" t="s">
        <v>539</v>
      </c>
      <c r="C1987" s="742" t="s">
        <v>416</v>
      </c>
      <c r="D1987" s="714" t="s">
        <v>520</v>
      </c>
      <c r="E1987" s="715">
        <v>2021.0</v>
      </c>
      <c r="F1987" s="742" t="s">
        <v>418</v>
      </c>
      <c r="G1987" s="742" t="s">
        <v>50</v>
      </c>
      <c r="H1987" s="716">
        <v>47383.0</v>
      </c>
      <c r="I1987" s="716">
        <v>53065.0</v>
      </c>
      <c r="J1987" s="717">
        <v>41935.0</v>
      </c>
      <c r="K1987" s="64"/>
      <c r="CE1987" s="460"/>
    </row>
    <row r="1988">
      <c r="A1988" s="63"/>
      <c r="B1988" s="701" t="s">
        <v>539</v>
      </c>
      <c r="C1988" s="743" t="s">
        <v>416</v>
      </c>
      <c r="D1988" s="703" t="s">
        <v>521</v>
      </c>
      <c r="E1988" s="704">
        <v>2021.0</v>
      </c>
      <c r="F1988" s="743" t="s">
        <v>418</v>
      </c>
      <c r="G1988" s="743" t="s">
        <v>50</v>
      </c>
      <c r="H1988" s="705">
        <v>33064.0</v>
      </c>
      <c r="I1988" s="705">
        <v>37028.0</v>
      </c>
      <c r="J1988" s="706">
        <v>29262.0</v>
      </c>
      <c r="K1988" s="64"/>
      <c r="CE1988" s="460"/>
    </row>
    <row r="1989">
      <c r="A1989" s="63"/>
      <c r="B1989" s="712" t="s">
        <v>539</v>
      </c>
      <c r="C1989" s="742" t="s">
        <v>416</v>
      </c>
      <c r="D1989" s="714" t="s">
        <v>524</v>
      </c>
      <c r="E1989" s="715">
        <v>2021.0</v>
      </c>
      <c r="F1989" s="742" t="s">
        <v>418</v>
      </c>
      <c r="G1989" s="742" t="s">
        <v>50</v>
      </c>
      <c r="H1989" s="716">
        <v>11170.0</v>
      </c>
      <c r="I1989" s="716">
        <v>12510.0</v>
      </c>
      <c r="J1989" s="717">
        <v>9886.0</v>
      </c>
      <c r="K1989" s="64"/>
      <c r="CE1989" s="460"/>
    </row>
    <row r="1990">
      <c r="A1990" s="63"/>
      <c r="B1990" s="701" t="s">
        <v>539</v>
      </c>
      <c r="C1990" s="743" t="s">
        <v>416</v>
      </c>
      <c r="D1990" s="703" t="s">
        <v>527</v>
      </c>
      <c r="E1990" s="704">
        <v>2021.0</v>
      </c>
      <c r="F1990" s="743" t="s">
        <v>418</v>
      </c>
      <c r="G1990" s="743" t="s">
        <v>50</v>
      </c>
      <c r="H1990" s="705">
        <v>2640.0</v>
      </c>
      <c r="I1990" s="705">
        <v>2957.0</v>
      </c>
      <c r="J1990" s="706">
        <v>2336.0</v>
      </c>
      <c r="K1990" s="64"/>
      <c r="CE1990" s="460"/>
    </row>
    <row r="1991">
      <c r="A1991" s="63"/>
      <c r="B1991" s="712" t="s">
        <v>539</v>
      </c>
      <c r="C1991" s="742" t="s">
        <v>416</v>
      </c>
      <c r="D1991" s="714" t="s">
        <v>529</v>
      </c>
      <c r="E1991" s="715">
        <v>2021.0</v>
      </c>
      <c r="F1991" s="742" t="s">
        <v>418</v>
      </c>
      <c r="G1991" s="742" t="s">
        <v>50</v>
      </c>
      <c r="H1991" s="716">
        <v>509.0</v>
      </c>
      <c r="I1991" s="716">
        <v>570.0</v>
      </c>
      <c r="J1991" s="717">
        <v>451.0</v>
      </c>
      <c r="K1991" s="64"/>
      <c r="CE1991" s="460"/>
    </row>
    <row r="1992">
      <c r="A1992" s="63"/>
      <c r="B1992" s="752" t="s">
        <v>539</v>
      </c>
      <c r="C1992" s="753" t="s">
        <v>416</v>
      </c>
      <c r="D1992" s="754" t="s">
        <v>443</v>
      </c>
      <c r="E1992" s="755">
        <v>2021.0</v>
      </c>
      <c r="F1992" s="753" t="s">
        <v>418</v>
      </c>
      <c r="G1992" s="753" t="s">
        <v>50</v>
      </c>
      <c r="H1992" s="756">
        <v>1.5595374E7</v>
      </c>
      <c r="I1992" s="756">
        <v>1.7465381E7</v>
      </c>
      <c r="J1992" s="757">
        <v>1.3802194E7</v>
      </c>
      <c r="K1992" s="64"/>
      <c r="CE1992" s="460"/>
    </row>
    <row r="1993">
      <c r="A1993" s="749"/>
      <c r="B1993" s="758"/>
      <c r="C1993" s="758"/>
      <c r="D1993" s="758"/>
      <c r="E1993" s="758"/>
      <c r="F1993" s="758"/>
      <c r="G1993" s="758"/>
      <c r="H1993" s="759"/>
      <c r="I1993" s="759"/>
      <c r="J1993" s="759"/>
      <c r="K1993" s="758"/>
      <c r="L1993" s="750"/>
      <c r="M1993" s="750"/>
      <c r="N1993" s="750"/>
      <c r="O1993" s="750"/>
      <c r="P1993" s="750"/>
      <c r="Q1993" s="750"/>
      <c r="R1993" s="750"/>
      <c r="S1993" s="750"/>
      <c r="T1993" s="750"/>
      <c r="U1993" s="750"/>
      <c r="V1993" s="750"/>
      <c r="W1993" s="750"/>
      <c r="X1993" s="750"/>
      <c r="Y1993" s="750"/>
      <c r="Z1993" s="750"/>
      <c r="AA1993" s="750"/>
      <c r="AB1993" s="750"/>
      <c r="AC1993" s="750"/>
      <c r="AD1993" s="750"/>
      <c r="AE1993" s="750"/>
      <c r="AF1993" s="750"/>
      <c r="AG1993" s="750"/>
      <c r="AH1993" s="750"/>
      <c r="AI1993" s="750"/>
      <c r="AJ1993" s="750"/>
      <c r="AK1993" s="750"/>
      <c r="AL1993" s="750"/>
      <c r="AM1993" s="750"/>
      <c r="AN1993" s="750"/>
      <c r="AO1993" s="750"/>
      <c r="AP1993" s="750"/>
      <c r="AQ1993" s="750"/>
      <c r="AR1993" s="750"/>
      <c r="BE1993" s="750"/>
      <c r="BR1993" s="750"/>
      <c r="CE1993" s="751"/>
    </row>
  </sheetData>
  <mergeCells count="7">
    <mergeCell ref="B2:J2"/>
    <mergeCell ref="L2:U2"/>
    <mergeCell ref="W2:AF2"/>
    <mergeCell ref="AH2:AQ2"/>
    <mergeCell ref="AS2:BD2"/>
    <mergeCell ref="BF2:BQ2"/>
    <mergeCell ref="BS2:CD2"/>
  </mergeCells>
  <hyperlinks>
    <hyperlink r:id="rId2" ref="B2"/>
    <hyperlink r:id="rId3" ref="L2"/>
    <hyperlink r:id="rId4" ref="W2"/>
    <hyperlink r:id="rId5" ref="AH2"/>
  </hyperlinks>
  <drawing r:id="rId6"/>
  <legacyDrawing r:id="rId7"/>
  <tableParts count="7">
    <tablePart r:id="rId15"/>
    <tablePart r:id="rId16"/>
    <tablePart r:id="rId17"/>
    <tablePart r:id="rId18"/>
    <tablePart r:id="rId19"/>
    <tablePart r:id="rId20"/>
    <tablePart r:id="rId2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28" width="12.13"/>
    <col customWidth="1" min="29" max="29" width="3.63"/>
  </cols>
  <sheetData>
    <row r="1">
      <c r="A1" s="71"/>
      <c r="B1" s="72"/>
      <c r="C1" s="72"/>
      <c r="D1" s="72"/>
      <c r="E1" s="465"/>
      <c r="F1" s="74"/>
      <c r="G1" s="74"/>
      <c r="H1" s="76"/>
      <c r="I1" s="78" t="s">
        <v>96</v>
      </c>
      <c r="J1" s="6"/>
      <c r="K1" s="6"/>
      <c r="L1" s="6"/>
      <c r="M1" s="6"/>
      <c r="N1" s="6"/>
      <c r="O1" s="6"/>
      <c r="P1" s="6"/>
      <c r="Q1" s="6"/>
      <c r="R1" s="6"/>
      <c r="S1" s="78" t="s">
        <v>96</v>
      </c>
      <c r="T1" s="6"/>
      <c r="U1" s="6"/>
      <c r="V1" s="6"/>
      <c r="W1" s="6"/>
      <c r="X1" s="6"/>
      <c r="Y1" s="6"/>
      <c r="Z1" s="6"/>
      <c r="AA1" s="6"/>
      <c r="AB1" s="6"/>
      <c r="AC1" s="79"/>
    </row>
    <row r="2">
      <c r="A2" s="80"/>
      <c r="B2" s="81"/>
      <c r="C2" s="81"/>
      <c r="D2" s="81"/>
      <c r="E2" s="469"/>
      <c r="F2" s="83"/>
      <c r="G2" s="83"/>
      <c r="H2" s="85"/>
      <c r="I2" s="366"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88"/>
    </row>
    <row r="3">
      <c r="A3" s="89"/>
      <c r="B3" s="37"/>
      <c r="C3" s="37"/>
      <c r="D3" s="37"/>
      <c r="E3" s="37"/>
      <c r="F3" s="90" t="s">
        <v>107</v>
      </c>
      <c r="G3" s="90" t="s">
        <v>108</v>
      </c>
      <c r="H3" s="92" t="s">
        <v>109</v>
      </c>
      <c r="I3" s="367"/>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94"/>
    </row>
    <row r="4">
      <c r="A4" s="103" t="s">
        <v>12</v>
      </c>
      <c r="B4" s="6"/>
      <c r="C4" s="6"/>
      <c r="D4" s="6"/>
      <c r="E4" s="6"/>
      <c r="F4" s="6"/>
      <c r="G4" s="6"/>
      <c r="H4" s="104"/>
      <c r="I4" s="760"/>
      <c r="J4" s="760"/>
      <c r="K4" s="760"/>
      <c r="L4" s="760"/>
      <c r="M4" s="760"/>
      <c r="N4" s="760"/>
      <c r="O4" s="760"/>
      <c r="P4" s="760"/>
      <c r="Q4" s="760"/>
      <c r="R4" s="760"/>
      <c r="S4" s="760"/>
      <c r="T4" s="760"/>
      <c r="U4" s="760"/>
      <c r="V4" s="760"/>
      <c r="W4" s="760"/>
      <c r="X4" s="760"/>
      <c r="Y4" s="760"/>
      <c r="Z4" s="760"/>
      <c r="AA4" s="760"/>
      <c r="AB4" s="760"/>
      <c r="AC4" s="761"/>
    </row>
    <row r="5">
      <c r="A5" s="107"/>
      <c r="B5" s="108"/>
      <c r="C5" s="108"/>
      <c r="D5" s="108"/>
      <c r="E5" s="484"/>
      <c r="F5" s="110"/>
      <c r="G5" s="110"/>
      <c r="H5" s="112"/>
      <c r="I5" s="762"/>
      <c r="J5" s="762"/>
      <c r="K5" s="762"/>
      <c r="L5" s="762"/>
      <c r="M5" s="762"/>
      <c r="N5" s="762"/>
      <c r="O5" s="762"/>
      <c r="P5" s="762"/>
      <c r="Q5" s="762"/>
      <c r="R5" s="762"/>
      <c r="S5" s="762"/>
      <c r="T5" s="762"/>
      <c r="U5" s="762"/>
      <c r="V5" s="762"/>
      <c r="W5" s="762"/>
      <c r="X5" s="762"/>
      <c r="Y5" s="762"/>
      <c r="Z5" s="762"/>
      <c r="AA5" s="762"/>
      <c r="AB5" s="762"/>
      <c r="AC5" s="763"/>
    </row>
    <row r="6">
      <c r="A6" s="107"/>
      <c r="B6" s="108"/>
      <c r="C6" s="115" t="s">
        <v>541</v>
      </c>
      <c r="F6" s="110"/>
      <c r="G6" s="338"/>
      <c r="H6" s="112"/>
      <c r="I6" s="762"/>
      <c r="J6" s="762"/>
      <c r="K6" s="762"/>
      <c r="L6" s="762"/>
      <c r="M6" s="762"/>
      <c r="N6" s="762"/>
      <c r="O6" s="762"/>
      <c r="P6" s="762"/>
      <c r="Q6" s="762"/>
      <c r="R6" s="762"/>
      <c r="S6" s="762"/>
      <c r="T6" s="762"/>
      <c r="U6" s="762"/>
      <c r="V6" s="762"/>
      <c r="W6" s="762"/>
      <c r="X6" s="762"/>
      <c r="Y6" s="762"/>
      <c r="Z6" s="762"/>
      <c r="AA6" s="762"/>
      <c r="AB6" s="762"/>
      <c r="AC6" s="763"/>
    </row>
    <row r="7">
      <c r="A7" s="107"/>
      <c r="B7" s="108"/>
      <c r="C7" s="108"/>
      <c r="D7" s="108"/>
      <c r="E7" s="517" t="s">
        <v>303</v>
      </c>
      <c r="F7" s="119" t="s">
        <v>55</v>
      </c>
      <c r="G7" s="764" t="s">
        <v>68</v>
      </c>
      <c r="H7" s="121" t="str">
        <f>Inputs!H8</f>
        <v>-</v>
      </c>
      <c r="I7" s="122">
        <f>Inputs!I8</f>
        <v>0.01</v>
      </c>
      <c r="J7" s="122">
        <f>Inputs!J8</f>
        <v>0.01</v>
      </c>
      <c r="K7" s="122">
        <f>Inputs!K8</f>
        <v>0.01</v>
      </c>
      <c r="L7" s="122">
        <f>Inputs!L8</f>
        <v>0.01</v>
      </c>
      <c r="M7" s="122">
        <f>Inputs!M8</f>
        <v>0.01</v>
      </c>
      <c r="N7" s="122">
        <f>Inputs!N8</f>
        <v>0.01</v>
      </c>
      <c r="O7" s="122">
        <f>Inputs!O8</f>
        <v>0.01</v>
      </c>
      <c r="P7" s="122">
        <f>Inputs!P8</f>
        <v>17456907.13</v>
      </c>
      <c r="Q7" s="122">
        <f>Inputs!Q8</f>
        <v>0.01</v>
      </c>
      <c r="R7" s="122">
        <f>Inputs!R8</f>
        <v>0.01</v>
      </c>
      <c r="S7" s="122">
        <f>Inputs!S8</f>
        <v>0.01</v>
      </c>
      <c r="T7" s="122">
        <f>Inputs!T8</f>
        <v>0.01</v>
      </c>
      <c r="U7" s="122">
        <f>Inputs!U8</f>
        <v>0.01</v>
      </c>
      <c r="V7" s="122">
        <f>Inputs!V8</f>
        <v>0.01</v>
      </c>
      <c r="W7" s="122">
        <f>Inputs!W8</f>
        <v>0.01</v>
      </c>
      <c r="X7" s="122">
        <f>Inputs!X8</f>
        <v>0.01</v>
      </c>
      <c r="Y7" s="122">
        <f>Inputs!Y8</f>
        <v>0.01</v>
      </c>
      <c r="Z7" s="122">
        <f>Inputs!Z8</f>
        <v>0.01</v>
      </c>
      <c r="AA7" s="122">
        <f>Inputs!AA8</f>
        <v>0.01</v>
      </c>
      <c r="AB7" s="122">
        <f>Inputs!AB8</f>
        <v>0.01</v>
      </c>
      <c r="AC7" s="765"/>
    </row>
    <row r="8">
      <c r="A8" s="107"/>
      <c r="B8" s="108"/>
      <c r="C8" s="147"/>
      <c r="D8" s="108"/>
      <c r="E8" s="608"/>
      <c r="F8" s="125"/>
      <c r="G8" s="125"/>
      <c r="H8" s="278"/>
      <c r="I8" s="279"/>
      <c r="J8" s="279"/>
      <c r="K8" s="279"/>
      <c r="L8" s="279"/>
      <c r="M8" s="279"/>
      <c r="N8" s="279"/>
      <c r="O8" s="279"/>
      <c r="P8" s="279"/>
      <c r="Q8" s="279"/>
      <c r="R8" s="279"/>
      <c r="S8" s="279"/>
      <c r="T8" s="279"/>
      <c r="U8" s="279"/>
      <c r="V8" s="279"/>
      <c r="W8" s="279"/>
      <c r="X8" s="279"/>
      <c r="Y8" s="279"/>
      <c r="Z8" s="279"/>
      <c r="AA8" s="279"/>
      <c r="AB8" s="279"/>
      <c r="AC8" s="763"/>
    </row>
    <row r="9">
      <c r="A9" s="107"/>
      <c r="B9" s="108"/>
      <c r="C9" s="147" t="s">
        <v>542</v>
      </c>
      <c r="F9" s="125"/>
      <c r="G9" s="125"/>
      <c r="H9" s="278"/>
      <c r="I9" s="279"/>
      <c r="J9" s="279"/>
      <c r="K9" s="279"/>
      <c r="L9" s="279"/>
      <c r="M9" s="279"/>
      <c r="N9" s="279"/>
      <c r="O9" s="279"/>
      <c r="P9" s="279"/>
      <c r="Q9" s="279"/>
      <c r="R9" s="279"/>
      <c r="S9" s="279"/>
      <c r="T9" s="279"/>
      <c r="U9" s="279"/>
      <c r="V9" s="279"/>
      <c r="W9" s="279"/>
      <c r="X9" s="279"/>
      <c r="Y9" s="279"/>
      <c r="Z9" s="279"/>
      <c r="AA9" s="279"/>
      <c r="AB9" s="279"/>
      <c r="AC9" s="763"/>
    </row>
    <row r="10">
      <c r="A10" s="107"/>
      <c r="B10" s="108"/>
      <c r="C10" s="147"/>
      <c r="D10" s="108"/>
      <c r="E10" s="514" t="s">
        <v>543</v>
      </c>
      <c r="F10" s="154" t="s">
        <v>55</v>
      </c>
      <c r="G10" s="154" t="s">
        <v>68</v>
      </c>
      <c r="H10" s="156" t="s">
        <v>132</v>
      </c>
      <c r="I10" s="180">
        <f>'Main CEA'!I31</f>
        <v>6.332845822</v>
      </c>
      <c r="J10" s="766">
        <f>'Main CEA'!J31</f>
        <v>7.014881547</v>
      </c>
      <c r="K10" s="766">
        <f>'Main CEA'!K31</f>
        <v>11.44972958</v>
      </c>
      <c r="L10" s="766">
        <f>'Main CEA'!L31</f>
        <v>7.31518434</v>
      </c>
      <c r="M10" s="766">
        <f>'Main CEA'!M31</f>
        <v>7.31518434</v>
      </c>
      <c r="N10" s="766">
        <f>'Main CEA'!N31</f>
        <v>7.31518434</v>
      </c>
      <c r="O10" s="766">
        <f>'Main CEA'!O31</f>
        <v>7.31518434</v>
      </c>
      <c r="P10" s="766">
        <f>'Main CEA'!P31</f>
        <v>7.418197238</v>
      </c>
      <c r="Q10" s="766">
        <f>'Main CEA'!Q31</f>
        <v>3.995124883</v>
      </c>
      <c r="R10" s="766">
        <f>'Main CEA'!R31</f>
        <v>2.642687984</v>
      </c>
      <c r="S10" s="766">
        <f>'Main CEA'!S31</f>
        <v>6.788268865</v>
      </c>
      <c r="T10" s="766">
        <f>'Main CEA'!T31</f>
        <v>4.036508421</v>
      </c>
      <c r="U10" s="766">
        <f>'Main CEA'!U31</f>
        <v>6.090616225</v>
      </c>
      <c r="V10" s="766">
        <f>'Main CEA'!V31</f>
        <v>5.15016043</v>
      </c>
      <c r="W10" s="766">
        <f>'Main CEA'!W31</f>
        <v>8.088888562</v>
      </c>
      <c r="X10" s="766">
        <f>'Main CEA'!X31</f>
        <v>5.573761124</v>
      </c>
      <c r="Y10" s="766">
        <f>'Main CEA'!Y31</f>
        <v>3.54887521</v>
      </c>
      <c r="Z10" s="766">
        <f>'Main CEA'!Z31</f>
        <v>21.20436269</v>
      </c>
      <c r="AA10" s="766">
        <f>'Main CEA'!AA31</f>
        <v>7.27333865</v>
      </c>
      <c r="AB10" s="766">
        <f>'Main CEA'!AB31</f>
        <v>8.867225555</v>
      </c>
      <c r="AC10" s="767"/>
    </row>
    <row r="11">
      <c r="A11" s="107"/>
      <c r="B11" s="108"/>
      <c r="C11" s="147"/>
      <c r="D11" s="108"/>
      <c r="E11" s="584" t="s">
        <v>544</v>
      </c>
      <c r="F11" s="159" t="s">
        <v>49</v>
      </c>
      <c r="G11" s="159" t="s">
        <v>70</v>
      </c>
      <c r="H11" s="216" t="s">
        <v>132</v>
      </c>
      <c r="I11" s="218">
        <f t="shared" ref="I11:AB11" si="1">IF(I7="-",$H7/I10,I7/I10)</f>
        <v>0.001579068918</v>
      </c>
      <c r="J11" s="218">
        <f t="shared" si="1"/>
        <v>0.001425540821</v>
      </c>
      <c r="K11" s="218">
        <f t="shared" si="1"/>
        <v>0.0008733830724</v>
      </c>
      <c r="L11" s="218">
        <f t="shared" si="1"/>
        <v>0.001367019549</v>
      </c>
      <c r="M11" s="218">
        <f t="shared" si="1"/>
        <v>0.001367019549</v>
      </c>
      <c r="N11" s="218">
        <f t="shared" si="1"/>
        <v>0.001367019549</v>
      </c>
      <c r="O11" s="218">
        <f t="shared" si="1"/>
        <v>0.001367019549</v>
      </c>
      <c r="P11" s="218">
        <f t="shared" si="1"/>
        <v>2353254.648</v>
      </c>
      <c r="Q11" s="218">
        <f t="shared" si="1"/>
        <v>0.002503050666</v>
      </c>
      <c r="R11" s="218">
        <f t="shared" si="1"/>
        <v>0.003784025984</v>
      </c>
      <c r="S11" s="218">
        <f t="shared" si="1"/>
        <v>0.00147312963</v>
      </c>
      <c r="T11" s="218">
        <f t="shared" si="1"/>
        <v>0.002477388614</v>
      </c>
      <c r="U11" s="218">
        <f t="shared" si="1"/>
        <v>0.00164186999</v>
      </c>
      <c r="V11" s="218">
        <f t="shared" si="1"/>
        <v>0.001941687086</v>
      </c>
      <c r="W11" s="218">
        <f t="shared" si="1"/>
        <v>0.001236263786</v>
      </c>
      <c r="X11" s="218">
        <f t="shared" si="1"/>
        <v>0.001794120663</v>
      </c>
      <c r="Y11" s="218">
        <f t="shared" si="1"/>
        <v>0.002817794204</v>
      </c>
      <c r="Z11" s="218">
        <f t="shared" si="1"/>
        <v>0.0004716010637</v>
      </c>
      <c r="AA11" s="218">
        <f t="shared" si="1"/>
        <v>0.001374884421</v>
      </c>
      <c r="AB11" s="218">
        <f t="shared" si="1"/>
        <v>0.001127748464</v>
      </c>
      <c r="AC11" s="768"/>
    </row>
    <row r="12">
      <c r="A12" s="107"/>
      <c r="B12" s="108"/>
      <c r="C12" s="147"/>
      <c r="D12" s="108"/>
      <c r="E12" s="584" t="s">
        <v>545</v>
      </c>
      <c r="F12" s="159" t="s">
        <v>59</v>
      </c>
      <c r="G12" s="159" t="s">
        <v>68</v>
      </c>
      <c r="H12" s="216" t="s">
        <v>132</v>
      </c>
      <c r="I12" s="206">
        <v>0.0</v>
      </c>
      <c r="J12" s="206">
        <v>0.0</v>
      </c>
      <c r="K12" s="206">
        <v>0.0</v>
      </c>
      <c r="L12" s="206">
        <v>0.0</v>
      </c>
      <c r="M12" s="206">
        <v>0.0</v>
      </c>
      <c r="N12" s="206">
        <v>0.0</v>
      </c>
      <c r="O12" s="206">
        <v>0.0</v>
      </c>
      <c r="P12" s="206">
        <v>0.0</v>
      </c>
      <c r="Q12" s="206">
        <v>0.0</v>
      </c>
      <c r="R12" s="206">
        <v>0.0</v>
      </c>
      <c r="S12" s="206">
        <v>0.0</v>
      </c>
      <c r="T12" s="206">
        <v>0.0</v>
      </c>
      <c r="U12" s="206">
        <v>0.0</v>
      </c>
      <c r="V12" s="206">
        <v>0.0</v>
      </c>
      <c r="W12" s="206">
        <v>0.0</v>
      </c>
      <c r="X12" s="206">
        <v>0.0</v>
      </c>
      <c r="Y12" s="206">
        <v>0.0</v>
      </c>
      <c r="Z12" s="206">
        <v>0.0</v>
      </c>
      <c r="AA12" s="206">
        <v>0.0</v>
      </c>
      <c r="AB12" s="206">
        <v>0.0</v>
      </c>
      <c r="AC12" s="768"/>
    </row>
    <row r="13">
      <c r="A13" s="107"/>
      <c r="B13" s="108"/>
      <c r="C13" s="147"/>
      <c r="D13" s="108"/>
      <c r="E13" s="584" t="s">
        <v>546</v>
      </c>
      <c r="F13" s="159" t="s">
        <v>49</v>
      </c>
      <c r="G13" s="159" t="s">
        <v>70</v>
      </c>
      <c r="H13" s="216" t="s">
        <v>132</v>
      </c>
      <c r="I13" s="209">
        <f t="shared" ref="I13:AB13" si="2">I11*(1-I12)</f>
        <v>0.001579068918</v>
      </c>
      <c r="J13" s="209">
        <f t="shared" si="2"/>
        <v>0.001425540821</v>
      </c>
      <c r="K13" s="209">
        <f t="shared" si="2"/>
        <v>0.0008733830724</v>
      </c>
      <c r="L13" s="209">
        <f t="shared" si="2"/>
        <v>0.001367019549</v>
      </c>
      <c r="M13" s="209">
        <f t="shared" si="2"/>
        <v>0.001367019549</v>
      </c>
      <c r="N13" s="209">
        <f t="shared" si="2"/>
        <v>0.001367019549</v>
      </c>
      <c r="O13" s="209">
        <f t="shared" si="2"/>
        <v>0.001367019549</v>
      </c>
      <c r="P13" s="209">
        <f t="shared" si="2"/>
        <v>2353254.648</v>
      </c>
      <c r="Q13" s="209">
        <f t="shared" si="2"/>
        <v>0.002503050666</v>
      </c>
      <c r="R13" s="209">
        <f t="shared" si="2"/>
        <v>0.003784025984</v>
      </c>
      <c r="S13" s="209">
        <f t="shared" si="2"/>
        <v>0.00147312963</v>
      </c>
      <c r="T13" s="209">
        <f t="shared" si="2"/>
        <v>0.002477388614</v>
      </c>
      <c r="U13" s="209">
        <f t="shared" si="2"/>
        <v>0.00164186999</v>
      </c>
      <c r="V13" s="209">
        <f t="shared" si="2"/>
        <v>0.001941687086</v>
      </c>
      <c r="W13" s="209">
        <f t="shared" si="2"/>
        <v>0.001236263786</v>
      </c>
      <c r="X13" s="209">
        <f t="shared" si="2"/>
        <v>0.001794120663</v>
      </c>
      <c r="Y13" s="209">
        <f t="shared" si="2"/>
        <v>0.002817794204</v>
      </c>
      <c r="Z13" s="209">
        <f t="shared" si="2"/>
        <v>0.0004716010637</v>
      </c>
      <c r="AA13" s="209">
        <f t="shared" si="2"/>
        <v>0.001374884421</v>
      </c>
      <c r="AB13" s="209">
        <f t="shared" si="2"/>
        <v>0.001127748464</v>
      </c>
      <c r="AC13" s="768"/>
    </row>
    <row r="14">
      <c r="A14" s="107"/>
      <c r="B14" s="108"/>
      <c r="C14" s="147"/>
      <c r="D14" s="108"/>
      <c r="E14" s="584" t="s">
        <v>547</v>
      </c>
      <c r="F14" s="159" t="s">
        <v>59</v>
      </c>
      <c r="G14" s="159" t="s">
        <v>68</v>
      </c>
      <c r="H14" s="216" t="s">
        <v>132</v>
      </c>
      <c r="I14" s="353">
        <f>'Main CEA'!I54</f>
        <v>0.004748326636</v>
      </c>
      <c r="J14" s="353">
        <f>'Main CEA'!J54</f>
        <v>0.004788735461</v>
      </c>
      <c r="K14" s="353">
        <f>'Main CEA'!K54</f>
        <v>0.004222107914</v>
      </c>
      <c r="L14" s="353">
        <f>'Main CEA'!L54</f>
        <v>0.005380999312</v>
      </c>
      <c r="M14" s="353">
        <f>'Main CEA'!M54</f>
        <v>0.005780131961</v>
      </c>
      <c r="N14" s="353">
        <f>'Main CEA'!N54</f>
        <v>0.006377091814</v>
      </c>
      <c r="O14" s="353">
        <f>'Main CEA'!O54</f>
        <v>0.006884877632</v>
      </c>
      <c r="P14" s="353">
        <f>'Main CEA'!P54</f>
        <v>0.004674469524</v>
      </c>
      <c r="Q14" s="353">
        <f>'Main CEA'!Q54</f>
        <v>0.008083412609</v>
      </c>
      <c r="R14" s="353">
        <f>'Main CEA'!R54</f>
        <v>0.004986034981</v>
      </c>
      <c r="S14" s="353">
        <f>'Main CEA'!S54</f>
        <v>0.003094089249</v>
      </c>
      <c r="T14" s="353">
        <f>'Main CEA'!T54</f>
        <v>0.01030004311</v>
      </c>
      <c r="U14" s="353">
        <f>'Main CEA'!U54</f>
        <v>0.005102402336</v>
      </c>
      <c r="V14" s="353">
        <f>'Main CEA'!V54</f>
        <v>0.005026609308</v>
      </c>
      <c r="W14" s="353">
        <f>'Main CEA'!W54</f>
        <v>0.003969754336</v>
      </c>
      <c r="X14" s="353">
        <f>'Main CEA'!X54</f>
        <v>0.005005698787</v>
      </c>
      <c r="Y14" s="353">
        <f>'Main CEA'!Y54</f>
        <v>0.00856507732</v>
      </c>
      <c r="Z14" s="353">
        <f>'Main CEA'!Z54</f>
        <v>0.003731114011</v>
      </c>
      <c r="AA14" s="353">
        <f>'Main CEA'!AA54</f>
        <v>0.002810545603</v>
      </c>
      <c r="AB14" s="353">
        <f>'Main CEA'!AB54</f>
        <v>0.003262266614</v>
      </c>
      <c r="AC14" s="768"/>
    </row>
    <row r="15">
      <c r="A15" s="107"/>
      <c r="B15" s="108"/>
      <c r="C15" s="147"/>
      <c r="D15" s="108"/>
      <c r="E15" s="584" t="s">
        <v>548</v>
      </c>
      <c r="F15" s="159" t="s">
        <v>59</v>
      </c>
      <c r="G15" s="159" t="s">
        <v>68</v>
      </c>
      <c r="H15" s="216" t="s">
        <v>132</v>
      </c>
      <c r="I15" s="139">
        <f>'Main CEA'!I56</f>
        <v>0.7</v>
      </c>
      <c r="J15" s="139">
        <f>'Main CEA'!J56</f>
        <v>0.7</v>
      </c>
      <c r="K15" s="139">
        <f>'Main CEA'!K56</f>
        <v>0.7</v>
      </c>
      <c r="L15" s="139">
        <f>'Main CEA'!L56</f>
        <v>0.515</v>
      </c>
      <c r="M15" s="139">
        <f>'Main CEA'!M56</f>
        <v>0.515</v>
      </c>
      <c r="N15" s="139">
        <f>'Main CEA'!N56</f>
        <v>0.515</v>
      </c>
      <c r="O15" s="139">
        <f>'Main CEA'!O56</f>
        <v>0.515</v>
      </c>
      <c r="P15" s="139">
        <f>'Main CEA'!P56</f>
        <v>0.515</v>
      </c>
      <c r="Q15" s="139">
        <f>'Main CEA'!Q56</f>
        <v>0.7</v>
      </c>
      <c r="R15" s="139">
        <f>'Main CEA'!R56</f>
        <v>0.7</v>
      </c>
      <c r="S15" s="139">
        <f>'Main CEA'!S56</f>
        <v>0.7</v>
      </c>
      <c r="T15" s="139">
        <f>'Main CEA'!T56</f>
        <v>0.7</v>
      </c>
      <c r="U15" s="139">
        <f>'Main CEA'!U56</f>
        <v>0.7</v>
      </c>
      <c r="V15" s="139">
        <f>'Main CEA'!V56</f>
        <v>0.7</v>
      </c>
      <c r="W15" s="139">
        <f>'Main CEA'!W56</f>
        <v>0.7</v>
      </c>
      <c r="X15" s="139">
        <f>'Main CEA'!X56</f>
        <v>0.7</v>
      </c>
      <c r="Y15" s="139">
        <f>'Main CEA'!Y56</f>
        <v>0.7</v>
      </c>
      <c r="Z15" s="139">
        <f>'Main CEA'!Z56</f>
        <v>0.7</v>
      </c>
      <c r="AA15" s="139">
        <f>'Main CEA'!AA56</f>
        <v>0.7</v>
      </c>
      <c r="AB15" s="139">
        <f>'Main CEA'!AB56</f>
        <v>0.62</v>
      </c>
      <c r="AC15" s="768"/>
    </row>
    <row r="16">
      <c r="A16" s="107"/>
      <c r="B16" s="108"/>
      <c r="C16" s="147"/>
      <c r="D16" s="108"/>
      <c r="E16" s="584" t="s">
        <v>549</v>
      </c>
      <c r="F16" s="159" t="s">
        <v>59</v>
      </c>
      <c r="G16" s="159" t="s">
        <v>68</v>
      </c>
      <c r="H16" s="216" t="s">
        <v>132</v>
      </c>
      <c r="I16" s="139">
        <f>'Main CEA'!I49</f>
        <v>0.7936949983</v>
      </c>
      <c r="J16" s="139">
        <f>'Main CEA'!J49</f>
        <v>0.7936949983</v>
      </c>
      <c r="K16" s="139">
        <f>'Main CEA'!K49</f>
        <v>0.7936949983</v>
      </c>
      <c r="L16" s="139">
        <f>'Main CEA'!L49</f>
        <v>0.5952712487</v>
      </c>
      <c r="M16" s="139">
        <f>'Main CEA'!M49</f>
        <v>0.5952712487</v>
      </c>
      <c r="N16" s="139">
        <f>'Main CEA'!N49</f>
        <v>0.5952712487</v>
      </c>
      <c r="O16" s="139">
        <f>'Main CEA'!O49</f>
        <v>0.5952712487</v>
      </c>
      <c r="P16" s="139">
        <f>'Main CEA'!P49</f>
        <v>0.5952712487</v>
      </c>
      <c r="Q16" s="139">
        <f>'Main CEA'!Q49</f>
        <v>0.7936949983</v>
      </c>
      <c r="R16" s="139">
        <f>'Main CEA'!R49</f>
        <v>0.7936949983</v>
      </c>
      <c r="S16" s="139">
        <f>'Main CEA'!S49</f>
        <v>0.7936949983</v>
      </c>
      <c r="T16" s="139">
        <f>'Main CEA'!T49</f>
        <v>0.7936949983</v>
      </c>
      <c r="U16" s="139">
        <f>'Main CEA'!U49</f>
        <v>0.7936949983</v>
      </c>
      <c r="V16" s="139">
        <f>'Main CEA'!V49</f>
        <v>0.7936949983</v>
      </c>
      <c r="W16" s="139">
        <f>'Main CEA'!W49</f>
        <v>0.7936949983</v>
      </c>
      <c r="X16" s="139">
        <f>'Main CEA'!X49</f>
        <v>0.7936949983</v>
      </c>
      <c r="Y16" s="139">
        <f>'Main CEA'!Y49</f>
        <v>0.7936949983</v>
      </c>
      <c r="Z16" s="139">
        <f>'Main CEA'!Z49</f>
        <v>0.7936949983</v>
      </c>
      <c r="AA16" s="139">
        <f>'Main CEA'!AA49</f>
        <v>0.7936949983</v>
      </c>
      <c r="AB16" s="139">
        <f>'Main CEA'!AB49</f>
        <v>0.5952712487</v>
      </c>
      <c r="AC16" s="768"/>
    </row>
    <row r="17">
      <c r="A17" s="107"/>
      <c r="B17" s="108"/>
      <c r="C17" s="147"/>
      <c r="D17" s="108"/>
      <c r="E17" s="562" t="s">
        <v>550</v>
      </c>
      <c r="F17" s="164" t="s">
        <v>49</v>
      </c>
      <c r="G17" s="164" t="s">
        <v>70</v>
      </c>
      <c r="H17" s="220" t="s">
        <v>132</v>
      </c>
      <c r="I17" s="221">
        <f t="shared" ref="I17:AB17" si="3">I11*I14*I15*I16</f>
        <v>0.000004165751457</v>
      </c>
      <c r="J17" s="221">
        <f t="shared" si="3"/>
        <v>0.00000379273228</v>
      </c>
      <c r="K17" s="221">
        <f t="shared" si="3"/>
        <v>0.000002048734983</v>
      </c>
      <c r="L17" s="221">
        <f t="shared" si="3"/>
        <v>0.000002255068808</v>
      </c>
      <c r="M17" s="221">
        <f t="shared" si="3"/>
        <v>0.00000242233729</v>
      </c>
      <c r="N17" s="221">
        <f t="shared" si="3"/>
        <v>0.000002672511182</v>
      </c>
      <c r="O17" s="221">
        <f t="shared" si="3"/>
        <v>0.000002885314026</v>
      </c>
      <c r="P17" s="221">
        <f t="shared" si="3"/>
        <v>3372.278189</v>
      </c>
      <c r="Q17" s="221">
        <f t="shared" si="3"/>
        <v>0.00001124128792</v>
      </c>
      <c r="R17" s="221">
        <f t="shared" si="3"/>
        <v>0.00001048240933</v>
      </c>
      <c r="S17" s="221">
        <f t="shared" si="3"/>
        <v>0.000002532360233</v>
      </c>
      <c r="T17" s="221">
        <f t="shared" si="3"/>
        <v>0.0000141770171</v>
      </c>
      <c r="U17" s="221">
        <f t="shared" si="3"/>
        <v>0.000004654415489</v>
      </c>
      <c r="V17" s="221">
        <f t="shared" si="3"/>
        <v>0.00000542258111</v>
      </c>
      <c r="W17" s="221">
        <f t="shared" si="3"/>
        <v>0.000002726631596</v>
      </c>
      <c r="X17" s="221">
        <f t="shared" si="3"/>
        <v>0.000004989626577</v>
      </c>
      <c r="Y17" s="221">
        <f t="shared" si="3"/>
        <v>0.00001340887193</v>
      </c>
      <c r="Z17" s="221">
        <f t="shared" si="3"/>
        <v>0.0000009776085234</v>
      </c>
      <c r="AA17" s="221">
        <f t="shared" si="3"/>
        <v>0.000002146883662</v>
      </c>
      <c r="AB17" s="221">
        <f t="shared" si="3"/>
        <v>0.000001357807778</v>
      </c>
      <c r="AC17" s="769"/>
    </row>
    <row r="18">
      <c r="A18" s="107"/>
      <c r="B18" s="108"/>
      <c r="C18" s="147"/>
      <c r="D18" s="108"/>
      <c r="E18" s="608"/>
      <c r="F18" s="125"/>
      <c r="G18" s="125"/>
      <c r="H18" s="278"/>
      <c r="I18" s="117"/>
      <c r="J18" s="117"/>
      <c r="K18" s="117"/>
      <c r="L18" s="117"/>
      <c r="M18" s="117"/>
      <c r="N18" s="117"/>
      <c r="O18" s="117"/>
      <c r="P18" s="117"/>
      <c r="Q18" s="117"/>
      <c r="R18" s="117"/>
      <c r="S18" s="117"/>
      <c r="T18" s="117"/>
      <c r="U18" s="117"/>
      <c r="V18" s="117"/>
      <c r="W18" s="117"/>
      <c r="X18" s="117"/>
      <c r="Y18" s="117"/>
      <c r="Z18" s="117"/>
      <c r="AA18" s="117"/>
      <c r="AB18" s="117"/>
      <c r="AC18" s="763"/>
    </row>
    <row r="19">
      <c r="A19" s="107"/>
      <c r="B19" s="108"/>
      <c r="C19" s="147" t="s">
        <v>551</v>
      </c>
      <c r="F19" s="125"/>
      <c r="G19" s="125"/>
      <c r="H19" s="278"/>
      <c r="I19" s="117"/>
      <c r="J19" s="117"/>
      <c r="K19" s="117"/>
      <c r="L19" s="117"/>
      <c r="M19" s="117"/>
      <c r="N19" s="117"/>
      <c r="O19" s="117"/>
      <c r="P19" s="117"/>
      <c r="Q19" s="117"/>
      <c r="R19" s="117"/>
      <c r="S19" s="117"/>
      <c r="T19" s="117"/>
      <c r="U19" s="117"/>
      <c r="V19" s="117"/>
      <c r="W19" s="117"/>
      <c r="X19" s="117"/>
      <c r="Y19" s="117"/>
      <c r="Z19" s="117"/>
      <c r="AA19" s="117"/>
      <c r="AB19" s="117"/>
      <c r="AC19" s="763"/>
    </row>
    <row r="20">
      <c r="A20" s="107"/>
      <c r="B20" s="108"/>
      <c r="C20" s="147"/>
      <c r="D20" s="108"/>
      <c r="E20" s="514" t="s">
        <v>552</v>
      </c>
      <c r="F20" s="154" t="s">
        <v>55</v>
      </c>
      <c r="G20" s="154" t="s">
        <v>70</v>
      </c>
      <c r="H20" s="156" t="s">
        <v>132</v>
      </c>
      <c r="I20" s="285">
        <f t="shared" ref="I20:AB20" si="4">IF(I7="-",$H7/I17,I7/I17)</f>
        <v>2400.527276</v>
      </c>
      <c r="J20" s="285">
        <f t="shared" si="4"/>
        <v>2636.621639</v>
      </c>
      <c r="K20" s="285">
        <f t="shared" si="4"/>
        <v>4881.060794</v>
      </c>
      <c r="L20" s="285">
        <f t="shared" si="4"/>
        <v>4434.45449</v>
      </c>
      <c r="M20" s="285">
        <f t="shared" si="4"/>
        <v>4128.244255</v>
      </c>
      <c r="N20" s="285">
        <f t="shared" si="4"/>
        <v>3741.799124</v>
      </c>
      <c r="O20" s="285">
        <f t="shared" si="4"/>
        <v>3465.827258</v>
      </c>
      <c r="P20" s="285">
        <f t="shared" si="4"/>
        <v>5176.591654</v>
      </c>
      <c r="Q20" s="285">
        <f t="shared" si="4"/>
        <v>889.577784</v>
      </c>
      <c r="R20" s="285">
        <f t="shared" si="4"/>
        <v>953.9791556</v>
      </c>
      <c r="S20" s="285">
        <f t="shared" si="4"/>
        <v>3948.88526</v>
      </c>
      <c r="T20" s="285">
        <f t="shared" si="4"/>
        <v>705.3669986</v>
      </c>
      <c r="U20" s="285">
        <f t="shared" si="4"/>
        <v>2148.497491</v>
      </c>
      <c r="V20" s="285">
        <f t="shared" si="4"/>
        <v>1844.140235</v>
      </c>
      <c r="W20" s="285">
        <f t="shared" si="4"/>
        <v>3667.528835</v>
      </c>
      <c r="X20" s="285">
        <f t="shared" si="4"/>
        <v>2004.157996</v>
      </c>
      <c r="Y20" s="285">
        <f t="shared" si="4"/>
        <v>745.7748906</v>
      </c>
      <c r="Z20" s="285">
        <f t="shared" si="4"/>
        <v>10229.04339</v>
      </c>
      <c r="AA20" s="285">
        <f t="shared" si="4"/>
        <v>4657.914249</v>
      </c>
      <c r="AB20" s="285">
        <f t="shared" si="4"/>
        <v>7364.812722</v>
      </c>
      <c r="AC20" s="767"/>
    </row>
    <row r="21">
      <c r="A21" s="107"/>
      <c r="B21" s="108"/>
      <c r="C21" s="147"/>
      <c r="D21" s="108"/>
      <c r="E21" s="584" t="s">
        <v>553</v>
      </c>
      <c r="F21" s="159" t="s">
        <v>63</v>
      </c>
      <c r="G21" s="159" t="s">
        <v>68</v>
      </c>
      <c r="H21" s="339">
        <f>'Main CEA'!H$102</f>
        <v>116.25262</v>
      </c>
      <c r="I21" s="214" t="str">
        <f>'Main CEA'!I$102</f>
        <v>-</v>
      </c>
      <c r="J21" s="214" t="str">
        <f>'Main CEA'!J$102</f>
        <v>-</v>
      </c>
      <c r="K21" s="214" t="str">
        <f>'Main CEA'!K$102</f>
        <v>-</v>
      </c>
      <c r="L21" s="214" t="str">
        <f>'Main CEA'!L$102</f>
        <v>-</v>
      </c>
      <c r="M21" s="214" t="str">
        <f>'Main CEA'!M$102</f>
        <v>-</v>
      </c>
      <c r="N21" s="214" t="str">
        <f>'Main CEA'!N$102</f>
        <v>-</v>
      </c>
      <c r="O21" s="214" t="str">
        <f>'Main CEA'!O$102</f>
        <v>-</v>
      </c>
      <c r="P21" s="214" t="str">
        <f>'Main CEA'!P$102</f>
        <v>-</v>
      </c>
      <c r="Q21" s="214" t="str">
        <f>'Main CEA'!Q$102</f>
        <v>-</v>
      </c>
      <c r="R21" s="214" t="str">
        <f>'Main CEA'!R$102</f>
        <v>-</v>
      </c>
      <c r="S21" s="214" t="str">
        <f>'Main CEA'!S$102</f>
        <v>-</v>
      </c>
      <c r="T21" s="214" t="str">
        <f>'Main CEA'!T$102</f>
        <v>-</v>
      </c>
      <c r="U21" s="214" t="str">
        <f>'Main CEA'!U$102</f>
        <v>-</v>
      </c>
      <c r="V21" s="214" t="str">
        <f>'Main CEA'!V$102</f>
        <v>-</v>
      </c>
      <c r="W21" s="214" t="str">
        <f>'Main CEA'!W$102</f>
        <v>-</v>
      </c>
      <c r="X21" s="214" t="str">
        <f>'Main CEA'!X$102</f>
        <v>-</v>
      </c>
      <c r="Y21" s="214" t="str">
        <f>'Main CEA'!Y$102</f>
        <v>-</v>
      </c>
      <c r="Z21" s="214" t="str">
        <f>'Main CEA'!Z$102</f>
        <v>-</v>
      </c>
      <c r="AA21" s="214" t="str">
        <f>'Main CEA'!AA$102</f>
        <v>-</v>
      </c>
      <c r="AB21" s="214" t="str">
        <f>'Main CEA'!AB$102</f>
        <v>-</v>
      </c>
      <c r="AC21" s="768"/>
    </row>
    <row r="22">
      <c r="A22" s="107"/>
      <c r="B22" s="108"/>
      <c r="C22" s="147"/>
      <c r="D22" s="108"/>
      <c r="E22" s="770" t="s">
        <v>554</v>
      </c>
      <c r="F22" s="314" t="s">
        <v>65</v>
      </c>
      <c r="G22" s="314" t="s">
        <v>70</v>
      </c>
      <c r="H22" s="771" t="s">
        <v>132</v>
      </c>
      <c r="I22" s="317">
        <f>IF(I7="-",((I17*$H21)/$H7)/'Main CEA'!$H$135,((I17*$H21)/I7)/'Main CEA'!$H$135)</f>
        <v>14.43671251</v>
      </c>
      <c r="J22" s="317">
        <f>IF(J7="-",((J17*$H21)/$H7)/'Main CEA'!$H$135,((J17*$H21)/J7)/'Main CEA'!$H$135)</f>
        <v>13.14398761</v>
      </c>
      <c r="K22" s="317">
        <f>IF(K7="-",((K17*$H21)/$H7)/'Main CEA'!$H$135,((K17*$H21)/K7)/'Main CEA'!$H$135)</f>
        <v>7.100039034</v>
      </c>
      <c r="L22" s="317">
        <f>IF(L7="-",((L17*$H21)/$H7)/'Main CEA'!$H$135,((L17*$H21)/L7)/'Main CEA'!$H$135)</f>
        <v>7.815103806</v>
      </c>
      <c r="M22" s="317">
        <f>IF(M7="-",((M17*$H21)/$H7)/'Main CEA'!$H$135,((M17*$H21)/M7)/'Main CEA'!$H$135)</f>
        <v>8.39478481</v>
      </c>
      <c r="N22" s="317">
        <f>IF(N7="-",((N17*$H21)/$H7)/'Main CEA'!$H$135,((N17*$H21)/N7)/'Main CEA'!$H$135)</f>
        <v>9.261780501</v>
      </c>
      <c r="O22" s="317">
        <f>IF(O7="-",((O17*$H21)/$H7)/'Main CEA'!$H$135,((O17*$H21)/O7)/'Main CEA'!$H$135)</f>
        <v>9.999264126</v>
      </c>
      <c r="P22" s="317">
        <f>IF(P7="-",((P17*$H21)/$H7)/'Main CEA'!$H$135,((P17*$H21)/P7)/'Main CEA'!$H$135)</f>
        <v>6.694698845</v>
      </c>
      <c r="Q22" s="317">
        <f>IF(Q7="-",((Q17*$H21)/$H7)/'Main CEA'!$H$135,((Q17*$H21)/Q7)/'Main CEA'!$H$135)</f>
        <v>38.9574951</v>
      </c>
      <c r="R22" s="317">
        <f>IF(R7="-",((R17*$H21)/$H7)/'Main CEA'!$H$135,((R17*$H21)/R7)/'Main CEA'!$H$135)</f>
        <v>36.32754653</v>
      </c>
      <c r="S22" s="317">
        <f>IF(S7="-",((S17*$H21)/$H7)/'Main CEA'!$H$135,((S17*$H21)/S7)/'Main CEA'!$H$135)</f>
        <v>8.776077267</v>
      </c>
      <c r="T22" s="317">
        <f>IF(T7="-",((T17*$H21)/$H7)/'Main CEA'!$H$135,((T17*$H21)/T7)/'Main CEA'!$H$135)</f>
        <v>49.13147657</v>
      </c>
      <c r="U22" s="317">
        <f>IF(U7="-",((U17*$H21)/$H7)/'Main CEA'!$H$135,((U17*$H21)/U7)/'Main CEA'!$H$135)</f>
        <v>16.130213</v>
      </c>
      <c r="V22" s="317">
        <f>IF(V7="-",((V17*$H21)/$H7)/'Main CEA'!$H$135,((V17*$H21)/V7)/'Main CEA'!$H$135)</f>
        <v>18.79234643</v>
      </c>
      <c r="W22" s="317">
        <f>IF(W7="-",((W17*$H21)/$H7)/'Main CEA'!$H$135,((W17*$H21)/W7)/'Main CEA'!$H$135)</f>
        <v>9.449338703</v>
      </c>
      <c r="X22" s="317">
        <f>IF(X7="-",((X17*$H21)/$H7)/'Main CEA'!$H$135,((X17*$H21)/X7)/'Main CEA'!$H$135)</f>
        <v>17.29191124</v>
      </c>
      <c r="Y22" s="317">
        <f>IF(Y7="-",((Y17*$H21)/$H7)/'Main CEA'!$H$135,((Y17*$H21)/Y7)/'Main CEA'!$H$135)</f>
        <v>46.46941403</v>
      </c>
      <c r="Z22" s="317">
        <f>IF(Z7="-",((Z17*$H21)/$H7)/'Main CEA'!$H$135,((Z17*$H21)/Z7)/'Main CEA'!$H$135)</f>
        <v>3.387972937</v>
      </c>
      <c r="AA22" s="317">
        <f>IF(AA7="-",((AA17*$H21)/$H7)/'Main CEA'!$H$135,((AA17*$H21)/AA7)/'Main CEA'!$H$135)</f>
        <v>7.44018037</v>
      </c>
      <c r="AB22" s="317">
        <f>IF(AB7="-",((AB17*$H21)/$H7)/'Main CEA'!$H$135,((AB17*$H21)/AB7)/'Main CEA'!$H$135)</f>
        <v>4.705580912</v>
      </c>
      <c r="AC22" s="769"/>
    </row>
    <row r="23">
      <c r="A23" s="107"/>
      <c r="B23" s="108"/>
      <c r="C23" s="147"/>
      <c r="D23" s="108"/>
      <c r="E23" s="608"/>
      <c r="F23" s="125"/>
      <c r="G23" s="125"/>
      <c r="H23" s="112"/>
      <c r="I23" s="762"/>
      <c r="J23" s="762"/>
      <c r="K23" s="762"/>
      <c r="L23" s="762"/>
      <c r="M23" s="762"/>
      <c r="N23" s="762"/>
      <c r="O23" s="762"/>
      <c r="P23" s="762"/>
      <c r="Q23" s="762"/>
      <c r="R23" s="762"/>
      <c r="S23" s="762"/>
      <c r="T23" s="762"/>
      <c r="U23" s="762"/>
      <c r="V23" s="762"/>
      <c r="W23" s="762"/>
      <c r="X23" s="762"/>
      <c r="Y23" s="762"/>
      <c r="Z23" s="762"/>
      <c r="AA23" s="762"/>
      <c r="AB23" s="762"/>
      <c r="AC23" s="763"/>
    </row>
    <row r="24" hidden="1">
      <c r="A24" s="107"/>
      <c r="B24" s="108"/>
      <c r="C24" s="270" t="s">
        <v>555</v>
      </c>
      <c r="F24" s="772"/>
      <c r="G24" s="773"/>
      <c r="H24" s="774"/>
      <c r="I24" s="762"/>
      <c r="J24" s="762"/>
      <c r="K24" s="762"/>
      <c r="L24" s="762"/>
      <c r="M24" s="762"/>
      <c r="N24" s="762"/>
      <c r="O24" s="762"/>
      <c r="P24" s="762"/>
      <c r="Q24" s="762"/>
      <c r="R24" s="762"/>
      <c r="S24" s="762"/>
      <c r="T24" s="762"/>
      <c r="U24" s="762"/>
      <c r="V24" s="762"/>
      <c r="W24" s="762"/>
      <c r="X24" s="762"/>
      <c r="Y24" s="762"/>
      <c r="Z24" s="762"/>
      <c r="AA24" s="762"/>
      <c r="AB24" s="762"/>
      <c r="AC24" s="763"/>
    </row>
    <row r="25" hidden="1">
      <c r="A25" s="107"/>
      <c r="B25" s="108"/>
      <c r="C25" s="270"/>
      <c r="D25" s="190"/>
      <c r="E25" s="775" t="s">
        <v>556</v>
      </c>
      <c r="F25" s="776" t="s">
        <v>59</v>
      </c>
      <c r="G25" s="613" t="s">
        <v>68</v>
      </c>
      <c r="H25" s="297" t="s">
        <v>132</v>
      </c>
      <c r="I25" s="777">
        <f>'Main CEA'!I128/'Main CEA'!I127</f>
        <v>0.06857112185</v>
      </c>
      <c r="J25" s="777">
        <f>'Main CEA'!J128/'Main CEA'!J127</f>
        <v>0.05499180912</v>
      </c>
      <c r="K25" s="777">
        <f>'Main CEA'!K128/'Main CEA'!K127</f>
        <v>0.1046351707</v>
      </c>
      <c r="L25" s="777">
        <f>'Main CEA'!L128/'Main CEA'!L127</f>
        <v>0.02957330075</v>
      </c>
      <c r="M25" s="777">
        <f>'Main CEA'!M128/'Main CEA'!M127</f>
        <v>0.02955908324</v>
      </c>
      <c r="N25" s="777">
        <f>'Main CEA'!N128/'Main CEA'!N127</f>
        <v>0.02956301138</v>
      </c>
      <c r="O25" s="777">
        <f>'Main CEA'!O128/'Main CEA'!O127</f>
        <v>0.02958346881</v>
      </c>
      <c r="P25" s="777">
        <f>'Main CEA'!P128/'Main CEA'!P127</f>
        <v>0.1484034087</v>
      </c>
      <c r="Q25" s="777">
        <f>'Main CEA'!Q128/'Main CEA'!Q127</f>
        <v>0.02751321375</v>
      </c>
      <c r="R25" s="777">
        <f>'Main CEA'!R128/'Main CEA'!R127</f>
        <v>0.08896747258</v>
      </c>
      <c r="S25" s="777">
        <f>'Main CEA'!S128/'Main CEA'!S127</f>
        <v>0.1108363314</v>
      </c>
      <c r="T25" s="777">
        <f>'Main CEA'!T128/'Main CEA'!T127</f>
        <v>0.05187524163</v>
      </c>
      <c r="U25" s="777">
        <f>'Main CEA'!U128/'Main CEA'!U127</f>
        <v>0.1611428588</v>
      </c>
      <c r="V25" s="777">
        <f>'Main CEA'!V128/'Main CEA'!V127</f>
        <v>0.09139545074</v>
      </c>
      <c r="W25" s="777">
        <f>'Main CEA'!W128/'Main CEA'!W127</f>
        <v>0.1925902568</v>
      </c>
      <c r="X25" s="777">
        <f>'Main CEA'!X128/'Main CEA'!X127</f>
        <v>0.1029535051</v>
      </c>
      <c r="Y25" s="777">
        <f>'Main CEA'!Y128/'Main CEA'!Y127</f>
        <v>0.03217617935</v>
      </c>
      <c r="Z25" s="777">
        <f>'Main CEA'!Z128/'Main CEA'!Z127</f>
        <v>0.03641455178</v>
      </c>
      <c r="AA25" s="777">
        <f>'Main CEA'!AA128/'Main CEA'!AA127</f>
        <v>0.143299175</v>
      </c>
      <c r="AB25" s="777">
        <f>'Main CEA'!AB128/'Main CEA'!AB127</f>
        <v>0.03321926111</v>
      </c>
      <c r="AC25" s="767"/>
    </row>
    <row r="26" hidden="1">
      <c r="A26" s="107"/>
      <c r="B26" s="108"/>
      <c r="C26" s="270"/>
      <c r="D26" s="190"/>
      <c r="E26" s="778" t="s">
        <v>557</v>
      </c>
      <c r="F26" s="779" t="s">
        <v>59</v>
      </c>
      <c r="G26" s="780" t="s">
        <v>68</v>
      </c>
      <c r="H26" s="328" t="s">
        <v>132</v>
      </c>
      <c r="I26" s="781">
        <f>'Main CEA'!I129/SUM('Main CEA'!I127:I128)</f>
        <v>0.3132874116</v>
      </c>
      <c r="J26" s="781">
        <f>'Main CEA'!J129/SUM('Main CEA'!J127:J128)</f>
        <v>0.2079650431</v>
      </c>
      <c r="K26" s="781">
        <f>'Main CEA'!K129/SUM('Main CEA'!K127:K128)</f>
        <v>0.3707863359</v>
      </c>
      <c r="L26" s="781">
        <f>'Main CEA'!L129/SUM('Main CEA'!L127:L128)</f>
        <v>0.3037230972</v>
      </c>
      <c r="M26" s="781">
        <f>'Main CEA'!M129/SUM('Main CEA'!M127:M128)</f>
        <v>0.3386820901</v>
      </c>
      <c r="N26" s="781">
        <f>'Main CEA'!N129/SUM('Main CEA'!N127:N128)</f>
        <v>0.3241610621</v>
      </c>
      <c r="O26" s="781">
        <f>'Main CEA'!O129/SUM('Main CEA'!O127:O128)</f>
        <v>0.2917834797</v>
      </c>
      <c r="P26" s="781">
        <f>'Main CEA'!P129/SUM('Main CEA'!P127:P128)</f>
        <v>0.3389651363</v>
      </c>
      <c r="Q26" s="781">
        <f>'Main CEA'!Q129/SUM('Main CEA'!Q127:Q128)</f>
        <v>0.2340325456</v>
      </c>
      <c r="R26" s="781">
        <f>'Main CEA'!R129/SUM('Main CEA'!R127:R128)</f>
        <v>0.2574789408</v>
      </c>
      <c r="S26" s="781">
        <f>'Main CEA'!S129/SUM('Main CEA'!S127:S128)</f>
        <v>0.3222511648</v>
      </c>
      <c r="T26" s="781">
        <f>'Main CEA'!T129/SUM('Main CEA'!T127:T128)</f>
        <v>0.1910007464</v>
      </c>
      <c r="U26" s="781">
        <f>'Main CEA'!U129/SUM('Main CEA'!U127:U128)</f>
        <v>0.3190898049</v>
      </c>
      <c r="V26" s="781">
        <f>'Main CEA'!V129/SUM('Main CEA'!V127:V128)</f>
        <v>0.275673238</v>
      </c>
      <c r="W26" s="781">
        <f>'Main CEA'!W129/SUM('Main CEA'!W127:W128)</f>
        <v>0.4150554464</v>
      </c>
      <c r="X26" s="781">
        <f>'Main CEA'!X129/SUM('Main CEA'!X127:X128)</f>
        <v>0.2962217889</v>
      </c>
      <c r="Y26" s="781">
        <f>'Main CEA'!Y129/SUM('Main CEA'!Y127:Y128)</f>
        <v>0.166174003</v>
      </c>
      <c r="Z26" s="781">
        <f>'Main CEA'!Z129/SUM('Main CEA'!Z127:Z128)</f>
        <v>0.2657747977</v>
      </c>
      <c r="AA26" s="781">
        <f>'Main CEA'!AA129/SUM('Main CEA'!AA127:AA128)</f>
        <v>0.4380219825</v>
      </c>
      <c r="AB26" s="781">
        <f>'Main CEA'!AB129/SUM('Main CEA'!AB127:AB128)</f>
        <v>0.5919773931</v>
      </c>
      <c r="AC26" s="765"/>
    </row>
    <row r="27" hidden="1">
      <c r="A27" s="107"/>
      <c r="B27" s="108"/>
      <c r="C27" s="147"/>
      <c r="D27" s="108"/>
      <c r="E27" s="608"/>
      <c r="F27" s="125"/>
      <c r="G27" s="125"/>
      <c r="H27" s="112"/>
      <c r="I27" s="762"/>
      <c r="J27" s="762"/>
      <c r="K27" s="762"/>
      <c r="L27" s="762"/>
      <c r="M27" s="762"/>
      <c r="N27" s="762"/>
      <c r="O27" s="762"/>
      <c r="P27" s="762"/>
      <c r="Q27" s="762"/>
      <c r="R27" s="762"/>
      <c r="S27" s="762"/>
      <c r="T27" s="762"/>
      <c r="U27" s="762"/>
      <c r="V27" s="762"/>
      <c r="W27" s="762"/>
      <c r="X27" s="762"/>
      <c r="Y27" s="762"/>
      <c r="Z27" s="762"/>
      <c r="AA27" s="762"/>
      <c r="AB27" s="762"/>
      <c r="AC27" s="763"/>
    </row>
    <row r="28">
      <c r="A28" s="107"/>
      <c r="B28" s="108"/>
      <c r="C28" s="147" t="s">
        <v>558</v>
      </c>
      <c r="F28" s="125"/>
      <c r="G28" s="125"/>
      <c r="H28" s="112"/>
      <c r="I28" s="10"/>
      <c r="J28" s="10"/>
      <c r="K28" s="10"/>
      <c r="L28" s="10"/>
      <c r="M28" s="10"/>
      <c r="N28" s="10"/>
      <c r="O28" s="10"/>
      <c r="P28" s="10"/>
      <c r="Q28" s="10"/>
      <c r="R28" s="10"/>
      <c r="S28" s="10"/>
      <c r="T28" s="10"/>
      <c r="U28" s="10"/>
      <c r="V28" s="10"/>
      <c r="W28" s="10"/>
      <c r="X28" s="10"/>
      <c r="Y28" s="10"/>
      <c r="Z28" s="10"/>
      <c r="AA28" s="10"/>
      <c r="AB28" s="10"/>
      <c r="AC28" s="763"/>
    </row>
    <row r="29">
      <c r="A29" s="107"/>
      <c r="B29" s="108"/>
      <c r="C29" s="147"/>
      <c r="D29" s="108"/>
      <c r="E29" s="514" t="s">
        <v>559</v>
      </c>
      <c r="F29" s="154" t="s">
        <v>59</v>
      </c>
      <c r="G29" s="154" t="s">
        <v>70</v>
      </c>
      <c r="H29" s="156" t="s">
        <v>132</v>
      </c>
      <c r="I29" s="133">
        <f t="shared" ref="I29:AB29" si="5">1-SUM(I30:I31)</f>
        <v>0.7125851793</v>
      </c>
      <c r="J29" s="133">
        <f t="shared" si="5"/>
        <v>0.7846871589</v>
      </c>
      <c r="K29" s="133">
        <f t="shared" si="5"/>
        <v>0.6604065418</v>
      </c>
      <c r="L29" s="133">
        <f t="shared" si="5"/>
        <v>0.7450018798</v>
      </c>
      <c r="M29" s="133">
        <f t="shared" si="5"/>
        <v>0.7255565589</v>
      </c>
      <c r="N29" s="133">
        <f t="shared" si="5"/>
        <v>0.7335103657</v>
      </c>
      <c r="O29" s="133">
        <f t="shared" si="5"/>
        <v>0.7518803121</v>
      </c>
      <c r="P29" s="133">
        <f t="shared" si="5"/>
        <v>0.6503336977</v>
      </c>
      <c r="Q29" s="133">
        <f t="shared" si="5"/>
        <v>0.7886530201</v>
      </c>
      <c r="R29" s="133">
        <f t="shared" si="5"/>
        <v>0.7302715334</v>
      </c>
      <c r="S29" s="133">
        <f t="shared" si="5"/>
        <v>0.6808257392</v>
      </c>
      <c r="T29" s="133">
        <f t="shared" si="5"/>
        <v>0.7982220734</v>
      </c>
      <c r="U29" s="133">
        <f t="shared" si="5"/>
        <v>0.6528899458</v>
      </c>
      <c r="V29" s="133">
        <f t="shared" si="5"/>
        <v>0.7182546001</v>
      </c>
      <c r="W29" s="133">
        <f t="shared" si="5"/>
        <v>0.5925640308</v>
      </c>
      <c r="X29" s="133">
        <f t="shared" si="5"/>
        <v>0.6994609564</v>
      </c>
      <c r="Y29" s="133">
        <f t="shared" si="5"/>
        <v>0.830773839</v>
      </c>
      <c r="Z29" s="133">
        <f t="shared" si="5"/>
        <v>0.7622721512</v>
      </c>
      <c r="AA29" s="133">
        <f t="shared" si="5"/>
        <v>0.6082394502</v>
      </c>
      <c r="AB29" s="133">
        <f t="shared" si="5"/>
        <v>0.6079538459</v>
      </c>
      <c r="AC29" s="767"/>
    </row>
    <row r="30">
      <c r="A30" s="107"/>
      <c r="B30" s="108"/>
      <c r="C30" s="147"/>
      <c r="D30" s="108"/>
      <c r="E30" s="514" t="s">
        <v>560</v>
      </c>
      <c r="F30" s="154" t="s">
        <v>59</v>
      </c>
      <c r="G30" s="154" t="s">
        <v>70</v>
      </c>
      <c r="H30" s="156" t="s">
        <v>132</v>
      </c>
      <c r="I30" s="782">
        <f t="shared" ref="I30:AB30" si="6">I25/(1*(1+I25)*(1+I26))</f>
        <v>0.04886276516</v>
      </c>
      <c r="J30" s="133">
        <f t="shared" si="6"/>
        <v>0.04315136646</v>
      </c>
      <c r="K30" s="133">
        <f t="shared" si="6"/>
        <v>0.06910175121</v>
      </c>
      <c r="L30" s="133">
        <f t="shared" si="6"/>
        <v>0.02203216465</v>
      </c>
      <c r="M30" s="133">
        <f t="shared" si="6"/>
        <v>0.02144678672</v>
      </c>
      <c r="N30" s="133">
        <f t="shared" si="6"/>
        <v>0.02168477529</v>
      </c>
      <c r="O30" s="133">
        <f t="shared" si="6"/>
        <v>0.02224322776</v>
      </c>
      <c r="P30" s="133">
        <f t="shared" si="6"/>
        <v>0.09651173753</v>
      </c>
      <c r="Q30" s="133">
        <f t="shared" si="6"/>
        <v>0.02169837912</v>
      </c>
      <c r="R30" s="133">
        <f t="shared" si="6"/>
        <v>0.06497041263</v>
      </c>
      <c r="S30" s="133">
        <f t="shared" si="6"/>
        <v>0.07546022723</v>
      </c>
      <c r="T30" s="133">
        <f t="shared" si="6"/>
        <v>0.04140796294</v>
      </c>
      <c r="U30" s="133">
        <f t="shared" si="6"/>
        <v>0.1052085523</v>
      </c>
      <c r="V30" s="133">
        <f t="shared" si="6"/>
        <v>0.06564520293</v>
      </c>
      <c r="W30" s="133">
        <f t="shared" si="6"/>
        <v>0.1141220589</v>
      </c>
      <c r="X30" s="133">
        <f t="shared" si="6"/>
        <v>0.07201195711</v>
      </c>
      <c r="Y30" s="133">
        <f t="shared" si="6"/>
        <v>0.02673112804</v>
      </c>
      <c r="Z30" s="133">
        <f t="shared" si="6"/>
        <v>0.02775779872</v>
      </c>
      <c r="AA30" s="133">
        <f t="shared" si="6"/>
        <v>0.08716021139</v>
      </c>
      <c r="AB30" s="133">
        <f t="shared" si="6"/>
        <v>0.02019577755</v>
      </c>
      <c r="AC30" s="767"/>
    </row>
    <row r="31">
      <c r="A31" s="107"/>
      <c r="B31" s="108"/>
      <c r="C31" s="147"/>
      <c r="D31" s="108"/>
      <c r="E31" s="562" t="s">
        <v>561</v>
      </c>
      <c r="F31" s="164" t="s">
        <v>59</v>
      </c>
      <c r="G31" s="164" t="s">
        <v>70</v>
      </c>
      <c r="H31" s="220" t="s">
        <v>132</v>
      </c>
      <c r="I31" s="783">
        <f t="shared" ref="I31:AB31" si="7">I26/(1*(1+I26))</f>
        <v>0.2385520556</v>
      </c>
      <c r="J31" s="145">
        <f t="shared" si="7"/>
        <v>0.1721614746</v>
      </c>
      <c r="K31" s="145">
        <f t="shared" si="7"/>
        <v>0.270491707</v>
      </c>
      <c r="L31" s="145">
        <f t="shared" si="7"/>
        <v>0.2329659556</v>
      </c>
      <c r="M31" s="145">
        <f t="shared" si="7"/>
        <v>0.2529966544</v>
      </c>
      <c r="N31" s="145">
        <f t="shared" si="7"/>
        <v>0.244804859</v>
      </c>
      <c r="O31" s="145">
        <f t="shared" si="7"/>
        <v>0.2258764602</v>
      </c>
      <c r="P31" s="145">
        <f t="shared" si="7"/>
        <v>0.2531545648</v>
      </c>
      <c r="Q31" s="145">
        <f t="shared" si="7"/>
        <v>0.1896486008</v>
      </c>
      <c r="R31" s="145">
        <f t="shared" si="7"/>
        <v>0.2047580539</v>
      </c>
      <c r="S31" s="145">
        <f t="shared" si="7"/>
        <v>0.2437140336</v>
      </c>
      <c r="T31" s="145">
        <f t="shared" si="7"/>
        <v>0.1603699636</v>
      </c>
      <c r="U31" s="145">
        <f t="shared" si="7"/>
        <v>0.2419015019</v>
      </c>
      <c r="V31" s="145">
        <f t="shared" si="7"/>
        <v>0.2161001969</v>
      </c>
      <c r="W31" s="145">
        <f t="shared" si="7"/>
        <v>0.2933139104</v>
      </c>
      <c r="X31" s="145">
        <f t="shared" si="7"/>
        <v>0.2285270865</v>
      </c>
      <c r="Y31" s="145">
        <f t="shared" si="7"/>
        <v>0.142495033</v>
      </c>
      <c r="Z31" s="145">
        <f t="shared" si="7"/>
        <v>0.2099700501</v>
      </c>
      <c r="AA31" s="145">
        <f t="shared" si="7"/>
        <v>0.3046003384</v>
      </c>
      <c r="AB31" s="145">
        <f t="shared" si="7"/>
        <v>0.3718503766</v>
      </c>
      <c r="AC31" s="769"/>
    </row>
    <row r="32">
      <c r="A32" s="107"/>
      <c r="B32" s="108"/>
      <c r="C32" s="147"/>
      <c r="D32" s="108"/>
      <c r="E32" s="608"/>
      <c r="F32" s="125"/>
      <c r="G32" s="125"/>
      <c r="H32" s="112"/>
      <c r="I32" s="117"/>
      <c r="J32" s="117"/>
      <c r="K32" s="117"/>
      <c r="L32" s="117"/>
      <c r="M32" s="117"/>
      <c r="N32" s="117"/>
      <c r="O32" s="117"/>
      <c r="P32" s="117"/>
      <c r="Q32" s="117"/>
      <c r="R32" s="117"/>
      <c r="S32" s="117"/>
      <c r="T32" s="117"/>
      <c r="U32" s="117"/>
      <c r="V32" s="117"/>
      <c r="W32" s="117"/>
      <c r="X32" s="117"/>
      <c r="Y32" s="117"/>
      <c r="Z32" s="117"/>
      <c r="AA32" s="117"/>
      <c r="AB32" s="117"/>
      <c r="AC32" s="763"/>
    </row>
    <row r="33">
      <c r="A33" s="107"/>
      <c r="B33" s="108"/>
      <c r="C33" s="194" t="s">
        <v>562</v>
      </c>
      <c r="F33" s="772"/>
      <c r="G33" s="773"/>
      <c r="H33" s="112"/>
      <c r="I33" s="762"/>
      <c r="J33" s="762"/>
      <c r="K33" s="762"/>
      <c r="L33" s="762"/>
      <c r="M33" s="762"/>
      <c r="N33" s="762"/>
      <c r="O33" s="762"/>
      <c r="P33" s="762"/>
      <c r="Q33" s="762"/>
      <c r="R33" s="762"/>
      <c r="S33" s="762"/>
      <c r="T33" s="762"/>
      <c r="U33" s="762"/>
      <c r="V33" s="762"/>
      <c r="W33" s="762"/>
      <c r="X33" s="762"/>
      <c r="Y33" s="762"/>
      <c r="Z33" s="762"/>
      <c r="AA33" s="762"/>
      <c r="AB33" s="762"/>
      <c r="AC33" s="763"/>
    </row>
    <row r="34">
      <c r="A34" s="107"/>
      <c r="B34" s="108"/>
      <c r="C34" s="270"/>
      <c r="D34" s="108"/>
      <c r="E34" s="775" t="s">
        <v>563</v>
      </c>
      <c r="F34" s="612" t="s">
        <v>59</v>
      </c>
      <c r="G34" s="613" t="s">
        <v>68</v>
      </c>
      <c r="H34" s="156" t="s">
        <v>132</v>
      </c>
      <c r="I34" s="133">
        <f>'Main CEA'!I179</f>
        <v>0.191</v>
      </c>
      <c r="J34" s="133">
        <f>'Main CEA'!J179</f>
        <v>0.241</v>
      </c>
      <c r="K34" s="133">
        <f>'Main CEA'!K179</f>
        <v>0.141</v>
      </c>
      <c r="L34" s="133">
        <f>'Main CEA'!L179</f>
        <v>0.181</v>
      </c>
      <c r="M34" s="133">
        <f>'Main CEA'!M179</f>
        <v>0.181</v>
      </c>
      <c r="N34" s="133">
        <f>'Main CEA'!N179</f>
        <v>0.181</v>
      </c>
      <c r="O34" s="133">
        <f>'Main CEA'!O179</f>
        <v>0.181</v>
      </c>
      <c r="P34" s="133">
        <f>'Main CEA'!P179</f>
        <v>0.181</v>
      </c>
      <c r="Q34" s="133">
        <f>'Main CEA'!Q179</f>
        <v>0.341</v>
      </c>
      <c r="R34" s="133">
        <f>'Main CEA'!R179</f>
        <v>0.341</v>
      </c>
      <c r="S34" s="133">
        <f>'Main CEA'!S179</f>
        <v>0.341</v>
      </c>
      <c r="T34" s="133">
        <f>'Main CEA'!T179</f>
        <v>0.341</v>
      </c>
      <c r="U34" s="133">
        <f>'Main CEA'!U179</f>
        <v>0.341</v>
      </c>
      <c r="V34" s="133">
        <f>'Main CEA'!V179</f>
        <v>0.341</v>
      </c>
      <c r="W34" s="133">
        <f>'Main CEA'!W179</f>
        <v>0.341</v>
      </c>
      <c r="X34" s="133">
        <f>'Main CEA'!X179</f>
        <v>0.341</v>
      </c>
      <c r="Y34" s="133">
        <f>'Main CEA'!Y179</f>
        <v>0.341</v>
      </c>
      <c r="Z34" s="133">
        <f>'Main CEA'!Z179</f>
        <v>0.341</v>
      </c>
      <c r="AA34" s="133">
        <f>'Main CEA'!AA179</f>
        <v>0.291</v>
      </c>
      <c r="AB34" s="133">
        <f>'Main CEA'!AB179</f>
        <v>0.181</v>
      </c>
      <c r="AC34" s="767"/>
    </row>
    <row r="35">
      <c r="A35" s="107"/>
      <c r="B35" s="108"/>
      <c r="C35" s="270"/>
      <c r="D35" s="108"/>
      <c r="E35" s="514" t="s">
        <v>564</v>
      </c>
      <c r="F35" s="612" t="s">
        <v>59</v>
      </c>
      <c r="G35" s="613" t="s">
        <v>68</v>
      </c>
      <c r="H35" s="156" t="s">
        <v>132</v>
      </c>
      <c r="I35" s="133">
        <f>'Main CEA'!$H163</f>
        <v>-0.08</v>
      </c>
      <c r="J35" s="133">
        <f>'Main CEA'!$H163</f>
        <v>-0.08</v>
      </c>
      <c r="K35" s="133">
        <f>'Main CEA'!$H163</f>
        <v>-0.08</v>
      </c>
      <c r="L35" s="133">
        <f>'Main CEA'!$H163</f>
        <v>-0.08</v>
      </c>
      <c r="M35" s="133">
        <f>'Main CEA'!$H163</f>
        <v>-0.08</v>
      </c>
      <c r="N35" s="133">
        <f>'Main CEA'!$H163</f>
        <v>-0.08</v>
      </c>
      <c r="O35" s="133">
        <f>'Main CEA'!$H163</f>
        <v>-0.08</v>
      </c>
      <c r="P35" s="133">
        <f>'Main CEA'!$H163</f>
        <v>-0.08</v>
      </c>
      <c r="Q35" s="133">
        <f>'Main CEA'!$H163</f>
        <v>-0.08</v>
      </c>
      <c r="R35" s="133">
        <f>'Main CEA'!$H163</f>
        <v>-0.08</v>
      </c>
      <c r="S35" s="133">
        <f>'Main CEA'!$H163</f>
        <v>-0.08</v>
      </c>
      <c r="T35" s="133">
        <f>'Main CEA'!$H163</f>
        <v>-0.08</v>
      </c>
      <c r="U35" s="133">
        <f>'Main CEA'!$H163</f>
        <v>-0.08</v>
      </c>
      <c r="V35" s="133">
        <f>'Main CEA'!$H163</f>
        <v>-0.08</v>
      </c>
      <c r="W35" s="133">
        <f>'Main CEA'!$H163</f>
        <v>-0.08</v>
      </c>
      <c r="X35" s="133">
        <f>'Main CEA'!$H163</f>
        <v>-0.08</v>
      </c>
      <c r="Y35" s="133">
        <f>'Main CEA'!$H163</f>
        <v>-0.08</v>
      </c>
      <c r="Z35" s="133">
        <f>'Main CEA'!$H163</f>
        <v>-0.08</v>
      </c>
      <c r="AA35" s="133">
        <f>'Main CEA'!$H163</f>
        <v>-0.08</v>
      </c>
      <c r="AB35" s="133">
        <f>'Main CEA'!$H163</f>
        <v>-0.08</v>
      </c>
      <c r="AC35" s="767"/>
    </row>
    <row r="36">
      <c r="A36" s="107"/>
      <c r="B36" s="108"/>
      <c r="C36" s="147"/>
      <c r="D36" s="108"/>
      <c r="E36" s="584" t="s">
        <v>565</v>
      </c>
      <c r="F36" s="159" t="s">
        <v>59</v>
      </c>
      <c r="G36" s="159" t="s">
        <v>68</v>
      </c>
      <c r="H36" s="216" t="s">
        <v>132</v>
      </c>
      <c r="I36" s="139">
        <f>'Main CEA'!I182</f>
        <v>-0.004005444451</v>
      </c>
      <c r="J36" s="139">
        <f>'Main CEA'!J182</f>
        <v>-0.005978161521</v>
      </c>
      <c r="K36" s="139">
        <f>'Main CEA'!K182</f>
        <v>-0.008251293564</v>
      </c>
      <c r="L36" s="139">
        <f>'Main CEA'!L182</f>
        <v>-0.01325496647</v>
      </c>
      <c r="M36" s="139">
        <f>'Main CEA'!M182</f>
        <v>-0.01201759933</v>
      </c>
      <c r="N36" s="139">
        <f>'Main CEA'!N182</f>
        <v>-0.01101204018</v>
      </c>
      <c r="O36" s="139">
        <f>'Main CEA'!O182</f>
        <v>-0.01045530457</v>
      </c>
      <c r="P36" s="139">
        <f>'Main CEA'!P182</f>
        <v>-0.01033457603</v>
      </c>
      <c r="Q36" s="139">
        <f>'Main CEA'!Q182</f>
        <v>-0.002334426295</v>
      </c>
      <c r="R36" s="139">
        <f>'Main CEA'!R182</f>
        <v>-0.002607870542</v>
      </c>
      <c r="S36" s="139">
        <f>'Main CEA'!S182</f>
        <v>-0.01006406082</v>
      </c>
      <c r="T36" s="139">
        <f>'Main CEA'!T182</f>
        <v>-0.001873480249</v>
      </c>
      <c r="U36" s="139">
        <f>'Main CEA'!U182</f>
        <v>-0.005250946615</v>
      </c>
      <c r="V36" s="139">
        <f>'Main CEA'!V182</f>
        <v>-0.00440740143</v>
      </c>
      <c r="W36" s="139">
        <f>'Main CEA'!W182</f>
        <v>-0.007231344834</v>
      </c>
      <c r="X36" s="139">
        <f>'Main CEA'!X182</f>
        <v>-0.004664506279</v>
      </c>
      <c r="Y36" s="139">
        <f>'Main CEA'!Y182</f>
        <v>-0.002061582971</v>
      </c>
      <c r="Z36" s="139">
        <f>'Main CEA'!Z182</f>
        <v>-0.02198909007</v>
      </c>
      <c r="AA36" s="139">
        <f>'Main CEA'!AA182</f>
        <v>-0.00428173624</v>
      </c>
      <c r="AB36" s="139">
        <f>'Main CEA'!AB182</f>
        <v>-0.01284532724</v>
      </c>
      <c r="AC36" s="768"/>
    </row>
    <row r="37">
      <c r="A37" s="107"/>
      <c r="B37" s="108"/>
      <c r="C37" s="147"/>
      <c r="D37" s="108"/>
      <c r="E37" s="562" t="s">
        <v>566</v>
      </c>
      <c r="F37" s="164" t="s">
        <v>59</v>
      </c>
      <c r="G37" s="164" t="s">
        <v>68</v>
      </c>
      <c r="H37" s="220" t="str">
        <f>'Main CEA'!H$185</f>
        <v>-</v>
      </c>
      <c r="I37" s="145">
        <f>'Main CEA'!I183</f>
        <v>-0.3963757375</v>
      </c>
      <c r="J37" s="145">
        <f>'Main CEA'!J183</f>
        <v>-0.2278305143</v>
      </c>
      <c r="K37" s="145">
        <f>'Main CEA'!K183</f>
        <v>-0.2369353924</v>
      </c>
      <c r="L37" s="145">
        <f>'Main CEA'!L183</f>
        <v>-0.08945215206</v>
      </c>
      <c r="M37" s="145">
        <f>'Main CEA'!M183</f>
        <v>-0.09510436685</v>
      </c>
      <c r="N37" s="145">
        <f>'Main CEA'!N183</f>
        <v>-0.09969769741</v>
      </c>
      <c r="O37" s="145">
        <f>'Main CEA'!O183</f>
        <v>-0.1022408304</v>
      </c>
      <c r="P37" s="145">
        <f>'Main CEA'!P183</f>
        <v>-0.206034612</v>
      </c>
      <c r="Q37" s="145">
        <f>'Main CEA'!Q183</f>
        <v>-0.1849016011</v>
      </c>
      <c r="R37" s="145">
        <f>'Main CEA'!R183</f>
        <v>-0.09250357399</v>
      </c>
      <c r="S37" s="145">
        <f>'Main CEA'!S183</f>
        <v>-0.07107046302</v>
      </c>
      <c r="T37" s="145">
        <f>'Main CEA'!T183</f>
        <v>-0.1878828672</v>
      </c>
      <c r="U37" s="145">
        <f>'Main CEA'!U183</f>
        <v>-0.0849059483</v>
      </c>
      <c r="V37" s="145">
        <f>'Main CEA'!V183</f>
        <v>-0.1714941919</v>
      </c>
      <c r="W37" s="145">
        <f>'Main CEA'!W183</f>
        <v>-0.1532297361</v>
      </c>
      <c r="X37" s="145">
        <f>'Main CEA'!X183</f>
        <v>-0.1698313115</v>
      </c>
      <c r="Y37" s="145">
        <f>'Main CEA'!Y183</f>
        <v>-0.1866662728</v>
      </c>
      <c r="Z37" s="145">
        <f>'Main CEA'!Z183</f>
        <v>-0.0241459097</v>
      </c>
      <c r="AA37" s="145">
        <f>'Main CEA'!AA183</f>
        <v>-0.444167965</v>
      </c>
      <c r="AB37" s="145">
        <f>'Main CEA'!AB183</f>
        <v>-0.1811723527</v>
      </c>
      <c r="AC37" s="769"/>
    </row>
    <row r="38">
      <c r="A38" s="107"/>
      <c r="B38" s="108"/>
      <c r="C38" s="147"/>
      <c r="D38" s="108"/>
      <c r="E38" s="608"/>
      <c r="F38" s="125"/>
      <c r="G38" s="125"/>
      <c r="H38" s="112"/>
      <c r="I38" s="762"/>
      <c r="J38" s="762"/>
      <c r="K38" s="762"/>
      <c r="L38" s="762"/>
      <c r="M38" s="762"/>
      <c r="N38" s="762"/>
      <c r="O38" s="762"/>
      <c r="P38" s="762"/>
      <c r="Q38" s="762"/>
      <c r="R38" s="762"/>
      <c r="S38" s="762"/>
      <c r="T38" s="762"/>
      <c r="U38" s="762"/>
      <c r="V38" s="762"/>
      <c r="W38" s="762"/>
      <c r="X38" s="762"/>
      <c r="Y38" s="762"/>
      <c r="Z38" s="762"/>
      <c r="AA38" s="762"/>
      <c r="AB38" s="762"/>
      <c r="AC38" s="763"/>
    </row>
    <row r="39">
      <c r="A39" s="107"/>
      <c r="B39" s="108"/>
      <c r="C39" s="147" t="s">
        <v>567</v>
      </c>
      <c r="F39" s="319"/>
      <c r="G39" s="319"/>
      <c r="H39" s="784"/>
      <c r="I39" s="785"/>
      <c r="J39" s="785"/>
      <c r="K39" s="785"/>
      <c r="L39" s="785"/>
      <c r="M39" s="785"/>
      <c r="N39" s="785"/>
      <c r="O39" s="785"/>
      <c r="P39" s="785"/>
      <c r="Q39" s="785"/>
      <c r="R39" s="785"/>
      <c r="S39" s="785"/>
      <c r="T39" s="785"/>
      <c r="U39" s="785"/>
      <c r="V39" s="785"/>
      <c r="W39" s="785"/>
      <c r="X39" s="785"/>
      <c r="Y39" s="785"/>
      <c r="Z39" s="785"/>
      <c r="AA39" s="785"/>
      <c r="AB39" s="785"/>
      <c r="AC39" s="763"/>
    </row>
    <row r="40">
      <c r="A40" s="107"/>
      <c r="B40" s="108"/>
      <c r="C40" s="147"/>
      <c r="D40" s="108"/>
      <c r="E40" s="786" t="s">
        <v>568</v>
      </c>
      <c r="F40" s="787" t="s">
        <v>65</v>
      </c>
      <c r="G40" s="787" t="s">
        <v>70</v>
      </c>
      <c r="H40" s="788" t="s">
        <v>132</v>
      </c>
      <c r="I40" s="789">
        <f t="shared" ref="I40:AB40" si="8">I22/I29*(1+I34)*(1+I35)*(1+SUM(I36:I37))</f>
        <v>13.31086766</v>
      </c>
      <c r="J40" s="789">
        <f t="shared" si="8"/>
        <v>14.65302985</v>
      </c>
      <c r="K40" s="789">
        <f t="shared" si="8"/>
        <v>8.518485599</v>
      </c>
      <c r="L40" s="789">
        <f t="shared" si="8"/>
        <v>10.22702529</v>
      </c>
      <c r="M40" s="789">
        <f t="shared" si="8"/>
        <v>11.22452985</v>
      </c>
      <c r="N40" s="789">
        <f t="shared" si="8"/>
        <v>12.20027136</v>
      </c>
      <c r="O40" s="789">
        <f t="shared" si="8"/>
        <v>12.82122216</v>
      </c>
      <c r="P40" s="789">
        <f t="shared" si="8"/>
        <v>8.764840478</v>
      </c>
      <c r="Q40" s="789">
        <f t="shared" si="8"/>
        <v>49.5320273</v>
      </c>
      <c r="R40" s="789">
        <f t="shared" si="8"/>
        <v>55.53456784</v>
      </c>
      <c r="S40" s="789">
        <f t="shared" si="8"/>
        <v>14.61278558</v>
      </c>
      <c r="T40" s="789">
        <f t="shared" si="8"/>
        <v>61.52736635</v>
      </c>
      <c r="U40" s="789">
        <f t="shared" si="8"/>
        <v>27.73213049</v>
      </c>
      <c r="V40" s="789">
        <f t="shared" si="8"/>
        <v>26.60101901</v>
      </c>
      <c r="W40" s="789">
        <f t="shared" si="8"/>
        <v>16.51671098</v>
      </c>
      <c r="X40" s="789">
        <f t="shared" si="8"/>
        <v>25.17766224</v>
      </c>
      <c r="Y40" s="789">
        <f t="shared" si="8"/>
        <v>55.98446773</v>
      </c>
      <c r="Z40" s="789">
        <f t="shared" si="8"/>
        <v>5.230381871</v>
      </c>
      <c r="AA40" s="789">
        <f t="shared" si="8"/>
        <v>8.013238575</v>
      </c>
      <c r="AB40" s="789">
        <f t="shared" si="8"/>
        <v>6.778067282</v>
      </c>
      <c r="AC40" s="767"/>
    </row>
    <row r="41">
      <c r="A41" s="107"/>
      <c r="B41" s="108"/>
      <c r="C41" s="147"/>
      <c r="D41" s="108"/>
      <c r="E41" s="517" t="s">
        <v>569</v>
      </c>
      <c r="F41" s="119" t="s">
        <v>55</v>
      </c>
      <c r="G41" s="119" t="s">
        <v>70</v>
      </c>
      <c r="H41" s="150" t="s">
        <v>132</v>
      </c>
      <c r="I41" s="151">
        <f>I20*('Main CEA'!I58/SUM('Main CEA'!I58,'Main CEA'!I71))/(1+'Main CEA'!I206)</f>
        <v>4892.955942</v>
      </c>
      <c r="J41" s="151">
        <f>J20*('Main CEA'!J58/SUM('Main CEA'!J58,'Main CEA'!J71))/(1+'Main CEA'!J206)</f>
        <v>4037.528352</v>
      </c>
      <c r="K41" s="151">
        <f>K20*('Main CEA'!K58/SUM('Main CEA'!K58,'Main CEA'!K71))/(1+'Main CEA'!K206)</f>
        <v>8014.888329</v>
      </c>
      <c r="L41" s="151">
        <f>L20*('Main CEA'!L58/SUM('Main CEA'!L58,'Main CEA'!L71))/(1+'Main CEA'!L206)</f>
        <v>6478.25068</v>
      </c>
      <c r="M41" s="151">
        <f>M20*('Main CEA'!M58/SUM('Main CEA'!M58,'Main CEA'!M71))/(1+'Main CEA'!M206)</f>
        <v>6060.861827</v>
      </c>
      <c r="N41" s="151">
        <f>N20*('Main CEA'!N58/SUM('Main CEA'!N58,'Main CEA'!N71))/(1+'Main CEA'!N206)</f>
        <v>5515.634518</v>
      </c>
      <c r="O41" s="151">
        <f>O20*('Main CEA'!O58/SUM('Main CEA'!O58,'Main CEA'!O71))/(1+'Main CEA'!O206)</f>
        <v>5120.113755</v>
      </c>
      <c r="P41" s="151">
        <f>P20*('Main CEA'!P58/SUM('Main CEA'!P58,'Main CEA'!P71))/(1+'Main CEA'!P206)</f>
        <v>7336.70742</v>
      </c>
      <c r="Q41" s="151">
        <f>Q20*('Main CEA'!Q58/SUM('Main CEA'!Q58,'Main CEA'!Q71))/(1+'Main CEA'!Q206)</f>
        <v>1197.34393</v>
      </c>
      <c r="R41" s="151">
        <f>R20*('Main CEA'!R58/SUM('Main CEA'!R58,'Main CEA'!R71))/(1+'Main CEA'!R206)</f>
        <v>1054.666767</v>
      </c>
      <c r="S41" s="151">
        <f>S20*('Main CEA'!S58/SUM('Main CEA'!S58,'Main CEA'!S71))/(1+'Main CEA'!S206)</f>
        <v>4172.282382</v>
      </c>
      <c r="T41" s="151">
        <f>T20*('Main CEA'!T58/SUM('Main CEA'!T58,'Main CEA'!T71))/(1+'Main CEA'!T206)</f>
        <v>918.3089062</v>
      </c>
      <c r="U41" s="151">
        <f>U20*('Main CEA'!U58/SUM('Main CEA'!U58,'Main CEA'!U71))/(1+'Main CEA'!U206)</f>
        <v>2146.700694</v>
      </c>
      <c r="V41" s="151">
        <f>V20*('Main CEA'!V58/SUM('Main CEA'!V58,'Main CEA'!V71))/(1+'Main CEA'!V206)</f>
        <v>2231.111877</v>
      </c>
      <c r="W41" s="151">
        <f>W20*('Main CEA'!W58/SUM('Main CEA'!W58,'Main CEA'!W71))/(1+'Main CEA'!W206)</f>
        <v>3819.430257</v>
      </c>
      <c r="X41" s="151">
        <f>X20*('Main CEA'!X58/SUM('Main CEA'!X58,'Main CEA'!X71))/(1+'Main CEA'!X206)</f>
        <v>2382.386551</v>
      </c>
      <c r="Y41" s="151">
        <f>Y20*('Main CEA'!Y58/SUM('Main CEA'!Y58,'Main CEA'!Y71))/(1+'Main CEA'!Y206)</f>
        <v>998.5496072</v>
      </c>
      <c r="Z41" s="151">
        <f>Z20*('Main CEA'!Z58/SUM('Main CEA'!Z58,'Main CEA'!Z71))/(1+'Main CEA'!Z206)</f>
        <v>11574.54498</v>
      </c>
      <c r="AA41" s="151">
        <f>AA20*('Main CEA'!AA58/SUM('Main CEA'!AA58,'Main CEA'!AA71))/(1+'Main CEA'!AA206)</f>
        <v>8289.961259</v>
      </c>
      <c r="AB41" s="151">
        <f>AB20*('Main CEA'!AB58/SUM('Main CEA'!AB58,'Main CEA'!AB71))/(1+'Main CEA'!AB206)</f>
        <v>11912.21192</v>
      </c>
      <c r="AC41" s="765"/>
    </row>
    <row r="42">
      <c r="A42" s="324"/>
      <c r="B42" s="325"/>
      <c r="C42" s="790"/>
      <c r="D42" s="325"/>
      <c r="E42" s="791"/>
      <c r="F42" s="119"/>
      <c r="G42" s="119"/>
      <c r="H42" s="306"/>
      <c r="I42" s="792"/>
      <c r="J42" s="792"/>
      <c r="K42" s="792"/>
      <c r="L42" s="792"/>
      <c r="M42" s="792"/>
      <c r="N42" s="792"/>
      <c r="O42" s="792"/>
      <c r="P42" s="792"/>
      <c r="Q42" s="792"/>
      <c r="R42" s="792"/>
      <c r="S42" s="792"/>
      <c r="T42" s="792"/>
      <c r="U42" s="792"/>
      <c r="V42" s="792"/>
      <c r="W42" s="792"/>
      <c r="X42" s="792"/>
      <c r="Y42" s="792"/>
      <c r="Z42" s="792"/>
      <c r="AA42" s="792"/>
      <c r="AB42" s="792"/>
      <c r="AC42" s="765"/>
    </row>
  </sheetData>
  <mergeCells count="11">
    <mergeCell ref="C24:E24"/>
    <mergeCell ref="C28:E28"/>
    <mergeCell ref="C33:E33"/>
    <mergeCell ref="C39:E39"/>
    <mergeCell ref="I1:R1"/>
    <mergeCell ref="S1:AB1"/>
    <mergeCell ref="A3:E3"/>
    <mergeCell ref="A4:G4"/>
    <mergeCell ref="C6:E6"/>
    <mergeCell ref="C9:E9"/>
    <mergeCell ref="C19:E1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5" width="7.63"/>
    <col customWidth="1" min="66" max="66" width="3.63"/>
  </cols>
  <sheetData>
    <row r="1">
      <c r="A1" s="793"/>
      <c r="B1" s="794"/>
      <c r="C1" s="794"/>
      <c r="D1" s="794"/>
      <c r="E1" s="794"/>
      <c r="F1" s="795" t="s">
        <v>96</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370"/>
      <c r="BN1" s="796"/>
    </row>
    <row r="2">
      <c r="A2" s="797"/>
      <c r="B2" s="798"/>
      <c r="C2" s="798"/>
      <c r="D2" s="798"/>
      <c r="E2" s="798"/>
      <c r="F2" s="799" t="s">
        <v>97</v>
      </c>
      <c r="H2" s="800"/>
      <c r="I2" s="801" t="s">
        <v>98</v>
      </c>
      <c r="K2" s="800"/>
      <c r="L2" s="801" t="s">
        <v>99</v>
      </c>
      <c r="N2" s="800"/>
      <c r="O2" s="802" t="s">
        <v>100</v>
      </c>
      <c r="Q2" s="800"/>
      <c r="R2" s="802" t="s">
        <v>100</v>
      </c>
      <c r="T2" s="800"/>
      <c r="U2" s="802" t="s">
        <v>100</v>
      </c>
      <c r="W2" s="800"/>
      <c r="X2" s="802" t="s">
        <v>100</v>
      </c>
      <c r="Z2" s="800"/>
      <c r="AA2" s="802" t="s">
        <v>101</v>
      </c>
      <c r="AC2" s="800"/>
      <c r="AD2" s="802" t="s">
        <v>102</v>
      </c>
      <c r="AF2" s="800"/>
      <c r="AG2" s="802" t="s">
        <v>102</v>
      </c>
      <c r="AI2" s="800"/>
      <c r="AJ2" s="802" t="s">
        <v>102</v>
      </c>
      <c r="AL2" s="800"/>
      <c r="AM2" s="802" t="s">
        <v>102</v>
      </c>
      <c r="AO2" s="800"/>
      <c r="AP2" s="802" t="s">
        <v>102</v>
      </c>
      <c r="AR2" s="800"/>
      <c r="AS2" s="802" t="s">
        <v>102</v>
      </c>
      <c r="AU2" s="800"/>
      <c r="AV2" s="802" t="s">
        <v>102</v>
      </c>
      <c r="AX2" s="800"/>
      <c r="AY2" s="802" t="s">
        <v>102</v>
      </c>
      <c r="BA2" s="800"/>
      <c r="BB2" s="802" t="s">
        <v>102</v>
      </c>
      <c r="BD2" s="800"/>
      <c r="BE2" s="802" t="s">
        <v>103</v>
      </c>
      <c r="BG2" s="800"/>
      <c r="BH2" s="802" t="s">
        <v>104</v>
      </c>
      <c r="BJ2" s="800"/>
      <c r="BK2" s="802" t="s">
        <v>105</v>
      </c>
      <c r="BM2" s="800"/>
      <c r="BN2" s="803"/>
    </row>
    <row r="3">
      <c r="A3" s="804" t="s">
        <v>12</v>
      </c>
      <c r="F3" s="797"/>
      <c r="H3" s="800"/>
      <c r="I3" s="797"/>
      <c r="K3" s="800"/>
      <c r="L3" s="797"/>
      <c r="N3" s="800"/>
      <c r="O3" s="805" t="s">
        <v>110</v>
      </c>
      <c r="Q3" s="800"/>
      <c r="R3" s="805" t="s">
        <v>111</v>
      </c>
      <c r="T3" s="800"/>
      <c r="U3" s="805" t="s">
        <v>112</v>
      </c>
      <c r="W3" s="800"/>
      <c r="X3" s="805" t="s">
        <v>113</v>
      </c>
      <c r="Z3" s="800"/>
      <c r="AA3" s="805" t="s">
        <v>114</v>
      </c>
      <c r="AC3" s="800"/>
      <c r="AD3" s="805" t="s">
        <v>115</v>
      </c>
      <c r="AF3" s="800"/>
      <c r="AG3" s="805" t="s">
        <v>116</v>
      </c>
      <c r="AI3" s="800"/>
      <c r="AJ3" s="805" t="s">
        <v>117</v>
      </c>
      <c r="AL3" s="800"/>
      <c r="AM3" s="805" t="s">
        <v>118</v>
      </c>
      <c r="AO3" s="800"/>
      <c r="AP3" s="805" t="s">
        <v>119</v>
      </c>
      <c r="AR3" s="800"/>
      <c r="AS3" s="805" t="s">
        <v>120</v>
      </c>
      <c r="AU3" s="800"/>
      <c r="AV3" s="805" t="s">
        <v>121</v>
      </c>
      <c r="AX3" s="800"/>
      <c r="AY3" s="805" t="s">
        <v>122</v>
      </c>
      <c r="BA3" s="800"/>
      <c r="BB3" s="805" t="s">
        <v>123</v>
      </c>
      <c r="BD3" s="800"/>
      <c r="BE3" s="805" t="s">
        <v>124</v>
      </c>
      <c r="BG3" s="800"/>
      <c r="BH3" s="797"/>
      <c r="BJ3" s="800"/>
      <c r="BK3" s="799" t="s">
        <v>125</v>
      </c>
      <c r="BM3" s="800"/>
      <c r="BN3" s="803"/>
    </row>
    <row r="4">
      <c r="A4" s="797"/>
      <c r="B4" s="806"/>
      <c r="C4" s="806"/>
      <c r="D4" s="806"/>
      <c r="E4" s="806"/>
      <c r="F4" s="807" t="s">
        <v>570</v>
      </c>
      <c r="G4" s="808" t="s">
        <v>571</v>
      </c>
      <c r="H4" s="809" t="s">
        <v>572</v>
      </c>
      <c r="I4" s="810" t="s">
        <v>570</v>
      </c>
      <c r="J4" s="808" t="s">
        <v>571</v>
      </c>
      <c r="K4" s="809" t="s">
        <v>572</v>
      </c>
      <c r="L4" s="810" t="s">
        <v>570</v>
      </c>
      <c r="M4" s="808" t="s">
        <v>571</v>
      </c>
      <c r="N4" s="809" t="s">
        <v>572</v>
      </c>
      <c r="O4" s="808" t="s">
        <v>570</v>
      </c>
      <c r="P4" s="808" t="s">
        <v>571</v>
      </c>
      <c r="Q4" s="811" t="s">
        <v>572</v>
      </c>
      <c r="R4" s="808" t="s">
        <v>570</v>
      </c>
      <c r="S4" s="808" t="s">
        <v>571</v>
      </c>
      <c r="T4" s="811" t="s">
        <v>572</v>
      </c>
      <c r="U4" s="808" t="s">
        <v>570</v>
      </c>
      <c r="V4" s="808" t="s">
        <v>571</v>
      </c>
      <c r="W4" s="811" t="s">
        <v>572</v>
      </c>
      <c r="X4" s="808" t="s">
        <v>570</v>
      </c>
      <c r="Y4" s="808" t="s">
        <v>571</v>
      </c>
      <c r="Z4" s="811" t="s">
        <v>572</v>
      </c>
      <c r="AA4" s="808" t="s">
        <v>570</v>
      </c>
      <c r="AB4" s="808" t="s">
        <v>571</v>
      </c>
      <c r="AC4" s="811" t="s">
        <v>572</v>
      </c>
      <c r="AD4" s="808" t="s">
        <v>570</v>
      </c>
      <c r="AE4" s="808" t="s">
        <v>571</v>
      </c>
      <c r="AF4" s="811" t="s">
        <v>572</v>
      </c>
      <c r="AG4" s="808" t="s">
        <v>570</v>
      </c>
      <c r="AH4" s="808" t="s">
        <v>571</v>
      </c>
      <c r="AI4" s="811" t="s">
        <v>572</v>
      </c>
      <c r="AJ4" s="808" t="s">
        <v>570</v>
      </c>
      <c r="AK4" s="808" t="s">
        <v>571</v>
      </c>
      <c r="AL4" s="811" t="s">
        <v>572</v>
      </c>
      <c r="AM4" s="808" t="s">
        <v>570</v>
      </c>
      <c r="AN4" s="808" t="s">
        <v>571</v>
      </c>
      <c r="AO4" s="811" t="s">
        <v>572</v>
      </c>
      <c r="AP4" s="808" t="s">
        <v>570</v>
      </c>
      <c r="AQ4" s="808" t="s">
        <v>571</v>
      </c>
      <c r="AR4" s="811" t="s">
        <v>572</v>
      </c>
      <c r="AS4" s="808" t="s">
        <v>570</v>
      </c>
      <c r="AT4" s="808" t="s">
        <v>571</v>
      </c>
      <c r="AU4" s="811" t="s">
        <v>572</v>
      </c>
      <c r="AV4" s="808" t="s">
        <v>570</v>
      </c>
      <c r="AW4" s="808" t="s">
        <v>571</v>
      </c>
      <c r="AX4" s="811" t="s">
        <v>572</v>
      </c>
      <c r="AY4" s="808" t="s">
        <v>570</v>
      </c>
      <c r="AZ4" s="808" t="s">
        <v>571</v>
      </c>
      <c r="BA4" s="811" t="s">
        <v>572</v>
      </c>
      <c r="BB4" s="808" t="s">
        <v>570</v>
      </c>
      <c r="BC4" s="808" t="s">
        <v>571</v>
      </c>
      <c r="BD4" s="811" t="s">
        <v>572</v>
      </c>
      <c r="BE4" s="808" t="s">
        <v>570</v>
      </c>
      <c r="BF4" s="808" t="s">
        <v>571</v>
      </c>
      <c r="BG4" s="811" t="s">
        <v>572</v>
      </c>
      <c r="BH4" s="808" t="s">
        <v>570</v>
      </c>
      <c r="BI4" s="808" t="s">
        <v>571</v>
      </c>
      <c r="BJ4" s="811" t="s">
        <v>572</v>
      </c>
      <c r="BK4" s="808" t="s">
        <v>570</v>
      </c>
      <c r="BL4" s="808" t="s">
        <v>571</v>
      </c>
      <c r="BM4" s="811" t="s">
        <v>572</v>
      </c>
      <c r="BN4" s="812"/>
    </row>
    <row r="5">
      <c r="A5" s="813" t="s">
        <v>573</v>
      </c>
      <c r="B5" s="2"/>
      <c r="C5" s="2"/>
      <c r="D5" s="2"/>
      <c r="E5" s="2"/>
      <c r="F5" s="814">
        <f>'Main CEA'!I193</f>
        <v>13.31086766</v>
      </c>
      <c r="G5" s="37"/>
      <c r="H5" s="815"/>
      <c r="I5" s="814">
        <f>'Main CEA'!J193</f>
        <v>14.65302985</v>
      </c>
      <c r="J5" s="37"/>
      <c r="K5" s="815"/>
      <c r="L5" s="814">
        <f>'Main CEA'!K193</f>
        <v>8.518485599</v>
      </c>
      <c r="M5" s="37"/>
      <c r="N5" s="815"/>
      <c r="O5" s="814">
        <f>'Main CEA'!L193</f>
        <v>10.22702529</v>
      </c>
      <c r="P5" s="37"/>
      <c r="Q5" s="815"/>
      <c r="R5" s="814">
        <f>'Main CEA'!M193</f>
        <v>11.22452985</v>
      </c>
      <c r="S5" s="37"/>
      <c r="T5" s="815"/>
      <c r="U5" s="814">
        <f>'Main CEA'!N193</f>
        <v>12.20027136</v>
      </c>
      <c r="V5" s="37"/>
      <c r="W5" s="815"/>
      <c r="X5" s="814">
        <f>'Main CEA'!O193</f>
        <v>12.82122216</v>
      </c>
      <c r="Y5" s="37"/>
      <c r="Z5" s="815"/>
      <c r="AA5" s="814">
        <f>'Main CEA'!P193</f>
        <v>8.764840478</v>
      </c>
      <c r="AB5" s="37"/>
      <c r="AC5" s="815"/>
      <c r="AD5" s="814">
        <f>'Main CEA'!Q193</f>
        <v>49.5320273</v>
      </c>
      <c r="AE5" s="37"/>
      <c r="AF5" s="815"/>
      <c r="AG5" s="814">
        <f>'Main CEA'!R193</f>
        <v>55.53456784</v>
      </c>
      <c r="AH5" s="37"/>
      <c r="AI5" s="815"/>
      <c r="AJ5" s="814">
        <f>'Main CEA'!S193</f>
        <v>14.61278558</v>
      </c>
      <c r="AK5" s="37"/>
      <c r="AL5" s="815"/>
      <c r="AM5" s="814">
        <f>'Main CEA'!T193</f>
        <v>61.52736635</v>
      </c>
      <c r="AN5" s="37"/>
      <c r="AO5" s="815"/>
      <c r="AP5" s="814">
        <f>'Main CEA'!U193</f>
        <v>27.73213049</v>
      </c>
      <c r="AQ5" s="37"/>
      <c r="AR5" s="815"/>
      <c r="AS5" s="814">
        <f>'Main CEA'!V193</f>
        <v>26.60101901</v>
      </c>
      <c r="AT5" s="37"/>
      <c r="AU5" s="815"/>
      <c r="AV5" s="814">
        <f>'Main CEA'!W193</f>
        <v>16.51671098</v>
      </c>
      <c r="AW5" s="37"/>
      <c r="AX5" s="815"/>
      <c r="AY5" s="814">
        <f>'Main CEA'!X193</f>
        <v>25.17766224</v>
      </c>
      <c r="AZ5" s="37"/>
      <c r="BA5" s="815"/>
      <c r="BB5" s="814">
        <f>'Main CEA'!Y193</f>
        <v>55.98446773</v>
      </c>
      <c r="BC5" s="37"/>
      <c r="BD5" s="815"/>
      <c r="BE5" s="814">
        <f>'Main CEA'!Z193</f>
        <v>5.230381871</v>
      </c>
      <c r="BF5" s="37"/>
      <c r="BG5" s="815"/>
      <c r="BH5" s="814">
        <f>'Main CEA'!AA193</f>
        <v>8.013238575</v>
      </c>
      <c r="BI5" s="37"/>
      <c r="BJ5" s="815"/>
      <c r="BK5" s="814">
        <f>'Main CEA'!AB193</f>
        <v>6.778067282</v>
      </c>
      <c r="BL5" s="37"/>
      <c r="BM5" s="815"/>
      <c r="BN5" s="816"/>
    </row>
    <row r="6">
      <c r="A6" s="817" t="s">
        <v>574</v>
      </c>
      <c r="B6" s="6"/>
      <c r="C6" s="6"/>
      <c r="D6" s="6"/>
      <c r="E6" s="6"/>
      <c r="F6" s="818"/>
      <c r="G6" s="819"/>
      <c r="H6" s="820"/>
      <c r="I6" s="818"/>
      <c r="J6" s="819"/>
      <c r="K6" s="820"/>
      <c r="L6" s="819"/>
      <c r="M6" s="819"/>
      <c r="N6" s="819"/>
      <c r="O6" s="818"/>
      <c r="P6" s="821"/>
      <c r="Q6" s="820"/>
      <c r="R6" s="818"/>
      <c r="S6" s="821"/>
      <c r="T6" s="820"/>
      <c r="U6" s="818"/>
      <c r="V6" s="821"/>
      <c r="W6" s="820"/>
      <c r="X6" s="818"/>
      <c r="Y6" s="821"/>
      <c r="Z6" s="820"/>
      <c r="AA6" s="818"/>
      <c r="AB6" s="821"/>
      <c r="AC6" s="820"/>
      <c r="AD6" s="818"/>
      <c r="AE6" s="821"/>
      <c r="AF6" s="820"/>
      <c r="AG6" s="818"/>
      <c r="AH6" s="821"/>
      <c r="AI6" s="820"/>
      <c r="AJ6" s="818"/>
      <c r="AK6" s="821"/>
      <c r="AL6" s="820"/>
      <c r="AM6" s="818"/>
      <c r="AN6" s="821"/>
      <c r="AO6" s="820"/>
      <c r="AP6" s="818"/>
      <c r="AQ6" s="821"/>
      <c r="AR6" s="820"/>
      <c r="AS6" s="818"/>
      <c r="AT6" s="821"/>
      <c r="AU6" s="820"/>
      <c r="AV6" s="818"/>
      <c r="AW6" s="821"/>
      <c r="AX6" s="820"/>
      <c r="AY6" s="818"/>
      <c r="AZ6" s="821"/>
      <c r="BA6" s="820"/>
      <c r="BB6" s="818"/>
      <c r="BC6" s="821"/>
      <c r="BD6" s="820"/>
      <c r="BE6" s="819"/>
      <c r="BF6" s="819"/>
      <c r="BG6" s="819"/>
      <c r="BH6" s="818"/>
      <c r="BI6" s="821"/>
      <c r="BJ6" s="820"/>
      <c r="BK6" s="818"/>
      <c r="BL6" s="821"/>
      <c r="BM6" s="820"/>
      <c r="BN6" s="820"/>
    </row>
    <row r="7">
      <c r="A7" s="63"/>
      <c r="B7" s="64"/>
      <c r="C7" s="64"/>
      <c r="D7" s="64"/>
      <c r="E7" s="64"/>
      <c r="F7" s="63"/>
      <c r="G7" s="64"/>
      <c r="H7" s="67"/>
      <c r="I7" s="63"/>
      <c r="J7" s="64"/>
      <c r="K7" s="67"/>
      <c r="L7" s="64"/>
      <c r="M7" s="64"/>
      <c r="N7" s="64"/>
      <c r="O7" s="63"/>
      <c r="P7" s="64"/>
      <c r="Q7" s="67"/>
      <c r="R7" s="63"/>
      <c r="S7" s="64"/>
      <c r="T7" s="67"/>
      <c r="U7" s="63"/>
      <c r="V7" s="64"/>
      <c r="W7" s="67"/>
      <c r="X7" s="63"/>
      <c r="Y7" s="64"/>
      <c r="Z7" s="67"/>
      <c r="AA7" s="63"/>
      <c r="AB7" s="64"/>
      <c r="AC7" s="67"/>
      <c r="AD7" s="63"/>
      <c r="AE7" s="64"/>
      <c r="AF7" s="67"/>
      <c r="AG7" s="63"/>
      <c r="AH7" s="64"/>
      <c r="AI7" s="67"/>
      <c r="AJ7" s="63"/>
      <c r="AK7" s="64"/>
      <c r="AL7" s="67"/>
      <c r="AM7" s="63"/>
      <c r="AN7" s="64"/>
      <c r="AO7" s="67"/>
      <c r="AP7" s="63"/>
      <c r="AQ7" s="64"/>
      <c r="AR7" s="67"/>
      <c r="AS7" s="63"/>
      <c r="AT7" s="64"/>
      <c r="AU7" s="67"/>
      <c r="AV7" s="63"/>
      <c r="AW7" s="64"/>
      <c r="AX7" s="67"/>
      <c r="AY7" s="63"/>
      <c r="AZ7" s="64"/>
      <c r="BA7" s="67"/>
      <c r="BB7" s="63"/>
      <c r="BC7" s="64"/>
      <c r="BD7" s="67"/>
      <c r="BE7" s="64"/>
      <c r="BF7" s="64"/>
      <c r="BG7" s="64"/>
      <c r="BH7" s="63"/>
      <c r="BI7" s="64"/>
      <c r="BJ7" s="67"/>
      <c r="BK7" s="63"/>
      <c r="BL7" s="64"/>
      <c r="BM7" s="67"/>
      <c r="BN7" s="67"/>
    </row>
    <row r="8">
      <c r="A8" s="63"/>
      <c r="B8" s="64"/>
      <c r="C8" s="270" t="s">
        <v>542</v>
      </c>
      <c r="F8" s="822"/>
      <c r="G8" s="823"/>
      <c r="H8" s="824"/>
      <c r="I8" s="822"/>
      <c r="J8" s="823"/>
      <c r="K8" s="824"/>
      <c r="L8" s="823"/>
      <c r="M8" s="823"/>
      <c r="N8" s="823"/>
      <c r="O8" s="822"/>
      <c r="P8" s="823"/>
      <c r="Q8" s="824"/>
      <c r="R8" s="822"/>
      <c r="S8" s="823"/>
      <c r="T8" s="824"/>
      <c r="U8" s="822"/>
      <c r="V8" s="823"/>
      <c r="W8" s="824"/>
      <c r="X8" s="822"/>
      <c r="Y8" s="823"/>
      <c r="Z8" s="824"/>
      <c r="AA8" s="822"/>
      <c r="AB8" s="823"/>
      <c r="AC8" s="824"/>
      <c r="AD8" s="822"/>
      <c r="AE8" s="823"/>
      <c r="AF8" s="824"/>
      <c r="AG8" s="822"/>
      <c r="AH8" s="823"/>
      <c r="AI8" s="824"/>
      <c r="AJ8" s="822"/>
      <c r="AK8" s="823"/>
      <c r="AL8" s="824"/>
      <c r="AM8" s="822"/>
      <c r="AN8" s="823"/>
      <c r="AO8" s="824"/>
      <c r="AP8" s="822"/>
      <c r="AQ8" s="823"/>
      <c r="AR8" s="824"/>
      <c r="AS8" s="822"/>
      <c r="AT8" s="823"/>
      <c r="AU8" s="824"/>
      <c r="AV8" s="822"/>
      <c r="AW8" s="823"/>
      <c r="AX8" s="824"/>
      <c r="AY8" s="822"/>
      <c r="AZ8" s="823"/>
      <c r="BA8" s="824"/>
      <c r="BB8" s="822"/>
      <c r="BC8" s="823"/>
      <c r="BD8" s="824"/>
      <c r="BE8" s="823"/>
      <c r="BF8" s="823"/>
      <c r="BG8" s="823"/>
      <c r="BH8" s="822"/>
      <c r="BI8" s="823"/>
      <c r="BJ8" s="824"/>
      <c r="BK8" s="822"/>
      <c r="BL8" s="823"/>
      <c r="BM8" s="824"/>
      <c r="BN8" s="67"/>
    </row>
    <row r="9">
      <c r="A9" s="63"/>
      <c r="B9" s="64"/>
      <c r="C9" s="420"/>
      <c r="D9" s="64"/>
      <c r="E9" s="775" t="s">
        <v>543</v>
      </c>
      <c r="F9" s="825">
        <v>-0.1</v>
      </c>
      <c r="G9" s="826" t="s">
        <v>132</v>
      </c>
      <c r="H9" s="827">
        <v>0.1</v>
      </c>
      <c r="I9" s="828">
        <v>-0.2</v>
      </c>
      <c r="J9" s="826" t="s">
        <v>132</v>
      </c>
      <c r="K9" s="829">
        <v>0.2</v>
      </c>
      <c r="L9" s="830">
        <v>-0.4</v>
      </c>
      <c r="M9" s="826" t="s">
        <v>132</v>
      </c>
      <c r="N9" s="831">
        <v>0.4</v>
      </c>
      <c r="O9" s="832" t="s">
        <v>132</v>
      </c>
      <c r="P9" s="833" t="s">
        <v>132</v>
      </c>
      <c r="Q9" s="834" t="s">
        <v>132</v>
      </c>
      <c r="R9" s="832" t="s">
        <v>132</v>
      </c>
      <c r="S9" s="833" t="s">
        <v>132</v>
      </c>
      <c r="T9" s="834" t="s">
        <v>132</v>
      </c>
      <c r="U9" s="832" t="s">
        <v>132</v>
      </c>
      <c r="V9" s="833" t="s">
        <v>132</v>
      </c>
      <c r="W9" s="834" t="s">
        <v>132</v>
      </c>
      <c r="X9" s="832" t="s">
        <v>132</v>
      </c>
      <c r="Y9" s="833" t="s">
        <v>132</v>
      </c>
      <c r="Z9" s="834" t="s">
        <v>132</v>
      </c>
      <c r="AA9" s="835">
        <v>-0.3</v>
      </c>
      <c r="AB9" s="826" t="s">
        <v>132</v>
      </c>
      <c r="AC9" s="836">
        <v>0.3</v>
      </c>
      <c r="AD9" s="835">
        <v>-0.3</v>
      </c>
      <c r="AE9" s="826" t="s">
        <v>132</v>
      </c>
      <c r="AF9" s="836">
        <v>0.3</v>
      </c>
      <c r="AG9" s="835">
        <v>-0.3</v>
      </c>
      <c r="AH9" s="826" t="s">
        <v>132</v>
      </c>
      <c r="AI9" s="836">
        <v>0.3</v>
      </c>
      <c r="AJ9" s="835">
        <v>-0.3</v>
      </c>
      <c r="AK9" s="826" t="s">
        <v>132</v>
      </c>
      <c r="AL9" s="836">
        <v>0.3</v>
      </c>
      <c r="AM9" s="835">
        <v>-0.3</v>
      </c>
      <c r="AN9" s="826" t="s">
        <v>132</v>
      </c>
      <c r="AO9" s="836">
        <v>0.3</v>
      </c>
      <c r="AP9" s="835">
        <v>-0.3</v>
      </c>
      <c r="AQ9" s="826" t="s">
        <v>132</v>
      </c>
      <c r="AR9" s="836">
        <v>0.3</v>
      </c>
      <c r="AS9" s="835">
        <v>-0.3</v>
      </c>
      <c r="AT9" s="826" t="s">
        <v>132</v>
      </c>
      <c r="AU9" s="836">
        <v>0.3</v>
      </c>
      <c r="AV9" s="835">
        <v>-0.3</v>
      </c>
      <c r="AW9" s="826" t="s">
        <v>132</v>
      </c>
      <c r="AX9" s="836">
        <v>0.3</v>
      </c>
      <c r="AY9" s="835">
        <v>-0.3</v>
      </c>
      <c r="AZ9" s="826" t="s">
        <v>132</v>
      </c>
      <c r="BA9" s="836">
        <v>0.3</v>
      </c>
      <c r="BB9" s="835">
        <v>-0.3</v>
      </c>
      <c r="BC9" s="826" t="s">
        <v>132</v>
      </c>
      <c r="BD9" s="836">
        <v>0.3</v>
      </c>
      <c r="BE9" s="837">
        <v>-0.25</v>
      </c>
      <c r="BF9" s="826" t="s">
        <v>132</v>
      </c>
      <c r="BG9" s="838">
        <v>0.25</v>
      </c>
      <c r="BH9" s="828">
        <v>-0.2</v>
      </c>
      <c r="BI9" s="826" t="s">
        <v>132</v>
      </c>
      <c r="BJ9" s="829">
        <v>0.2</v>
      </c>
      <c r="BK9" s="839">
        <v>-0.35</v>
      </c>
      <c r="BL9" s="826" t="s">
        <v>132</v>
      </c>
      <c r="BM9" s="840">
        <v>0.35</v>
      </c>
      <c r="BN9" s="841"/>
    </row>
    <row r="10">
      <c r="A10" s="63"/>
      <c r="B10" s="64"/>
      <c r="C10" s="420"/>
      <c r="D10" s="64"/>
      <c r="E10" s="590" t="s">
        <v>575</v>
      </c>
      <c r="F10" s="842">
        <v>-0.5</v>
      </c>
      <c r="G10" s="843" t="s">
        <v>132</v>
      </c>
      <c r="H10" s="844">
        <v>0.5</v>
      </c>
      <c r="I10" s="845">
        <v>-0.7</v>
      </c>
      <c r="J10" s="843" t="s">
        <v>132</v>
      </c>
      <c r="K10" s="846">
        <v>0.7</v>
      </c>
      <c r="L10" s="847">
        <v>-0.6</v>
      </c>
      <c r="M10" s="843" t="s">
        <v>132</v>
      </c>
      <c r="N10" s="848">
        <v>0.6</v>
      </c>
      <c r="O10" s="849" t="s">
        <v>132</v>
      </c>
      <c r="P10" s="850" t="s">
        <v>132</v>
      </c>
      <c r="Q10" s="851" t="s">
        <v>132</v>
      </c>
      <c r="R10" s="849" t="s">
        <v>132</v>
      </c>
      <c r="S10" s="850" t="s">
        <v>132</v>
      </c>
      <c r="T10" s="851" t="s">
        <v>132</v>
      </c>
      <c r="U10" s="849" t="s">
        <v>132</v>
      </c>
      <c r="V10" s="850" t="s">
        <v>132</v>
      </c>
      <c r="W10" s="851" t="s">
        <v>132</v>
      </c>
      <c r="X10" s="849" t="s">
        <v>132</v>
      </c>
      <c r="Y10" s="850" t="s">
        <v>132</v>
      </c>
      <c r="Z10" s="851" t="s">
        <v>132</v>
      </c>
      <c r="AA10" s="842">
        <v>-0.5</v>
      </c>
      <c r="AB10" s="843" t="s">
        <v>132</v>
      </c>
      <c r="AC10" s="844">
        <v>0.5</v>
      </c>
      <c r="AD10" s="852">
        <v>-0.65</v>
      </c>
      <c r="AE10" s="843" t="s">
        <v>132</v>
      </c>
      <c r="AF10" s="853">
        <v>0.65</v>
      </c>
      <c r="AG10" s="842">
        <v>-0.5</v>
      </c>
      <c r="AH10" s="843" t="s">
        <v>132</v>
      </c>
      <c r="AI10" s="844">
        <v>0.5</v>
      </c>
      <c r="AJ10" s="842">
        <v>-0.5</v>
      </c>
      <c r="AK10" s="843" t="s">
        <v>132</v>
      </c>
      <c r="AL10" s="844">
        <v>0.5</v>
      </c>
      <c r="AM10" s="842">
        <v>-0.5</v>
      </c>
      <c r="AN10" s="843" t="s">
        <v>132</v>
      </c>
      <c r="AO10" s="844">
        <v>0.5</v>
      </c>
      <c r="AP10" s="842">
        <v>-0.5</v>
      </c>
      <c r="AQ10" s="843" t="s">
        <v>132</v>
      </c>
      <c r="AR10" s="844">
        <v>0.5</v>
      </c>
      <c r="AS10" s="842">
        <v>-0.5</v>
      </c>
      <c r="AT10" s="843" t="s">
        <v>132</v>
      </c>
      <c r="AU10" s="844">
        <v>0.5</v>
      </c>
      <c r="AV10" s="842">
        <v>-0.5</v>
      </c>
      <c r="AW10" s="843" t="s">
        <v>132</v>
      </c>
      <c r="AX10" s="844">
        <v>0.5</v>
      </c>
      <c r="AY10" s="842">
        <v>-0.5</v>
      </c>
      <c r="AZ10" s="843" t="s">
        <v>132</v>
      </c>
      <c r="BA10" s="844">
        <v>0.5</v>
      </c>
      <c r="BB10" s="842">
        <v>-0.5</v>
      </c>
      <c r="BC10" s="843" t="s">
        <v>132</v>
      </c>
      <c r="BD10" s="844">
        <v>0.5</v>
      </c>
      <c r="BE10" s="854">
        <v>-0.75</v>
      </c>
      <c r="BF10" s="843" t="s">
        <v>132</v>
      </c>
      <c r="BG10" s="855">
        <v>0.75</v>
      </c>
      <c r="BH10" s="842">
        <v>-0.5</v>
      </c>
      <c r="BI10" s="843" t="s">
        <v>132</v>
      </c>
      <c r="BJ10" s="844">
        <v>0.5</v>
      </c>
      <c r="BK10" s="856">
        <v>-0.6</v>
      </c>
      <c r="BL10" s="843" t="s">
        <v>132</v>
      </c>
      <c r="BM10" s="857">
        <v>0.6</v>
      </c>
      <c r="BN10" s="621"/>
    </row>
    <row r="11">
      <c r="A11" s="63"/>
      <c r="B11" s="64"/>
      <c r="C11" s="420"/>
      <c r="D11" s="64"/>
      <c r="E11" s="590" t="s">
        <v>548</v>
      </c>
      <c r="F11" s="858">
        <v>-0.1</v>
      </c>
      <c r="G11" s="843" t="s">
        <v>132</v>
      </c>
      <c r="H11" s="859">
        <v>0.1</v>
      </c>
      <c r="I11" s="858">
        <v>-0.1</v>
      </c>
      <c r="J11" s="843" t="s">
        <v>132</v>
      </c>
      <c r="K11" s="859">
        <v>0.1</v>
      </c>
      <c r="L11" s="858">
        <v>-0.1</v>
      </c>
      <c r="M11" s="843" t="s">
        <v>132</v>
      </c>
      <c r="N11" s="859">
        <v>0.1</v>
      </c>
      <c r="O11" s="849" t="s">
        <v>132</v>
      </c>
      <c r="P11" s="850" t="s">
        <v>132</v>
      </c>
      <c r="Q11" s="851" t="s">
        <v>132</v>
      </c>
      <c r="R11" s="849" t="s">
        <v>132</v>
      </c>
      <c r="S11" s="850" t="s">
        <v>132</v>
      </c>
      <c r="T11" s="851" t="s">
        <v>132</v>
      </c>
      <c r="U11" s="849" t="s">
        <v>132</v>
      </c>
      <c r="V11" s="850" t="s">
        <v>132</v>
      </c>
      <c r="W11" s="851" t="s">
        <v>132</v>
      </c>
      <c r="X11" s="849" t="s">
        <v>132</v>
      </c>
      <c r="Y11" s="850" t="s">
        <v>132</v>
      </c>
      <c r="Z11" s="851" t="s">
        <v>132</v>
      </c>
      <c r="AA11" s="860">
        <v>-0.2</v>
      </c>
      <c r="AB11" s="843" t="s">
        <v>132</v>
      </c>
      <c r="AC11" s="861">
        <v>0.2</v>
      </c>
      <c r="AD11" s="858">
        <v>-0.1</v>
      </c>
      <c r="AE11" s="843" t="s">
        <v>132</v>
      </c>
      <c r="AF11" s="859">
        <v>0.1</v>
      </c>
      <c r="AG11" s="858">
        <v>-0.1</v>
      </c>
      <c r="AH11" s="843" t="s">
        <v>132</v>
      </c>
      <c r="AI11" s="859">
        <v>0.1</v>
      </c>
      <c r="AJ11" s="858">
        <v>-0.1</v>
      </c>
      <c r="AK11" s="843" t="s">
        <v>132</v>
      </c>
      <c r="AL11" s="859">
        <v>0.1</v>
      </c>
      <c r="AM11" s="858">
        <v>-0.1</v>
      </c>
      <c r="AN11" s="843" t="s">
        <v>132</v>
      </c>
      <c r="AO11" s="859">
        <v>0.1</v>
      </c>
      <c r="AP11" s="858">
        <v>-0.1</v>
      </c>
      <c r="AQ11" s="843" t="s">
        <v>132</v>
      </c>
      <c r="AR11" s="859">
        <v>0.1</v>
      </c>
      <c r="AS11" s="858">
        <v>-0.1</v>
      </c>
      <c r="AT11" s="843" t="s">
        <v>132</v>
      </c>
      <c r="AU11" s="859">
        <v>0.1</v>
      </c>
      <c r="AV11" s="858">
        <v>-0.1</v>
      </c>
      <c r="AW11" s="843" t="s">
        <v>132</v>
      </c>
      <c r="AX11" s="859">
        <v>0.1</v>
      </c>
      <c r="AY11" s="858">
        <v>-0.1</v>
      </c>
      <c r="AZ11" s="843" t="s">
        <v>132</v>
      </c>
      <c r="BA11" s="859">
        <v>0.1</v>
      </c>
      <c r="BB11" s="858">
        <v>-0.1</v>
      </c>
      <c r="BC11" s="843" t="s">
        <v>132</v>
      </c>
      <c r="BD11" s="859">
        <v>0.1</v>
      </c>
      <c r="BE11" s="860">
        <v>-0.2</v>
      </c>
      <c r="BF11" s="843" t="s">
        <v>132</v>
      </c>
      <c r="BG11" s="861">
        <v>0.2</v>
      </c>
      <c r="BH11" s="858">
        <v>-0.1</v>
      </c>
      <c r="BI11" s="843" t="s">
        <v>132</v>
      </c>
      <c r="BJ11" s="859">
        <v>0.1</v>
      </c>
      <c r="BK11" s="860">
        <v>-0.2</v>
      </c>
      <c r="BL11" s="843" t="s">
        <v>132</v>
      </c>
      <c r="BM11" s="861">
        <v>0.2</v>
      </c>
      <c r="BN11" s="621"/>
    </row>
    <row r="12">
      <c r="A12" s="63"/>
      <c r="B12" s="64"/>
      <c r="C12" s="420"/>
      <c r="D12" s="64"/>
      <c r="E12" s="625" t="s">
        <v>549</v>
      </c>
      <c r="F12" s="862">
        <v>-0.1</v>
      </c>
      <c r="G12" s="863" t="s">
        <v>132</v>
      </c>
      <c r="H12" s="864">
        <v>0.1</v>
      </c>
      <c r="I12" s="865">
        <v>-0.1</v>
      </c>
      <c r="J12" s="863" t="s">
        <v>132</v>
      </c>
      <c r="K12" s="866">
        <v>0.1</v>
      </c>
      <c r="L12" s="865">
        <v>-0.1</v>
      </c>
      <c r="M12" s="863" t="s">
        <v>132</v>
      </c>
      <c r="N12" s="866">
        <v>0.1</v>
      </c>
      <c r="O12" s="867" t="s">
        <v>132</v>
      </c>
      <c r="P12" s="868" t="s">
        <v>132</v>
      </c>
      <c r="Q12" s="869" t="s">
        <v>132</v>
      </c>
      <c r="R12" s="867" t="s">
        <v>132</v>
      </c>
      <c r="S12" s="868" t="s">
        <v>132</v>
      </c>
      <c r="T12" s="869" t="s">
        <v>132</v>
      </c>
      <c r="U12" s="867" t="s">
        <v>132</v>
      </c>
      <c r="V12" s="868" t="s">
        <v>132</v>
      </c>
      <c r="W12" s="869" t="s">
        <v>132</v>
      </c>
      <c r="X12" s="867" t="s">
        <v>132</v>
      </c>
      <c r="Y12" s="868" t="s">
        <v>132</v>
      </c>
      <c r="Z12" s="869" t="s">
        <v>132</v>
      </c>
      <c r="AA12" s="870">
        <v>-0.3</v>
      </c>
      <c r="AB12" s="863" t="s">
        <v>132</v>
      </c>
      <c r="AC12" s="871">
        <v>0.3</v>
      </c>
      <c r="AD12" s="865">
        <v>-0.1</v>
      </c>
      <c r="AE12" s="863" t="s">
        <v>132</v>
      </c>
      <c r="AF12" s="866">
        <v>0.1</v>
      </c>
      <c r="AG12" s="865">
        <v>-0.1</v>
      </c>
      <c r="AH12" s="863" t="s">
        <v>132</v>
      </c>
      <c r="AI12" s="866">
        <v>0.1</v>
      </c>
      <c r="AJ12" s="865">
        <v>-0.1</v>
      </c>
      <c r="AK12" s="863" t="s">
        <v>132</v>
      </c>
      <c r="AL12" s="866">
        <v>0.1</v>
      </c>
      <c r="AM12" s="865">
        <v>-0.1</v>
      </c>
      <c r="AN12" s="863" t="s">
        <v>132</v>
      </c>
      <c r="AO12" s="866">
        <v>0.1</v>
      </c>
      <c r="AP12" s="865">
        <v>-0.1</v>
      </c>
      <c r="AQ12" s="863" t="s">
        <v>132</v>
      </c>
      <c r="AR12" s="866">
        <v>0.1</v>
      </c>
      <c r="AS12" s="865">
        <v>-0.1</v>
      </c>
      <c r="AT12" s="863" t="s">
        <v>132</v>
      </c>
      <c r="AU12" s="866">
        <v>0.1</v>
      </c>
      <c r="AV12" s="865">
        <v>-0.1</v>
      </c>
      <c r="AW12" s="863" t="s">
        <v>132</v>
      </c>
      <c r="AX12" s="866">
        <v>0.1</v>
      </c>
      <c r="AY12" s="865">
        <v>-0.1</v>
      </c>
      <c r="AZ12" s="863" t="s">
        <v>132</v>
      </c>
      <c r="BA12" s="866">
        <v>0.1</v>
      </c>
      <c r="BB12" s="865">
        <v>-0.1</v>
      </c>
      <c r="BC12" s="863" t="s">
        <v>132</v>
      </c>
      <c r="BD12" s="866">
        <v>0.1</v>
      </c>
      <c r="BE12" s="872">
        <v>-0.2</v>
      </c>
      <c r="BF12" s="863" t="s">
        <v>132</v>
      </c>
      <c r="BG12" s="873">
        <v>0.2</v>
      </c>
      <c r="BH12" s="865">
        <v>-0.1</v>
      </c>
      <c r="BI12" s="863" t="s">
        <v>132</v>
      </c>
      <c r="BJ12" s="866">
        <v>0.1</v>
      </c>
      <c r="BK12" s="870">
        <v>-0.3</v>
      </c>
      <c r="BL12" s="863" t="s">
        <v>132</v>
      </c>
      <c r="BM12" s="871">
        <v>0.3</v>
      </c>
      <c r="BN12" s="874"/>
    </row>
    <row r="13">
      <c r="A13" s="63"/>
      <c r="B13" s="64"/>
      <c r="C13" s="420"/>
      <c r="D13" s="64"/>
      <c r="E13" s="420"/>
      <c r="F13" s="63"/>
      <c r="G13" s="875"/>
      <c r="H13" s="67"/>
      <c r="I13" s="63"/>
      <c r="J13" s="875"/>
      <c r="K13" s="67"/>
      <c r="L13" s="64"/>
      <c r="M13" s="875"/>
      <c r="N13" s="64"/>
      <c r="O13" s="63"/>
      <c r="P13" s="875"/>
      <c r="Q13" s="67"/>
      <c r="R13" s="63"/>
      <c r="S13" s="875"/>
      <c r="T13" s="67"/>
      <c r="U13" s="63"/>
      <c r="V13" s="875"/>
      <c r="W13" s="67"/>
      <c r="X13" s="63"/>
      <c r="Y13" s="875"/>
      <c r="Z13" s="67"/>
      <c r="AA13" s="63"/>
      <c r="AB13" s="875"/>
      <c r="AC13" s="67"/>
      <c r="AD13" s="63"/>
      <c r="AE13" s="875"/>
      <c r="AF13" s="67"/>
      <c r="AG13" s="63"/>
      <c r="AH13" s="875"/>
      <c r="AI13" s="67"/>
      <c r="AJ13" s="63"/>
      <c r="AK13" s="875"/>
      <c r="AL13" s="67"/>
      <c r="AM13" s="63"/>
      <c r="AN13" s="875"/>
      <c r="AO13" s="67"/>
      <c r="AP13" s="63"/>
      <c r="AQ13" s="875"/>
      <c r="AR13" s="67"/>
      <c r="AS13" s="63"/>
      <c r="AT13" s="875"/>
      <c r="AU13" s="67"/>
      <c r="AV13" s="63"/>
      <c r="AW13" s="875"/>
      <c r="AX13" s="67"/>
      <c r="AY13" s="63"/>
      <c r="AZ13" s="875"/>
      <c r="BA13" s="67"/>
      <c r="BB13" s="63"/>
      <c r="BC13" s="875"/>
      <c r="BD13" s="67"/>
      <c r="BE13" s="64"/>
      <c r="BF13" s="875"/>
      <c r="BG13" s="64"/>
      <c r="BH13" s="63"/>
      <c r="BI13" s="875"/>
      <c r="BJ13" s="67"/>
      <c r="BK13" s="63"/>
      <c r="BL13" s="875"/>
      <c r="BM13" s="67"/>
      <c r="BN13" s="67"/>
    </row>
    <row r="14">
      <c r="A14" s="63"/>
      <c r="B14" s="64"/>
      <c r="C14" s="270" t="s">
        <v>558</v>
      </c>
      <c r="F14" s="63"/>
      <c r="G14" s="875"/>
      <c r="H14" s="67"/>
      <c r="I14" s="63"/>
      <c r="J14" s="875"/>
      <c r="K14" s="67"/>
      <c r="L14" s="64"/>
      <c r="M14" s="875"/>
      <c r="N14" s="64"/>
      <c r="O14" s="63"/>
      <c r="P14" s="875"/>
      <c r="Q14" s="67"/>
      <c r="R14" s="63"/>
      <c r="S14" s="875"/>
      <c r="T14" s="67"/>
      <c r="U14" s="63"/>
      <c r="V14" s="875"/>
      <c r="W14" s="67"/>
      <c r="X14" s="63"/>
      <c r="Y14" s="875"/>
      <c r="Z14" s="67"/>
      <c r="AA14" s="63"/>
      <c r="AB14" s="875"/>
      <c r="AC14" s="67"/>
      <c r="AD14" s="63"/>
      <c r="AE14" s="875"/>
      <c r="AF14" s="67"/>
      <c r="AG14" s="63"/>
      <c r="AH14" s="875"/>
      <c r="AI14" s="67"/>
      <c r="AJ14" s="63"/>
      <c r="AK14" s="875"/>
      <c r="AL14" s="67"/>
      <c r="AM14" s="63"/>
      <c r="AN14" s="875"/>
      <c r="AO14" s="67"/>
      <c r="AP14" s="63"/>
      <c r="AQ14" s="875"/>
      <c r="AR14" s="67"/>
      <c r="AS14" s="63"/>
      <c r="AT14" s="875"/>
      <c r="AU14" s="67"/>
      <c r="AV14" s="63"/>
      <c r="AW14" s="875"/>
      <c r="AX14" s="67"/>
      <c r="AY14" s="63"/>
      <c r="AZ14" s="875"/>
      <c r="BA14" s="67"/>
      <c r="BB14" s="63"/>
      <c r="BC14" s="875"/>
      <c r="BD14" s="67"/>
      <c r="BE14" s="64"/>
      <c r="BF14" s="875"/>
      <c r="BG14" s="64"/>
      <c r="BH14" s="63"/>
      <c r="BI14" s="875"/>
      <c r="BJ14" s="67"/>
      <c r="BK14" s="63"/>
      <c r="BL14" s="875"/>
      <c r="BM14" s="67"/>
      <c r="BN14" s="67"/>
    </row>
    <row r="15">
      <c r="A15" s="63"/>
      <c r="B15" s="64"/>
      <c r="C15" s="420"/>
      <c r="D15" s="64"/>
      <c r="E15" s="775" t="s">
        <v>556</v>
      </c>
      <c r="F15" s="876">
        <v>-0.6</v>
      </c>
      <c r="G15" s="826" t="s">
        <v>132</v>
      </c>
      <c r="H15" s="877">
        <v>0.6</v>
      </c>
      <c r="I15" s="876">
        <v>-0.6</v>
      </c>
      <c r="J15" s="826" t="s">
        <v>132</v>
      </c>
      <c r="K15" s="877">
        <v>0.6</v>
      </c>
      <c r="L15" s="876">
        <v>-0.6</v>
      </c>
      <c r="M15" s="826" t="s">
        <v>132</v>
      </c>
      <c r="N15" s="877">
        <v>0.6</v>
      </c>
      <c r="O15" s="832" t="s">
        <v>132</v>
      </c>
      <c r="P15" s="833" t="s">
        <v>132</v>
      </c>
      <c r="Q15" s="834" t="s">
        <v>132</v>
      </c>
      <c r="R15" s="832" t="s">
        <v>132</v>
      </c>
      <c r="S15" s="833" t="s">
        <v>132</v>
      </c>
      <c r="T15" s="834" t="s">
        <v>132</v>
      </c>
      <c r="U15" s="832" t="s">
        <v>132</v>
      </c>
      <c r="V15" s="833" t="s">
        <v>132</v>
      </c>
      <c r="W15" s="834" t="s">
        <v>132</v>
      </c>
      <c r="X15" s="832" t="s">
        <v>132</v>
      </c>
      <c r="Y15" s="833" t="s">
        <v>132</v>
      </c>
      <c r="Z15" s="834" t="s">
        <v>132</v>
      </c>
      <c r="AA15" s="876">
        <v>-0.6</v>
      </c>
      <c r="AB15" s="826" t="s">
        <v>132</v>
      </c>
      <c r="AC15" s="877">
        <v>0.6</v>
      </c>
      <c r="AD15" s="876">
        <v>-0.6</v>
      </c>
      <c r="AE15" s="826" t="s">
        <v>132</v>
      </c>
      <c r="AF15" s="877">
        <v>0.6</v>
      </c>
      <c r="AG15" s="876">
        <v>-0.6</v>
      </c>
      <c r="AH15" s="826" t="s">
        <v>132</v>
      </c>
      <c r="AI15" s="877">
        <v>0.6</v>
      </c>
      <c r="AJ15" s="876">
        <v>-0.6</v>
      </c>
      <c r="AK15" s="826" t="s">
        <v>132</v>
      </c>
      <c r="AL15" s="877">
        <v>0.6</v>
      </c>
      <c r="AM15" s="876">
        <v>-0.6</v>
      </c>
      <c r="AN15" s="826" t="s">
        <v>132</v>
      </c>
      <c r="AO15" s="877">
        <v>0.6</v>
      </c>
      <c r="AP15" s="876">
        <v>-0.6</v>
      </c>
      <c r="AQ15" s="826" t="s">
        <v>132</v>
      </c>
      <c r="AR15" s="877">
        <v>0.6</v>
      </c>
      <c r="AS15" s="876">
        <v>-0.6</v>
      </c>
      <c r="AT15" s="826" t="s">
        <v>132</v>
      </c>
      <c r="AU15" s="877">
        <v>0.6</v>
      </c>
      <c r="AV15" s="876">
        <v>-0.6</v>
      </c>
      <c r="AW15" s="826" t="s">
        <v>132</v>
      </c>
      <c r="AX15" s="877">
        <v>0.6</v>
      </c>
      <c r="AY15" s="876">
        <v>-0.6</v>
      </c>
      <c r="AZ15" s="826" t="s">
        <v>132</v>
      </c>
      <c r="BA15" s="877">
        <v>0.6</v>
      </c>
      <c r="BB15" s="876">
        <v>-0.6</v>
      </c>
      <c r="BC15" s="826" t="s">
        <v>132</v>
      </c>
      <c r="BD15" s="877">
        <v>0.6</v>
      </c>
      <c r="BE15" s="876">
        <v>-0.6</v>
      </c>
      <c r="BF15" s="826" t="s">
        <v>132</v>
      </c>
      <c r="BG15" s="877">
        <v>0.6</v>
      </c>
      <c r="BH15" s="876">
        <v>-0.6</v>
      </c>
      <c r="BI15" s="826" t="s">
        <v>132</v>
      </c>
      <c r="BJ15" s="877">
        <v>0.6</v>
      </c>
      <c r="BK15" s="876">
        <v>-0.6</v>
      </c>
      <c r="BL15" s="826" t="s">
        <v>132</v>
      </c>
      <c r="BM15" s="877">
        <v>0.6</v>
      </c>
      <c r="BN15" s="841"/>
    </row>
    <row r="16">
      <c r="A16" s="63"/>
      <c r="B16" s="64"/>
      <c r="C16" s="420"/>
      <c r="D16" s="64"/>
      <c r="E16" s="625" t="s">
        <v>557</v>
      </c>
      <c r="F16" s="878">
        <v>-0.45</v>
      </c>
      <c r="G16" s="863" t="s">
        <v>132</v>
      </c>
      <c r="H16" s="879">
        <v>0.45</v>
      </c>
      <c r="I16" s="878">
        <v>-0.45</v>
      </c>
      <c r="J16" s="863" t="s">
        <v>132</v>
      </c>
      <c r="K16" s="879">
        <v>0.45</v>
      </c>
      <c r="L16" s="878">
        <v>-0.45</v>
      </c>
      <c r="M16" s="863" t="s">
        <v>132</v>
      </c>
      <c r="N16" s="879">
        <v>0.45</v>
      </c>
      <c r="O16" s="880" t="s">
        <v>132</v>
      </c>
      <c r="P16" s="868" t="s">
        <v>132</v>
      </c>
      <c r="Q16" s="881" t="s">
        <v>132</v>
      </c>
      <c r="R16" s="880" t="s">
        <v>132</v>
      </c>
      <c r="S16" s="868" t="s">
        <v>132</v>
      </c>
      <c r="T16" s="881" t="s">
        <v>132</v>
      </c>
      <c r="U16" s="880" t="s">
        <v>132</v>
      </c>
      <c r="V16" s="868" t="s">
        <v>132</v>
      </c>
      <c r="W16" s="881" t="s">
        <v>132</v>
      </c>
      <c r="X16" s="880" t="s">
        <v>132</v>
      </c>
      <c r="Y16" s="868" t="s">
        <v>132</v>
      </c>
      <c r="Z16" s="881" t="s">
        <v>132</v>
      </c>
      <c r="AA16" s="878">
        <v>-0.45</v>
      </c>
      <c r="AB16" s="863" t="s">
        <v>132</v>
      </c>
      <c r="AC16" s="879">
        <v>0.45</v>
      </c>
      <c r="AD16" s="878">
        <v>-0.45</v>
      </c>
      <c r="AE16" s="863" t="s">
        <v>132</v>
      </c>
      <c r="AF16" s="879">
        <v>0.45</v>
      </c>
      <c r="AG16" s="878">
        <v>-0.45</v>
      </c>
      <c r="AH16" s="863" t="s">
        <v>132</v>
      </c>
      <c r="AI16" s="879">
        <v>0.45</v>
      </c>
      <c r="AJ16" s="878">
        <v>-0.45</v>
      </c>
      <c r="AK16" s="863" t="s">
        <v>132</v>
      </c>
      <c r="AL16" s="879">
        <v>0.45</v>
      </c>
      <c r="AM16" s="878">
        <v>-0.45</v>
      </c>
      <c r="AN16" s="863" t="s">
        <v>132</v>
      </c>
      <c r="AO16" s="879">
        <v>0.45</v>
      </c>
      <c r="AP16" s="878">
        <v>-0.45</v>
      </c>
      <c r="AQ16" s="863" t="s">
        <v>132</v>
      </c>
      <c r="AR16" s="879">
        <v>0.45</v>
      </c>
      <c r="AS16" s="878">
        <v>-0.45</v>
      </c>
      <c r="AT16" s="863" t="s">
        <v>132</v>
      </c>
      <c r="AU16" s="879">
        <v>0.45</v>
      </c>
      <c r="AV16" s="878">
        <v>-0.45</v>
      </c>
      <c r="AW16" s="863" t="s">
        <v>132</v>
      </c>
      <c r="AX16" s="879">
        <v>0.45</v>
      </c>
      <c r="AY16" s="878">
        <v>-0.45</v>
      </c>
      <c r="AZ16" s="863" t="s">
        <v>132</v>
      </c>
      <c r="BA16" s="879">
        <v>0.45</v>
      </c>
      <c r="BB16" s="878">
        <v>-0.45</v>
      </c>
      <c r="BC16" s="863" t="s">
        <v>132</v>
      </c>
      <c r="BD16" s="879">
        <v>0.45</v>
      </c>
      <c r="BE16" s="878">
        <v>-0.45</v>
      </c>
      <c r="BF16" s="863" t="s">
        <v>132</v>
      </c>
      <c r="BG16" s="879">
        <v>0.45</v>
      </c>
      <c r="BH16" s="878">
        <v>-0.45</v>
      </c>
      <c r="BI16" s="863" t="s">
        <v>132</v>
      </c>
      <c r="BJ16" s="879">
        <v>0.45</v>
      </c>
      <c r="BK16" s="878">
        <v>-0.45</v>
      </c>
      <c r="BL16" s="863" t="s">
        <v>132</v>
      </c>
      <c r="BM16" s="879">
        <v>0.45</v>
      </c>
      <c r="BN16" s="874"/>
    </row>
    <row r="17">
      <c r="A17" s="63"/>
      <c r="B17" s="64"/>
      <c r="C17" s="420"/>
      <c r="D17" s="64"/>
      <c r="E17" s="420"/>
      <c r="F17" s="63"/>
      <c r="G17" s="875"/>
      <c r="H17" s="67"/>
      <c r="I17" s="63"/>
      <c r="J17" s="875"/>
      <c r="K17" s="67"/>
      <c r="L17" s="64"/>
      <c r="M17" s="875"/>
      <c r="N17" s="64"/>
      <c r="O17" s="63"/>
      <c r="P17" s="875"/>
      <c r="Q17" s="67"/>
      <c r="R17" s="63"/>
      <c r="S17" s="875"/>
      <c r="T17" s="67"/>
      <c r="U17" s="63"/>
      <c r="V17" s="875"/>
      <c r="W17" s="67"/>
      <c r="X17" s="63"/>
      <c r="Y17" s="875"/>
      <c r="Z17" s="67"/>
      <c r="AA17" s="63"/>
      <c r="AB17" s="875"/>
      <c r="AC17" s="67"/>
      <c r="AD17" s="63"/>
      <c r="AE17" s="875"/>
      <c r="AF17" s="67"/>
      <c r="AG17" s="63"/>
      <c r="AH17" s="875"/>
      <c r="AI17" s="67"/>
      <c r="AJ17" s="63"/>
      <c r="AK17" s="875"/>
      <c r="AL17" s="67"/>
      <c r="AM17" s="63"/>
      <c r="AN17" s="875"/>
      <c r="AO17" s="67"/>
      <c r="AP17" s="63"/>
      <c r="AQ17" s="875"/>
      <c r="AR17" s="67"/>
      <c r="AS17" s="63"/>
      <c r="AT17" s="875"/>
      <c r="AU17" s="67"/>
      <c r="AV17" s="63"/>
      <c r="AW17" s="875"/>
      <c r="AX17" s="67"/>
      <c r="AY17" s="63"/>
      <c r="AZ17" s="875"/>
      <c r="BA17" s="67"/>
      <c r="BB17" s="63"/>
      <c r="BC17" s="875"/>
      <c r="BD17" s="67"/>
      <c r="BE17" s="64"/>
      <c r="BF17" s="875"/>
      <c r="BG17" s="64"/>
      <c r="BH17" s="63"/>
      <c r="BI17" s="875"/>
      <c r="BJ17" s="67"/>
      <c r="BK17" s="63"/>
      <c r="BL17" s="875"/>
      <c r="BM17" s="67"/>
      <c r="BN17" s="67"/>
    </row>
    <row r="18">
      <c r="A18" s="63"/>
      <c r="B18" s="64"/>
      <c r="C18" s="270" t="s">
        <v>562</v>
      </c>
      <c r="F18" s="63"/>
      <c r="G18" s="875"/>
      <c r="H18" s="67"/>
      <c r="I18" s="63"/>
      <c r="J18" s="875"/>
      <c r="K18" s="67"/>
      <c r="L18" s="64"/>
      <c r="M18" s="875"/>
      <c r="N18" s="64"/>
      <c r="O18" s="63"/>
      <c r="P18" s="875"/>
      <c r="Q18" s="67"/>
      <c r="R18" s="63"/>
      <c r="S18" s="875"/>
      <c r="T18" s="67"/>
      <c r="U18" s="63"/>
      <c r="V18" s="875"/>
      <c r="W18" s="67"/>
      <c r="X18" s="63"/>
      <c r="Y18" s="875"/>
      <c r="Z18" s="67"/>
      <c r="AA18" s="63"/>
      <c r="AB18" s="875"/>
      <c r="AC18" s="67"/>
      <c r="AD18" s="63"/>
      <c r="AE18" s="875"/>
      <c r="AF18" s="67"/>
      <c r="AG18" s="63"/>
      <c r="AH18" s="875"/>
      <c r="AI18" s="67"/>
      <c r="AJ18" s="63"/>
      <c r="AK18" s="875"/>
      <c r="AL18" s="67"/>
      <c r="AM18" s="63"/>
      <c r="AN18" s="875"/>
      <c r="AO18" s="67"/>
      <c r="AP18" s="63"/>
      <c r="AQ18" s="875"/>
      <c r="AR18" s="67"/>
      <c r="AS18" s="63"/>
      <c r="AT18" s="875"/>
      <c r="AU18" s="67"/>
      <c r="AV18" s="63"/>
      <c r="AW18" s="875"/>
      <c r="AX18" s="67"/>
      <c r="AY18" s="63"/>
      <c r="AZ18" s="875"/>
      <c r="BA18" s="67"/>
      <c r="BB18" s="63"/>
      <c r="BC18" s="875"/>
      <c r="BD18" s="67"/>
      <c r="BE18" s="64"/>
      <c r="BF18" s="875"/>
      <c r="BG18" s="64"/>
      <c r="BH18" s="63"/>
      <c r="BI18" s="875"/>
      <c r="BJ18" s="67"/>
      <c r="BK18" s="63"/>
      <c r="BL18" s="875"/>
      <c r="BM18" s="67"/>
      <c r="BN18" s="67"/>
    </row>
    <row r="19">
      <c r="A19" s="63"/>
      <c r="B19" s="64"/>
      <c r="C19" s="420"/>
      <c r="D19" s="64"/>
      <c r="E19" s="775" t="s">
        <v>563</v>
      </c>
      <c r="F19" s="882">
        <v>-0.75</v>
      </c>
      <c r="G19" s="826" t="s">
        <v>132</v>
      </c>
      <c r="H19" s="883">
        <v>0.75</v>
      </c>
      <c r="I19" s="884">
        <v>-0.55</v>
      </c>
      <c r="J19" s="826" t="s">
        <v>132</v>
      </c>
      <c r="K19" s="885">
        <v>0.55</v>
      </c>
      <c r="L19" s="886">
        <v>-0.85</v>
      </c>
      <c r="M19" s="826" t="s">
        <v>132</v>
      </c>
      <c r="N19" s="887">
        <v>0.85</v>
      </c>
      <c r="O19" s="832" t="s">
        <v>132</v>
      </c>
      <c r="P19" s="833" t="s">
        <v>132</v>
      </c>
      <c r="Q19" s="834" t="s">
        <v>132</v>
      </c>
      <c r="R19" s="832" t="s">
        <v>132</v>
      </c>
      <c r="S19" s="833" t="s">
        <v>132</v>
      </c>
      <c r="T19" s="834" t="s">
        <v>132</v>
      </c>
      <c r="U19" s="832" t="s">
        <v>132</v>
      </c>
      <c r="V19" s="833" t="s">
        <v>132</v>
      </c>
      <c r="W19" s="834" t="s">
        <v>132</v>
      </c>
      <c r="X19" s="832" t="s">
        <v>132</v>
      </c>
      <c r="Y19" s="833" t="s">
        <v>132</v>
      </c>
      <c r="Z19" s="834" t="s">
        <v>132</v>
      </c>
      <c r="AA19" s="876">
        <v>-0.6</v>
      </c>
      <c r="AB19" s="826" t="s">
        <v>132</v>
      </c>
      <c r="AC19" s="877">
        <v>0.6</v>
      </c>
      <c r="AD19" s="839">
        <v>-0.35</v>
      </c>
      <c r="AE19" s="826" t="s">
        <v>132</v>
      </c>
      <c r="AF19" s="840">
        <v>0.35</v>
      </c>
      <c r="AG19" s="839">
        <v>-0.35</v>
      </c>
      <c r="AH19" s="826" t="s">
        <v>132</v>
      </c>
      <c r="AI19" s="840">
        <v>0.35</v>
      </c>
      <c r="AJ19" s="839">
        <v>-0.35</v>
      </c>
      <c r="AK19" s="826" t="s">
        <v>132</v>
      </c>
      <c r="AL19" s="840">
        <v>0.35</v>
      </c>
      <c r="AM19" s="839">
        <v>-0.35</v>
      </c>
      <c r="AN19" s="826" t="s">
        <v>132</v>
      </c>
      <c r="AO19" s="840">
        <v>0.35</v>
      </c>
      <c r="AP19" s="839">
        <v>-0.35</v>
      </c>
      <c r="AQ19" s="826" t="s">
        <v>132</v>
      </c>
      <c r="AR19" s="840">
        <v>0.35</v>
      </c>
      <c r="AS19" s="839">
        <v>-0.35</v>
      </c>
      <c r="AT19" s="826" t="s">
        <v>132</v>
      </c>
      <c r="AU19" s="840">
        <v>0.35</v>
      </c>
      <c r="AV19" s="839">
        <v>-0.35</v>
      </c>
      <c r="AW19" s="826" t="s">
        <v>132</v>
      </c>
      <c r="AX19" s="840">
        <v>0.35</v>
      </c>
      <c r="AY19" s="839">
        <v>-0.35</v>
      </c>
      <c r="AZ19" s="826" t="s">
        <v>132</v>
      </c>
      <c r="BA19" s="840">
        <v>0.35</v>
      </c>
      <c r="BB19" s="839">
        <v>-0.35</v>
      </c>
      <c r="BC19" s="826" t="s">
        <v>132</v>
      </c>
      <c r="BD19" s="840">
        <v>0.35</v>
      </c>
      <c r="BE19" s="888">
        <v>-0.4</v>
      </c>
      <c r="BF19" s="826" t="s">
        <v>132</v>
      </c>
      <c r="BG19" s="889">
        <v>0.4</v>
      </c>
      <c r="BH19" s="890">
        <v>-0.45</v>
      </c>
      <c r="BI19" s="826" t="s">
        <v>132</v>
      </c>
      <c r="BJ19" s="891">
        <v>0.45</v>
      </c>
      <c r="BK19" s="876">
        <v>-0.6</v>
      </c>
      <c r="BL19" s="826" t="s">
        <v>132</v>
      </c>
      <c r="BM19" s="877">
        <v>0.6</v>
      </c>
      <c r="BN19" s="841"/>
    </row>
    <row r="20">
      <c r="A20" s="63"/>
      <c r="B20" s="64"/>
      <c r="C20" s="420"/>
      <c r="D20" s="64"/>
      <c r="E20" s="590" t="s">
        <v>564</v>
      </c>
      <c r="F20" s="892">
        <v>0.8</v>
      </c>
      <c r="G20" s="843" t="s">
        <v>132</v>
      </c>
      <c r="H20" s="893">
        <v>-0.8</v>
      </c>
      <c r="I20" s="892">
        <v>0.8</v>
      </c>
      <c r="J20" s="843" t="s">
        <v>132</v>
      </c>
      <c r="K20" s="893">
        <v>-0.8</v>
      </c>
      <c r="L20" s="892">
        <v>0.8</v>
      </c>
      <c r="M20" s="843" t="s">
        <v>132</v>
      </c>
      <c r="N20" s="893">
        <v>-0.8</v>
      </c>
      <c r="O20" s="849" t="s">
        <v>132</v>
      </c>
      <c r="P20" s="850" t="s">
        <v>132</v>
      </c>
      <c r="Q20" s="851" t="s">
        <v>132</v>
      </c>
      <c r="R20" s="849" t="s">
        <v>132</v>
      </c>
      <c r="S20" s="850" t="s">
        <v>132</v>
      </c>
      <c r="T20" s="851" t="s">
        <v>132</v>
      </c>
      <c r="U20" s="849" t="s">
        <v>132</v>
      </c>
      <c r="V20" s="850" t="s">
        <v>132</v>
      </c>
      <c r="W20" s="851" t="s">
        <v>132</v>
      </c>
      <c r="X20" s="849" t="s">
        <v>132</v>
      </c>
      <c r="Y20" s="850" t="s">
        <v>132</v>
      </c>
      <c r="Z20" s="851" t="s">
        <v>132</v>
      </c>
      <c r="AA20" s="892">
        <v>0.8</v>
      </c>
      <c r="AB20" s="843" t="s">
        <v>132</v>
      </c>
      <c r="AC20" s="893">
        <v>-0.8</v>
      </c>
      <c r="AD20" s="892">
        <v>0.8</v>
      </c>
      <c r="AE20" s="843" t="s">
        <v>132</v>
      </c>
      <c r="AF20" s="893">
        <v>-0.8</v>
      </c>
      <c r="AG20" s="892">
        <v>0.8</v>
      </c>
      <c r="AH20" s="843" t="s">
        <v>132</v>
      </c>
      <c r="AI20" s="893">
        <v>-0.8</v>
      </c>
      <c r="AJ20" s="892">
        <v>0.8</v>
      </c>
      <c r="AK20" s="843" t="s">
        <v>132</v>
      </c>
      <c r="AL20" s="893">
        <v>-0.8</v>
      </c>
      <c r="AM20" s="892">
        <v>0.8</v>
      </c>
      <c r="AN20" s="843" t="s">
        <v>132</v>
      </c>
      <c r="AO20" s="893">
        <v>-0.8</v>
      </c>
      <c r="AP20" s="892">
        <v>0.8</v>
      </c>
      <c r="AQ20" s="843" t="s">
        <v>132</v>
      </c>
      <c r="AR20" s="893">
        <v>-0.8</v>
      </c>
      <c r="AS20" s="892">
        <v>0.8</v>
      </c>
      <c r="AT20" s="843" t="s">
        <v>132</v>
      </c>
      <c r="AU20" s="893">
        <v>-0.8</v>
      </c>
      <c r="AV20" s="892">
        <v>0.8</v>
      </c>
      <c r="AW20" s="843" t="s">
        <v>132</v>
      </c>
      <c r="AX20" s="893">
        <v>-0.8</v>
      </c>
      <c r="AY20" s="892">
        <v>0.8</v>
      </c>
      <c r="AZ20" s="843" t="s">
        <v>132</v>
      </c>
      <c r="BA20" s="893">
        <v>-0.8</v>
      </c>
      <c r="BB20" s="892">
        <v>0.8</v>
      </c>
      <c r="BC20" s="843" t="s">
        <v>132</v>
      </c>
      <c r="BD20" s="893">
        <v>-0.8</v>
      </c>
      <c r="BE20" s="892">
        <v>0.8</v>
      </c>
      <c r="BF20" s="843" t="s">
        <v>132</v>
      </c>
      <c r="BG20" s="893">
        <v>-0.8</v>
      </c>
      <c r="BH20" s="892">
        <v>0.8</v>
      </c>
      <c r="BI20" s="843" t="s">
        <v>132</v>
      </c>
      <c r="BJ20" s="893">
        <v>-0.8</v>
      </c>
      <c r="BK20" s="892">
        <v>0.8</v>
      </c>
      <c r="BL20" s="843" t="s">
        <v>132</v>
      </c>
      <c r="BM20" s="893">
        <v>-0.8</v>
      </c>
      <c r="BN20" s="621"/>
    </row>
    <row r="21">
      <c r="A21" s="63"/>
      <c r="B21" s="64"/>
      <c r="C21" s="420"/>
      <c r="D21" s="64"/>
      <c r="E21" s="625" t="s">
        <v>566</v>
      </c>
      <c r="F21" s="894">
        <v>0.5</v>
      </c>
      <c r="G21" s="863" t="s">
        <v>132</v>
      </c>
      <c r="H21" s="895">
        <v>-0.5</v>
      </c>
      <c r="I21" s="896">
        <v>0.6</v>
      </c>
      <c r="J21" s="863" t="s">
        <v>132</v>
      </c>
      <c r="K21" s="897">
        <v>-0.6</v>
      </c>
      <c r="L21" s="898">
        <v>0.7</v>
      </c>
      <c r="M21" s="863" t="s">
        <v>132</v>
      </c>
      <c r="N21" s="899">
        <v>-0.7</v>
      </c>
      <c r="O21" s="867" t="s">
        <v>132</v>
      </c>
      <c r="P21" s="868" t="s">
        <v>132</v>
      </c>
      <c r="Q21" s="869" t="s">
        <v>132</v>
      </c>
      <c r="R21" s="867" t="s">
        <v>132</v>
      </c>
      <c r="S21" s="868" t="s">
        <v>132</v>
      </c>
      <c r="T21" s="869" t="s">
        <v>132</v>
      </c>
      <c r="U21" s="867" t="s">
        <v>132</v>
      </c>
      <c r="V21" s="868" t="s">
        <v>132</v>
      </c>
      <c r="W21" s="869" t="s">
        <v>132</v>
      </c>
      <c r="X21" s="867" t="s">
        <v>132</v>
      </c>
      <c r="Y21" s="868" t="s">
        <v>132</v>
      </c>
      <c r="Z21" s="869" t="s">
        <v>132</v>
      </c>
      <c r="AA21" s="900">
        <v>1.0</v>
      </c>
      <c r="AB21" s="863" t="s">
        <v>132</v>
      </c>
      <c r="AC21" s="901">
        <v>-1.0</v>
      </c>
      <c r="AD21" s="902">
        <v>0.75</v>
      </c>
      <c r="AE21" s="863" t="s">
        <v>132</v>
      </c>
      <c r="AF21" s="903">
        <v>-0.75</v>
      </c>
      <c r="AG21" s="900">
        <v>1.0</v>
      </c>
      <c r="AH21" s="863" t="s">
        <v>132</v>
      </c>
      <c r="AI21" s="901">
        <v>-1.0</v>
      </c>
      <c r="AJ21" s="902">
        <v>0.75</v>
      </c>
      <c r="AK21" s="863" t="s">
        <v>132</v>
      </c>
      <c r="AL21" s="903">
        <v>-0.75</v>
      </c>
      <c r="AM21" s="902">
        <v>0.75</v>
      </c>
      <c r="AN21" s="863" t="s">
        <v>132</v>
      </c>
      <c r="AO21" s="903">
        <v>-0.75</v>
      </c>
      <c r="AP21" s="900">
        <v>1.0</v>
      </c>
      <c r="AQ21" s="863" t="s">
        <v>132</v>
      </c>
      <c r="AR21" s="901">
        <v>-1.0</v>
      </c>
      <c r="AS21" s="902">
        <v>0.75</v>
      </c>
      <c r="AT21" s="863" t="s">
        <v>132</v>
      </c>
      <c r="AU21" s="903">
        <v>-0.75</v>
      </c>
      <c r="AV21" s="896">
        <v>0.6</v>
      </c>
      <c r="AW21" s="863" t="s">
        <v>132</v>
      </c>
      <c r="AX21" s="897">
        <v>-0.6</v>
      </c>
      <c r="AY21" s="902">
        <v>0.75</v>
      </c>
      <c r="AZ21" s="863" t="s">
        <v>132</v>
      </c>
      <c r="BA21" s="903">
        <v>-0.75</v>
      </c>
      <c r="BB21" s="898">
        <v>0.7</v>
      </c>
      <c r="BC21" s="863" t="s">
        <v>132</v>
      </c>
      <c r="BD21" s="899">
        <v>-0.7</v>
      </c>
      <c r="BE21" s="904">
        <v>0.8</v>
      </c>
      <c r="BF21" s="863" t="s">
        <v>132</v>
      </c>
      <c r="BG21" s="905">
        <v>-0.8</v>
      </c>
      <c r="BH21" s="906">
        <v>0.5</v>
      </c>
      <c r="BI21" s="863" t="s">
        <v>132</v>
      </c>
      <c r="BJ21" s="907">
        <v>-0.5</v>
      </c>
      <c r="BK21" s="904">
        <v>0.8</v>
      </c>
      <c r="BL21" s="863" t="s">
        <v>132</v>
      </c>
      <c r="BM21" s="905">
        <v>-0.8</v>
      </c>
      <c r="BN21" s="874"/>
    </row>
    <row r="22">
      <c r="A22" s="63"/>
      <c r="B22" s="64"/>
      <c r="C22" s="420"/>
      <c r="D22" s="64"/>
      <c r="E22" s="420"/>
      <c r="F22" s="63"/>
      <c r="G22" s="64"/>
      <c r="H22" s="67"/>
      <c r="I22" s="63"/>
      <c r="J22" s="64"/>
      <c r="K22" s="67"/>
      <c r="L22" s="64"/>
      <c r="M22" s="64"/>
      <c r="N22" s="64"/>
      <c r="O22" s="63"/>
      <c r="P22" s="758"/>
      <c r="Q22" s="67"/>
      <c r="R22" s="63"/>
      <c r="S22" s="758"/>
      <c r="T22" s="67"/>
      <c r="U22" s="63"/>
      <c r="V22" s="758"/>
      <c r="W22" s="67"/>
      <c r="X22" s="63"/>
      <c r="Y22" s="758"/>
      <c r="Z22" s="67"/>
      <c r="AA22" s="63"/>
      <c r="AB22" s="758"/>
      <c r="AC22" s="67"/>
      <c r="AD22" s="63"/>
      <c r="AE22" s="758"/>
      <c r="AF22" s="67"/>
      <c r="AG22" s="63"/>
      <c r="AH22" s="758"/>
      <c r="AI22" s="67"/>
      <c r="AJ22" s="63"/>
      <c r="AK22" s="758"/>
      <c r="AL22" s="67"/>
      <c r="AM22" s="63"/>
      <c r="AN22" s="758"/>
      <c r="AO22" s="67"/>
      <c r="AP22" s="63"/>
      <c r="AQ22" s="758"/>
      <c r="AR22" s="67"/>
      <c r="AS22" s="63"/>
      <c r="AT22" s="758"/>
      <c r="AU22" s="67"/>
      <c r="AV22" s="63"/>
      <c r="AW22" s="758"/>
      <c r="AX22" s="67"/>
      <c r="AY22" s="63"/>
      <c r="AZ22" s="758"/>
      <c r="BA22" s="67"/>
      <c r="BB22" s="63"/>
      <c r="BC22" s="758"/>
      <c r="BD22" s="67"/>
      <c r="BE22" s="64"/>
      <c r="BF22" s="64"/>
      <c r="BG22" s="64"/>
      <c r="BH22" s="63"/>
      <c r="BI22" s="758"/>
      <c r="BJ22" s="67"/>
      <c r="BK22" s="63"/>
      <c r="BL22" s="758"/>
      <c r="BM22" s="67"/>
      <c r="BN22" s="67"/>
    </row>
    <row r="23">
      <c r="A23" s="817" t="s">
        <v>576</v>
      </c>
      <c r="B23" s="6"/>
      <c r="C23" s="6"/>
      <c r="D23" s="6"/>
      <c r="E23" s="6"/>
      <c r="F23" s="818"/>
      <c r="G23" s="819"/>
      <c r="H23" s="820"/>
      <c r="I23" s="818"/>
      <c r="J23" s="819"/>
      <c r="K23" s="820"/>
      <c r="L23" s="819"/>
      <c r="M23" s="819"/>
      <c r="N23" s="819"/>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818"/>
      <c r="AQ23" s="819"/>
      <c r="AR23" s="820"/>
      <c r="AS23" s="818"/>
      <c r="AT23" s="819"/>
      <c r="AU23" s="820"/>
      <c r="AV23" s="818"/>
      <c r="AW23" s="819"/>
      <c r="AX23" s="820"/>
      <c r="AY23" s="818"/>
      <c r="AZ23" s="819"/>
      <c r="BA23" s="820"/>
      <c r="BB23" s="818"/>
      <c r="BC23" s="819"/>
      <c r="BD23" s="820"/>
      <c r="BE23" s="819"/>
      <c r="BF23" s="819"/>
      <c r="BG23" s="819"/>
      <c r="BH23" s="818"/>
      <c r="BI23" s="819"/>
      <c r="BJ23" s="820"/>
      <c r="BK23" s="818"/>
      <c r="BL23" s="819"/>
      <c r="BM23" s="820"/>
      <c r="BN23" s="820"/>
    </row>
    <row r="24">
      <c r="A24" s="63"/>
      <c r="B24" s="64"/>
      <c r="C24" s="64"/>
      <c r="D24" s="64"/>
      <c r="E24" s="64"/>
      <c r="F24" s="63"/>
      <c r="G24" s="64"/>
      <c r="H24" s="67"/>
      <c r="I24" s="63"/>
      <c r="J24" s="64"/>
      <c r="K24" s="67"/>
      <c r="L24" s="64"/>
      <c r="M24" s="64"/>
      <c r="N24" s="64"/>
      <c r="O24" s="63"/>
      <c r="P24" s="64"/>
      <c r="Q24" s="67"/>
      <c r="R24" s="63"/>
      <c r="S24" s="64"/>
      <c r="T24" s="67"/>
      <c r="U24" s="63"/>
      <c r="V24" s="64"/>
      <c r="W24" s="67"/>
      <c r="X24" s="63"/>
      <c r="Y24" s="64"/>
      <c r="Z24" s="67"/>
      <c r="AA24" s="63"/>
      <c r="AB24" s="64"/>
      <c r="AC24" s="67"/>
      <c r="AD24" s="63"/>
      <c r="AE24" s="64"/>
      <c r="AF24" s="67"/>
      <c r="AG24" s="63"/>
      <c r="AH24" s="64"/>
      <c r="AI24" s="67"/>
      <c r="AJ24" s="63"/>
      <c r="AK24" s="64"/>
      <c r="AL24" s="67"/>
      <c r="AM24" s="63"/>
      <c r="AN24" s="64"/>
      <c r="AO24" s="67"/>
      <c r="AP24" s="63"/>
      <c r="AQ24" s="64"/>
      <c r="AR24" s="67"/>
      <c r="AS24" s="63"/>
      <c r="AT24" s="64"/>
      <c r="AU24" s="67"/>
      <c r="AV24" s="63"/>
      <c r="AW24" s="64"/>
      <c r="AX24" s="67"/>
      <c r="AY24" s="63"/>
      <c r="AZ24" s="64"/>
      <c r="BA24" s="67"/>
      <c r="BB24" s="63"/>
      <c r="BC24" s="64"/>
      <c r="BD24" s="67"/>
      <c r="BE24" s="64"/>
      <c r="BF24" s="64"/>
      <c r="BG24" s="64"/>
      <c r="BH24" s="63"/>
      <c r="BI24" s="64"/>
      <c r="BJ24" s="67"/>
      <c r="BK24" s="63"/>
      <c r="BL24" s="64"/>
      <c r="BM24" s="67"/>
      <c r="BN24" s="67"/>
    </row>
    <row r="25">
      <c r="A25" s="63"/>
      <c r="B25" s="64"/>
      <c r="C25" s="270" t="s">
        <v>542</v>
      </c>
      <c r="F25" s="822"/>
      <c r="G25" s="823"/>
      <c r="H25" s="824"/>
      <c r="I25" s="822"/>
      <c r="J25" s="823"/>
      <c r="K25" s="824"/>
      <c r="L25" s="823"/>
      <c r="M25" s="823"/>
      <c r="N25" s="823"/>
      <c r="O25" s="822"/>
      <c r="P25" s="823"/>
      <c r="Q25" s="824"/>
      <c r="R25" s="822"/>
      <c r="S25" s="823"/>
      <c r="T25" s="824"/>
      <c r="U25" s="822"/>
      <c r="V25" s="823"/>
      <c r="W25" s="824"/>
      <c r="X25" s="822"/>
      <c r="Y25" s="823"/>
      <c r="Z25" s="824"/>
      <c r="AA25" s="822"/>
      <c r="AB25" s="823"/>
      <c r="AC25" s="824"/>
      <c r="AD25" s="822"/>
      <c r="AE25" s="823"/>
      <c r="AF25" s="824"/>
      <c r="AG25" s="822"/>
      <c r="AH25" s="823"/>
      <c r="AI25" s="824"/>
      <c r="AJ25" s="822"/>
      <c r="AK25" s="823"/>
      <c r="AL25" s="824"/>
      <c r="AM25" s="822"/>
      <c r="AN25" s="823"/>
      <c r="AO25" s="824"/>
      <c r="AP25" s="822"/>
      <c r="AQ25" s="823"/>
      <c r="AR25" s="824"/>
      <c r="AS25" s="822"/>
      <c r="AT25" s="823"/>
      <c r="AU25" s="824"/>
      <c r="AV25" s="822"/>
      <c r="AW25" s="823"/>
      <c r="AX25" s="824"/>
      <c r="AY25" s="822"/>
      <c r="AZ25" s="823"/>
      <c r="BA25" s="824"/>
      <c r="BB25" s="822"/>
      <c r="BC25" s="823"/>
      <c r="BD25" s="824"/>
      <c r="BE25" s="823"/>
      <c r="BF25" s="823"/>
      <c r="BG25" s="823"/>
      <c r="BH25" s="822"/>
      <c r="BI25" s="823"/>
      <c r="BJ25" s="824"/>
      <c r="BK25" s="822"/>
      <c r="BL25" s="823"/>
      <c r="BM25" s="824"/>
      <c r="BN25" s="67"/>
    </row>
    <row r="26">
      <c r="A26" s="63"/>
      <c r="B26" s="64"/>
      <c r="C26" s="420"/>
      <c r="D26" s="64"/>
      <c r="E26" s="775" t="s">
        <v>543</v>
      </c>
      <c r="F26" s="908">
        <f t="shared" ref="F26:F29" si="1">G26*(1+F9)</f>
        <v>5.69956124</v>
      </c>
      <c r="G26" s="909">
        <f t="array" ref="G26">IF(F$3="",INDEX('Simple CEA'!$H$7:$AB$39,MATCH($E26,'Simple CEA'!$E$7:$E$39,0),MATCH(F$2,'Simple CEA'!$H$2:$AB$2,0)),INDEX('Simple CEA'!$H$7:$AB$39,MATCH($E26,'Simple CEA'!$E$7:$E$39,0),MATCH(F$3,'Simple CEA'!$H$3:$AB$3,0)))</f>
        <v>6.332845822</v>
      </c>
      <c r="H26" s="910">
        <f t="shared" ref="H26:H29" si="2">G26*(1+H9)</f>
        <v>6.966130404</v>
      </c>
      <c r="I26" s="908">
        <f t="shared" ref="I26:I29" si="3">J26*(1+I9)</f>
        <v>5.611905238</v>
      </c>
      <c r="J26" s="909">
        <f t="array" ref="J26">IF(I$3="",INDEX('Simple CEA'!$H$7:$AB$39,MATCH($E26,'Simple CEA'!$E$7:$E$39,0),MATCH(I$2,'Simple CEA'!$H$2:$AB$2,0)),INDEX('Simple CEA'!$H$7:$AB$39,MATCH($E26,'Simple CEA'!$E$7:$E$39,0),MATCH(I$3,'Simple CEA'!$H$3:$AB$3,0)))</f>
        <v>7.014881547</v>
      </c>
      <c r="K26" s="910">
        <f t="shared" ref="K26:K29" si="4">J26*(1+K9)</f>
        <v>8.417857857</v>
      </c>
      <c r="L26" s="908">
        <f t="shared" ref="L26:L29" si="5">M26*(1+L9)</f>
        <v>6.869837749</v>
      </c>
      <c r="M26" s="909">
        <f t="array" ref="M26">IF(L$3="",INDEX('Simple CEA'!$H$7:$AB$39,MATCH($E26,'Simple CEA'!$E$7:$E$39,0),MATCH(L$2,'Simple CEA'!$H$2:$AB$2,0)),INDEX('Simple CEA'!$H$7:$AB$39,MATCH($E26,'Simple CEA'!$E$7:$E$39,0),MATCH(L$3,'Simple CEA'!$H$3:$AB$3,0)))</f>
        <v>11.44972958</v>
      </c>
      <c r="N26" s="910">
        <f t="shared" ref="N26:N29" si="6">M26*(1+N9)</f>
        <v>16.02962141</v>
      </c>
      <c r="O26" s="908" t="s">
        <v>132</v>
      </c>
      <c r="P26" s="826" t="s">
        <v>132</v>
      </c>
      <c r="Q26" s="910" t="s">
        <v>132</v>
      </c>
      <c r="R26" s="908" t="s">
        <v>132</v>
      </c>
      <c r="S26" s="826" t="s">
        <v>132</v>
      </c>
      <c r="T26" s="910" t="s">
        <v>132</v>
      </c>
      <c r="U26" s="908" t="s">
        <v>132</v>
      </c>
      <c r="V26" s="826" t="s">
        <v>132</v>
      </c>
      <c r="W26" s="910" t="s">
        <v>132</v>
      </c>
      <c r="X26" s="908" t="s">
        <v>132</v>
      </c>
      <c r="Y26" s="826" t="s">
        <v>132</v>
      </c>
      <c r="Z26" s="910" t="s">
        <v>132</v>
      </c>
      <c r="AA26" s="908">
        <f t="shared" ref="AA26:AA29" si="7">AB26*(1+AA9)</f>
        <v>5.192738067</v>
      </c>
      <c r="AB26" s="909">
        <f t="array" ref="AB26">IF(AA$3="",INDEX('Simple CEA'!$H$7:$AB$39,MATCH($E26,'Simple CEA'!$E$7:$E$39,0),MATCH(AA$2,'Simple CEA'!$H$2:$AB$2,0)),INDEX('Simple CEA'!$H$7:$AB$39,MATCH($E26,'Simple CEA'!$E$7:$E$39,0),MATCH(AA$3,'Simple CEA'!$H$3:$AB$3,0)))</f>
        <v>7.418197238</v>
      </c>
      <c r="AC26" s="910">
        <f t="shared" ref="AC26:AC29" si="8">AB26*(1+AC9)</f>
        <v>9.64365641</v>
      </c>
      <c r="AD26" s="908">
        <f t="shared" ref="AD26:AD29" si="9">AE26*(1+AD9)</f>
        <v>2.796587418</v>
      </c>
      <c r="AE26" s="909">
        <f t="array" ref="AE26">IF(AD$3="",INDEX('Simple CEA'!$H$7:$AB$39,MATCH($E26,'Simple CEA'!$E$7:$E$39,0),MATCH(AD$2,'Simple CEA'!$H$2:$AB$2,0)),INDEX('Simple CEA'!$H$7:$AB$39,MATCH($E26,'Simple CEA'!$E$7:$E$39,0),MATCH(AD$3,'Simple CEA'!$H$3:$AB$3,0)))</f>
        <v>3.995124883</v>
      </c>
      <c r="AF26" s="910">
        <f t="shared" ref="AF26:AF29" si="10">AE26*(1+AF9)</f>
        <v>5.193662348</v>
      </c>
      <c r="AG26" s="908">
        <f t="shared" ref="AG26:AG29" si="11">AH26*(1+AG9)</f>
        <v>1.849881589</v>
      </c>
      <c r="AH26" s="909">
        <f t="array" ref="AH26">IF(AG$3="",INDEX('Simple CEA'!$H$7:$AB$39,MATCH($E26,'Simple CEA'!$E$7:$E$39,0),MATCH(AG$2,'Simple CEA'!$H$2:$AB$2,0)),INDEX('Simple CEA'!$H$7:$AB$39,MATCH($E26,'Simple CEA'!$E$7:$E$39,0),MATCH(AG$3,'Simple CEA'!$H$3:$AB$3,0)))</f>
        <v>2.642687984</v>
      </c>
      <c r="AI26" s="910">
        <f t="shared" ref="AI26:AI29" si="12">AH26*(1+AI9)</f>
        <v>3.43549438</v>
      </c>
      <c r="AJ26" s="908">
        <f t="shared" ref="AJ26:AJ29" si="13">AK26*(1+AJ9)</f>
        <v>4.751788206</v>
      </c>
      <c r="AK26" s="909">
        <f t="array" ref="AK26">IF(AJ$3="",INDEX('Simple CEA'!$H$7:$AB$39,MATCH($E26,'Simple CEA'!$E$7:$E$39,0),MATCH(AJ$2,'Simple CEA'!$H$2:$AB$2,0)),INDEX('Simple CEA'!$H$7:$AB$39,MATCH($E26,'Simple CEA'!$E$7:$E$39,0),MATCH(AJ$3,'Simple CEA'!$H$3:$AB$3,0)))</f>
        <v>6.788268865</v>
      </c>
      <c r="AL26" s="910">
        <f t="shared" ref="AL26:AL29" si="14">AK26*(1+AL9)</f>
        <v>8.824749525</v>
      </c>
      <c r="AM26" s="908">
        <f t="shared" ref="AM26:AM29" si="15">AN26*(1+AM9)</f>
        <v>2.825555895</v>
      </c>
      <c r="AN26" s="909">
        <f t="array" ref="AN26">IF(AM$3="",INDEX('Simple CEA'!$H$7:$AB$39,MATCH($E26,'Simple CEA'!$E$7:$E$39,0),MATCH(AM$2,'Simple CEA'!$H$2:$AB$2,0)),INDEX('Simple CEA'!$H$7:$AB$39,MATCH($E26,'Simple CEA'!$E$7:$E$39,0),MATCH(AM$3,'Simple CEA'!$H$3:$AB$3,0)))</f>
        <v>4.036508421</v>
      </c>
      <c r="AO26" s="910">
        <f t="shared" ref="AO26:AO29" si="16">AN26*(1+AO9)</f>
        <v>5.247460947</v>
      </c>
      <c r="AP26" s="908">
        <f t="shared" ref="AP26:AP29" si="17">AQ26*(1+AP9)</f>
        <v>4.263431358</v>
      </c>
      <c r="AQ26" s="909">
        <f t="array" ref="AQ26">IF(AP$3="",INDEX('Simple CEA'!$H$7:$AB$39,MATCH($E26,'Simple CEA'!$E$7:$E$39,0),MATCH(AP$2,'Simple CEA'!$H$2:$AB$2,0)),INDEX('Simple CEA'!$H$7:$AB$39,MATCH($E26,'Simple CEA'!$E$7:$E$39,0),MATCH(AP$3,'Simple CEA'!$H$3:$AB$3,0)))</f>
        <v>6.090616225</v>
      </c>
      <c r="AR26" s="910">
        <f t="shared" ref="AR26:AR29" si="18">AQ26*(1+AR9)</f>
        <v>7.917801093</v>
      </c>
      <c r="AS26" s="908">
        <f t="shared" ref="AS26:AS29" si="19">AT26*(1+AS9)</f>
        <v>3.605112301</v>
      </c>
      <c r="AT26" s="909">
        <f t="array" ref="AT26">IF(AS$3="",INDEX('Simple CEA'!$H$7:$AB$39,MATCH($E26,'Simple CEA'!$E$7:$E$39,0),MATCH(AS$2,'Simple CEA'!$H$2:$AB$2,0)),INDEX('Simple CEA'!$H$7:$AB$39,MATCH($E26,'Simple CEA'!$E$7:$E$39,0),MATCH(AS$3,'Simple CEA'!$H$3:$AB$3,0)))</f>
        <v>5.15016043</v>
      </c>
      <c r="AU26" s="910">
        <f t="shared" ref="AU26:AU29" si="20">AT26*(1+AU9)</f>
        <v>6.69520856</v>
      </c>
      <c r="AV26" s="908">
        <f t="shared" ref="AV26:AV29" si="21">AW26*(1+AV9)</f>
        <v>5.662221993</v>
      </c>
      <c r="AW26" s="909">
        <f t="array" ref="AW26">IF(AV$3="",INDEX('Simple CEA'!$H$7:$AB$39,MATCH($E26,'Simple CEA'!$E$7:$E$39,0),MATCH(AV$2,'Simple CEA'!$H$2:$AB$2,0)),INDEX('Simple CEA'!$H$7:$AB$39,MATCH($E26,'Simple CEA'!$E$7:$E$39,0),MATCH(AV$3,'Simple CEA'!$H$3:$AB$3,0)))</f>
        <v>8.088888562</v>
      </c>
      <c r="AX26" s="910">
        <f t="shared" ref="AX26:AX29" si="22">AW26*(1+AX9)</f>
        <v>10.51555513</v>
      </c>
      <c r="AY26" s="908">
        <f t="shared" ref="AY26:AY29" si="23">AZ26*(1+AY9)</f>
        <v>3.901632787</v>
      </c>
      <c r="AZ26" s="909">
        <f t="array" ref="AZ26">IF(AY$3="",INDEX('Simple CEA'!$H$7:$AB$39,MATCH($E26,'Simple CEA'!$E$7:$E$39,0),MATCH(AY$2,'Simple CEA'!$H$2:$AB$2,0)),INDEX('Simple CEA'!$H$7:$AB$39,MATCH($E26,'Simple CEA'!$E$7:$E$39,0),MATCH(AY$3,'Simple CEA'!$H$3:$AB$3,0)))</f>
        <v>5.573761124</v>
      </c>
      <c r="BA26" s="910">
        <f t="shared" ref="BA26:BA29" si="24">AZ26*(1+BA9)</f>
        <v>7.245889461</v>
      </c>
      <c r="BB26" s="908">
        <f t="shared" ref="BB26:BB29" si="25">BC26*(1+BB9)</f>
        <v>2.484212647</v>
      </c>
      <c r="BC26" s="909">
        <f t="array" ref="BC26">IF(BB$3="",INDEX('Simple CEA'!$H$7:$AB$39,MATCH($E26,'Simple CEA'!$E$7:$E$39,0),MATCH(BB$2,'Simple CEA'!$H$2:$AB$2,0)),INDEX('Simple CEA'!$H$7:$AB$39,MATCH($E26,'Simple CEA'!$E$7:$E$39,0),MATCH(BB$3,'Simple CEA'!$H$3:$AB$3,0)))</f>
        <v>3.54887521</v>
      </c>
      <c r="BD26" s="910">
        <f t="shared" ref="BD26:BD29" si="26">BC26*(1+BD9)</f>
        <v>4.613537773</v>
      </c>
      <c r="BE26" s="908">
        <f t="shared" ref="BE26:BE29" si="27">BF26*(1+BE9)</f>
        <v>15.90327202</v>
      </c>
      <c r="BF26" s="909">
        <f t="array" ref="BF26">IF(BE$3="",INDEX('Simple CEA'!$H$7:$AB$39,MATCH($E26,'Simple CEA'!$E$7:$E$39,0),MATCH(BE$2,'Simple CEA'!$H$2:$AB$2,0)),INDEX('Simple CEA'!$H$7:$AB$39,MATCH($E26,'Simple CEA'!$E$7:$E$39,0),MATCH(BE$3,'Simple CEA'!$H$3:$AB$3,0)))</f>
        <v>21.20436269</v>
      </c>
      <c r="BG26" s="910">
        <f t="shared" ref="BG26:BG29" si="28">BF26*(1+BG9)</f>
        <v>26.50545337</v>
      </c>
      <c r="BH26" s="908">
        <f t="shared" ref="BH26:BH29" si="29">BI26*(1+BH9)</f>
        <v>5.81867092</v>
      </c>
      <c r="BI26" s="909">
        <f t="array" ref="BI26">IF(BH$3="",INDEX('Simple CEA'!$H$7:$AB$39,MATCH($E26,'Simple CEA'!$E$7:$E$39,0),MATCH(BH$2,'Simple CEA'!$H$2:$AB$2,0)),INDEX('Simple CEA'!$H$7:$AB$39,MATCH($E26,'Simple CEA'!$E$7:$E$39,0),MATCH(BH$3,'Simple CEA'!$H$3:$AB$3,0)))</f>
        <v>7.27333865</v>
      </c>
      <c r="BJ26" s="910">
        <f t="shared" ref="BJ26:BJ29" si="30">BI26*(1+BJ9)</f>
        <v>8.72800638</v>
      </c>
      <c r="BK26" s="908">
        <f t="shared" ref="BK26:BK29" si="31">BL26*(1+BK9)</f>
        <v>5.763696611</v>
      </c>
      <c r="BL26" s="909">
        <f t="array" ref="BL26">IF(BK$3="",INDEX('Simple CEA'!$H$7:$AB$39,MATCH($E26,'Simple CEA'!$E$7:$E$39,0),MATCH(BK$2,'Simple CEA'!$H$2:$AB$2,0)),INDEX('Simple CEA'!$H$7:$AB$39,MATCH($E26,'Simple CEA'!$E$7:$E$39,0),MATCH(BK$3,'Simple CEA'!$H$3:$AB$3,0)))</f>
        <v>8.867225555</v>
      </c>
      <c r="BM26" s="910">
        <f t="shared" ref="BM26:BM29" si="32">BL26*(1+BM9)</f>
        <v>11.9707545</v>
      </c>
      <c r="BN26" s="841"/>
    </row>
    <row r="27">
      <c r="A27" s="63"/>
      <c r="B27" s="64"/>
      <c r="C27" s="420"/>
      <c r="D27" s="64"/>
      <c r="E27" s="590" t="s">
        <v>547</v>
      </c>
      <c r="F27" s="911">
        <f t="shared" si="1"/>
        <v>0.002374163318</v>
      </c>
      <c r="G27" s="912">
        <f t="array" ref="G27">IF(F$3="",INDEX('Simple CEA'!$H$7:$AB$39,MATCH($E27,'Simple CEA'!$E$7:$E$39,0),MATCH(F$2,'Simple CEA'!$H$2:$AB$2,0)),INDEX('Simple CEA'!$H$7:$AB$39,MATCH($E27,'Simple CEA'!$E$7:$E$39,0),MATCH(F$3,'Simple CEA'!$H$3:$AB$3,0)))</f>
        <v>0.004748326636</v>
      </c>
      <c r="H27" s="913">
        <f t="shared" si="2"/>
        <v>0.007122489955</v>
      </c>
      <c r="I27" s="911">
        <f t="shared" si="3"/>
        <v>0.001436620638</v>
      </c>
      <c r="J27" s="912">
        <f t="array" ref="J27">IF(I$3="",INDEX('Simple CEA'!$H$7:$AB$39,MATCH($E27,'Simple CEA'!$E$7:$E$39,0),MATCH(I$2,'Simple CEA'!$H$2:$AB$2,0)),INDEX('Simple CEA'!$H$7:$AB$39,MATCH($E27,'Simple CEA'!$E$7:$E$39,0),MATCH(I$3,'Simple CEA'!$H$3:$AB$3,0)))</f>
        <v>0.004788735461</v>
      </c>
      <c r="K27" s="913">
        <f t="shared" si="4"/>
        <v>0.008140850284</v>
      </c>
      <c r="L27" s="911">
        <f t="shared" si="5"/>
        <v>0.001688843165</v>
      </c>
      <c r="M27" s="912">
        <f t="array" ref="M27">IF(L$3="",INDEX('Simple CEA'!$H$7:$AB$39,MATCH($E27,'Simple CEA'!$E$7:$E$39,0),MATCH(L$2,'Simple CEA'!$H$2:$AB$2,0)),INDEX('Simple CEA'!$H$7:$AB$39,MATCH($E27,'Simple CEA'!$E$7:$E$39,0),MATCH(L$3,'Simple CEA'!$H$3:$AB$3,0)))</f>
        <v>0.004222107914</v>
      </c>
      <c r="N27" s="913">
        <f t="shared" si="6"/>
        <v>0.006755372662</v>
      </c>
      <c r="O27" s="914" t="s">
        <v>132</v>
      </c>
      <c r="P27" s="843" t="s">
        <v>132</v>
      </c>
      <c r="Q27" s="915" t="s">
        <v>132</v>
      </c>
      <c r="R27" s="914" t="s">
        <v>132</v>
      </c>
      <c r="S27" s="843" t="s">
        <v>132</v>
      </c>
      <c r="T27" s="915" t="s">
        <v>132</v>
      </c>
      <c r="U27" s="914" t="s">
        <v>132</v>
      </c>
      <c r="V27" s="843" t="s">
        <v>132</v>
      </c>
      <c r="W27" s="915" t="s">
        <v>132</v>
      </c>
      <c r="X27" s="914" t="s">
        <v>132</v>
      </c>
      <c r="Y27" s="843" t="s">
        <v>132</v>
      </c>
      <c r="Z27" s="915" t="s">
        <v>132</v>
      </c>
      <c r="AA27" s="911">
        <f t="shared" si="7"/>
        <v>0.002337234762</v>
      </c>
      <c r="AB27" s="912">
        <f t="array" ref="AB27">IF(AA$3="",INDEX('Simple CEA'!$H$7:$AB$39,MATCH($E27,'Simple CEA'!$E$7:$E$39,0),MATCH(AA$2,'Simple CEA'!$H$2:$AB$2,0)),INDEX('Simple CEA'!$H$7:$AB$39,MATCH($E27,'Simple CEA'!$E$7:$E$39,0),MATCH(AA$3,'Simple CEA'!$H$3:$AB$3,0)))</f>
        <v>0.004674469524</v>
      </c>
      <c r="AC27" s="913">
        <f t="shared" si="8"/>
        <v>0.007011704285</v>
      </c>
      <c r="AD27" s="911">
        <f t="shared" si="9"/>
        <v>0.002829194413</v>
      </c>
      <c r="AE27" s="912">
        <f t="array" ref="AE27">IF(AD$3="",INDEX('Simple CEA'!$H$7:$AB$39,MATCH($E27,'Simple CEA'!$E$7:$E$39,0),MATCH(AD$2,'Simple CEA'!$H$2:$AB$2,0)),INDEX('Simple CEA'!$H$7:$AB$39,MATCH($E27,'Simple CEA'!$E$7:$E$39,0),MATCH(AD$3,'Simple CEA'!$H$3:$AB$3,0)))</f>
        <v>0.008083412609</v>
      </c>
      <c r="AF27" s="913">
        <f t="shared" si="10"/>
        <v>0.01333763081</v>
      </c>
      <c r="AG27" s="911">
        <f t="shared" si="11"/>
        <v>0.00249301749</v>
      </c>
      <c r="AH27" s="912">
        <f t="array" ref="AH27">IF(AG$3="",INDEX('Simple CEA'!$H$7:$AB$39,MATCH($E27,'Simple CEA'!$E$7:$E$39,0),MATCH(AG$2,'Simple CEA'!$H$2:$AB$2,0)),INDEX('Simple CEA'!$H$7:$AB$39,MATCH($E27,'Simple CEA'!$E$7:$E$39,0),MATCH(AG$3,'Simple CEA'!$H$3:$AB$3,0)))</f>
        <v>0.004986034981</v>
      </c>
      <c r="AI27" s="913">
        <f t="shared" si="12"/>
        <v>0.007479052471</v>
      </c>
      <c r="AJ27" s="911">
        <f t="shared" si="13"/>
        <v>0.001547044624</v>
      </c>
      <c r="AK27" s="912">
        <f t="array" ref="AK27">IF(AJ$3="",INDEX('Simple CEA'!$H$7:$AB$39,MATCH($E27,'Simple CEA'!$E$7:$E$39,0),MATCH(AJ$2,'Simple CEA'!$H$2:$AB$2,0)),INDEX('Simple CEA'!$H$7:$AB$39,MATCH($E27,'Simple CEA'!$E$7:$E$39,0),MATCH(AJ$3,'Simple CEA'!$H$3:$AB$3,0)))</f>
        <v>0.003094089249</v>
      </c>
      <c r="AL27" s="913">
        <f t="shared" si="14"/>
        <v>0.004641133873</v>
      </c>
      <c r="AM27" s="911">
        <f t="shared" si="15"/>
        <v>0.005150021555</v>
      </c>
      <c r="AN27" s="912">
        <f t="array" ref="AN27">IF(AM$3="",INDEX('Simple CEA'!$H$7:$AB$39,MATCH($E27,'Simple CEA'!$E$7:$E$39,0),MATCH(AM$2,'Simple CEA'!$H$2:$AB$2,0)),INDEX('Simple CEA'!$H$7:$AB$39,MATCH($E27,'Simple CEA'!$E$7:$E$39,0),MATCH(AM$3,'Simple CEA'!$H$3:$AB$3,0)))</f>
        <v>0.01030004311</v>
      </c>
      <c r="AO27" s="913">
        <f t="shared" si="16"/>
        <v>0.01545006467</v>
      </c>
      <c r="AP27" s="911">
        <f t="shared" si="17"/>
        <v>0.002551201168</v>
      </c>
      <c r="AQ27" s="912">
        <f t="array" ref="AQ27">IF(AP$3="",INDEX('Simple CEA'!$H$7:$AB$39,MATCH($E27,'Simple CEA'!$E$7:$E$39,0),MATCH(AP$2,'Simple CEA'!$H$2:$AB$2,0)),INDEX('Simple CEA'!$H$7:$AB$39,MATCH($E27,'Simple CEA'!$E$7:$E$39,0),MATCH(AP$3,'Simple CEA'!$H$3:$AB$3,0)))</f>
        <v>0.005102402336</v>
      </c>
      <c r="AR27" s="913">
        <f t="shared" si="18"/>
        <v>0.007653603504</v>
      </c>
      <c r="AS27" s="911">
        <f t="shared" si="19"/>
        <v>0.002513304654</v>
      </c>
      <c r="AT27" s="912">
        <f t="array" ref="AT27">IF(AS$3="",INDEX('Simple CEA'!$H$7:$AB$39,MATCH($E27,'Simple CEA'!$E$7:$E$39,0),MATCH(AS$2,'Simple CEA'!$H$2:$AB$2,0)),INDEX('Simple CEA'!$H$7:$AB$39,MATCH($E27,'Simple CEA'!$E$7:$E$39,0),MATCH(AS$3,'Simple CEA'!$H$3:$AB$3,0)))</f>
        <v>0.005026609308</v>
      </c>
      <c r="AU27" s="913">
        <f t="shared" si="20"/>
        <v>0.007539913961</v>
      </c>
      <c r="AV27" s="911">
        <f t="shared" si="21"/>
        <v>0.001984877168</v>
      </c>
      <c r="AW27" s="912">
        <f t="array" ref="AW27">IF(AV$3="",INDEX('Simple CEA'!$H$7:$AB$39,MATCH($E27,'Simple CEA'!$E$7:$E$39,0),MATCH(AV$2,'Simple CEA'!$H$2:$AB$2,0)),INDEX('Simple CEA'!$H$7:$AB$39,MATCH($E27,'Simple CEA'!$E$7:$E$39,0),MATCH(AV$3,'Simple CEA'!$H$3:$AB$3,0)))</f>
        <v>0.003969754336</v>
      </c>
      <c r="AX27" s="913">
        <f t="shared" si="22"/>
        <v>0.005954631504</v>
      </c>
      <c r="AY27" s="911">
        <f t="shared" si="23"/>
        <v>0.002502849394</v>
      </c>
      <c r="AZ27" s="912">
        <f t="array" ref="AZ27">IF(AY$3="",INDEX('Simple CEA'!$H$7:$AB$39,MATCH($E27,'Simple CEA'!$E$7:$E$39,0),MATCH(AY$2,'Simple CEA'!$H$2:$AB$2,0)),INDEX('Simple CEA'!$H$7:$AB$39,MATCH($E27,'Simple CEA'!$E$7:$E$39,0),MATCH(AY$3,'Simple CEA'!$H$3:$AB$3,0)))</f>
        <v>0.005005698787</v>
      </c>
      <c r="BA27" s="913">
        <f t="shared" si="24"/>
        <v>0.007508548181</v>
      </c>
      <c r="BB27" s="911">
        <f t="shared" si="25"/>
        <v>0.00428253866</v>
      </c>
      <c r="BC27" s="912">
        <f t="array" ref="BC27">IF(BB$3="",INDEX('Simple CEA'!$H$7:$AB$39,MATCH($E27,'Simple CEA'!$E$7:$E$39,0),MATCH(BB$2,'Simple CEA'!$H$2:$AB$2,0)),INDEX('Simple CEA'!$H$7:$AB$39,MATCH($E27,'Simple CEA'!$E$7:$E$39,0),MATCH(BB$3,'Simple CEA'!$H$3:$AB$3,0)))</f>
        <v>0.00856507732</v>
      </c>
      <c r="BD27" s="913">
        <f t="shared" si="26"/>
        <v>0.01284761598</v>
      </c>
      <c r="BE27" s="911">
        <f t="shared" si="27"/>
        <v>0.0009327785027</v>
      </c>
      <c r="BF27" s="912">
        <f t="array" ref="BF27">IF(BE$3="",INDEX('Simple CEA'!$H$7:$AB$39,MATCH($E27,'Simple CEA'!$E$7:$E$39,0),MATCH(BE$2,'Simple CEA'!$H$2:$AB$2,0)),INDEX('Simple CEA'!$H$7:$AB$39,MATCH($E27,'Simple CEA'!$E$7:$E$39,0),MATCH(BE$3,'Simple CEA'!$H$3:$AB$3,0)))</f>
        <v>0.003731114011</v>
      </c>
      <c r="BG27" s="913">
        <f t="shared" si="28"/>
        <v>0.006529449519</v>
      </c>
      <c r="BH27" s="911">
        <f t="shared" si="29"/>
        <v>0.001405272802</v>
      </c>
      <c r="BI27" s="912">
        <f t="array" ref="BI27">IF(BH$3="",INDEX('Simple CEA'!$H$7:$AB$39,MATCH($E27,'Simple CEA'!$E$7:$E$39,0),MATCH(BH$2,'Simple CEA'!$H$2:$AB$2,0)),INDEX('Simple CEA'!$H$7:$AB$39,MATCH($E27,'Simple CEA'!$E$7:$E$39,0),MATCH(BH$3,'Simple CEA'!$H$3:$AB$3,0)))</f>
        <v>0.002810545603</v>
      </c>
      <c r="BJ27" s="913">
        <f t="shared" si="30"/>
        <v>0.004215818405</v>
      </c>
      <c r="BK27" s="911">
        <f t="shared" si="31"/>
        <v>0.001304906646</v>
      </c>
      <c r="BL27" s="912">
        <f t="array" ref="BL27">IF(BK$3="",INDEX('Simple CEA'!$H$7:$AB$39,MATCH($E27,'Simple CEA'!$E$7:$E$39,0),MATCH(BK$2,'Simple CEA'!$H$2:$AB$2,0)),INDEX('Simple CEA'!$H$7:$AB$39,MATCH($E27,'Simple CEA'!$E$7:$E$39,0),MATCH(BK$3,'Simple CEA'!$H$3:$AB$3,0)))</f>
        <v>0.003262266614</v>
      </c>
      <c r="BM27" s="913">
        <f t="shared" si="32"/>
        <v>0.005219626582</v>
      </c>
      <c r="BN27" s="621"/>
    </row>
    <row r="28">
      <c r="A28" s="63"/>
      <c r="B28" s="64"/>
      <c r="C28" s="420"/>
      <c r="D28" s="64"/>
      <c r="E28" s="590" t="s">
        <v>548</v>
      </c>
      <c r="F28" s="849">
        <f t="shared" si="1"/>
        <v>0.63</v>
      </c>
      <c r="G28" s="850">
        <f t="array" ref="G28">IF(F$3="",INDEX('Simple CEA'!$H$7:$AB$39,MATCH($E28,'Simple CEA'!$E$7:$E$39,0),MATCH(F$2,'Simple CEA'!$H$2:$AB$2,0)),INDEX('Simple CEA'!$H$7:$AB$39,MATCH($E28,'Simple CEA'!$E$7:$E$39,0),MATCH(F$3,'Simple CEA'!$H$3:$AB$3,0)))</f>
        <v>0.7</v>
      </c>
      <c r="H28" s="851">
        <f t="shared" si="2"/>
        <v>0.77</v>
      </c>
      <c r="I28" s="849">
        <f t="shared" si="3"/>
        <v>0.63</v>
      </c>
      <c r="J28" s="850">
        <f t="array" ref="J28">IF(I$3="",INDEX('Simple CEA'!$H$7:$AB$39,MATCH($E28,'Simple CEA'!$E$7:$E$39,0),MATCH(I$2,'Simple CEA'!$H$2:$AB$2,0)),INDEX('Simple CEA'!$H$7:$AB$39,MATCH($E28,'Simple CEA'!$E$7:$E$39,0),MATCH(I$3,'Simple CEA'!$H$3:$AB$3,0)))</f>
        <v>0.7</v>
      </c>
      <c r="K28" s="851">
        <f t="shared" si="4"/>
        <v>0.77</v>
      </c>
      <c r="L28" s="849">
        <f t="shared" si="5"/>
        <v>0.63</v>
      </c>
      <c r="M28" s="850">
        <f t="array" ref="M28">IF(L$3="",INDEX('Simple CEA'!$H$7:$AB$39,MATCH($E28,'Simple CEA'!$E$7:$E$39,0),MATCH(L$2,'Simple CEA'!$H$2:$AB$2,0)),INDEX('Simple CEA'!$H$7:$AB$39,MATCH($E28,'Simple CEA'!$E$7:$E$39,0),MATCH(L$3,'Simple CEA'!$H$3:$AB$3,0)))</f>
        <v>0.7</v>
      </c>
      <c r="N28" s="851">
        <f t="shared" si="6"/>
        <v>0.77</v>
      </c>
      <c r="O28" s="914" t="s">
        <v>132</v>
      </c>
      <c r="P28" s="843" t="s">
        <v>132</v>
      </c>
      <c r="Q28" s="915" t="s">
        <v>132</v>
      </c>
      <c r="R28" s="914" t="s">
        <v>132</v>
      </c>
      <c r="S28" s="843" t="s">
        <v>132</v>
      </c>
      <c r="T28" s="915" t="s">
        <v>132</v>
      </c>
      <c r="U28" s="914" t="s">
        <v>132</v>
      </c>
      <c r="V28" s="843" t="s">
        <v>132</v>
      </c>
      <c r="W28" s="915" t="s">
        <v>132</v>
      </c>
      <c r="X28" s="914" t="s">
        <v>132</v>
      </c>
      <c r="Y28" s="843" t="s">
        <v>132</v>
      </c>
      <c r="Z28" s="915" t="s">
        <v>132</v>
      </c>
      <c r="AA28" s="849">
        <f t="shared" si="7"/>
        <v>0.412</v>
      </c>
      <c r="AB28" s="850">
        <f t="array" ref="AB28">IF(AA$3="",INDEX('Simple CEA'!$H$7:$AB$39,MATCH($E28,'Simple CEA'!$E$7:$E$39,0),MATCH(AA$2,'Simple CEA'!$H$2:$AB$2,0)),INDEX('Simple CEA'!$H$7:$AB$39,MATCH($E28,'Simple CEA'!$E$7:$E$39,0),MATCH(AA$3,'Simple CEA'!$H$3:$AB$3,0)))</f>
        <v>0.515</v>
      </c>
      <c r="AC28" s="851">
        <f t="shared" si="8"/>
        <v>0.618</v>
      </c>
      <c r="AD28" s="849">
        <f t="shared" si="9"/>
        <v>0.63</v>
      </c>
      <c r="AE28" s="850">
        <f t="array" ref="AE28">IF(AD$3="",INDEX('Simple CEA'!$H$7:$AB$39,MATCH($E28,'Simple CEA'!$E$7:$E$39,0),MATCH(AD$2,'Simple CEA'!$H$2:$AB$2,0)),INDEX('Simple CEA'!$H$7:$AB$39,MATCH($E28,'Simple CEA'!$E$7:$E$39,0),MATCH(AD$3,'Simple CEA'!$H$3:$AB$3,0)))</f>
        <v>0.7</v>
      </c>
      <c r="AF28" s="851">
        <f t="shared" si="10"/>
        <v>0.77</v>
      </c>
      <c r="AG28" s="849">
        <f t="shared" si="11"/>
        <v>0.63</v>
      </c>
      <c r="AH28" s="850">
        <f t="array" ref="AH28">IF(AG$3="",INDEX('Simple CEA'!$H$7:$AB$39,MATCH($E28,'Simple CEA'!$E$7:$E$39,0),MATCH(AG$2,'Simple CEA'!$H$2:$AB$2,0)),INDEX('Simple CEA'!$H$7:$AB$39,MATCH($E28,'Simple CEA'!$E$7:$E$39,0),MATCH(AG$3,'Simple CEA'!$H$3:$AB$3,0)))</f>
        <v>0.7</v>
      </c>
      <c r="AI28" s="851">
        <f t="shared" si="12"/>
        <v>0.77</v>
      </c>
      <c r="AJ28" s="849">
        <f t="shared" si="13"/>
        <v>0.63</v>
      </c>
      <c r="AK28" s="850">
        <f t="array" ref="AK28">IF(AJ$3="",INDEX('Simple CEA'!$H$7:$AB$39,MATCH($E28,'Simple CEA'!$E$7:$E$39,0),MATCH(AJ$2,'Simple CEA'!$H$2:$AB$2,0)),INDEX('Simple CEA'!$H$7:$AB$39,MATCH($E28,'Simple CEA'!$E$7:$E$39,0),MATCH(AJ$3,'Simple CEA'!$H$3:$AB$3,0)))</f>
        <v>0.7</v>
      </c>
      <c r="AL28" s="851">
        <f t="shared" si="14"/>
        <v>0.77</v>
      </c>
      <c r="AM28" s="849">
        <f t="shared" si="15"/>
        <v>0.63</v>
      </c>
      <c r="AN28" s="850">
        <f t="array" ref="AN28">IF(AM$3="",INDEX('Simple CEA'!$H$7:$AB$39,MATCH($E28,'Simple CEA'!$E$7:$E$39,0),MATCH(AM$2,'Simple CEA'!$H$2:$AB$2,0)),INDEX('Simple CEA'!$H$7:$AB$39,MATCH($E28,'Simple CEA'!$E$7:$E$39,0),MATCH(AM$3,'Simple CEA'!$H$3:$AB$3,0)))</f>
        <v>0.7</v>
      </c>
      <c r="AO28" s="851">
        <f t="shared" si="16"/>
        <v>0.77</v>
      </c>
      <c r="AP28" s="849">
        <f t="shared" si="17"/>
        <v>0.63</v>
      </c>
      <c r="AQ28" s="850">
        <f t="array" ref="AQ28">IF(AP$3="",INDEX('Simple CEA'!$H$7:$AB$39,MATCH($E28,'Simple CEA'!$E$7:$E$39,0),MATCH(AP$2,'Simple CEA'!$H$2:$AB$2,0)),INDEX('Simple CEA'!$H$7:$AB$39,MATCH($E28,'Simple CEA'!$E$7:$E$39,0),MATCH(AP$3,'Simple CEA'!$H$3:$AB$3,0)))</f>
        <v>0.7</v>
      </c>
      <c r="AR28" s="851">
        <f t="shared" si="18"/>
        <v>0.77</v>
      </c>
      <c r="AS28" s="849">
        <f t="shared" si="19"/>
        <v>0.63</v>
      </c>
      <c r="AT28" s="850">
        <f t="array" ref="AT28">IF(AS$3="",INDEX('Simple CEA'!$H$7:$AB$39,MATCH($E28,'Simple CEA'!$E$7:$E$39,0),MATCH(AS$2,'Simple CEA'!$H$2:$AB$2,0)),INDEX('Simple CEA'!$H$7:$AB$39,MATCH($E28,'Simple CEA'!$E$7:$E$39,0),MATCH(AS$3,'Simple CEA'!$H$3:$AB$3,0)))</f>
        <v>0.7</v>
      </c>
      <c r="AU28" s="851">
        <f t="shared" si="20"/>
        <v>0.77</v>
      </c>
      <c r="AV28" s="849">
        <f t="shared" si="21"/>
        <v>0.63</v>
      </c>
      <c r="AW28" s="850">
        <f t="array" ref="AW28">IF(AV$3="",INDEX('Simple CEA'!$H$7:$AB$39,MATCH($E28,'Simple CEA'!$E$7:$E$39,0),MATCH(AV$2,'Simple CEA'!$H$2:$AB$2,0)),INDEX('Simple CEA'!$H$7:$AB$39,MATCH($E28,'Simple CEA'!$E$7:$E$39,0),MATCH(AV$3,'Simple CEA'!$H$3:$AB$3,0)))</f>
        <v>0.7</v>
      </c>
      <c r="AX28" s="851">
        <f t="shared" si="22"/>
        <v>0.77</v>
      </c>
      <c r="AY28" s="849">
        <f t="shared" si="23"/>
        <v>0.63</v>
      </c>
      <c r="AZ28" s="850">
        <f t="array" ref="AZ28">IF(AY$3="",INDEX('Simple CEA'!$H$7:$AB$39,MATCH($E28,'Simple CEA'!$E$7:$E$39,0),MATCH(AY$2,'Simple CEA'!$H$2:$AB$2,0)),INDEX('Simple CEA'!$H$7:$AB$39,MATCH($E28,'Simple CEA'!$E$7:$E$39,0),MATCH(AY$3,'Simple CEA'!$H$3:$AB$3,0)))</f>
        <v>0.7</v>
      </c>
      <c r="BA28" s="851">
        <f t="shared" si="24"/>
        <v>0.77</v>
      </c>
      <c r="BB28" s="849">
        <f t="shared" si="25"/>
        <v>0.63</v>
      </c>
      <c r="BC28" s="850">
        <f t="array" ref="BC28">IF(BB$3="",INDEX('Simple CEA'!$H$7:$AB$39,MATCH($E28,'Simple CEA'!$E$7:$E$39,0),MATCH(BB$2,'Simple CEA'!$H$2:$AB$2,0)),INDEX('Simple CEA'!$H$7:$AB$39,MATCH($E28,'Simple CEA'!$E$7:$E$39,0),MATCH(BB$3,'Simple CEA'!$H$3:$AB$3,0)))</f>
        <v>0.7</v>
      </c>
      <c r="BD28" s="851">
        <f t="shared" si="26"/>
        <v>0.77</v>
      </c>
      <c r="BE28" s="849">
        <f t="shared" si="27"/>
        <v>0.56</v>
      </c>
      <c r="BF28" s="850">
        <f t="array" ref="BF28">IF(BE$3="",INDEX('Simple CEA'!$H$7:$AB$39,MATCH($E28,'Simple CEA'!$E$7:$E$39,0),MATCH(BE$2,'Simple CEA'!$H$2:$AB$2,0)),INDEX('Simple CEA'!$H$7:$AB$39,MATCH($E28,'Simple CEA'!$E$7:$E$39,0),MATCH(BE$3,'Simple CEA'!$H$3:$AB$3,0)))</f>
        <v>0.7</v>
      </c>
      <c r="BG28" s="851">
        <f t="shared" si="28"/>
        <v>0.84</v>
      </c>
      <c r="BH28" s="849">
        <f t="shared" si="29"/>
        <v>0.63</v>
      </c>
      <c r="BI28" s="850">
        <f t="array" ref="BI28">IF(BH$3="",INDEX('Simple CEA'!$H$7:$AB$39,MATCH($E28,'Simple CEA'!$E$7:$E$39,0),MATCH(BH$2,'Simple CEA'!$H$2:$AB$2,0)),INDEX('Simple CEA'!$H$7:$AB$39,MATCH($E28,'Simple CEA'!$E$7:$E$39,0),MATCH(BH$3,'Simple CEA'!$H$3:$AB$3,0)))</f>
        <v>0.7</v>
      </c>
      <c r="BJ28" s="851">
        <f t="shared" si="30"/>
        <v>0.77</v>
      </c>
      <c r="BK28" s="849">
        <f t="shared" si="31"/>
        <v>0.496</v>
      </c>
      <c r="BL28" s="850">
        <f t="array" ref="BL28">IF(BK$3="",INDEX('Simple CEA'!$H$7:$AB$39,MATCH($E28,'Simple CEA'!$E$7:$E$39,0),MATCH(BK$2,'Simple CEA'!$H$2:$AB$2,0)),INDEX('Simple CEA'!$H$7:$AB$39,MATCH($E28,'Simple CEA'!$E$7:$E$39,0),MATCH(BK$3,'Simple CEA'!$H$3:$AB$3,0)))</f>
        <v>0.62</v>
      </c>
      <c r="BM28" s="851">
        <f t="shared" si="32"/>
        <v>0.744</v>
      </c>
      <c r="BN28" s="621"/>
    </row>
    <row r="29">
      <c r="A29" s="63"/>
      <c r="B29" s="64"/>
      <c r="C29" s="420"/>
      <c r="D29" s="64"/>
      <c r="E29" s="625" t="s">
        <v>549</v>
      </c>
      <c r="F29" s="880">
        <f t="shared" si="1"/>
        <v>0.7143254985</v>
      </c>
      <c r="G29" s="868">
        <f t="array" ref="G29">IF(F$3="",INDEX('Simple CEA'!$H$7:$AB$39,MATCH($E29,'Simple CEA'!$E$7:$E$39,0),MATCH(F$2,'Simple CEA'!$H$2:$AB$2,0)),INDEX('Simple CEA'!$H$7:$AB$39,MATCH($E29,'Simple CEA'!$E$7:$E$39,0),MATCH(F$3,'Simple CEA'!$H$3:$AB$3,0)))</f>
        <v>0.7936949983</v>
      </c>
      <c r="H29" s="881">
        <f t="shared" si="2"/>
        <v>0.8730644982</v>
      </c>
      <c r="I29" s="880">
        <f t="shared" si="3"/>
        <v>0.7143254985</v>
      </c>
      <c r="J29" s="868">
        <f t="array" ref="J29">IF(I$3="",INDEX('Simple CEA'!$H$7:$AB$39,MATCH($E29,'Simple CEA'!$E$7:$E$39,0),MATCH(I$2,'Simple CEA'!$H$2:$AB$2,0)),INDEX('Simple CEA'!$H$7:$AB$39,MATCH($E29,'Simple CEA'!$E$7:$E$39,0),MATCH(I$3,'Simple CEA'!$H$3:$AB$3,0)))</f>
        <v>0.7936949983</v>
      </c>
      <c r="K29" s="881">
        <f t="shared" si="4"/>
        <v>0.8730644982</v>
      </c>
      <c r="L29" s="880">
        <f t="shared" si="5"/>
        <v>0.7143254985</v>
      </c>
      <c r="M29" s="868">
        <f t="array" ref="M29">IF(L$3="",INDEX('Simple CEA'!$H$7:$AB$39,MATCH($E29,'Simple CEA'!$E$7:$E$39,0),MATCH(L$2,'Simple CEA'!$H$2:$AB$2,0)),INDEX('Simple CEA'!$H$7:$AB$39,MATCH($E29,'Simple CEA'!$E$7:$E$39,0),MATCH(L$3,'Simple CEA'!$H$3:$AB$3,0)))</f>
        <v>0.7936949983</v>
      </c>
      <c r="N29" s="881">
        <f t="shared" si="6"/>
        <v>0.8730644982</v>
      </c>
      <c r="O29" s="916" t="s">
        <v>132</v>
      </c>
      <c r="P29" s="863" t="s">
        <v>132</v>
      </c>
      <c r="Q29" s="917" t="s">
        <v>132</v>
      </c>
      <c r="R29" s="916" t="s">
        <v>132</v>
      </c>
      <c r="S29" s="863" t="s">
        <v>132</v>
      </c>
      <c r="T29" s="917" t="s">
        <v>132</v>
      </c>
      <c r="U29" s="916" t="s">
        <v>132</v>
      </c>
      <c r="V29" s="863" t="s">
        <v>132</v>
      </c>
      <c r="W29" s="917" t="s">
        <v>132</v>
      </c>
      <c r="X29" s="916" t="s">
        <v>132</v>
      </c>
      <c r="Y29" s="863" t="s">
        <v>132</v>
      </c>
      <c r="Z29" s="917" t="s">
        <v>132</v>
      </c>
      <c r="AA29" s="880">
        <f t="shared" si="7"/>
        <v>0.4166898741</v>
      </c>
      <c r="AB29" s="868">
        <f t="array" ref="AB29">IF(AA$3="",INDEX('Simple CEA'!$H$7:$AB$39,MATCH($E29,'Simple CEA'!$E$7:$E$39,0),MATCH(AA$2,'Simple CEA'!$H$2:$AB$2,0)),INDEX('Simple CEA'!$H$7:$AB$39,MATCH($E29,'Simple CEA'!$E$7:$E$39,0),MATCH(AA$3,'Simple CEA'!$H$3:$AB$3,0)))</f>
        <v>0.5952712487</v>
      </c>
      <c r="AC29" s="881">
        <f t="shared" si="8"/>
        <v>0.7738526234</v>
      </c>
      <c r="AD29" s="880">
        <f t="shared" si="9"/>
        <v>0.7143254985</v>
      </c>
      <c r="AE29" s="868">
        <f t="array" ref="AE29">IF(AD$3="",INDEX('Simple CEA'!$H$7:$AB$39,MATCH($E29,'Simple CEA'!$E$7:$E$39,0),MATCH(AD$2,'Simple CEA'!$H$2:$AB$2,0)),INDEX('Simple CEA'!$H$7:$AB$39,MATCH($E29,'Simple CEA'!$E$7:$E$39,0),MATCH(AD$3,'Simple CEA'!$H$3:$AB$3,0)))</f>
        <v>0.7936949983</v>
      </c>
      <c r="AF29" s="881">
        <f t="shared" si="10"/>
        <v>0.8730644982</v>
      </c>
      <c r="AG29" s="880">
        <f t="shared" si="11"/>
        <v>0.7143254985</v>
      </c>
      <c r="AH29" s="868">
        <f t="array" ref="AH29">IF(AG$3="",INDEX('Simple CEA'!$H$7:$AB$39,MATCH($E29,'Simple CEA'!$E$7:$E$39,0),MATCH(AG$2,'Simple CEA'!$H$2:$AB$2,0)),INDEX('Simple CEA'!$H$7:$AB$39,MATCH($E29,'Simple CEA'!$E$7:$E$39,0),MATCH(AG$3,'Simple CEA'!$H$3:$AB$3,0)))</f>
        <v>0.7936949983</v>
      </c>
      <c r="AI29" s="881">
        <f t="shared" si="12"/>
        <v>0.8730644982</v>
      </c>
      <c r="AJ29" s="880">
        <f t="shared" si="13"/>
        <v>0.7143254985</v>
      </c>
      <c r="AK29" s="868">
        <f t="array" ref="AK29">IF(AJ$3="",INDEX('Simple CEA'!$H$7:$AB$39,MATCH($E29,'Simple CEA'!$E$7:$E$39,0),MATCH(AJ$2,'Simple CEA'!$H$2:$AB$2,0)),INDEX('Simple CEA'!$H$7:$AB$39,MATCH($E29,'Simple CEA'!$E$7:$E$39,0),MATCH(AJ$3,'Simple CEA'!$H$3:$AB$3,0)))</f>
        <v>0.7936949983</v>
      </c>
      <c r="AL29" s="881">
        <f t="shared" si="14"/>
        <v>0.8730644982</v>
      </c>
      <c r="AM29" s="880">
        <f t="shared" si="15"/>
        <v>0.7143254985</v>
      </c>
      <c r="AN29" s="868">
        <f t="array" ref="AN29">IF(AM$3="",INDEX('Simple CEA'!$H$7:$AB$39,MATCH($E29,'Simple CEA'!$E$7:$E$39,0),MATCH(AM$2,'Simple CEA'!$H$2:$AB$2,0)),INDEX('Simple CEA'!$H$7:$AB$39,MATCH($E29,'Simple CEA'!$E$7:$E$39,0),MATCH(AM$3,'Simple CEA'!$H$3:$AB$3,0)))</f>
        <v>0.7936949983</v>
      </c>
      <c r="AO29" s="881">
        <f t="shared" si="16"/>
        <v>0.8730644982</v>
      </c>
      <c r="AP29" s="880">
        <f t="shared" si="17"/>
        <v>0.7143254985</v>
      </c>
      <c r="AQ29" s="868">
        <f t="array" ref="AQ29">IF(AP$3="",INDEX('Simple CEA'!$H$7:$AB$39,MATCH($E29,'Simple CEA'!$E$7:$E$39,0),MATCH(AP$2,'Simple CEA'!$H$2:$AB$2,0)),INDEX('Simple CEA'!$H$7:$AB$39,MATCH($E29,'Simple CEA'!$E$7:$E$39,0),MATCH(AP$3,'Simple CEA'!$H$3:$AB$3,0)))</f>
        <v>0.7936949983</v>
      </c>
      <c r="AR29" s="881">
        <f t="shared" si="18"/>
        <v>0.8730644982</v>
      </c>
      <c r="AS29" s="880">
        <f t="shared" si="19"/>
        <v>0.7143254985</v>
      </c>
      <c r="AT29" s="868">
        <f t="array" ref="AT29">IF(AS$3="",INDEX('Simple CEA'!$H$7:$AB$39,MATCH($E29,'Simple CEA'!$E$7:$E$39,0),MATCH(AS$2,'Simple CEA'!$H$2:$AB$2,0)),INDEX('Simple CEA'!$H$7:$AB$39,MATCH($E29,'Simple CEA'!$E$7:$E$39,0),MATCH(AS$3,'Simple CEA'!$H$3:$AB$3,0)))</f>
        <v>0.7936949983</v>
      </c>
      <c r="AU29" s="881">
        <f t="shared" si="20"/>
        <v>0.8730644982</v>
      </c>
      <c r="AV29" s="880">
        <f t="shared" si="21"/>
        <v>0.7143254985</v>
      </c>
      <c r="AW29" s="868">
        <f t="array" ref="AW29">IF(AV$3="",INDEX('Simple CEA'!$H$7:$AB$39,MATCH($E29,'Simple CEA'!$E$7:$E$39,0),MATCH(AV$2,'Simple CEA'!$H$2:$AB$2,0)),INDEX('Simple CEA'!$H$7:$AB$39,MATCH($E29,'Simple CEA'!$E$7:$E$39,0),MATCH(AV$3,'Simple CEA'!$H$3:$AB$3,0)))</f>
        <v>0.7936949983</v>
      </c>
      <c r="AX29" s="881">
        <f t="shared" si="22"/>
        <v>0.8730644982</v>
      </c>
      <c r="AY29" s="880">
        <f t="shared" si="23"/>
        <v>0.7143254985</v>
      </c>
      <c r="AZ29" s="868">
        <f t="array" ref="AZ29">IF(AY$3="",INDEX('Simple CEA'!$H$7:$AB$39,MATCH($E29,'Simple CEA'!$E$7:$E$39,0),MATCH(AY$2,'Simple CEA'!$H$2:$AB$2,0)),INDEX('Simple CEA'!$H$7:$AB$39,MATCH($E29,'Simple CEA'!$E$7:$E$39,0),MATCH(AY$3,'Simple CEA'!$H$3:$AB$3,0)))</f>
        <v>0.7936949983</v>
      </c>
      <c r="BA29" s="881">
        <f t="shared" si="24"/>
        <v>0.8730644982</v>
      </c>
      <c r="BB29" s="880">
        <f t="shared" si="25"/>
        <v>0.7143254985</v>
      </c>
      <c r="BC29" s="868">
        <f t="array" ref="BC29">IF(BB$3="",INDEX('Simple CEA'!$H$7:$AB$39,MATCH($E29,'Simple CEA'!$E$7:$E$39,0),MATCH(BB$2,'Simple CEA'!$H$2:$AB$2,0)),INDEX('Simple CEA'!$H$7:$AB$39,MATCH($E29,'Simple CEA'!$E$7:$E$39,0),MATCH(BB$3,'Simple CEA'!$H$3:$AB$3,0)))</f>
        <v>0.7936949983</v>
      </c>
      <c r="BD29" s="881">
        <f t="shared" si="26"/>
        <v>0.8730644982</v>
      </c>
      <c r="BE29" s="880">
        <f t="shared" si="27"/>
        <v>0.6349559987</v>
      </c>
      <c r="BF29" s="868">
        <f t="array" ref="BF29">IF(BE$3="",INDEX('Simple CEA'!$H$7:$AB$39,MATCH($E29,'Simple CEA'!$E$7:$E$39,0),MATCH(BE$2,'Simple CEA'!$H$2:$AB$2,0)),INDEX('Simple CEA'!$H$7:$AB$39,MATCH($E29,'Simple CEA'!$E$7:$E$39,0),MATCH(BE$3,'Simple CEA'!$H$3:$AB$3,0)))</f>
        <v>0.7936949983</v>
      </c>
      <c r="BG29" s="881">
        <f t="shared" si="28"/>
        <v>0.952433998</v>
      </c>
      <c r="BH29" s="880">
        <f t="shared" si="29"/>
        <v>0.7143254985</v>
      </c>
      <c r="BI29" s="868">
        <f t="array" ref="BI29">IF(BH$3="",INDEX('Simple CEA'!$H$7:$AB$39,MATCH($E29,'Simple CEA'!$E$7:$E$39,0),MATCH(BH$2,'Simple CEA'!$H$2:$AB$2,0)),INDEX('Simple CEA'!$H$7:$AB$39,MATCH($E29,'Simple CEA'!$E$7:$E$39,0),MATCH(BH$3,'Simple CEA'!$H$3:$AB$3,0)))</f>
        <v>0.7936949983</v>
      </c>
      <c r="BJ29" s="881">
        <f t="shared" si="30"/>
        <v>0.8730644982</v>
      </c>
      <c r="BK29" s="880">
        <f t="shared" si="31"/>
        <v>0.4166898741</v>
      </c>
      <c r="BL29" s="868">
        <f t="array" ref="BL29">IF(BK$3="",INDEX('Simple CEA'!$H$7:$AB$39,MATCH($E29,'Simple CEA'!$E$7:$E$39,0),MATCH(BK$2,'Simple CEA'!$H$2:$AB$2,0)),INDEX('Simple CEA'!$H$7:$AB$39,MATCH($E29,'Simple CEA'!$E$7:$E$39,0),MATCH(BK$3,'Simple CEA'!$H$3:$AB$3,0)))</f>
        <v>0.5952712487</v>
      </c>
      <c r="BM29" s="881">
        <f t="shared" si="32"/>
        <v>0.7738526234</v>
      </c>
      <c r="BN29" s="874"/>
    </row>
    <row r="30">
      <c r="A30" s="63"/>
      <c r="B30" s="64"/>
      <c r="C30" s="420"/>
      <c r="D30" s="64"/>
      <c r="E30" s="420"/>
      <c r="F30" s="63"/>
      <c r="G30" s="64"/>
      <c r="H30" s="67"/>
      <c r="I30" s="63"/>
      <c r="J30" s="64"/>
      <c r="K30" s="67"/>
      <c r="L30" s="63"/>
      <c r="M30" s="64"/>
      <c r="N30" s="67"/>
      <c r="O30" s="63"/>
      <c r="P30" s="875"/>
      <c r="Q30" s="67"/>
      <c r="R30" s="63"/>
      <c r="S30" s="875"/>
      <c r="T30" s="67"/>
      <c r="U30" s="63"/>
      <c r="V30" s="875"/>
      <c r="W30" s="67"/>
      <c r="X30" s="63"/>
      <c r="Y30" s="875"/>
      <c r="Z30" s="67"/>
      <c r="AA30" s="63"/>
      <c r="AB30" s="64"/>
      <c r="AC30" s="67"/>
      <c r="AD30" s="63"/>
      <c r="AE30" s="64"/>
      <c r="AF30" s="67"/>
      <c r="AG30" s="63"/>
      <c r="AH30" s="64"/>
      <c r="AI30" s="67"/>
      <c r="AJ30" s="63"/>
      <c r="AK30" s="64"/>
      <c r="AL30" s="67"/>
      <c r="AM30" s="63"/>
      <c r="AN30" s="64"/>
      <c r="AO30" s="67"/>
      <c r="AP30" s="63"/>
      <c r="AQ30" s="64"/>
      <c r="AR30" s="67"/>
      <c r="AS30" s="63"/>
      <c r="AT30" s="64"/>
      <c r="AU30" s="67"/>
      <c r="AV30" s="63"/>
      <c r="AW30" s="64"/>
      <c r="AX30" s="67"/>
      <c r="AY30" s="63"/>
      <c r="AZ30" s="64"/>
      <c r="BA30" s="67"/>
      <c r="BB30" s="63"/>
      <c r="BC30" s="64"/>
      <c r="BD30" s="67"/>
      <c r="BE30" s="63"/>
      <c r="BF30" s="64"/>
      <c r="BG30" s="67"/>
      <c r="BH30" s="63"/>
      <c r="BI30" s="64"/>
      <c r="BJ30" s="67"/>
      <c r="BK30" s="63"/>
      <c r="BL30" s="64"/>
      <c r="BM30" s="67"/>
      <c r="BN30" s="67"/>
    </row>
    <row r="31">
      <c r="A31" s="63"/>
      <c r="B31" s="64"/>
      <c r="C31" s="270" t="s">
        <v>555</v>
      </c>
      <c r="F31" s="63"/>
      <c r="G31" s="64"/>
      <c r="H31" s="67"/>
      <c r="I31" s="63"/>
      <c r="J31" s="64"/>
      <c r="K31" s="67"/>
      <c r="L31" s="63"/>
      <c r="M31" s="64"/>
      <c r="N31" s="67"/>
      <c r="O31" s="63"/>
      <c r="P31" s="875"/>
      <c r="Q31" s="67"/>
      <c r="R31" s="63"/>
      <c r="S31" s="875"/>
      <c r="T31" s="67"/>
      <c r="U31" s="63"/>
      <c r="V31" s="875"/>
      <c r="W31" s="67"/>
      <c r="X31" s="63"/>
      <c r="Y31" s="875"/>
      <c r="Z31" s="67"/>
      <c r="AA31" s="63"/>
      <c r="AB31" s="64"/>
      <c r="AC31" s="67"/>
      <c r="AD31" s="63"/>
      <c r="AE31" s="64"/>
      <c r="AF31" s="67"/>
      <c r="AG31" s="63"/>
      <c r="AH31" s="64"/>
      <c r="AI31" s="67"/>
      <c r="AJ31" s="63"/>
      <c r="AK31" s="64"/>
      <c r="AL31" s="67"/>
      <c r="AM31" s="63"/>
      <c r="AN31" s="64"/>
      <c r="AO31" s="67"/>
      <c r="AP31" s="63"/>
      <c r="AQ31" s="64"/>
      <c r="AR31" s="67"/>
      <c r="AS31" s="63"/>
      <c r="AT31" s="64"/>
      <c r="AU31" s="67"/>
      <c r="AV31" s="63"/>
      <c r="AW31" s="64"/>
      <c r="AX31" s="67"/>
      <c r="AY31" s="63"/>
      <c r="AZ31" s="64"/>
      <c r="BA31" s="67"/>
      <c r="BB31" s="63"/>
      <c r="BC31" s="64"/>
      <c r="BD31" s="67"/>
      <c r="BE31" s="63"/>
      <c r="BF31" s="64"/>
      <c r="BG31" s="67"/>
      <c r="BH31" s="63"/>
      <c r="BI31" s="64"/>
      <c r="BJ31" s="67"/>
      <c r="BK31" s="63"/>
      <c r="BL31" s="64"/>
      <c r="BM31" s="67"/>
      <c r="BN31" s="67"/>
    </row>
    <row r="32">
      <c r="A32" s="63"/>
      <c r="B32" s="64"/>
      <c r="C32" s="420"/>
      <c r="D32" s="64"/>
      <c r="E32" s="775" t="s">
        <v>556</v>
      </c>
      <c r="F32" s="832">
        <f t="shared" ref="F32:F33" si="33">G32*(1+F15)</f>
        <v>0.02742844874</v>
      </c>
      <c r="G32" s="833">
        <f t="array" ref="G32">IF(F$3="",INDEX('Simple CEA'!$H$7:$AB$39,MATCH($E32,'Simple CEA'!$E$7:$E$39,0),MATCH(F$2,'Simple CEA'!$H$2:$AB$2,0)),INDEX('Simple CEA'!$H$7:$AB$39,MATCH($E32,'Simple CEA'!$E$7:$E$39,0),MATCH(F$3,'Simple CEA'!$H$3:$AB$3,0)))</f>
        <v>0.06857112185</v>
      </c>
      <c r="H32" s="834">
        <f t="shared" ref="H32:H33" si="34">G32*(1+H15)</f>
        <v>0.109713795</v>
      </c>
      <c r="I32" s="832">
        <f t="shared" ref="I32:I33" si="35">J32*(1+I15)</f>
        <v>0.02199672365</v>
      </c>
      <c r="J32" s="833">
        <f t="array" ref="J32">IF(I$3="",INDEX('Simple CEA'!$H$7:$AB$39,MATCH($E32,'Simple CEA'!$E$7:$E$39,0),MATCH(I$2,'Simple CEA'!$H$2:$AB$2,0)),INDEX('Simple CEA'!$H$7:$AB$39,MATCH($E32,'Simple CEA'!$E$7:$E$39,0),MATCH(I$3,'Simple CEA'!$H$3:$AB$3,0)))</f>
        <v>0.05499180912</v>
      </c>
      <c r="K32" s="834">
        <f t="shared" ref="K32:K33" si="36">J32*(1+K15)</f>
        <v>0.08798689459</v>
      </c>
      <c r="L32" s="832">
        <f t="shared" ref="L32:L33" si="37">M32*(1+L15)</f>
        <v>0.04185406827</v>
      </c>
      <c r="M32" s="833">
        <f t="array" ref="M32">IF(L$3="",INDEX('Simple CEA'!$H$7:$AB$39,MATCH($E32,'Simple CEA'!$E$7:$E$39,0),MATCH(L$2,'Simple CEA'!$H$2:$AB$2,0)),INDEX('Simple CEA'!$H$7:$AB$39,MATCH($E32,'Simple CEA'!$E$7:$E$39,0),MATCH(L$3,'Simple CEA'!$H$3:$AB$3,0)))</f>
        <v>0.1046351707</v>
      </c>
      <c r="N32" s="834">
        <f t="shared" ref="N32:N33" si="38">M32*(1+N15)</f>
        <v>0.1674162731</v>
      </c>
      <c r="O32" s="908" t="s">
        <v>132</v>
      </c>
      <c r="P32" s="826" t="s">
        <v>132</v>
      </c>
      <c r="Q32" s="910" t="s">
        <v>132</v>
      </c>
      <c r="R32" s="908" t="s">
        <v>132</v>
      </c>
      <c r="S32" s="826" t="s">
        <v>132</v>
      </c>
      <c r="T32" s="910" t="s">
        <v>132</v>
      </c>
      <c r="U32" s="908" t="s">
        <v>132</v>
      </c>
      <c r="V32" s="826" t="s">
        <v>132</v>
      </c>
      <c r="W32" s="910" t="s">
        <v>132</v>
      </c>
      <c r="X32" s="908" t="s">
        <v>132</v>
      </c>
      <c r="Y32" s="826" t="s">
        <v>132</v>
      </c>
      <c r="Z32" s="910" t="s">
        <v>132</v>
      </c>
      <c r="AA32" s="832">
        <f t="shared" ref="AA32:AA33" si="39">AB32*(1+AA15)</f>
        <v>0.05936136348</v>
      </c>
      <c r="AB32" s="833">
        <f t="array" ref="AB32">IF(AA$3="",INDEX('Simple CEA'!$H$7:$AB$39,MATCH($E32,'Simple CEA'!$E$7:$E$39,0),MATCH(AA$2,'Simple CEA'!$H$2:$AB$2,0)),INDEX('Simple CEA'!$H$7:$AB$39,MATCH($E32,'Simple CEA'!$E$7:$E$39,0),MATCH(AA$3,'Simple CEA'!$H$3:$AB$3,0)))</f>
        <v>0.1484034087</v>
      </c>
      <c r="AC32" s="834">
        <f t="shared" ref="AC32:AC33" si="40">AB32*(1+AC15)</f>
        <v>0.2374454539</v>
      </c>
      <c r="AD32" s="832">
        <f t="shared" ref="AD32:AD33" si="41">AE32*(1+AD15)</f>
        <v>0.0110052855</v>
      </c>
      <c r="AE32" s="833">
        <f t="array" ref="AE32">IF(AD$3="",INDEX('Simple CEA'!$H$7:$AB$39,MATCH($E32,'Simple CEA'!$E$7:$E$39,0),MATCH(AD$2,'Simple CEA'!$H$2:$AB$2,0)),INDEX('Simple CEA'!$H$7:$AB$39,MATCH($E32,'Simple CEA'!$E$7:$E$39,0),MATCH(AD$3,'Simple CEA'!$H$3:$AB$3,0)))</f>
        <v>0.02751321375</v>
      </c>
      <c r="AF32" s="834">
        <f t="shared" ref="AF32:AF33" si="42">AE32*(1+AF15)</f>
        <v>0.044021142</v>
      </c>
      <c r="AG32" s="832">
        <f t="shared" ref="AG32:AG33" si="43">AH32*(1+AG15)</f>
        <v>0.03558698903</v>
      </c>
      <c r="AH32" s="833">
        <f t="array" ref="AH32">IF(AG$3="",INDEX('Simple CEA'!$H$7:$AB$39,MATCH($E32,'Simple CEA'!$E$7:$E$39,0),MATCH(AG$2,'Simple CEA'!$H$2:$AB$2,0)),INDEX('Simple CEA'!$H$7:$AB$39,MATCH($E32,'Simple CEA'!$E$7:$E$39,0),MATCH(AG$3,'Simple CEA'!$H$3:$AB$3,0)))</f>
        <v>0.08896747258</v>
      </c>
      <c r="AI32" s="834">
        <f t="shared" ref="AI32:AI33" si="44">AH32*(1+AI15)</f>
        <v>0.1423479561</v>
      </c>
      <c r="AJ32" s="832">
        <f t="shared" ref="AJ32:AJ33" si="45">AK32*(1+AJ15)</f>
        <v>0.04433453254</v>
      </c>
      <c r="AK32" s="833">
        <f t="array" ref="AK32">IF(AJ$3="",INDEX('Simple CEA'!$H$7:$AB$39,MATCH($E32,'Simple CEA'!$E$7:$E$39,0),MATCH(AJ$2,'Simple CEA'!$H$2:$AB$2,0)),INDEX('Simple CEA'!$H$7:$AB$39,MATCH($E32,'Simple CEA'!$E$7:$E$39,0),MATCH(AJ$3,'Simple CEA'!$H$3:$AB$3,0)))</f>
        <v>0.1108363314</v>
      </c>
      <c r="AL32" s="834">
        <f t="shared" ref="AL32:AL33" si="46">AK32*(1+AL15)</f>
        <v>0.1773381302</v>
      </c>
      <c r="AM32" s="832">
        <f t="shared" ref="AM32:AM33" si="47">AN32*(1+AM15)</f>
        <v>0.02075009665</v>
      </c>
      <c r="AN32" s="833">
        <f t="array" ref="AN32">IF(AM$3="",INDEX('Simple CEA'!$H$7:$AB$39,MATCH($E32,'Simple CEA'!$E$7:$E$39,0),MATCH(AM$2,'Simple CEA'!$H$2:$AB$2,0)),INDEX('Simple CEA'!$H$7:$AB$39,MATCH($E32,'Simple CEA'!$E$7:$E$39,0),MATCH(AM$3,'Simple CEA'!$H$3:$AB$3,0)))</f>
        <v>0.05187524163</v>
      </c>
      <c r="AO32" s="834">
        <f t="shared" ref="AO32:AO33" si="48">AN32*(1+AO15)</f>
        <v>0.08300038661</v>
      </c>
      <c r="AP32" s="832">
        <f t="shared" ref="AP32:AP33" si="49">AQ32*(1+AP15)</f>
        <v>0.0644571435</v>
      </c>
      <c r="AQ32" s="833">
        <f t="array" ref="AQ32">IF(AP$3="",INDEX('Simple CEA'!$H$7:$AB$39,MATCH($E32,'Simple CEA'!$E$7:$E$39,0),MATCH(AP$2,'Simple CEA'!$H$2:$AB$2,0)),INDEX('Simple CEA'!$H$7:$AB$39,MATCH($E32,'Simple CEA'!$E$7:$E$39,0),MATCH(AP$3,'Simple CEA'!$H$3:$AB$3,0)))</f>
        <v>0.1611428588</v>
      </c>
      <c r="AR32" s="834">
        <f t="shared" ref="AR32:AR33" si="50">AQ32*(1+AR15)</f>
        <v>0.257828574</v>
      </c>
      <c r="AS32" s="832">
        <f t="shared" ref="AS32:AS33" si="51">AT32*(1+AS15)</f>
        <v>0.0365581803</v>
      </c>
      <c r="AT32" s="833">
        <f t="array" ref="AT32">IF(AS$3="",INDEX('Simple CEA'!$H$7:$AB$39,MATCH($E32,'Simple CEA'!$E$7:$E$39,0),MATCH(AS$2,'Simple CEA'!$H$2:$AB$2,0)),INDEX('Simple CEA'!$H$7:$AB$39,MATCH($E32,'Simple CEA'!$E$7:$E$39,0),MATCH(AS$3,'Simple CEA'!$H$3:$AB$3,0)))</f>
        <v>0.09139545074</v>
      </c>
      <c r="AU32" s="834">
        <f t="shared" ref="AU32:AU33" si="52">AT32*(1+AU15)</f>
        <v>0.1462327212</v>
      </c>
      <c r="AV32" s="832">
        <f t="shared" ref="AV32:AV33" si="53">AW32*(1+AV15)</f>
        <v>0.07703610272</v>
      </c>
      <c r="AW32" s="833">
        <f t="array" ref="AW32">IF(AV$3="",INDEX('Simple CEA'!$H$7:$AB$39,MATCH($E32,'Simple CEA'!$E$7:$E$39,0),MATCH(AV$2,'Simple CEA'!$H$2:$AB$2,0)),INDEX('Simple CEA'!$H$7:$AB$39,MATCH($E32,'Simple CEA'!$E$7:$E$39,0),MATCH(AV$3,'Simple CEA'!$H$3:$AB$3,0)))</f>
        <v>0.1925902568</v>
      </c>
      <c r="AX32" s="834">
        <f t="shared" ref="AX32:AX33" si="54">AW32*(1+AX15)</f>
        <v>0.3081444109</v>
      </c>
      <c r="AY32" s="832">
        <f t="shared" ref="AY32:AY33" si="55">AZ32*(1+AY15)</f>
        <v>0.04118140202</v>
      </c>
      <c r="AZ32" s="833">
        <f t="array" ref="AZ32">IF(AY$3="",INDEX('Simple CEA'!$H$7:$AB$39,MATCH($E32,'Simple CEA'!$E$7:$E$39,0),MATCH(AY$2,'Simple CEA'!$H$2:$AB$2,0)),INDEX('Simple CEA'!$H$7:$AB$39,MATCH($E32,'Simple CEA'!$E$7:$E$39,0),MATCH(AY$3,'Simple CEA'!$H$3:$AB$3,0)))</f>
        <v>0.1029535051</v>
      </c>
      <c r="BA32" s="834">
        <f t="shared" ref="BA32:BA33" si="56">AZ32*(1+BA15)</f>
        <v>0.1647256081</v>
      </c>
      <c r="BB32" s="832">
        <f t="shared" ref="BB32:BB33" si="57">BC32*(1+BB15)</f>
        <v>0.01287047174</v>
      </c>
      <c r="BC32" s="833">
        <f t="array" ref="BC32">IF(BB$3="",INDEX('Simple CEA'!$H$7:$AB$39,MATCH($E32,'Simple CEA'!$E$7:$E$39,0),MATCH(BB$2,'Simple CEA'!$H$2:$AB$2,0)),INDEX('Simple CEA'!$H$7:$AB$39,MATCH($E32,'Simple CEA'!$E$7:$E$39,0),MATCH(BB$3,'Simple CEA'!$H$3:$AB$3,0)))</f>
        <v>0.03217617935</v>
      </c>
      <c r="BD32" s="834">
        <f t="shared" ref="BD32:BD33" si="58">BC32*(1+BD15)</f>
        <v>0.05148188696</v>
      </c>
      <c r="BE32" s="832">
        <f t="shared" ref="BE32:BE33" si="59">BF32*(1+BE15)</f>
        <v>0.01456582071</v>
      </c>
      <c r="BF32" s="833">
        <f t="array" ref="BF32">IF(BE$3="",INDEX('Simple CEA'!$H$7:$AB$39,MATCH($E32,'Simple CEA'!$E$7:$E$39,0),MATCH(BE$2,'Simple CEA'!$H$2:$AB$2,0)),INDEX('Simple CEA'!$H$7:$AB$39,MATCH($E32,'Simple CEA'!$E$7:$E$39,0),MATCH(BE$3,'Simple CEA'!$H$3:$AB$3,0)))</f>
        <v>0.03641455178</v>
      </c>
      <c r="BG32" s="834">
        <f t="shared" ref="BG32:BG33" si="60">BF32*(1+BG15)</f>
        <v>0.05826328284</v>
      </c>
      <c r="BH32" s="832">
        <f t="shared" ref="BH32:BH33" si="61">BI32*(1+BH15)</f>
        <v>0.05731966998</v>
      </c>
      <c r="BI32" s="833">
        <f t="array" ref="BI32">IF(BH$3="",INDEX('Simple CEA'!$H$7:$AB$39,MATCH($E32,'Simple CEA'!$E$7:$E$39,0),MATCH(BH$2,'Simple CEA'!$H$2:$AB$2,0)),INDEX('Simple CEA'!$H$7:$AB$39,MATCH($E32,'Simple CEA'!$E$7:$E$39,0),MATCH(BH$3,'Simple CEA'!$H$3:$AB$3,0)))</f>
        <v>0.143299175</v>
      </c>
      <c r="BJ32" s="834">
        <f t="shared" ref="BJ32:BJ33" si="62">BI32*(1+BJ15)</f>
        <v>0.2292786799</v>
      </c>
      <c r="BK32" s="832">
        <f t="shared" ref="BK32:BK33" si="63">BL32*(1+BK15)</f>
        <v>0.01328770444</v>
      </c>
      <c r="BL32" s="833">
        <f t="array" ref="BL32">IF(BK$3="",INDEX('Simple CEA'!$H$7:$AB$39,MATCH($E32,'Simple CEA'!$E$7:$E$39,0),MATCH(BK$2,'Simple CEA'!$H$2:$AB$2,0)),INDEX('Simple CEA'!$H$7:$AB$39,MATCH($E32,'Simple CEA'!$E$7:$E$39,0),MATCH(BK$3,'Simple CEA'!$H$3:$AB$3,0)))</f>
        <v>0.03321926111</v>
      </c>
      <c r="BM32" s="834">
        <f t="shared" ref="BM32:BM33" si="64">BL32*(1+BM15)</f>
        <v>0.05315081778</v>
      </c>
      <c r="BN32" s="841"/>
    </row>
    <row r="33">
      <c r="A33" s="63"/>
      <c r="B33" s="64"/>
      <c r="C33" s="420"/>
      <c r="D33" s="64"/>
      <c r="E33" s="625" t="s">
        <v>557</v>
      </c>
      <c r="F33" s="880">
        <f t="shared" si="33"/>
        <v>0.1723080764</v>
      </c>
      <c r="G33" s="868">
        <f t="array" ref="G33">IF(F$3="",INDEX('Simple CEA'!$H$7:$AB$39,MATCH($E33,'Simple CEA'!$E$7:$E$39,0),MATCH(F$2,'Simple CEA'!$H$2:$AB$2,0)),INDEX('Simple CEA'!$H$7:$AB$39,MATCH($E33,'Simple CEA'!$E$7:$E$39,0),MATCH(F$3,'Simple CEA'!$H$3:$AB$3,0)))</f>
        <v>0.3132874116</v>
      </c>
      <c r="H33" s="881">
        <f t="shared" si="34"/>
        <v>0.4542667468</v>
      </c>
      <c r="I33" s="880">
        <f t="shared" si="35"/>
        <v>0.1143807737</v>
      </c>
      <c r="J33" s="868">
        <f t="array" ref="J33">IF(I$3="",INDEX('Simple CEA'!$H$7:$AB$39,MATCH($E33,'Simple CEA'!$E$7:$E$39,0),MATCH(I$2,'Simple CEA'!$H$2:$AB$2,0)),INDEX('Simple CEA'!$H$7:$AB$39,MATCH($E33,'Simple CEA'!$E$7:$E$39,0),MATCH(I$3,'Simple CEA'!$H$3:$AB$3,0)))</f>
        <v>0.2079650431</v>
      </c>
      <c r="K33" s="881">
        <f t="shared" si="36"/>
        <v>0.3015493125</v>
      </c>
      <c r="L33" s="880">
        <f t="shared" si="37"/>
        <v>0.2039324848</v>
      </c>
      <c r="M33" s="868">
        <f t="array" ref="M33">IF(L$3="",INDEX('Simple CEA'!$H$7:$AB$39,MATCH($E33,'Simple CEA'!$E$7:$E$39,0),MATCH(L$2,'Simple CEA'!$H$2:$AB$2,0)),INDEX('Simple CEA'!$H$7:$AB$39,MATCH($E33,'Simple CEA'!$E$7:$E$39,0),MATCH(L$3,'Simple CEA'!$H$3:$AB$3,0)))</f>
        <v>0.3707863359</v>
      </c>
      <c r="N33" s="881">
        <f t="shared" si="38"/>
        <v>0.5376401871</v>
      </c>
      <c r="O33" s="918" t="s">
        <v>132</v>
      </c>
      <c r="P33" s="863" t="s">
        <v>132</v>
      </c>
      <c r="Q33" s="919" t="s">
        <v>132</v>
      </c>
      <c r="R33" s="918" t="s">
        <v>132</v>
      </c>
      <c r="S33" s="863" t="s">
        <v>132</v>
      </c>
      <c r="T33" s="919" t="s">
        <v>132</v>
      </c>
      <c r="U33" s="918" t="s">
        <v>132</v>
      </c>
      <c r="V33" s="863" t="s">
        <v>132</v>
      </c>
      <c r="W33" s="919" t="s">
        <v>132</v>
      </c>
      <c r="X33" s="918" t="s">
        <v>132</v>
      </c>
      <c r="Y33" s="863" t="s">
        <v>132</v>
      </c>
      <c r="Z33" s="919" t="s">
        <v>132</v>
      </c>
      <c r="AA33" s="880">
        <f t="shared" si="39"/>
        <v>0.186430825</v>
      </c>
      <c r="AB33" s="868">
        <f t="array" ref="AB33">IF(AA$3="",INDEX('Simple CEA'!$H$7:$AB$39,MATCH($E33,'Simple CEA'!$E$7:$E$39,0),MATCH(AA$2,'Simple CEA'!$H$2:$AB$2,0)),INDEX('Simple CEA'!$H$7:$AB$39,MATCH($E33,'Simple CEA'!$E$7:$E$39,0),MATCH(AA$3,'Simple CEA'!$H$3:$AB$3,0)))</f>
        <v>0.3389651363</v>
      </c>
      <c r="AC33" s="881">
        <f t="shared" si="40"/>
        <v>0.4914994477</v>
      </c>
      <c r="AD33" s="880">
        <f t="shared" si="41"/>
        <v>0.1287179001</v>
      </c>
      <c r="AE33" s="868">
        <f t="array" ref="AE33">IF(AD$3="",INDEX('Simple CEA'!$H$7:$AB$39,MATCH($E33,'Simple CEA'!$E$7:$E$39,0),MATCH(AD$2,'Simple CEA'!$H$2:$AB$2,0)),INDEX('Simple CEA'!$H$7:$AB$39,MATCH($E33,'Simple CEA'!$E$7:$E$39,0),MATCH(AD$3,'Simple CEA'!$H$3:$AB$3,0)))</f>
        <v>0.2340325456</v>
      </c>
      <c r="AF33" s="881">
        <f t="shared" si="42"/>
        <v>0.3393471911</v>
      </c>
      <c r="AG33" s="880">
        <f t="shared" si="43"/>
        <v>0.1416134174</v>
      </c>
      <c r="AH33" s="868">
        <f t="array" ref="AH33">IF(AG$3="",INDEX('Simple CEA'!$H$7:$AB$39,MATCH($E33,'Simple CEA'!$E$7:$E$39,0),MATCH(AG$2,'Simple CEA'!$H$2:$AB$2,0)),INDEX('Simple CEA'!$H$7:$AB$39,MATCH($E33,'Simple CEA'!$E$7:$E$39,0),MATCH(AG$3,'Simple CEA'!$H$3:$AB$3,0)))</f>
        <v>0.2574789408</v>
      </c>
      <c r="AI33" s="881">
        <f t="shared" si="44"/>
        <v>0.3733444641</v>
      </c>
      <c r="AJ33" s="880">
        <f t="shared" si="45"/>
        <v>0.1772381406</v>
      </c>
      <c r="AK33" s="868">
        <f t="array" ref="AK33">IF(AJ$3="",INDEX('Simple CEA'!$H$7:$AB$39,MATCH($E33,'Simple CEA'!$E$7:$E$39,0),MATCH(AJ$2,'Simple CEA'!$H$2:$AB$2,0)),INDEX('Simple CEA'!$H$7:$AB$39,MATCH($E33,'Simple CEA'!$E$7:$E$39,0),MATCH(AJ$3,'Simple CEA'!$H$3:$AB$3,0)))</f>
        <v>0.3222511648</v>
      </c>
      <c r="AL33" s="881">
        <f t="shared" si="46"/>
        <v>0.4672641889</v>
      </c>
      <c r="AM33" s="880">
        <f t="shared" si="47"/>
        <v>0.1050504105</v>
      </c>
      <c r="AN33" s="868">
        <f t="array" ref="AN33">IF(AM$3="",INDEX('Simple CEA'!$H$7:$AB$39,MATCH($E33,'Simple CEA'!$E$7:$E$39,0),MATCH(AM$2,'Simple CEA'!$H$2:$AB$2,0)),INDEX('Simple CEA'!$H$7:$AB$39,MATCH($E33,'Simple CEA'!$E$7:$E$39,0),MATCH(AM$3,'Simple CEA'!$H$3:$AB$3,0)))</f>
        <v>0.1910007464</v>
      </c>
      <c r="AO33" s="881">
        <f t="shared" si="48"/>
        <v>0.2769510823</v>
      </c>
      <c r="AP33" s="880">
        <f t="shared" si="49"/>
        <v>0.1754993927</v>
      </c>
      <c r="AQ33" s="868">
        <f t="array" ref="AQ33">IF(AP$3="",INDEX('Simple CEA'!$H$7:$AB$39,MATCH($E33,'Simple CEA'!$E$7:$E$39,0),MATCH(AP$2,'Simple CEA'!$H$2:$AB$2,0)),INDEX('Simple CEA'!$H$7:$AB$39,MATCH($E33,'Simple CEA'!$E$7:$E$39,0),MATCH(AP$3,'Simple CEA'!$H$3:$AB$3,0)))</f>
        <v>0.3190898049</v>
      </c>
      <c r="AR33" s="881">
        <f t="shared" si="50"/>
        <v>0.4626802171</v>
      </c>
      <c r="AS33" s="880">
        <f t="shared" si="51"/>
        <v>0.1516202809</v>
      </c>
      <c r="AT33" s="868">
        <f t="array" ref="AT33">IF(AS$3="",INDEX('Simple CEA'!$H$7:$AB$39,MATCH($E33,'Simple CEA'!$E$7:$E$39,0),MATCH(AS$2,'Simple CEA'!$H$2:$AB$2,0)),INDEX('Simple CEA'!$H$7:$AB$39,MATCH($E33,'Simple CEA'!$E$7:$E$39,0),MATCH(AS$3,'Simple CEA'!$H$3:$AB$3,0)))</f>
        <v>0.275673238</v>
      </c>
      <c r="AU33" s="881">
        <f t="shared" si="52"/>
        <v>0.399726195</v>
      </c>
      <c r="AV33" s="880">
        <f t="shared" si="53"/>
        <v>0.2282804955</v>
      </c>
      <c r="AW33" s="868">
        <f t="array" ref="AW33">IF(AV$3="",INDEX('Simple CEA'!$H$7:$AB$39,MATCH($E33,'Simple CEA'!$E$7:$E$39,0),MATCH(AV$2,'Simple CEA'!$H$2:$AB$2,0)),INDEX('Simple CEA'!$H$7:$AB$39,MATCH($E33,'Simple CEA'!$E$7:$E$39,0),MATCH(AV$3,'Simple CEA'!$H$3:$AB$3,0)))</f>
        <v>0.4150554464</v>
      </c>
      <c r="AX33" s="881">
        <f t="shared" si="54"/>
        <v>0.6018303972</v>
      </c>
      <c r="AY33" s="880">
        <f t="shared" si="55"/>
        <v>0.1629219839</v>
      </c>
      <c r="AZ33" s="868">
        <f t="array" ref="AZ33">IF(AY$3="",INDEX('Simple CEA'!$H$7:$AB$39,MATCH($E33,'Simple CEA'!$E$7:$E$39,0),MATCH(AY$2,'Simple CEA'!$H$2:$AB$2,0)),INDEX('Simple CEA'!$H$7:$AB$39,MATCH($E33,'Simple CEA'!$E$7:$E$39,0),MATCH(AY$3,'Simple CEA'!$H$3:$AB$3,0)))</f>
        <v>0.2962217889</v>
      </c>
      <c r="BA33" s="881">
        <f t="shared" si="56"/>
        <v>0.4295215939</v>
      </c>
      <c r="BB33" s="880">
        <f t="shared" si="57"/>
        <v>0.09139570167</v>
      </c>
      <c r="BC33" s="868">
        <f t="array" ref="BC33">IF(BB$3="",INDEX('Simple CEA'!$H$7:$AB$39,MATCH($E33,'Simple CEA'!$E$7:$E$39,0),MATCH(BB$2,'Simple CEA'!$H$2:$AB$2,0)),INDEX('Simple CEA'!$H$7:$AB$39,MATCH($E33,'Simple CEA'!$E$7:$E$39,0),MATCH(BB$3,'Simple CEA'!$H$3:$AB$3,0)))</f>
        <v>0.166174003</v>
      </c>
      <c r="BD33" s="881">
        <f t="shared" si="58"/>
        <v>0.2409523044</v>
      </c>
      <c r="BE33" s="880">
        <f t="shared" si="59"/>
        <v>0.1461761387</v>
      </c>
      <c r="BF33" s="868">
        <f t="array" ref="BF33">IF(BE$3="",INDEX('Simple CEA'!$H$7:$AB$39,MATCH($E33,'Simple CEA'!$E$7:$E$39,0),MATCH(BE$2,'Simple CEA'!$H$2:$AB$2,0)),INDEX('Simple CEA'!$H$7:$AB$39,MATCH($E33,'Simple CEA'!$E$7:$E$39,0),MATCH(BE$3,'Simple CEA'!$H$3:$AB$3,0)))</f>
        <v>0.2657747977</v>
      </c>
      <c r="BG33" s="881">
        <f t="shared" si="60"/>
        <v>0.3853734567</v>
      </c>
      <c r="BH33" s="880">
        <f t="shared" si="61"/>
        <v>0.2409120904</v>
      </c>
      <c r="BI33" s="868">
        <f t="array" ref="BI33">IF(BH$3="",INDEX('Simple CEA'!$H$7:$AB$39,MATCH($E33,'Simple CEA'!$E$7:$E$39,0),MATCH(BH$2,'Simple CEA'!$H$2:$AB$2,0)),INDEX('Simple CEA'!$H$7:$AB$39,MATCH($E33,'Simple CEA'!$E$7:$E$39,0),MATCH(BH$3,'Simple CEA'!$H$3:$AB$3,0)))</f>
        <v>0.4380219825</v>
      </c>
      <c r="BJ33" s="881">
        <f t="shared" si="62"/>
        <v>0.6351318747</v>
      </c>
      <c r="BK33" s="880">
        <f t="shared" si="63"/>
        <v>0.3255875662</v>
      </c>
      <c r="BL33" s="868">
        <f t="array" ref="BL33">IF(BK$3="",INDEX('Simple CEA'!$H$7:$AB$39,MATCH($E33,'Simple CEA'!$E$7:$E$39,0),MATCH(BK$2,'Simple CEA'!$H$2:$AB$2,0)),INDEX('Simple CEA'!$H$7:$AB$39,MATCH($E33,'Simple CEA'!$E$7:$E$39,0),MATCH(BK$3,'Simple CEA'!$H$3:$AB$3,0)))</f>
        <v>0.5919773931</v>
      </c>
      <c r="BM33" s="881">
        <f t="shared" si="64"/>
        <v>0.8583672201</v>
      </c>
      <c r="BN33" s="874"/>
    </row>
    <row r="34">
      <c r="A34" s="63"/>
      <c r="B34" s="64"/>
      <c r="C34" s="420"/>
      <c r="D34" s="64"/>
      <c r="E34" s="420"/>
      <c r="F34" s="63"/>
      <c r="G34" s="64"/>
      <c r="H34" s="67"/>
      <c r="I34" s="63"/>
      <c r="J34" s="64"/>
      <c r="K34" s="67"/>
      <c r="L34" s="63"/>
      <c r="M34" s="64"/>
      <c r="N34" s="67"/>
      <c r="O34" s="63"/>
      <c r="P34" s="875"/>
      <c r="Q34" s="67"/>
      <c r="R34" s="63"/>
      <c r="S34" s="875"/>
      <c r="T34" s="67"/>
      <c r="U34" s="63"/>
      <c r="V34" s="875"/>
      <c r="W34" s="67"/>
      <c r="X34" s="63"/>
      <c r="Y34" s="875"/>
      <c r="Z34" s="67"/>
      <c r="AA34" s="63"/>
      <c r="AB34" s="64"/>
      <c r="AC34" s="67"/>
      <c r="AD34" s="63"/>
      <c r="AE34" s="64"/>
      <c r="AF34" s="67"/>
      <c r="AG34" s="63"/>
      <c r="AH34" s="64"/>
      <c r="AI34" s="67"/>
      <c r="AJ34" s="63"/>
      <c r="AK34" s="64"/>
      <c r="AL34" s="67"/>
      <c r="AM34" s="63"/>
      <c r="AN34" s="64"/>
      <c r="AO34" s="67"/>
      <c r="AP34" s="63"/>
      <c r="AQ34" s="64"/>
      <c r="AR34" s="67"/>
      <c r="AS34" s="63"/>
      <c r="AT34" s="64"/>
      <c r="AU34" s="67"/>
      <c r="AV34" s="63"/>
      <c r="AW34" s="64"/>
      <c r="AX34" s="67"/>
      <c r="AY34" s="63"/>
      <c r="AZ34" s="64"/>
      <c r="BA34" s="67"/>
      <c r="BB34" s="63"/>
      <c r="BC34" s="64"/>
      <c r="BD34" s="67"/>
      <c r="BE34" s="63"/>
      <c r="BF34" s="64"/>
      <c r="BG34" s="67"/>
      <c r="BH34" s="63"/>
      <c r="BI34" s="64"/>
      <c r="BJ34" s="67"/>
      <c r="BK34" s="63"/>
      <c r="BL34" s="64"/>
      <c r="BM34" s="67"/>
      <c r="BN34" s="67"/>
    </row>
    <row r="35">
      <c r="A35" s="63"/>
      <c r="B35" s="64"/>
      <c r="C35" s="270" t="s">
        <v>562</v>
      </c>
      <c r="F35" s="63"/>
      <c r="G35" s="64"/>
      <c r="H35" s="67"/>
      <c r="I35" s="63"/>
      <c r="J35" s="64"/>
      <c r="K35" s="67"/>
      <c r="L35" s="63"/>
      <c r="M35" s="64"/>
      <c r="N35" s="67"/>
      <c r="O35" s="63"/>
      <c r="P35" s="875"/>
      <c r="Q35" s="67"/>
      <c r="R35" s="63"/>
      <c r="S35" s="875"/>
      <c r="T35" s="67"/>
      <c r="U35" s="63"/>
      <c r="V35" s="875"/>
      <c r="W35" s="67"/>
      <c r="X35" s="63"/>
      <c r="Y35" s="875"/>
      <c r="Z35" s="67"/>
      <c r="AA35" s="63"/>
      <c r="AB35" s="64"/>
      <c r="AC35" s="67"/>
      <c r="AD35" s="63"/>
      <c r="AE35" s="64"/>
      <c r="AF35" s="67"/>
      <c r="AG35" s="63"/>
      <c r="AH35" s="64"/>
      <c r="AI35" s="67"/>
      <c r="AJ35" s="63"/>
      <c r="AK35" s="64"/>
      <c r="AL35" s="67"/>
      <c r="AM35" s="63"/>
      <c r="AN35" s="64"/>
      <c r="AO35" s="67"/>
      <c r="AP35" s="63"/>
      <c r="AQ35" s="64"/>
      <c r="AR35" s="67"/>
      <c r="AS35" s="63"/>
      <c r="AT35" s="64"/>
      <c r="AU35" s="67"/>
      <c r="AV35" s="63"/>
      <c r="AW35" s="64"/>
      <c r="AX35" s="67"/>
      <c r="AY35" s="63"/>
      <c r="AZ35" s="64"/>
      <c r="BA35" s="67"/>
      <c r="BB35" s="63"/>
      <c r="BC35" s="64"/>
      <c r="BD35" s="67"/>
      <c r="BE35" s="63"/>
      <c r="BF35" s="64"/>
      <c r="BG35" s="67"/>
      <c r="BH35" s="63"/>
      <c r="BI35" s="64"/>
      <c r="BJ35" s="67"/>
      <c r="BK35" s="63"/>
      <c r="BL35" s="64"/>
      <c r="BM35" s="67"/>
      <c r="BN35" s="67"/>
    </row>
    <row r="36">
      <c r="A36" s="63"/>
      <c r="B36" s="64"/>
      <c r="C36" s="420"/>
      <c r="D36" s="64"/>
      <c r="E36" s="775" t="s">
        <v>563</v>
      </c>
      <c r="F36" s="832">
        <f t="shared" ref="F36:F37" si="65">G36*(1+F19)</f>
        <v>0.04775</v>
      </c>
      <c r="G36" s="833">
        <f t="array" ref="G36">IF(F$3="",INDEX('Simple CEA'!$H$7:$AB$39,MATCH($E36,'Simple CEA'!$E$7:$E$39,0),MATCH(F$2,'Simple CEA'!$H$2:$AB$2,0)),INDEX('Simple CEA'!$H$7:$AB$39,MATCH($E36,'Simple CEA'!$E$7:$E$39,0),MATCH(F$3,'Simple CEA'!$H$3:$AB$3,0)))</f>
        <v>0.191</v>
      </c>
      <c r="H36" s="834">
        <f t="shared" ref="H36:H37" si="66">G36*(1+H19)</f>
        <v>0.33425</v>
      </c>
      <c r="I36" s="832">
        <f t="shared" ref="I36:I37" si="67">J36*(1+I19)</f>
        <v>0.10845</v>
      </c>
      <c r="J36" s="833">
        <f t="array" ref="J36">IF(I$3="",INDEX('Simple CEA'!$H$7:$AB$39,MATCH($E36,'Simple CEA'!$E$7:$E$39,0),MATCH(I$2,'Simple CEA'!$H$2:$AB$2,0)),INDEX('Simple CEA'!$H$7:$AB$39,MATCH($E36,'Simple CEA'!$E$7:$E$39,0),MATCH(I$3,'Simple CEA'!$H$3:$AB$3,0)))</f>
        <v>0.241</v>
      </c>
      <c r="K36" s="834">
        <f t="shared" ref="K36:K37" si="68">J36*(1+K19)</f>
        <v>0.37355</v>
      </c>
      <c r="L36" s="832">
        <f t="shared" ref="L36:L37" si="69">M36*(1+L19)</f>
        <v>0.02115</v>
      </c>
      <c r="M36" s="833">
        <f t="array" ref="M36">IF(L$3="",INDEX('Simple CEA'!$H$7:$AB$39,MATCH($E36,'Simple CEA'!$E$7:$E$39,0),MATCH(L$2,'Simple CEA'!$H$2:$AB$2,0)),INDEX('Simple CEA'!$H$7:$AB$39,MATCH($E36,'Simple CEA'!$E$7:$E$39,0),MATCH(L$3,'Simple CEA'!$H$3:$AB$3,0)))</f>
        <v>0.141</v>
      </c>
      <c r="N36" s="834">
        <f t="shared" ref="N36:N37" si="70">M36*(1+N19)</f>
        <v>0.26085</v>
      </c>
      <c r="O36" s="908" t="s">
        <v>132</v>
      </c>
      <c r="P36" s="826" t="s">
        <v>132</v>
      </c>
      <c r="Q36" s="910" t="s">
        <v>132</v>
      </c>
      <c r="R36" s="908" t="s">
        <v>132</v>
      </c>
      <c r="S36" s="826" t="s">
        <v>132</v>
      </c>
      <c r="T36" s="910" t="s">
        <v>132</v>
      </c>
      <c r="U36" s="908" t="s">
        <v>132</v>
      </c>
      <c r="V36" s="826" t="s">
        <v>132</v>
      </c>
      <c r="W36" s="910" t="s">
        <v>132</v>
      </c>
      <c r="X36" s="908" t="s">
        <v>132</v>
      </c>
      <c r="Y36" s="826" t="s">
        <v>132</v>
      </c>
      <c r="Z36" s="910" t="s">
        <v>132</v>
      </c>
      <c r="AA36" s="832">
        <f t="shared" ref="AA36:AA37" si="71">AB36*(1+AA19)</f>
        <v>0.0724</v>
      </c>
      <c r="AB36" s="833">
        <f t="array" ref="AB36">IF(AA$3="",INDEX('Simple CEA'!$H$7:$AB$39,MATCH($E36,'Simple CEA'!$E$7:$E$39,0),MATCH(AA$2,'Simple CEA'!$H$2:$AB$2,0)),INDEX('Simple CEA'!$H$7:$AB$39,MATCH($E36,'Simple CEA'!$E$7:$E$39,0),MATCH(AA$3,'Simple CEA'!$H$3:$AB$3,0)))</f>
        <v>0.181</v>
      </c>
      <c r="AC36" s="834">
        <f t="shared" ref="AC36:AC37" si="72">AB36*(1+AC19)</f>
        <v>0.2896</v>
      </c>
      <c r="AD36" s="832">
        <f t="shared" ref="AD36:AD37" si="73">AE36*(1+AD19)</f>
        <v>0.22165</v>
      </c>
      <c r="AE36" s="833">
        <f t="array" ref="AE36">IF(AD$3="",INDEX('Simple CEA'!$H$7:$AB$39,MATCH($E36,'Simple CEA'!$E$7:$E$39,0),MATCH(AD$2,'Simple CEA'!$H$2:$AB$2,0)),INDEX('Simple CEA'!$H$7:$AB$39,MATCH($E36,'Simple CEA'!$E$7:$E$39,0),MATCH(AD$3,'Simple CEA'!$H$3:$AB$3,0)))</f>
        <v>0.341</v>
      </c>
      <c r="AF36" s="834">
        <f t="shared" ref="AF36:AF37" si="74">AE36*(1+AF19)</f>
        <v>0.46035</v>
      </c>
      <c r="AG36" s="832">
        <f t="shared" ref="AG36:AG37" si="75">AH36*(1+AG19)</f>
        <v>0.22165</v>
      </c>
      <c r="AH36" s="833">
        <f t="array" ref="AH36">IF(AG$3="",INDEX('Simple CEA'!$H$7:$AB$39,MATCH($E36,'Simple CEA'!$E$7:$E$39,0),MATCH(AG$2,'Simple CEA'!$H$2:$AB$2,0)),INDEX('Simple CEA'!$H$7:$AB$39,MATCH($E36,'Simple CEA'!$E$7:$E$39,0),MATCH(AG$3,'Simple CEA'!$H$3:$AB$3,0)))</f>
        <v>0.341</v>
      </c>
      <c r="AI36" s="834">
        <f t="shared" ref="AI36:AI37" si="76">AH36*(1+AI19)</f>
        <v>0.46035</v>
      </c>
      <c r="AJ36" s="832">
        <f t="shared" ref="AJ36:AJ37" si="77">AK36*(1+AJ19)</f>
        <v>0.22165</v>
      </c>
      <c r="AK36" s="833">
        <f t="array" ref="AK36">IF(AJ$3="",INDEX('Simple CEA'!$H$7:$AB$39,MATCH($E36,'Simple CEA'!$E$7:$E$39,0),MATCH(AJ$2,'Simple CEA'!$H$2:$AB$2,0)),INDEX('Simple CEA'!$H$7:$AB$39,MATCH($E36,'Simple CEA'!$E$7:$E$39,0),MATCH(AJ$3,'Simple CEA'!$H$3:$AB$3,0)))</f>
        <v>0.341</v>
      </c>
      <c r="AL36" s="834">
        <f t="shared" ref="AL36:AL37" si="78">AK36*(1+AL19)</f>
        <v>0.46035</v>
      </c>
      <c r="AM36" s="832">
        <f t="shared" ref="AM36:AM37" si="79">AN36*(1+AM19)</f>
        <v>0.22165</v>
      </c>
      <c r="AN36" s="833">
        <f t="array" ref="AN36">IF(AM$3="",INDEX('Simple CEA'!$H$7:$AB$39,MATCH($E36,'Simple CEA'!$E$7:$E$39,0),MATCH(AM$2,'Simple CEA'!$H$2:$AB$2,0)),INDEX('Simple CEA'!$H$7:$AB$39,MATCH($E36,'Simple CEA'!$E$7:$E$39,0),MATCH(AM$3,'Simple CEA'!$H$3:$AB$3,0)))</f>
        <v>0.341</v>
      </c>
      <c r="AO36" s="834">
        <f t="shared" ref="AO36:AO37" si="80">AN36*(1+AO19)</f>
        <v>0.46035</v>
      </c>
      <c r="AP36" s="832">
        <f t="shared" ref="AP36:AP37" si="81">AQ36*(1+AP19)</f>
        <v>0.22165</v>
      </c>
      <c r="AQ36" s="833">
        <f t="array" ref="AQ36">IF(AP$3="",INDEX('Simple CEA'!$H$7:$AB$39,MATCH($E36,'Simple CEA'!$E$7:$E$39,0),MATCH(AP$2,'Simple CEA'!$H$2:$AB$2,0)),INDEX('Simple CEA'!$H$7:$AB$39,MATCH($E36,'Simple CEA'!$E$7:$E$39,0),MATCH(AP$3,'Simple CEA'!$H$3:$AB$3,0)))</f>
        <v>0.341</v>
      </c>
      <c r="AR36" s="834">
        <f t="shared" ref="AR36:AR37" si="82">AQ36*(1+AR19)</f>
        <v>0.46035</v>
      </c>
      <c r="AS36" s="832">
        <f t="shared" ref="AS36:AS37" si="83">AT36*(1+AS19)</f>
        <v>0.22165</v>
      </c>
      <c r="AT36" s="833">
        <f t="array" ref="AT36">IF(AS$3="",INDEX('Simple CEA'!$H$7:$AB$39,MATCH($E36,'Simple CEA'!$E$7:$E$39,0),MATCH(AS$2,'Simple CEA'!$H$2:$AB$2,0)),INDEX('Simple CEA'!$H$7:$AB$39,MATCH($E36,'Simple CEA'!$E$7:$E$39,0),MATCH(AS$3,'Simple CEA'!$H$3:$AB$3,0)))</f>
        <v>0.341</v>
      </c>
      <c r="AU36" s="834">
        <f t="shared" ref="AU36:AU37" si="84">AT36*(1+AU19)</f>
        <v>0.46035</v>
      </c>
      <c r="AV36" s="832">
        <f t="shared" ref="AV36:AV37" si="85">AW36*(1+AV19)</f>
        <v>0.22165</v>
      </c>
      <c r="AW36" s="833">
        <f t="array" ref="AW36">IF(AV$3="",INDEX('Simple CEA'!$H$7:$AB$39,MATCH($E36,'Simple CEA'!$E$7:$E$39,0),MATCH(AV$2,'Simple CEA'!$H$2:$AB$2,0)),INDEX('Simple CEA'!$H$7:$AB$39,MATCH($E36,'Simple CEA'!$E$7:$E$39,0),MATCH(AV$3,'Simple CEA'!$H$3:$AB$3,0)))</f>
        <v>0.341</v>
      </c>
      <c r="AX36" s="834">
        <f t="shared" ref="AX36:AX37" si="86">AW36*(1+AX19)</f>
        <v>0.46035</v>
      </c>
      <c r="AY36" s="832">
        <f t="shared" ref="AY36:AY37" si="87">AZ36*(1+AY19)</f>
        <v>0.22165</v>
      </c>
      <c r="AZ36" s="833">
        <f t="array" ref="AZ36">IF(AY$3="",INDEX('Simple CEA'!$H$7:$AB$39,MATCH($E36,'Simple CEA'!$E$7:$E$39,0),MATCH(AY$2,'Simple CEA'!$H$2:$AB$2,0)),INDEX('Simple CEA'!$H$7:$AB$39,MATCH($E36,'Simple CEA'!$E$7:$E$39,0),MATCH(AY$3,'Simple CEA'!$H$3:$AB$3,0)))</f>
        <v>0.341</v>
      </c>
      <c r="BA36" s="834">
        <f t="shared" ref="BA36:BA37" si="88">AZ36*(1+BA19)</f>
        <v>0.46035</v>
      </c>
      <c r="BB36" s="832">
        <f t="shared" ref="BB36:BB37" si="89">BC36*(1+BB19)</f>
        <v>0.22165</v>
      </c>
      <c r="BC36" s="833">
        <f t="array" ref="BC36">IF(BB$3="",INDEX('Simple CEA'!$H$7:$AB$39,MATCH($E36,'Simple CEA'!$E$7:$E$39,0),MATCH(BB$2,'Simple CEA'!$H$2:$AB$2,0)),INDEX('Simple CEA'!$H$7:$AB$39,MATCH($E36,'Simple CEA'!$E$7:$E$39,0),MATCH(BB$3,'Simple CEA'!$H$3:$AB$3,0)))</f>
        <v>0.341</v>
      </c>
      <c r="BD36" s="834">
        <f t="shared" ref="BD36:BD37" si="90">BC36*(1+BD19)</f>
        <v>0.46035</v>
      </c>
      <c r="BE36" s="832">
        <f t="shared" ref="BE36:BE37" si="91">BF36*(1+BE19)</f>
        <v>0.2046</v>
      </c>
      <c r="BF36" s="833">
        <f t="array" ref="BF36">IF(BE$3="",INDEX('Simple CEA'!$H$7:$AB$39,MATCH($E36,'Simple CEA'!$E$7:$E$39,0),MATCH(BE$2,'Simple CEA'!$H$2:$AB$2,0)),INDEX('Simple CEA'!$H$7:$AB$39,MATCH($E36,'Simple CEA'!$E$7:$E$39,0),MATCH(BE$3,'Simple CEA'!$H$3:$AB$3,0)))</f>
        <v>0.341</v>
      </c>
      <c r="BG36" s="834">
        <f t="shared" ref="BG36:BG37" si="92">BF36*(1+BG19)</f>
        <v>0.4774</v>
      </c>
      <c r="BH36" s="832">
        <f t="shared" ref="BH36:BH37" si="93">BI36*(1+BH19)</f>
        <v>0.16005</v>
      </c>
      <c r="BI36" s="833">
        <f t="array" ref="BI36">IF(BH$3="",INDEX('Simple CEA'!$H$7:$AB$39,MATCH($E36,'Simple CEA'!$E$7:$E$39,0),MATCH(BH$2,'Simple CEA'!$H$2:$AB$2,0)),INDEX('Simple CEA'!$H$7:$AB$39,MATCH($E36,'Simple CEA'!$E$7:$E$39,0),MATCH(BH$3,'Simple CEA'!$H$3:$AB$3,0)))</f>
        <v>0.291</v>
      </c>
      <c r="BJ36" s="834">
        <f t="shared" ref="BJ36:BJ37" si="94">BI36*(1+BJ19)</f>
        <v>0.42195</v>
      </c>
      <c r="BK36" s="832">
        <f t="shared" ref="BK36:BK37" si="95">BL36*(1+BK19)</f>
        <v>0.0724</v>
      </c>
      <c r="BL36" s="833">
        <f t="array" ref="BL36">IF(BK$3="",INDEX('Simple CEA'!$H$7:$AB$39,MATCH($E36,'Simple CEA'!$E$7:$E$39,0),MATCH(BK$2,'Simple CEA'!$H$2:$AB$2,0)),INDEX('Simple CEA'!$H$7:$AB$39,MATCH($E36,'Simple CEA'!$E$7:$E$39,0),MATCH(BK$3,'Simple CEA'!$H$3:$AB$3,0)))</f>
        <v>0.181</v>
      </c>
      <c r="BM36" s="834">
        <f t="shared" ref="BM36:BM37" si="96">BL36*(1+BM19)</f>
        <v>0.2896</v>
      </c>
      <c r="BN36" s="841"/>
    </row>
    <row r="37">
      <c r="A37" s="63"/>
      <c r="B37" s="64"/>
      <c r="C37" s="420"/>
      <c r="D37" s="64"/>
      <c r="E37" s="590" t="s">
        <v>564</v>
      </c>
      <c r="F37" s="849">
        <f t="shared" si="65"/>
        <v>-0.144</v>
      </c>
      <c r="G37" s="850">
        <f t="array" ref="G37">IF(F$3="",INDEX('Simple CEA'!$H$7:$AB$39,MATCH($E37,'Simple CEA'!$E$7:$E$39,0),MATCH(F$2,'Simple CEA'!$H$2:$AB$2,0)),INDEX('Simple CEA'!$H$7:$AB$39,MATCH($E37,'Simple CEA'!$E$7:$E$39,0),MATCH(F$3,'Simple CEA'!$H$3:$AB$3,0)))</f>
        <v>-0.08</v>
      </c>
      <c r="H37" s="851">
        <f t="shared" si="66"/>
        <v>-0.016</v>
      </c>
      <c r="I37" s="849">
        <f t="shared" si="67"/>
        <v>-0.144</v>
      </c>
      <c r="J37" s="850">
        <f t="array" ref="J37">IF(I$3="",INDEX('Simple CEA'!$H$7:$AB$39,MATCH($E37,'Simple CEA'!$E$7:$E$39,0),MATCH(I$2,'Simple CEA'!$H$2:$AB$2,0)),INDEX('Simple CEA'!$H$7:$AB$39,MATCH($E37,'Simple CEA'!$E$7:$E$39,0),MATCH(I$3,'Simple CEA'!$H$3:$AB$3,0)))</f>
        <v>-0.08</v>
      </c>
      <c r="K37" s="851">
        <f t="shared" si="68"/>
        <v>-0.016</v>
      </c>
      <c r="L37" s="849">
        <f t="shared" si="69"/>
        <v>-0.144</v>
      </c>
      <c r="M37" s="850">
        <f t="array" ref="M37">IF(L$3="",INDEX('Simple CEA'!$H$7:$AB$39,MATCH($E37,'Simple CEA'!$E$7:$E$39,0),MATCH(L$2,'Simple CEA'!$H$2:$AB$2,0)),INDEX('Simple CEA'!$H$7:$AB$39,MATCH($E37,'Simple CEA'!$E$7:$E$39,0),MATCH(L$3,'Simple CEA'!$H$3:$AB$3,0)))</f>
        <v>-0.08</v>
      </c>
      <c r="N37" s="851">
        <f t="shared" si="70"/>
        <v>-0.016</v>
      </c>
      <c r="O37" s="914" t="s">
        <v>132</v>
      </c>
      <c r="P37" s="843" t="s">
        <v>132</v>
      </c>
      <c r="Q37" s="915" t="s">
        <v>132</v>
      </c>
      <c r="R37" s="914" t="s">
        <v>132</v>
      </c>
      <c r="S37" s="843" t="s">
        <v>132</v>
      </c>
      <c r="T37" s="915" t="s">
        <v>132</v>
      </c>
      <c r="U37" s="914" t="s">
        <v>132</v>
      </c>
      <c r="V37" s="843" t="s">
        <v>132</v>
      </c>
      <c r="W37" s="915" t="s">
        <v>132</v>
      </c>
      <c r="X37" s="914" t="s">
        <v>132</v>
      </c>
      <c r="Y37" s="843" t="s">
        <v>132</v>
      </c>
      <c r="Z37" s="915" t="s">
        <v>132</v>
      </c>
      <c r="AA37" s="849">
        <f t="shared" si="71"/>
        <v>-0.144</v>
      </c>
      <c r="AB37" s="850">
        <f t="array" ref="AB37">IF(AA$3="",INDEX('Simple CEA'!$H$7:$AB$39,MATCH($E37,'Simple CEA'!$E$7:$E$39,0),MATCH(AA$2,'Simple CEA'!$H$2:$AB$2,0)),INDEX('Simple CEA'!$H$7:$AB$39,MATCH($E37,'Simple CEA'!$E$7:$E$39,0),MATCH(AA$3,'Simple CEA'!$H$3:$AB$3,0)))</f>
        <v>-0.08</v>
      </c>
      <c r="AC37" s="851">
        <f t="shared" si="72"/>
        <v>-0.016</v>
      </c>
      <c r="AD37" s="849">
        <f t="shared" si="73"/>
        <v>-0.144</v>
      </c>
      <c r="AE37" s="850">
        <f t="array" ref="AE37">IF(AD$3="",INDEX('Simple CEA'!$H$7:$AB$39,MATCH($E37,'Simple CEA'!$E$7:$E$39,0),MATCH(AD$2,'Simple CEA'!$H$2:$AB$2,0)),INDEX('Simple CEA'!$H$7:$AB$39,MATCH($E37,'Simple CEA'!$E$7:$E$39,0),MATCH(AD$3,'Simple CEA'!$H$3:$AB$3,0)))</f>
        <v>-0.08</v>
      </c>
      <c r="AF37" s="851">
        <f t="shared" si="74"/>
        <v>-0.016</v>
      </c>
      <c r="AG37" s="849">
        <f t="shared" si="75"/>
        <v>-0.144</v>
      </c>
      <c r="AH37" s="850">
        <f t="array" ref="AH37">IF(AG$3="",INDEX('Simple CEA'!$H$7:$AB$39,MATCH($E37,'Simple CEA'!$E$7:$E$39,0),MATCH(AG$2,'Simple CEA'!$H$2:$AB$2,0)),INDEX('Simple CEA'!$H$7:$AB$39,MATCH($E37,'Simple CEA'!$E$7:$E$39,0),MATCH(AG$3,'Simple CEA'!$H$3:$AB$3,0)))</f>
        <v>-0.08</v>
      </c>
      <c r="AI37" s="851">
        <f t="shared" si="76"/>
        <v>-0.016</v>
      </c>
      <c r="AJ37" s="849">
        <f t="shared" si="77"/>
        <v>-0.144</v>
      </c>
      <c r="AK37" s="850">
        <f t="array" ref="AK37">IF(AJ$3="",INDEX('Simple CEA'!$H$7:$AB$39,MATCH($E37,'Simple CEA'!$E$7:$E$39,0),MATCH(AJ$2,'Simple CEA'!$H$2:$AB$2,0)),INDEX('Simple CEA'!$H$7:$AB$39,MATCH($E37,'Simple CEA'!$E$7:$E$39,0),MATCH(AJ$3,'Simple CEA'!$H$3:$AB$3,0)))</f>
        <v>-0.08</v>
      </c>
      <c r="AL37" s="851">
        <f t="shared" si="78"/>
        <v>-0.016</v>
      </c>
      <c r="AM37" s="849">
        <f t="shared" si="79"/>
        <v>-0.144</v>
      </c>
      <c r="AN37" s="850">
        <f t="array" ref="AN37">IF(AM$3="",INDEX('Simple CEA'!$H$7:$AB$39,MATCH($E37,'Simple CEA'!$E$7:$E$39,0),MATCH(AM$2,'Simple CEA'!$H$2:$AB$2,0)),INDEX('Simple CEA'!$H$7:$AB$39,MATCH($E37,'Simple CEA'!$E$7:$E$39,0),MATCH(AM$3,'Simple CEA'!$H$3:$AB$3,0)))</f>
        <v>-0.08</v>
      </c>
      <c r="AO37" s="851">
        <f t="shared" si="80"/>
        <v>-0.016</v>
      </c>
      <c r="AP37" s="849">
        <f t="shared" si="81"/>
        <v>-0.144</v>
      </c>
      <c r="AQ37" s="850">
        <f t="array" ref="AQ37">IF(AP$3="",INDEX('Simple CEA'!$H$7:$AB$39,MATCH($E37,'Simple CEA'!$E$7:$E$39,0),MATCH(AP$2,'Simple CEA'!$H$2:$AB$2,0)),INDEX('Simple CEA'!$H$7:$AB$39,MATCH($E37,'Simple CEA'!$E$7:$E$39,0),MATCH(AP$3,'Simple CEA'!$H$3:$AB$3,0)))</f>
        <v>-0.08</v>
      </c>
      <c r="AR37" s="851">
        <f t="shared" si="82"/>
        <v>-0.016</v>
      </c>
      <c r="AS37" s="849">
        <f t="shared" si="83"/>
        <v>-0.144</v>
      </c>
      <c r="AT37" s="850">
        <f t="array" ref="AT37">IF(AS$3="",INDEX('Simple CEA'!$H$7:$AB$39,MATCH($E37,'Simple CEA'!$E$7:$E$39,0),MATCH(AS$2,'Simple CEA'!$H$2:$AB$2,0)),INDEX('Simple CEA'!$H$7:$AB$39,MATCH($E37,'Simple CEA'!$E$7:$E$39,0),MATCH(AS$3,'Simple CEA'!$H$3:$AB$3,0)))</f>
        <v>-0.08</v>
      </c>
      <c r="AU37" s="851">
        <f t="shared" si="84"/>
        <v>-0.016</v>
      </c>
      <c r="AV37" s="849">
        <f t="shared" si="85"/>
        <v>-0.144</v>
      </c>
      <c r="AW37" s="850">
        <f t="array" ref="AW37">IF(AV$3="",INDEX('Simple CEA'!$H$7:$AB$39,MATCH($E37,'Simple CEA'!$E$7:$E$39,0),MATCH(AV$2,'Simple CEA'!$H$2:$AB$2,0)),INDEX('Simple CEA'!$H$7:$AB$39,MATCH($E37,'Simple CEA'!$E$7:$E$39,0),MATCH(AV$3,'Simple CEA'!$H$3:$AB$3,0)))</f>
        <v>-0.08</v>
      </c>
      <c r="AX37" s="851">
        <f t="shared" si="86"/>
        <v>-0.016</v>
      </c>
      <c r="AY37" s="849">
        <f t="shared" si="87"/>
        <v>-0.144</v>
      </c>
      <c r="AZ37" s="850">
        <f t="array" ref="AZ37">IF(AY$3="",INDEX('Simple CEA'!$H$7:$AB$39,MATCH($E37,'Simple CEA'!$E$7:$E$39,0),MATCH(AY$2,'Simple CEA'!$H$2:$AB$2,0)),INDEX('Simple CEA'!$H$7:$AB$39,MATCH($E37,'Simple CEA'!$E$7:$E$39,0),MATCH(AY$3,'Simple CEA'!$H$3:$AB$3,0)))</f>
        <v>-0.08</v>
      </c>
      <c r="BA37" s="851">
        <f t="shared" si="88"/>
        <v>-0.016</v>
      </c>
      <c r="BB37" s="849">
        <f t="shared" si="89"/>
        <v>-0.144</v>
      </c>
      <c r="BC37" s="850">
        <f t="array" ref="BC37">IF(BB$3="",INDEX('Simple CEA'!$H$7:$AB$39,MATCH($E37,'Simple CEA'!$E$7:$E$39,0),MATCH(BB$2,'Simple CEA'!$H$2:$AB$2,0)),INDEX('Simple CEA'!$H$7:$AB$39,MATCH($E37,'Simple CEA'!$E$7:$E$39,0),MATCH(BB$3,'Simple CEA'!$H$3:$AB$3,0)))</f>
        <v>-0.08</v>
      </c>
      <c r="BD37" s="851">
        <f t="shared" si="90"/>
        <v>-0.016</v>
      </c>
      <c r="BE37" s="849">
        <f t="shared" si="91"/>
        <v>-0.144</v>
      </c>
      <c r="BF37" s="850">
        <f t="array" ref="BF37">IF(BE$3="",INDEX('Simple CEA'!$H$7:$AB$39,MATCH($E37,'Simple CEA'!$E$7:$E$39,0),MATCH(BE$2,'Simple CEA'!$H$2:$AB$2,0)),INDEX('Simple CEA'!$H$7:$AB$39,MATCH($E37,'Simple CEA'!$E$7:$E$39,0),MATCH(BE$3,'Simple CEA'!$H$3:$AB$3,0)))</f>
        <v>-0.08</v>
      </c>
      <c r="BG37" s="851">
        <f t="shared" si="92"/>
        <v>-0.016</v>
      </c>
      <c r="BH37" s="849">
        <f t="shared" si="93"/>
        <v>-0.144</v>
      </c>
      <c r="BI37" s="850">
        <f t="array" ref="BI37">IF(BH$3="",INDEX('Simple CEA'!$H$7:$AB$39,MATCH($E37,'Simple CEA'!$E$7:$E$39,0),MATCH(BH$2,'Simple CEA'!$H$2:$AB$2,0)),INDEX('Simple CEA'!$H$7:$AB$39,MATCH($E37,'Simple CEA'!$E$7:$E$39,0),MATCH(BH$3,'Simple CEA'!$H$3:$AB$3,0)))</f>
        <v>-0.08</v>
      </c>
      <c r="BJ37" s="851">
        <f t="shared" si="94"/>
        <v>-0.016</v>
      </c>
      <c r="BK37" s="849">
        <f t="shared" si="95"/>
        <v>-0.144</v>
      </c>
      <c r="BL37" s="850">
        <f t="array" ref="BL37">IF(BK$3="",INDEX('Simple CEA'!$H$7:$AB$39,MATCH($E37,'Simple CEA'!$E$7:$E$39,0),MATCH(BK$2,'Simple CEA'!$H$2:$AB$2,0)),INDEX('Simple CEA'!$H$7:$AB$39,MATCH($E37,'Simple CEA'!$E$7:$E$39,0),MATCH(BK$3,'Simple CEA'!$H$3:$AB$3,0)))</f>
        <v>-0.08</v>
      </c>
      <c r="BM37" s="851">
        <f t="shared" si="96"/>
        <v>-0.016</v>
      </c>
      <c r="BN37" s="621"/>
    </row>
    <row r="38">
      <c r="A38" s="63"/>
      <c r="B38" s="64"/>
      <c r="C38" s="420"/>
      <c r="D38" s="64"/>
      <c r="E38" s="920" t="s">
        <v>565</v>
      </c>
      <c r="F38" s="921"/>
      <c r="G38" s="922">
        <f>'Simple CEA'!I36</f>
        <v>-0.004005444451</v>
      </c>
      <c r="H38" s="923"/>
      <c r="I38" s="921"/>
      <c r="J38" s="922">
        <f>'Simple CEA'!J36</f>
        <v>-0.005978161521</v>
      </c>
      <c r="K38" s="923"/>
      <c r="L38" s="921"/>
      <c r="M38" s="922">
        <f>'Simple CEA'!K36</f>
        <v>-0.008251293564</v>
      </c>
      <c r="N38" s="923"/>
      <c r="O38" s="924"/>
      <c r="P38" s="925"/>
      <c r="Q38" s="926"/>
      <c r="R38" s="924"/>
      <c r="S38" s="925"/>
      <c r="T38" s="926"/>
      <c r="U38" s="924"/>
      <c r="V38" s="925"/>
      <c r="W38" s="926"/>
      <c r="X38" s="924"/>
      <c r="Y38" s="925"/>
      <c r="Z38" s="926"/>
      <c r="AA38" s="921"/>
      <c r="AB38" s="922">
        <f>'Simple CEA'!P36</f>
        <v>-0.01033457603</v>
      </c>
      <c r="AC38" s="923"/>
      <c r="AD38" s="921"/>
      <c r="AE38" s="922">
        <f>'Simple CEA'!Q36</f>
        <v>-0.002334426295</v>
      </c>
      <c r="AF38" s="923"/>
      <c r="AG38" s="921"/>
      <c r="AH38" s="922">
        <f>'Simple CEA'!R36</f>
        <v>-0.002607870542</v>
      </c>
      <c r="AI38" s="923"/>
      <c r="AJ38" s="921"/>
      <c r="AK38" s="922">
        <f>'Simple CEA'!S36</f>
        <v>-0.01006406082</v>
      </c>
      <c r="AL38" s="923"/>
      <c r="AM38" s="921"/>
      <c r="AN38" s="922">
        <f>'Simple CEA'!T36</f>
        <v>-0.001873480249</v>
      </c>
      <c r="AO38" s="923"/>
      <c r="AP38" s="921"/>
      <c r="AQ38" s="922">
        <f>'Simple CEA'!U36</f>
        <v>-0.005250946615</v>
      </c>
      <c r="AR38" s="923"/>
      <c r="AS38" s="921"/>
      <c r="AT38" s="922">
        <f>'Simple CEA'!V36</f>
        <v>-0.00440740143</v>
      </c>
      <c r="AU38" s="923"/>
      <c r="AV38" s="921"/>
      <c r="AW38" s="922">
        <f>'Simple CEA'!W36</f>
        <v>-0.007231344834</v>
      </c>
      <c r="AX38" s="923"/>
      <c r="AY38" s="921"/>
      <c r="AZ38" s="922">
        <f>'Simple CEA'!X36</f>
        <v>-0.004664506279</v>
      </c>
      <c r="BA38" s="923"/>
      <c r="BB38" s="921"/>
      <c r="BC38" s="922">
        <f>'Simple CEA'!Y36</f>
        <v>-0.002061582971</v>
      </c>
      <c r="BD38" s="923"/>
      <c r="BE38" s="921"/>
      <c r="BF38" s="922">
        <f>'Simple CEA'!Z36</f>
        <v>-0.02198909007</v>
      </c>
      <c r="BG38" s="923"/>
      <c r="BH38" s="921"/>
      <c r="BI38" s="922">
        <f>'Simple CEA'!AA36</f>
        <v>-0.00428173624</v>
      </c>
      <c r="BJ38" s="923"/>
      <c r="BK38" s="921"/>
      <c r="BL38" s="922">
        <f>'Simple CEA'!AB36</f>
        <v>-0.01284532724</v>
      </c>
      <c r="BM38" s="923"/>
      <c r="BN38" s="927"/>
    </row>
    <row r="39">
      <c r="A39" s="928"/>
      <c r="B39" s="420"/>
      <c r="C39" s="420"/>
      <c r="D39" s="420"/>
      <c r="E39" s="625" t="s">
        <v>566</v>
      </c>
      <c r="F39" s="880">
        <f>G39*(1+F21)</f>
        <v>-0.5945636062</v>
      </c>
      <c r="G39" s="868">
        <f t="array" ref="G39">IF(F$3="",INDEX('Simple CEA'!$H$7:$AB$39,MATCH($E39,'Simple CEA'!$E$7:$E$39,0),MATCH(F$2,'Simple CEA'!$H$2:$AB$2,0)),INDEX('Simple CEA'!$H$7:$AB$39,MATCH($E39,'Simple CEA'!$E$7:$E$39,0),MATCH(F$3,'Simple CEA'!$H$3:$AB$3,0)))</f>
        <v>-0.3963757375</v>
      </c>
      <c r="H39" s="881">
        <f>G39*(1+H21)</f>
        <v>-0.1981878687</v>
      </c>
      <c r="I39" s="880">
        <f>J39*(1+I21)</f>
        <v>-0.3645288229</v>
      </c>
      <c r="J39" s="868">
        <f t="array" ref="J39">IF(I$3="",INDEX('Simple CEA'!$H$7:$AB$39,MATCH($E39,'Simple CEA'!$E$7:$E$39,0),MATCH(I$2,'Simple CEA'!$H$2:$AB$2,0)),INDEX('Simple CEA'!$H$7:$AB$39,MATCH($E39,'Simple CEA'!$E$7:$E$39,0),MATCH(I$3,'Simple CEA'!$H$3:$AB$3,0)))</f>
        <v>-0.2278305143</v>
      </c>
      <c r="K39" s="881">
        <f>J39*(1+K21)</f>
        <v>-0.09113220573</v>
      </c>
      <c r="L39" s="880">
        <f>M39*(1+L21)</f>
        <v>-0.402790167</v>
      </c>
      <c r="M39" s="868">
        <f t="array" ref="M39">IF(L$3="",INDEX('Simple CEA'!$H$7:$AB$39,MATCH($E39,'Simple CEA'!$E$7:$E$39,0),MATCH(L$2,'Simple CEA'!$H$2:$AB$2,0)),INDEX('Simple CEA'!$H$7:$AB$39,MATCH($E39,'Simple CEA'!$E$7:$E$39,0),MATCH(L$3,'Simple CEA'!$H$3:$AB$3,0)))</f>
        <v>-0.2369353924</v>
      </c>
      <c r="N39" s="881">
        <f>M39*(1+N21)</f>
        <v>-0.07108061771</v>
      </c>
      <c r="O39" s="916" t="s">
        <v>132</v>
      </c>
      <c r="P39" s="863" t="s">
        <v>132</v>
      </c>
      <c r="Q39" s="917" t="s">
        <v>132</v>
      </c>
      <c r="R39" s="916" t="s">
        <v>132</v>
      </c>
      <c r="S39" s="863" t="s">
        <v>132</v>
      </c>
      <c r="T39" s="917" t="s">
        <v>132</v>
      </c>
      <c r="U39" s="916" t="s">
        <v>132</v>
      </c>
      <c r="V39" s="863" t="s">
        <v>132</v>
      </c>
      <c r="W39" s="917" t="s">
        <v>132</v>
      </c>
      <c r="X39" s="916" t="s">
        <v>132</v>
      </c>
      <c r="Y39" s="863" t="s">
        <v>132</v>
      </c>
      <c r="Z39" s="917" t="s">
        <v>132</v>
      </c>
      <c r="AA39" s="880">
        <f>AB39*(1+AA21)</f>
        <v>-0.4120692241</v>
      </c>
      <c r="AB39" s="868">
        <f t="array" ref="AB39">IF(AA$3="",INDEX('Simple CEA'!$H$7:$AB$39,MATCH($E39,'Simple CEA'!$E$7:$E$39,0),MATCH(AA$2,'Simple CEA'!$H$2:$AB$2,0)),INDEX('Simple CEA'!$H$7:$AB$39,MATCH($E39,'Simple CEA'!$E$7:$E$39,0),MATCH(AA$3,'Simple CEA'!$H$3:$AB$3,0)))</f>
        <v>-0.206034612</v>
      </c>
      <c r="AC39" s="881">
        <f>AB39*(1+AC21)</f>
        <v>0</v>
      </c>
      <c r="AD39" s="880">
        <f>AE39*(1+AD21)</f>
        <v>-0.3235778019</v>
      </c>
      <c r="AE39" s="868">
        <f t="array" ref="AE39">IF(AD$3="",INDEX('Simple CEA'!$H$7:$AB$39,MATCH($E39,'Simple CEA'!$E$7:$E$39,0),MATCH(AD$2,'Simple CEA'!$H$2:$AB$2,0)),INDEX('Simple CEA'!$H$7:$AB$39,MATCH($E39,'Simple CEA'!$E$7:$E$39,0),MATCH(AD$3,'Simple CEA'!$H$3:$AB$3,0)))</f>
        <v>-0.1849016011</v>
      </c>
      <c r="AF39" s="881">
        <f>AE39*(1+AF21)</f>
        <v>-0.04622540026</v>
      </c>
      <c r="AG39" s="880">
        <f>AH39*(1+AG21)</f>
        <v>-0.185007148</v>
      </c>
      <c r="AH39" s="868">
        <f t="array" ref="AH39">IF(AG$3="",INDEX('Simple CEA'!$H$7:$AB$39,MATCH($E39,'Simple CEA'!$E$7:$E$39,0),MATCH(AG$2,'Simple CEA'!$H$2:$AB$2,0)),INDEX('Simple CEA'!$H$7:$AB$39,MATCH($E39,'Simple CEA'!$E$7:$E$39,0),MATCH(AG$3,'Simple CEA'!$H$3:$AB$3,0)))</f>
        <v>-0.09250357399</v>
      </c>
      <c r="AI39" s="881">
        <f>AH39*(1+AI21)</f>
        <v>0</v>
      </c>
      <c r="AJ39" s="880">
        <f>AK39*(1+AJ21)</f>
        <v>-0.1243733103</v>
      </c>
      <c r="AK39" s="868">
        <f t="array" ref="AK39">IF(AJ$3="",INDEX('Simple CEA'!$H$7:$AB$39,MATCH($E39,'Simple CEA'!$E$7:$E$39,0),MATCH(AJ$2,'Simple CEA'!$H$2:$AB$2,0)),INDEX('Simple CEA'!$H$7:$AB$39,MATCH($E39,'Simple CEA'!$E$7:$E$39,0),MATCH(AJ$3,'Simple CEA'!$H$3:$AB$3,0)))</f>
        <v>-0.07107046302</v>
      </c>
      <c r="AL39" s="881">
        <f>AK39*(1+AL21)</f>
        <v>-0.01776761575</v>
      </c>
      <c r="AM39" s="880">
        <f>AN39*(1+AM21)</f>
        <v>-0.3287950176</v>
      </c>
      <c r="AN39" s="868">
        <f t="array" ref="AN39">IF(AM$3="",INDEX('Simple CEA'!$H$7:$AB$39,MATCH($E39,'Simple CEA'!$E$7:$E$39,0),MATCH(AM$2,'Simple CEA'!$H$2:$AB$2,0)),INDEX('Simple CEA'!$H$7:$AB$39,MATCH($E39,'Simple CEA'!$E$7:$E$39,0),MATCH(AM$3,'Simple CEA'!$H$3:$AB$3,0)))</f>
        <v>-0.1878828672</v>
      </c>
      <c r="AO39" s="881">
        <f>AN39*(1+AO21)</f>
        <v>-0.0469707168</v>
      </c>
      <c r="AP39" s="880">
        <f>AQ39*(1+AP21)</f>
        <v>-0.1698118966</v>
      </c>
      <c r="AQ39" s="868">
        <f t="array" ref="AQ39">IF(AP$3="",INDEX('Simple CEA'!$H$7:$AB$39,MATCH($E39,'Simple CEA'!$E$7:$E$39,0),MATCH(AP$2,'Simple CEA'!$H$2:$AB$2,0)),INDEX('Simple CEA'!$H$7:$AB$39,MATCH($E39,'Simple CEA'!$E$7:$E$39,0),MATCH(AP$3,'Simple CEA'!$H$3:$AB$3,0)))</f>
        <v>-0.0849059483</v>
      </c>
      <c r="AR39" s="881">
        <f>AQ39*(1+AR21)</f>
        <v>0</v>
      </c>
      <c r="AS39" s="880">
        <f>AT39*(1+AS21)</f>
        <v>-0.3001148359</v>
      </c>
      <c r="AT39" s="868">
        <f t="array" ref="AT39">IF(AS$3="",INDEX('Simple CEA'!$H$7:$AB$39,MATCH($E39,'Simple CEA'!$E$7:$E$39,0),MATCH(AS$2,'Simple CEA'!$H$2:$AB$2,0)),INDEX('Simple CEA'!$H$7:$AB$39,MATCH($E39,'Simple CEA'!$E$7:$E$39,0),MATCH(AS$3,'Simple CEA'!$H$3:$AB$3,0)))</f>
        <v>-0.1714941919</v>
      </c>
      <c r="AU39" s="881">
        <f>AT39*(1+AU21)</f>
        <v>-0.04287354798</v>
      </c>
      <c r="AV39" s="880">
        <f>AW39*(1+AV21)</f>
        <v>-0.2451675778</v>
      </c>
      <c r="AW39" s="868">
        <f t="array" ref="AW39">IF(AV$3="",INDEX('Simple CEA'!$H$7:$AB$39,MATCH($E39,'Simple CEA'!$E$7:$E$39,0),MATCH(AV$2,'Simple CEA'!$H$2:$AB$2,0)),INDEX('Simple CEA'!$H$7:$AB$39,MATCH($E39,'Simple CEA'!$E$7:$E$39,0),MATCH(AV$3,'Simple CEA'!$H$3:$AB$3,0)))</f>
        <v>-0.1532297361</v>
      </c>
      <c r="AX39" s="881">
        <f>AW39*(1+AX21)</f>
        <v>-0.06129189445</v>
      </c>
      <c r="AY39" s="880">
        <f>AZ39*(1+AY21)</f>
        <v>-0.2972047952</v>
      </c>
      <c r="AZ39" s="868">
        <f t="array" ref="AZ39">IF(AY$3="",INDEX('Simple CEA'!$H$7:$AB$39,MATCH($E39,'Simple CEA'!$E$7:$E$39,0),MATCH(AY$2,'Simple CEA'!$H$2:$AB$2,0)),INDEX('Simple CEA'!$H$7:$AB$39,MATCH($E39,'Simple CEA'!$E$7:$E$39,0),MATCH(AY$3,'Simple CEA'!$H$3:$AB$3,0)))</f>
        <v>-0.1698313115</v>
      </c>
      <c r="BA39" s="881">
        <f>AZ39*(1+BA21)</f>
        <v>-0.04245782788</v>
      </c>
      <c r="BB39" s="880">
        <f>BC39*(1+BB21)</f>
        <v>-0.3173326637</v>
      </c>
      <c r="BC39" s="868">
        <f t="array" ref="BC39">IF(BB$3="",INDEX('Simple CEA'!$H$7:$AB$39,MATCH($E39,'Simple CEA'!$E$7:$E$39,0),MATCH(BB$2,'Simple CEA'!$H$2:$AB$2,0)),INDEX('Simple CEA'!$H$7:$AB$39,MATCH($E39,'Simple CEA'!$E$7:$E$39,0),MATCH(BB$3,'Simple CEA'!$H$3:$AB$3,0)))</f>
        <v>-0.1866662728</v>
      </c>
      <c r="BD39" s="881">
        <f>BC39*(1+BD21)</f>
        <v>-0.05599988183</v>
      </c>
      <c r="BE39" s="880">
        <f>BF39*(1+BE21)</f>
        <v>-0.04346263746</v>
      </c>
      <c r="BF39" s="868">
        <f t="array" ref="BF39">IF(BE$3="",INDEX('Simple CEA'!$H$7:$AB$39,MATCH($E39,'Simple CEA'!$E$7:$E$39,0),MATCH(BE$2,'Simple CEA'!$H$2:$AB$2,0)),INDEX('Simple CEA'!$H$7:$AB$39,MATCH($E39,'Simple CEA'!$E$7:$E$39,0),MATCH(BE$3,'Simple CEA'!$H$3:$AB$3,0)))</f>
        <v>-0.0241459097</v>
      </c>
      <c r="BG39" s="881">
        <f>BF39*(1+BG21)</f>
        <v>-0.00482918194</v>
      </c>
      <c r="BH39" s="880">
        <f>BI39*(1+BH21)</f>
        <v>-0.6662519475</v>
      </c>
      <c r="BI39" s="868">
        <f t="array" ref="BI39">IF(BH$3="",INDEX('Simple CEA'!$H$7:$AB$39,MATCH($E39,'Simple CEA'!$E$7:$E$39,0),MATCH(BH$2,'Simple CEA'!$H$2:$AB$2,0)),INDEX('Simple CEA'!$H$7:$AB$39,MATCH($E39,'Simple CEA'!$E$7:$E$39,0),MATCH(BH$3,'Simple CEA'!$H$3:$AB$3,0)))</f>
        <v>-0.444167965</v>
      </c>
      <c r="BJ39" s="881">
        <f>BI39*(1+BJ21)</f>
        <v>-0.2220839825</v>
      </c>
      <c r="BK39" s="880">
        <f>BL39*(1+BK21)</f>
        <v>-0.3261102349</v>
      </c>
      <c r="BL39" s="868">
        <f t="array" ref="BL39">IF(BK$3="",INDEX('Simple CEA'!$H$7:$AB$39,MATCH($E39,'Simple CEA'!$E$7:$E$39,0),MATCH(BK$2,'Simple CEA'!$H$2:$AB$2,0)),INDEX('Simple CEA'!$H$7:$AB$39,MATCH($E39,'Simple CEA'!$E$7:$E$39,0),MATCH(BK$3,'Simple CEA'!$H$3:$AB$3,0)))</f>
        <v>-0.1811723527</v>
      </c>
      <c r="BM39" s="881">
        <f>BL39*(1+BM21)</f>
        <v>-0.03623447055</v>
      </c>
      <c r="BN39" s="874"/>
    </row>
    <row r="40">
      <c r="A40" s="928"/>
      <c r="B40" s="420"/>
      <c r="C40" s="420"/>
      <c r="D40" s="420"/>
      <c r="E40" s="420"/>
      <c r="F40" s="929"/>
      <c r="G40" s="930"/>
      <c r="H40" s="931"/>
      <c r="I40" s="929"/>
      <c r="J40" s="930"/>
      <c r="K40" s="931"/>
      <c r="L40" s="930"/>
      <c r="M40" s="930"/>
      <c r="N40" s="930"/>
      <c r="O40" s="929"/>
      <c r="P40" s="930"/>
      <c r="Q40" s="931"/>
      <c r="R40" s="929"/>
      <c r="S40" s="930"/>
      <c r="T40" s="931"/>
      <c r="U40" s="929"/>
      <c r="V40" s="930"/>
      <c r="W40" s="931"/>
      <c r="X40" s="929"/>
      <c r="Y40" s="930"/>
      <c r="Z40" s="931"/>
      <c r="AA40" s="929"/>
      <c r="AB40" s="930"/>
      <c r="AC40" s="931"/>
      <c r="AD40" s="929"/>
      <c r="AE40" s="930"/>
      <c r="AF40" s="931"/>
      <c r="AG40" s="929"/>
      <c r="AH40" s="930"/>
      <c r="AI40" s="931"/>
      <c r="AJ40" s="929"/>
      <c r="AK40" s="930"/>
      <c r="AL40" s="931"/>
      <c r="AM40" s="929"/>
      <c r="AN40" s="930"/>
      <c r="AO40" s="931"/>
      <c r="AP40" s="929"/>
      <c r="AQ40" s="930"/>
      <c r="AR40" s="931"/>
      <c r="AS40" s="929"/>
      <c r="AT40" s="930"/>
      <c r="AU40" s="931"/>
      <c r="AV40" s="929"/>
      <c r="AW40" s="930"/>
      <c r="AX40" s="931"/>
      <c r="AY40" s="929"/>
      <c r="AZ40" s="930"/>
      <c r="BA40" s="931"/>
      <c r="BB40" s="929"/>
      <c r="BC40" s="930"/>
      <c r="BD40" s="931"/>
      <c r="BE40" s="930"/>
      <c r="BF40" s="930"/>
      <c r="BG40" s="930"/>
      <c r="BH40" s="929"/>
      <c r="BI40" s="930"/>
      <c r="BJ40" s="931"/>
      <c r="BK40" s="929"/>
      <c r="BL40" s="930"/>
      <c r="BM40" s="931"/>
      <c r="BN40" s="67"/>
    </row>
  </sheetData>
  <mergeCells count="71">
    <mergeCell ref="R3:T3"/>
    <mergeCell ref="U3:W3"/>
    <mergeCell ref="AS3:AU3"/>
    <mergeCell ref="AV3:AX3"/>
    <mergeCell ref="AY3:BA3"/>
    <mergeCell ref="BB3:BD3"/>
    <mergeCell ref="BE3:BG3"/>
    <mergeCell ref="BH3:BJ3"/>
    <mergeCell ref="BK3:BM3"/>
    <mergeCell ref="X3:Z3"/>
    <mergeCell ref="AA3:AC3"/>
    <mergeCell ref="AD3:AF3"/>
    <mergeCell ref="AG3:AI3"/>
    <mergeCell ref="AJ3:AL3"/>
    <mergeCell ref="AM3:AO3"/>
    <mergeCell ref="AP3:AR3"/>
    <mergeCell ref="X2:Z2"/>
    <mergeCell ref="AA2:AC2"/>
    <mergeCell ref="A3:E3"/>
    <mergeCell ref="F3:H3"/>
    <mergeCell ref="I3:K3"/>
    <mergeCell ref="L3:N3"/>
    <mergeCell ref="O3:Q3"/>
    <mergeCell ref="AS5:AU5"/>
    <mergeCell ref="AV5:AX5"/>
    <mergeCell ref="AY5:BA5"/>
    <mergeCell ref="BB5:BD5"/>
    <mergeCell ref="BE5:BG5"/>
    <mergeCell ref="BH5:BJ5"/>
    <mergeCell ref="BK5:BM5"/>
    <mergeCell ref="X5:Z5"/>
    <mergeCell ref="AA5:AC5"/>
    <mergeCell ref="AD5:AF5"/>
    <mergeCell ref="AG5:AI5"/>
    <mergeCell ref="AJ5:AL5"/>
    <mergeCell ref="AM5:AO5"/>
    <mergeCell ref="AP5:AR5"/>
    <mergeCell ref="A6:E6"/>
    <mergeCell ref="C8:E8"/>
    <mergeCell ref="C14:E14"/>
    <mergeCell ref="C18:E18"/>
    <mergeCell ref="A23:E23"/>
    <mergeCell ref="C25:E25"/>
    <mergeCell ref="C31:E31"/>
    <mergeCell ref="C35:E35"/>
    <mergeCell ref="A5:E5"/>
    <mergeCell ref="F5:H5"/>
    <mergeCell ref="I5:K5"/>
    <mergeCell ref="L5:N5"/>
    <mergeCell ref="O5:Q5"/>
    <mergeCell ref="R5:T5"/>
    <mergeCell ref="U5:W5"/>
    <mergeCell ref="AD2:AF2"/>
    <mergeCell ref="AG2:AI2"/>
    <mergeCell ref="AJ2:AL2"/>
    <mergeCell ref="AM2:AO2"/>
    <mergeCell ref="AP2:AR2"/>
    <mergeCell ref="AS2:AU2"/>
    <mergeCell ref="AV2:AX2"/>
    <mergeCell ref="AY2:BA2"/>
    <mergeCell ref="BB2:BD2"/>
    <mergeCell ref="BE2:BG2"/>
    <mergeCell ref="BH2:BJ2"/>
    <mergeCell ref="BK2:BM2"/>
    <mergeCell ref="F1:BM1"/>
    <mergeCell ref="F2:H2"/>
    <mergeCell ref="I2:K2"/>
    <mergeCell ref="L2:N2"/>
    <mergeCell ref="O2:Q2"/>
    <mergeCell ref="R2:T2"/>
    <mergeCell ref="U2:W2"/>
  </mergeCells>
  <conditionalFormatting sqref="F9:F12 H9:I12 K9:BM12 F15:F16 H15:I16 K15:BM16 F19:F21 H19:I21 K19:BM21">
    <cfRule type="colorScale" priority="1">
      <colorScale>
        <cfvo type="formula" val="-1"/>
        <cfvo type="formula" val="0"/>
        <cfvo type="formula" val="1"/>
        <color rgb="FFFFD966"/>
        <color rgb="FFFFFFFF"/>
        <color rgb="FFFFD966"/>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4" width="7.63"/>
    <col customWidth="1" min="55" max="55" width="9.38"/>
    <col customWidth="1" min="56" max="57" width="7.63"/>
    <col customWidth="1" min="58" max="58" width="9.38"/>
    <col customWidth="1" min="59" max="60" width="7.63"/>
    <col customWidth="1" min="61" max="61" width="9.38"/>
    <col customWidth="1" min="62" max="63" width="7.63"/>
    <col customWidth="1" min="64" max="64" width="9.38"/>
    <col customWidth="1" min="65" max="65" width="7.63"/>
    <col customWidth="1" min="66" max="66" width="3.63"/>
  </cols>
  <sheetData>
    <row r="1">
      <c r="A1" s="793"/>
      <c r="B1" s="794"/>
      <c r="C1" s="794"/>
      <c r="D1" s="794"/>
      <c r="E1" s="794"/>
      <c r="F1" s="795" t="s">
        <v>96</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370"/>
      <c r="BN1" s="796"/>
    </row>
    <row r="2">
      <c r="A2" s="797"/>
      <c r="B2" s="798"/>
      <c r="C2" s="798"/>
      <c r="D2" s="798"/>
      <c r="E2" s="798"/>
      <c r="F2" s="799" t="s">
        <v>97</v>
      </c>
      <c r="H2" s="800"/>
      <c r="I2" s="801" t="s">
        <v>98</v>
      </c>
      <c r="K2" s="800"/>
      <c r="L2" s="801" t="s">
        <v>99</v>
      </c>
      <c r="N2" s="800"/>
      <c r="O2" s="802" t="s">
        <v>100</v>
      </c>
      <c r="Q2" s="800"/>
      <c r="R2" s="802" t="s">
        <v>100</v>
      </c>
      <c r="T2" s="800"/>
      <c r="U2" s="802" t="s">
        <v>100</v>
      </c>
      <c r="W2" s="800"/>
      <c r="X2" s="802" t="s">
        <v>100</v>
      </c>
      <c r="Z2" s="800"/>
      <c r="AA2" s="802" t="s">
        <v>101</v>
      </c>
      <c r="AC2" s="800"/>
      <c r="AD2" s="802" t="s">
        <v>102</v>
      </c>
      <c r="AF2" s="800"/>
      <c r="AG2" s="802" t="s">
        <v>102</v>
      </c>
      <c r="AI2" s="800"/>
      <c r="AJ2" s="802" t="s">
        <v>102</v>
      </c>
      <c r="AL2" s="800"/>
      <c r="AM2" s="802" t="s">
        <v>102</v>
      </c>
      <c r="AO2" s="800"/>
      <c r="AP2" s="802" t="s">
        <v>102</v>
      </c>
      <c r="AR2" s="800"/>
      <c r="AS2" s="802" t="s">
        <v>102</v>
      </c>
      <c r="AU2" s="800"/>
      <c r="AV2" s="802" t="s">
        <v>102</v>
      </c>
      <c r="AX2" s="800"/>
      <c r="AY2" s="802" t="s">
        <v>102</v>
      </c>
      <c r="BA2" s="800"/>
      <c r="BB2" s="802" t="s">
        <v>102</v>
      </c>
      <c r="BD2" s="800"/>
      <c r="BE2" s="802" t="s">
        <v>103</v>
      </c>
      <c r="BG2" s="800"/>
      <c r="BH2" s="802" t="s">
        <v>104</v>
      </c>
      <c r="BJ2" s="800"/>
      <c r="BK2" s="802" t="s">
        <v>105</v>
      </c>
      <c r="BM2" s="800"/>
      <c r="BN2" s="803"/>
    </row>
    <row r="3">
      <c r="A3" s="804" t="s">
        <v>12</v>
      </c>
      <c r="F3" s="797"/>
      <c r="H3" s="800"/>
      <c r="I3" s="797"/>
      <c r="K3" s="800"/>
      <c r="L3" s="797"/>
      <c r="N3" s="800"/>
      <c r="O3" s="805" t="s">
        <v>110</v>
      </c>
      <c r="Q3" s="800"/>
      <c r="R3" s="805" t="s">
        <v>111</v>
      </c>
      <c r="T3" s="800"/>
      <c r="U3" s="805" t="s">
        <v>112</v>
      </c>
      <c r="W3" s="800"/>
      <c r="X3" s="805" t="s">
        <v>113</v>
      </c>
      <c r="Z3" s="800"/>
      <c r="AA3" s="805" t="s">
        <v>114</v>
      </c>
      <c r="AC3" s="800"/>
      <c r="AD3" s="805" t="s">
        <v>115</v>
      </c>
      <c r="AF3" s="800"/>
      <c r="AG3" s="805" t="s">
        <v>116</v>
      </c>
      <c r="AI3" s="800"/>
      <c r="AJ3" s="805" t="s">
        <v>117</v>
      </c>
      <c r="AL3" s="800"/>
      <c r="AM3" s="805" t="s">
        <v>118</v>
      </c>
      <c r="AO3" s="800"/>
      <c r="AP3" s="805" t="s">
        <v>119</v>
      </c>
      <c r="AR3" s="800"/>
      <c r="AS3" s="805" t="s">
        <v>120</v>
      </c>
      <c r="AU3" s="800"/>
      <c r="AV3" s="805" t="s">
        <v>121</v>
      </c>
      <c r="AX3" s="800"/>
      <c r="AY3" s="805" t="s">
        <v>122</v>
      </c>
      <c r="BA3" s="800"/>
      <c r="BB3" s="805" t="s">
        <v>123</v>
      </c>
      <c r="BD3" s="800"/>
      <c r="BE3" s="932" t="s">
        <v>577</v>
      </c>
      <c r="BG3" s="800"/>
      <c r="BH3" s="797"/>
      <c r="BJ3" s="800"/>
      <c r="BK3" s="799" t="s">
        <v>125</v>
      </c>
      <c r="BM3" s="800"/>
      <c r="BN3" s="803"/>
    </row>
    <row r="4">
      <c r="A4" s="797"/>
      <c r="B4" s="806"/>
      <c r="C4" s="806"/>
      <c r="D4" s="806"/>
      <c r="E4" s="806"/>
      <c r="F4" s="807" t="s">
        <v>570</v>
      </c>
      <c r="G4" s="808" t="s">
        <v>571</v>
      </c>
      <c r="H4" s="809" t="s">
        <v>572</v>
      </c>
      <c r="I4" s="810" t="s">
        <v>570</v>
      </c>
      <c r="J4" s="808" t="s">
        <v>571</v>
      </c>
      <c r="K4" s="809" t="s">
        <v>572</v>
      </c>
      <c r="L4" s="810" t="s">
        <v>570</v>
      </c>
      <c r="M4" s="808" t="s">
        <v>571</v>
      </c>
      <c r="N4" s="809" t="s">
        <v>572</v>
      </c>
      <c r="O4" s="808" t="s">
        <v>570</v>
      </c>
      <c r="P4" s="808" t="s">
        <v>571</v>
      </c>
      <c r="Q4" s="811" t="s">
        <v>572</v>
      </c>
      <c r="R4" s="808" t="s">
        <v>570</v>
      </c>
      <c r="S4" s="808" t="s">
        <v>571</v>
      </c>
      <c r="T4" s="811" t="s">
        <v>572</v>
      </c>
      <c r="U4" s="808" t="s">
        <v>570</v>
      </c>
      <c r="V4" s="808" t="s">
        <v>571</v>
      </c>
      <c r="W4" s="811" t="s">
        <v>572</v>
      </c>
      <c r="X4" s="808" t="s">
        <v>570</v>
      </c>
      <c r="Y4" s="808" t="s">
        <v>571</v>
      </c>
      <c r="Z4" s="811" t="s">
        <v>572</v>
      </c>
      <c r="AA4" s="808" t="s">
        <v>570</v>
      </c>
      <c r="AB4" s="808" t="s">
        <v>571</v>
      </c>
      <c r="AC4" s="811" t="s">
        <v>572</v>
      </c>
      <c r="AD4" s="808" t="s">
        <v>570</v>
      </c>
      <c r="AE4" s="808" t="s">
        <v>571</v>
      </c>
      <c r="AF4" s="811" t="s">
        <v>572</v>
      </c>
      <c r="AG4" s="808" t="s">
        <v>570</v>
      </c>
      <c r="AH4" s="808" t="s">
        <v>571</v>
      </c>
      <c r="AI4" s="811" t="s">
        <v>572</v>
      </c>
      <c r="AJ4" s="808" t="s">
        <v>570</v>
      </c>
      <c r="AK4" s="808" t="s">
        <v>571</v>
      </c>
      <c r="AL4" s="811" t="s">
        <v>572</v>
      </c>
      <c r="AM4" s="808" t="s">
        <v>570</v>
      </c>
      <c r="AN4" s="808" t="s">
        <v>571</v>
      </c>
      <c r="AO4" s="811" t="s">
        <v>572</v>
      </c>
      <c r="AP4" s="808" t="s">
        <v>570</v>
      </c>
      <c r="AQ4" s="808" t="s">
        <v>571</v>
      </c>
      <c r="AR4" s="811" t="s">
        <v>572</v>
      </c>
      <c r="AS4" s="808" t="s">
        <v>570</v>
      </c>
      <c r="AT4" s="808" t="s">
        <v>571</v>
      </c>
      <c r="AU4" s="811" t="s">
        <v>572</v>
      </c>
      <c r="AV4" s="808" t="s">
        <v>570</v>
      </c>
      <c r="AW4" s="808" t="s">
        <v>571</v>
      </c>
      <c r="AX4" s="811" t="s">
        <v>572</v>
      </c>
      <c r="AY4" s="808" t="s">
        <v>570</v>
      </c>
      <c r="AZ4" s="808" t="s">
        <v>571</v>
      </c>
      <c r="BA4" s="811" t="s">
        <v>572</v>
      </c>
      <c r="BB4" s="808" t="s">
        <v>570</v>
      </c>
      <c r="BC4" s="808" t="s">
        <v>571</v>
      </c>
      <c r="BD4" s="811" t="s">
        <v>572</v>
      </c>
      <c r="BE4" s="808" t="s">
        <v>570</v>
      </c>
      <c r="BF4" s="808" t="s">
        <v>571</v>
      </c>
      <c r="BG4" s="811" t="s">
        <v>572</v>
      </c>
      <c r="BH4" s="808" t="s">
        <v>570</v>
      </c>
      <c r="BI4" s="808" t="s">
        <v>571</v>
      </c>
      <c r="BJ4" s="811" t="s">
        <v>572</v>
      </c>
      <c r="BK4" s="808" t="s">
        <v>570</v>
      </c>
      <c r="BL4" s="808" t="s">
        <v>571</v>
      </c>
      <c r="BM4" s="811" t="s">
        <v>572</v>
      </c>
      <c r="BN4" s="812"/>
    </row>
    <row r="5">
      <c r="A5" s="813" t="s">
        <v>573</v>
      </c>
      <c r="B5" s="2"/>
      <c r="C5" s="2"/>
      <c r="D5" s="2"/>
      <c r="E5" s="2"/>
      <c r="F5" s="814">
        <f>'Main CEA'!I193</f>
        <v>13.31086766</v>
      </c>
      <c r="G5" s="37"/>
      <c r="H5" s="815"/>
      <c r="I5" s="814">
        <f>'Main CEA'!J193</f>
        <v>14.65302985</v>
      </c>
      <c r="J5" s="37"/>
      <c r="K5" s="815"/>
      <c r="L5" s="814">
        <f>'Main CEA'!K193</f>
        <v>8.518485599</v>
      </c>
      <c r="M5" s="37"/>
      <c r="N5" s="815"/>
      <c r="O5" s="814">
        <f>'Main CEA'!L193</f>
        <v>10.22702529</v>
      </c>
      <c r="P5" s="37"/>
      <c r="Q5" s="815"/>
      <c r="R5" s="814">
        <f>'Main CEA'!M193</f>
        <v>11.22452985</v>
      </c>
      <c r="S5" s="37"/>
      <c r="T5" s="815"/>
      <c r="U5" s="814">
        <f>'Main CEA'!N193</f>
        <v>12.20027136</v>
      </c>
      <c r="V5" s="37"/>
      <c r="W5" s="815"/>
      <c r="X5" s="814">
        <f>'Main CEA'!O193</f>
        <v>12.82122216</v>
      </c>
      <c r="Y5" s="37"/>
      <c r="Z5" s="815"/>
      <c r="AA5" s="814">
        <f>'Main CEA'!P193</f>
        <v>8.764840478</v>
      </c>
      <c r="AB5" s="37"/>
      <c r="AC5" s="815"/>
      <c r="AD5" s="814">
        <f>'Main CEA'!Q193</f>
        <v>49.5320273</v>
      </c>
      <c r="AE5" s="37"/>
      <c r="AF5" s="815"/>
      <c r="AG5" s="814">
        <f>'Main CEA'!R193</f>
        <v>55.53456784</v>
      </c>
      <c r="AH5" s="37"/>
      <c r="AI5" s="815"/>
      <c r="AJ5" s="814">
        <f>'Main CEA'!S193</f>
        <v>14.61278558</v>
      </c>
      <c r="AK5" s="37"/>
      <c r="AL5" s="815"/>
      <c r="AM5" s="814">
        <f>'Main CEA'!T193</f>
        <v>61.52736635</v>
      </c>
      <c r="AN5" s="37"/>
      <c r="AO5" s="815"/>
      <c r="AP5" s="814">
        <f>'Main CEA'!U193</f>
        <v>27.73213049</v>
      </c>
      <c r="AQ5" s="37"/>
      <c r="AR5" s="815"/>
      <c r="AS5" s="814">
        <f>'Main CEA'!V193</f>
        <v>26.60101901</v>
      </c>
      <c r="AT5" s="37"/>
      <c r="AU5" s="815"/>
      <c r="AV5" s="814">
        <f>'Main CEA'!W193</f>
        <v>16.51671098</v>
      </c>
      <c r="AW5" s="37"/>
      <c r="AX5" s="815"/>
      <c r="AY5" s="814">
        <f>'Main CEA'!X193</f>
        <v>25.17766224</v>
      </c>
      <c r="AZ5" s="37"/>
      <c r="BA5" s="815"/>
      <c r="BB5" s="814">
        <f>'Main CEA'!Y193</f>
        <v>55.98446773</v>
      </c>
      <c r="BC5" s="37"/>
      <c r="BD5" s="815"/>
      <c r="BE5" s="814">
        <f>'Main CEA'!Z193</f>
        <v>5.230381871</v>
      </c>
      <c r="BF5" s="37"/>
      <c r="BG5" s="815"/>
      <c r="BH5" s="814">
        <f>'Main CEA'!AA193</f>
        <v>8.013238575</v>
      </c>
      <c r="BI5" s="37"/>
      <c r="BJ5" s="815"/>
      <c r="BK5" s="814">
        <f>'Main CEA'!AB193</f>
        <v>6.778067282</v>
      </c>
      <c r="BL5" s="37"/>
      <c r="BM5" s="815"/>
      <c r="BN5" s="816"/>
    </row>
    <row r="6">
      <c r="A6" s="933" t="s">
        <v>578</v>
      </c>
      <c r="B6" s="6"/>
      <c r="C6" s="6"/>
      <c r="D6" s="6"/>
      <c r="E6" s="6"/>
      <c r="F6" s="934"/>
      <c r="G6" s="935"/>
      <c r="H6" s="936"/>
      <c r="I6" s="934"/>
      <c r="J6" s="935"/>
      <c r="K6" s="936"/>
      <c r="L6" s="934"/>
      <c r="M6" s="935"/>
      <c r="N6" s="936"/>
      <c r="O6" s="937"/>
      <c r="P6" s="938"/>
      <c r="Q6" s="939"/>
      <c r="R6" s="937"/>
      <c r="S6" s="938"/>
      <c r="T6" s="939"/>
      <c r="U6" s="937"/>
      <c r="V6" s="938"/>
      <c r="W6" s="939"/>
      <c r="X6" s="937"/>
      <c r="Y6" s="938"/>
      <c r="Z6" s="939"/>
      <c r="AA6" s="934"/>
      <c r="AB6" s="935"/>
      <c r="AC6" s="936"/>
      <c r="AD6" s="934"/>
      <c r="AE6" s="935"/>
      <c r="AF6" s="936"/>
      <c r="AG6" s="934"/>
      <c r="AH6" s="935"/>
      <c r="AI6" s="936"/>
      <c r="AJ6" s="934"/>
      <c r="AK6" s="935"/>
      <c r="AL6" s="936"/>
      <c r="AM6" s="934"/>
      <c r="AN6" s="935"/>
      <c r="AO6" s="936"/>
      <c r="AP6" s="934"/>
      <c r="AQ6" s="935"/>
      <c r="AR6" s="936"/>
      <c r="AS6" s="934"/>
      <c r="AT6" s="935"/>
      <c r="AU6" s="936"/>
      <c r="AV6" s="934"/>
      <c r="AW6" s="935"/>
      <c r="AX6" s="936"/>
      <c r="AY6" s="934"/>
      <c r="AZ6" s="935"/>
      <c r="BA6" s="936"/>
      <c r="BB6" s="934"/>
      <c r="BC6" s="935"/>
      <c r="BD6" s="936"/>
      <c r="BE6" s="934"/>
      <c r="BF6" s="935"/>
      <c r="BG6" s="936"/>
      <c r="BH6" s="934"/>
      <c r="BI6" s="935"/>
      <c r="BJ6" s="936"/>
      <c r="BK6" s="934"/>
      <c r="BL6" s="935"/>
      <c r="BM6" s="936"/>
      <c r="BN6" s="820"/>
    </row>
    <row r="7">
      <c r="A7" s="933" t="s">
        <v>579</v>
      </c>
      <c r="B7" s="6"/>
      <c r="C7" s="6"/>
      <c r="D7" s="6"/>
      <c r="E7" s="6"/>
      <c r="F7" s="818"/>
      <c r="G7" s="819"/>
      <c r="H7" s="820"/>
      <c r="I7" s="818"/>
      <c r="J7" s="819"/>
      <c r="K7" s="820"/>
      <c r="L7" s="818"/>
      <c r="M7" s="819"/>
      <c r="N7" s="820"/>
      <c r="O7" s="818"/>
      <c r="P7" s="938"/>
      <c r="Q7" s="820"/>
      <c r="R7" s="818"/>
      <c r="S7" s="938"/>
      <c r="T7" s="820"/>
      <c r="U7" s="818"/>
      <c r="V7" s="938"/>
      <c r="W7" s="820"/>
      <c r="X7" s="818"/>
      <c r="Y7" s="938"/>
      <c r="Z7" s="820"/>
      <c r="AA7" s="818"/>
      <c r="AB7" s="819"/>
      <c r="AC7" s="820"/>
      <c r="AD7" s="818"/>
      <c r="AE7" s="819"/>
      <c r="AF7" s="820"/>
      <c r="AG7" s="818"/>
      <c r="AH7" s="819"/>
      <c r="AI7" s="820"/>
      <c r="AJ7" s="818"/>
      <c r="AK7" s="819"/>
      <c r="AL7" s="820"/>
      <c r="AM7" s="818"/>
      <c r="AN7" s="819"/>
      <c r="AO7" s="820"/>
      <c r="AP7" s="818"/>
      <c r="AQ7" s="819"/>
      <c r="AR7" s="820"/>
      <c r="AS7" s="818"/>
      <c r="AT7" s="819"/>
      <c r="AU7" s="820"/>
      <c r="AV7" s="818"/>
      <c r="AW7" s="819"/>
      <c r="AX7" s="820"/>
      <c r="AY7" s="818"/>
      <c r="AZ7" s="819"/>
      <c r="BA7" s="820"/>
      <c r="BB7" s="818"/>
      <c r="BC7" s="819"/>
      <c r="BD7" s="820"/>
      <c r="BE7" s="818"/>
      <c r="BF7" s="819"/>
      <c r="BG7" s="820"/>
      <c r="BH7" s="818"/>
      <c r="BI7" s="819"/>
      <c r="BJ7" s="820"/>
      <c r="BK7" s="818"/>
      <c r="BL7" s="819"/>
      <c r="BM7" s="820"/>
      <c r="BN7" s="820"/>
    </row>
    <row r="8" hidden="1">
      <c r="A8" s="64"/>
      <c r="B8" s="64"/>
      <c r="C8" s="420"/>
      <c r="D8" s="420"/>
      <c r="E8" s="637" t="s">
        <v>580</v>
      </c>
      <c r="F8" s="940" t="s">
        <v>581</v>
      </c>
      <c r="G8" s="875"/>
      <c r="H8" s="941"/>
      <c r="I8" s="942"/>
      <c r="J8" s="875"/>
      <c r="K8" s="941"/>
      <c r="L8" s="942"/>
      <c r="M8" s="875"/>
      <c r="N8" s="941"/>
      <c r="O8" s="941"/>
      <c r="P8" s="875"/>
      <c r="Q8" s="941"/>
      <c r="R8" s="941"/>
      <c r="S8" s="875"/>
      <c r="T8" s="941"/>
      <c r="U8" s="941"/>
      <c r="V8" s="875"/>
      <c r="W8" s="941"/>
      <c r="X8" s="941"/>
      <c r="Y8" s="875"/>
      <c r="Z8" s="941"/>
      <c r="AA8" s="942"/>
      <c r="AB8" s="875"/>
      <c r="AC8" s="941"/>
      <c r="AD8" s="942"/>
      <c r="AE8" s="875"/>
      <c r="AF8" s="941"/>
      <c r="AG8" s="942"/>
      <c r="AH8" s="875"/>
      <c r="AI8" s="941"/>
      <c r="AJ8" s="942"/>
      <c r="AK8" s="875"/>
      <c r="AL8" s="941"/>
      <c r="AM8" s="942"/>
      <c r="AN8" s="875"/>
      <c r="AO8" s="941"/>
      <c r="AP8" s="942"/>
      <c r="AQ8" s="875"/>
      <c r="AR8" s="941"/>
      <c r="AS8" s="942"/>
      <c r="AT8" s="875"/>
      <c r="AU8" s="941"/>
      <c r="AV8" s="942"/>
      <c r="AW8" s="875"/>
      <c r="AX8" s="941"/>
      <c r="AY8" s="942"/>
      <c r="AZ8" s="875"/>
      <c r="BA8" s="941"/>
      <c r="BB8" s="942"/>
      <c r="BC8" s="875"/>
      <c r="BD8" s="941"/>
      <c r="BE8" s="942"/>
      <c r="BF8" s="875"/>
      <c r="BG8" s="941"/>
      <c r="BH8" s="942"/>
      <c r="BI8" s="875"/>
      <c r="BJ8" s="941"/>
      <c r="BK8" s="942"/>
      <c r="BL8" s="875"/>
      <c r="BM8" s="941"/>
      <c r="BN8" s="64"/>
    </row>
    <row r="9">
      <c r="A9" s="63"/>
      <c r="B9" s="64"/>
      <c r="C9" s="420"/>
      <c r="D9" s="64"/>
      <c r="E9" s="943" t="str">
        <f t="shared" ref="E9:E22" si="1">E28</f>
        <v>Grant size</v>
      </c>
      <c r="F9" s="944"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945" t="s">
        <v>132</v>
      </c>
      <c r="H9" s="946"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947"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948" t="s">
        <v>132</v>
      </c>
      <c r="K9" s="949"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947"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948" t="s">
        <v>132</v>
      </c>
      <c r="N9" s="949"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947" t="str">
        <f>IFERROR(__xludf.DUMMYFUNCTION("Iferror(IF(
  IFNA(
    FILTER(
      IMPORTRANGE($F$8,""'Sensitivity [""&amp;IF(O$3="""",O$2,O$2&amp;"", ""&amp;O$3)&amp;""]'!D1:D20""),
      IMPORTRANGE($F$8,""'Sensitivity [""&amp;IF(O$3="""",O$2,O$2&amp;"", ""&amp;O$3)&amp;""]'!A1:A20"")=$E9
    ),
    """"
  ) = """",
  ""-"",
  O"&amp;"$5 * ( 1 +
    IFNA(
      FILTER(
        IMPORTRANGE($F$8,""'Sensitivity [""&amp;IF(O$3="""",O$2,O$2&amp;"", ""&amp;O$3)&amp;""]'!D1:D20""),
        IMPORTRANGE($F$8,""'Sensitivity [""&amp;IF(O$3="""",O$2,O$2&amp;"", ""&amp;O$3)&amp;""]'!A1:A20"")=$E9
      ),
      """"
    )
  )
), "&amp;"""-"")
"),"-")</f>
        <v>-</v>
      </c>
      <c r="P9" s="948" t="s">
        <v>132</v>
      </c>
      <c r="Q9" s="949" t="str">
        <f>IFERROR(__xludf.DUMMYFUNCTION("iferror(IF(
  IFNA(
    FILTER(
      IMPORTRANGE($F$8,""'Sensitivity [""&amp;IF(O$3="""",O$2,O$2&amp;"", ""&amp;O$3)&amp;""]'!E1:E20""),
      IMPORTRANGE($F$8,""'Sensitivity [""&amp;IF(O$3="""",O$2,O$2&amp;"", ""&amp;O$3)&amp;""]'!A1:A20"")=$E9
    ),
    """"
  ) = """",
  ""-"",
  O"&amp;"$5 * ( 1 +
    IFNA(
      FILTER(
        IMPORTRANGE($F$8,""'Sensitivity [""&amp;IF(O$3="""",O$2,O$2&amp;"", ""&amp;O$3)&amp;""]'!E1:E20""),
        IMPORTRANGE($F$8,""'Sensitivity [""&amp;IF(O$3="""",O$2,O$2&amp;"", ""&amp;O$3)&amp;""]'!A1:A20"")=$E9
      ),
      """"
    )
  )
), "&amp;"""-"")
"),"-")</f>
        <v>-</v>
      </c>
      <c r="R9" s="947" t="str">
        <f>IFERROR(__xludf.DUMMYFUNCTION("Iferror(IF(
  IFNA(
    FILTER(
      IMPORTRANGE($F$8,""'Sensitivity [""&amp;IF(R$3="""",R$2,R$2&amp;"", ""&amp;R$3)&amp;""]'!D1:D20""),
      IMPORTRANGE($F$8,""'Sensitivity [""&amp;IF(R$3="""",R$2,R$2&amp;"", ""&amp;R$3)&amp;""]'!A1:A20"")=$E9
    ),
    """"
  ) = """",
  ""-"",
  R"&amp;"$5 * ( 1 +
    IFNA(
      FILTER(
        IMPORTRANGE($F$8,""'Sensitivity [""&amp;IF(R$3="""",R$2,R$2&amp;"", ""&amp;R$3)&amp;""]'!D1:D20""),
        IMPORTRANGE($F$8,""'Sensitivity [""&amp;IF(R$3="""",R$2,R$2&amp;"", ""&amp;R$3)&amp;""]'!A1:A20"")=$E9
      ),
      """"
    )
  )
), "&amp;"""-"")
"),"-")</f>
        <v>-</v>
      </c>
      <c r="S9" s="948" t="s">
        <v>132</v>
      </c>
      <c r="T9" s="949" t="str">
        <f>IFERROR(__xludf.DUMMYFUNCTION("iferror(IF(
  IFNA(
    FILTER(
      IMPORTRANGE($F$8,""'Sensitivity [""&amp;IF(R$3="""",R$2,R$2&amp;"", ""&amp;R$3)&amp;""]'!E1:E20""),
      IMPORTRANGE($F$8,""'Sensitivity [""&amp;IF(R$3="""",R$2,R$2&amp;"", ""&amp;R$3)&amp;""]'!A1:A20"")=$E9
    ),
    """"
  ) = """",
  ""-"",
  R"&amp;"$5 * ( 1 +
    IFNA(
      FILTER(
        IMPORTRANGE($F$8,""'Sensitivity [""&amp;IF(R$3="""",R$2,R$2&amp;"", ""&amp;R$3)&amp;""]'!E1:E20""),
        IMPORTRANGE($F$8,""'Sensitivity [""&amp;IF(R$3="""",R$2,R$2&amp;"", ""&amp;R$3)&amp;""]'!A1:A20"")=$E9
      ),
      """"
    )
  )
), "&amp;"""-"")
"),"-")</f>
        <v>-</v>
      </c>
      <c r="U9" s="947" t="str">
        <f>IFERROR(__xludf.DUMMYFUNCTION("Iferror(IF(
  IFNA(
    FILTER(
      IMPORTRANGE($F$8,""'Sensitivity [""&amp;IF(U$3="""",U$2,U$2&amp;"", ""&amp;U$3)&amp;""]'!D1:D20""),
      IMPORTRANGE($F$8,""'Sensitivity [""&amp;IF(U$3="""",U$2,U$2&amp;"", ""&amp;U$3)&amp;""]'!A1:A20"")=$E9
    ),
    """"
  ) = """",
  ""-"",
  U"&amp;"$5 * ( 1 +
    IFNA(
      FILTER(
        IMPORTRANGE($F$8,""'Sensitivity [""&amp;IF(U$3="""",U$2,U$2&amp;"", ""&amp;U$3)&amp;""]'!D1:D20""),
        IMPORTRANGE($F$8,""'Sensitivity [""&amp;IF(U$3="""",U$2,U$2&amp;"", ""&amp;U$3)&amp;""]'!A1:A20"")=$E9
      ),
      """"
    )
  )
), "&amp;"""-"")
"),"-")</f>
        <v>-</v>
      </c>
      <c r="V9" s="948" t="s">
        <v>132</v>
      </c>
      <c r="W9" s="949" t="str">
        <f>IFERROR(__xludf.DUMMYFUNCTION("iferror(IF(
  IFNA(
    FILTER(
      IMPORTRANGE($F$8,""'Sensitivity [""&amp;IF(U$3="""",U$2,U$2&amp;"", ""&amp;U$3)&amp;""]'!E1:E20""),
      IMPORTRANGE($F$8,""'Sensitivity [""&amp;IF(U$3="""",U$2,U$2&amp;"", ""&amp;U$3)&amp;""]'!A1:A20"")=$E9
    ),
    """"
  ) = """",
  ""-"",
  U"&amp;"$5 * ( 1 +
    IFNA(
      FILTER(
        IMPORTRANGE($F$8,""'Sensitivity [""&amp;IF(U$3="""",U$2,U$2&amp;"", ""&amp;U$3)&amp;""]'!E1:E20""),
        IMPORTRANGE($F$8,""'Sensitivity [""&amp;IF(U$3="""",U$2,U$2&amp;"", ""&amp;U$3)&amp;""]'!A1:A20"")=$E9
      ),
      """"
    )
  )
), "&amp;"""-"")
"),"-")</f>
        <v>-</v>
      </c>
      <c r="X9" s="947" t="str">
        <f>IFERROR(__xludf.DUMMYFUNCTION("Iferror(IF(
  IFNA(
    FILTER(
      IMPORTRANGE($F$8,""'Sensitivity [""&amp;IF(X$3="""",X$2,X$2&amp;"", ""&amp;X$3)&amp;""]'!D1:D20""),
      IMPORTRANGE($F$8,""'Sensitivity [""&amp;IF(X$3="""",X$2,X$2&amp;"", ""&amp;X$3)&amp;""]'!A1:A20"")=$E9
    ),
    """"
  ) = """",
  ""-"",
  X"&amp;"$5 * ( 1 +
    IFNA(
      FILTER(
        IMPORTRANGE($F$8,""'Sensitivity [""&amp;IF(X$3="""",X$2,X$2&amp;"", ""&amp;X$3)&amp;""]'!D1:D20""),
        IMPORTRANGE($F$8,""'Sensitivity [""&amp;IF(X$3="""",X$2,X$2&amp;"", ""&amp;X$3)&amp;""]'!A1:A20"")=$E9
      ),
      """"
    )
  )
), "&amp;"""-"")
"),"-")</f>
        <v>-</v>
      </c>
      <c r="Y9" s="948" t="s">
        <v>132</v>
      </c>
      <c r="Z9" s="949" t="str">
        <f>IFERROR(__xludf.DUMMYFUNCTION("iferror(IF(
  IFNA(
    FILTER(
      IMPORTRANGE($F$8,""'Sensitivity [""&amp;IF(X$3="""",X$2,X$2&amp;"", ""&amp;X$3)&amp;""]'!E1:E20""),
      IMPORTRANGE($F$8,""'Sensitivity [""&amp;IF(X$3="""",X$2,X$2&amp;"", ""&amp;X$3)&amp;""]'!A1:A20"")=$E9
    ),
    """"
  ) = """",
  ""-"",
  X"&amp;"$5 * ( 1 +
    IFNA(
      FILTER(
        IMPORTRANGE($F$8,""'Sensitivity [""&amp;IF(X$3="""",X$2,X$2&amp;"", ""&amp;X$3)&amp;""]'!E1:E20""),
        IMPORTRANGE($F$8,""'Sensitivity [""&amp;IF(X$3="""",X$2,X$2&amp;"", ""&amp;X$3)&amp;""]'!A1:A20"")=$E9
      ),
      """"
    )
  )
), "&amp;"""-"")
"),"-")</f>
        <v>-</v>
      </c>
      <c r="AA9" s="947"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948" t="s">
        <v>132</v>
      </c>
      <c r="AC9" s="949"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947"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948" t="s">
        <v>132</v>
      </c>
      <c r="AF9" s="949"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947"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948" t="s">
        <v>132</v>
      </c>
      <c r="AI9" s="949"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947"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948" t="s">
        <v>132</v>
      </c>
      <c r="AL9" s="949"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947"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948" t="s">
        <v>132</v>
      </c>
      <c r="AO9" s="949"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947"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948" t="s">
        <v>132</v>
      </c>
      <c r="AR9" s="949"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947"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948" t="s">
        <v>132</v>
      </c>
      <c r="AU9" s="949"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947"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948" t="s">
        <v>132</v>
      </c>
      <c r="AX9" s="949"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947"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948" t="s">
        <v>132</v>
      </c>
      <c r="BA9" s="949"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947" t="str">
        <f>IFERROR(__xludf.DUMMYFUNCTION("Iferror(IF(
  IFNA(
    FILTER(
      IMPORTRANGE($F$8,""'Sensitivity [""&amp;IF(BB$3="""",BB$2,BB$2&amp;"", ""&amp;BB$3)&amp;""]'!D1:D20""),
      IMPORTRANGE($F$8,""'Sensitivity [""&amp;IF(BB$3="""",BB$2,BB$2&amp;"", ""&amp;BB$3)&amp;""]'!A1:A20"")=$E9
    ),
    """"
  ) = """",
  """&amp;"-"",
  BB$5 * ( 1 +
    IFNA(
      FILTER(
        IMPORTRANGE($F$8,""'Sensitivity [""&amp;IF(BB$3="""",BB$2,BB$2&amp;"", ""&amp;BB$3)&amp;""]'!D1:D20""),
        IMPORTRANGE($F$8,""'Sensitivity [""&amp;IF(BB$3="""",BB$2,BB$2&amp;"", ""&amp;BB$3)&amp;""]'!A1:A20"")=$E9
      ),
      "&amp;"""""
    )
  )
), ""-"")
"),"-")</f>
        <v>-</v>
      </c>
      <c r="BC9" s="948" t="s">
        <v>132</v>
      </c>
      <c r="BD9" s="949" t="str">
        <f>IFERROR(__xludf.DUMMYFUNCTION("iferror(IF(
  IFNA(
    FILTER(
      IMPORTRANGE($F$8,""'Sensitivity [""&amp;IF(BB$3="""",BB$2,BB$2&amp;"", ""&amp;BB$3)&amp;""]'!E1:E20""),
      IMPORTRANGE($F$8,""'Sensitivity [""&amp;IF(BB$3="""",BB$2,BB$2&amp;"", ""&amp;BB$3)&amp;""]'!A1:A20"")=$E9
    ),
    """"
  ) = """",
  """&amp;"-"",
  BB$5 * ( 1 +
    IFNA(
      FILTER(
        IMPORTRANGE($F$8,""'Sensitivity [""&amp;IF(BB$3="""",BB$2,BB$2&amp;"", ""&amp;BB$3)&amp;""]'!E1:E20""),
        IMPORTRANGE($F$8,""'Sensitivity [""&amp;IF(BB$3="""",BB$2,BB$2&amp;"", ""&amp;BB$3)&amp;""]'!A1:A20"")=$E9
      ),
      "&amp;"""""
    )
  )
), ""-"")
"),"-")</f>
        <v>-</v>
      </c>
      <c r="BE9" s="947" t="str">
        <f>IFERROR(__xludf.DUMMYFUNCTION("Iferror(IF(
  IFNA(
    FILTER(
      IMPORTRANGE($F$8,""'Sensitivity [""&amp;IF(BE$3="""",BE$2,BE$2&amp;"", ""&amp;BE$3)&amp;""]'!D1:D20""),
      IMPORTRANGE($F$8,""'Sensitivity [""&amp;IF(BE$3="""",BE$2,BE$2&amp;"", ""&amp;BE$3)&amp;""]'!A1:A20"")=$E9
    ),
    """"
  ) = """",
  """&amp;"-"",
  BE$5 * ( 1 +
    IFNA(
      FILTER(
        IMPORTRANGE($F$8,""'Sensitivity [""&amp;IF(BE$3="""",BE$2,BE$2&amp;"", ""&amp;BE$3)&amp;""]'!D1:D20""),
        IMPORTRANGE($F$8,""'Sensitivity [""&amp;IF(BE$3="""",BE$2,BE$2&amp;"", ""&amp;BE$3)&amp;""]'!A1:A20"")=$E9
      ),
      "&amp;"""""
    )
  )
), ""-"")
"),"-")</f>
        <v>-</v>
      </c>
      <c r="BF9" s="948" t="s">
        <v>132</v>
      </c>
      <c r="BG9" s="949" t="str">
        <f>IFERROR(__xludf.DUMMYFUNCTION("iferror(IF(
  IFNA(
    FILTER(
      IMPORTRANGE($F$8,""'Sensitivity [""&amp;IF(BE$3="""",BE$2,BE$2&amp;"", ""&amp;BE$3)&amp;""]'!E1:E20""),
      IMPORTRANGE($F$8,""'Sensitivity [""&amp;IF(BE$3="""",BE$2,BE$2&amp;"", ""&amp;BE$3)&amp;""]'!A1:A20"")=$E9
    ),
    """"
  ) = """",
  """&amp;"-"",
  BE$5 * ( 1 +
    IFNA(
      FILTER(
        IMPORTRANGE($F$8,""'Sensitivity [""&amp;IF(BE$3="""",BE$2,BE$2&amp;"", ""&amp;BE$3)&amp;""]'!E1:E20""),
        IMPORTRANGE($F$8,""'Sensitivity [""&amp;IF(BE$3="""",BE$2,BE$2&amp;"", ""&amp;BE$3)&amp;""]'!A1:A20"")=$E9
      ),
      "&amp;"""""
    )
  )
), ""-"")
"),"-")</f>
        <v>-</v>
      </c>
      <c r="BH9" s="947" t="str">
        <f>IFERROR(__xludf.DUMMYFUNCTION("Iferror(IF(
  IFNA(
    FILTER(
      IMPORTRANGE($F$8,""'Sensitivity [""&amp;IF(BH$3="""",BH$2,BH$2&amp;"", ""&amp;BH$3)&amp;""]'!D1:D20""),
      IMPORTRANGE($F$8,""'Sensitivity [""&amp;IF(BH$3="""",BH$2,BH$2&amp;"", ""&amp;BH$3)&amp;""]'!A1:A20"")=$E9
    ),
    """"
  ) = """",
  """&amp;"-"",
  BH$5 * ( 1 +
    IFNA(
      FILTER(
        IMPORTRANGE($F$8,""'Sensitivity [""&amp;IF(BH$3="""",BH$2,BH$2&amp;"", ""&amp;BH$3)&amp;""]'!D1:D20""),
        IMPORTRANGE($F$8,""'Sensitivity [""&amp;IF(BH$3="""",BH$2,BH$2&amp;"", ""&amp;BH$3)&amp;""]'!A1:A20"")=$E9
      ),
      "&amp;"""""
    )
  )
), ""-"")
"),"-")</f>
        <v>-</v>
      </c>
      <c r="BI9" s="948" t="s">
        <v>132</v>
      </c>
      <c r="BJ9" s="949" t="str">
        <f>IFERROR(__xludf.DUMMYFUNCTION("iferror(IF(
  IFNA(
    FILTER(
      IMPORTRANGE($F$8,""'Sensitivity [""&amp;IF(BH$3="""",BH$2,BH$2&amp;"", ""&amp;BH$3)&amp;""]'!E1:E20""),
      IMPORTRANGE($F$8,""'Sensitivity [""&amp;IF(BH$3="""",BH$2,BH$2&amp;"", ""&amp;BH$3)&amp;""]'!A1:A20"")=$E9
    ),
    """"
  ) = """",
  """&amp;"-"",
  BH$5 * ( 1 +
    IFNA(
      FILTER(
        IMPORTRANGE($F$8,""'Sensitivity [""&amp;IF(BH$3="""",BH$2,BH$2&amp;"", ""&amp;BH$3)&amp;""]'!E1:E20""),
        IMPORTRANGE($F$8,""'Sensitivity [""&amp;IF(BH$3="""",BH$2,BH$2&amp;"", ""&amp;BH$3)&amp;""]'!A1:A20"")=$E9
      ),
      "&amp;"""""
    )
  )
), ""-"")
"),"-")</f>
        <v>-</v>
      </c>
      <c r="BK9" s="947" t="str">
        <f>IFERROR(__xludf.DUMMYFUNCTION("Iferror(IF(
  IFNA(
    FILTER(
      IMPORTRANGE($F$8,""'Sensitivity [""&amp;IF(BK$3="""",BK$2,BK$2&amp;"", ""&amp;BK$3)&amp;""]'!D1:D20""),
      IMPORTRANGE($F$8,""'Sensitivity [""&amp;IF(BK$3="""",BK$2,BK$2&amp;"", ""&amp;BK$3)&amp;""]'!A1:A20"")=$E9
    ),
    """"
  ) = """",
  """&amp;"-"",
  BK$5 * ( 1 +
    IFNA(
      FILTER(
        IMPORTRANGE($F$8,""'Sensitivity [""&amp;IF(BK$3="""",BK$2,BK$2&amp;"", ""&amp;BK$3)&amp;""]'!D1:D20""),
        IMPORTRANGE($F$8,""'Sensitivity [""&amp;IF(BK$3="""",BK$2,BK$2&amp;"", ""&amp;BK$3)&amp;""]'!A1:A20"")=$E9
      ),
      "&amp;"""""
    )
  )
), ""-"")
"),"-")</f>
        <v>-</v>
      </c>
      <c r="BL9" s="948" t="s">
        <v>132</v>
      </c>
      <c r="BM9" s="949" t="str">
        <f>IFERROR(__xludf.DUMMYFUNCTION("iferror(IF(
  IFNA(
    FILTER(
      IMPORTRANGE($F$8,""'Sensitivity [""&amp;IF(BK$3="""",BK$2,BK$2&amp;"", ""&amp;BK$3)&amp;""]'!E1:E20""),
      IMPORTRANGE($F$8,""'Sensitivity [""&amp;IF(BK$3="""",BK$2,BK$2&amp;"", ""&amp;BK$3)&amp;""]'!A1:A20"")=$E9
    ),
    """"
  ) = """",
  """&amp;"-"",
  BK$5 * ( 1 +
    IFNA(
      FILTER(
        IMPORTRANGE($F$8,""'Sensitivity [""&amp;IF(BK$3="""",BK$2,BK$2&amp;"", ""&amp;BK$3)&amp;""]'!E1:E20""),
        IMPORTRANGE($F$8,""'Sensitivity [""&amp;IF(BK$3="""",BK$2,BK$2&amp;"", ""&amp;BK$3)&amp;""]'!A1:A20"")=$E9
      ),
      "&amp;"""""
    )
  )
), ""-"")
"),"-")</f>
        <v>-</v>
      </c>
      <c r="BN9" s="67"/>
    </row>
    <row r="10">
      <c r="A10" s="63"/>
      <c r="B10" s="64"/>
      <c r="C10" s="420"/>
      <c r="D10" s="64"/>
      <c r="E10" s="590" t="str">
        <f t="shared" si="1"/>
        <v>Cost per person under age five reached</v>
      </c>
      <c r="F10" s="944">
        <f>IFERROR(__xludf.DUMMYFUNCTION("IF(
  IFNA(
    FILTER(
      IMPORTRANGE($F$8,""'Sensitivity [""&amp;IF(F$3="""",F$2,F$2&amp;"", ""&amp;F$3)&amp;""]'!D1:D20""),
      IMPORTRANGE($F$8,""'Sensitivity [""&amp;IF(F$3="""",F$2,F$2&amp;"", ""&amp;F$3)&amp;""]'!A1:A20"")=$E10
    ),
    """"
  ) = """",
  ""-"",
  F$5 * ( "&amp;"1 +
    IFNA(
      FILTER(
        IMPORTRANGE($F$8,""'Sensitivity [""&amp;IF(F$3="""",F$2,F$2&amp;"", ""&amp;F$3)&amp;""]'!D1:D20""),
        IMPORTRANGE($F$8,""'Sensitivity [""&amp;IF(F$3="""",F$2,F$2&amp;"", ""&amp;F$3)&amp;""]'!A1:A20"")=$E10
      ),
      """"
    )
  )
)
"),14.505339232103353)</f>
        <v>14.50533923</v>
      </c>
      <c r="G10" s="950" t="s">
        <v>132</v>
      </c>
      <c r="H10" s="946">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"),11.868004826266384)</f>
        <v>11.86800483</v>
      </c>
      <c r="I10" s="947">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"),17.302902128084366)</f>
        <v>17.30290213</v>
      </c>
      <c r="J10" s="951" t="s">
        <v>132</v>
      </c>
      <c r="K10" s="949">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"),11.535268085389616)</f>
        <v>11.53526809</v>
      </c>
      <c r="L10" s="947">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"),12.431411967378423)</f>
        <v>12.43141197</v>
      </c>
      <c r="M10" s="951" t="s">
        <v>132</v>
      </c>
      <c r="N10" s="949">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"),5.327747986019332)</f>
        <v>5.327747986</v>
      </c>
      <c r="O10" s="947" t="str">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f>
        <v>-</v>
      </c>
      <c r="P10" s="951" t="s">
        <v>132</v>
      </c>
      <c r="Q10" s="949" t="str">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f>
        <v>-</v>
      </c>
      <c r="R10" s="947" t="str">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f>
        <v>-</v>
      </c>
      <c r="S10" s="951" t="s">
        <v>132</v>
      </c>
      <c r="T10" s="949" t="str">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f>
        <v>-</v>
      </c>
      <c r="U10" s="947" t="str">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f>
        <v>-</v>
      </c>
      <c r="V10" s="951" t="s">
        <v>132</v>
      </c>
      <c r="W10" s="949" t="str">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f>
        <v>-</v>
      </c>
      <c r="X10" s="947" t="str">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f>
        <v>-</v>
      </c>
      <c r="Y10" s="951" t="s">
        <v>132</v>
      </c>
      <c r="Z10" s="949" t="str">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f>
        <v>-</v>
      </c>
      <c r="AA10" s="947">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"),11.691509935781312)</f>
        <v>11.69150994</v>
      </c>
      <c r="AB10" s="951" t="s">
        <v>132</v>
      </c>
      <c r="AC10" s="949">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"),6.295428426959186)</f>
        <v>6.295428427</v>
      </c>
      <c r="AD10" s="947">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"),65.80310110395477)</f>
        <v>65.8031011</v>
      </c>
      <c r="AE10" s="951" t="s">
        <v>132</v>
      </c>
      <c r="AF10" s="949">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"),35.43243905597562)</f>
        <v>35.43243906</v>
      </c>
      <c r="AG10" s="947">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"),72.29882868315782)</f>
        <v>72.29882868</v>
      </c>
      <c r="AH10" s="951" t="s">
        <v>132</v>
      </c>
      <c r="AI10" s="949">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"),38.93013852170036)</f>
        <v>38.93013852</v>
      </c>
      <c r="AJ10" s="947">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"),17.252005695270505)</f>
        <v>17.2520057</v>
      </c>
      <c r="AK10" s="951" t="s">
        <v>132</v>
      </c>
      <c r="AL10" s="949">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"),9.28954152822256)</f>
        <v>9.289541528</v>
      </c>
      <c r="AM10" s="947">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"),80.30167559296261)</f>
        <v>80.30167559</v>
      </c>
      <c r="AN10" s="951" t="s">
        <v>132</v>
      </c>
      <c r="AO10" s="949">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"),43.239363780826054)</f>
        <v>43.23936378</v>
      </c>
      <c r="AP10" s="947">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"),35.54764176425397)</f>
        <v>35.54764176</v>
      </c>
      <c r="AQ10" s="951" t="s">
        <v>132</v>
      </c>
      <c r="AR10" s="949">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"),19.141037873059798)</f>
        <v>19.14103787</v>
      </c>
      <c r="AS10" s="947">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"),34.84919963034408)</f>
        <v>34.84919963</v>
      </c>
      <c r="AT10" s="951" t="s">
        <v>132</v>
      </c>
      <c r="AU10" s="949">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"),18.764953647108356)</f>
        <v>18.76495365</v>
      </c>
      <c r="AV10" s="947">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"),21.626995277595253)</f>
        <v>21.62699528</v>
      </c>
      <c r="AW10" s="951" t="s">
        <v>132</v>
      </c>
      <c r="AX10" s="949">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"),11.645305149474378)</f>
        <v>11.64530515</v>
      </c>
      <c r="AY10" s="947">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"),33.198554458833534)</f>
        <v>33.19855446</v>
      </c>
      <c r="AZ10" s="951" t="s">
        <v>132</v>
      </c>
      <c r="BA10" s="949">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"),17.876144708602745)</f>
        <v>17.87614471</v>
      </c>
      <c r="BB10" s="947">
        <f>IFERROR(__xludf.DUMMYFUNCTION("Iferror(IF(
  IFNA(
    FILTER(
      IMPORTRANGE($F$8,""'Sensitivity [""&amp;IF(BB$3="""",BB$2,BB$2&amp;"", ""&amp;BB$3)&amp;""]'!D1:D20""),
      IMPORTRANGE($F$8,""'Sensitivity [""&amp;IF(BB$3="""",BB$2,BB$2&amp;"", ""&amp;BB$3)&amp;""]'!A1:A20"")=$E10
    ),
    """"
  ) = """",
  "&amp;"""-"",
  BB$5 * ( 1 +
    IFNA(
      FILTER(
        IMPORTRANGE($F$8,""'Sensitivity [""&amp;IF(BB$3="""",BB$2,BB$2&amp;"", ""&amp;BB$3)&amp;""]'!D1:D20""),
        IMPORTRANGE($F$8,""'Sensitivity [""&amp;IF(BB$3="""",BB$2,BB$2&amp;"", ""&amp;BB$3)&amp;""]'!A1:A20"")=$E10
      ),
    "&amp;"  """"
    )
  )
), ""-"")
"),74.33193597342913)</f>
        <v>74.33193597</v>
      </c>
      <c r="BC10" s="951" t="s">
        <v>132</v>
      </c>
      <c r="BD10" s="949">
        <f>IFERROR(__xludf.DUMMYFUNCTION("iferror(IF(
  IFNA(
    FILTER(
      IMPORTRANGE($F$8,""'Sensitivity [""&amp;IF(BB$3="""",BB$2,BB$2&amp;"", ""&amp;BB$3)&amp;""]'!E1:E20""),
      IMPORTRANGE($F$8,""'Sensitivity [""&amp;IF(BB$3="""",BB$2,BB$2&amp;"", ""&amp;BB$3)&amp;""]'!A1:A20"")=$E10
    ),
    """"
  ) = """",
  "&amp;"""-"",
  BB$5 * ( 1 +
    IFNA(
      FILTER(
        IMPORTRANGE($F$8,""'Sensitivity [""&amp;IF(BB$3="""",BB$2,BB$2&amp;"", ""&amp;BB$3)&amp;""]'!E1:E20""),
        IMPORTRANGE($F$8,""'Sensitivity [""&amp;IF(BB$3="""",BB$2,BB$2&amp;"", ""&amp;BB$3)&amp;""]'!A1:A20"")=$E10
      ),
    "&amp;"  """"
    )
  )
), ""-"")
"),40.024888601077095)</f>
        <v>40.0248886</v>
      </c>
      <c r="BE10" s="947">
        <f>IFERROR(__xludf.DUMMYFUNCTION("Iferror(IF(
  IFNA(
    FILTER(
      IMPORTRANGE($F$8,""'Sensitivity [""&amp;IF(BE$3="""",BE$2,BE$2&amp;"", ""&amp;BE$3)&amp;""]'!D1:D20""),
      IMPORTRANGE($F$8,""'Sensitivity [""&amp;IF(BE$3="""",BE$2,BE$2&amp;"", ""&amp;BE$3)&amp;""]'!A1:A20"")=$E10
    ),
    """"
  ) = """",
  "&amp;"""-"",
  BE$5 * ( 1 +
    IFNA(
      FILTER(
        IMPORTRANGE($F$8,""'Sensitivity [""&amp;IF(BE$3="""",BE$2,BE$2&amp;"", ""&amp;BE$3)&amp;""]'!D1:D20""),
        IMPORTRANGE($F$8,""'Sensitivity [""&amp;IF(BE$3="""",BE$2,BE$2&amp;"", ""&amp;BE$3)&amp;""]'!A1:A20"")=$E10
      ),
    "&amp;"  """"
    )
  )
), ""-"")
"),6.443129679873756)</f>
        <v>6.44312968</v>
      </c>
      <c r="BF10" s="951" t="s">
        <v>132</v>
      </c>
      <c r="BG10" s="949">
        <f>IFERROR(__xludf.DUMMYFUNCTION("iferror(IF(
  IFNA(
    FILTER(
      IMPORTRANGE($F$8,""'Sensitivity [""&amp;IF(BE$3="""",BE$2,BE$2&amp;"", ""&amp;BE$3)&amp;""]'!E1:E20""),
      IMPORTRANGE($F$8,""'Sensitivity [""&amp;IF(BE$3="""",BE$2,BE$2&amp;"", ""&amp;BE$3)&amp;""]'!A1:A20"")=$E10
    ),
    """"
  ) = """",
  "&amp;"""-"",
  BE$5 * ( 1 +
    IFNA(
      FILTER(
        IMPORTRANGE($F$8,""'Sensitivity [""&amp;IF(BE$3="""",BE$2,BE$2&amp;"", ""&amp;BE$3)&amp;""]'!E1:E20""),
        IMPORTRANGE($F$8,""'Sensitivity [""&amp;IF(BE$3="""",BE$2,BE$2&amp;"", ""&amp;BE$3)&amp;""]'!A1:A20"")=$E10
      ),
    "&amp;"  """"
    )
  )
), ""-"")
"),3.865877807924258)</f>
        <v>3.865877808</v>
      </c>
      <c r="BH10" s="947">
        <f>IFERROR(__xludf.DUMMYFUNCTION("Iferror(IF(
  IFNA(
    FILTER(
      IMPORTRANGE($F$8,""'Sensitivity [""&amp;IF(BH$3="""",BH$2,BH$2&amp;"", ""&amp;BH$3)&amp;""]'!D1:D20""),
      IMPORTRANGE($F$8,""'Sensitivity [""&amp;IF(BH$3="""",BH$2,BH$2&amp;"", ""&amp;BH$3)&amp;""]'!A1:A20"")=$E10
    ),
    """"
  ) = """",
  "&amp;"""-"",
  BH$5 * ( 1 +
    IFNA(
      FILTER(
        IMPORTRANGE($F$8,""'Sensitivity [""&amp;IF(BH$3="""",BH$2,BH$2&amp;"", ""&amp;BH$3)&amp;""]'!D1:D20""),
        IMPORTRANGE($F$8,""'Sensitivity [""&amp;IF(BH$3="""",BH$2,BH$2&amp;"", ""&amp;BH$3)&amp;""]'!A1:A20"")=$E10
      ),
    "&amp;"  """"
    )
  )
), ""-"")
"),9.459978395094414)</f>
        <v>9.459978395</v>
      </c>
      <c r="BI10" s="951" t="s">
        <v>132</v>
      </c>
      <c r="BJ10" s="949">
        <f>IFERROR(__xludf.DUMMYFUNCTION("iferror(IF(
  IFNA(
    FILTER(
      IMPORTRANGE($F$8,""'Sensitivity [""&amp;IF(BH$3="""",BH$2,BH$2&amp;"", ""&amp;BH$3)&amp;""]'!E1:E20""),
      IMPORTRANGE($F$8,""'Sensitivity [""&amp;IF(BH$3="""",BH$2,BH$2&amp;"", ""&amp;BH$3)&amp;""]'!A1:A20"")=$E10
    ),
    """"
  ) = """",
  "&amp;"""-"",
  BH$5 * ( 1 +
    IFNA(
      FILTER(
        IMPORTRANGE($F$8,""'Sensitivity [""&amp;IF(BH$3="""",BH$2,BH$2&amp;"", ""&amp;BH$3)&amp;""]'!E1:E20""),
        IMPORTRANGE($F$8,""'Sensitivity [""&amp;IF(BH$3="""",BH$2,BH$2&amp;"", ""&amp;BH$3)&amp;""]'!A1:A20"")=$E10
      ),
    "&amp;"  """"
    )
  )
), ""-"")
"),6.306652263396266)</f>
        <v>6.306652263</v>
      </c>
      <c r="BK10" s="947">
        <f>IFERROR(__xludf.DUMMYFUNCTION("Iferror(IF(
  IFNA(
    FILTER(
      IMPORTRANGE($F$8,""'Sensitivity [""&amp;IF(BK$3="""",BK$2,BK$2&amp;"", ""&amp;BK$3)&amp;""]'!D1:D20""),
      IMPORTRANGE($F$8,""'Sensitivity [""&amp;IF(BK$3="""",BK$2,BK$2&amp;"", ""&amp;BK$3)&amp;""]'!A1:A20"")=$E10
    ),
    """"
  ) = """",
  "&amp;"""-"",
  BK$5 * ( 1 +
    IFNA(
      FILTER(
        IMPORTRANGE($F$8,""'Sensitivity [""&amp;IF(BK$3="""",BK$2,BK$2&amp;"", ""&amp;BK$3)&amp;""]'!D1:D20""),
        IMPORTRANGE($F$8,""'Sensitivity [""&amp;IF(BK$3="""",BK$2,BK$2&amp;"", ""&amp;BK$3)&amp;""]'!A1:A20"")=$E10
      ),
    "&amp;"  """"
    )
  )
), ""-"")
"),9.345908553221143)</f>
        <v>9.345908553</v>
      </c>
      <c r="BL10" s="951" t="s">
        <v>132</v>
      </c>
      <c r="BM10" s="949">
        <f>IFERROR(__xludf.DUMMYFUNCTION("iferror(IF(
  IFNA(
    FILTER(
      IMPORTRANGE($F$8,""'Sensitivity [""&amp;IF(BK$3="""",BK$2,BK$2&amp;"", ""&amp;BK$3)&amp;""]'!E1:E20""),
      IMPORTRANGE($F$8,""'Sensitivity [""&amp;IF(BK$3="""",BK$2,BK$2&amp;"", ""&amp;BK$3)&amp;""]'!A1:A20"")=$E10
    ),
    """"
  ) = """",
  "&amp;"""-"",
  BK$5 * ( 1 +
    IFNA(
      FILTER(
        IMPORTRANGE($F$8,""'Sensitivity [""&amp;IF(BK$3="""",BK$2,BK$2&amp;"", ""&amp;BK$3)&amp;""]'!E1:E20""),
        IMPORTRANGE($F$8,""'Sensitivity [""&amp;IF(BK$3="""",BK$2,BK$2&amp;"", ""&amp;BK$3)&amp;""]'!A1:A20"")=$E10
      ),
    "&amp;"  """"
    )
  )
), ""-"")
"),4.499881895995371)</f>
        <v>4.499881896</v>
      </c>
      <c r="BN10" s="621"/>
    </row>
    <row r="11">
      <c r="A11" s="63"/>
      <c r="B11" s="64"/>
      <c r="C11" s="420"/>
      <c r="D11" s="64"/>
      <c r="E11" s="590" t="str">
        <f t="shared" si="1"/>
        <v>Proportion of reached children who would have received SMC in the absence of the program</v>
      </c>
      <c r="F11" s="944" t="str">
        <f>IFERROR(__xludf.DUMMYFUNCTION("IF(
  IFNA(
    FILTER(
      IMPORTRANGE($F$8,""'Sensitivity [""&amp;IF(F$3="""",F$2,F$2&amp;"", ""&amp;F$3)&amp;""]'!D1:D20""),
      IMPORTRANGE($F$8,""'Sensitivity [""&amp;IF(F$3="""",F$2,F$2&amp;"", ""&amp;F$3)&amp;""]'!A1:A20"")=$E11
    ),
    """"
  ) = """",
  ""-"",
  F$5 * ( "&amp;"1 +
    IFNA(
      FILTER(
        IMPORTRANGE($F$8,""'Sensitivity [""&amp;IF(F$3="""",F$2,F$2&amp;"", ""&amp;F$3)&amp;""]'!D1:D20""),
        IMPORTRANGE($F$8,""'Sensitivity [""&amp;IF(F$3="""",F$2,F$2&amp;"", ""&amp;F$3)&amp;""]'!A1:A20"")=$E11
      ),
      """"
    )
  )
)
"),"-")</f>
        <v>-</v>
      </c>
      <c r="G11" s="950" t="s">
        <v>132</v>
      </c>
      <c r="H11" s="946" t="str">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f>
        <v>-</v>
      </c>
      <c r="I11" s="947" t="str">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f>
        <v>-</v>
      </c>
      <c r="J11" s="951" t="s">
        <v>132</v>
      </c>
      <c r="K11" s="949" t="str">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f>
        <v>-</v>
      </c>
      <c r="L11" s="947" t="str">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f>
        <v>-</v>
      </c>
      <c r="M11" s="951" t="s">
        <v>132</v>
      </c>
      <c r="N11" s="949" t="str">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f>
        <v>-</v>
      </c>
      <c r="O11" s="947" t="str">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f>
        <v>-</v>
      </c>
      <c r="P11" s="951" t="s">
        <v>132</v>
      </c>
      <c r="Q11" s="949" t="str">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f>
        <v>-</v>
      </c>
      <c r="R11" s="947" t="str">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f>
        <v>-</v>
      </c>
      <c r="S11" s="951" t="s">
        <v>132</v>
      </c>
      <c r="T11" s="949" t="str">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f>
        <v>-</v>
      </c>
      <c r="U11" s="947" t="str">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f>
        <v>-</v>
      </c>
      <c r="V11" s="951" t="s">
        <v>132</v>
      </c>
      <c r="W11" s="949" t="str">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f>
        <v>-</v>
      </c>
      <c r="X11" s="947" t="str">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f>
        <v>-</v>
      </c>
      <c r="Y11" s="951" t="s">
        <v>132</v>
      </c>
      <c r="Z11" s="949" t="str">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f>
        <v>-</v>
      </c>
      <c r="AA11" s="947" t="str">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f>
        <v>-</v>
      </c>
      <c r="AB11" s="951" t="s">
        <v>132</v>
      </c>
      <c r="AC11" s="949" t="str">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f>
        <v>-</v>
      </c>
      <c r="AD11" s="947" t="str">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f>
        <v>-</v>
      </c>
      <c r="AE11" s="951" t="s">
        <v>132</v>
      </c>
      <c r="AF11" s="949" t="str">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f>
        <v>-</v>
      </c>
      <c r="AG11" s="947" t="str">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f>
        <v>-</v>
      </c>
      <c r="AH11" s="951" t="s">
        <v>132</v>
      </c>
      <c r="AI11" s="949" t="str">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f>
        <v>-</v>
      </c>
      <c r="AJ11" s="947" t="str">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f>
        <v>-</v>
      </c>
      <c r="AK11" s="951" t="s">
        <v>132</v>
      </c>
      <c r="AL11" s="949" t="str">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f>
        <v>-</v>
      </c>
      <c r="AM11" s="947" t="str">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f>
        <v>-</v>
      </c>
      <c r="AN11" s="951" t="s">
        <v>132</v>
      </c>
      <c r="AO11" s="949" t="str">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f>
        <v>-</v>
      </c>
      <c r="AP11" s="947" t="str">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f>
        <v>-</v>
      </c>
      <c r="AQ11" s="951" t="s">
        <v>132</v>
      </c>
      <c r="AR11" s="949" t="str">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f>
        <v>-</v>
      </c>
      <c r="AS11" s="947" t="str">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f>
        <v>-</v>
      </c>
      <c r="AT11" s="951" t="s">
        <v>132</v>
      </c>
      <c r="AU11" s="949" t="str">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f>
        <v>-</v>
      </c>
      <c r="AV11" s="947" t="str">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f>
        <v>-</v>
      </c>
      <c r="AW11" s="951" t="s">
        <v>132</v>
      </c>
      <c r="AX11" s="949" t="str">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f>
        <v>-</v>
      </c>
      <c r="AY11" s="947" t="str">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f>
        <v>-</v>
      </c>
      <c r="AZ11" s="951" t="s">
        <v>132</v>
      </c>
      <c r="BA11" s="949" t="str">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f>
        <v>-</v>
      </c>
      <c r="BB11" s="947" t="str">
        <f>IFERROR(__xludf.DUMMYFUNCTION("Iferror(IF(
  IFNA(
    FILTER(
      IMPORTRANGE($F$8,""'Sensitivity [""&amp;IF(BB$3="""",BB$2,BB$2&amp;"", ""&amp;BB$3)&amp;""]'!D1:D20""),
      IMPORTRANGE($F$8,""'Sensitivity [""&amp;IF(BB$3="""",BB$2,BB$2&amp;"", ""&amp;BB$3)&amp;""]'!A1:A20"")=$E11
    ),
    """"
  ) = """",
  "&amp;"""-"",
  BB$5 * ( 1 +
    IFNA(
      FILTER(
        IMPORTRANGE($F$8,""'Sensitivity [""&amp;IF(BB$3="""",BB$2,BB$2&amp;"", ""&amp;BB$3)&amp;""]'!D1:D20""),
        IMPORTRANGE($F$8,""'Sensitivity [""&amp;IF(BB$3="""",BB$2,BB$2&amp;"", ""&amp;BB$3)&amp;""]'!A1:A20"")=$E11
      ),
    "&amp;"  """"
    )
  )
), ""-"")
"),"-")</f>
        <v>-</v>
      </c>
      <c r="BC11" s="951" t="s">
        <v>132</v>
      </c>
      <c r="BD11" s="949" t="str">
        <f>IFERROR(__xludf.DUMMYFUNCTION("iferror(IF(
  IFNA(
    FILTER(
      IMPORTRANGE($F$8,""'Sensitivity [""&amp;IF(BB$3="""",BB$2,BB$2&amp;"", ""&amp;BB$3)&amp;""]'!E1:E20""),
      IMPORTRANGE($F$8,""'Sensitivity [""&amp;IF(BB$3="""",BB$2,BB$2&amp;"", ""&amp;BB$3)&amp;""]'!A1:A20"")=$E11
    ),
    """"
  ) = """",
  "&amp;"""-"",
  BB$5 * ( 1 +
    IFNA(
      FILTER(
        IMPORTRANGE($F$8,""'Sensitivity [""&amp;IF(BB$3="""",BB$2,BB$2&amp;"", ""&amp;BB$3)&amp;""]'!E1:E20""),
        IMPORTRANGE($F$8,""'Sensitivity [""&amp;IF(BB$3="""",BB$2,BB$2&amp;"", ""&amp;BB$3)&amp;""]'!A1:A20"")=$E11
      ),
    "&amp;"  """"
    )
  )
), ""-"")
"),"-")</f>
        <v>-</v>
      </c>
      <c r="BE11" s="947" t="str">
        <f>IFERROR(__xludf.DUMMYFUNCTION("Iferror(IF(
  IFNA(
    FILTER(
      IMPORTRANGE($F$8,""'Sensitivity [""&amp;IF(BE$3="""",BE$2,BE$2&amp;"", ""&amp;BE$3)&amp;""]'!D1:D20""),
      IMPORTRANGE($F$8,""'Sensitivity [""&amp;IF(BE$3="""",BE$2,BE$2&amp;"", ""&amp;BE$3)&amp;""]'!A1:A20"")=$E11
    ),
    """"
  ) = """",
  "&amp;"""-"",
  BE$5 * ( 1 +
    IFNA(
      FILTER(
        IMPORTRANGE($F$8,""'Sensitivity [""&amp;IF(BE$3="""",BE$2,BE$2&amp;"", ""&amp;BE$3)&amp;""]'!D1:D20""),
        IMPORTRANGE($F$8,""'Sensitivity [""&amp;IF(BE$3="""",BE$2,BE$2&amp;"", ""&amp;BE$3)&amp;""]'!A1:A20"")=$E11
      ),
    "&amp;"  """"
    )
  )
), ""-"")
"),"-")</f>
        <v>-</v>
      </c>
      <c r="BF11" s="951" t="s">
        <v>132</v>
      </c>
      <c r="BG11" s="949" t="str">
        <f>IFERROR(__xludf.DUMMYFUNCTION("iferror(IF(
  IFNA(
    FILTER(
      IMPORTRANGE($F$8,""'Sensitivity [""&amp;IF(BE$3="""",BE$2,BE$2&amp;"", ""&amp;BE$3)&amp;""]'!E1:E20""),
      IMPORTRANGE($F$8,""'Sensitivity [""&amp;IF(BE$3="""",BE$2,BE$2&amp;"", ""&amp;BE$3)&amp;""]'!A1:A20"")=$E11
    ),
    """"
  ) = """",
  "&amp;"""-"",
  BE$5 * ( 1 +
    IFNA(
      FILTER(
        IMPORTRANGE($F$8,""'Sensitivity [""&amp;IF(BE$3="""",BE$2,BE$2&amp;"", ""&amp;BE$3)&amp;""]'!E1:E20""),
        IMPORTRANGE($F$8,""'Sensitivity [""&amp;IF(BE$3="""",BE$2,BE$2&amp;"", ""&amp;BE$3)&amp;""]'!A1:A20"")=$E11
      ),
    "&amp;"  """"
    )
  )
), ""-"")
"),"-")</f>
        <v>-</v>
      </c>
      <c r="BH11" s="947" t="str">
        <f>IFERROR(__xludf.DUMMYFUNCTION("Iferror(IF(
  IFNA(
    FILTER(
      IMPORTRANGE($F$8,""'Sensitivity [""&amp;IF(BH$3="""",BH$2,BH$2&amp;"", ""&amp;BH$3)&amp;""]'!D1:D20""),
      IMPORTRANGE($F$8,""'Sensitivity [""&amp;IF(BH$3="""",BH$2,BH$2&amp;"", ""&amp;BH$3)&amp;""]'!A1:A20"")=$E11
    ),
    """"
  ) = """",
  "&amp;"""-"",
  BH$5 * ( 1 +
    IFNA(
      FILTER(
        IMPORTRANGE($F$8,""'Sensitivity [""&amp;IF(BH$3="""",BH$2,BH$2&amp;"", ""&amp;BH$3)&amp;""]'!D1:D20""),
        IMPORTRANGE($F$8,""'Sensitivity [""&amp;IF(BH$3="""",BH$2,BH$2&amp;"", ""&amp;BH$3)&amp;""]'!A1:A20"")=$E11
      ),
    "&amp;"  """"
    )
  )
), ""-"")
"),"-")</f>
        <v>-</v>
      </c>
      <c r="BI11" s="951" t="s">
        <v>132</v>
      </c>
      <c r="BJ11" s="949" t="str">
        <f>IFERROR(__xludf.DUMMYFUNCTION("iferror(IF(
  IFNA(
    FILTER(
      IMPORTRANGE($F$8,""'Sensitivity [""&amp;IF(BH$3="""",BH$2,BH$2&amp;"", ""&amp;BH$3)&amp;""]'!E1:E20""),
      IMPORTRANGE($F$8,""'Sensitivity [""&amp;IF(BH$3="""",BH$2,BH$2&amp;"", ""&amp;BH$3)&amp;""]'!A1:A20"")=$E11
    ),
    """"
  ) = """",
  "&amp;"""-"",
  BH$5 * ( 1 +
    IFNA(
      FILTER(
        IMPORTRANGE($F$8,""'Sensitivity [""&amp;IF(BH$3="""",BH$2,BH$2&amp;"", ""&amp;BH$3)&amp;""]'!E1:E20""),
        IMPORTRANGE($F$8,""'Sensitivity [""&amp;IF(BH$3="""",BH$2,BH$2&amp;"", ""&amp;BH$3)&amp;""]'!A1:A20"")=$E11
      ),
    "&amp;"  """"
    )
  )
), ""-"")
"),"-")</f>
        <v>-</v>
      </c>
      <c r="BK11" s="947" t="str">
        <f>IFERROR(__xludf.DUMMYFUNCTION("Iferror(IF(
  IFNA(
    FILTER(
      IMPORTRANGE($F$8,""'Sensitivity [""&amp;IF(BK$3="""",BK$2,BK$2&amp;"", ""&amp;BK$3)&amp;""]'!D1:D20""),
      IMPORTRANGE($F$8,""'Sensitivity [""&amp;IF(BK$3="""",BK$2,BK$2&amp;"", ""&amp;BK$3)&amp;""]'!A1:A20"")=$E11
    ),
    """"
  ) = """",
  "&amp;"""-"",
  BK$5 * ( 1 +
    IFNA(
      FILTER(
        IMPORTRANGE($F$8,""'Sensitivity [""&amp;IF(BK$3="""",BK$2,BK$2&amp;"", ""&amp;BK$3)&amp;""]'!D1:D20""),
        IMPORTRANGE($F$8,""'Sensitivity [""&amp;IF(BK$3="""",BK$2,BK$2&amp;"", ""&amp;BK$3)&amp;""]'!A1:A20"")=$E11
      ),
    "&amp;"  """"
    )
  )
), ""-"")
"),"-")</f>
        <v>-</v>
      </c>
      <c r="BL11" s="951" t="s">
        <v>132</v>
      </c>
      <c r="BM11" s="949" t="str">
        <f>IFERROR(__xludf.DUMMYFUNCTION("iferror(IF(
  IFNA(
    FILTER(
      IMPORTRANGE($F$8,""'Sensitivity [""&amp;IF(BK$3="""",BK$2,BK$2&amp;"", ""&amp;BK$3)&amp;""]'!E1:E20""),
      IMPORTRANGE($F$8,""'Sensitivity [""&amp;IF(BK$3="""",BK$2,BK$2&amp;"", ""&amp;BK$3)&amp;""]'!A1:A20"")=$E11
    ),
    """"
  ) = """",
  "&amp;"""-"",
  BK$5 * ( 1 +
    IFNA(
      FILTER(
        IMPORTRANGE($F$8,""'Sensitivity [""&amp;IF(BK$3="""",BK$2,BK$2&amp;"", ""&amp;BK$3)&amp;""]'!E1:E20""),
        IMPORTRANGE($F$8,""'Sensitivity [""&amp;IF(BK$3="""",BK$2,BK$2&amp;"", ""&amp;BK$3)&amp;""]'!A1:A20"")=$E11
      ),
    "&amp;"  """"
    )
  )
), ""-"")
"),"-")</f>
        <v>-</v>
      </c>
      <c r="BN11" s="952"/>
    </row>
    <row r="12">
      <c r="A12" s="63"/>
      <c r="B12" s="64"/>
      <c r="C12" s="420"/>
      <c r="D12" s="420"/>
      <c r="E12" s="590" t="str">
        <f t="shared" si="1"/>
        <v>Malaria-attributable mortality rate among people under age five</v>
      </c>
      <c r="F12" s="944">
        <f>IFERROR(__xludf.DUMMYFUNCTION("IF(
  IFNA(
    FILTER(
      IMPORTRANGE($F$8,""'Sensitivity [""&amp;IF(F$3="""",F$2,F$2&amp;"", ""&amp;F$3)&amp;""]'!D1:D20""),
      IMPORTRANGE($F$8,""'Sensitivity [""&amp;IF(F$3="""",F$2,F$2&amp;"", ""&amp;F$3)&amp;""]'!A1:A20"")=$E12
    ),
    """"
  ) = """",
  ""-"",
  F$5 * ( "&amp;"1 +
    IFNA(
      FILTER(
        IMPORTRANGE($F$8,""'Sensitivity [""&amp;IF(F$3="""",F$2,F$2&amp;"", ""&amp;F$3)&amp;""]'!D1:D20""),
        IMPORTRANGE($F$8,""'Sensitivity [""&amp;IF(F$3="""",F$2,F$2&amp;"", ""&amp;F$3)&amp;""]'!A1:A20"")=$E12
      ),
      """"
    )
  )
)
"),6.641011823088555)</f>
        <v>6.641011823</v>
      </c>
      <c r="G12" s="950" t="s">
        <v>132</v>
      </c>
      <c r="H12" s="946">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"),19.9230354692656)</f>
        <v>19.92303547</v>
      </c>
      <c r="I12" s="947">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"),4.390977096516091)</f>
        <v>4.390977097</v>
      </c>
      <c r="J12" s="951" t="s">
        <v>132</v>
      </c>
      <c r="K12" s="949">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"),24.882203546924572)</f>
        <v>24.88220355</v>
      </c>
      <c r="L12" s="947">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"),3.4535702647701663)</f>
        <v>3.453570265</v>
      </c>
      <c r="M12" s="951" t="s">
        <v>132</v>
      </c>
      <c r="N12" s="949">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"),13.814281059080665)</f>
        <v>13.81428106</v>
      </c>
      <c r="O12" s="947" t="str">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f>
        <v>-</v>
      </c>
      <c r="P12" s="951" t="s">
        <v>132</v>
      </c>
      <c r="Q12" s="949" t="str">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f>
        <v>-</v>
      </c>
      <c r="R12" s="947" t="str">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f>
        <v>-</v>
      </c>
      <c r="S12" s="951" t="s">
        <v>132</v>
      </c>
      <c r="T12" s="949" t="str">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f>
        <v>-</v>
      </c>
      <c r="U12" s="947" t="str">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f>
        <v>-</v>
      </c>
      <c r="V12" s="951" t="s">
        <v>132</v>
      </c>
      <c r="W12" s="949" t="str">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f>
        <v>-</v>
      </c>
      <c r="X12" s="947" t="str">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f>
        <v>-</v>
      </c>
      <c r="Y12" s="951" t="s">
        <v>132</v>
      </c>
      <c r="Z12" s="949" t="str">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f>
        <v>-</v>
      </c>
      <c r="AA12" s="947">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"),4.361006696263877)</f>
        <v>4.361006696</v>
      </c>
      <c r="AB12" s="951" t="s">
        <v>132</v>
      </c>
      <c r="AC12" s="949">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"),13.083020088791681)</f>
        <v>13.08302009</v>
      </c>
      <c r="AD12" s="947">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"),17.394761382808245)</f>
        <v>17.39476138</v>
      </c>
      <c r="AE12" s="951" t="s">
        <v>132</v>
      </c>
      <c r="AF12" s="949">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"),82.00387509038222)</f>
        <v>82.00387509</v>
      </c>
      <c r="AG12" s="947">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"),27.649323675792377)</f>
        <v>27.64932368</v>
      </c>
      <c r="AH12" s="951" t="s">
        <v>132</v>
      </c>
      <c r="AI12" s="949">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"),82.94797102737697)</f>
        <v>82.94797103</v>
      </c>
      <c r="AJ12" s="947">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"),7.416031534432511)</f>
        <v>7.416031534</v>
      </c>
      <c r="AK12" s="951" t="s">
        <v>132</v>
      </c>
      <c r="AL12" s="949">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"),22.248094603297556)</f>
        <v>22.2480946</v>
      </c>
      <c r="AM12" s="947">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"),30.71593784545537)</f>
        <v>30.71593785</v>
      </c>
      <c r="AN12" s="951" t="s">
        <v>132</v>
      </c>
      <c r="AO12" s="949">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"),92.14781353636616)</f>
        <v>92.14781354</v>
      </c>
      <c r="AP12" s="947">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"),13.853662416767733)</f>
        <v>13.85366242</v>
      </c>
      <c r="AQ12" s="951" t="s">
        <v>132</v>
      </c>
      <c r="AR12" s="949">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"),41.56098725030341)</f>
        <v>41.56098725</v>
      </c>
      <c r="AS12" s="947">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"),13.219160536253845)</f>
        <v>13.21916054</v>
      </c>
      <c r="AT12" s="951" t="s">
        <v>132</v>
      </c>
      <c r="AU12" s="949">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"),39.657481608761614)</f>
        <v>39.65748161</v>
      </c>
      <c r="AV12" s="947">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"),8.238881759107578)</f>
        <v>8.238881759</v>
      </c>
      <c r="AW12" s="951" t="s">
        <v>132</v>
      </c>
      <c r="AX12" s="949">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"),24.716645277322797)</f>
        <v>24.71664528</v>
      </c>
      <c r="AY12" s="947">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"),12.644050325727841)</f>
        <v>12.64405033</v>
      </c>
      <c r="AZ12" s="951" t="s">
        <v>132</v>
      </c>
      <c r="BA12" s="949">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"),37.932150977183525)</f>
        <v>37.93215098</v>
      </c>
      <c r="BB12" s="947">
        <f>IFERROR(__xludf.DUMMYFUNCTION("Iferror(IF(
  IFNA(
    FILTER(
      IMPORTRANGE($F$8,""'Sensitivity [""&amp;IF(BB$3="""",BB$2,BB$2&amp;"", ""&amp;BB$3)&amp;""]'!D1:D20""),
      IMPORTRANGE($F$8,""'Sensitivity [""&amp;IF(BB$3="""",BB$2,BB$2&amp;"", ""&amp;BB$3)&amp;""]'!A1:A20"")=$E12
    ),
    """"
  ) = """",
  "&amp;"""-"",
  BB$5 * ( 1 +
    IFNA(
      FILTER(
        IMPORTRANGE($F$8,""'Sensitivity [""&amp;IF(BB$3="""",BB$2,BB$2&amp;"", ""&amp;BB$3)&amp;""]'!D1:D20""),
        IMPORTRANGE($F$8,""'Sensitivity [""&amp;IF(BB$3="""",BB$2,BB$2&amp;"", ""&amp;BB$3)&amp;""]'!A1:A20"")=$E12
      ),
    "&amp;"  """"
    )
  )
), ""-"")
"),28.148649301250522)</f>
        <v>28.1486493</v>
      </c>
      <c r="BC12" s="951" t="s">
        <v>132</v>
      </c>
      <c r="BD12" s="949">
        <f>IFERROR(__xludf.DUMMYFUNCTION("iferror(IF(
  IFNA(
    FILTER(
      IMPORTRANGE($F$8,""'Sensitivity [""&amp;IF(BB$3="""",BB$2,BB$2&amp;"", ""&amp;BB$3)&amp;""]'!E1:E20""),
      IMPORTRANGE($F$8,""'Sensitivity [""&amp;IF(BB$3="""",BB$2,BB$2&amp;"", ""&amp;BB$3)&amp;""]'!A1:A20"")=$E12
    ),
    """"
  ) = """",
  "&amp;"""-"",
  BB$5 * ( 1 +
    IFNA(
      FILTER(
        IMPORTRANGE($F$8,""'Sensitivity [""&amp;IF(BB$3="""",BB$2,BB$2&amp;"", ""&amp;BB$3)&amp;""]'!E1:E20""),
        IMPORTRANGE($F$8,""'Sensitivity [""&amp;IF(BB$3="""",BB$2,BB$2&amp;"", ""&amp;BB$3)&amp;""]'!A1:A20"")=$E12
      ),
    "&amp;"  """"
    )
  )
), ""-"")
"),84.44594790375159)</f>
        <v>84.4459479</v>
      </c>
      <c r="BE12" s="947">
        <f>IFERROR(__xludf.DUMMYFUNCTION("Iferror(IF(
  IFNA(
    FILTER(
      IMPORTRANGE($F$8,""'Sensitivity [""&amp;IF(BE$3="""",BE$2,BE$2&amp;"", ""&amp;BE$3)&amp;""]'!D1:D20""),
      IMPORTRANGE($F$8,""'Sensitivity [""&amp;IF(BE$3="""",BE$2,BE$2&amp;"", ""&amp;BE$3)&amp;""]'!A1:A20"")=$E12
    ),
    """"
  ) = """",
  "&amp;"""-"",
  BE$5 * ( 1 +
    IFNA(
      FILTER(
        IMPORTRANGE($F$8,""'Sensitivity [""&amp;IF(BE$3="""",BE$2,BE$2&amp;"", ""&amp;BE$3)&amp;""]'!D1:D20""),
        IMPORTRANGE($F$8,""'Sensitivity [""&amp;IF(BE$3="""",BE$2,BE$2&amp;"", ""&amp;BE$3)&amp;""]'!A1:A20"")=$E12
      ),
    "&amp;"  """"
    )
  )
), ""-"")
"),1.2905965218439008)</f>
        <v>1.290596522</v>
      </c>
      <c r="BF12" s="951" t="s">
        <v>132</v>
      </c>
      <c r="BG12" s="949">
        <f>IFERROR(__xludf.DUMMYFUNCTION("iferror(IF(
  IFNA(
    FILTER(
      IMPORTRANGE($F$8,""'Sensitivity [""&amp;IF(BE$3="""",BE$2,BE$2&amp;"", ""&amp;BE$3)&amp;""]'!E1:E20""),
      IMPORTRANGE($F$8,""'Sensitivity [""&amp;IF(BE$3="""",BE$2,BE$2&amp;"", ""&amp;BE$3)&amp;""]'!A1:A20"")=$E12
    ),
    """"
  ) = """",
  "&amp;"""-"",
  BE$5 * ( 1 +
    IFNA(
      FILTER(
        IMPORTRANGE($F$8,""'Sensitivity [""&amp;IF(BE$3="""",BE$2,BE$2&amp;"", ""&amp;BE$3)&amp;""]'!E1:E20""),
        IMPORTRANGE($F$8,""'Sensitivity [""&amp;IF(BE$3="""",BE$2,BE$2&amp;"", ""&amp;BE$3)&amp;""]'!A1:A20"")=$E12
      ),
    "&amp;"  """"
    )
  )
), ""-"")
"),9.034175652907297)</f>
        <v>9.034175653</v>
      </c>
      <c r="BH12" s="947">
        <f>IFERROR(__xludf.DUMMYFUNCTION("Iferror(IF(
  IFNA(
    FILTER(
      IMPORTRANGE($F$8,""'Sensitivity [""&amp;IF(BH$3="""",BH$2,BH$2&amp;"", ""&amp;BH$3)&amp;""]'!D1:D20""),
      IMPORTRANGE($F$8,""'Sensitivity [""&amp;IF(BH$3="""",BH$2,BH$2&amp;"", ""&amp;BH$3)&amp;""]'!A1:A20"")=$E12
    ),
    """"
  ) = """",
  "&amp;"""-"",
  BH$5 * ( 1 +
    IFNA(
      FILTER(
        IMPORTRANGE($F$8,""'Sensitivity [""&amp;IF(BH$3="""",BH$2,BH$2&amp;"", ""&amp;BH$3)&amp;""]'!D1:D20""),
        IMPORTRANGE($F$8,""'Sensitivity [""&amp;IF(BH$3="""",BH$2,BH$2&amp;"", ""&amp;BH$3)&amp;""]'!A1:A20"")=$E12
      ),
    "&amp;"  """"
    )
  )
), ""-"")
"),4.007875358222314)</f>
        <v>4.007875358</v>
      </c>
      <c r="BI12" s="951" t="s">
        <v>132</v>
      </c>
      <c r="BJ12" s="949">
        <f>IFERROR(__xludf.DUMMYFUNCTION("iferror(IF(
  IFNA(
    FILTER(
      IMPORTRANGE($F$8,""'Sensitivity [""&amp;IF(BH$3="""",BH$2,BH$2&amp;"", ""&amp;BH$3)&amp;""]'!E1:E20""),
      IMPORTRANGE($F$8,""'Sensitivity [""&amp;IF(BH$3="""",BH$2,BH$2&amp;"", ""&amp;BH$3)&amp;""]'!A1:A20"")=$E12
    ),
    """"
  ) = """",
  "&amp;"""-"",
  BH$5 * ( 1 +
    IFNA(
      FILTER(
        IMPORTRANGE($F$8,""'Sensitivity [""&amp;IF(BH$3="""",BH$2,BH$2&amp;"", ""&amp;BH$3)&amp;""]'!E1:E20""),
        IMPORTRANGE($F$8,""'Sensitivity [""&amp;IF(BH$3="""",BH$2,BH$2&amp;"", ""&amp;BH$3)&amp;""]'!A1:A20"")=$E12
      ),
    "&amp;"  """"
    )
  )
), ""-"")
"),12.023626074666975)</f>
        <v>12.02362607</v>
      </c>
      <c r="BK12" s="947">
        <f>IFERROR(__xludf.DUMMYFUNCTION("Iferror(IF(
  IFNA(
    FILTER(
      IMPORTRANGE($F$8,""'Sensitivity [""&amp;IF(BK$3="""",BK$2,BK$2&amp;"", ""&amp;BK$3)&amp;""]'!D1:D20""),
      IMPORTRANGE($F$8,""'Sensitivity [""&amp;IF(BK$3="""",BK$2,BK$2&amp;"", ""&amp;BK$3)&amp;""]'!A1:A20"")=$E12
    ),
    """"
  ) = """",
  "&amp;"""-"",
  BK$5 * ( 1 +
    IFNA(
      FILTER(
        IMPORTRANGE($F$8,""'Sensitivity [""&amp;IF(BK$3="""",BK$2,BK$2&amp;"", ""&amp;BK$3)&amp;""]'!D1:D20""),
        IMPORTRANGE($F$8,""'Sensitivity [""&amp;IF(BK$3="""",BK$2,BK$2&amp;"", ""&amp;BK$3)&amp;""]'!A1:A20"")=$E12
      ),
    "&amp;"  """"
    )
  )
), ""-"")
"),2.7088096950729526)</f>
        <v>2.708809695</v>
      </c>
      <c r="BL12" s="951" t="s">
        <v>132</v>
      </c>
      <c r="BM12" s="949">
        <f>IFERROR(__xludf.DUMMYFUNCTION("iferror(IF(
  IFNA(
    FILTER(
      IMPORTRANGE($F$8,""'Sensitivity [""&amp;IF(BK$3="""",BK$2,BK$2&amp;"", ""&amp;BK$3)&amp;""]'!E1:E20""),
      IMPORTRANGE($F$8,""'Sensitivity [""&amp;IF(BK$3="""",BK$2,BK$2&amp;"", ""&amp;BK$3)&amp;""]'!A1:A20"")=$E12
    ),
    """"
  ) = """",
  "&amp;"""-"",
  BK$5 * ( 1 +
    IFNA(
      FILTER(
        IMPORTRANGE($F$8,""'Sensitivity [""&amp;IF(BK$3="""",BK$2,BK$2&amp;"", ""&amp;BK$3)&amp;""]'!E1:E20""),
        IMPORTRANGE($F$8,""'Sensitivity [""&amp;IF(BK$3="""",BK$2,BK$2&amp;"", ""&amp;BK$3)&amp;""]'!A1:A20"")=$E12
      ),
    "&amp;"  """"
    )
  )
), ""-"")
"),10.835238780291808)</f>
        <v>10.83523878</v>
      </c>
      <c r="BN12" s="621"/>
    </row>
    <row r="13">
      <c r="A13" s="63"/>
      <c r="B13" s="64"/>
      <c r="C13" s="420"/>
      <c r="D13" s="64"/>
      <c r="E13" s="625" t="str">
        <f t="shared" si="1"/>
        <v>Proportion of malaria mortality occurring during the SMC season</v>
      </c>
      <c r="F13" s="944">
        <f>IFERROR(__xludf.DUMMYFUNCTION("IF(
  IFNA(
    FILTER(
      IMPORTRANGE($F$8,""'Sensitivity [""&amp;IF(F$3="""",F$2,F$2&amp;"", ""&amp;F$3)&amp;""]'!D1:D20""),
      IMPORTRANGE($F$8,""'Sensitivity [""&amp;IF(F$3="""",F$2,F$2&amp;"", ""&amp;F$3)&amp;""]'!A1:A20"")=$E13
    ),
    """"
  ) = """",
  ""-"",
  F$5 * ( "&amp;"1 +
    IFNA(
      FILTER(
        IMPORTRANGE($F$8,""'Sensitivity [""&amp;IF(F$3="""",F$2,F$2&amp;"", ""&amp;F$3)&amp;""]'!D1:D20""),
        IMPORTRANGE($F$8,""'Sensitivity [""&amp;IF(F$3="""",F$2,F$2&amp;"", ""&amp;F$3)&amp;""]'!A1:A20"")=$E13
      ),
      """"
    )
  )
)
"),11.997873567113537)</f>
        <v>11.99787357</v>
      </c>
      <c r="G13" s="950" t="s">
        <v>132</v>
      </c>
      <c r="H13" s="946">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"),14.664067693138737)</f>
        <v>14.66406769</v>
      </c>
      <c r="I13" s="947">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"),13.245840998008667)</f>
        <v>13.245841</v>
      </c>
      <c r="J13" s="951" t="s">
        <v>132</v>
      </c>
      <c r="K13" s="949">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"),16.1893612197884)</f>
        <v>16.18936122</v>
      </c>
      <c r="L13" s="947">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"),7.649500873628585)</f>
        <v>7.649500874</v>
      </c>
      <c r="M13" s="951" t="s">
        <v>132</v>
      </c>
      <c r="N13" s="949">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"),9.349389956657157)</f>
        <v>9.349389957</v>
      </c>
      <c r="O13" s="947" t="str">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f>
        <v>-</v>
      </c>
      <c r="P13" s="951" t="s">
        <v>132</v>
      </c>
      <c r="Q13" s="949" t="str">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f>
        <v>-</v>
      </c>
      <c r="R13" s="947" t="str">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f>
        <v>-</v>
      </c>
      <c r="S13" s="951" t="s">
        <v>132</v>
      </c>
      <c r="T13" s="949" t="str">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f>
        <v>-</v>
      </c>
      <c r="U13" s="947" t="str">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f>
        <v>-</v>
      </c>
      <c r="V13" s="951" t="s">
        <v>132</v>
      </c>
      <c r="W13" s="949" t="str">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f>
        <v>-</v>
      </c>
      <c r="X13" s="947" t="str">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f>
        <v>-</v>
      </c>
      <c r="Y13" s="951" t="s">
        <v>132</v>
      </c>
      <c r="Z13" s="949" t="str">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f>
        <v>-</v>
      </c>
      <c r="AA13" s="947">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"),7.030759165787741)</f>
        <v>7.030759166</v>
      </c>
      <c r="AB13" s="951" t="s">
        <v>132</v>
      </c>
      <c r="AC13" s="949">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"),10.546138748681644)</f>
        <v>10.54613875</v>
      </c>
      <c r="AD13" s="947">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"),44.67509438687338)</f>
        <v>44.67509439</v>
      </c>
      <c r="AE13" s="951" t="s">
        <v>132</v>
      </c>
      <c r="AF13" s="949">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"),54.60289313951184)</f>
        <v>54.60289314</v>
      </c>
      <c r="AG13" s="947">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"),49.968586046475835)</f>
        <v>49.96858605</v>
      </c>
      <c r="AH13" s="951" t="s">
        <v>132</v>
      </c>
      <c r="AI13" s="949">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"),61.07271627902602)</f>
        <v>61.07271628</v>
      </c>
      <c r="AJ13" s="947">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"),13.159273934788647)</f>
        <v>13.15927393</v>
      </c>
      <c r="AK13" s="951" t="s">
        <v>132</v>
      </c>
      <c r="AL13" s="949">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"),16.083557031408347)</f>
        <v>16.08355703</v>
      </c>
      <c r="AM13" s="947">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"),55.6139606733065)</f>
        <v>55.61396067</v>
      </c>
      <c r="AN13" s="951" t="s">
        <v>132</v>
      </c>
      <c r="AO13" s="949">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"),67.97261860070765)</f>
        <v>67.9726186</v>
      </c>
      <c r="AP13" s="947">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"),25.037298895787263)</f>
        <v>25.0372989</v>
      </c>
      <c r="AQ13" s="951" t="s">
        <v>132</v>
      </c>
      <c r="AR13" s="949">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"),30.6011430948511)</f>
        <v>30.60114309</v>
      </c>
      <c r="AS13" s="947">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"),23.908884149844727)</f>
        <v>23.90888415</v>
      </c>
      <c r="AT13" s="951" t="s">
        <v>132</v>
      </c>
      <c r="AU13" s="949">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"),29.22196951647678)</f>
        <v>29.22196952</v>
      </c>
      <c r="AV13" s="947">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"),14.835063757192199)</f>
        <v>14.83506376</v>
      </c>
      <c r="AW13" s="951" t="s">
        <v>132</v>
      </c>
      <c r="AX13" s="949">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"),18.131744592123773)</f>
        <v>18.13174459</v>
      </c>
      <c r="AY13" s="947">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"),22.79797929501162)</f>
        <v>22.7979793</v>
      </c>
      <c r="AZ13" s="951" t="s">
        <v>132</v>
      </c>
      <c r="BA13" s="949">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"),27.8641969161253)</f>
        <v>27.86419692</v>
      </c>
      <c r="BB13" s="947">
        <f>IFERROR(__xludf.DUMMYFUNCTION("Iferror(IF(
  IFNA(
    FILTER(
      IMPORTRANGE($F$8,""'Sensitivity [""&amp;IF(BB$3="""",BB$2,BB$2&amp;"", ""&amp;BB$3)&amp;""]'!D1:D20""),
      IMPORTRANGE($F$8,""'Sensitivity [""&amp;IF(BB$3="""",BB$2,BB$2&amp;"", ""&amp;BB$3)&amp;""]'!A1:A20"")=$E13
    ),
    """"
  ) = """",
  "&amp;"""-"",
  BB$5 * ( 1 +
    IFNA(
      FILTER(
        IMPORTRANGE($F$8,""'Sensitivity [""&amp;IF(BB$3="""",BB$2,BB$2&amp;"", ""&amp;BB$3)&amp;""]'!D1:D20""),
        IMPORTRANGE($F$8,""'Sensitivity [""&amp;IF(BB$3="""",BB$2,BB$2&amp;"", ""&amp;BB$3)&amp;""]'!A1:A20"")=$E13
      ),
    "&amp;"  """"
    )
  )
), ""-"")
"),50.37152725086227)</f>
        <v>50.37152725</v>
      </c>
      <c r="BC13" s="951" t="s">
        <v>132</v>
      </c>
      <c r="BD13" s="949">
        <f>IFERROR(__xludf.DUMMYFUNCTION("iferror(IF(
  IFNA(
    FILTER(
      IMPORTRANGE($F$8,""'Sensitivity [""&amp;IF(BB$3="""",BB$2,BB$2&amp;"", ""&amp;BB$3)&amp;""]'!E1:E20""),
      IMPORTRANGE($F$8,""'Sensitivity [""&amp;IF(BB$3="""",BB$2,BB$2&amp;"", ""&amp;BB$3)&amp;""]'!A1:A20"")=$E13
    ),
    """"
  ) = """",
  "&amp;"""-"",
  BB$5 * ( 1 +
    IFNA(
      FILTER(
        IMPORTRANGE($F$8,""'Sensitivity [""&amp;IF(BB$3="""",BB$2,BB$2&amp;"", ""&amp;BB$3)&amp;""]'!E1:E20""),
        IMPORTRANGE($F$8,""'Sensitivity [""&amp;IF(BB$3="""",BB$2,BB$2&amp;"", ""&amp;BB$3)&amp;""]'!A1:A20"")=$E13
      ),
    "&amp;"  """"
    )
  )
), ""-"")
"),61.56519997327617)</f>
        <v>61.56519997</v>
      </c>
      <c r="BE13" s="947">
        <f>IFERROR(__xludf.DUMMYFUNCTION("Iferror(IF(
  IFNA(
    FILTER(
      IMPORTRANGE($F$8,""'Sensitivity [""&amp;IF(BE$3="""",BE$2,BE$2&amp;"", ""&amp;BE$3)&amp;""]'!D1:D20""),
      IMPORTRANGE($F$8,""'Sensitivity [""&amp;IF(BE$3="""",BE$2,BE$2&amp;"", ""&amp;BE$3)&amp;""]'!A1:A20"")=$E13
    ),
    """"
  ) = """",
  "&amp;"""-"",
  BE$5 * ( 1 +
    IFNA(
      FILTER(
        IMPORTRANGE($F$8,""'Sensitivity [""&amp;IF(BE$3="""",BE$2,BE$2&amp;"", ""&amp;BE$3)&amp;""]'!D1:D20""),
        IMPORTRANGE($F$8,""'Sensitivity [""&amp;IF(BE$3="""",BE$2,BE$2&amp;"", ""&amp;BE$3)&amp;""]'!A1:A20"")=$E13
      ),
    "&amp;"  """"
    )
  )
), ""-"")
"),4.3862846046368205)</f>
        <v>4.386284605</v>
      </c>
      <c r="BF13" s="951" t="s">
        <v>132</v>
      </c>
      <c r="BG13" s="949">
        <f>IFERROR(__xludf.DUMMYFUNCTION("iferror(IF(
  IFNA(
    FILTER(
      IMPORTRANGE($F$8,""'Sensitivity [""&amp;IF(BE$3="""",BE$2,BE$2&amp;"", ""&amp;BE$3)&amp;""]'!E1:E20""),
      IMPORTRANGE($F$8,""'Sensitivity [""&amp;IF(BE$3="""",BE$2,BE$2&amp;"", ""&amp;BE$3)&amp;""]'!A1:A20"")=$E13
    ),
    """"
  ) = """",
  "&amp;"""-"",
  BE$5 * ( 1 +
    IFNA(
      FILTER(
        IMPORTRANGE($F$8,""'Sensitivity [""&amp;IF(BE$3="""",BE$2,BE$2&amp;"", ""&amp;BE$3)&amp;""]'!E1:E20""),
        IMPORTRANGE($F$8,""'Sensitivity [""&amp;IF(BE$3="""",BE$2,BE$2&amp;"", ""&amp;BE$3)&amp;""]'!A1:A20"")=$E13
      ),
    "&amp;"  """"
    )
  )
), ""-"")
"),6.579426906955242)</f>
        <v>6.579426907</v>
      </c>
      <c r="BH13" s="947">
        <f>IFERROR(__xludf.DUMMYFUNCTION("Iferror(IF(
  IFNA(
    FILTER(
      IMPORTRANGE($F$8,""'Sensitivity [""&amp;IF(BH$3="""",BH$2,BH$2&amp;"", ""&amp;BH$3)&amp;""]'!D1:D20""),
      IMPORTRANGE($F$8,""'Sensitivity [""&amp;IF(BH$3="""",BH$2,BH$2&amp;"", ""&amp;BH$3)&amp;""]'!A1:A20"")=$E13
    ),
    """"
  ) = """",
  "&amp;"""-"",
  BH$5 * ( 1 +
    IFNA(
      FILTER(
        IMPORTRANGE($F$8,""'Sensitivity [""&amp;IF(BH$3="""",BH$2,BH$2&amp;"", ""&amp;BH$3)&amp;""]'!D1:D20""),
        IMPORTRANGE($F$8,""'Sensitivity [""&amp;IF(BH$3="""",BH$2,BH$2&amp;"", ""&amp;BH$3)&amp;""]'!A1:A20"")=$E13
      ),
    "&amp;"  """"
    )
  )
), ""-"")
"),7.203792969988085)</f>
        <v>7.20379297</v>
      </c>
      <c r="BI13" s="951" t="s">
        <v>132</v>
      </c>
      <c r="BJ13" s="949">
        <f>IFERROR(__xludf.DUMMYFUNCTION("iferror(IF(
  IFNA(
    FILTER(
      IMPORTRANGE($F$8,""'Sensitivity [""&amp;IF(BH$3="""",BH$2,BH$2&amp;"", ""&amp;BH$3)&amp;""]'!E1:E20""),
      IMPORTRANGE($F$8,""'Sensitivity [""&amp;IF(BH$3="""",BH$2,BH$2&amp;"", ""&amp;BH$3)&amp;""]'!A1:A20"")=$E13
    ),
    """"
  ) = """",
  "&amp;"""-"",
  BH$5 * ( 1 +
    IFNA(
      FILTER(
        IMPORTRANGE($F$8,""'Sensitivity [""&amp;IF(BH$3="""",BH$2,BH$2&amp;"", ""&amp;BH$3)&amp;""]'!E1:E20""),
        IMPORTRANGE($F$8,""'Sensitivity [""&amp;IF(BH$3="""",BH$2,BH$2&amp;"", ""&amp;BH$3)&amp;""]'!A1:A20"")=$E13
      ),
    "&amp;"  """"
    )
  )
), ""-"")
"),8.804635852207696)</f>
        <v>8.804635852</v>
      </c>
      <c r="BK13" s="947">
        <f>IFERROR(__xludf.DUMMYFUNCTION("Iferror(IF(
  IFNA(
    FILTER(
      IMPORTRANGE($F$8,""'Sensitivity [""&amp;IF(BK$3="""",BK$2,BK$2&amp;"", ""&amp;BK$3)&amp;""]'!D1:D20""),
      IMPORTRANGE($F$8,""'Sensitivity [""&amp;IF(BK$3="""",BK$2,BK$2&amp;"", ""&amp;BK$3)&amp;""]'!A1:A20"")=$E13
    ),
    """"
  ) = """",
  "&amp;"""-"",
  BK$5 * ( 1 +
    IFNA(
      FILTER(
        IMPORTRANGE($F$8,""'Sensitivity [""&amp;IF(BK$3="""",BK$2,BK$2&amp;"", ""&amp;BK$3)&amp;""]'!D1:D20""),
        IMPORTRANGE($F$8,""'Sensitivity [""&amp;IF(BK$3="""",BK$2,BK$2&amp;"", ""&amp;BK$3)&amp;""]'!A1:A20"")=$E13
      ),
    "&amp;"  """"
    )
  )
), ""-"")
"),5.517470367309696)</f>
        <v>5.517470367</v>
      </c>
      <c r="BL13" s="951" t="s">
        <v>132</v>
      </c>
      <c r="BM13" s="949">
        <f>IFERROR(__xludf.DUMMYFUNCTION("iferror(IF(
  IFNA(
    FILTER(
      IMPORTRANGE($F$8,""'Sensitivity [""&amp;IF(BK$3="""",BK$2,BK$2&amp;"", ""&amp;BK$3)&amp;""]'!E1:E20""),
      IMPORTRANGE($F$8,""'Sensitivity [""&amp;IF(BK$3="""",BK$2,BK$2&amp;"", ""&amp;BK$3)&amp;""]'!A1:A20"")=$E13
    ),
    """"
  ) = """",
  "&amp;"""-"",
  BK$5 * ( 1 +
    IFNA(
      FILTER(
        IMPORTRANGE($F$8,""'Sensitivity [""&amp;IF(BK$3="""",BK$2,BK$2&amp;"", ""&amp;BK$3)&amp;""]'!E1:E20""),
        IMPORTRANGE($F$8,""'Sensitivity [""&amp;IF(BK$3="""",BK$2,BK$2&amp;"", ""&amp;BK$3)&amp;""]'!A1:A20"")=$E13
      ),
    "&amp;"  """"
    )
  )
), ""-"")
"),8.276205550964589)</f>
        <v>8.276205551</v>
      </c>
      <c r="BN13" s="874"/>
    </row>
    <row r="14">
      <c r="A14" s="63"/>
      <c r="B14" s="64"/>
      <c r="C14" s="420"/>
      <c r="D14" s="64"/>
      <c r="E14" s="943" t="str">
        <f t="shared" si="1"/>
        <v>Effect of SMC on under-five deaths related to malaria</v>
      </c>
      <c r="F14" s="944">
        <f>IFERROR(__xludf.DUMMYFUNCTION("IF(
  IFNA(
    FILTER(
      IMPORTRANGE($F$8,""'Sensitivity [""&amp;IF(F$3="""",F$2,F$2&amp;"", ""&amp;F$3)&amp;""]'!D1:D20""),
      IMPORTRANGE($F$8,""'Sensitivity [""&amp;IF(F$3="""",F$2,F$2&amp;"", ""&amp;F$3)&amp;""]'!A1:A20"")=$E14
    ),
    """"
  ) = """",
  ""-"",
  F$5 * ( "&amp;"1 +
    IFNA(
      FILTER(
        IMPORTRANGE($F$8,""'Sensitivity [""&amp;IF(F$3="""",F$2,F$2&amp;"", ""&amp;F$3)&amp;""]'!D1:D20""),
        IMPORTRANGE($F$8,""'Sensitivity [""&amp;IF(F$3="""",F$2,F$2&amp;"", ""&amp;F$3)&amp;""]'!A1:A20"")=$E14
      ),
      """"
    )
  )
)
"),12.104161274521655)</f>
        <v>12.10416127</v>
      </c>
      <c r="G14" s="950" t="s">
        <v>132</v>
      </c>
      <c r="H14" s="946">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"),14.793974891081993)</f>
        <v>14.79397489</v>
      </c>
      <c r="I14" s="947">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"),13.38729194397745)</f>
        <v>13.38729194</v>
      </c>
      <c r="J14" s="951" t="s">
        <v>132</v>
      </c>
      <c r="K14" s="949">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"),16.362245709305785)</f>
        <v>16.36224571</v>
      </c>
      <c r="L14" s="947">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"),7.785215740270629)</f>
        <v>7.78521574</v>
      </c>
      <c r="M14" s="951" t="s">
        <v>132</v>
      </c>
      <c r="N14" s="949">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"),9.515263682553)</f>
        <v>9.515263683</v>
      </c>
      <c r="O14" s="947" t="str">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f>
        <v>-</v>
      </c>
      <c r="P14" s="951" t="s">
        <v>132</v>
      </c>
      <c r="Q14" s="949" t="str">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f>
        <v>-</v>
      </c>
      <c r="R14" s="947" t="str">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f>
        <v>-</v>
      </c>
      <c r="S14" s="951" t="s">
        <v>132</v>
      </c>
      <c r="T14" s="949" t="str">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f>
        <v>-</v>
      </c>
      <c r="U14" s="947" t="str">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f>
        <v>-</v>
      </c>
      <c r="V14" s="951" t="s">
        <v>132</v>
      </c>
      <c r="W14" s="949" t="str">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f>
        <v>-</v>
      </c>
      <c r="X14" s="947" t="str">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f>
        <v>-</v>
      </c>
      <c r="Y14" s="951" t="s">
        <v>132</v>
      </c>
      <c r="Z14" s="949" t="str">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f>
        <v>-</v>
      </c>
      <c r="AA14" s="947">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"),6.438363874449991)</f>
        <v>6.438363874</v>
      </c>
      <c r="AB14" s="951" t="s">
        <v>132</v>
      </c>
      <c r="AC14" s="949">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"),11.956961481121432)</f>
        <v>11.95696148</v>
      </c>
      <c r="AD14" s="947">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"),45.20541248393335)</f>
        <v>45.20541248</v>
      </c>
      <c r="AE14" s="951" t="s">
        <v>132</v>
      </c>
      <c r="AF14" s="949">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"),55.25105970258507)</f>
        <v>55.2510597</v>
      </c>
      <c r="AG14" s="947">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"),50.571823198471435)</f>
        <v>50.5718232</v>
      </c>
      <c r="AH14" s="951" t="s">
        <v>132</v>
      </c>
      <c r="AI14" s="949">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"),61.81000613146485)</f>
        <v>61.81000613</v>
      </c>
      <c r="AJ14" s="947">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"),13.240673548330436)</f>
        <v>13.24067355</v>
      </c>
      <c r="AK14" s="951" t="s">
        <v>132</v>
      </c>
      <c r="AL14" s="949">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"),16.183045447959483)</f>
        <v>16.18304545</v>
      </c>
      <c r="AM14" s="947">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"),56.13758103416267)</f>
        <v>56.13758103</v>
      </c>
      <c r="AN14" s="951" t="s">
        <v>132</v>
      </c>
      <c r="AO14" s="949">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"),68.6125990417548)</f>
        <v>68.61259904</v>
      </c>
      <c r="AP14" s="947">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"),25.327179453293766)</f>
        <v>25.32717945</v>
      </c>
      <c r="AQ14" s="951" t="s">
        <v>132</v>
      </c>
      <c r="AR14" s="949">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"),30.95544155402571)</f>
        <v>30.95544155</v>
      </c>
      <c r="AS14" s="947">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"),24.28002972440488)</f>
        <v>24.28002972</v>
      </c>
      <c r="AT14" s="951" t="s">
        <v>132</v>
      </c>
      <c r="AU14" s="949">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"),29.675591885383625)</f>
        <v>29.67559189</v>
      </c>
      <c r="AV14" s="947">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"),15.021006078146247)</f>
        <v>15.02100608</v>
      </c>
      <c r="AW14" s="951" t="s">
        <v>132</v>
      </c>
      <c r="AX14" s="949">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"),18.359007428845466)</f>
        <v>18.35900743</v>
      </c>
      <c r="AY14" s="947">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"),22.974842275813764)</f>
        <v>22.97484228</v>
      </c>
      <c r="AZ14" s="951" t="s">
        <v>132</v>
      </c>
      <c r="BA14" s="949">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"),28.080362781550207)</f>
        <v>28.08036278</v>
      </c>
      <c r="BB14" s="947">
        <f>IFERROR(__xludf.DUMMYFUNCTION("Iferror(IF(
  IFNA(
    FILTER(
      IMPORTRANGE($F$8,""'Sensitivity [""&amp;IF(BB$3="""",BB$2,BB$2&amp;"", ""&amp;BB$3)&amp;""]'!D1:D20""),
      IMPORTRANGE($F$8,""'Sensitivity [""&amp;IF(BB$3="""",BB$2,BB$2&amp;"", ""&amp;BB$3)&amp;""]'!A1:A20"")=$E14
    ),
    """"
  ) = """",
  "&amp;"""-"",
  BB$5 * ( 1 +
    IFNA(
      FILTER(
        IMPORTRANGE($F$8,""'Sensitivity [""&amp;IF(BB$3="""",BB$2,BB$2&amp;"", ""&amp;BB$3)&amp;""]'!D1:D20""),
        IMPORTRANGE($F$8,""'Sensitivity [""&amp;IF(BB$3="""",BB$2,BB$2&amp;"", ""&amp;BB$3)&amp;""]'!A1:A20"")=$E14
      ),
    "&amp;"  """"
    )
  )
), ""-"")
"),51.20332476489656)</f>
        <v>51.20332476</v>
      </c>
      <c r="BC14" s="951" t="s">
        <v>132</v>
      </c>
      <c r="BD14" s="949">
        <f>IFERROR(__xludf.DUMMYFUNCTION("iferror(IF(
  IFNA(
    FILTER(
      IMPORTRANGE($F$8,""'Sensitivity [""&amp;IF(BB$3="""",BB$2,BB$2&amp;"", ""&amp;BB$3)&amp;""]'!E1:E20""),
      IMPORTRANGE($F$8,""'Sensitivity [""&amp;IF(BB$3="""",BB$2,BB$2&amp;"", ""&amp;BB$3)&amp;""]'!A1:A20"")=$E14
    ),
    """"
  ) = """",
  "&amp;"""-"",
  BB$5 * ( 1 +
    IFNA(
      FILTER(
        IMPORTRANGE($F$8,""'Sensitivity [""&amp;IF(BB$3="""",BB$2,BB$2&amp;"", ""&amp;BB$3)&amp;""]'!E1:E20""),
        IMPORTRANGE($F$8,""'Sensitivity [""&amp;IF(BB$3="""",BB$2,BB$2&amp;"", ""&amp;BB$3)&amp;""]'!A1:A20"")=$E14
      ),
    "&amp;"  """"
    )
  )
), ""-"")
"),62.58184137931796)</f>
        <v>62.58184138</v>
      </c>
      <c r="BE14" s="947">
        <f>IFERROR(__xludf.DUMMYFUNCTION("Iferror(IF(
  IFNA(
    FILTER(
      IMPORTRANGE($F$8,""'Sensitivity [""&amp;IF(BE$3="""",BE$2,BE$2&amp;"", ""&amp;BE$3)&amp;""]'!D1:D20""),
      IMPORTRANGE($F$8,""'Sensitivity [""&amp;IF(BE$3="""",BE$2,BE$2&amp;"", ""&amp;BE$3)&amp;""]'!A1:A20"")=$E14
    ),
    """"
  ) = """",
  "&amp;"""-"",
  BE$5 * ( 1 +
    IFNA(
      FILTER(
        IMPORTRANGE($F$8,""'Sensitivity [""&amp;IF(BE$3="""",BE$2,BE$2&amp;"", ""&amp;BE$3)&amp;""]'!D1:D20""),
        IMPORTRANGE($F$8,""'Sensitivity [""&amp;IF(BE$3="""",BE$2,BE$2&amp;"", ""&amp;BE$3)&amp;""]'!A1:A20"")=$E14
      ),
    "&amp;"  """"
    )
  )
), ""-"")
"),4.616107610018561)</f>
        <v>4.61610761</v>
      </c>
      <c r="BF14" s="951" t="s">
        <v>132</v>
      </c>
      <c r="BG14" s="949">
        <f>IFERROR(__xludf.DUMMYFUNCTION("iferror(IF(
  IFNA(
    FILTER(
      IMPORTRANGE($F$8,""'Sensitivity [""&amp;IF(BE$3="""",BE$2,BE$2&amp;"", ""&amp;BE$3)&amp;""]'!E1:E20""),
      IMPORTRANGE($F$8,""'Sensitivity [""&amp;IF(BE$3="""",BE$2,BE$2&amp;"", ""&amp;BE$3)&amp;""]'!A1:A20"")=$E14
    ),
    """"
  ) = """",
  "&amp;"""-"",
  BE$5 * ( 1 +
    IFNA(
      FILTER(
        IMPORTRANGE($F$8,""'Sensitivity [""&amp;IF(BE$3="""",BE$2,BE$2&amp;"", ""&amp;BE$3)&amp;""]'!E1:E20""),
        IMPORTRANGE($F$8,""'Sensitivity [""&amp;IF(BE$3="""",BE$2,BE$2&amp;"", ""&amp;BE$3)&amp;""]'!A1:A20"")=$E14
      ),
    "&amp;"  """"
    )
  )
), ""-"")
"),6.924161415027842)</f>
        <v>6.924161415</v>
      </c>
      <c r="BH14" s="947">
        <f>IFERROR(__xludf.DUMMYFUNCTION("Iferror(IF(
  IFNA(
    FILTER(
      IMPORTRANGE($F$8,""'Sensitivity [""&amp;IF(BH$3="""",BH$2,BH$2&amp;"", ""&amp;BH$3)&amp;""]'!D1:D20""),
      IMPORTRANGE($F$8,""'Sensitivity [""&amp;IF(BH$3="""",BH$2,BH$2&amp;"", ""&amp;BH$3)&amp;""]'!A1:A20"")=$E14
    ),
    """"
  ) = """",
  "&amp;"""-"",
  BH$5 * ( 1 +
    IFNA(
      FILTER(
        IMPORTRANGE($F$8,""'Sensitivity [""&amp;IF(BH$3="""",BH$2,BH$2&amp;"", ""&amp;BH$3)&amp;""]'!D1:D20""),
        IMPORTRANGE($F$8,""'Sensitivity [""&amp;IF(BH$3="""",BH$2,BH$2&amp;"", ""&amp;BH$3)&amp;""]'!A1:A20"")=$E14
      ),
    "&amp;"  """"
    )
  )
), ""-"")
"),7.305524811307418)</f>
        <v>7.305524811</v>
      </c>
      <c r="BI14" s="951" t="s">
        <v>132</v>
      </c>
      <c r="BJ14" s="949">
        <f>IFERROR(__xludf.DUMMYFUNCTION("iferror(IF(
  IFNA(
    FILTER(
      IMPORTRANGE($F$8,""'Sensitivity [""&amp;IF(BH$3="""",BH$2,BH$2&amp;"", ""&amp;BH$3)&amp;""]'!E1:E20""),
      IMPORTRANGE($F$8,""'Sensitivity [""&amp;IF(BH$3="""",BH$2,BH$2&amp;"", ""&amp;BH$3)&amp;""]'!A1:A20"")=$E14
    ),
    """"
  ) = """",
  "&amp;"""-"",
  BH$5 * ( 1 +
    IFNA(
      FILTER(
        IMPORTRANGE($F$8,""'Sensitivity [""&amp;IF(BH$3="""",BH$2,BH$2&amp;"", ""&amp;BH$3)&amp;""]'!E1:E20""),
        IMPORTRANGE($F$8,""'Sensitivity [""&amp;IF(BH$3="""",BH$2,BH$2&amp;"", ""&amp;BH$3)&amp;""]'!A1:A20"")=$E14
      ),
    "&amp;"  """"
    )
  )
), ""-"")
"),8.928974769375708)</f>
        <v>8.928974769</v>
      </c>
      <c r="BK14" s="947">
        <f>IFERROR(__xludf.DUMMYFUNCTION("Iferror(IF(
  IFNA(
    FILTER(
      IMPORTRANGE($F$8,""'Sensitivity [""&amp;IF(BK$3="""",BK$2,BK$2&amp;"", ""&amp;BK$3)&amp;""]'!D1:D20""),
      IMPORTRANGE($F$8,""'Sensitivity [""&amp;IF(BK$3="""",BK$2,BK$2&amp;"", ""&amp;BK$3)&amp;""]'!A1:A20"")=$E14
    ),
    """"
  ) = """",
  "&amp;"""-"",
  BK$5 * ( 1 +
    IFNA(
      FILTER(
        IMPORTRANGE($F$8,""'Sensitivity [""&amp;IF(BK$3="""",BK$2,BK$2&amp;"", ""&amp;BK$3)&amp;""]'!D1:D20""),
        IMPORTRANGE($F$8,""'Sensitivity [""&amp;IF(BK$3="""",BK$2,BK$2&amp;"", ""&amp;BK$3)&amp;""]'!A1:A20"")=$E14
      ),
    "&amp;"  """"
    )
  )
), ""-"")
"),4.968644095268575)</f>
        <v>4.968644095</v>
      </c>
      <c r="BL14" s="951" t="s">
        <v>132</v>
      </c>
      <c r="BM14" s="949">
        <f>IFERROR(__xludf.DUMMYFUNCTION("iferror(IF(
  IFNA(
    FILTER(
      IMPORTRANGE($F$8,""'Sensitivity [""&amp;IF(BK$3="""",BK$2,BK$2&amp;"", ""&amp;BK$3)&amp;""]'!E1:E20""),
      IMPORTRANGE($F$8,""'Sensitivity [""&amp;IF(BK$3="""",BK$2,BK$2&amp;"", ""&amp;BK$3)&amp;""]'!A1:A20"")=$E14
    ),
    """"
  ) = """",
  "&amp;"""-"",
  BK$5 * ( 1 +
    IFNA(
      FILTER(
        IMPORTRANGE($F$8,""'Sensitivity [""&amp;IF(BK$3="""",BK$2,BK$2&amp;"", ""&amp;BK$3)&amp;""]'!E1:E20""),
        IMPORTRANGE($F$8,""'Sensitivity [""&amp;IF(BK$3="""",BK$2,BK$2&amp;"", ""&amp;BK$3)&amp;""]'!A1:A20"")=$E14
      ),
    "&amp;"  """"
    )
  )
), ""-"")
"),9.227481891213102)</f>
        <v>9.227481891</v>
      </c>
      <c r="BN14" s="67"/>
    </row>
    <row r="15">
      <c r="A15" s="63"/>
      <c r="B15" s="64"/>
      <c r="C15" s="420"/>
      <c r="D15" s="64"/>
      <c r="E15" s="590" t="str">
        <f t="shared" si="1"/>
        <v>Adjustment to account for mortalities averted among people age 5 and older</v>
      </c>
      <c r="F15" s="944">
        <f>IFERROR(__xludf.DUMMYFUNCTION("IF(
  IFNA(
    FILTER(
      IMPORTRANGE($F$8,""'Sensitivity [""&amp;IF(F$3="""",F$2,F$2&amp;"", ""&amp;F$3)&amp;""]'!D1:D20""),
      IMPORTRANGE($F$8,""'Sensitivity [""&amp;IF(F$3="""",F$2,F$2&amp;"", ""&amp;F$3)&amp;""]'!A1:A20"")=$E15
    ),
    """"
  ) = """",
  ""-"",
  F$5 * ( "&amp;"1 +
    IFNA(
      FILTER(
        IMPORTRANGE($F$8,""'Sensitivity [""&amp;IF(F$3="""",F$2,F$2&amp;"", ""&amp;F$3)&amp;""]'!D1:D20""),
        IMPORTRANGE($F$8,""'Sensitivity [""&amp;IF(F$3="""",F$2,F$2&amp;"", ""&amp;F$3)&amp;""]'!A1:A20"")=$E15
      ),
      """"
    )
  )
)
"),12.805366129743478)</f>
        <v>12.80536613</v>
      </c>
      <c r="G15" s="950" t="s">
        <v>132</v>
      </c>
      <c r="H15" s="946">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"),13.830930476070177)</f>
        <v>13.83093048</v>
      </c>
      <c r="I15" s="947">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"),14.185314329338434)</f>
        <v>14.18531433</v>
      </c>
      <c r="J15" s="951" t="s">
        <v>132</v>
      </c>
      <c r="K15" s="949">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"),15.101257889392464)</f>
        <v>15.10125789</v>
      </c>
      <c r="L15" s="947">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"),8.03554287285172)</f>
        <v>8.035542873</v>
      </c>
      <c r="M15" s="951" t="s">
        <v>132</v>
      </c>
      <c r="N15" s="949">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"),9.003970708020235)</f>
        <v>9.003970708</v>
      </c>
      <c r="O15" s="947" t="str">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f>
        <v>-</v>
      </c>
      <c r="P15" s="951" t="s">
        <v>132</v>
      </c>
      <c r="Q15" s="949" t="str">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f>
        <v>-</v>
      </c>
      <c r="R15" s="947" t="str">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f>
        <v>-</v>
      </c>
      <c r="S15" s="951" t="s">
        <v>132</v>
      </c>
      <c r="T15" s="949" t="str">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f>
        <v>-</v>
      </c>
      <c r="U15" s="947" t="str">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f>
        <v>-</v>
      </c>
      <c r="V15" s="951" t="s">
        <v>132</v>
      </c>
      <c r="W15" s="949" t="str">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f>
        <v>-</v>
      </c>
      <c r="X15" s="947" t="str">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f>
        <v>-</v>
      </c>
      <c r="Y15" s="951" t="s">
        <v>132</v>
      </c>
      <c r="Z15" s="949" t="str">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f>
        <v>-</v>
      </c>
      <c r="AA15" s="947">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"),8.0681797006008)</f>
        <v>8.068179701</v>
      </c>
      <c r="AB15" s="951" t="s">
        <v>132</v>
      </c>
      <c r="AC15" s="949">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"),9.424482179660886)</f>
        <v>9.42448218</v>
      </c>
      <c r="AD15" s="947">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"),48.7304109891654)</f>
        <v>48.73041099</v>
      </c>
      <c r="AE15" s="951" t="s">
        <v>132</v>
      </c>
      <c r="AF15" s="949">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"),50.32177384289049)</f>
        <v>50.32177384</v>
      </c>
      <c r="AG15" s="947">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"),52.87926163468467)</f>
        <v>52.87926163</v>
      </c>
      <c r="AH15" s="951" t="s">
        <v>132</v>
      </c>
      <c r="AI15" s="949">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"),58.33070238421434)</f>
        <v>58.33070238</v>
      </c>
      <c r="AJ15" s="947">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"),13.732065957228862)</f>
        <v>13.73206596</v>
      </c>
      <c r="AK15" s="951" t="s">
        <v>132</v>
      </c>
      <c r="AL15" s="949">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"),15.480944423202716)</f>
        <v>15.48094442</v>
      </c>
      <c r="AM15" s="947">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"),59.664754178012764)</f>
        <v>59.66475418</v>
      </c>
      <c r="AN15" s="951" t="s">
        <v>132</v>
      </c>
      <c r="AO15" s="949">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"),63.303400170022826)</f>
        <v>63.30340017</v>
      </c>
      <c r="AP15" s="947">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"),25.4257536506024)</f>
        <v>25.42575365</v>
      </c>
      <c r="AQ15" s="951" t="s">
        <v>132</v>
      </c>
      <c r="AR15" s="949">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"),30.04464731401909)</f>
        <v>30.04464731</v>
      </c>
      <c r="AS15" s="947">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"),25.26329265318572)</f>
        <v>25.26329265</v>
      </c>
      <c r="AT15" s="951" t="s">
        <v>132</v>
      </c>
      <c r="AU15" s="949">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"),27.936311954774734)</f>
        <v>27.93631195</v>
      </c>
      <c r="AV15" s="947">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"),14.885055883952049)</f>
        <v>14.88505588</v>
      </c>
      <c r="AW15" s="951" t="s">
        <v>132</v>
      </c>
      <c r="AX15" s="949">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"),18.079062169731472)</f>
        <v>18.07906217</v>
      </c>
      <c r="AY15" s="947">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"),23.764025611397994)</f>
        <v>23.76402561</v>
      </c>
      <c r="AZ15" s="951" t="s">
        <v>132</v>
      </c>
      <c r="BA15" s="949">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"),26.58381058964591)</f>
        <v>26.58381059</v>
      </c>
      <c r="BB15" s="947">
        <f>IFERROR(__xludf.DUMMYFUNCTION("Iferror(IF(
  IFNA(
    FILTER(
      IMPORTRANGE($F$8,""'Sensitivity [""&amp;IF(BB$3="""",BB$2,BB$2&amp;"", ""&amp;BB$3)&amp;""]'!D1:D20""),
      IMPORTRANGE($F$8,""'Sensitivity [""&amp;IF(BB$3="""",BB$2,BB$2&amp;"", ""&amp;BB$3)&amp;""]'!A1:A20"")=$E15
    ),
    """"
  ) = """",
  "&amp;"""-"",
  BB$5 * ( 1 +
    IFNA(
      FILTER(
        IMPORTRANGE($F$8,""'Sensitivity [""&amp;IF(BB$3="""",BB$2,BB$2&amp;"", ""&amp;BB$3)&amp;""]'!D1:D20""),
        IMPORTRANGE($F$8,""'Sensitivity [""&amp;IF(BB$3="""",BB$2,BB$2&amp;"", ""&amp;BB$3)&amp;""]'!A1:A20"")=$E15
      ),
    "&amp;"  """"
    )
  )
), ""-"")
"),54.950842409881076)</f>
        <v>54.95084241</v>
      </c>
      <c r="BC15" s="951" t="s">
        <v>132</v>
      </c>
      <c r="BD15" s="949">
        <f>IFERROR(__xludf.DUMMYFUNCTION("iferror(IF(
  IFNA(
    FILTER(
      IMPORTRANGE($F$8,""'Sensitivity [""&amp;IF(BB$3="""",BB$2,BB$2&amp;"", ""&amp;BB$3)&amp;""]'!E1:E20""),
      IMPORTRANGE($F$8,""'Sensitivity [""&amp;IF(BB$3="""",BB$2,BB$2&amp;"", ""&amp;BB$3)&amp;""]'!A1:A20"")=$E15
    ),
    """"
  ) = """",
  "&amp;"""-"",
  BB$5 * ( 1 +
    IFNA(
      FILTER(
        IMPORTRANGE($F$8,""'Sensitivity [""&amp;IF(BB$3="""",BB$2,BB$2&amp;"", ""&amp;BB$3)&amp;""]'!E1:E20""),
        IMPORTRANGE($F$8,""'Sensitivity [""&amp;IF(BB$3="""",BB$2,BB$2&amp;"", ""&amp;BB$3)&amp;""]'!A1:A20"")=$E15
      ),
    "&amp;"  """"
    )
  )
), ""-"")
"),57.0456115361168)</f>
        <v>57.04561154</v>
      </c>
      <c r="BE15" s="947">
        <f>IFERROR(__xludf.DUMMYFUNCTION("Iferror(IF(
  IFNA(
    FILTER(
      IMPORTRANGE($F$8,""'Sensitivity [""&amp;IF(BE$3="""",BE$2,BE$2&amp;"", ""&amp;BE$3)&amp;""]'!D1:D20""),
      IMPORTRANGE($F$8,""'Sensitivity [""&amp;IF(BE$3="""",BE$2,BE$2&amp;"", ""&amp;BE$3)&amp;""]'!A1:A20"")=$E15
    ),
    """"
  ) = """",
  "&amp;"""-"",
  BE$5 * ( 1 +
    IFNA(
      FILTER(
        IMPORTRANGE($F$8,""'Sensitivity [""&amp;IF(BE$3="""",BE$2,BE$2&amp;"", ""&amp;BE$3)&amp;""]'!D1:D20""),
        IMPORTRANGE($F$8,""'Sensitivity [""&amp;IF(BE$3="""",BE$2,BE$2&amp;"", ""&amp;BE$3)&amp;""]'!A1:A20"")=$E15
      ),
    "&amp;"  """"
    )
  )
), ""-"")
"),5.120152578945634)</f>
        <v>5.120152579</v>
      </c>
      <c r="BF15" s="951" t="s">
        <v>132</v>
      </c>
      <c r="BG15" s="949">
        <f>IFERROR(__xludf.DUMMYFUNCTION("iferror(IF(
  IFNA(
    FILTER(
      IMPORTRANGE($F$8,""'Sensitivity [""&amp;IF(BE$3="""",BE$2,BE$2&amp;"", ""&amp;BE$3)&amp;""]'!E1:E20""),
      IMPORTRANGE($F$8,""'Sensitivity [""&amp;IF(BE$3="""",BE$2,BE$2&amp;"", ""&amp;BE$3)&amp;""]'!A1:A20"")=$E15
    ),
    """"
  ) = """",
  "&amp;"""-"",
  BE$5 * ( 1 +
    IFNA(
      FILTER(
        IMPORTRANGE($F$8,""'Sensitivity [""&amp;IF(BE$3="""",BE$2,BE$2&amp;"", ""&amp;BE$3)&amp;""]'!E1:E20""),
        IMPORTRANGE($F$8,""'Sensitivity [""&amp;IF(BE$3="""",BE$2,BE$2&amp;"", ""&amp;BE$3)&amp;""]'!A1:A20"")=$E15
      ),
    "&amp;"  """"
    )
  )
), ""-"")
"),5.34067811692366)</f>
        <v>5.340678117</v>
      </c>
      <c r="BH15" s="947">
        <f>IFERROR(__xludf.DUMMYFUNCTION("Iferror(IF(
  IFNA(
    FILTER(
      IMPORTRANGE($F$8,""'Sensitivity [""&amp;IF(BH$3="""",BH$2,BH$2&amp;"", ""&amp;BH$3)&amp;""]'!D1:D20""),
      IMPORTRANGE($F$8,""'Sensitivity [""&amp;IF(BH$3="""",BH$2,BH$2&amp;"", ""&amp;BH$3)&amp;""]'!A1:A20"")=$E15
    ),
    """"
  ) = """",
  "&amp;"""-"",
  BH$5 * ( 1 +
    IFNA(
      FILTER(
        IMPORTRANGE($F$8,""'Sensitivity [""&amp;IF(BH$3="""",BH$2,BH$2&amp;"", ""&amp;BH$3)&amp;""]'!D1:D20""),
        IMPORTRANGE($F$8,""'Sensitivity [""&amp;IF(BH$3="""",BH$2,BH$2&amp;"", ""&amp;BH$3)&amp;""]'!A1:A20"")=$E15
      ),
    "&amp;"  """"
    )
  )
), ""-"")
"),7.40737594638741)</f>
        <v>7.407375946</v>
      </c>
      <c r="BI15" s="951" t="s">
        <v>132</v>
      </c>
      <c r="BJ15" s="949">
        <f>IFERROR(__xludf.DUMMYFUNCTION("iferror(IF(
  IFNA(
    FILTER(
      IMPORTRANGE($F$8,""'Sensitivity [""&amp;IF(BH$3="""",BH$2,BH$2&amp;"", ""&amp;BH$3)&amp;""]'!E1:E20""),
      IMPORTRANGE($F$8,""'Sensitivity [""&amp;IF(BH$3="""",BH$2,BH$2&amp;"", ""&amp;BH$3)&amp;""]'!A1:A20"")=$E15
    ),
    """"
  ) = """",
  "&amp;"""-"",
  BH$5 * ( 1 +
    IFNA(
      FILTER(
        IMPORTRANGE($F$8,""'Sensitivity [""&amp;IF(BH$3="""",BH$2,BH$2&amp;"", ""&amp;BH$3)&amp;""]'!E1:E20""),
        IMPORTRANGE($F$8,""'Sensitivity [""&amp;IF(BH$3="""",BH$2,BH$2&amp;"", ""&amp;BH$3)&amp;""]'!A1:A20"")=$E15
      ),
    "&amp;"  """"
    )
  )
), ""-"")
"),8.612087321936833)</f>
        <v>8.612087322</v>
      </c>
      <c r="BK15" s="947">
        <f>IFERROR(__xludf.DUMMYFUNCTION("Iferror(IF(
  IFNA(
    FILTER(
      IMPORTRANGE($F$8,""'Sensitivity [""&amp;IF(BK$3="""",BK$2,BK$2&amp;"", ""&amp;BK$3)&amp;""]'!D1:D20""),
      IMPORTRANGE($F$8,""'Sensitivity [""&amp;IF(BK$3="""",BK$2,BK$2&amp;"", ""&amp;BK$3)&amp;""]'!A1:A20"")=$E15
    ),
    """"
  ) = """",
  "&amp;"""-"",
  BK$5 * ( 1 +
    IFNA(
      FILTER(
        IMPORTRANGE($F$8,""'Sensitivity [""&amp;IF(BK$3="""",BK$2,BK$2&amp;"", ""&amp;BK$3)&amp;""]'!D1:D20""),
        IMPORTRANGE($F$8,""'Sensitivity [""&amp;IF(BK$3="""",BK$2,BK$2&amp;"", ""&amp;BK$3)&amp;""]'!A1:A20"")=$E15
      ),
    "&amp;"  """"
    )
  )
), ""-"")
"),6.642875542437631)</f>
        <v>6.642875542</v>
      </c>
      <c r="BL15" s="951" t="s">
        <v>132</v>
      </c>
      <c r="BM15" s="949">
        <f>IFERROR(__xludf.DUMMYFUNCTION("iferror(IF(
  IFNA(
    FILTER(
      IMPORTRANGE($F$8,""'Sensitivity [""&amp;IF(BK$3="""",BK$2,BK$2&amp;"", ""&amp;BK$3)&amp;""]'!E1:E20""),
      IMPORTRANGE($F$8,""'Sensitivity [""&amp;IF(BK$3="""",BK$2,BK$2&amp;"", ""&amp;BK$3)&amp;""]'!A1:A20"")=$E15
    ),
    """"
  ) = """",
  "&amp;"""-"",
  BK$5 * ( 1 +
    IFNA(
      FILTER(
        IMPORTRANGE($F$8,""'Sensitivity [""&amp;IF(BK$3="""",BK$2,BK$2&amp;"", ""&amp;BK$3)&amp;""]'!E1:E20""),
        IMPORTRANGE($F$8,""'Sensitivity [""&amp;IF(BK$3="""",BK$2,BK$2&amp;"", ""&amp;BK$3)&amp;""]'!A1:A20"")=$E15
      ),
    "&amp;"  """"
    )
  )
), ""-"")
"),6.904208724954734)</f>
        <v>6.904208725</v>
      </c>
      <c r="BN15" s="621"/>
    </row>
    <row r="16">
      <c r="A16" s="928"/>
      <c r="B16" s="420"/>
      <c r="C16" s="420"/>
      <c r="D16" s="420"/>
      <c r="E16" s="590" t="str">
        <f t="shared" si="1"/>
        <v>Adjustment to account for developmental benefits (long-term income increases)</v>
      </c>
      <c r="F16" s="944">
        <f>IFERROR(__xludf.DUMMYFUNCTION("IF(
  IFNA(
    FILTER(
      IMPORTRANGE($F$8,""'Sensitivity [""&amp;IF(F$3="""",F$2,F$2&amp;"", ""&amp;F$3)&amp;""]'!D1:D20""),
      IMPORTRANGE($F$8,""'Sensitivity [""&amp;IF(F$3="""",F$2,F$2&amp;"", ""&amp;F$3)&amp;""]'!A1:A20"")=$E16
    ),
    """"
  ) = """",
  ""-"",
  F$5 * ( "&amp;"1 +
    IFNA(
      FILTER(
        IMPORTRANGE($F$8,""'Sensitivity [""&amp;IF(F$3="""",F$2,F$2&amp;"", ""&amp;F$3)&amp;""]'!D1:D20""),
        IMPORTRANGE($F$8,""'Sensitivity [""&amp;IF(F$3="""",F$2,F$2&amp;"", ""&amp;F$3)&amp;""]'!A1:A20"")=$E16
      ),
      """"
    )
  )
)
"),11.86582871035998)</f>
        <v>11.86582871</v>
      </c>
      <c r="G16" s="950" t="s">
        <v>132</v>
      </c>
      <c r="H16" s="946">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"),14.719748557987856)</f>
        <v>14.71974856</v>
      </c>
      <c r="I16" s="947">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"),13.50828996574351)</f>
        <v>13.50828997</v>
      </c>
      <c r="J16" s="951" t="s">
        <v>132</v>
      </c>
      <c r="K16" s="949">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"),15.777107728791162)</f>
        <v>15.77710773</v>
      </c>
      <c r="L16" s="947">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"),7.486442324953114)</f>
        <v>7.486442325</v>
      </c>
      <c r="M16" s="951" t="s">
        <v>132</v>
      </c>
      <c r="N16" s="949">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"),9.561544956119835)</f>
        <v>9.561544956</v>
      </c>
      <c r="O16" s="947" t="str">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f>
        <v>-</v>
      </c>
      <c r="P16" s="951" t="s">
        <v>132</v>
      </c>
      <c r="Q16" s="949" t="str">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f>
        <v>-</v>
      </c>
      <c r="R16" s="947" t="str">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f>
        <v>-</v>
      </c>
      <c r="S16" s="951" t="s">
        <v>132</v>
      </c>
      <c r="T16" s="949" t="str">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f>
        <v>-</v>
      </c>
      <c r="U16" s="947" t="str">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f>
        <v>-</v>
      </c>
      <c r="V16" s="951" t="s">
        <v>132</v>
      </c>
      <c r="W16" s="949" t="str">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f>
        <v>-</v>
      </c>
      <c r="X16" s="947" t="str">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f>
        <v>-</v>
      </c>
      <c r="Y16" s="951" t="s">
        <v>132</v>
      </c>
      <c r="Z16" s="949" t="str">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f>
        <v>-</v>
      </c>
      <c r="AA16" s="947">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"),7.771501650612187)</f>
        <v>7.771501651</v>
      </c>
      <c r="AB16" s="951" t="s">
        <v>132</v>
      </c>
      <c r="AC16" s="949">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"),9.769798774250816)</f>
        <v>9.769798774</v>
      </c>
      <c r="AD16" s="947">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"),45.198000649078274)</f>
        <v>45.19800065</v>
      </c>
      <c r="AE16" s="951" t="s">
        <v>132</v>
      </c>
      <c r="AF16" s="949">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"),53.63236926442695)</f>
        <v>53.63236926</v>
      </c>
      <c r="AG16" s="947">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"),50.45783321456395)</f>
        <v>50.45783321</v>
      </c>
      <c r="AH16" s="951" t="s">
        <v>132</v>
      </c>
      <c r="AI16" s="949">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"),60.70004509282937)</f>
        <v>60.70004509</v>
      </c>
      <c r="AJ16" s="947">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"),13.021950777006262)</f>
        <v>13.02195078</v>
      </c>
      <c r="AK16" s="951" t="s">
        <v>132</v>
      </c>
      <c r="AL16" s="949">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"),16.230056932049607)</f>
        <v>16.23005693</v>
      </c>
      <c r="AM16" s="947">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"),57.07213590175907)</f>
        <v>57.0721359</v>
      </c>
      <c r="AN16" s="951" t="s">
        <v>132</v>
      </c>
      <c r="AO16" s="949">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"),65.95022725939238)</f>
        <v>65.95022726</v>
      </c>
      <c r="AP16" s="947">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"),24.76712650399517)</f>
        <v>24.7671265</v>
      </c>
      <c r="AQ16" s="951" t="s">
        <v>132</v>
      </c>
      <c r="AR16" s="949">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"),30.817868726284292)</f>
        <v>30.81786873</v>
      </c>
      <c r="AS16" s="947">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"),24.033751522425476)</f>
        <v>24.03375152</v>
      </c>
      <c r="AT16" s="951" t="s">
        <v>132</v>
      </c>
      <c r="AU16" s="949">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"),29.21160049866173)</f>
        <v>29.2116005</v>
      </c>
      <c r="AV16" s="947">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"),14.329043990222006)</f>
        <v>14.32904399</v>
      </c>
      <c r="AW16" s="951" t="s">
        <v>132</v>
      </c>
      <c r="AX16" s="949">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"),18.68685394803976)</f>
        <v>18.68685395</v>
      </c>
      <c r="AY16" s="947">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"),22.6423105536703)</f>
        <v>22.64231055</v>
      </c>
      <c r="AZ16" s="951" t="s">
        <v>132</v>
      </c>
      <c r="BA16" s="949">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"),27.833055286981455)</f>
        <v>27.83305529</v>
      </c>
      <c r="BB16" s="947">
        <f>IFERROR(__xludf.DUMMYFUNCTION("Iferror(IF(
  IFNA(
    FILTER(
      IMPORTRANGE($F$8,""'Sensitivity [""&amp;IF(BB$3="""",BB$2,BB$2&amp;"", ""&amp;BB$3)&amp;""]'!D1:D20""),
      IMPORTRANGE($F$8,""'Sensitivity [""&amp;IF(BB$3="""",BB$2,BB$2&amp;"", ""&amp;BB$3)&amp;""]'!A1:A20"")=$E16
    ),
    """"
  ) = """",
  "&amp;"""-"",
  BB$5 * ( 1 +
    IFNA(
      FILTER(
        IMPORTRANGE($F$8,""'Sensitivity [""&amp;IF(BB$3="""",BB$2,BB$2&amp;"", ""&amp;BB$3)&amp;""]'!D1:D20""),
        IMPORTRANGE($F$8,""'Sensitivity [""&amp;IF(BB$3="""",BB$2,BB$2&amp;"", ""&amp;BB$3)&amp;""]'!A1:A20"")=$E16
      ),
    "&amp;"  """"
    )
  )
), ""-"")
"),52.35049040735333)</f>
        <v>52.35049041</v>
      </c>
      <c r="BC16" s="951" t="s">
        <v>132</v>
      </c>
      <c r="BD16" s="949">
        <f>IFERROR(__xludf.DUMMYFUNCTION("iferror(IF(
  IFNA(
    FILTER(
      IMPORTRANGE($F$8,""'Sensitivity [""&amp;IF(BB$3="""",BB$2,BB$2&amp;"", ""&amp;BB$3)&amp;""]'!E1:E20""),
      IMPORTRANGE($F$8,""'Sensitivity [""&amp;IF(BB$3="""",BB$2,BB$2&amp;"", ""&amp;BB$3)&amp;""]'!A1:A20"")=$E16
    ),
    """"
  ) = """",
  "&amp;"""-"",
  BB$5 * ( 1 +
    IFNA(
      FILTER(
        IMPORTRANGE($F$8,""'Sensitivity [""&amp;IF(BB$3="""",BB$2,BB$2&amp;"", ""&amp;BB$3)&amp;""]'!E1:E20""),
        IMPORTRANGE($F$8,""'Sensitivity [""&amp;IF(BB$3="""",BB$2,BB$2&amp;"", ""&amp;BB$3)&amp;""]'!A1:A20"")=$E16
      ),
    "&amp;"  """"
    )
  )
), ""-"")
"),59.524205206084794)</f>
        <v>59.52420521</v>
      </c>
      <c r="BE16" s="947">
        <f>IFERROR(__xludf.DUMMYFUNCTION("Iferror(IF(
  IFNA(
    FILTER(
      IMPORTRANGE($F$8,""'Sensitivity [""&amp;IF(BE$3="""",BE$2,BE$2&amp;"", ""&amp;BE$3)&amp;""]'!D1:D20""),
      IMPORTRANGE($F$8,""'Sensitivity [""&amp;IF(BE$3="""",BE$2,BE$2&amp;"", ""&amp;BE$3)&amp;""]'!A1:A20"")=$E16
    ),
    """"
  ) = """",
  "&amp;"""-"",
  BE$5 * ( 1 +
    IFNA(
      FILTER(
        IMPORTRANGE($F$8,""'Sensitivity [""&amp;IF(BE$3="""",BE$2,BE$2&amp;"", ""&amp;BE$3)&amp;""]'!D1:D20""),
        IMPORTRANGE($F$8,""'Sensitivity [""&amp;IF(BE$3="""",BE$2,BE$2&amp;"", ""&amp;BE$3)&amp;""]'!A1:A20"")=$E16
      ),
    "&amp;"  """"
    )
  )
), ""-"")
"),4.744347880113732)</f>
        <v>4.74434788</v>
      </c>
      <c r="BF16" s="951" t="s">
        <v>132</v>
      </c>
      <c r="BG16" s="949">
        <f>IFERROR(__xludf.DUMMYFUNCTION("iferror(IF(
  IFNA(
    FILTER(
      IMPORTRANGE($F$8,""'Sensitivity [""&amp;IF(BE$3="""",BE$2,BE$2&amp;"", ""&amp;BE$3)&amp;""]'!E1:E20""),
      IMPORTRANGE($F$8,""'Sensitivity [""&amp;IF(BE$3="""",BE$2,BE$2&amp;"", ""&amp;BE$3)&amp;""]'!A1:A20"")=$E16
    ),
    """"
  ) = """",
  "&amp;"""-"",
  BE$5 * ( 1 +
    IFNA(
      FILTER(
        IMPORTRANGE($F$8,""'Sensitivity [""&amp;IF(BE$3="""",BE$2,BE$2&amp;"", ""&amp;BE$3)&amp;""]'!E1:E20""),
        IMPORTRANGE($F$8,""'Sensitivity [""&amp;IF(BE$3="""",BE$2,BE$2&amp;"", ""&amp;BE$3)&amp;""]'!A1:A20"")=$E16
      ),
    "&amp;"  """"
    )
  )
), ""-"")
"),5.734453370801773)</f>
        <v>5.734453371</v>
      </c>
      <c r="BH16" s="947">
        <f>IFERROR(__xludf.DUMMYFUNCTION("Iferror(IF(
  IFNA(
    FILTER(
      IMPORTRANGE($F$8,""'Sensitivity [""&amp;IF(BH$3="""",BH$2,BH$2&amp;"", ""&amp;BH$3)&amp;""]'!D1:D20""),
      IMPORTRANGE($F$8,""'Sensitivity [""&amp;IF(BH$3="""",BH$2,BH$2&amp;"", ""&amp;BH$3)&amp;""]'!A1:A20"")=$E16
    ),
    """"
  ) = """",
  "&amp;"""-"",
  BH$5 * ( 1 +
    IFNA(
      FILTER(
        IMPORTRANGE($F$8,""'Sensitivity [""&amp;IF(BH$3="""",BH$2,BH$2&amp;"", ""&amp;BH$3)&amp;""]'!D1:D20""),
        IMPORTRANGE($F$8,""'Sensitivity [""&amp;IF(BH$3="""",BH$2,BH$2&amp;"", ""&amp;BH$3)&amp;""]'!A1:A20"")=$E16
      ),
    "&amp;"  """"
    )
  )
), ""-"")
"),6.906808551587279)</f>
        <v>6.906808552</v>
      </c>
      <c r="BI16" s="951" t="s">
        <v>132</v>
      </c>
      <c r="BJ16" s="949">
        <f>IFERROR(__xludf.DUMMYFUNCTION("iferror(IF(
  IFNA(
    FILTER(
      IMPORTRANGE($F$8,""'Sensitivity [""&amp;IF(BH$3="""",BH$2,BH$2&amp;"", ""&amp;BH$3)&amp;""]'!E1:E20""),
      IMPORTRANGE($F$8,""'Sensitivity [""&amp;IF(BH$3="""",BH$2,BH$2&amp;"", ""&amp;BH$3)&amp;""]'!A1:A20"")=$E16
    ),
    """"
  ) = """",
  "&amp;"""-"",
  BH$5 * ( 1 +
    IFNA(
      FILTER(
        IMPORTRANGE($F$8,""'Sensitivity [""&amp;IF(BH$3="""",BH$2,BH$2&amp;"", ""&amp;BH$3)&amp;""]'!E1:E20""),
        IMPORTRANGE($F$8,""'Sensitivity [""&amp;IF(BH$3="""",BH$2,BH$2&amp;"", ""&amp;BH$3)&amp;""]'!A1:A20"")=$E16
      ),
    "&amp;"  """"
    )
  )
), ""-"")
"),9.101001515194008)</f>
        <v>9.101001515</v>
      </c>
      <c r="BK16" s="947">
        <f>IFERROR(__xludf.DUMMYFUNCTION("Iferror(IF(
  IFNA(
    FILTER(
      IMPORTRANGE($F$8,""'Sensitivity [""&amp;IF(BK$3="""",BK$2,BK$2&amp;"", ""&amp;BK$3)&amp;""]'!D1:D20""),
      IMPORTRANGE($F$8,""'Sensitivity [""&amp;IF(BK$3="""",BK$2,BK$2&amp;"", ""&amp;BK$3)&amp;""]'!A1:A20"")=$E16
    ),
    """"
  ) = """",
  "&amp;"""-"",
  BK$5 * ( 1 +
    IFNA(
      FILTER(
        IMPORTRANGE($F$8,""'Sensitivity [""&amp;IF(BK$3="""",BK$2,BK$2&amp;"", ""&amp;BK$3)&amp;""]'!D1:D20""),
        IMPORTRANGE($F$8,""'Sensitivity [""&amp;IF(BK$3="""",BK$2,BK$2&amp;"", ""&amp;BK$3)&amp;""]'!A1:A20"")=$E16
      ),
    "&amp;"  """"
    )
  )
), ""-"")
"),5.6756871630944925)</f>
        <v>5.675687163</v>
      </c>
      <c r="BL16" s="951" t="s">
        <v>132</v>
      </c>
      <c r="BM16" s="949">
        <f>IFERROR(__xludf.DUMMYFUNCTION("iferror(IF(
  IFNA(
    FILTER(
      IMPORTRANGE($F$8,""'Sensitivity [""&amp;IF(BK$3="""",BK$2,BK$2&amp;"", ""&amp;BK$3)&amp;""]'!E1:E20""),
      IMPORTRANGE($F$8,""'Sensitivity [""&amp;IF(BK$3="""",BK$2,BK$2&amp;"", ""&amp;BK$3)&amp;""]'!A1:A20"")=$E16
    ),
    """"
  ) = """",
  "&amp;"""-"",
  BK$5 * ( 1 +
    IFNA(
      FILTER(
        IMPORTRANGE($F$8,""'Sensitivity [""&amp;IF(BK$3="""",BK$2,BK$2&amp;"", ""&amp;BK$3)&amp;""]'!E1:E20""),
        IMPORTRANGE($F$8,""'Sensitivity [""&amp;IF(BK$3="""",BK$2,BK$2&amp;"", ""&amp;BK$3)&amp;""]'!A1:A20"")=$E16
      ),
    "&amp;"  """"
    )
  )
), ""-"")
"),7.956857203493362)</f>
        <v>7.956857203</v>
      </c>
      <c r="BN16" s="952"/>
    </row>
    <row r="17">
      <c r="A17" s="928"/>
      <c r="B17" s="420"/>
      <c r="C17" s="420"/>
      <c r="D17" s="420"/>
      <c r="E17" s="590" t="str">
        <f t="shared" si="1"/>
        <v>Adjustment for additional program benefits and downsides</v>
      </c>
      <c r="F17" s="944">
        <f>IFERROR(__xludf.DUMMYFUNCTION("IF(
  IFNA(
    FILTER(
      IMPORTRANGE($F$8,""'Sensitivity [""&amp;IF(F$3="""",F$2,F$2&amp;"", ""&amp;F$3)&amp;""]'!D1:D20""),
      IMPORTRANGE($F$8,""'Sensitivity [""&amp;IF(F$3="""",F$2,F$2&amp;"", ""&amp;F$3)&amp;""]'!A1:A20"")=$E17
    ),
    """"
  ) = """",
  ""-"",
  F$5 * ( "&amp;"1 +
    IFNA(
      FILTER(
        IMPORTRANGE($F$8,""'Sensitivity [""&amp;IF(F$3="""",F$2,F$2&amp;"", ""&amp;F$3)&amp;""]'!D1:D20""),
        IMPORTRANGE($F$8,""'Sensitivity [""&amp;IF(F$3="""",F$2,F$2&amp;"", ""&amp;F$3)&amp;""]'!A1:A20"")=$E17
      ),
      """"
    )
  )
)
"),11.685953657191359)</f>
        <v>11.68595366</v>
      </c>
      <c r="G17" s="950" t="s">
        <v>132</v>
      </c>
      <c r="H17" s="946">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"),14.881396962164269)</f>
        <v>14.88139696</v>
      </c>
      <c r="I17" s="947">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"),13.072739845303548)</f>
        <v>13.07273985</v>
      </c>
      <c r="J17" s="951" t="s">
        <v>132</v>
      </c>
      <c r="K17" s="949">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"),16.199252843625512)</f>
        <v>16.19925284</v>
      </c>
      <c r="L17" s="947">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"),7.619973812966906)</f>
        <v>7.619973813</v>
      </c>
      <c r="M17" s="951" t="s">
        <v>132</v>
      </c>
      <c r="N17" s="949">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"),9.408651013151172)</f>
        <v>9.408651013</v>
      </c>
      <c r="O17" s="947" t="str">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f>
        <v>-</v>
      </c>
      <c r="P17" s="951" t="s">
        <v>132</v>
      </c>
      <c r="Q17" s="949" t="str">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f>
        <v>-</v>
      </c>
      <c r="R17" s="947" t="str">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f>
        <v>-</v>
      </c>
      <c r="S17" s="951" t="s">
        <v>132</v>
      </c>
      <c r="T17" s="949" t="str">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f>
        <v>-</v>
      </c>
      <c r="U17" s="947" t="str">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f>
        <v>-</v>
      </c>
      <c r="V17" s="951" t="s">
        <v>132</v>
      </c>
      <c r="W17" s="949" t="str">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f>
        <v>-</v>
      </c>
      <c r="X17" s="947" t="str">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f>
        <v>-</v>
      </c>
      <c r="Y17" s="951" t="s">
        <v>132</v>
      </c>
      <c r="Z17" s="949" t="str">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f>
        <v>-</v>
      </c>
      <c r="AA17" s="947">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"),7.966471633154929)</f>
        <v>7.966471633</v>
      </c>
      <c r="AB17" s="951" t="s">
        <v>132</v>
      </c>
      <c r="AC17" s="949">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"),9.579971855759638)</f>
        <v>9.579971856</v>
      </c>
      <c r="AD17" s="947">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"),45.28015430114138)</f>
        <v>45.2801543</v>
      </c>
      <c r="AE17" s="951" t="s">
        <v>132</v>
      </c>
      <c r="AF17" s="949">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"),54.12751060751616)</f>
        <v>54.12751061</v>
      </c>
      <c r="AG17" s="947">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"),50.47768315378818)</f>
        <v>50.47768315</v>
      </c>
      <c r="AH17" s="951" t="s">
        <v>132</v>
      </c>
      <c r="AI17" s="949">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"),60.340592308463904)</f>
        <v>60.34059231</v>
      </c>
      <c r="AJ17" s="947">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"),13.303496412343657)</f>
        <v>13.30349641</v>
      </c>
      <c r="AK17" s="951" t="s">
        <v>132</v>
      </c>
      <c r="AL17" s="949">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"),15.902886248734116)</f>
        <v>15.90288625</v>
      </c>
      <c r="AM17" s="947">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"),55.93173365267531)</f>
        <v>55.93173365</v>
      </c>
      <c r="AN17" s="951" t="s">
        <v>132</v>
      </c>
      <c r="AO17" s="949">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"),66.860317799439)</f>
        <v>66.8603178</v>
      </c>
      <c r="AP17" s="947">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"),25.289580974060296)</f>
        <v>25.28958097</v>
      </c>
      <c r="AQ17" s="951" t="s">
        <v>132</v>
      </c>
      <c r="AR17" s="949">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"),30.23094959724049)</f>
        <v>30.2309496</v>
      </c>
      <c r="AS17" s="947">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"),24.287816515733304)</f>
        <v>24.28781652</v>
      </c>
      <c r="AT17" s="951" t="s">
        <v>132</v>
      </c>
      <c r="AU17" s="949">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"),29.03344890005407)</f>
        <v>29.0334489</v>
      </c>
      <c r="AV17" s="947">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"),15.081814160101464)</f>
        <v>15.08181416</v>
      </c>
      <c r="AW17" s="951" t="s">
        <v>132</v>
      </c>
      <c r="AX17" s="949">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"),18.02867213089206)</f>
        <v>18.02867213</v>
      </c>
      <c r="AY17" s="947">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"),22.946461633840563)</f>
        <v>22.94646163</v>
      </c>
      <c r="AZ17" s="951" t="s">
        <v>132</v>
      </c>
      <c r="BA17" s="949">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"),27.43000470427617)</f>
        <v>27.4300047</v>
      </c>
      <c r="BB17" s="947">
        <f>IFERROR(__xludf.DUMMYFUNCTION("Iferror(IF(
  IFNA(
    FILTER(
      IMPORTRANGE($F$8,""'Sensitivity [""&amp;IF(BB$3="""",BB$2,BB$2&amp;"", ""&amp;BB$3)&amp;""]'!D1:D20""),
      IMPORTRANGE($F$8,""'Sensitivity [""&amp;IF(BB$3="""",BB$2,BB$2&amp;"", ""&amp;BB$3)&amp;""]'!A1:A20"")=$E17
    ),
    """"
  ) = """",
  "&amp;"""-"",
  BB$5 * ( 1 +
    IFNA(
      FILTER(
        IMPORTRANGE($F$8,""'Sensitivity [""&amp;IF(BB$3="""",BB$2,BB$2&amp;"", ""&amp;BB$3)&amp;""]'!D1:D20""),
        IMPORTRANGE($F$8,""'Sensitivity [""&amp;IF(BB$3="""",BB$2,BB$2&amp;"", ""&amp;BB$3)&amp;""]'!A1:A20"")=$E17
      ),
    "&amp;"  """"
    )
  )
), ""-"")
"),50.9540200217611)</f>
        <v>50.95402002</v>
      </c>
      <c r="BC17" s="951" t="s">
        <v>132</v>
      </c>
      <c r="BD17" s="949">
        <f>IFERROR(__xludf.DUMMYFUNCTION("iferror(IF(
  IFNA(
    FILTER(
      IMPORTRANGE($F$8,""'Sensitivity [""&amp;IF(BB$3="""",BB$2,BB$2&amp;"", ""&amp;BB$3)&amp;""]'!E1:E20""),
      IMPORTRANGE($F$8,""'Sensitivity [""&amp;IF(BB$3="""",BB$2,BB$2&amp;"", ""&amp;BB$3)&amp;""]'!A1:A20"")=$E17
    ),
    """"
  ) = """",
  "&amp;"""-"",
  BB$5 * ( 1 +
    IFNA(
      FILTER(
        IMPORTRANGE($F$8,""'Sensitivity [""&amp;IF(BB$3="""",BB$2,BB$2&amp;"", ""&amp;BB$3)&amp;""]'!E1:E20""),
        IMPORTRANGE($F$8,""'Sensitivity [""&amp;IF(BB$3="""",BB$2,BB$2&amp;"", ""&amp;BB$3)&amp;""]'!A1:A20"")=$E17
      ),
    "&amp;"  """"
    )
  )
), ""-"")
"),60.91000134144715)</f>
        <v>60.91000134</v>
      </c>
      <c r="BE17" s="947">
        <f>IFERROR(__xludf.DUMMYFUNCTION("Iferror(IF(
  IFNA(
    FILTER(
      IMPORTRANGE($F$8,""'Sensitivity [""&amp;IF(BE$3="""",BE$2,BE$2&amp;"", ""&amp;BE$3)&amp;""]'!D1:D20""),
      IMPORTRANGE($F$8,""'Sensitivity [""&amp;IF(BE$3="""",BE$2,BE$2&amp;"", ""&amp;BE$3)&amp;""]'!A1:A20"")=$E17
    ),
    """"
  ) = """",
  "&amp;"""-"",
  BE$5 * ( 1 +
    IFNA(
      FILTER(
        IMPORTRANGE($F$8,""'Sensitivity [""&amp;IF(BE$3="""",BE$2,BE$2&amp;"", ""&amp;BE$3)&amp;""]'!D1:D20""),
        IMPORTRANGE($F$8,""'Sensitivity [""&amp;IF(BE$3="""",BE$2,BE$2&amp;"", ""&amp;BE$3)&amp;""]'!A1:A20"")=$E17
      ),
    "&amp;"  """"
    )
  )
), ""-"")
"),4.6919532133074275)</f>
        <v>4.691953213</v>
      </c>
      <c r="BF17" s="951" t="s">
        <v>132</v>
      </c>
      <c r="BG17" s="949">
        <f>IFERROR(__xludf.DUMMYFUNCTION("iferror(IF(
  IFNA(
    FILTER(
      IMPORTRANGE($F$8,""'Sensitivity [""&amp;IF(BE$3="""",BE$2,BE$2&amp;"", ""&amp;BE$3)&amp;""]'!E1:E20""),
      IMPORTRANGE($F$8,""'Sensitivity [""&amp;IF(BE$3="""",BE$2,BE$2&amp;"", ""&amp;BE$3)&amp;""]'!A1:A20"")=$E17
    ),
    """"
  ) = """",
  "&amp;"""-"",
  BE$5 * ( 1 +
    IFNA(
      FILTER(
        IMPORTRANGE($F$8,""'Sensitivity [""&amp;IF(BE$3="""",BE$2,BE$2&amp;"", ""&amp;BE$3)&amp;""]'!E1:E20""),
        IMPORTRANGE($F$8,""'Sensitivity [""&amp;IF(BE$3="""",BE$2,BE$2&amp;"", ""&amp;BE$3)&amp;""]'!A1:A20"")=$E17
      ),
    "&amp;"  """"
    )
  )
), ""-"")
"),5.754517414361917)</f>
        <v>5.754517414</v>
      </c>
      <c r="BH17" s="947">
        <f>IFERROR(__xludf.DUMMYFUNCTION("Iferror(IF(
  IFNA(
    FILTER(
      IMPORTRANGE($F$8,""'Sensitivity [""&amp;IF(BH$3="""",BH$2,BH$2&amp;"", ""&amp;BH$3)&amp;""]'!D1:D20""),
      IMPORTRANGE($F$8,""'Sensitivity [""&amp;IF(BH$3="""",BH$2,BH$2&amp;"", ""&amp;BH$3)&amp;""]'!A1:A20"")=$E17
    ),
    """"
  ) = """",
  "&amp;"""-"",
  BH$5 * ( 1 +
    IFNA(
      FILTER(
        IMPORTRANGE($F$8,""'Sensitivity [""&amp;IF(BH$3="""",BH$2,BH$2&amp;"", ""&amp;BH$3)&amp;""]'!D1:D20""),
        IMPORTRANGE($F$8,""'Sensitivity [""&amp;IF(BH$3="""",BH$2,BH$2&amp;"", ""&amp;BH$3)&amp;""]'!A1:A20"")=$E17
      ),
    "&amp;"  """"
    )
  )
), ""-"")
"),7.209702235455421)</f>
        <v>7.209702235</v>
      </c>
      <c r="BI17" s="951" t="s">
        <v>132</v>
      </c>
      <c r="BJ17" s="949">
        <f>IFERROR(__xludf.DUMMYFUNCTION("iferror(IF(
  IFNA(
    FILTER(
      IMPORTRANGE($F$8,""'Sensitivity [""&amp;IF(BH$3="""",BH$2,BH$2&amp;"", ""&amp;BH$3)&amp;""]'!E1:E20""),
      IMPORTRANGE($F$8,""'Sensitivity [""&amp;IF(BH$3="""",BH$2,BH$2&amp;"", ""&amp;BH$3)&amp;""]'!A1:A20"")=$E17
    ),
    """"
  ) = """",
  "&amp;"""-"",
  BH$5 * ( 1 +
    IFNA(
      FILTER(
        IMPORTRANGE($F$8,""'Sensitivity [""&amp;IF(BH$3="""",BH$2,BH$2&amp;"", ""&amp;BH$3)&amp;""]'!E1:E20""),
        IMPORTRANGE($F$8,""'Sensitivity [""&amp;IF(BH$3="""",BH$2,BH$2&amp;"", ""&amp;BH$3)&amp;""]'!A1:A20"")=$E17
      ),
    "&amp;"  """"
    )
  )
), ""-"")
"),8.83740881315961)</f>
        <v>8.837408813</v>
      </c>
      <c r="BK17" s="947">
        <f>IFERROR(__xludf.DUMMYFUNCTION("Iferror(IF(
  IFNA(
    FILTER(
      IMPORTRANGE($F$8,""'Sensitivity [""&amp;IF(BK$3="""",BK$2,BK$2&amp;"", ""&amp;BK$3)&amp;""]'!D1:D20""),
      IMPORTRANGE($F$8,""'Sensitivity [""&amp;IF(BK$3="""",BK$2,BK$2&amp;"", ""&amp;BK$3)&amp;""]'!A1:A20"")=$E17
    ),
    """"
  ) = """",
  "&amp;"""-"",
  BK$5 * ( 1 +
    IFNA(
      FILTER(
        IMPORTRANGE($F$8,""'Sensitivity [""&amp;IF(BK$3="""",BK$2,BK$2&amp;"", ""&amp;BK$3)&amp;""]'!D1:D20""),
        IMPORTRANGE($F$8,""'Sensitivity [""&amp;IF(BK$3="""",BK$2,BK$2&amp;"", ""&amp;BK$3)&amp;""]'!A1:A20"")=$E17
      ),
    "&amp;"  """"
    )
  )
), ""-"")
"),6.15303863926314)</f>
        <v>6.153038639</v>
      </c>
      <c r="BL17" s="951" t="s">
        <v>132</v>
      </c>
      <c r="BM17" s="949">
        <f>IFERROR(__xludf.DUMMYFUNCTION("iferror(IF(
  IFNA(
    FILTER(
      IMPORTRANGE($F$8,""'Sensitivity [""&amp;IF(BK$3="""",BK$2,BK$2&amp;"", ""&amp;BK$3)&amp;""]'!E1:E20""),
      IMPORTRANGE($F$8,""'Sensitivity [""&amp;IF(BK$3="""",BK$2,BK$2&amp;"", ""&amp;BK$3)&amp;""]'!A1:A20"")=$E17
    ),
    """"
  ) = """",
  "&amp;"""-"",
  BK$5 * ( 1 +
    IFNA(
      FILTER(
        IMPORTRANGE($F$8,""'Sensitivity [""&amp;IF(BK$3="""",BK$2,BK$2&amp;"", ""&amp;BK$3)&amp;""]'!E1:E20""),
        IMPORTRANGE($F$8,""'Sensitivity [""&amp;IF(BK$3="""",BK$2,BK$2&amp;"", ""&amp;BK$3)&amp;""]'!A1:A20"")=$E17
      ),
    "&amp;"  """"
    )
  )
), ""-"")
"),7.399252731437648)</f>
        <v>7.399252731</v>
      </c>
      <c r="BN17" s="621"/>
    </row>
    <row r="18">
      <c r="A18" s="928"/>
      <c r="B18" s="420"/>
      <c r="C18" s="420"/>
      <c r="D18" s="420"/>
      <c r="E18" s="625" t="str">
        <f t="shared" si="1"/>
        <v>Adjustment for grantee-level factors</v>
      </c>
      <c r="F18" s="944">
        <f>IFERROR(__xludf.DUMMYFUNCTION("IF(
  IFNA(
    FILTER(
      IMPORTRANGE($F$8,""'Sensitivity [""&amp;IF(F$3="""",F$2,F$2&amp;"", ""&amp;F$3)&amp;""]'!D1:D20""),
      IMPORTRANGE($F$8,""'Sensitivity [""&amp;IF(F$3="""",F$2,F$2&amp;"", ""&amp;F$3)&amp;""]'!A1:A20"")=$E18
    ),
    """"
  ) = """",
  ""-"",
  F$5 * ( "&amp;"1 +
    IFNA(
      FILTER(
        IMPORTRANGE($F$8,""'Sensitivity [""&amp;IF(F$3="""",F$2,F$2&amp;"", ""&amp;F$3)&amp;""]'!D1:D20""),
        IMPORTRANGE($F$8,""'Sensitivity [""&amp;IF(F$3="""",F$2,F$2&amp;"", ""&amp;F$3)&amp;""]'!A1:A20"")=$E18
      ),
      """"
    )
  )
)
"),12.37960854783268)</f>
        <v>12.37960855</v>
      </c>
      <c r="G18" s="950" t="s">
        <v>132</v>
      </c>
      <c r="H18" s="946">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"),14.230764966200164)</f>
        <v>14.23076497</v>
      </c>
      <c r="I18" s="947">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"),13.647131788577099)</f>
        <v>13.64713179</v>
      </c>
      <c r="J18" s="951" t="s">
        <v>132</v>
      </c>
      <c r="K18" s="949">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"),15.68782439247645)</f>
        <v>15.68782439</v>
      </c>
      <c r="L18" s="947">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"),7.946297565283279)</f>
        <v>7.946297565</v>
      </c>
      <c r="M18" s="951" t="s">
        <v>132</v>
      </c>
      <c r="N18" s="949">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"),9.134528976914451)</f>
        <v>9.134528977</v>
      </c>
      <c r="O18" s="947" t="str">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f>
        <v>-</v>
      </c>
      <c r="P18" s="951" t="s">
        <v>132</v>
      </c>
      <c r="Q18" s="949" t="str">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f>
        <v>-</v>
      </c>
      <c r="R18" s="947" t="str">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f>
        <v>-</v>
      </c>
      <c r="S18" s="951" t="s">
        <v>132</v>
      </c>
      <c r="T18" s="949" t="str">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f>
        <v>-</v>
      </c>
      <c r="U18" s="947" t="str">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f>
        <v>-</v>
      </c>
      <c r="V18" s="951" t="s">
        <v>132</v>
      </c>
      <c r="W18" s="949" t="str">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f>
        <v>-</v>
      </c>
      <c r="X18" s="947" t="str">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f>
        <v>-</v>
      </c>
      <c r="Y18" s="951" t="s">
        <v>132</v>
      </c>
      <c r="Z18" s="949" t="str">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f>
        <v>-</v>
      </c>
      <c r="AA18" s="947">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"),8.174346852416013)</f>
        <v>8.174346852</v>
      </c>
      <c r="AB18" s="951" t="s">
        <v>132</v>
      </c>
      <c r="AC18" s="949">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"),9.396679092029599)</f>
        <v>9.396679092</v>
      </c>
      <c r="AD18" s="947">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"),46.157932769889214)</f>
        <v>46.15793277</v>
      </c>
      <c r="AE18" s="951" t="s">
        <v>132</v>
      </c>
      <c r="AF18" s="949">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"),53.0600535579102)</f>
        <v>53.06005356</v>
      </c>
      <c r="AG18" s="947">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"),51.69054725150835)</f>
        <v>51.69054725</v>
      </c>
      <c r="AH18" s="951" t="s">
        <v>132</v>
      </c>
      <c r="AI18" s="949">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"),59.41997487790209)</f>
        <v>59.41997488</v>
      </c>
      <c r="AJ18" s="947">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"),13.615688579332465)</f>
        <v>13.61568858</v>
      </c>
      <c r="AK18" s="951" t="s">
        <v>132</v>
      </c>
      <c r="AL18" s="949">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"),15.651679394933648)</f>
        <v>15.65167939</v>
      </c>
      <c r="AM18" s="947">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"),57.022925612119536)</f>
        <v>57.02292561</v>
      </c>
      <c r="AN18" s="951" t="s">
        <v>132</v>
      </c>
      <c r="AO18" s="949">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"),65.54971822701616)</f>
        <v>65.54971823</v>
      </c>
      <c r="AP18" s="947">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"),25.796628653952155)</f>
        <v>25.79662865</v>
      </c>
      <c r="AQ18" s="951" t="s">
        <v>132</v>
      </c>
      <c r="AR18" s="949">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"),29.654068452673897)</f>
        <v>29.65406845</v>
      </c>
      <c r="AS18" s="947">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"),24.70484584734281)</f>
        <v>24.70484585</v>
      </c>
      <c r="AT18" s="951" t="s">
        <v>132</v>
      </c>
      <c r="AU18" s="949">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"),28.399028403954738)</f>
        <v>28.3990284</v>
      </c>
      <c r="AV18" s="947">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"),15.348190310553813)</f>
        <v>15.34819031</v>
      </c>
      <c r="AW18" s="951" t="s">
        <v>132</v>
      </c>
      <c r="AX18" s="949">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"),17.643246805589833)</f>
        <v>17.64324681</v>
      </c>
      <c r="AY18" s="947">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"),23.522142065519283)</f>
        <v>23.52214207</v>
      </c>
      <c r="AZ18" s="951" t="s">
        <v>132</v>
      </c>
      <c r="BA18" s="949">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"),27.039471720176323)</f>
        <v>27.03947172</v>
      </c>
      <c r="BB18" s="947">
        <f>IFERROR(__xludf.DUMMYFUNCTION("Iferror(IF(
  IFNA(
    FILTER(
      IMPORTRANGE($F$8,""'Sensitivity [""&amp;IF(BB$3="""",BB$2,BB$2&amp;"", ""&amp;BB$3)&amp;""]'!D1:D20""),
      IMPORTRANGE($F$8,""'Sensitivity [""&amp;IF(BB$3="""",BB$2,BB$2&amp;"", ""&amp;BB$3)&amp;""]'!A1:A20"")=$E18
    ),
    """"
  ) = """",
  "&amp;"""-"",
  BB$5 * ( 1 +
    IFNA(
      FILTER(
        IMPORTRANGE($F$8,""'Sensitivity [""&amp;IF(BB$3="""",BB$2,BB$2&amp;"", ""&amp;BB$3)&amp;""]'!D1:D20""),
        IMPORTRANGE($F$8,""'Sensitivity [""&amp;IF(BB$3="""",BB$2,BB$2&amp;"", ""&amp;BB$3)&amp;""]'!A1:A20"")=$E18
      ),
    "&amp;"  """"
    )
  )
), ""-"")
"),52.026696184310524)</f>
        <v>52.02669618</v>
      </c>
      <c r="BC18" s="951" t="s">
        <v>132</v>
      </c>
      <c r="BD18" s="949">
        <f>IFERROR(__xludf.DUMMYFUNCTION("iferror(IF(
  IFNA(
    FILTER(
      IMPORTRANGE($F$8,""'Sensitivity [""&amp;IF(BB$3="""",BB$2,BB$2&amp;"", ""&amp;BB$3)&amp;""]'!E1:E20""),
      IMPORTRANGE($F$8,""'Sensitivity [""&amp;IF(BB$3="""",BB$2,BB$2&amp;"", ""&amp;BB$3)&amp;""]'!A1:A20"")=$E18
    ),
    """"
  ) = """",
  "&amp;"""-"",
  BB$5 * ( 1 +
    IFNA(
      FILTER(
        IMPORTRANGE($F$8,""'Sensitivity [""&amp;IF(BB$3="""",BB$2,BB$2&amp;"", ""&amp;BB$3)&amp;""]'!E1:E20""),
        IMPORTRANGE($F$8,""'Sensitivity [""&amp;IF(BB$3="""",BB$2,BB$2&amp;"", ""&amp;BB$3)&amp;""]'!A1:A20"")=$E18
      ),
    "&amp;"  """"
    )
  )
), ""-"")
"),59.80638907168383)</f>
        <v>59.80638907</v>
      </c>
      <c r="BE18" s="947">
        <f>IFERROR(__xludf.DUMMYFUNCTION("Iferror(IF(
  IFNA(
    FILTER(
      IMPORTRANGE($F$8,""'Sensitivity [""&amp;IF(BE$3="""",BE$2,BE$2&amp;"", ""&amp;BE$3)&amp;""]'!D1:D20""),
      IMPORTRANGE($F$8,""'Sensitivity [""&amp;IF(BE$3="""",BE$2,BE$2&amp;"", ""&amp;BE$3)&amp;""]'!A1:A20"")=$E18
    ),
    """"
  ) = """",
  "&amp;"""-"",
  BE$5 * ( 1 +
    IFNA(
      FILTER(
        IMPORTRANGE($F$8,""'Sensitivity [""&amp;IF(BE$3="""",BE$2,BE$2&amp;"", ""&amp;BE$3)&amp;""]'!D1:D20""),
        IMPORTRANGE($F$8,""'Sensitivity [""&amp;IF(BE$3="""",BE$2,BE$2&amp;"", ""&amp;BE$3)&amp;""]'!A1:A20"")=$E18
      ),
    "&amp;"  """"
    )
  )
), ""-"")
"),4.860946585247941)</f>
        <v>4.860946585</v>
      </c>
      <c r="BF18" s="951" t="s">
        <v>132</v>
      </c>
      <c r="BG18" s="949">
        <f>IFERROR(__xludf.DUMMYFUNCTION("iferror(IF(
  IFNA(
    FILTER(
      IMPORTRANGE($F$8,""'Sensitivity [""&amp;IF(BE$3="""",BE$2,BE$2&amp;"", ""&amp;BE$3)&amp;""]'!E1:E20""),
      IMPORTRANGE($F$8,""'Sensitivity [""&amp;IF(BE$3="""",BE$2,BE$2&amp;"", ""&amp;BE$3)&amp;""]'!A1:A20"")=$E18
    ),
    """"
  ) = """",
  "&amp;"""-"",
  BE$5 * ( 1 +
    IFNA(
      FILTER(
        IMPORTRANGE($F$8,""'Sensitivity [""&amp;IF(BE$3="""",BE$2,BE$2&amp;"", ""&amp;BE$3)&amp;""]'!E1:E20""),
        IMPORTRANGE($F$8,""'Sensitivity [""&amp;IF(BE$3="""",BE$2,BE$2&amp;"", ""&amp;BE$3)&amp;""]'!A1:A20"")=$E18
      ),
    "&amp;"  """"
    )
  )
), ""-"")
"),5.587817102668214)</f>
        <v>5.587817103</v>
      </c>
      <c r="BH18" s="947">
        <f>IFERROR(__xludf.DUMMYFUNCTION("Iferror(IF(
  IFNA(
    FILTER(
      IMPORTRANGE($F$8,""'Sensitivity [""&amp;IF(BH$3="""",BH$2,BH$2&amp;"", ""&amp;BH$3)&amp;""]'!D1:D20""),
      IMPORTRANGE($F$8,""'Sensitivity [""&amp;IF(BH$3="""",BH$2,BH$2&amp;"", ""&amp;BH$3)&amp;""]'!A1:A20"")=$E18
    ),
    """"
  ) = """",
  "&amp;"""-"",
  BH$5 * ( 1 +
    IFNA(
      FILTER(
        IMPORTRANGE($F$8,""'Sensitivity [""&amp;IF(BH$3="""",BH$2,BH$2&amp;"", ""&amp;BH$3)&amp;""]'!D1:D20""),
        IMPORTRANGE($F$8,""'Sensitivity [""&amp;IF(BH$3="""",BH$2,BH$2&amp;"", ""&amp;BH$3)&amp;""]'!A1:A20"")=$E18
      ),
    "&amp;"  """"
    )
  )
), ""-"")
"),7.450031643442481)</f>
        <v>7.450031643</v>
      </c>
      <c r="BI18" s="951" t="s">
        <v>132</v>
      </c>
      <c r="BJ18" s="949">
        <f>IFERROR(__xludf.DUMMYFUNCTION("iferror(IF(
  IFNA(
    FILTER(
      IMPORTRANGE($F$8,""'Sensitivity [""&amp;IF(BH$3="""",BH$2,BH$2&amp;"", ""&amp;BH$3)&amp;""]'!E1:E20""),
      IMPORTRANGE($F$8,""'Sensitivity [""&amp;IF(BH$3="""",BH$2,BH$2&amp;"", ""&amp;BH$3)&amp;""]'!A1:A20"")=$E18
    ),
    """"
  ) = """",
  "&amp;"""-"",
  BH$5 * ( 1 +
    IFNA(
      FILTER(
        IMPORTRANGE($F$8,""'Sensitivity [""&amp;IF(BH$3="""",BH$2,BH$2&amp;"", ""&amp;BH$3)&amp;""]'!E1:E20""),
        IMPORTRANGE($F$8,""'Sensitivity [""&amp;IF(BH$3="""",BH$2,BH$2&amp;"", ""&amp;BH$3)&amp;""]'!A1:A20"")=$E18
      ),
    "&amp;"  """"
    )
  )
), ""-"")
"),8.564055066760957)</f>
        <v>8.564055067</v>
      </c>
      <c r="BK18" s="947">
        <f>IFERROR(__xludf.DUMMYFUNCTION("Iferror(IF(
  IFNA(
    FILTER(
      IMPORTRANGE($F$8,""'Sensitivity [""&amp;IF(BK$3="""",BK$2,BK$2&amp;"", ""&amp;BK$3)&amp;""]'!D1:D20""),
      IMPORTRANGE($F$8,""'Sensitivity [""&amp;IF(BK$3="""",BK$2,BK$2&amp;"", ""&amp;BK$3)&amp;""]'!A1:A20"")=$E18
    ),
    """"
  ) = """",
  "&amp;"""-"",
  BK$5 * ( 1 +
    IFNA(
      FILTER(
        IMPORTRANGE($F$8,""'Sensitivity [""&amp;IF(BK$3="""",BK$2,BK$2&amp;"", ""&amp;BK$3)&amp;""]'!D1:D20""),
        IMPORTRANGE($F$8,""'Sensitivity [""&amp;IF(BK$3="""",BK$2,BK$2&amp;"", ""&amp;BK$3)&amp;""]'!A1:A20"")=$E18
      ),
    "&amp;"  """"
    )
  )
), ""-"")
"),6.306811454641858)</f>
        <v>6.306811455</v>
      </c>
      <c r="BL18" s="951" t="s">
        <v>132</v>
      </c>
      <c r="BM18" s="949">
        <f>IFERROR(__xludf.DUMMYFUNCTION("iferror(IF(
  IFNA(
    FILTER(
      IMPORTRANGE($F$8,""'Sensitivity [""&amp;IF(BK$3="""",BK$2,BK$2&amp;"", ""&amp;BK$3)&amp;""]'!E1:E20""),
      IMPORTRANGE($F$8,""'Sensitivity [""&amp;IF(BK$3="""",BK$2,BK$2&amp;"", ""&amp;BK$3)&amp;""]'!A1:A20"")=$E18
    ),
    """"
  ) = """",
  "&amp;"""-"",
  BK$5 * ( 1 +
    IFNA(
      FILTER(
        IMPORTRANGE($F$8,""'Sensitivity [""&amp;IF(BK$3="""",BK$2,BK$2&amp;"", ""&amp;BK$3)&amp;""]'!E1:E20""),
        IMPORTRANGE($F$8,""'Sensitivity [""&amp;IF(BK$3="""",BK$2,BK$2&amp;"", ""&amp;BK$3)&amp;""]'!A1:A20"")=$E18
      ),
    "&amp;"  """"
    )
  )
), ""-"")
"),7.249886064681764)</f>
        <v>7.249886065</v>
      </c>
      <c r="BN18" s="874"/>
    </row>
    <row r="19">
      <c r="A19" s="928"/>
      <c r="B19" s="420"/>
      <c r="C19" s="420"/>
      <c r="D19" s="420"/>
      <c r="E19" s="625" t="str">
        <f t="shared" si="1"/>
        <v>Adjustment for leverage</v>
      </c>
      <c r="F19" s="944" t="str">
        <f>IFERROR(__xludf.DUMMYFUNCTION("IF(
  IFNA(
    FILTER(
      IMPORTRANGE($F$8,""'Sensitivity [""&amp;IF(F$3="""",F$2,F$2&amp;"", ""&amp;F$3)&amp;""]'!D1:D20""),
      IMPORTRANGE($F$8,""'Sensitivity [""&amp;IF(F$3="""",F$2,F$2&amp;"", ""&amp;F$3)&amp;""]'!A1:A20"")=$E19
    ),
    """"
  ) = """",
  ""-"",
  F$5 * ( "&amp;"1 +
    IFNA(
      FILTER(
        IMPORTRANGE($F$8,""'Sensitivity [""&amp;IF(F$3="""",F$2,F$2&amp;"", ""&amp;F$3)&amp;""]'!D1:D20""),
        IMPORTRANGE($F$8,""'Sensitivity [""&amp;IF(F$3="""",F$2,F$2&amp;"", ""&amp;F$3)&amp;""]'!A1:A20"")=$E19
      ),
      """"
    )
  )
)
"),"-")</f>
        <v>-</v>
      </c>
      <c r="G19" s="950" t="s">
        <v>132</v>
      </c>
      <c r="H19" s="946"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947"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951" t="s">
        <v>132</v>
      </c>
      <c r="K19" s="949"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947"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951" t="s">
        <v>132</v>
      </c>
      <c r="N19" s="949"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947"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951" t="s">
        <v>132</v>
      </c>
      <c r="Q19" s="949"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947"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951" t="s">
        <v>132</v>
      </c>
      <c r="T19" s="949"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947"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951" t="s">
        <v>132</v>
      </c>
      <c r="W19" s="949"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947"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951" t="s">
        <v>132</v>
      </c>
      <c r="Z19" s="949"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947"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951" t="s">
        <v>132</v>
      </c>
      <c r="AC19" s="949"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947"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951" t="s">
        <v>132</v>
      </c>
      <c r="AF19" s="949"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947"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951" t="s">
        <v>132</v>
      </c>
      <c r="AI19" s="949"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947"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951" t="s">
        <v>132</v>
      </c>
      <c r="AL19" s="949"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947"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951" t="s">
        <v>132</v>
      </c>
      <c r="AO19" s="949"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947"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951" t="s">
        <v>132</v>
      </c>
      <c r="AR19" s="949"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947"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951" t="s">
        <v>132</v>
      </c>
      <c r="AU19" s="949"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947"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951" t="s">
        <v>132</v>
      </c>
      <c r="AX19" s="949"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947"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951" t="s">
        <v>132</v>
      </c>
      <c r="BA19" s="949"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947" t="str">
        <f>IFERROR(__xludf.DUMMYFUNCTION("Iferror(IF(
  IFNA(
    FILTER(
      IMPORTRANGE($F$8,""'Sensitivity [""&amp;IF(BB$3="""",BB$2,BB$2&amp;"", ""&amp;BB$3)&amp;""]'!D1:D20""),
      IMPORTRANGE($F$8,""'Sensitivity [""&amp;IF(BB$3="""",BB$2,BB$2&amp;"", ""&amp;BB$3)&amp;""]'!A1:A20"")=$E19
    ),
    """"
  ) = """",
  "&amp;"""-"",
  BB$5 * ( 1 +
    IFNA(
      FILTER(
        IMPORTRANGE($F$8,""'Sensitivity [""&amp;IF(BB$3="""",BB$2,BB$2&amp;"", ""&amp;BB$3)&amp;""]'!D1:D20""),
        IMPORTRANGE($F$8,""'Sensitivity [""&amp;IF(BB$3="""",BB$2,BB$2&amp;"", ""&amp;BB$3)&amp;""]'!A1:A20"")=$E19
      ),
    "&amp;"  """"
    )
  )
), ""-"")
"),"-")</f>
        <v>-</v>
      </c>
      <c r="BC19" s="951" t="s">
        <v>132</v>
      </c>
      <c r="BD19" s="949" t="str">
        <f>IFERROR(__xludf.DUMMYFUNCTION("iferror(IF(
  IFNA(
    FILTER(
      IMPORTRANGE($F$8,""'Sensitivity [""&amp;IF(BB$3="""",BB$2,BB$2&amp;"", ""&amp;BB$3)&amp;""]'!E1:E20""),
      IMPORTRANGE($F$8,""'Sensitivity [""&amp;IF(BB$3="""",BB$2,BB$2&amp;"", ""&amp;BB$3)&amp;""]'!A1:A20"")=$E19
    ),
    """"
  ) = """",
  "&amp;"""-"",
  BB$5 * ( 1 +
    IFNA(
      FILTER(
        IMPORTRANGE($F$8,""'Sensitivity [""&amp;IF(BB$3="""",BB$2,BB$2&amp;"", ""&amp;BB$3)&amp;""]'!E1:E20""),
        IMPORTRANGE($F$8,""'Sensitivity [""&amp;IF(BB$3="""",BB$2,BB$2&amp;"", ""&amp;BB$3)&amp;""]'!A1:A20"")=$E19
      ),
    "&amp;"  """"
    )
  )
), ""-"")
"),"-")</f>
        <v>-</v>
      </c>
      <c r="BE19" s="947" t="str">
        <f>IFERROR(__xludf.DUMMYFUNCTION("Iferror(IF(
  IFNA(
    FILTER(
      IMPORTRANGE($F$8,""'Sensitivity [""&amp;IF(BE$3="""",BE$2,BE$2&amp;"", ""&amp;BE$3)&amp;""]'!D1:D20""),
      IMPORTRANGE($F$8,""'Sensitivity [""&amp;IF(BE$3="""",BE$2,BE$2&amp;"", ""&amp;BE$3)&amp;""]'!A1:A20"")=$E19
    ),
    """"
  ) = """",
  "&amp;"""-"",
  BE$5 * ( 1 +
    IFNA(
      FILTER(
        IMPORTRANGE($F$8,""'Sensitivity [""&amp;IF(BE$3="""",BE$2,BE$2&amp;"", ""&amp;BE$3)&amp;""]'!D1:D20""),
        IMPORTRANGE($F$8,""'Sensitivity [""&amp;IF(BE$3="""",BE$2,BE$2&amp;"", ""&amp;BE$3)&amp;""]'!A1:A20"")=$E19
      ),
    "&amp;"  """"
    )
  )
), ""-"")
"),"-")</f>
        <v>-</v>
      </c>
      <c r="BF19" s="951" t="s">
        <v>132</v>
      </c>
      <c r="BG19" s="949" t="str">
        <f>IFERROR(__xludf.DUMMYFUNCTION("iferror(IF(
  IFNA(
    FILTER(
      IMPORTRANGE($F$8,""'Sensitivity [""&amp;IF(BE$3="""",BE$2,BE$2&amp;"", ""&amp;BE$3)&amp;""]'!E1:E20""),
      IMPORTRANGE($F$8,""'Sensitivity [""&amp;IF(BE$3="""",BE$2,BE$2&amp;"", ""&amp;BE$3)&amp;""]'!A1:A20"")=$E19
    ),
    """"
  ) = """",
  "&amp;"""-"",
  BE$5 * ( 1 +
    IFNA(
      FILTER(
        IMPORTRANGE($F$8,""'Sensitivity [""&amp;IF(BE$3="""",BE$2,BE$2&amp;"", ""&amp;BE$3)&amp;""]'!E1:E20""),
        IMPORTRANGE($F$8,""'Sensitivity [""&amp;IF(BE$3="""",BE$2,BE$2&amp;"", ""&amp;BE$3)&amp;""]'!A1:A20"")=$E19
      ),
    "&amp;"  """"
    )
  )
), ""-"")
"),"-")</f>
        <v>-</v>
      </c>
      <c r="BH19" s="947" t="str">
        <f>IFERROR(__xludf.DUMMYFUNCTION("Iferror(IF(
  IFNA(
    FILTER(
      IMPORTRANGE($F$8,""'Sensitivity [""&amp;IF(BH$3="""",BH$2,BH$2&amp;"", ""&amp;BH$3)&amp;""]'!D1:D20""),
      IMPORTRANGE($F$8,""'Sensitivity [""&amp;IF(BH$3="""",BH$2,BH$2&amp;"", ""&amp;BH$3)&amp;""]'!A1:A20"")=$E19
    ),
    """"
  ) = """",
  "&amp;"""-"",
  BH$5 * ( 1 +
    IFNA(
      FILTER(
        IMPORTRANGE($F$8,""'Sensitivity [""&amp;IF(BH$3="""",BH$2,BH$2&amp;"", ""&amp;BH$3)&amp;""]'!D1:D20""),
        IMPORTRANGE($F$8,""'Sensitivity [""&amp;IF(BH$3="""",BH$2,BH$2&amp;"", ""&amp;BH$3)&amp;""]'!A1:A20"")=$E19
      ),
    "&amp;"  """"
    )
  )
), ""-"")
"),"-")</f>
        <v>-</v>
      </c>
      <c r="BI19" s="951" t="s">
        <v>132</v>
      </c>
      <c r="BJ19" s="949" t="str">
        <f>IFERROR(__xludf.DUMMYFUNCTION("iferror(IF(
  IFNA(
    FILTER(
      IMPORTRANGE($F$8,""'Sensitivity [""&amp;IF(BH$3="""",BH$2,BH$2&amp;"", ""&amp;BH$3)&amp;""]'!E1:E20""),
      IMPORTRANGE($F$8,""'Sensitivity [""&amp;IF(BH$3="""",BH$2,BH$2&amp;"", ""&amp;BH$3)&amp;""]'!A1:A20"")=$E19
    ),
    """"
  ) = """",
  "&amp;"""-"",
  BH$5 * ( 1 +
    IFNA(
      FILTER(
        IMPORTRANGE($F$8,""'Sensitivity [""&amp;IF(BH$3="""",BH$2,BH$2&amp;"", ""&amp;BH$3)&amp;""]'!E1:E20""),
        IMPORTRANGE($F$8,""'Sensitivity [""&amp;IF(BH$3="""",BH$2,BH$2&amp;"", ""&amp;BH$3)&amp;""]'!A1:A20"")=$E19
      ),
    "&amp;"  """"
    )
  )
), ""-"")
"),"-")</f>
        <v>-</v>
      </c>
      <c r="BK19" s="947" t="str">
        <f>IFERROR(__xludf.DUMMYFUNCTION("Iferror(IF(
  IFNA(
    FILTER(
      IMPORTRANGE($F$8,""'Sensitivity [""&amp;IF(BK$3="""",BK$2,BK$2&amp;"", ""&amp;BK$3)&amp;""]'!D1:D20""),
      IMPORTRANGE($F$8,""'Sensitivity [""&amp;IF(BK$3="""",BK$2,BK$2&amp;"", ""&amp;BK$3)&amp;""]'!A1:A20"")=$E19
    ),
    """"
  ) = """",
  "&amp;"""-"",
  BK$5 * ( 1 +
    IFNA(
      FILTER(
        IMPORTRANGE($F$8,""'Sensitivity [""&amp;IF(BK$3="""",BK$2,BK$2&amp;"", ""&amp;BK$3)&amp;""]'!D1:D20""),
        IMPORTRANGE($F$8,""'Sensitivity [""&amp;IF(BK$3="""",BK$2,BK$2&amp;"", ""&amp;BK$3)&amp;""]'!A1:A20"")=$E19
      ),
    "&amp;"  """"
    )
  )
), ""-"")
"),"-")</f>
        <v>-</v>
      </c>
      <c r="BL19" s="951" t="s">
        <v>132</v>
      </c>
      <c r="BM19" s="949" t="str">
        <f>IFERROR(__xludf.DUMMYFUNCTION("iferror(IF(
  IFNA(
    FILTER(
      IMPORTRANGE($F$8,""'Sensitivity [""&amp;IF(BK$3="""",BK$2,BK$2&amp;"", ""&amp;BK$3)&amp;""]'!E1:E20""),
      IMPORTRANGE($F$8,""'Sensitivity [""&amp;IF(BK$3="""",BK$2,BK$2&amp;"", ""&amp;BK$3)&amp;""]'!A1:A20"")=$E19
    ),
    """"
  ) = """",
  "&amp;"""-"",
  BK$5 * ( 1 +
    IFNA(
      FILTER(
        IMPORTRANGE($F$8,""'Sensitivity [""&amp;IF(BK$3="""",BK$2,BK$2&amp;"", ""&amp;BK$3)&amp;""]'!E1:E20""),
        IMPORTRANGE($F$8,""'Sensitivity [""&amp;IF(BK$3="""",BK$2,BK$2&amp;"", ""&amp;BK$3)&amp;""]'!A1:A20"")=$E19
      ),
    "&amp;"  """"
    )
  )
), ""-"")
"),"-")</f>
        <v>-</v>
      </c>
      <c r="BN19" s="67"/>
    </row>
    <row r="20">
      <c r="A20" s="928"/>
      <c r="B20" s="420"/>
      <c r="C20" s="420"/>
      <c r="D20" s="420"/>
      <c r="E20" s="625" t="str">
        <f t="shared" si="1"/>
        <v>Adjustment for funging</v>
      </c>
      <c r="F20" s="944">
        <f>IFERROR(__xludf.DUMMYFUNCTION("IF(
  IFNA(
    FILTER(
      IMPORTRANGE($F$8,""'Sensitivity [""&amp;IF(F$3="""",F$2,F$2&amp;"", ""&amp;F$3)&amp;""]'!D1:D20""),
      IMPORTRANGE($F$8,""'Sensitivity [""&amp;IF(F$3="""",F$2,F$2&amp;"", ""&amp;F$3)&amp;""]'!A1:A20"")=$E20
    ),
    """"
  ) = """",
  ""-"",
  F$5 * ( "&amp;"1 +
    IFNA(
      FILTER(
        IMPORTRANGE($F$8,""'Sensitivity [""&amp;IF(F$3="""",F$2,F$2&amp;"", ""&amp;F$3)&amp;""]'!D1:D20""),
        IMPORTRANGE($F$8,""'Sensitivity [""&amp;IF(F$3="""",F$2,F$2&amp;"", ""&amp;F$3)&amp;""]'!A1:A20"")=$E20
      ),
      """"
    )
  )
)
"),8.707546242870853)</f>
        <v>8.707546243</v>
      </c>
      <c r="G20" s="950" t="s">
        <v>132</v>
      </c>
      <c r="H20" s="946">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"),17.305438531336904)</f>
        <v>17.30543853</v>
      </c>
      <c r="I20" s="947">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"),12.044289884152281)</f>
        <v>12.04428988</v>
      </c>
      <c r="J20" s="951" t="s">
        <v>132</v>
      </c>
      <c r="K20" s="949">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"),17.275274230667403)</f>
        <v>17.27527423</v>
      </c>
      <c r="L20" s="947">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"),6.578441164574608)</f>
        <v>6.578441165</v>
      </c>
      <c r="M20" s="951" t="s">
        <v>132</v>
      </c>
      <c r="N20" s="949">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"),10.283509701621728)</f>
        <v>10.2835097</v>
      </c>
      <c r="O20" s="947" t="str">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f>
        <v>-</v>
      </c>
      <c r="P20" s="951" t="s">
        <v>132</v>
      </c>
      <c r="Q20" s="949" t="str">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f>
        <v>-</v>
      </c>
      <c r="R20" s="947" t="str">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f>
        <v>-</v>
      </c>
      <c r="S20" s="951" t="s">
        <v>132</v>
      </c>
      <c r="T20" s="949" t="str">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f>
        <v>-</v>
      </c>
      <c r="U20" s="947" t="str">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f>
        <v>-</v>
      </c>
      <c r="V20" s="951" t="s">
        <v>132</v>
      </c>
      <c r="W20" s="949" t="str">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f>
        <v>-</v>
      </c>
      <c r="X20" s="947" t="str">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f>
        <v>-</v>
      </c>
      <c r="Y20" s="951" t="s">
        <v>132</v>
      </c>
      <c r="Z20" s="949" t="str">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f>
        <v>-</v>
      </c>
      <c r="AA20" s="947">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"),6.568028862209699)</f>
        <v>6.568028862</v>
      </c>
      <c r="AB20" s="951" t="s">
        <v>132</v>
      </c>
      <c r="AC20" s="949">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"),11.15149241603362)</f>
        <v>11.15149242</v>
      </c>
      <c r="AD20" s="947">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"),40.93989729066536)</f>
        <v>40.93989729</v>
      </c>
      <c r="AE20" s="951" t="s">
        <v>132</v>
      </c>
      <c r="AF20" s="949">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"),57.78455655971095)</f>
        <v>57.78455656</v>
      </c>
      <c r="AG20" s="947">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"),49.943229832088434)</f>
        <v>49.94322983</v>
      </c>
      <c r="AH20" s="951" t="s">
        <v>132</v>
      </c>
      <c r="AI20" s="949">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"),61.316968543077216)</f>
        <v>61.31696854</v>
      </c>
      <c r="AJ20" s="947">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"),13.759289545610546)</f>
        <v>13.75928955</v>
      </c>
      <c r="AK20" s="951" t="s">
        <v>132</v>
      </c>
      <c r="AL20" s="949">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"),15.453931353439504)</f>
        <v>15.45393135</v>
      </c>
      <c r="AM20" s="947">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"),50.745551180647105)</f>
        <v>50.74555118</v>
      </c>
      <c r="AN20" s="951" t="s">
        <v>132</v>
      </c>
      <c r="AO20" s="949">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"),72.11213774525065)</f>
        <v>72.11213775</v>
      </c>
      <c r="AP20" s="947">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"),25.063151065371734)</f>
        <v>25.06315107</v>
      </c>
      <c r="AQ20" s="951" t="s">
        <v>132</v>
      </c>
      <c r="AR20" s="949">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"),30.22235765737969)</f>
        <v>30.22235766</v>
      </c>
      <c r="AS20" s="947">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"),22.316013131306992)</f>
        <v>22.31601313</v>
      </c>
      <c r="AT20" s="951" t="s">
        <v>132</v>
      </c>
      <c r="AU20" s="949">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"),30.570195028875943)</f>
        <v>30.57019503</v>
      </c>
      <c r="AV20" s="947">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"),14.682321916902119)</f>
        <v>14.68232192</v>
      </c>
      <c r="AW20" s="951" t="s">
        <v>132</v>
      </c>
      <c r="AX20" s="949">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"),18.293501806167505)</f>
        <v>18.29350181</v>
      </c>
      <c r="AY20" s="947">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"),21.389766464451878)</f>
        <v>21.38976646</v>
      </c>
      <c r="AZ20" s="951" t="s">
        <v>132</v>
      </c>
      <c r="BA20" s="949">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"),29.194863919173244)</f>
        <v>29.19486392</v>
      </c>
      <c r="BB20" s="947">
        <f>IFERROR(__xludf.DUMMYFUNCTION("Iferror(IF(
  IFNA(
    FILTER(
      IMPORTRANGE($F$8,""'Sensitivity [""&amp;IF(BB$3="""",BB$2,BB$2&amp;"", ""&amp;BB$3)&amp;""]'!D1:D20""),
      IMPORTRANGE($F$8,""'Sensitivity [""&amp;IF(BB$3="""",BB$2,BB$2&amp;"", ""&amp;BB$3)&amp;""]'!A1:A20"")=$E20
    ),
    """"
  ) = """",
  "&amp;"""-"",
  BB$5 * ( 1 +
    IFNA(
      FILTER(
        IMPORTRANGE($F$8,""'Sensitivity [""&amp;IF(BB$3="""",BB$2,BB$2&amp;"", ""&amp;BB$3)&amp;""]'!D1:D20""),
        IMPORTRANGE($F$8,""'Sensitivity [""&amp;IF(BB$3="""",BB$2,BB$2&amp;"", ""&amp;BB$3)&amp;""]'!A1:A20"")=$E20
      ),
    "&amp;"  """"
    )
  )
), ""-"")
"),47.09482760965038)</f>
        <v>47.09482761</v>
      </c>
      <c r="BC20" s="951" t="s">
        <v>132</v>
      </c>
      <c r="BD20" s="949">
        <f>IFERROR(__xludf.DUMMYFUNCTION("iferror(IF(
  IFNA(
    FILTER(
      IMPORTRANGE($F$8,""'Sensitivity [""&amp;IF(BB$3="""",BB$2,BB$2&amp;"", ""&amp;BB$3)&amp;""]'!E1:E20""),
      IMPORTRANGE($F$8,""'Sensitivity [""&amp;IF(BB$3="""",BB$2,BB$2&amp;"", ""&amp;BB$3)&amp;""]'!A1:A20"")=$E20
    ),
    """"
  ) = """",
  "&amp;"""-"",
  BB$5 * ( 1 +
    IFNA(
      FILTER(
        IMPORTRANGE($F$8,""'Sensitivity [""&amp;IF(BB$3="""",BB$2,BB$2&amp;"", ""&amp;BB$3)&amp;""]'!E1:E20""),
        IMPORTRANGE($F$8,""'Sensitivity [""&amp;IF(BB$3="""",BB$2,BB$2&amp;"", ""&amp;BB$3)&amp;""]'!A1:A20"")=$E20
      ),
    "&amp;"  """"
    )
  )
), ""-"")
"),65.1778694458431)</f>
        <v>65.17786945</v>
      </c>
      <c r="BE20" s="947">
        <f>IFERROR(__xludf.DUMMYFUNCTION("Iferror(IF(
  IFNA(
    FILTER(
      IMPORTRANGE($F$8,""'Sensitivity [""&amp;IF(BE$3="""",BE$2,BE$2&amp;"", ""&amp;BE$3)&amp;""]'!D1:D20""),
      IMPORTRANGE($F$8,""'Sensitivity [""&amp;IF(BE$3="""",BE$2,BE$2&amp;"", ""&amp;BE$3)&amp;""]'!A1:A20"")=$E20
    ),
    """"
  ) = """",
  "&amp;"""-"",
  BE$5 * ( 1 +
    IFNA(
      FILTER(
        IMPORTRANGE($F$8,""'Sensitivity [""&amp;IF(BE$3="""",BE$2,BE$2&amp;"", ""&amp;BE$3)&amp;""]'!D1:D20""),
        IMPORTRANGE($F$8,""'Sensitivity [""&amp;IF(BE$3="""",BE$2,BE$2&amp;"", ""&amp;BE$3)&amp;""]'!A1:A20"")=$E20
      ),
    "&amp;"  """"
    )
  )
), ""-"")
"),5.125314172399864)</f>
        <v>5.125314172</v>
      </c>
      <c r="BF20" s="951" t="s">
        <v>132</v>
      </c>
      <c r="BG20" s="949">
        <f>IFERROR(__xludf.DUMMYFUNCTION("iferror(IF(
  IFNA(
    FILTER(
      IMPORTRANGE($F$8,""'Sensitivity [""&amp;IF(BE$3="""",BE$2,BE$2&amp;"", ""&amp;BE$3)&amp;""]'!E1:E20""),
      IMPORTRANGE($F$8,""'Sensitivity [""&amp;IF(BE$3="""",BE$2,BE$2&amp;"", ""&amp;BE$3)&amp;""]'!A1:A20"")=$E20
    ),
    """"
  ) = """",
  "&amp;"""-"",
  BE$5 * ( 1 +
    IFNA(
      FILTER(
        IMPORTRANGE($F$8,""'Sensitivity [""&amp;IF(BE$3="""",BE$2,BE$2&amp;"", ""&amp;BE$3)&amp;""]'!E1:E20""),
        IMPORTRANGE($F$8,""'Sensitivity [""&amp;IF(BE$3="""",BE$2,BE$2&amp;"", ""&amp;BE$3)&amp;""]'!A1:A20"")=$E20
      ),
    "&amp;"  """"
    )
  )
), ""-"")
"),5.337190437050711)</f>
        <v>5.337190437</v>
      </c>
      <c r="BH20" s="947">
        <f>IFERROR(__xludf.DUMMYFUNCTION("Iferror(IF(
  IFNA(
    FILTER(
      IMPORTRANGE($F$8,""'Sensitivity [""&amp;IF(BH$3="""",BH$2,BH$2&amp;"", ""&amp;BH$3)&amp;""]'!D1:D20""),
      IMPORTRANGE($F$8,""'Sensitivity [""&amp;IF(BH$3="""",BH$2,BH$2&amp;"", ""&amp;BH$3)&amp;""]'!A1:A20"")=$E20
    ),
    """"
  ) = """",
  "&amp;"""-"",
  BH$5 * ( 1 +
    IFNA(
      FILTER(
        IMPORTRANGE($F$8,""'Sensitivity [""&amp;IF(BH$3="""",BH$2,BH$2&amp;"", ""&amp;BH$3)&amp;""]'!D1:D20""),
        IMPORTRANGE($F$8,""'Sensitivity [""&amp;IF(BH$3="""",BH$2,BH$2&amp;"", ""&amp;BH$3)&amp;""]'!A1:A20"")=$E20
      ),
    "&amp;"  """"
    )
  )
), ""-"")
"),4.526681782736763)</f>
        <v>4.526681783</v>
      </c>
      <c r="BI20" s="951" t="s">
        <v>132</v>
      </c>
      <c r="BJ20" s="949">
        <f>IFERROR(__xludf.DUMMYFUNCTION("iferror(IF(
  IFNA(
    FILTER(
      IMPORTRANGE($F$8,""'Sensitivity [""&amp;IF(BH$3="""",BH$2,BH$2&amp;"", ""&amp;BH$3)&amp;""]'!E1:E20""),
      IMPORTRANGE($F$8,""'Sensitivity [""&amp;IF(BH$3="""",BH$2,BH$2&amp;"", ""&amp;BH$3)&amp;""]'!A1:A20"")=$E20
    ),
    """"
  ) = """",
  "&amp;"""-"",
  BH$5 * ( 1 +
    IFNA(
      FILTER(
        IMPORTRANGE($F$8,""'Sensitivity [""&amp;IF(BH$3="""",BH$2,BH$2&amp;"", ""&amp;BH$3)&amp;""]'!E1:E20""),
        IMPORTRANGE($F$8,""'Sensitivity [""&amp;IF(BH$3="""",BH$2,BH$2&amp;"", ""&amp;BH$3)&amp;""]'!A1:A20"")=$E20
      ),
    "&amp;"  """"
    )
  )
), ""-"")
"),10.629299673180364)</f>
        <v>10.62929967</v>
      </c>
      <c r="BK20" s="947">
        <f>IFERROR(__xludf.DUMMYFUNCTION("Iferror(IF(
  IFNA(
    FILTER(
      IMPORTRANGE($F$8,""'Sensitivity [""&amp;IF(BK$3="""",BK$2,BK$2&amp;"", ""&amp;BK$3)&amp;""]'!D1:D20""),
      IMPORTRANGE($F$8,""'Sensitivity [""&amp;IF(BK$3="""",BK$2,BK$2&amp;"", ""&amp;BK$3)&amp;""]'!A1:A20"")=$E20
    ),
    """"
  ) = """",
  "&amp;"""-"",
  BK$5 * ( 1 +
    IFNA(
      FILTER(
        IMPORTRANGE($F$8,""'Sensitivity [""&amp;IF(BK$3="""",BK$2,BK$2&amp;"", ""&amp;BK$3)&amp;""]'!D1:D20""),
        IMPORTRANGE($F$8,""'Sensitivity [""&amp;IF(BK$3="""",BK$2,BK$2&amp;"", ""&amp;BK$3)&amp;""]'!A1:A20"")=$E20
      ),
    "&amp;"  """"
    )
  )
), ""-"")
"),5.535638758603707)</f>
        <v>5.535638759</v>
      </c>
      <c r="BL20" s="951" t="s">
        <v>132</v>
      </c>
      <c r="BM20" s="949">
        <f>IFERROR(__xludf.DUMMYFUNCTION("iferror(IF(
  IFNA(
    FILTER(
      IMPORTRANGE($F$8,""'Sensitivity [""&amp;IF(BK$3="""",BK$2,BK$2&amp;"", ""&amp;BK$3)&amp;""]'!E1:E20""),
      IMPORTRANGE($F$8,""'Sensitivity [""&amp;IF(BK$3="""",BK$2,BK$2&amp;"", ""&amp;BK$3)&amp;""]'!A1:A20"")=$E20
    ),
    """"
  ) = """",
  "&amp;"""-"",
  BK$5 * ( 1 +
    IFNA(
      FILTER(
        IMPORTRANGE($F$8,""'Sensitivity [""&amp;IF(BK$3="""",BK$2,BK$2&amp;"", ""&amp;BK$3)&amp;""]'!E1:E20""),
        IMPORTRANGE($F$8,""'Sensitivity [""&amp;IF(BK$3="""",BK$2,BK$2&amp;"", ""&amp;BK$3)&amp;""]'!A1:A20"")=$E20
      ),
    "&amp;"  """"
    )
  )
), ""-"")
"),7.963081491129991)</f>
        <v>7.963081491</v>
      </c>
      <c r="BN20" s="621"/>
    </row>
    <row r="21">
      <c r="A21" s="928"/>
      <c r="B21" s="420"/>
      <c r="C21" s="420"/>
      <c r="D21" s="420"/>
      <c r="E21" s="590" t="str">
        <f t="shared" si="1"/>
        <v>Moral value of averting the death of a person under age five</v>
      </c>
      <c r="F21" s="944" t="str">
        <f>IFERROR(__xludf.DUMMYFUNCTION("IF(
  IFNA(
    FILTER(
      IMPORTRANGE($F$8,""'Sensitivity [""&amp;IF(F$3="""",F$2,F$2&amp;"", ""&amp;F$3)&amp;""]'!D1:D20""),
      IMPORTRANGE($F$8,""'Sensitivity [""&amp;IF(F$3="""",F$2,F$2&amp;"", ""&amp;F$3)&amp;""]'!A1:A20"")=$E21
    ),
    """"
  ) = """",
  ""-"",
  F$5 * ( "&amp;"1 +
    IFNA(
      FILTER(
        IMPORTRANGE($F$8,""'Sensitivity [""&amp;IF(F$3="""",F$2,F$2&amp;"", ""&amp;F$3)&amp;""]'!D1:D20""),
        IMPORTRANGE($F$8,""'Sensitivity [""&amp;IF(F$3="""",F$2,F$2&amp;"", ""&amp;F$3)&amp;""]'!A1:A20"")=$E21
      ),
      """"
    )
  )
)
"),"-")</f>
        <v>-</v>
      </c>
      <c r="G21" s="950" t="s">
        <v>132</v>
      </c>
      <c r="H21" s="946"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947"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951" t="s">
        <v>132</v>
      </c>
      <c r="K21" s="949"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947"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951" t="s">
        <v>132</v>
      </c>
      <c r="N21" s="949"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947"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951" t="s">
        <v>132</v>
      </c>
      <c r="Q21" s="949"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947"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951" t="s">
        <v>132</v>
      </c>
      <c r="T21" s="949"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947"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951" t="s">
        <v>132</v>
      </c>
      <c r="W21" s="949"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947"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951" t="s">
        <v>132</v>
      </c>
      <c r="Z21" s="949"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947"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951" t="s">
        <v>132</v>
      </c>
      <c r="AC21" s="949"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947"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951" t="s">
        <v>132</v>
      </c>
      <c r="AF21" s="949"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947"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951" t="s">
        <v>132</v>
      </c>
      <c r="AI21" s="949"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947"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951" t="s">
        <v>132</v>
      </c>
      <c r="AL21" s="949"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947"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951" t="s">
        <v>132</v>
      </c>
      <c r="AO21" s="949"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947"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951" t="s">
        <v>132</v>
      </c>
      <c r="AR21" s="949"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947"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951" t="s">
        <v>132</v>
      </c>
      <c r="AU21" s="949"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947"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951" t="s">
        <v>132</v>
      </c>
      <c r="AX21" s="949"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947"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951" t="s">
        <v>132</v>
      </c>
      <c r="BA21" s="949"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947" t="str">
        <f>IFERROR(__xludf.DUMMYFUNCTION("Iferror(IF(
  IFNA(
    FILTER(
      IMPORTRANGE($F$8,""'Sensitivity [""&amp;IF(BB$3="""",BB$2,BB$2&amp;"", ""&amp;BB$3)&amp;""]'!D1:D20""),
      IMPORTRANGE($F$8,""'Sensitivity [""&amp;IF(BB$3="""",BB$2,BB$2&amp;"", ""&amp;BB$3)&amp;""]'!A1:A20"")=$E21
    ),
    """"
  ) = """",
  "&amp;"""-"",
  BB$5 * ( 1 +
    IFNA(
      FILTER(
        IMPORTRANGE($F$8,""'Sensitivity [""&amp;IF(BB$3="""",BB$2,BB$2&amp;"", ""&amp;BB$3)&amp;""]'!D1:D20""),
        IMPORTRANGE($F$8,""'Sensitivity [""&amp;IF(BB$3="""",BB$2,BB$2&amp;"", ""&amp;BB$3)&amp;""]'!A1:A20"")=$E21
      ),
    "&amp;"  """"
    )
  )
), ""-"")
"),"-")</f>
        <v>-</v>
      </c>
      <c r="BC21" s="951" t="s">
        <v>132</v>
      </c>
      <c r="BD21" s="949" t="str">
        <f>IFERROR(__xludf.DUMMYFUNCTION("iferror(IF(
  IFNA(
    FILTER(
      IMPORTRANGE($F$8,""'Sensitivity [""&amp;IF(BB$3="""",BB$2,BB$2&amp;"", ""&amp;BB$3)&amp;""]'!E1:E20""),
      IMPORTRANGE($F$8,""'Sensitivity [""&amp;IF(BB$3="""",BB$2,BB$2&amp;"", ""&amp;BB$3)&amp;""]'!A1:A20"")=$E21
    ),
    """"
  ) = """",
  "&amp;"""-"",
  BB$5 * ( 1 +
    IFNA(
      FILTER(
        IMPORTRANGE($F$8,""'Sensitivity [""&amp;IF(BB$3="""",BB$2,BB$2&amp;"", ""&amp;BB$3)&amp;""]'!E1:E20""),
        IMPORTRANGE($F$8,""'Sensitivity [""&amp;IF(BB$3="""",BB$2,BB$2&amp;"", ""&amp;BB$3)&amp;""]'!A1:A20"")=$E21
      ),
    "&amp;"  """"
    )
  )
), ""-"")
"),"-")</f>
        <v>-</v>
      </c>
      <c r="BE21" s="947" t="str">
        <f>IFERROR(__xludf.DUMMYFUNCTION("Iferror(IF(
  IFNA(
    FILTER(
      IMPORTRANGE($F$8,""'Sensitivity [""&amp;IF(BE$3="""",BE$2,BE$2&amp;"", ""&amp;BE$3)&amp;""]'!D1:D20""),
      IMPORTRANGE($F$8,""'Sensitivity [""&amp;IF(BE$3="""",BE$2,BE$2&amp;"", ""&amp;BE$3)&amp;""]'!A1:A20"")=$E21
    ),
    """"
  ) = """",
  "&amp;"""-"",
  BE$5 * ( 1 +
    IFNA(
      FILTER(
        IMPORTRANGE($F$8,""'Sensitivity [""&amp;IF(BE$3="""",BE$2,BE$2&amp;"", ""&amp;BE$3)&amp;""]'!D1:D20""),
        IMPORTRANGE($F$8,""'Sensitivity [""&amp;IF(BE$3="""",BE$2,BE$2&amp;"", ""&amp;BE$3)&amp;""]'!A1:A20"")=$E21
      ),
    "&amp;"  """"
    )
  )
), ""-"")
"),"-")</f>
        <v>-</v>
      </c>
      <c r="BF21" s="951" t="s">
        <v>132</v>
      </c>
      <c r="BG21" s="949" t="str">
        <f>IFERROR(__xludf.DUMMYFUNCTION("iferror(IF(
  IFNA(
    FILTER(
      IMPORTRANGE($F$8,""'Sensitivity [""&amp;IF(BE$3="""",BE$2,BE$2&amp;"", ""&amp;BE$3)&amp;""]'!E1:E20""),
      IMPORTRANGE($F$8,""'Sensitivity [""&amp;IF(BE$3="""",BE$2,BE$2&amp;"", ""&amp;BE$3)&amp;""]'!A1:A20"")=$E21
    ),
    """"
  ) = """",
  "&amp;"""-"",
  BE$5 * ( 1 +
    IFNA(
      FILTER(
        IMPORTRANGE($F$8,""'Sensitivity [""&amp;IF(BE$3="""",BE$2,BE$2&amp;"", ""&amp;BE$3)&amp;""]'!E1:E20""),
        IMPORTRANGE($F$8,""'Sensitivity [""&amp;IF(BE$3="""",BE$2,BE$2&amp;"", ""&amp;BE$3)&amp;""]'!A1:A20"")=$E21
      ),
    "&amp;"  """"
    )
  )
), ""-"")
"),"-")</f>
        <v>-</v>
      </c>
      <c r="BH21" s="947" t="str">
        <f>IFERROR(__xludf.DUMMYFUNCTION("Iferror(IF(
  IFNA(
    FILTER(
      IMPORTRANGE($F$8,""'Sensitivity [""&amp;IF(BH$3="""",BH$2,BH$2&amp;"", ""&amp;BH$3)&amp;""]'!D1:D20""),
      IMPORTRANGE($F$8,""'Sensitivity [""&amp;IF(BH$3="""",BH$2,BH$2&amp;"", ""&amp;BH$3)&amp;""]'!A1:A20"")=$E21
    ),
    """"
  ) = """",
  "&amp;"""-"",
  BH$5 * ( 1 +
    IFNA(
      FILTER(
        IMPORTRANGE($F$8,""'Sensitivity [""&amp;IF(BH$3="""",BH$2,BH$2&amp;"", ""&amp;BH$3)&amp;""]'!D1:D20""),
        IMPORTRANGE($F$8,""'Sensitivity [""&amp;IF(BH$3="""",BH$2,BH$2&amp;"", ""&amp;BH$3)&amp;""]'!A1:A20"")=$E21
      ),
    "&amp;"  """"
    )
  )
), ""-"")
"),"-")</f>
        <v>-</v>
      </c>
      <c r="BI21" s="951" t="s">
        <v>132</v>
      </c>
      <c r="BJ21" s="949" t="str">
        <f>IFERROR(__xludf.DUMMYFUNCTION("iferror(IF(
  IFNA(
    FILTER(
      IMPORTRANGE($F$8,""'Sensitivity [""&amp;IF(BH$3="""",BH$2,BH$2&amp;"", ""&amp;BH$3)&amp;""]'!E1:E20""),
      IMPORTRANGE($F$8,""'Sensitivity [""&amp;IF(BH$3="""",BH$2,BH$2&amp;"", ""&amp;BH$3)&amp;""]'!A1:A20"")=$E21
    ),
    """"
  ) = """",
  "&amp;"""-"",
  BH$5 * ( 1 +
    IFNA(
      FILTER(
        IMPORTRANGE($F$8,""'Sensitivity [""&amp;IF(BH$3="""",BH$2,BH$2&amp;"", ""&amp;BH$3)&amp;""]'!E1:E20""),
        IMPORTRANGE($F$8,""'Sensitivity [""&amp;IF(BH$3="""",BH$2,BH$2&amp;"", ""&amp;BH$3)&amp;""]'!A1:A20"")=$E21
      ),
    "&amp;"  """"
    )
  )
), ""-"")
"),"-")</f>
        <v>-</v>
      </c>
      <c r="BK21" s="947" t="str">
        <f>IFERROR(__xludf.DUMMYFUNCTION("Iferror(IF(
  IFNA(
    FILTER(
      IMPORTRANGE($F$8,""'Sensitivity [""&amp;IF(BK$3="""",BK$2,BK$2&amp;"", ""&amp;BK$3)&amp;""]'!D1:D20""),
      IMPORTRANGE($F$8,""'Sensitivity [""&amp;IF(BK$3="""",BK$2,BK$2&amp;"", ""&amp;BK$3)&amp;""]'!A1:A20"")=$E21
    ),
    """"
  ) = """",
  "&amp;"""-"",
  BK$5 * ( 1 +
    IFNA(
      FILTER(
        IMPORTRANGE($F$8,""'Sensitivity [""&amp;IF(BK$3="""",BK$2,BK$2&amp;"", ""&amp;BK$3)&amp;""]'!D1:D20""),
        IMPORTRANGE($F$8,""'Sensitivity [""&amp;IF(BK$3="""",BK$2,BK$2&amp;"", ""&amp;BK$3)&amp;""]'!A1:A20"")=$E21
      ),
    "&amp;"  """"
    )
  )
), ""-"")
"),"-")</f>
        <v>-</v>
      </c>
      <c r="BL21" s="951" t="s">
        <v>132</v>
      </c>
      <c r="BM21" s="949" t="str">
        <f>IFERROR(__xludf.DUMMYFUNCTION("iferror(IF(
  IFNA(
    FILTER(
      IMPORTRANGE($F$8,""'Sensitivity [""&amp;IF(BK$3="""",BK$2,BK$2&amp;"", ""&amp;BK$3)&amp;""]'!E1:E20""),
      IMPORTRANGE($F$8,""'Sensitivity [""&amp;IF(BK$3="""",BK$2,BK$2&amp;"", ""&amp;BK$3)&amp;""]'!A1:A20"")=$E21
    ),
    """"
  ) = """",
  "&amp;"""-"",
  BK$5 * ( 1 +
    IFNA(
      FILTER(
        IMPORTRANGE($F$8,""'Sensitivity [""&amp;IF(BK$3="""",BK$2,BK$2&amp;"", ""&amp;BK$3)&amp;""]'!E1:E20""),
        IMPORTRANGE($F$8,""'Sensitivity [""&amp;IF(BK$3="""",BK$2,BK$2&amp;"", ""&amp;BK$3)&amp;""]'!A1:A20"")=$E21
      ),
    "&amp;"  """"
    )
  )
), ""-"")
"),"-")</f>
        <v>-</v>
      </c>
      <c r="BN21" s="952"/>
    </row>
    <row r="22">
      <c r="A22" s="928"/>
      <c r="B22" s="420"/>
      <c r="C22" s="420"/>
      <c r="D22" s="420"/>
      <c r="E22" s="590" t="str">
        <f t="shared" si="1"/>
        <v>Value generated per dollar donated to GiveDirectly's unconditional cash transfer program</v>
      </c>
      <c r="F22" s="944" t="str">
        <f>IFERROR(__xludf.DUMMYFUNCTION("IF(
  IFNA(
    FILTER(
      IMPORTRANGE($F$8,""'Sensitivity [""&amp;IF(F$3="""",F$2,F$2&amp;"", ""&amp;F$3)&amp;""]'!D1:D20""),
      IMPORTRANGE($F$8,""'Sensitivity [""&amp;IF(F$3="""",F$2,F$2&amp;"", ""&amp;F$3)&amp;""]'!A1:A20"")=$E22
    ),
    """"
  ) = """",
  ""-"",
  F$5 * ( "&amp;"1 +
    IFNA(
      FILTER(
        IMPORTRANGE($F$8,""'Sensitivity [""&amp;IF(F$3="""",F$2,F$2&amp;"", ""&amp;F$3)&amp;""]'!D1:D20""),
        IMPORTRANGE($F$8,""'Sensitivity [""&amp;IF(F$3="""",F$2,F$2&amp;"", ""&amp;F$3)&amp;""]'!A1:A20"")=$E22
      ),
      """"
    )
  )
)
"),"-")</f>
        <v>-</v>
      </c>
      <c r="G22" s="951" t="s">
        <v>132</v>
      </c>
      <c r="H22" s="946"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947"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951" t="s">
        <v>132</v>
      </c>
      <c r="K22" s="949"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947"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951" t="s">
        <v>132</v>
      </c>
      <c r="N22" s="949"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947"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951" t="s">
        <v>132</v>
      </c>
      <c r="Q22" s="949"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947"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951" t="s">
        <v>132</v>
      </c>
      <c r="T22" s="949"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947"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951" t="s">
        <v>132</v>
      </c>
      <c r="W22" s="949"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947"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951" t="s">
        <v>132</v>
      </c>
      <c r="Z22" s="949"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947"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951" t="s">
        <v>132</v>
      </c>
      <c r="AC22" s="949"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947"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951" t="s">
        <v>132</v>
      </c>
      <c r="AF22" s="949"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947"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951" t="s">
        <v>132</v>
      </c>
      <c r="AI22" s="949"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947"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951" t="s">
        <v>132</v>
      </c>
      <c r="AL22" s="949"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947"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951" t="s">
        <v>132</v>
      </c>
      <c r="AO22" s="949"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947"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951" t="s">
        <v>132</v>
      </c>
      <c r="AR22" s="949"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947"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951" t="s">
        <v>132</v>
      </c>
      <c r="AU22" s="949"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947"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951" t="s">
        <v>132</v>
      </c>
      <c r="AX22" s="949"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947"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951" t="s">
        <v>132</v>
      </c>
      <c r="BA22" s="949"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947" t="str">
        <f>IFERROR(__xludf.DUMMYFUNCTION("Iferror(IF(
  IFNA(
    FILTER(
      IMPORTRANGE($F$8,""'Sensitivity [""&amp;IF(BB$3="""",BB$2,BB$2&amp;"", ""&amp;BB$3)&amp;""]'!D1:D20""),
      IMPORTRANGE($F$8,""'Sensitivity [""&amp;IF(BB$3="""",BB$2,BB$2&amp;"", ""&amp;BB$3)&amp;""]'!A1:A20"")=$E22
    ),
    """"
  ) = """",
  "&amp;"""-"",
  BB$5 * ( 1 +
    IFNA(
      FILTER(
        IMPORTRANGE($F$8,""'Sensitivity [""&amp;IF(BB$3="""",BB$2,BB$2&amp;"", ""&amp;BB$3)&amp;""]'!D1:D20""),
        IMPORTRANGE($F$8,""'Sensitivity [""&amp;IF(BB$3="""",BB$2,BB$2&amp;"", ""&amp;BB$3)&amp;""]'!A1:A20"")=$E22
      ),
    "&amp;"  """"
    )
  )
), ""-"")
"),"-")</f>
        <v>-</v>
      </c>
      <c r="BC22" s="951" t="s">
        <v>132</v>
      </c>
      <c r="BD22" s="949" t="str">
        <f>IFERROR(__xludf.DUMMYFUNCTION("iferror(IF(
  IFNA(
    FILTER(
      IMPORTRANGE($F$8,""'Sensitivity [""&amp;IF(BB$3="""",BB$2,BB$2&amp;"", ""&amp;BB$3)&amp;""]'!E1:E20""),
      IMPORTRANGE($F$8,""'Sensitivity [""&amp;IF(BB$3="""",BB$2,BB$2&amp;"", ""&amp;BB$3)&amp;""]'!A1:A20"")=$E22
    ),
    """"
  ) = """",
  "&amp;"""-"",
  BB$5 * ( 1 +
    IFNA(
      FILTER(
        IMPORTRANGE($F$8,""'Sensitivity [""&amp;IF(BB$3="""",BB$2,BB$2&amp;"", ""&amp;BB$3)&amp;""]'!E1:E20""),
        IMPORTRANGE($F$8,""'Sensitivity [""&amp;IF(BB$3="""",BB$2,BB$2&amp;"", ""&amp;BB$3)&amp;""]'!A1:A20"")=$E22
      ),
    "&amp;"  """"
    )
  )
), ""-"")
"),"-")</f>
        <v>-</v>
      </c>
      <c r="BE22" s="947" t="str">
        <f>IFERROR(__xludf.DUMMYFUNCTION("Iferror(IF(
  IFNA(
    FILTER(
      IMPORTRANGE($F$8,""'Sensitivity [""&amp;IF(BE$3="""",BE$2,BE$2&amp;"", ""&amp;BE$3)&amp;""]'!D1:D20""),
      IMPORTRANGE($F$8,""'Sensitivity [""&amp;IF(BE$3="""",BE$2,BE$2&amp;"", ""&amp;BE$3)&amp;""]'!A1:A20"")=$E22
    ),
    """"
  ) = """",
  "&amp;"""-"",
  BE$5 * ( 1 +
    IFNA(
      FILTER(
        IMPORTRANGE($F$8,""'Sensitivity [""&amp;IF(BE$3="""",BE$2,BE$2&amp;"", ""&amp;BE$3)&amp;""]'!D1:D20""),
        IMPORTRANGE($F$8,""'Sensitivity [""&amp;IF(BE$3="""",BE$2,BE$2&amp;"", ""&amp;BE$3)&amp;""]'!A1:A20"")=$E22
      ),
    "&amp;"  """"
    )
  )
), ""-"")
"),"-")</f>
        <v>-</v>
      </c>
      <c r="BF22" s="951" t="s">
        <v>132</v>
      </c>
      <c r="BG22" s="949" t="str">
        <f>IFERROR(__xludf.DUMMYFUNCTION("iferror(IF(
  IFNA(
    FILTER(
      IMPORTRANGE($F$8,""'Sensitivity [""&amp;IF(BE$3="""",BE$2,BE$2&amp;"", ""&amp;BE$3)&amp;""]'!E1:E20""),
      IMPORTRANGE($F$8,""'Sensitivity [""&amp;IF(BE$3="""",BE$2,BE$2&amp;"", ""&amp;BE$3)&amp;""]'!A1:A20"")=$E22
    ),
    """"
  ) = """",
  "&amp;"""-"",
  BE$5 * ( 1 +
    IFNA(
      FILTER(
        IMPORTRANGE($F$8,""'Sensitivity [""&amp;IF(BE$3="""",BE$2,BE$2&amp;"", ""&amp;BE$3)&amp;""]'!E1:E20""),
        IMPORTRANGE($F$8,""'Sensitivity [""&amp;IF(BE$3="""",BE$2,BE$2&amp;"", ""&amp;BE$3)&amp;""]'!A1:A20"")=$E22
      ),
    "&amp;"  """"
    )
  )
), ""-"")
"),"-")</f>
        <v>-</v>
      </c>
      <c r="BH22" s="947" t="str">
        <f>IFERROR(__xludf.DUMMYFUNCTION("Iferror(IF(
  IFNA(
    FILTER(
      IMPORTRANGE($F$8,""'Sensitivity [""&amp;IF(BH$3="""",BH$2,BH$2&amp;"", ""&amp;BH$3)&amp;""]'!D1:D20""),
      IMPORTRANGE($F$8,""'Sensitivity [""&amp;IF(BH$3="""",BH$2,BH$2&amp;"", ""&amp;BH$3)&amp;""]'!A1:A20"")=$E22
    ),
    """"
  ) = """",
  "&amp;"""-"",
  BH$5 * ( 1 +
    IFNA(
      FILTER(
        IMPORTRANGE($F$8,""'Sensitivity [""&amp;IF(BH$3="""",BH$2,BH$2&amp;"", ""&amp;BH$3)&amp;""]'!D1:D20""),
        IMPORTRANGE($F$8,""'Sensitivity [""&amp;IF(BH$3="""",BH$2,BH$2&amp;"", ""&amp;BH$3)&amp;""]'!A1:A20"")=$E22
      ),
    "&amp;"  """"
    )
  )
), ""-"")
"),"-")</f>
        <v>-</v>
      </c>
      <c r="BI22" s="951" t="s">
        <v>132</v>
      </c>
      <c r="BJ22" s="949" t="str">
        <f>IFERROR(__xludf.DUMMYFUNCTION("iferror(IF(
  IFNA(
    FILTER(
      IMPORTRANGE($F$8,""'Sensitivity [""&amp;IF(BH$3="""",BH$2,BH$2&amp;"", ""&amp;BH$3)&amp;""]'!E1:E20""),
      IMPORTRANGE($F$8,""'Sensitivity [""&amp;IF(BH$3="""",BH$2,BH$2&amp;"", ""&amp;BH$3)&amp;""]'!A1:A20"")=$E22
    ),
    """"
  ) = """",
  "&amp;"""-"",
  BH$5 * ( 1 +
    IFNA(
      FILTER(
        IMPORTRANGE($F$8,""'Sensitivity [""&amp;IF(BH$3="""",BH$2,BH$2&amp;"", ""&amp;BH$3)&amp;""]'!E1:E20""),
        IMPORTRANGE($F$8,""'Sensitivity [""&amp;IF(BH$3="""",BH$2,BH$2&amp;"", ""&amp;BH$3)&amp;""]'!A1:A20"")=$E22
      ),
    "&amp;"  """"
    )
  )
), ""-"")
"),"-")</f>
        <v>-</v>
      </c>
      <c r="BK22" s="947" t="str">
        <f>IFERROR(__xludf.DUMMYFUNCTION("Iferror(IF(
  IFNA(
    FILTER(
      IMPORTRANGE($F$8,""'Sensitivity [""&amp;IF(BK$3="""",BK$2,BK$2&amp;"", ""&amp;BK$3)&amp;""]'!D1:D20""),
      IMPORTRANGE($F$8,""'Sensitivity [""&amp;IF(BK$3="""",BK$2,BK$2&amp;"", ""&amp;BK$3)&amp;""]'!A1:A20"")=$E22
    ),
    """"
  ) = """",
  "&amp;"""-"",
  BK$5 * ( 1 +
    IFNA(
      FILTER(
        IMPORTRANGE($F$8,""'Sensitivity [""&amp;IF(BK$3="""",BK$2,BK$2&amp;"", ""&amp;BK$3)&amp;""]'!D1:D20""),
        IMPORTRANGE($F$8,""'Sensitivity [""&amp;IF(BK$3="""",BK$2,BK$2&amp;"", ""&amp;BK$3)&amp;""]'!A1:A20"")=$E22
      ),
    "&amp;"  """"
    )
  )
), ""-"")
"),"-")</f>
        <v>-</v>
      </c>
      <c r="BL22" s="951" t="s">
        <v>132</v>
      </c>
      <c r="BM22" s="949" t="str">
        <f>IFERROR(__xludf.DUMMYFUNCTION("iferror(IF(
  IFNA(
    FILTER(
      IMPORTRANGE($F$8,""'Sensitivity [""&amp;IF(BK$3="""",BK$2,BK$2&amp;"", ""&amp;BK$3)&amp;""]'!E1:E20""),
      IMPORTRANGE($F$8,""'Sensitivity [""&amp;IF(BK$3="""",BK$2,BK$2&amp;"", ""&amp;BK$3)&amp;""]'!A1:A20"")=$E22
    ),
    """"
  ) = """",
  "&amp;"""-"",
  BK$5 * ( 1 +
    IFNA(
      FILTER(
        IMPORTRANGE($F$8,""'Sensitivity [""&amp;IF(BK$3="""",BK$2,BK$2&amp;"", ""&amp;BK$3)&amp;""]'!E1:E20""),
        IMPORTRANGE($F$8,""'Sensitivity [""&amp;IF(BK$3="""",BK$2,BK$2&amp;"", ""&amp;BK$3)&amp;""]'!A1:A20"")=$E22
      ),
    "&amp;"  """"
    )
  )
), ""-"")
"),"-")</f>
        <v>-</v>
      </c>
      <c r="BN22" s="621"/>
    </row>
    <row r="23">
      <c r="A23" s="420"/>
      <c r="B23" s="420"/>
      <c r="C23" s="420"/>
      <c r="D23" s="420"/>
      <c r="E23" s="420"/>
      <c r="F23" s="875"/>
      <c r="G23" s="875"/>
      <c r="H23" s="875"/>
      <c r="I23" s="875"/>
      <c r="J23" s="875"/>
      <c r="K23" s="875"/>
      <c r="L23" s="875"/>
      <c r="M23" s="875"/>
      <c r="N23" s="875"/>
      <c r="O23" s="875"/>
      <c r="P23" s="875"/>
      <c r="Q23" s="875"/>
      <c r="R23" s="875"/>
      <c r="S23" s="875"/>
      <c r="T23" s="875"/>
      <c r="U23" s="875"/>
      <c r="V23" s="875"/>
      <c r="W23" s="875"/>
      <c r="X23" s="875"/>
      <c r="Y23" s="875"/>
      <c r="Z23" s="875"/>
      <c r="AA23" s="875"/>
      <c r="AB23" s="875"/>
      <c r="AC23" s="875"/>
      <c r="AD23" s="875"/>
      <c r="AE23" s="875"/>
      <c r="AF23" s="875"/>
      <c r="AG23" s="875"/>
      <c r="AH23" s="875"/>
      <c r="AI23" s="875"/>
      <c r="AJ23" s="875"/>
      <c r="AK23" s="875"/>
      <c r="AL23" s="875"/>
      <c r="AM23" s="875"/>
      <c r="AN23" s="875"/>
      <c r="AO23" s="875"/>
      <c r="AP23" s="875"/>
      <c r="AQ23" s="875"/>
      <c r="AR23" s="875"/>
      <c r="AS23" s="875"/>
      <c r="AT23" s="875"/>
      <c r="AU23" s="875"/>
      <c r="AV23" s="875"/>
      <c r="AW23" s="875"/>
      <c r="AX23" s="875"/>
      <c r="AY23" s="875"/>
      <c r="AZ23" s="875"/>
      <c r="BA23" s="875"/>
      <c r="BB23" s="875"/>
      <c r="BC23" s="875"/>
      <c r="BD23" s="875"/>
      <c r="BE23" s="875"/>
      <c r="BF23" s="875"/>
      <c r="BG23" s="875"/>
      <c r="BH23" s="875"/>
      <c r="BI23" s="875"/>
      <c r="BJ23" s="875"/>
      <c r="BK23" s="875"/>
      <c r="BL23" s="875"/>
      <c r="BM23" s="875"/>
      <c r="BN23" s="64"/>
    </row>
    <row r="24">
      <c r="A24" s="953" t="s">
        <v>582</v>
      </c>
      <c r="B24" s="6"/>
      <c r="C24" s="6"/>
      <c r="D24" s="6"/>
      <c r="E24" s="6"/>
      <c r="F24" s="954"/>
      <c r="G24" s="938"/>
      <c r="H24" s="955"/>
      <c r="I24" s="954"/>
      <c r="J24" s="938"/>
      <c r="K24" s="955"/>
      <c r="L24" s="954"/>
      <c r="M24" s="938"/>
      <c r="N24" s="955"/>
      <c r="O24" s="954"/>
      <c r="P24" s="938"/>
      <c r="Q24" s="955"/>
      <c r="R24" s="954"/>
      <c r="S24" s="938"/>
      <c r="T24" s="955"/>
      <c r="U24" s="954"/>
      <c r="V24" s="938"/>
      <c r="W24" s="955"/>
      <c r="X24" s="954"/>
      <c r="Y24" s="938"/>
      <c r="Z24" s="955"/>
      <c r="AA24" s="954"/>
      <c r="AB24" s="938"/>
      <c r="AC24" s="955"/>
      <c r="AD24" s="954"/>
      <c r="AE24" s="938"/>
      <c r="AF24" s="955"/>
      <c r="AG24" s="954"/>
      <c r="AH24" s="938"/>
      <c r="AI24" s="955"/>
      <c r="AJ24" s="954"/>
      <c r="AK24" s="938"/>
      <c r="AL24" s="955"/>
      <c r="AM24" s="954"/>
      <c r="AN24" s="938"/>
      <c r="AO24" s="955"/>
      <c r="AP24" s="954"/>
      <c r="AQ24" s="938"/>
      <c r="AR24" s="955"/>
      <c r="AS24" s="954"/>
      <c r="AT24" s="938"/>
      <c r="AU24" s="955"/>
      <c r="AV24" s="954"/>
      <c r="AW24" s="938"/>
      <c r="AX24" s="955"/>
      <c r="AY24" s="954"/>
      <c r="AZ24" s="938"/>
      <c r="BA24" s="955"/>
      <c r="BB24" s="954"/>
      <c r="BC24" s="938"/>
      <c r="BD24" s="955"/>
      <c r="BE24" s="954"/>
      <c r="BF24" s="938"/>
      <c r="BG24" s="955"/>
      <c r="BH24" s="954"/>
      <c r="BI24" s="938"/>
      <c r="BJ24" s="955"/>
      <c r="BK24" s="954"/>
      <c r="BL24" s="938"/>
      <c r="BM24" s="955"/>
      <c r="BN24" s="820"/>
    </row>
    <row r="25">
      <c r="A25" s="928"/>
      <c r="B25" s="420"/>
      <c r="C25" s="420"/>
      <c r="D25" s="420"/>
      <c r="E25" s="584" t="s">
        <v>567</v>
      </c>
      <c r="F25" s="947">
        <f>IFERROR(__xludf.DUMMYFUNCTION("IFERROR(FILTER(IMPORTRANGE($F$8,""'Results [""&amp;if(F$3="""",F$2,F$2&amp;"", ""&amp;F$3)&amp;""]'!B1:B10""), IMPORTRANGE($F$8,""'Results [""&amp;if(F$3="""",F$2,F$2&amp;"", ""&amp;F$3)&amp;""]'!A1:A10"")=""25th Pctl""), ""-"")"),5.52725273360297)</f>
        <v>5.527252734</v>
      </c>
      <c r="G25" s="951" t="s">
        <v>132</v>
      </c>
      <c r="H25" s="949">
        <f>IFERROR(__xludf.DUMMYFUNCTION("IFERROR(FILTER(IMPORTRANGE($F$8,""'Results [""&amp;if(F$3="""",F$2,F$2&amp;"", ""&amp;F$3)&amp;""]'!B1:B10""), IMPORTRANGE($F$8,""'Results [""&amp;if(F$3="""",F$2,F$2&amp;"", ""&amp;F$3)&amp;""]'!A1:A10"")=""75th Pctl""), ""-"")"),19.380627683497025)</f>
        <v>19.38062768</v>
      </c>
      <c r="I25" s="947">
        <f>IFERROR(__xludf.DUMMYFUNCTION("IFERROR(FILTER(IMPORTRANGE($F$8,""'Results [""&amp;if(I$3="""",I$2,I$2&amp;"", ""&amp;I$3)&amp;""]'!B1:B10""), IMPORTRANGE($F$8,""'Results [""&amp;if(I$3="""",I$2,I$2&amp;"", ""&amp;I$3)&amp;""]'!A1:A10"")=""25th Pctl""), ""-"")"),6.676375594595389)</f>
        <v>6.676375595</v>
      </c>
      <c r="J25" s="951" t="s">
        <v>132</v>
      </c>
      <c r="K25" s="949">
        <f>IFERROR(__xludf.DUMMYFUNCTION("IFERROR(FILTER(IMPORTRANGE($F$8,""'Results [""&amp;if(I$3="""",I$2,I$2&amp;"", ""&amp;I$3)&amp;""]'!B1:B10""), IMPORTRANGE($F$8,""'Results [""&amp;if(I$3="""",I$2,I$2&amp;"", ""&amp;I$3)&amp;""]'!A1:A10"")=""75th Pctl""), ""-"")"),20.909950086063713)</f>
        <v>20.90995009</v>
      </c>
      <c r="L25" s="947">
        <f>IFERROR(__xludf.DUMMYFUNCTION("IFERROR(FILTER(IMPORTRANGE($F$8,""'Results [""&amp;if(L$3="""",L$2,L$2&amp;"", ""&amp;L$3)&amp;""]'!B1:B10""), IMPORTRANGE($F$8,""'Results [""&amp;if(L$3="""",L$2,L$2&amp;"", ""&amp;L$3)&amp;""]'!A1:A10"")=""25th Pctl""), ""-"")"),3.7536351598294972)</f>
        <v>3.75363516</v>
      </c>
      <c r="M25" s="951" t="s">
        <v>132</v>
      </c>
      <c r="N25" s="949">
        <f>IFERROR(__xludf.DUMMYFUNCTION("IFERROR(FILTER(IMPORTRANGE($F$8,""'Results [""&amp;if(L$3="""",L$2,L$2&amp;"", ""&amp;L$3)&amp;""]'!B1:B10""), IMPORTRANGE($F$8,""'Results [""&amp;if(L$3="""",L$2,L$2&amp;"", ""&amp;L$3)&amp;""]'!A1:A10"")=""75th Pctl""), ""-"")"),12.563056435649084)</f>
        <v>12.56305644</v>
      </c>
      <c r="O25" s="947" t="str">
        <f>IFERROR(__xludf.DUMMYFUNCTION("IFERROR(FILTER(IMPORTRANGE($F$8,""'Results [""&amp;if(O$3="""",O$2,O$2&amp;"", ""&amp;O$3)&amp;""]'!B1:B10""), IMPORTRANGE($F$8,""'Results [""&amp;if(O$3="""",O$2,O$2&amp;"", ""&amp;O$3)&amp;""]'!A1:A10"")=""25th Pctl""), ""-"")"),"-")</f>
        <v>-</v>
      </c>
      <c r="P25" s="951" t="s">
        <v>132</v>
      </c>
      <c r="Q25" s="949" t="str">
        <f>IFERROR(__xludf.DUMMYFUNCTION("IFERROR(FILTER(IMPORTRANGE($F$8,""'Results [""&amp;if(O$3="""",O$2,O$2&amp;"", ""&amp;O$3)&amp;""]'!B1:B10""), IMPORTRANGE($F$8,""'Results [""&amp;if(O$3="""",O$2,O$2&amp;"", ""&amp;O$3)&amp;""]'!A1:A10"")=""75th Pctl""), ""-"")"),"-")</f>
        <v>-</v>
      </c>
      <c r="R25" s="947" t="str">
        <f>IFERROR(__xludf.DUMMYFUNCTION("IFERROR(FILTER(IMPORTRANGE($F$8,""'Results [""&amp;if(R$3="""",R$2,R$2&amp;"", ""&amp;R$3)&amp;""]'!B1:B10""), IMPORTRANGE($F$8,""'Results [""&amp;if(R$3="""",R$2,R$2&amp;"", ""&amp;R$3)&amp;""]'!A1:A10"")=""25th Pctl""), ""-"")"),"-")</f>
        <v>-</v>
      </c>
      <c r="S25" s="951" t="s">
        <v>132</v>
      </c>
      <c r="T25" s="949" t="str">
        <f>IFERROR(__xludf.DUMMYFUNCTION("IFERROR(FILTER(IMPORTRANGE($F$8,""'Results [""&amp;if(R$3="""",R$2,R$2&amp;"", ""&amp;R$3)&amp;""]'!B1:B10""), IMPORTRANGE($F$8,""'Results [""&amp;if(R$3="""",R$2,R$2&amp;"", ""&amp;R$3)&amp;""]'!A1:A10"")=""75th Pctl""), ""-"")"),"-")</f>
        <v>-</v>
      </c>
      <c r="U25" s="947" t="str">
        <f>IFERROR(__xludf.DUMMYFUNCTION("IFERROR(FILTER(IMPORTRANGE($F$8,""'Results [""&amp;if(U$3="""",U$2,U$2&amp;"", ""&amp;U$3)&amp;""]'!B1:B10""), IMPORTRANGE($F$8,""'Results [""&amp;if(U$3="""",U$2,U$2&amp;"", ""&amp;U$3)&amp;""]'!A1:A10"")=""25th Pctl""), ""-"")"),"-")</f>
        <v>-</v>
      </c>
      <c r="V25" s="951" t="s">
        <v>132</v>
      </c>
      <c r="W25" s="949" t="str">
        <f>IFERROR(__xludf.DUMMYFUNCTION("IFERROR(FILTER(IMPORTRANGE($F$8,""'Results [""&amp;if(U$3="""",U$2,U$2&amp;"", ""&amp;U$3)&amp;""]'!B1:B10""), IMPORTRANGE($F$8,""'Results [""&amp;if(U$3="""",U$2,U$2&amp;"", ""&amp;U$3)&amp;""]'!A1:A10"")=""75th Pctl""), ""-"")"),"-")</f>
        <v>-</v>
      </c>
      <c r="X25" s="947" t="str">
        <f>IFERROR(__xludf.DUMMYFUNCTION("IFERROR(FILTER(IMPORTRANGE($F$8,""'Results [""&amp;if(X$3="""",X$2,X$2&amp;"", ""&amp;X$3)&amp;""]'!B1:B10""), IMPORTRANGE($F$8,""'Results [""&amp;if(X$3="""",X$2,X$2&amp;"", ""&amp;X$3)&amp;""]'!A1:A10"")=""25th Pctl""), ""-"")"),"-")</f>
        <v>-</v>
      </c>
      <c r="Y25" s="951" t="s">
        <v>132</v>
      </c>
      <c r="Z25" s="949" t="str">
        <f>IFERROR(__xludf.DUMMYFUNCTION("IFERROR(FILTER(IMPORTRANGE($F$8,""'Results [""&amp;if(X$3="""",X$2,X$2&amp;"", ""&amp;X$3)&amp;""]'!B1:B10""), IMPORTRANGE($F$8,""'Results [""&amp;if(X$3="""",X$2,X$2&amp;"", ""&amp;X$3)&amp;""]'!A1:A10"")=""75th Pctl""), ""-"")"),"-")</f>
        <v>-</v>
      </c>
      <c r="AA25" s="947">
        <f>IFERROR(__xludf.DUMMYFUNCTION("IFERROR(FILTER(IMPORTRANGE($F$8,""'Results [""&amp;if(AA$3="""",AA$2,AA$2&amp;"", ""&amp;AA$3)&amp;""]'!B1:B10""), IMPORTRANGE($F$8,""'Results [""&amp;if(AA$3="""",AA$2,AA$2&amp;"", ""&amp;AA$3)&amp;""]'!A1:A10"")=""25th Pctl""), ""-"")"),2.904322696953713)</f>
        <v>2.904322697</v>
      </c>
      <c r="AB25" s="951" t="s">
        <v>132</v>
      </c>
      <c r="AC25" s="949">
        <f>IFERROR(__xludf.DUMMYFUNCTION("IFERROR(FILTER(IMPORTRANGE($F$8,""'Results [""&amp;if(AA$3="""",AA$2,AA$2&amp;"", ""&amp;AA$3)&amp;""]'!B1:B10""), IMPORTRANGE($F$8,""'Results [""&amp;if(AA$3="""",AA$2,AA$2&amp;"", ""&amp;AA$3)&amp;""]'!A1:A10"")=""75th Pctl""), ""-"")"),11.705928022447914)</f>
        <v>11.70592802</v>
      </c>
      <c r="AD25" s="947">
        <f>IFERROR(__xludf.DUMMYFUNCTION("IFERROR(FILTER(IMPORTRANGE($F$8,""'Results [""&amp;if(AD$3="""",AD$2,AD$2&amp;"", ""&amp;AD$3)&amp;""]'!B1:B10""), IMPORTRANGE($F$8,""'Results [""&amp;if(AD$3="""",AD$2,AD$2&amp;"", ""&amp;AD$3)&amp;""]'!A1:A10"")=""25th Pctl""), ""-"")"),22.320784400969906)</f>
        <v>22.3207844</v>
      </c>
      <c r="AE25" s="951" t="s">
        <v>132</v>
      </c>
      <c r="AF25" s="949">
        <f>IFERROR(__xludf.DUMMYFUNCTION("IFERROR(FILTER(IMPORTRANGE($F$8,""'Results [""&amp;if(AD$3="""",AD$2,AD$2&amp;"", ""&amp;AD$3)&amp;""]'!B1:B10""), IMPORTRANGE($F$8,""'Results [""&amp;if(AD$3="""",AD$2,AD$2&amp;"", ""&amp;AD$3)&amp;""]'!A1:A10"")=""75th Pctl""), ""-"")"),70.65243965452669)</f>
        <v>70.65243965</v>
      </c>
      <c r="AG25" s="947">
        <f>IFERROR(__xludf.DUMMYFUNCTION("IFERROR(FILTER(IMPORTRANGE($F$8,""'Results [""&amp;if(AG$3="""",AG$2,AG$2&amp;"", ""&amp;AG$3)&amp;""]'!B1:B10""), IMPORTRANGE($F$8,""'Results [""&amp;if(AG$3="""",AG$2,AG$2&amp;"", ""&amp;AG$3)&amp;""]'!A1:A10"")=""25th Pctl""), ""-"")"),28.70423229350252)</f>
        <v>28.70423229</v>
      </c>
      <c r="AH25" s="951" t="s">
        <v>132</v>
      </c>
      <c r="AI25" s="949">
        <f>IFERROR(__xludf.DUMMYFUNCTION("IFERROR(FILTER(IMPORTRANGE($F$8,""'Results [""&amp;if(AG$3="""",AG$2,AG$2&amp;"", ""&amp;AG$3)&amp;""]'!B1:B10""), IMPORTRANGE($F$8,""'Results [""&amp;if(AG$3="""",AG$2,AG$2&amp;"", ""&amp;AG$3)&amp;""]'!A1:A10"")=""75th Pctl""), ""-"")"),80.9856519028278)</f>
        <v>80.9856519</v>
      </c>
      <c r="AJ25" s="947">
        <f>IFERROR(__xludf.DUMMYFUNCTION("IFERROR(FILTER(IMPORTRANGE($F$8,""'Results [""&amp;if(AJ$3="""",AJ$2,AJ$2&amp;"", ""&amp;AJ$3)&amp;""]'!B1:B10""), IMPORTRANGE($F$8,""'Results [""&amp;if(AJ$3="""",AJ$2,AJ$2&amp;"", ""&amp;AJ$3)&amp;""]'!A1:A10"")=""25th Pctl""), ""-"")"),7.400095160239325)</f>
        <v>7.40009516</v>
      </c>
      <c r="AK25" s="951" t="s">
        <v>132</v>
      </c>
      <c r="AL25" s="949">
        <f>IFERROR(__xludf.DUMMYFUNCTION("IFERROR(FILTER(IMPORTRANGE($F$8,""'Results [""&amp;if(AJ$3="""",AJ$2,AJ$2&amp;"", ""&amp;AJ$3)&amp;""]'!B1:B10""), IMPORTRANGE($F$8,""'Results [""&amp;if(AJ$3="""",AJ$2,AJ$2&amp;"", ""&amp;AJ$3)&amp;""]'!A1:A10"")=""75th Pctl""), ""-"")"),21.986405794656186)</f>
        <v>21.98640579</v>
      </c>
      <c r="AM25" s="947">
        <f>IFERROR(__xludf.DUMMYFUNCTION("IFERROR(FILTER(IMPORTRANGE($F$8,""'Results [""&amp;if(AM$3="""",AM$2,AM$2&amp;"", ""&amp;AM$3)&amp;""]'!B1:B10""), IMPORTRANGE($F$8,""'Results [""&amp;if(AM$3="""",AM$2,AM$2&amp;"", ""&amp;AM$3)&amp;""]'!A1:A10"")=""25th Pctl""), ""-"")"),29.79094231950623)</f>
        <v>29.79094232</v>
      </c>
      <c r="AN25" s="951" t="s">
        <v>132</v>
      </c>
      <c r="AO25" s="949">
        <f>IFERROR(__xludf.DUMMYFUNCTION("IFERROR(FILTER(IMPORTRANGE($F$8,""'Results [""&amp;if(AM$3="""",AM$2,AM$2&amp;"", ""&amp;AM$3)&amp;""]'!B1:B10""), IMPORTRANGE($F$8,""'Results [""&amp;if(AM$3="""",AM$2,AM$2&amp;"", ""&amp;AM$3)&amp;""]'!A1:A10"")=""75th Pctl""), ""-"")"),90.01568359249963)</f>
        <v>90.01568359</v>
      </c>
      <c r="AP25" s="947">
        <f>IFERROR(__xludf.DUMMYFUNCTION("IFERROR(FILTER(IMPORTRANGE($F$8,""'Results [""&amp;if(AP$3="""",AP$2,AP$2&amp;"", ""&amp;AP$3)&amp;""]'!B1:B10""), IMPORTRANGE($F$8,""'Results [""&amp;if(AP$3="""",AP$2,AP$2&amp;"", ""&amp;AP$3)&amp;""]'!A1:A10"")=""25th Pctl""), ""-"")"),14.200784241760768)</f>
        <v>14.20078424</v>
      </c>
      <c r="AQ25" s="951" t="s">
        <v>132</v>
      </c>
      <c r="AR25" s="949">
        <f>IFERROR(__xludf.DUMMYFUNCTION("IFERROR(FILTER(IMPORTRANGE($F$8,""'Results [""&amp;if(AP$3="""",AP$2,AP$2&amp;"", ""&amp;AP$3)&amp;""]'!B1:B10""), IMPORTRANGE($F$8,""'Results [""&amp;if(AP$3="""",AP$2,AP$2&amp;"", ""&amp;AP$3)&amp;""]'!A1:A10"")=""75th Pctl""), ""-"")"),41.0233894195945)</f>
        <v>41.02338942</v>
      </c>
      <c r="AS25" s="947">
        <f>IFERROR(__xludf.DUMMYFUNCTION("IFERROR(FILTER(IMPORTRANGE($F$8,""'Results [""&amp;if(AS$3="""",AS$2,AS$2&amp;"", ""&amp;AS$3)&amp;""]'!B1:B10""), IMPORTRANGE($F$8,""'Results [""&amp;if(AS$3="""",AS$2,AS$2&amp;"", ""&amp;AS$3)&amp;""]'!A1:A10"")=""25th Pctl""), ""-"")"),13.198197756059674)</f>
        <v>13.19819776</v>
      </c>
      <c r="AT25" s="951" t="s">
        <v>132</v>
      </c>
      <c r="AU25" s="949">
        <f>IFERROR(__xludf.DUMMYFUNCTION("IFERROR(FILTER(IMPORTRANGE($F$8,""'Results [""&amp;if(AS$3="""",AS$2,AS$2&amp;"", ""&amp;AS$3)&amp;""]'!B1:B10""), IMPORTRANGE($F$8,""'Results [""&amp;if(AS$3="""",AS$2,AS$2&amp;"", ""&amp;AS$3)&amp;""]'!A1:A10"")=""75th Pctl""), ""-"")"),38.65933171930725)</f>
        <v>38.65933172</v>
      </c>
      <c r="AV25" s="947">
        <f>IFERROR(__xludf.DUMMYFUNCTION("IFERROR(FILTER(IMPORTRANGE($F$8,""'Results [""&amp;if(AV$3="""",AV$2,AV$2&amp;"", ""&amp;AV$3)&amp;""]'!B1:B10""), IMPORTRANGE($F$8,""'Results [""&amp;if(AV$3="""",AV$2,AV$2&amp;"", ""&amp;AV$3)&amp;""]'!A1:A10"")=""25th Pctl""), ""-"")"),8.665054703959989)</f>
        <v>8.665054704</v>
      </c>
      <c r="AW25" s="951" t="s">
        <v>132</v>
      </c>
      <c r="AX25" s="949">
        <f>IFERROR(__xludf.DUMMYFUNCTION("IFERROR(FILTER(IMPORTRANGE($F$8,""'Results [""&amp;if(AV$3="""",AV$2,AV$2&amp;"", ""&amp;AV$3)&amp;""]'!B1:B10""), IMPORTRANGE($F$8,""'Results [""&amp;if(AV$3="""",AV$2,AV$2&amp;"", ""&amp;AV$3)&amp;""]'!A1:A10"")=""75th Pctl""), ""-"")"),24.05257973738057)</f>
        <v>24.05257974</v>
      </c>
      <c r="AY25" s="947">
        <f>IFERROR(__xludf.DUMMYFUNCTION("IFERROR(FILTER(IMPORTRANGE($F$8,""'Results [""&amp;if(AY$3="""",AY$2,AY$2&amp;"", ""&amp;AY$3)&amp;""]'!B1:B10""), IMPORTRANGE($F$8,""'Results [""&amp;if(AY$3="""",AY$2,AY$2&amp;"", ""&amp;AY$3)&amp;""]'!A1:A10"")=""25th Pctl""), ""-"")"),12.219259836913531)</f>
        <v>12.21925984</v>
      </c>
      <c r="AZ25" s="951" t="s">
        <v>132</v>
      </c>
      <c r="BA25" s="949">
        <f>IFERROR(__xludf.DUMMYFUNCTION("IFERROR(FILTER(IMPORTRANGE($F$8,""'Results [""&amp;if(AY$3="""",AY$2,AY$2&amp;"", ""&amp;AY$3)&amp;""]'!B1:B10""), IMPORTRANGE($F$8,""'Results [""&amp;if(AY$3="""",AY$2,AY$2&amp;"", ""&amp;AY$3)&amp;""]'!A1:A10"")=""75th Pctl""), ""-"")"),35.688465575820906)</f>
        <v>35.68846558</v>
      </c>
      <c r="BB25" s="947">
        <f>IFERROR(__xludf.DUMMYFUNCTION("IFERROR(FILTER(IMPORTRANGE($F$8,""'Results [""&amp;if(BB$3="""",BB$2,BB$2&amp;"", ""&amp;BB$3)&amp;""]'!B1:B10""), IMPORTRANGE($F$8,""'Results [""&amp;if(BB$3="""",BB$2,BB$2&amp;"", ""&amp;BB$3)&amp;""]'!A1:A10"")=""25th Pctl""), ""-"")"),27.835630480073533)</f>
        <v>27.83563048</v>
      </c>
      <c r="BC25" s="951" t="s">
        <v>132</v>
      </c>
      <c r="BD25" s="949">
        <f>IFERROR(__xludf.DUMMYFUNCTION("IFERROR(FILTER(IMPORTRANGE($F$8,""'Results [""&amp;if(BB$3="""",BB$2,BB$2&amp;"", ""&amp;BB$3)&amp;""]'!B1:B10""), IMPORTRANGE($F$8,""'Results [""&amp;if(BB$3="""",BB$2,BB$2&amp;"", ""&amp;BB$3)&amp;""]'!A1:A10"")=""75th Pctl""), ""-"")"),79.4843897325145)</f>
        <v>79.48438973</v>
      </c>
      <c r="BE25" s="947">
        <f>IFERROR(__xludf.DUMMYFUNCTION("IFERROR(FILTER(IMPORTRANGE($F$8,""'Results [""&amp;if(BE$3="""",BE$2,BE$2&amp;"", ""&amp;BE$3)&amp;""]'!B1:B10""), IMPORTRANGE($F$8,""'Results [""&amp;if(BE$3="""",BE$2,BE$2&amp;"", ""&amp;BE$3)&amp;""]'!A1:A10"")=""25th Pctl""), ""-"")"),1.9097668951101334)</f>
        <v>1.909766895</v>
      </c>
      <c r="BF25" s="951" t="s">
        <v>132</v>
      </c>
      <c r="BG25" s="949">
        <f>IFERROR(__xludf.DUMMYFUNCTION("IFERROR(FILTER(IMPORTRANGE($F$8,""'Results [""&amp;if(BE$3="""",BE$2,BE$2&amp;"", ""&amp;BE$3)&amp;""]'!B1:B10""), IMPORTRANGE($F$8,""'Results [""&amp;if(BE$3="""",BE$2,BE$2&amp;"", ""&amp;BE$3)&amp;""]'!A1:A10"")=""75th Pctl""), ""-"")"),6.855706514144067)</f>
        <v>6.855706514</v>
      </c>
      <c r="BH25" s="947">
        <f>IFERROR(__xludf.DUMMYFUNCTION("IFERROR(FILTER(IMPORTRANGE($F$8,""'Results [""&amp;if(BH$3="""",BH$2,BH$2&amp;"", ""&amp;BH$3)&amp;""]'!B1:B10""), IMPORTRANGE($F$8,""'Results [""&amp;if(BH$3="""",BH$2,BH$2&amp;"", ""&amp;BH$3)&amp;""]'!A1:A10"")=""25th Pctl""), ""-"")"),2.9909860941722797)</f>
        <v>2.990986094</v>
      </c>
      <c r="BI25" s="951" t="s">
        <v>132</v>
      </c>
      <c r="BJ25" s="949">
        <f>IFERROR(__xludf.DUMMYFUNCTION("IFERROR(FILTER(IMPORTRANGE($F$8,""'Results [""&amp;if(BH$3="""",BH$2,BH$2&amp;"", ""&amp;BH$3)&amp;""]'!B1:B10""), IMPORTRANGE($F$8,""'Results [""&amp;if(BH$3="""",BH$2,BH$2&amp;"", ""&amp;BH$3)&amp;""]'!A1:A10"")=""75th Pctl""), ""-"")"),12.307765186263056)</f>
        <v>12.30776519</v>
      </c>
      <c r="BK25" s="947">
        <f>IFERROR(__xludf.DUMMYFUNCTION("IFERROR(FILTER(IMPORTRANGE($F$8,""'Results [""&amp;if(BK$3="""",BK$2,BK$2&amp;"", ""&amp;BK$3)&amp;""]'!B1:B10""), IMPORTRANGE($F$8,""'Results [""&amp;if(BK$3="""",BK$2,BK$2&amp;"", ""&amp;BK$3)&amp;""]'!A1:A10"")=""25th Pctl""), ""-"")"),2.30817094131887)</f>
        <v>2.308170941</v>
      </c>
      <c r="BL25" s="951" t="s">
        <v>132</v>
      </c>
      <c r="BM25" s="949">
        <f>IFERROR(__xludf.DUMMYFUNCTION("IFERROR(FILTER(IMPORTRANGE($F$8,""'Results [""&amp;if(BK$3="""",BK$2,BK$2&amp;"", ""&amp;BK$3)&amp;""]'!B1:B10""), IMPORTRANGE($F$8,""'Results [""&amp;if(BK$3="""",BK$2,BK$2&amp;"", ""&amp;BK$3)&amp;""]'!A1:A10"")=""75th Pctl""), ""-"")"),9.397773060276595)</f>
        <v>9.39777306</v>
      </c>
      <c r="BN25" s="621"/>
    </row>
    <row r="26">
      <c r="A26" s="420"/>
      <c r="B26" s="420"/>
      <c r="C26" s="420"/>
      <c r="D26" s="420"/>
      <c r="E26" s="420"/>
      <c r="F26" s="941"/>
      <c r="G26" s="875"/>
      <c r="H26" s="941"/>
      <c r="I26" s="941"/>
      <c r="J26" s="875"/>
      <c r="K26" s="941"/>
      <c r="L26" s="941"/>
      <c r="M26" s="875"/>
      <c r="N26" s="941"/>
      <c r="O26" s="941"/>
      <c r="P26" s="875"/>
      <c r="Q26" s="941"/>
      <c r="R26" s="941"/>
      <c r="S26" s="875"/>
      <c r="T26" s="941"/>
      <c r="U26" s="941"/>
      <c r="V26" s="875"/>
      <c r="W26" s="941"/>
      <c r="X26" s="941"/>
      <c r="Y26" s="875"/>
      <c r="Z26" s="941"/>
      <c r="AA26" s="941"/>
      <c r="AB26" s="875"/>
      <c r="AC26" s="941"/>
      <c r="AD26" s="941"/>
      <c r="AE26" s="875"/>
      <c r="AF26" s="941"/>
      <c r="AG26" s="941"/>
      <c r="AH26" s="875"/>
      <c r="AI26" s="941"/>
      <c r="AJ26" s="941"/>
      <c r="AK26" s="875"/>
      <c r="AL26" s="941"/>
      <c r="AM26" s="941"/>
      <c r="AN26" s="875"/>
      <c r="AO26" s="941"/>
      <c r="AP26" s="941"/>
      <c r="AQ26" s="875"/>
      <c r="AR26" s="941"/>
      <c r="AS26" s="941"/>
      <c r="AT26" s="875"/>
      <c r="AU26" s="941"/>
      <c r="AV26" s="941"/>
      <c r="AW26" s="875"/>
      <c r="AX26" s="941"/>
      <c r="AY26" s="941"/>
      <c r="AZ26" s="875"/>
      <c r="BA26" s="941"/>
      <c r="BB26" s="941"/>
      <c r="BC26" s="875"/>
      <c r="BD26" s="941"/>
      <c r="BE26" s="956"/>
      <c r="BF26" s="957"/>
      <c r="BG26" s="941"/>
      <c r="BH26" s="941"/>
      <c r="BI26" s="875"/>
      <c r="BJ26" s="941"/>
      <c r="BK26" s="941"/>
      <c r="BL26" s="875"/>
      <c r="BM26" s="941"/>
      <c r="BN26" s="64"/>
    </row>
    <row r="27">
      <c r="A27" s="817" t="s">
        <v>576</v>
      </c>
      <c r="B27" s="6"/>
      <c r="C27" s="6"/>
      <c r="D27" s="6"/>
      <c r="E27" s="6"/>
      <c r="F27" s="818"/>
      <c r="G27" s="819"/>
      <c r="H27" s="820"/>
      <c r="I27" s="818"/>
      <c r="J27" s="819"/>
      <c r="K27" s="820"/>
      <c r="L27" s="819"/>
      <c r="M27" s="819"/>
      <c r="N27" s="819"/>
      <c r="O27" s="818"/>
      <c r="P27" s="819"/>
      <c r="Q27" s="820"/>
      <c r="R27" s="818"/>
      <c r="S27" s="819"/>
      <c r="T27" s="820"/>
      <c r="U27" s="818"/>
      <c r="V27" s="819"/>
      <c r="W27" s="820"/>
      <c r="X27" s="818"/>
      <c r="Y27" s="819"/>
      <c r="Z27" s="820"/>
      <c r="AA27" s="818"/>
      <c r="AB27" s="819"/>
      <c r="AC27" s="820"/>
      <c r="AD27" s="818"/>
      <c r="AE27" s="819"/>
      <c r="AF27" s="820"/>
      <c r="AG27" s="818"/>
      <c r="AH27" s="819"/>
      <c r="AI27" s="820"/>
      <c r="AJ27" s="818"/>
      <c r="AK27" s="819"/>
      <c r="AL27" s="820"/>
      <c r="AM27" s="818"/>
      <c r="AN27" s="819"/>
      <c r="AO27" s="820"/>
      <c r="AP27" s="818"/>
      <c r="AQ27" s="819"/>
      <c r="AR27" s="820"/>
      <c r="AS27" s="818"/>
      <c r="AT27" s="819"/>
      <c r="AU27" s="820"/>
      <c r="AV27" s="818"/>
      <c r="AW27" s="819"/>
      <c r="AX27" s="820"/>
      <c r="AY27" s="818"/>
      <c r="AZ27" s="819"/>
      <c r="BA27" s="820"/>
      <c r="BB27" s="818"/>
      <c r="BC27" s="819"/>
      <c r="BD27" s="820"/>
      <c r="BE27" s="819"/>
      <c r="BF27" s="819"/>
      <c r="BG27" s="819"/>
      <c r="BH27" s="818"/>
      <c r="BI27" s="819"/>
      <c r="BJ27" s="820"/>
      <c r="BK27" s="818"/>
      <c r="BL27" s="819"/>
      <c r="BM27" s="820"/>
      <c r="BN27" s="820"/>
    </row>
    <row r="28">
      <c r="A28" s="958"/>
      <c r="B28" s="959"/>
      <c r="C28" s="959"/>
      <c r="D28" s="959"/>
      <c r="E28" s="960" t="s">
        <v>303</v>
      </c>
      <c r="F28" s="961" t="s">
        <v>132</v>
      </c>
      <c r="G28" s="962">
        <v>1000000.0</v>
      </c>
      <c r="H28" s="963" t="s">
        <v>132</v>
      </c>
      <c r="I28" s="961" t="s">
        <v>132</v>
      </c>
      <c r="J28" s="962">
        <v>1000000.0</v>
      </c>
      <c r="K28" s="963" t="s">
        <v>132</v>
      </c>
      <c r="L28" s="961" t="s">
        <v>132</v>
      </c>
      <c r="M28" s="962">
        <v>1000000.0</v>
      </c>
      <c r="N28" s="963" t="s">
        <v>132</v>
      </c>
      <c r="O28" s="964"/>
      <c r="P28" s="965"/>
      <c r="Q28" s="966"/>
      <c r="R28" s="964"/>
      <c r="S28" s="965"/>
      <c r="T28" s="966"/>
      <c r="U28" s="964"/>
      <c r="V28" s="965"/>
      <c r="W28" s="966"/>
      <c r="X28" s="964"/>
      <c r="Y28" s="965"/>
      <c r="Z28" s="966"/>
      <c r="AA28" s="961" t="s">
        <v>132</v>
      </c>
      <c r="AB28" s="962">
        <v>1000000.0</v>
      </c>
      <c r="AC28" s="963" t="s">
        <v>132</v>
      </c>
      <c r="AD28" s="961" t="s">
        <v>132</v>
      </c>
      <c r="AE28" s="962">
        <v>1000000.0</v>
      </c>
      <c r="AF28" s="963" t="s">
        <v>132</v>
      </c>
      <c r="AG28" s="961" t="s">
        <v>132</v>
      </c>
      <c r="AH28" s="962">
        <v>1000000.0</v>
      </c>
      <c r="AI28" s="963" t="s">
        <v>132</v>
      </c>
      <c r="AJ28" s="961" t="s">
        <v>132</v>
      </c>
      <c r="AK28" s="962">
        <v>1000000.0</v>
      </c>
      <c r="AL28" s="963" t="s">
        <v>132</v>
      </c>
      <c r="AM28" s="961" t="s">
        <v>132</v>
      </c>
      <c r="AN28" s="962">
        <v>1000000.0</v>
      </c>
      <c r="AO28" s="963" t="s">
        <v>132</v>
      </c>
      <c r="AP28" s="961" t="s">
        <v>132</v>
      </c>
      <c r="AQ28" s="962">
        <v>1000000.0</v>
      </c>
      <c r="AR28" s="963" t="s">
        <v>132</v>
      </c>
      <c r="AS28" s="961" t="s">
        <v>132</v>
      </c>
      <c r="AT28" s="962">
        <v>1000000.0</v>
      </c>
      <c r="AU28" s="963" t="s">
        <v>132</v>
      </c>
      <c r="AV28" s="961" t="s">
        <v>132</v>
      </c>
      <c r="AW28" s="962">
        <v>1000000.0</v>
      </c>
      <c r="AX28" s="963" t="s">
        <v>132</v>
      </c>
      <c r="AY28" s="961" t="s">
        <v>132</v>
      </c>
      <c r="AZ28" s="962">
        <v>1000000.0</v>
      </c>
      <c r="BA28" s="963" t="s">
        <v>132</v>
      </c>
      <c r="BB28" s="961" t="s">
        <v>132</v>
      </c>
      <c r="BC28" s="962">
        <v>1000000.0</v>
      </c>
      <c r="BD28" s="963" t="s">
        <v>132</v>
      </c>
      <c r="BE28" s="961" t="s">
        <v>132</v>
      </c>
      <c r="BF28" s="962">
        <v>1000000.0</v>
      </c>
      <c r="BG28" s="963" t="s">
        <v>132</v>
      </c>
      <c r="BH28" s="961" t="s">
        <v>132</v>
      </c>
      <c r="BI28" s="962">
        <v>1000000.0</v>
      </c>
      <c r="BJ28" s="963" t="s">
        <v>132</v>
      </c>
      <c r="BK28" s="961" t="s">
        <v>132</v>
      </c>
      <c r="BL28" s="962">
        <v>1000000.0</v>
      </c>
      <c r="BM28" s="963" t="s">
        <v>132</v>
      </c>
      <c r="BN28" s="966"/>
    </row>
    <row r="29">
      <c r="A29" s="63"/>
      <c r="B29" s="64"/>
      <c r="C29" s="420"/>
      <c r="D29" s="420"/>
      <c r="E29" s="775" t="s">
        <v>543</v>
      </c>
      <c r="F29" s="908">
        <f>'Confidence intervals'!F26</f>
        <v>5.69956124</v>
      </c>
      <c r="G29" s="909">
        <f>'Confidence intervals'!G26</f>
        <v>6.332845822</v>
      </c>
      <c r="H29" s="910">
        <f>'Confidence intervals'!H26</f>
        <v>6.966130404</v>
      </c>
      <c r="I29" s="908">
        <f>'Confidence intervals'!I26</f>
        <v>5.611905238</v>
      </c>
      <c r="J29" s="909">
        <f>'Confidence intervals'!J26</f>
        <v>7.014881547</v>
      </c>
      <c r="K29" s="910">
        <f>'Confidence intervals'!K26</f>
        <v>8.417857857</v>
      </c>
      <c r="L29" s="908">
        <f>'Confidence intervals'!L26</f>
        <v>6.869837749</v>
      </c>
      <c r="M29" s="909">
        <f>'Confidence intervals'!M26</f>
        <v>11.44972958</v>
      </c>
      <c r="N29" s="910">
        <f>'Confidence intervals'!N26</f>
        <v>16.02962141</v>
      </c>
      <c r="O29" s="908" t="str">
        <f>'Confidence intervals'!O26</f>
        <v>-</v>
      </c>
      <c r="P29" s="909" t="str">
        <f>'Confidence intervals'!P26</f>
        <v>-</v>
      </c>
      <c r="Q29" s="910" t="str">
        <f>'Confidence intervals'!Q26</f>
        <v>-</v>
      </c>
      <c r="R29" s="908" t="str">
        <f>'Confidence intervals'!R26</f>
        <v>-</v>
      </c>
      <c r="S29" s="909" t="str">
        <f>'Confidence intervals'!S26</f>
        <v>-</v>
      </c>
      <c r="T29" s="910" t="str">
        <f>'Confidence intervals'!T26</f>
        <v>-</v>
      </c>
      <c r="U29" s="908" t="str">
        <f>'Confidence intervals'!U26</f>
        <v>-</v>
      </c>
      <c r="V29" s="909" t="str">
        <f>'Confidence intervals'!V26</f>
        <v>-</v>
      </c>
      <c r="W29" s="910" t="str">
        <f>'Confidence intervals'!W26</f>
        <v>-</v>
      </c>
      <c r="X29" s="908" t="str">
        <f>'Confidence intervals'!X26</f>
        <v>-</v>
      </c>
      <c r="Y29" s="909" t="str">
        <f>'Confidence intervals'!Y26</f>
        <v>-</v>
      </c>
      <c r="Z29" s="910" t="str">
        <f>'Confidence intervals'!Z26</f>
        <v>-</v>
      </c>
      <c r="AA29" s="908">
        <f>'Confidence intervals'!AA26</f>
        <v>5.192738067</v>
      </c>
      <c r="AB29" s="909">
        <f>'Confidence intervals'!AB26</f>
        <v>7.418197238</v>
      </c>
      <c r="AC29" s="910">
        <f>'Confidence intervals'!AC26</f>
        <v>9.64365641</v>
      </c>
      <c r="AD29" s="908">
        <f>'Confidence intervals'!AD26</f>
        <v>2.796587418</v>
      </c>
      <c r="AE29" s="909">
        <f>'Confidence intervals'!AE26</f>
        <v>3.995124883</v>
      </c>
      <c r="AF29" s="910">
        <f>'Confidence intervals'!AF26</f>
        <v>5.193662348</v>
      </c>
      <c r="AG29" s="908">
        <f>'Confidence intervals'!AG26</f>
        <v>1.849881589</v>
      </c>
      <c r="AH29" s="909">
        <f>'Confidence intervals'!AH26</f>
        <v>2.642687984</v>
      </c>
      <c r="AI29" s="910">
        <f>'Confidence intervals'!AI26</f>
        <v>3.43549438</v>
      </c>
      <c r="AJ29" s="908">
        <f>'Confidence intervals'!AJ26</f>
        <v>4.751788206</v>
      </c>
      <c r="AK29" s="909">
        <f>'Confidence intervals'!AK26</f>
        <v>6.788268865</v>
      </c>
      <c r="AL29" s="910">
        <f>'Confidence intervals'!AL26</f>
        <v>8.824749525</v>
      </c>
      <c r="AM29" s="908">
        <f>'Confidence intervals'!AM26</f>
        <v>2.825555895</v>
      </c>
      <c r="AN29" s="909">
        <f>'Confidence intervals'!AN26</f>
        <v>4.036508421</v>
      </c>
      <c r="AO29" s="910">
        <f>'Confidence intervals'!AO26</f>
        <v>5.247460947</v>
      </c>
      <c r="AP29" s="908">
        <f>'Confidence intervals'!AP26</f>
        <v>4.263431358</v>
      </c>
      <c r="AQ29" s="909">
        <f>'Confidence intervals'!AQ26</f>
        <v>6.090616225</v>
      </c>
      <c r="AR29" s="910">
        <f>'Confidence intervals'!AR26</f>
        <v>7.917801093</v>
      </c>
      <c r="AS29" s="908">
        <f>'Confidence intervals'!AS26</f>
        <v>3.605112301</v>
      </c>
      <c r="AT29" s="909">
        <f>'Confidence intervals'!AT26</f>
        <v>5.15016043</v>
      </c>
      <c r="AU29" s="910">
        <f>'Confidence intervals'!AU26</f>
        <v>6.69520856</v>
      </c>
      <c r="AV29" s="908">
        <f>'Confidence intervals'!AV26</f>
        <v>5.662221993</v>
      </c>
      <c r="AW29" s="909">
        <f>'Confidence intervals'!AW26</f>
        <v>8.088888562</v>
      </c>
      <c r="AX29" s="910">
        <f>'Confidence intervals'!AX26</f>
        <v>10.51555513</v>
      </c>
      <c r="AY29" s="908">
        <f>'Confidence intervals'!AY26</f>
        <v>3.901632787</v>
      </c>
      <c r="AZ29" s="909">
        <f>'Confidence intervals'!AZ26</f>
        <v>5.573761124</v>
      </c>
      <c r="BA29" s="910">
        <f>'Confidence intervals'!BA26</f>
        <v>7.245889461</v>
      </c>
      <c r="BB29" s="908">
        <f>'Confidence intervals'!BB26</f>
        <v>2.484212647</v>
      </c>
      <c r="BC29" s="909">
        <f>'Confidence intervals'!BC26</f>
        <v>3.54887521</v>
      </c>
      <c r="BD29" s="910">
        <f>'Confidence intervals'!BD26</f>
        <v>4.613537773</v>
      </c>
      <c r="BE29" s="908">
        <f>'Confidence intervals'!BE26</f>
        <v>15.90327202</v>
      </c>
      <c r="BF29" s="909">
        <f>'Confidence intervals'!BF26</f>
        <v>21.20436269</v>
      </c>
      <c r="BG29" s="910">
        <f>'Confidence intervals'!BG26</f>
        <v>26.50545337</v>
      </c>
      <c r="BH29" s="908">
        <f>'Confidence intervals'!BH26</f>
        <v>5.81867092</v>
      </c>
      <c r="BI29" s="909">
        <f>'Confidence intervals'!BI26</f>
        <v>7.27333865</v>
      </c>
      <c r="BJ29" s="910">
        <f>'Confidence intervals'!BJ26</f>
        <v>8.72800638</v>
      </c>
      <c r="BK29" s="908">
        <f>'Confidence intervals'!BK26</f>
        <v>5.763696611</v>
      </c>
      <c r="BL29" s="909">
        <f>'Confidence intervals'!BL26</f>
        <v>8.867225555</v>
      </c>
      <c r="BM29" s="910">
        <f>'Confidence intervals'!BM26</f>
        <v>11.9707545</v>
      </c>
      <c r="BN29" s="841"/>
    </row>
    <row r="30">
      <c r="A30" s="63"/>
      <c r="B30" s="64"/>
      <c r="C30" s="420"/>
      <c r="D30" s="64"/>
      <c r="E30" s="775" t="s">
        <v>545</v>
      </c>
      <c r="F30" s="961" t="s">
        <v>132</v>
      </c>
      <c r="G30" s="833">
        <v>0.0</v>
      </c>
      <c r="H30" s="963" t="s">
        <v>132</v>
      </c>
      <c r="I30" s="961" t="s">
        <v>132</v>
      </c>
      <c r="J30" s="833">
        <v>0.0</v>
      </c>
      <c r="K30" s="963" t="s">
        <v>132</v>
      </c>
      <c r="L30" s="961" t="s">
        <v>132</v>
      </c>
      <c r="M30" s="833">
        <v>0.0</v>
      </c>
      <c r="N30" s="963" t="s">
        <v>132</v>
      </c>
      <c r="O30" s="964"/>
      <c r="P30" s="967"/>
      <c r="Q30" s="966"/>
      <c r="R30" s="964"/>
      <c r="S30" s="967"/>
      <c r="T30" s="966"/>
      <c r="U30" s="964"/>
      <c r="V30" s="967"/>
      <c r="W30" s="966"/>
      <c r="X30" s="964"/>
      <c r="Y30" s="967"/>
      <c r="Z30" s="966"/>
      <c r="AA30" s="961" t="s">
        <v>132</v>
      </c>
      <c r="AB30" s="833">
        <v>0.0</v>
      </c>
      <c r="AC30" s="963" t="s">
        <v>132</v>
      </c>
      <c r="AD30" s="961" t="s">
        <v>132</v>
      </c>
      <c r="AE30" s="833">
        <v>0.0</v>
      </c>
      <c r="AF30" s="963" t="s">
        <v>132</v>
      </c>
      <c r="AG30" s="961" t="s">
        <v>132</v>
      </c>
      <c r="AH30" s="833">
        <v>0.0</v>
      </c>
      <c r="AI30" s="963" t="s">
        <v>132</v>
      </c>
      <c r="AJ30" s="961" t="s">
        <v>132</v>
      </c>
      <c r="AK30" s="833">
        <v>0.0</v>
      </c>
      <c r="AL30" s="963" t="s">
        <v>132</v>
      </c>
      <c r="AM30" s="961" t="s">
        <v>132</v>
      </c>
      <c r="AN30" s="833">
        <v>0.0</v>
      </c>
      <c r="AO30" s="963" t="s">
        <v>132</v>
      </c>
      <c r="AP30" s="961" t="s">
        <v>132</v>
      </c>
      <c r="AQ30" s="833">
        <v>0.0</v>
      </c>
      <c r="AR30" s="963" t="s">
        <v>132</v>
      </c>
      <c r="AS30" s="961" t="s">
        <v>132</v>
      </c>
      <c r="AT30" s="833">
        <v>0.0</v>
      </c>
      <c r="AU30" s="963" t="s">
        <v>132</v>
      </c>
      <c r="AV30" s="961" t="s">
        <v>132</v>
      </c>
      <c r="AW30" s="833">
        <v>0.0</v>
      </c>
      <c r="AX30" s="963" t="s">
        <v>132</v>
      </c>
      <c r="AY30" s="961" t="s">
        <v>132</v>
      </c>
      <c r="AZ30" s="833">
        <v>0.0</v>
      </c>
      <c r="BA30" s="963" t="s">
        <v>132</v>
      </c>
      <c r="BB30" s="961" t="s">
        <v>132</v>
      </c>
      <c r="BC30" s="833">
        <v>0.0</v>
      </c>
      <c r="BD30" s="963" t="s">
        <v>132</v>
      </c>
      <c r="BE30" s="961" t="s">
        <v>132</v>
      </c>
      <c r="BF30" s="833">
        <v>0.0</v>
      </c>
      <c r="BG30" s="963" t="s">
        <v>132</v>
      </c>
      <c r="BH30" s="961" t="s">
        <v>132</v>
      </c>
      <c r="BI30" s="833">
        <v>0.0</v>
      </c>
      <c r="BJ30" s="963" t="s">
        <v>132</v>
      </c>
      <c r="BK30" s="961" t="s">
        <v>132</v>
      </c>
      <c r="BL30" s="833">
        <v>0.0</v>
      </c>
      <c r="BM30" s="963" t="s">
        <v>132</v>
      </c>
      <c r="BN30" s="841"/>
    </row>
    <row r="31">
      <c r="A31" s="63"/>
      <c r="B31" s="64"/>
      <c r="C31" s="420"/>
      <c r="D31" s="64"/>
      <c r="E31" s="590" t="s">
        <v>547</v>
      </c>
      <c r="F31" s="968">
        <f>'Confidence intervals'!F27</f>
        <v>0.002374163318</v>
      </c>
      <c r="G31" s="969">
        <f>'Confidence intervals'!G27</f>
        <v>0.004748326636</v>
      </c>
      <c r="H31" s="970">
        <f>'Confidence intervals'!H27</f>
        <v>0.007122489955</v>
      </c>
      <c r="I31" s="968">
        <f>'Confidence intervals'!I27</f>
        <v>0.001436620638</v>
      </c>
      <c r="J31" s="969">
        <f>'Confidence intervals'!J27</f>
        <v>0.004788735461</v>
      </c>
      <c r="K31" s="970">
        <f>'Confidence intervals'!K27</f>
        <v>0.008140850284</v>
      </c>
      <c r="L31" s="968">
        <f>'Confidence intervals'!L27</f>
        <v>0.001688843165</v>
      </c>
      <c r="M31" s="969">
        <f>'Confidence intervals'!M27</f>
        <v>0.004222107914</v>
      </c>
      <c r="N31" s="970">
        <f>'Confidence intervals'!N27</f>
        <v>0.006755372662</v>
      </c>
      <c r="O31" s="968" t="str">
        <f>'Confidence intervals'!O27</f>
        <v>-</v>
      </c>
      <c r="P31" s="969" t="str">
        <f>'Confidence intervals'!P27</f>
        <v>-</v>
      </c>
      <c r="Q31" s="970" t="str">
        <f>'Confidence intervals'!Q27</f>
        <v>-</v>
      </c>
      <c r="R31" s="968" t="str">
        <f>'Confidence intervals'!R27</f>
        <v>-</v>
      </c>
      <c r="S31" s="969" t="str">
        <f>'Confidence intervals'!S27</f>
        <v>-</v>
      </c>
      <c r="T31" s="970" t="str">
        <f>'Confidence intervals'!T27</f>
        <v>-</v>
      </c>
      <c r="U31" s="968" t="str">
        <f>'Confidence intervals'!U27</f>
        <v>-</v>
      </c>
      <c r="V31" s="969" t="str">
        <f>'Confidence intervals'!V27</f>
        <v>-</v>
      </c>
      <c r="W31" s="970" t="str">
        <f>'Confidence intervals'!W27</f>
        <v>-</v>
      </c>
      <c r="X31" s="968" t="str">
        <f>'Confidence intervals'!X27</f>
        <v>-</v>
      </c>
      <c r="Y31" s="969" t="str">
        <f>'Confidence intervals'!Y27</f>
        <v>-</v>
      </c>
      <c r="Z31" s="970" t="str">
        <f>'Confidence intervals'!Z27</f>
        <v>-</v>
      </c>
      <c r="AA31" s="968">
        <f>'Confidence intervals'!AA27</f>
        <v>0.002337234762</v>
      </c>
      <c r="AB31" s="969">
        <f>'Confidence intervals'!AB27</f>
        <v>0.004674469524</v>
      </c>
      <c r="AC31" s="970">
        <f>'Confidence intervals'!AC27</f>
        <v>0.007011704285</v>
      </c>
      <c r="AD31" s="968">
        <f>'Confidence intervals'!AD27</f>
        <v>0.002829194413</v>
      </c>
      <c r="AE31" s="969">
        <f>'Confidence intervals'!AE27</f>
        <v>0.008083412609</v>
      </c>
      <c r="AF31" s="970">
        <f>'Confidence intervals'!AF27</f>
        <v>0.01333763081</v>
      </c>
      <c r="AG31" s="968">
        <f>'Confidence intervals'!AG27</f>
        <v>0.00249301749</v>
      </c>
      <c r="AH31" s="969">
        <f>'Confidence intervals'!AH27</f>
        <v>0.004986034981</v>
      </c>
      <c r="AI31" s="970">
        <f>'Confidence intervals'!AI27</f>
        <v>0.007479052471</v>
      </c>
      <c r="AJ31" s="968">
        <f>'Confidence intervals'!AJ27</f>
        <v>0.001547044624</v>
      </c>
      <c r="AK31" s="969">
        <f>'Confidence intervals'!AK27</f>
        <v>0.003094089249</v>
      </c>
      <c r="AL31" s="970">
        <f>'Confidence intervals'!AL27</f>
        <v>0.004641133873</v>
      </c>
      <c r="AM31" s="968">
        <f>'Confidence intervals'!AM27</f>
        <v>0.005150021555</v>
      </c>
      <c r="AN31" s="969">
        <f>'Confidence intervals'!AN27</f>
        <v>0.01030004311</v>
      </c>
      <c r="AO31" s="970">
        <f>'Confidence intervals'!AO27</f>
        <v>0.01545006467</v>
      </c>
      <c r="AP31" s="968">
        <f>'Confidence intervals'!AP27</f>
        <v>0.002551201168</v>
      </c>
      <c r="AQ31" s="969">
        <f>'Confidence intervals'!AQ27</f>
        <v>0.005102402336</v>
      </c>
      <c r="AR31" s="970">
        <f>'Confidence intervals'!AR27</f>
        <v>0.007653603504</v>
      </c>
      <c r="AS31" s="968">
        <f>'Confidence intervals'!AS27</f>
        <v>0.002513304654</v>
      </c>
      <c r="AT31" s="969">
        <f>'Confidence intervals'!AT27</f>
        <v>0.005026609308</v>
      </c>
      <c r="AU31" s="970">
        <f>'Confidence intervals'!AU27</f>
        <v>0.007539913961</v>
      </c>
      <c r="AV31" s="968">
        <f>'Confidence intervals'!AV27</f>
        <v>0.001984877168</v>
      </c>
      <c r="AW31" s="969">
        <f>'Confidence intervals'!AW27</f>
        <v>0.003969754336</v>
      </c>
      <c r="AX31" s="970">
        <f>'Confidence intervals'!AX27</f>
        <v>0.005954631504</v>
      </c>
      <c r="AY31" s="968">
        <f>'Confidence intervals'!AY27</f>
        <v>0.002502849394</v>
      </c>
      <c r="AZ31" s="969">
        <f>'Confidence intervals'!AZ27</f>
        <v>0.005005698787</v>
      </c>
      <c r="BA31" s="970">
        <f>'Confidence intervals'!BA27</f>
        <v>0.007508548181</v>
      </c>
      <c r="BB31" s="968">
        <f>'Confidence intervals'!BB27</f>
        <v>0.00428253866</v>
      </c>
      <c r="BC31" s="969">
        <f>'Confidence intervals'!BC27</f>
        <v>0.00856507732</v>
      </c>
      <c r="BD31" s="970">
        <f>'Confidence intervals'!BD27</f>
        <v>0.01284761598</v>
      </c>
      <c r="BE31" s="968">
        <f>'Confidence intervals'!BE27</f>
        <v>0.0009327785027</v>
      </c>
      <c r="BF31" s="969">
        <f>'Confidence intervals'!BF27</f>
        <v>0.003731114011</v>
      </c>
      <c r="BG31" s="970">
        <f>'Confidence intervals'!BG27</f>
        <v>0.006529449519</v>
      </c>
      <c r="BH31" s="968">
        <f>'Confidence intervals'!BH27</f>
        <v>0.001405272802</v>
      </c>
      <c r="BI31" s="969">
        <f>'Confidence intervals'!BI27</f>
        <v>0.002810545603</v>
      </c>
      <c r="BJ31" s="970">
        <f>'Confidence intervals'!BJ27</f>
        <v>0.004215818405</v>
      </c>
      <c r="BK31" s="968">
        <f>'Confidence intervals'!BK27</f>
        <v>0.001304906646</v>
      </c>
      <c r="BL31" s="969">
        <f>'Confidence intervals'!BL27</f>
        <v>0.003262266614</v>
      </c>
      <c r="BM31" s="970">
        <f>'Confidence intervals'!BM27</f>
        <v>0.005219626582</v>
      </c>
      <c r="BN31" s="621"/>
    </row>
    <row r="32">
      <c r="A32" s="63"/>
      <c r="B32" s="64"/>
      <c r="C32" s="420"/>
      <c r="D32" s="64"/>
      <c r="E32" s="590" t="s">
        <v>548</v>
      </c>
      <c r="F32" s="832">
        <f>'Confidence intervals'!F28</f>
        <v>0.63</v>
      </c>
      <c r="G32" s="833">
        <f>'Confidence intervals'!G28</f>
        <v>0.7</v>
      </c>
      <c r="H32" s="834">
        <f>'Confidence intervals'!H28</f>
        <v>0.77</v>
      </c>
      <c r="I32" s="832">
        <f>'Confidence intervals'!I28</f>
        <v>0.63</v>
      </c>
      <c r="J32" s="833">
        <f>'Confidence intervals'!J28</f>
        <v>0.7</v>
      </c>
      <c r="K32" s="834">
        <f>'Confidence intervals'!K28</f>
        <v>0.77</v>
      </c>
      <c r="L32" s="832">
        <f>'Confidence intervals'!L28</f>
        <v>0.63</v>
      </c>
      <c r="M32" s="833">
        <f>'Confidence intervals'!M28</f>
        <v>0.7</v>
      </c>
      <c r="N32" s="834">
        <f>'Confidence intervals'!N28</f>
        <v>0.77</v>
      </c>
      <c r="O32" s="832" t="str">
        <f>'Confidence intervals'!O28</f>
        <v>-</v>
      </c>
      <c r="P32" s="833" t="str">
        <f>'Confidence intervals'!P28</f>
        <v>-</v>
      </c>
      <c r="Q32" s="834" t="str">
        <f>'Confidence intervals'!Q28</f>
        <v>-</v>
      </c>
      <c r="R32" s="832" t="str">
        <f>'Confidence intervals'!R28</f>
        <v>-</v>
      </c>
      <c r="S32" s="833" t="str">
        <f>'Confidence intervals'!S28</f>
        <v>-</v>
      </c>
      <c r="T32" s="834" t="str">
        <f>'Confidence intervals'!T28</f>
        <v>-</v>
      </c>
      <c r="U32" s="832" t="str">
        <f>'Confidence intervals'!U28</f>
        <v>-</v>
      </c>
      <c r="V32" s="833" t="str">
        <f>'Confidence intervals'!V28</f>
        <v>-</v>
      </c>
      <c r="W32" s="834" t="str">
        <f>'Confidence intervals'!W28</f>
        <v>-</v>
      </c>
      <c r="X32" s="832" t="str">
        <f>'Confidence intervals'!X28</f>
        <v>-</v>
      </c>
      <c r="Y32" s="833" t="str">
        <f>'Confidence intervals'!Y28</f>
        <v>-</v>
      </c>
      <c r="Z32" s="834" t="str">
        <f>'Confidence intervals'!Z28</f>
        <v>-</v>
      </c>
      <c r="AA32" s="832">
        <f>'Confidence intervals'!AA28</f>
        <v>0.412</v>
      </c>
      <c r="AB32" s="833">
        <f>'Confidence intervals'!AB28</f>
        <v>0.515</v>
      </c>
      <c r="AC32" s="834">
        <f>'Confidence intervals'!AC28</f>
        <v>0.618</v>
      </c>
      <c r="AD32" s="832">
        <f>'Confidence intervals'!AD28</f>
        <v>0.63</v>
      </c>
      <c r="AE32" s="833">
        <f>'Confidence intervals'!AE28</f>
        <v>0.7</v>
      </c>
      <c r="AF32" s="834">
        <f>'Confidence intervals'!AF28</f>
        <v>0.77</v>
      </c>
      <c r="AG32" s="832">
        <f>'Confidence intervals'!AG28</f>
        <v>0.63</v>
      </c>
      <c r="AH32" s="833">
        <f>'Confidence intervals'!AH28</f>
        <v>0.7</v>
      </c>
      <c r="AI32" s="834">
        <f>'Confidence intervals'!AI28</f>
        <v>0.77</v>
      </c>
      <c r="AJ32" s="832">
        <f>'Confidence intervals'!AJ28</f>
        <v>0.63</v>
      </c>
      <c r="AK32" s="833">
        <f>'Confidence intervals'!AK28</f>
        <v>0.7</v>
      </c>
      <c r="AL32" s="834">
        <f>'Confidence intervals'!AL28</f>
        <v>0.77</v>
      </c>
      <c r="AM32" s="832">
        <f>'Confidence intervals'!AM28</f>
        <v>0.63</v>
      </c>
      <c r="AN32" s="833">
        <f>'Confidence intervals'!AN28</f>
        <v>0.7</v>
      </c>
      <c r="AO32" s="834">
        <f>'Confidence intervals'!AO28</f>
        <v>0.77</v>
      </c>
      <c r="AP32" s="832">
        <f>'Confidence intervals'!AP28</f>
        <v>0.63</v>
      </c>
      <c r="AQ32" s="833">
        <f>'Confidence intervals'!AQ28</f>
        <v>0.7</v>
      </c>
      <c r="AR32" s="834">
        <f>'Confidence intervals'!AR28</f>
        <v>0.77</v>
      </c>
      <c r="AS32" s="832">
        <f>'Confidence intervals'!AS28</f>
        <v>0.63</v>
      </c>
      <c r="AT32" s="833">
        <f>'Confidence intervals'!AT28</f>
        <v>0.7</v>
      </c>
      <c r="AU32" s="834">
        <f>'Confidence intervals'!AU28</f>
        <v>0.77</v>
      </c>
      <c r="AV32" s="832">
        <f>'Confidence intervals'!AV28</f>
        <v>0.63</v>
      </c>
      <c r="AW32" s="833">
        <f>'Confidence intervals'!AW28</f>
        <v>0.7</v>
      </c>
      <c r="AX32" s="834">
        <f>'Confidence intervals'!AX28</f>
        <v>0.77</v>
      </c>
      <c r="AY32" s="832">
        <f>'Confidence intervals'!AY28</f>
        <v>0.63</v>
      </c>
      <c r="AZ32" s="833">
        <f>'Confidence intervals'!AZ28</f>
        <v>0.7</v>
      </c>
      <c r="BA32" s="834">
        <f>'Confidence intervals'!BA28</f>
        <v>0.77</v>
      </c>
      <c r="BB32" s="832">
        <f>'Confidence intervals'!BB28</f>
        <v>0.63</v>
      </c>
      <c r="BC32" s="833">
        <f>'Confidence intervals'!BC28</f>
        <v>0.7</v>
      </c>
      <c r="BD32" s="834">
        <f>'Confidence intervals'!BD28</f>
        <v>0.77</v>
      </c>
      <c r="BE32" s="832">
        <f>'Confidence intervals'!BE28</f>
        <v>0.56</v>
      </c>
      <c r="BF32" s="833">
        <f>'Confidence intervals'!BF28</f>
        <v>0.7</v>
      </c>
      <c r="BG32" s="834">
        <f>'Confidence intervals'!BG28</f>
        <v>0.84</v>
      </c>
      <c r="BH32" s="832">
        <f>'Confidence intervals'!BH28</f>
        <v>0.63</v>
      </c>
      <c r="BI32" s="833">
        <f>'Confidence intervals'!BI28</f>
        <v>0.7</v>
      </c>
      <c r="BJ32" s="834">
        <f>'Confidence intervals'!BJ28</f>
        <v>0.77</v>
      </c>
      <c r="BK32" s="832">
        <f>'Confidence intervals'!BK28</f>
        <v>0.496</v>
      </c>
      <c r="BL32" s="833">
        <f>'Confidence intervals'!BL28</f>
        <v>0.62</v>
      </c>
      <c r="BM32" s="834">
        <f>'Confidence intervals'!BM28</f>
        <v>0.744</v>
      </c>
      <c r="BN32" s="621"/>
    </row>
    <row r="33">
      <c r="A33" s="63"/>
      <c r="B33" s="64"/>
      <c r="C33" s="420"/>
      <c r="D33" s="64"/>
      <c r="E33" s="625" t="s">
        <v>549</v>
      </c>
      <c r="F33" s="832">
        <f>'Confidence intervals'!F29</f>
        <v>0.7143254985</v>
      </c>
      <c r="G33" s="833">
        <f>'Confidence intervals'!G29</f>
        <v>0.7936949983</v>
      </c>
      <c r="H33" s="834">
        <f>'Confidence intervals'!H29</f>
        <v>0.8730644982</v>
      </c>
      <c r="I33" s="832">
        <f>'Confidence intervals'!I29</f>
        <v>0.7143254985</v>
      </c>
      <c r="J33" s="833">
        <f>'Confidence intervals'!J29</f>
        <v>0.7936949983</v>
      </c>
      <c r="K33" s="834">
        <f>'Confidence intervals'!K29</f>
        <v>0.8730644982</v>
      </c>
      <c r="L33" s="832">
        <f>'Confidence intervals'!L29</f>
        <v>0.7143254985</v>
      </c>
      <c r="M33" s="833">
        <f>'Confidence intervals'!M29</f>
        <v>0.7936949983</v>
      </c>
      <c r="N33" s="834">
        <f>'Confidence intervals'!N29</f>
        <v>0.8730644982</v>
      </c>
      <c r="O33" s="832" t="str">
        <f>'Confidence intervals'!O29</f>
        <v>-</v>
      </c>
      <c r="P33" s="833" t="str">
        <f>'Confidence intervals'!P29</f>
        <v>-</v>
      </c>
      <c r="Q33" s="834" t="str">
        <f>'Confidence intervals'!Q29</f>
        <v>-</v>
      </c>
      <c r="R33" s="832" t="str">
        <f>'Confidence intervals'!R29</f>
        <v>-</v>
      </c>
      <c r="S33" s="833" t="str">
        <f>'Confidence intervals'!S29</f>
        <v>-</v>
      </c>
      <c r="T33" s="834" t="str">
        <f>'Confidence intervals'!T29</f>
        <v>-</v>
      </c>
      <c r="U33" s="832" t="str">
        <f>'Confidence intervals'!U29</f>
        <v>-</v>
      </c>
      <c r="V33" s="833" t="str">
        <f>'Confidence intervals'!V29</f>
        <v>-</v>
      </c>
      <c r="W33" s="834" t="str">
        <f>'Confidence intervals'!W29</f>
        <v>-</v>
      </c>
      <c r="X33" s="832" t="str">
        <f>'Confidence intervals'!X29</f>
        <v>-</v>
      </c>
      <c r="Y33" s="833" t="str">
        <f>'Confidence intervals'!Y29</f>
        <v>-</v>
      </c>
      <c r="Z33" s="834" t="str">
        <f>'Confidence intervals'!Z29</f>
        <v>-</v>
      </c>
      <c r="AA33" s="832">
        <f>'Confidence intervals'!AA29</f>
        <v>0.4166898741</v>
      </c>
      <c r="AB33" s="833">
        <f>'Confidence intervals'!AB29</f>
        <v>0.5952712487</v>
      </c>
      <c r="AC33" s="834">
        <f>'Confidence intervals'!AC29</f>
        <v>0.7738526234</v>
      </c>
      <c r="AD33" s="832">
        <f>'Confidence intervals'!AD29</f>
        <v>0.7143254985</v>
      </c>
      <c r="AE33" s="833">
        <f>'Confidence intervals'!AE29</f>
        <v>0.7936949983</v>
      </c>
      <c r="AF33" s="834">
        <f>'Confidence intervals'!AF29</f>
        <v>0.8730644982</v>
      </c>
      <c r="AG33" s="832">
        <f>'Confidence intervals'!AG29</f>
        <v>0.7143254985</v>
      </c>
      <c r="AH33" s="833">
        <f>'Confidence intervals'!AH29</f>
        <v>0.7936949983</v>
      </c>
      <c r="AI33" s="834">
        <f>'Confidence intervals'!AI29</f>
        <v>0.8730644982</v>
      </c>
      <c r="AJ33" s="832">
        <f>'Confidence intervals'!AJ29</f>
        <v>0.7143254985</v>
      </c>
      <c r="AK33" s="833">
        <f>'Confidence intervals'!AK29</f>
        <v>0.7936949983</v>
      </c>
      <c r="AL33" s="834">
        <f>'Confidence intervals'!AL29</f>
        <v>0.8730644982</v>
      </c>
      <c r="AM33" s="832">
        <f>'Confidence intervals'!AM29</f>
        <v>0.7143254985</v>
      </c>
      <c r="AN33" s="833">
        <f>'Confidence intervals'!AN29</f>
        <v>0.7936949983</v>
      </c>
      <c r="AO33" s="834">
        <f>'Confidence intervals'!AO29</f>
        <v>0.8730644982</v>
      </c>
      <c r="AP33" s="832">
        <f>'Confidence intervals'!AP29</f>
        <v>0.7143254985</v>
      </c>
      <c r="AQ33" s="833">
        <f>'Confidence intervals'!AQ29</f>
        <v>0.7936949983</v>
      </c>
      <c r="AR33" s="834">
        <f>'Confidence intervals'!AR29</f>
        <v>0.8730644982</v>
      </c>
      <c r="AS33" s="832">
        <f>'Confidence intervals'!AS29</f>
        <v>0.7143254985</v>
      </c>
      <c r="AT33" s="833">
        <f>'Confidence intervals'!AT29</f>
        <v>0.7936949983</v>
      </c>
      <c r="AU33" s="834">
        <f>'Confidence intervals'!AU29</f>
        <v>0.8730644982</v>
      </c>
      <c r="AV33" s="832">
        <f>'Confidence intervals'!AV29</f>
        <v>0.7143254985</v>
      </c>
      <c r="AW33" s="833">
        <f>'Confidence intervals'!AW29</f>
        <v>0.7936949983</v>
      </c>
      <c r="AX33" s="834">
        <f>'Confidence intervals'!AX29</f>
        <v>0.8730644982</v>
      </c>
      <c r="AY33" s="832">
        <f>'Confidence intervals'!AY29</f>
        <v>0.7143254985</v>
      </c>
      <c r="AZ33" s="833">
        <f>'Confidence intervals'!AZ29</f>
        <v>0.7936949983</v>
      </c>
      <c r="BA33" s="834">
        <f>'Confidence intervals'!BA29</f>
        <v>0.8730644982</v>
      </c>
      <c r="BB33" s="832">
        <f>'Confidence intervals'!BB29</f>
        <v>0.7143254985</v>
      </c>
      <c r="BC33" s="833">
        <f>'Confidence intervals'!BC29</f>
        <v>0.7936949983</v>
      </c>
      <c r="BD33" s="834">
        <f>'Confidence intervals'!BD29</f>
        <v>0.8730644982</v>
      </c>
      <c r="BE33" s="832">
        <f>'Confidence intervals'!BE29</f>
        <v>0.6349559987</v>
      </c>
      <c r="BF33" s="833">
        <f>'Confidence intervals'!BF29</f>
        <v>0.7936949983</v>
      </c>
      <c r="BG33" s="834">
        <f>'Confidence intervals'!BG29</f>
        <v>0.952433998</v>
      </c>
      <c r="BH33" s="832">
        <f>'Confidence intervals'!BH29</f>
        <v>0.7143254985</v>
      </c>
      <c r="BI33" s="833">
        <f>'Confidence intervals'!BI29</f>
        <v>0.7936949983</v>
      </c>
      <c r="BJ33" s="834">
        <f>'Confidence intervals'!BJ29</f>
        <v>0.8730644982</v>
      </c>
      <c r="BK33" s="832">
        <f>'Confidence intervals'!BK29</f>
        <v>0.4166898741</v>
      </c>
      <c r="BL33" s="833">
        <f>'Confidence intervals'!BL29</f>
        <v>0.5952712487</v>
      </c>
      <c r="BM33" s="834">
        <f>'Confidence intervals'!BM29</f>
        <v>0.7738526234</v>
      </c>
      <c r="BN33" s="874"/>
    </row>
    <row r="34">
      <c r="A34" s="63"/>
      <c r="B34" s="64"/>
      <c r="C34" s="420"/>
      <c r="D34" s="64"/>
      <c r="E34" s="775" t="s">
        <v>556</v>
      </c>
      <c r="F34" s="832">
        <f>'Confidence intervals'!F32</f>
        <v>0.02742844874</v>
      </c>
      <c r="G34" s="833">
        <f>'Confidence intervals'!G32</f>
        <v>0.06857112185</v>
      </c>
      <c r="H34" s="834">
        <f>'Confidence intervals'!H32</f>
        <v>0.109713795</v>
      </c>
      <c r="I34" s="832">
        <f>'Confidence intervals'!I32</f>
        <v>0.02199672365</v>
      </c>
      <c r="J34" s="833">
        <f>'Confidence intervals'!J32</f>
        <v>0.05499180912</v>
      </c>
      <c r="K34" s="834">
        <f>'Confidence intervals'!K32</f>
        <v>0.08798689459</v>
      </c>
      <c r="L34" s="832">
        <f>'Confidence intervals'!L32</f>
        <v>0.04185406827</v>
      </c>
      <c r="M34" s="833">
        <f>'Confidence intervals'!M32</f>
        <v>0.1046351707</v>
      </c>
      <c r="N34" s="834">
        <f>'Confidence intervals'!N32</f>
        <v>0.1674162731</v>
      </c>
      <c r="O34" s="832" t="str">
        <f>'Confidence intervals'!O32</f>
        <v>-</v>
      </c>
      <c r="P34" s="833" t="str">
        <f>'Confidence intervals'!P32</f>
        <v>-</v>
      </c>
      <c r="Q34" s="834" t="str">
        <f>'Confidence intervals'!Q32</f>
        <v>-</v>
      </c>
      <c r="R34" s="832" t="str">
        <f>'Confidence intervals'!R32</f>
        <v>-</v>
      </c>
      <c r="S34" s="833" t="str">
        <f>'Confidence intervals'!S32</f>
        <v>-</v>
      </c>
      <c r="T34" s="834" t="str">
        <f>'Confidence intervals'!T32</f>
        <v>-</v>
      </c>
      <c r="U34" s="832" t="str">
        <f>'Confidence intervals'!U32</f>
        <v>-</v>
      </c>
      <c r="V34" s="833" t="str">
        <f>'Confidence intervals'!V32</f>
        <v>-</v>
      </c>
      <c r="W34" s="834" t="str">
        <f>'Confidence intervals'!W32</f>
        <v>-</v>
      </c>
      <c r="X34" s="832" t="str">
        <f>'Confidence intervals'!X32</f>
        <v>-</v>
      </c>
      <c r="Y34" s="833" t="str">
        <f>'Confidence intervals'!Y32</f>
        <v>-</v>
      </c>
      <c r="Z34" s="834" t="str">
        <f>'Confidence intervals'!Z32</f>
        <v>-</v>
      </c>
      <c r="AA34" s="832">
        <f>'Confidence intervals'!AA32</f>
        <v>0.05936136348</v>
      </c>
      <c r="AB34" s="833">
        <f>'Confidence intervals'!AB32</f>
        <v>0.1484034087</v>
      </c>
      <c r="AC34" s="834">
        <f>'Confidence intervals'!AC32</f>
        <v>0.2374454539</v>
      </c>
      <c r="AD34" s="832">
        <f>'Confidence intervals'!AD32</f>
        <v>0.0110052855</v>
      </c>
      <c r="AE34" s="833">
        <f>'Confidence intervals'!AE32</f>
        <v>0.02751321375</v>
      </c>
      <c r="AF34" s="834">
        <f>'Confidence intervals'!AF32</f>
        <v>0.044021142</v>
      </c>
      <c r="AG34" s="832">
        <f>'Confidence intervals'!AG32</f>
        <v>0.03558698903</v>
      </c>
      <c r="AH34" s="833">
        <f>'Confidence intervals'!AH32</f>
        <v>0.08896747258</v>
      </c>
      <c r="AI34" s="834">
        <f>'Confidence intervals'!AI32</f>
        <v>0.1423479561</v>
      </c>
      <c r="AJ34" s="832">
        <f>'Confidence intervals'!AJ32</f>
        <v>0.04433453254</v>
      </c>
      <c r="AK34" s="833">
        <f>'Confidence intervals'!AK32</f>
        <v>0.1108363314</v>
      </c>
      <c r="AL34" s="834">
        <f>'Confidence intervals'!AL32</f>
        <v>0.1773381302</v>
      </c>
      <c r="AM34" s="832">
        <f>'Confidence intervals'!AM32</f>
        <v>0.02075009665</v>
      </c>
      <c r="AN34" s="833">
        <f>'Confidence intervals'!AN32</f>
        <v>0.05187524163</v>
      </c>
      <c r="AO34" s="834">
        <f>'Confidence intervals'!AO32</f>
        <v>0.08300038661</v>
      </c>
      <c r="AP34" s="832">
        <f>'Confidence intervals'!AP32</f>
        <v>0.0644571435</v>
      </c>
      <c r="AQ34" s="833">
        <f>'Confidence intervals'!AQ32</f>
        <v>0.1611428588</v>
      </c>
      <c r="AR34" s="834">
        <f>'Confidence intervals'!AR32</f>
        <v>0.257828574</v>
      </c>
      <c r="AS34" s="832">
        <f>'Confidence intervals'!AS32</f>
        <v>0.0365581803</v>
      </c>
      <c r="AT34" s="833">
        <f>'Confidence intervals'!AT32</f>
        <v>0.09139545074</v>
      </c>
      <c r="AU34" s="834">
        <f>'Confidence intervals'!AU32</f>
        <v>0.1462327212</v>
      </c>
      <c r="AV34" s="832">
        <f>'Confidence intervals'!AV32</f>
        <v>0.07703610272</v>
      </c>
      <c r="AW34" s="833">
        <f>'Confidence intervals'!AW32</f>
        <v>0.1925902568</v>
      </c>
      <c r="AX34" s="834">
        <f>'Confidence intervals'!AX32</f>
        <v>0.3081444109</v>
      </c>
      <c r="AY34" s="832">
        <f>'Confidence intervals'!AY32</f>
        <v>0.04118140202</v>
      </c>
      <c r="AZ34" s="833">
        <f>'Confidence intervals'!AZ32</f>
        <v>0.1029535051</v>
      </c>
      <c r="BA34" s="834">
        <f>'Confidence intervals'!BA32</f>
        <v>0.1647256081</v>
      </c>
      <c r="BB34" s="832">
        <f>'Confidence intervals'!BB32</f>
        <v>0.01287047174</v>
      </c>
      <c r="BC34" s="833">
        <f>'Confidence intervals'!BC32</f>
        <v>0.03217617935</v>
      </c>
      <c r="BD34" s="834">
        <f>'Confidence intervals'!BD32</f>
        <v>0.05148188696</v>
      </c>
      <c r="BE34" s="832">
        <f>'Confidence intervals'!BE32</f>
        <v>0.01456582071</v>
      </c>
      <c r="BF34" s="833">
        <f>'Confidence intervals'!BF32</f>
        <v>0.03641455178</v>
      </c>
      <c r="BG34" s="834">
        <f>'Confidence intervals'!BG32</f>
        <v>0.05826328284</v>
      </c>
      <c r="BH34" s="832">
        <f>'Confidence intervals'!BH32</f>
        <v>0.05731966998</v>
      </c>
      <c r="BI34" s="833">
        <f>'Confidence intervals'!BI32</f>
        <v>0.143299175</v>
      </c>
      <c r="BJ34" s="834">
        <f>'Confidence intervals'!BJ32</f>
        <v>0.2292786799</v>
      </c>
      <c r="BK34" s="832">
        <f>'Confidence intervals'!BK32</f>
        <v>0.01328770444</v>
      </c>
      <c r="BL34" s="833">
        <f>'Confidence intervals'!BL32</f>
        <v>0.03321926111</v>
      </c>
      <c r="BM34" s="834">
        <f>'Confidence intervals'!BM32</f>
        <v>0.05315081778</v>
      </c>
      <c r="BN34" s="841"/>
    </row>
    <row r="35">
      <c r="A35" s="63"/>
      <c r="B35" s="64"/>
      <c r="C35" s="420"/>
      <c r="D35" s="420"/>
      <c r="E35" s="625" t="s">
        <v>557</v>
      </c>
      <c r="F35" s="832">
        <f>'Confidence intervals'!F33</f>
        <v>0.1723080764</v>
      </c>
      <c r="G35" s="833">
        <f>'Confidence intervals'!G33</f>
        <v>0.3132874116</v>
      </c>
      <c r="H35" s="834">
        <f>'Confidence intervals'!H33</f>
        <v>0.4542667468</v>
      </c>
      <c r="I35" s="832">
        <f>'Confidence intervals'!I33</f>
        <v>0.1143807737</v>
      </c>
      <c r="J35" s="833">
        <f>'Confidence intervals'!J33</f>
        <v>0.2079650431</v>
      </c>
      <c r="K35" s="834">
        <f>'Confidence intervals'!K33</f>
        <v>0.3015493125</v>
      </c>
      <c r="L35" s="832">
        <f>'Confidence intervals'!L33</f>
        <v>0.2039324848</v>
      </c>
      <c r="M35" s="833">
        <f>'Confidence intervals'!M33</f>
        <v>0.3707863359</v>
      </c>
      <c r="N35" s="834">
        <f>'Confidence intervals'!N33</f>
        <v>0.5376401871</v>
      </c>
      <c r="O35" s="832" t="str">
        <f>'Confidence intervals'!O33</f>
        <v>-</v>
      </c>
      <c r="P35" s="833" t="str">
        <f>'Confidence intervals'!P33</f>
        <v>-</v>
      </c>
      <c r="Q35" s="834" t="str">
        <f>'Confidence intervals'!Q33</f>
        <v>-</v>
      </c>
      <c r="R35" s="832" t="str">
        <f>'Confidence intervals'!R33</f>
        <v>-</v>
      </c>
      <c r="S35" s="833" t="str">
        <f>'Confidence intervals'!S33</f>
        <v>-</v>
      </c>
      <c r="T35" s="834" t="str">
        <f>'Confidence intervals'!T33</f>
        <v>-</v>
      </c>
      <c r="U35" s="832" t="str">
        <f>'Confidence intervals'!U33</f>
        <v>-</v>
      </c>
      <c r="V35" s="833" t="str">
        <f>'Confidence intervals'!V33</f>
        <v>-</v>
      </c>
      <c r="W35" s="834" t="str">
        <f>'Confidence intervals'!W33</f>
        <v>-</v>
      </c>
      <c r="X35" s="832" t="str">
        <f>'Confidence intervals'!X33</f>
        <v>-</v>
      </c>
      <c r="Y35" s="833" t="str">
        <f>'Confidence intervals'!Y33</f>
        <v>-</v>
      </c>
      <c r="Z35" s="834" t="str">
        <f>'Confidence intervals'!Z33</f>
        <v>-</v>
      </c>
      <c r="AA35" s="832">
        <f>'Confidence intervals'!AA33</f>
        <v>0.186430825</v>
      </c>
      <c r="AB35" s="833">
        <f>'Confidence intervals'!AB33</f>
        <v>0.3389651363</v>
      </c>
      <c r="AC35" s="834">
        <f>'Confidence intervals'!AC33</f>
        <v>0.4914994477</v>
      </c>
      <c r="AD35" s="832">
        <f>'Confidence intervals'!AD33</f>
        <v>0.1287179001</v>
      </c>
      <c r="AE35" s="833">
        <f>'Confidence intervals'!AE33</f>
        <v>0.2340325456</v>
      </c>
      <c r="AF35" s="834">
        <f>'Confidence intervals'!AF33</f>
        <v>0.3393471911</v>
      </c>
      <c r="AG35" s="832">
        <f>'Confidence intervals'!AG33</f>
        <v>0.1416134174</v>
      </c>
      <c r="AH35" s="833">
        <f>'Confidence intervals'!AH33</f>
        <v>0.2574789408</v>
      </c>
      <c r="AI35" s="834">
        <f>'Confidence intervals'!AI33</f>
        <v>0.3733444641</v>
      </c>
      <c r="AJ35" s="832">
        <f>'Confidence intervals'!AJ33</f>
        <v>0.1772381406</v>
      </c>
      <c r="AK35" s="833">
        <f>'Confidence intervals'!AK33</f>
        <v>0.3222511648</v>
      </c>
      <c r="AL35" s="834">
        <f>'Confidence intervals'!AL33</f>
        <v>0.4672641889</v>
      </c>
      <c r="AM35" s="832">
        <f>'Confidence intervals'!AM33</f>
        <v>0.1050504105</v>
      </c>
      <c r="AN35" s="833">
        <f>'Confidence intervals'!AN33</f>
        <v>0.1910007464</v>
      </c>
      <c r="AO35" s="834">
        <f>'Confidence intervals'!AO33</f>
        <v>0.2769510823</v>
      </c>
      <c r="AP35" s="832">
        <f>'Confidence intervals'!AP33</f>
        <v>0.1754993927</v>
      </c>
      <c r="AQ35" s="833">
        <f>'Confidence intervals'!AQ33</f>
        <v>0.3190898049</v>
      </c>
      <c r="AR35" s="834">
        <f>'Confidence intervals'!AR33</f>
        <v>0.4626802171</v>
      </c>
      <c r="AS35" s="832">
        <f>'Confidence intervals'!AS33</f>
        <v>0.1516202809</v>
      </c>
      <c r="AT35" s="833">
        <f>'Confidence intervals'!AT33</f>
        <v>0.275673238</v>
      </c>
      <c r="AU35" s="834">
        <f>'Confidence intervals'!AU33</f>
        <v>0.399726195</v>
      </c>
      <c r="AV35" s="832">
        <f>'Confidence intervals'!AV33</f>
        <v>0.2282804955</v>
      </c>
      <c r="AW35" s="833">
        <f>'Confidence intervals'!AW33</f>
        <v>0.4150554464</v>
      </c>
      <c r="AX35" s="834">
        <f>'Confidence intervals'!AX33</f>
        <v>0.6018303972</v>
      </c>
      <c r="AY35" s="832">
        <f>'Confidence intervals'!AY33</f>
        <v>0.1629219839</v>
      </c>
      <c r="AZ35" s="833">
        <f>'Confidence intervals'!AZ33</f>
        <v>0.2962217889</v>
      </c>
      <c r="BA35" s="834">
        <f>'Confidence intervals'!BA33</f>
        <v>0.4295215939</v>
      </c>
      <c r="BB35" s="832">
        <f>'Confidence intervals'!BB33</f>
        <v>0.09139570167</v>
      </c>
      <c r="BC35" s="833">
        <f>'Confidence intervals'!BC33</f>
        <v>0.166174003</v>
      </c>
      <c r="BD35" s="834">
        <f>'Confidence intervals'!BD33</f>
        <v>0.2409523044</v>
      </c>
      <c r="BE35" s="832">
        <f>'Confidence intervals'!BE33</f>
        <v>0.1461761387</v>
      </c>
      <c r="BF35" s="833">
        <f>'Confidence intervals'!BF33</f>
        <v>0.2657747977</v>
      </c>
      <c r="BG35" s="834">
        <f>'Confidence intervals'!BG33</f>
        <v>0.3853734567</v>
      </c>
      <c r="BH35" s="832">
        <f>'Confidence intervals'!BH33</f>
        <v>0.2409120904</v>
      </c>
      <c r="BI35" s="833">
        <f>'Confidence intervals'!BI33</f>
        <v>0.4380219825</v>
      </c>
      <c r="BJ35" s="834">
        <f>'Confidence intervals'!BJ33</f>
        <v>0.6351318747</v>
      </c>
      <c r="BK35" s="832">
        <f>'Confidence intervals'!BK33</f>
        <v>0.3255875662</v>
      </c>
      <c r="BL35" s="833">
        <f>'Confidence intervals'!BL33</f>
        <v>0.5919773931</v>
      </c>
      <c r="BM35" s="834">
        <f>'Confidence intervals'!BM33</f>
        <v>0.8583672201</v>
      </c>
      <c r="BN35" s="874"/>
    </row>
    <row r="36">
      <c r="A36" s="63"/>
      <c r="B36" s="64"/>
      <c r="C36" s="420"/>
      <c r="D36" s="64"/>
      <c r="E36" s="775" t="s">
        <v>563</v>
      </c>
      <c r="F36" s="832">
        <f>'Confidence intervals'!F36</f>
        <v>0.04775</v>
      </c>
      <c r="G36" s="833">
        <f>'Confidence intervals'!G36</f>
        <v>0.191</v>
      </c>
      <c r="H36" s="834">
        <f>'Confidence intervals'!H36</f>
        <v>0.33425</v>
      </c>
      <c r="I36" s="832">
        <f>'Confidence intervals'!I36</f>
        <v>0.10845</v>
      </c>
      <c r="J36" s="833">
        <f>'Confidence intervals'!J36</f>
        <v>0.241</v>
      </c>
      <c r="K36" s="834">
        <f>'Confidence intervals'!K36</f>
        <v>0.37355</v>
      </c>
      <c r="L36" s="832">
        <f>'Confidence intervals'!L36</f>
        <v>0.02115</v>
      </c>
      <c r="M36" s="833">
        <f>'Confidence intervals'!M36</f>
        <v>0.141</v>
      </c>
      <c r="N36" s="834">
        <f>'Confidence intervals'!N36</f>
        <v>0.26085</v>
      </c>
      <c r="O36" s="832" t="str">
        <f>'Confidence intervals'!O36</f>
        <v>-</v>
      </c>
      <c r="P36" s="833" t="str">
        <f>'Confidence intervals'!P36</f>
        <v>-</v>
      </c>
      <c r="Q36" s="834" t="str">
        <f>'Confidence intervals'!Q36</f>
        <v>-</v>
      </c>
      <c r="R36" s="832" t="str">
        <f>'Confidence intervals'!R36</f>
        <v>-</v>
      </c>
      <c r="S36" s="833" t="str">
        <f>'Confidence intervals'!S36</f>
        <v>-</v>
      </c>
      <c r="T36" s="834" t="str">
        <f>'Confidence intervals'!T36</f>
        <v>-</v>
      </c>
      <c r="U36" s="832" t="str">
        <f>'Confidence intervals'!U36</f>
        <v>-</v>
      </c>
      <c r="V36" s="833" t="str">
        <f>'Confidence intervals'!V36</f>
        <v>-</v>
      </c>
      <c r="W36" s="834" t="str">
        <f>'Confidence intervals'!W36</f>
        <v>-</v>
      </c>
      <c r="X36" s="832" t="str">
        <f>'Confidence intervals'!X36</f>
        <v>-</v>
      </c>
      <c r="Y36" s="833" t="str">
        <f>'Confidence intervals'!Y36</f>
        <v>-</v>
      </c>
      <c r="Z36" s="834" t="str">
        <f>'Confidence intervals'!Z36</f>
        <v>-</v>
      </c>
      <c r="AA36" s="832">
        <f>'Confidence intervals'!AA36</f>
        <v>0.0724</v>
      </c>
      <c r="AB36" s="833">
        <f>'Confidence intervals'!AB36</f>
        <v>0.181</v>
      </c>
      <c r="AC36" s="834">
        <f>'Confidence intervals'!AC36</f>
        <v>0.2896</v>
      </c>
      <c r="AD36" s="832">
        <f>'Confidence intervals'!AD36</f>
        <v>0.22165</v>
      </c>
      <c r="AE36" s="833">
        <f>'Confidence intervals'!AE36</f>
        <v>0.341</v>
      </c>
      <c r="AF36" s="834">
        <f>'Confidence intervals'!AF36</f>
        <v>0.46035</v>
      </c>
      <c r="AG36" s="832">
        <f>'Confidence intervals'!AG36</f>
        <v>0.22165</v>
      </c>
      <c r="AH36" s="833">
        <f>'Confidence intervals'!AH36</f>
        <v>0.341</v>
      </c>
      <c r="AI36" s="834">
        <f>'Confidence intervals'!AI36</f>
        <v>0.46035</v>
      </c>
      <c r="AJ36" s="832">
        <f>'Confidence intervals'!AJ36</f>
        <v>0.22165</v>
      </c>
      <c r="AK36" s="833">
        <f>'Confidence intervals'!AK36</f>
        <v>0.341</v>
      </c>
      <c r="AL36" s="834">
        <f>'Confidence intervals'!AL36</f>
        <v>0.46035</v>
      </c>
      <c r="AM36" s="832">
        <f>'Confidence intervals'!AM36</f>
        <v>0.22165</v>
      </c>
      <c r="AN36" s="833">
        <f>'Confidence intervals'!AN36</f>
        <v>0.341</v>
      </c>
      <c r="AO36" s="834">
        <f>'Confidence intervals'!AO36</f>
        <v>0.46035</v>
      </c>
      <c r="AP36" s="832">
        <f>'Confidence intervals'!AP36</f>
        <v>0.22165</v>
      </c>
      <c r="AQ36" s="833">
        <f>'Confidence intervals'!AQ36</f>
        <v>0.341</v>
      </c>
      <c r="AR36" s="834">
        <f>'Confidence intervals'!AR36</f>
        <v>0.46035</v>
      </c>
      <c r="AS36" s="832">
        <f>'Confidence intervals'!AS36</f>
        <v>0.22165</v>
      </c>
      <c r="AT36" s="833">
        <f>'Confidence intervals'!AT36</f>
        <v>0.341</v>
      </c>
      <c r="AU36" s="834">
        <f>'Confidence intervals'!AU36</f>
        <v>0.46035</v>
      </c>
      <c r="AV36" s="832">
        <f>'Confidence intervals'!AV36</f>
        <v>0.22165</v>
      </c>
      <c r="AW36" s="833">
        <f>'Confidence intervals'!AW36</f>
        <v>0.341</v>
      </c>
      <c r="AX36" s="834">
        <f>'Confidence intervals'!AX36</f>
        <v>0.46035</v>
      </c>
      <c r="AY36" s="832">
        <f>'Confidence intervals'!AY36</f>
        <v>0.22165</v>
      </c>
      <c r="AZ36" s="833">
        <f>'Confidence intervals'!AZ36</f>
        <v>0.341</v>
      </c>
      <c r="BA36" s="834">
        <f>'Confidence intervals'!BA36</f>
        <v>0.46035</v>
      </c>
      <c r="BB36" s="832">
        <f>'Confidence intervals'!BB36</f>
        <v>0.22165</v>
      </c>
      <c r="BC36" s="833">
        <f>'Confidence intervals'!BC36</f>
        <v>0.341</v>
      </c>
      <c r="BD36" s="834">
        <f>'Confidence intervals'!BD36</f>
        <v>0.46035</v>
      </c>
      <c r="BE36" s="832">
        <f>'Confidence intervals'!BE36</f>
        <v>0.2046</v>
      </c>
      <c r="BF36" s="833">
        <f>'Confidence intervals'!BF36</f>
        <v>0.341</v>
      </c>
      <c r="BG36" s="834">
        <f>'Confidence intervals'!BG36</f>
        <v>0.4774</v>
      </c>
      <c r="BH36" s="832">
        <f>'Confidence intervals'!BH36</f>
        <v>0.16005</v>
      </c>
      <c r="BI36" s="833">
        <f>'Confidence intervals'!BI36</f>
        <v>0.291</v>
      </c>
      <c r="BJ36" s="834">
        <f>'Confidence intervals'!BJ36</f>
        <v>0.42195</v>
      </c>
      <c r="BK36" s="832">
        <f>'Confidence intervals'!BK36</f>
        <v>0.0724</v>
      </c>
      <c r="BL36" s="833">
        <f>'Confidence intervals'!BL36</f>
        <v>0.181</v>
      </c>
      <c r="BM36" s="834">
        <f>'Confidence intervals'!BM36</f>
        <v>0.2896</v>
      </c>
      <c r="BN36" s="841"/>
    </row>
    <row r="37">
      <c r="A37" s="63"/>
      <c r="B37" s="64"/>
      <c r="C37" s="420"/>
      <c r="D37" s="64"/>
      <c r="E37" s="590" t="s">
        <v>564</v>
      </c>
      <c r="F37" s="832">
        <f>'Confidence intervals'!F37</f>
        <v>-0.144</v>
      </c>
      <c r="G37" s="833">
        <f>'Confidence intervals'!G37</f>
        <v>-0.08</v>
      </c>
      <c r="H37" s="834">
        <f>'Confidence intervals'!H37</f>
        <v>-0.016</v>
      </c>
      <c r="I37" s="832">
        <f>'Confidence intervals'!I37</f>
        <v>-0.144</v>
      </c>
      <c r="J37" s="833">
        <f>'Confidence intervals'!J37</f>
        <v>-0.08</v>
      </c>
      <c r="K37" s="834">
        <f>'Confidence intervals'!K37</f>
        <v>-0.016</v>
      </c>
      <c r="L37" s="832">
        <f>'Confidence intervals'!L37</f>
        <v>-0.144</v>
      </c>
      <c r="M37" s="833">
        <f>'Confidence intervals'!M37</f>
        <v>-0.08</v>
      </c>
      <c r="N37" s="834">
        <f>'Confidence intervals'!N37</f>
        <v>-0.016</v>
      </c>
      <c r="O37" s="832" t="str">
        <f>'Confidence intervals'!O37</f>
        <v>-</v>
      </c>
      <c r="P37" s="833" t="str">
        <f>'Confidence intervals'!P37</f>
        <v>-</v>
      </c>
      <c r="Q37" s="834" t="str">
        <f>'Confidence intervals'!Q37</f>
        <v>-</v>
      </c>
      <c r="R37" s="832" t="str">
        <f>'Confidence intervals'!R37</f>
        <v>-</v>
      </c>
      <c r="S37" s="833" t="str">
        <f>'Confidence intervals'!S37</f>
        <v>-</v>
      </c>
      <c r="T37" s="834" t="str">
        <f>'Confidence intervals'!T37</f>
        <v>-</v>
      </c>
      <c r="U37" s="832" t="str">
        <f>'Confidence intervals'!U37</f>
        <v>-</v>
      </c>
      <c r="V37" s="833" t="str">
        <f>'Confidence intervals'!V37</f>
        <v>-</v>
      </c>
      <c r="W37" s="834" t="str">
        <f>'Confidence intervals'!W37</f>
        <v>-</v>
      </c>
      <c r="X37" s="832" t="str">
        <f>'Confidence intervals'!X37</f>
        <v>-</v>
      </c>
      <c r="Y37" s="833" t="str">
        <f>'Confidence intervals'!Y37</f>
        <v>-</v>
      </c>
      <c r="Z37" s="834" t="str">
        <f>'Confidence intervals'!Z37</f>
        <v>-</v>
      </c>
      <c r="AA37" s="832">
        <f>'Confidence intervals'!AA37</f>
        <v>-0.144</v>
      </c>
      <c r="AB37" s="833">
        <f>'Confidence intervals'!AB37</f>
        <v>-0.08</v>
      </c>
      <c r="AC37" s="834">
        <f>'Confidence intervals'!AC37</f>
        <v>-0.016</v>
      </c>
      <c r="AD37" s="832">
        <f>'Confidence intervals'!AD37</f>
        <v>-0.144</v>
      </c>
      <c r="AE37" s="833">
        <f>'Confidence intervals'!AE37</f>
        <v>-0.08</v>
      </c>
      <c r="AF37" s="834">
        <f>'Confidence intervals'!AF37</f>
        <v>-0.016</v>
      </c>
      <c r="AG37" s="832">
        <f>'Confidence intervals'!AG37</f>
        <v>-0.144</v>
      </c>
      <c r="AH37" s="833">
        <f>'Confidence intervals'!AH37</f>
        <v>-0.08</v>
      </c>
      <c r="AI37" s="834">
        <f>'Confidence intervals'!AI37</f>
        <v>-0.016</v>
      </c>
      <c r="AJ37" s="832">
        <f>'Confidence intervals'!AJ37</f>
        <v>-0.144</v>
      </c>
      <c r="AK37" s="833">
        <f>'Confidence intervals'!AK37</f>
        <v>-0.08</v>
      </c>
      <c r="AL37" s="834">
        <f>'Confidence intervals'!AL37</f>
        <v>-0.016</v>
      </c>
      <c r="AM37" s="832">
        <f>'Confidence intervals'!AM37</f>
        <v>-0.144</v>
      </c>
      <c r="AN37" s="833">
        <f>'Confidence intervals'!AN37</f>
        <v>-0.08</v>
      </c>
      <c r="AO37" s="834">
        <f>'Confidence intervals'!AO37</f>
        <v>-0.016</v>
      </c>
      <c r="AP37" s="832">
        <f>'Confidence intervals'!AP37</f>
        <v>-0.144</v>
      </c>
      <c r="AQ37" s="833">
        <f>'Confidence intervals'!AQ37</f>
        <v>-0.08</v>
      </c>
      <c r="AR37" s="834">
        <f>'Confidence intervals'!AR37</f>
        <v>-0.016</v>
      </c>
      <c r="AS37" s="832">
        <f>'Confidence intervals'!AS37</f>
        <v>-0.144</v>
      </c>
      <c r="AT37" s="833">
        <f>'Confidence intervals'!AT37</f>
        <v>-0.08</v>
      </c>
      <c r="AU37" s="834">
        <f>'Confidence intervals'!AU37</f>
        <v>-0.016</v>
      </c>
      <c r="AV37" s="832">
        <f>'Confidence intervals'!AV37</f>
        <v>-0.144</v>
      </c>
      <c r="AW37" s="833">
        <f>'Confidence intervals'!AW37</f>
        <v>-0.08</v>
      </c>
      <c r="AX37" s="834">
        <f>'Confidence intervals'!AX37</f>
        <v>-0.016</v>
      </c>
      <c r="AY37" s="832">
        <f>'Confidence intervals'!AY37</f>
        <v>-0.144</v>
      </c>
      <c r="AZ37" s="833">
        <f>'Confidence intervals'!AZ37</f>
        <v>-0.08</v>
      </c>
      <c r="BA37" s="834">
        <f>'Confidence intervals'!BA37</f>
        <v>-0.016</v>
      </c>
      <c r="BB37" s="832">
        <f>'Confidence intervals'!BB37</f>
        <v>-0.144</v>
      </c>
      <c r="BC37" s="833">
        <f>'Confidence intervals'!BC37</f>
        <v>-0.08</v>
      </c>
      <c r="BD37" s="834">
        <f>'Confidence intervals'!BD37</f>
        <v>-0.016</v>
      </c>
      <c r="BE37" s="832">
        <f>'Confidence intervals'!BE37</f>
        <v>-0.144</v>
      </c>
      <c r="BF37" s="833">
        <f>'Confidence intervals'!BF37</f>
        <v>-0.08</v>
      </c>
      <c r="BG37" s="834">
        <f>'Confidence intervals'!BG37</f>
        <v>-0.016</v>
      </c>
      <c r="BH37" s="832">
        <f>'Confidence intervals'!BH37</f>
        <v>-0.144</v>
      </c>
      <c r="BI37" s="833">
        <f>'Confidence intervals'!BI37</f>
        <v>-0.08</v>
      </c>
      <c r="BJ37" s="834">
        <f>'Confidence intervals'!BJ37</f>
        <v>-0.016</v>
      </c>
      <c r="BK37" s="832">
        <f>'Confidence intervals'!BK37</f>
        <v>-0.144</v>
      </c>
      <c r="BL37" s="833">
        <f>'Confidence intervals'!BL37</f>
        <v>-0.08</v>
      </c>
      <c r="BM37" s="834">
        <f>'Confidence intervals'!BM37</f>
        <v>-0.016</v>
      </c>
      <c r="BN37" s="621"/>
    </row>
    <row r="38">
      <c r="A38" s="63"/>
      <c r="B38" s="64"/>
      <c r="C38" s="420"/>
      <c r="D38" s="64"/>
      <c r="E38" s="590" t="s">
        <v>565</v>
      </c>
      <c r="F38" s="832" t="s">
        <v>132</v>
      </c>
      <c r="G38" s="833">
        <f>'Confidence intervals'!G38</f>
        <v>-0.004005444451</v>
      </c>
      <c r="H38" s="834" t="s">
        <v>132</v>
      </c>
      <c r="I38" s="832" t="s">
        <v>132</v>
      </c>
      <c r="J38" s="833">
        <f>'Confidence intervals'!J38</f>
        <v>-0.005978161521</v>
      </c>
      <c r="K38" s="834" t="s">
        <v>132</v>
      </c>
      <c r="L38" s="832" t="s">
        <v>132</v>
      </c>
      <c r="M38" s="833">
        <f>'Confidence intervals'!M38</f>
        <v>-0.008251293564</v>
      </c>
      <c r="N38" s="834" t="s">
        <v>132</v>
      </c>
      <c r="O38" s="832" t="str">
        <f>'Confidence intervals'!O39</f>
        <v>-</v>
      </c>
      <c r="P38" s="833" t="str">
        <f>'Confidence intervals'!P39</f>
        <v>-</v>
      </c>
      <c r="Q38" s="834" t="str">
        <f>'Confidence intervals'!Q39</f>
        <v>-</v>
      </c>
      <c r="R38" s="832" t="str">
        <f>'Confidence intervals'!R39</f>
        <v>-</v>
      </c>
      <c r="S38" s="833" t="str">
        <f>'Confidence intervals'!S39</f>
        <v>-</v>
      </c>
      <c r="T38" s="834" t="str">
        <f>'Confidence intervals'!T39</f>
        <v>-</v>
      </c>
      <c r="U38" s="832" t="str">
        <f>'Confidence intervals'!U39</f>
        <v>-</v>
      </c>
      <c r="V38" s="833" t="str">
        <f>'Confidence intervals'!V39</f>
        <v>-</v>
      </c>
      <c r="W38" s="834" t="str">
        <f>'Confidence intervals'!W39</f>
        <v>-</v>
      </c>
      <c r="X38" s="832" t="str">
        <f>'Confidence intervals'!X39</f>
        <v>-</v>
      </c>
      <c r="Y38" s="833" t="str">
        <f>'Confidence intervals'!Y39</f>
        <v>-</v>
      </c>
      <c r="Z38" s="834" t="str">
        <f>'Confidence intervals'!Z39</f>
        <v>-</v>
      </c>
      <c r="AA38" s="832" t="s">
        <v>132</v>
      </c>
      <c r="AB38" s="833">
        <f>'Confidence intervals'!AB38</f>
        <v>-0.01033457603</v>
      </c>
      <c r="AC38" s="834" t="s">
        <v>132</v>
      </c>
      <c r="AD38" s="832" t="s">
        <v>132</v>
      </c>
      <c r="AE38" s="833">
        <f>'Confidence intervals'!AE38</f>
        <v>-0.002334426295</v>
      </c>
      <c r="AF38" s="834" t="s">
        <v>132</v>
      </c>
      <c r="AG38" s="832" t="s">
        <v>132</v>
      </c>
      <c r="AH38" s="833">
        <f>'Confidence intervals'!AH38</f>
        <v>-0.002607870542</v>
      </c>
      <c r="AI38" s="834" t="s">
        <v>132</v>
      </c>
      <c r="AJ38" s="832" t="s">
        <v>132</v>
      </c>
      <c r="AK38" s="833">
        <f>'Confidence intervals'!AK38</f>
        <v>-0.01006406082</v>
      </c>
      <c r="AL38" s="834" t="s">
        <v>132</v>
      </c>
      <c r="AM38" s="832" t="s">
        <v>132</v>
      </c>
      <c r="AN38" s="833">
        <f>'Confidence intervals'!AN38</f>
        <v>-0.001873480249</v>
      </c>
      <c r="AO38" s="834" t="s">
        <v>132</v>
      </c>
      <c r="AP38" s="832" t="s">
        <v>132</v>
      </c>
      <c r="AQ38" s="833">
        <f>'Confidence intervals'!AQ38</f>
        <v>-0.005250946615</v>
      </c>
      <c r="AR38" s="834" t="s">
        <v>132</v>
      </c>
      <c r="AS38" s="832" t="s">
        <v>132</v>
      </c>
      <c r="AT38" s="833">
        <f>'Confidence intervals'!AT38</f>
        <v>-0.00440740143</v>
      </c>
      <c r="AU38" s="834" t="s">
        <v>132</v>
      </c>
      <c r="AV38" s="832" t="s">
        <v>132</v>
      </c>
      <c r="AW38" s="833">
        <f>'Confidence intervals'!AW38</f>
        <v>-0.007231344834</v>
      </c>
      <c r="AX38" s="834" t="s">
        <v>132</v>
      </c>
      <c r="AY38" s="832" t="s">
        <v>132</v>
      </c>
      <c r="AZ38" s="833">
        <f>'Confidence intervals'!AZ38</f>
        <v>-0.004664506279</v>
      </c>
      <c r="BA38" s="834" t="s">
        <v>132</v>
      </c>
      <c r="BB38" s="832" t="s">
        <v>132</v>
      </c>
      <c r="BC38" s="833">
        <f>'Confidence intervals'!BC38</f>
        <v>-0.002061582971</v>
      </c>
      <c r="BD38" s="834" t="s">
        <v>132</v>
      </c>
      <c r="BE38" s="832" t="s">
        <v>132</v>
      </c>
      <c r="BF38" s="833">
        <f>'Confidence intervals'!BF38</f>
        <v>-0.02198909007</v>
      </c>
      <c r="BG38" s="834" t="s">
        <v>132</v>
      </c>
      <c r="BH38" s="832" t="s">
        <v>132</v>
      </c>
      <c r="BI38" s="833">
        <f>'Confidence intervals'!BI38</f>
        <v>-0.00428173624</v>
      </c>
      <c r="BJ38" s="834" t="s">
        <v>132</v>
      </c>
      <c r="BK38" s="832" t="s">
        <v>132</v>
      </c>
      <c r="BL38" s="833">
        <f>'Confidence intervals'!BL38</f>
        <v>-0.01284532724</v>
      </c>
      <c r="BM38" s="834" t="s">
        <v>132</v>
      </c>
      <c r="BN38" s="621"/>
    </row>
    <row r="39">
      <c r="A39" s="63"/>
      <c r="B39" s="64"/>
      <c r="C39" s="420"/>
      <c r="D39" s="420"/>
      <c r="E39" s="625" t="s">
        <v>566</v>
      </c>
      <c r="F39" s="832">
        <f>'Confidence intervals'!F39</f>
        <v>-0.5945636062</v>
      </c>
      <c r="G39" s="833">
        <f>'Confidence intervals'!G39</f>
        <v>-0.3963757375</v>
      </c>
      <c r="H39" s="834">
        <f>'Confidence intervals'!H39</f>
        <v>-0.1981878687</v>
      </c>
      <c r="I39" s="832">
        <f>'Confidence intervals'!I39</f>
        <v>-0.3645288229</v>
      </c>
      <c r="J39" s="833">
        <f>'Confidence intervals'!J39</f>
        <v>-0.2278305143</v>
      </c>
      <c r="K39" s="834">
        <f>'Confidence intervals'!K39</f>
        <v>-0.09113220573</v>
      </c>
      <c r="L39" s="832">
        <f>'Confidence intervals'!L39</f>
        <v>-0.402790167</v>
      </c>
      <c r="M39" s="833">
        <f>'Confidence intervals'!M39</f>
        <v>-0.2369353924</v>
      </c>
      <c r="N39" s="834">
        <f>'Confidence intervals'!N39</f>
        <v>-0.07108061771</v>
      </c>
      <c r="O39" s="832" t="str">
        <f>'Confidence intervals'!O40</f>
        <v/>
      </c>
      <c r="P39" s="833" t="str">
        <f>'Confidence intervals'!P40</f>
        <v/>
      </c>
      <c r="Q39" s="834" t="str">
        <f>'Confidence intervals'!Q40</f>
        <v/>
      </c>
      <c r="R39" s="832" t="str">
        <f>'Confidence intervals'!R40</f>
        <v/>
      </c>
      <c r="S39" s="833" t="str">
        <f>'Confidence intervals'!S40</f>
        <v/>
      </c>
      <c r="T39" s="834" t="str">
        <f>'Confidence intervals'!T40</f>
        <v/>
      </c>
      <c r="U39" s="832" t="str">
        <f>'Confidence intervals'!U40</f>
        <v/>
      </c>
      <c r="V39" s="833" t="str">
        <f>'Confidence intervals'!V40</f>
        <v/>
      </c>
      <c r="W39" s="834" t="str">
        <f>'Confidence intervals'!W40</f>
        <v/>
      </c>
      <c r="X39" s="832" t="str">
        <f>'Confidence intervals'!X40</f>
        <v/>
      </c>
      <c r="Y39" s="833" t="str">
        <f>'Confidence intervals'!Y40</f>
        <v/>
      </c>
      <c r="Z39" s="834" t="str">
        <f>'Confidence intervals'!Z40</f>
        <v/>
      </c>
      <c r="AA39" s="832">
        <f>'Confidence intervals'!AA39</f>
        <v>-0.4120692241</v>
      </c>
      <c r="AB39" s="833">
        <f>'Confidence intervals'!AB39</f>
        <v>-0.206034612</v>
      </c>
      <c r="AC39" s="834">
        <f>'Confidence intervals'!AC39</f>
        <v>0</v>
      </c>
      <c r="AD39" s="832">
        <f>'Confidence intervals'!AD39</f>
        <v>-0.3235778019</v>
      </c>
      <c r="AE39" s="833">
        <f>'Confidence intervals'!AE39</f>
        <v>-0.1849016011</v>
      </c>
      <c r="AF39" s="834">
        <f>'Confidence intervals'!AF39</f>
        <v>-0.04622540026</v>
      </c>
      <c r="AG39" s="832">
        <f>'Confidence intervals'!AG39</f>
        <v>-0.185007148</v>
      </c>
      <c r="AH39" s="833">
        <f>'Confidence intervals'!AH39</f>
        <v>-0.09250357399</v>
      </c>
      <c r="AI39" s="834">
        <f>'Confidence intervals'!AI39</f>
        <v>0</v>
      </c>
      <c r="AJ39" s="832">
        <f>'Confidence intervals'!AJ39</f>
        <v>-0.1243733103</v>
      </c>
      <c r="AK39" s="833">
        <f>'Confidence intervals'!AK39</f>
        <v>-0.07107046302</v>
      </c>
      <c r="AL39" s="834">
        <f>'Confidence intervals'!AL39</f>
        <v>-0.01776761575</v>
      </c>
      <c r="AM39" s="832">
        <f>'Confidence intervals'!AM39</f>
        <v>-0.3287950176</v>
      </c>
      <c r="AN39" s="833">
        <f>'Confidence intervals'!AN39</f>
        <v>-0.1878828672</v>
      </c>
      <c r="AO39" s="834">
        <f>'Confidence intervals'!AO39</f>
        <v>-0.0469707168</v>
      </c>
      <c r="AP39" s="832">
        <f>'Confidence intervals'!AP39</f>
        <v>-0.1698118966</v>
      </c>
      <c r="AQ39" s="833">
        <f>'Confidence intervals'!AQ39</f>
        <v>-0.0849059483</v>
      </c>
      <c r="AR39" s="834">
        <f>'Confidence intervals'!AR39</f>
        <v>0</v>
      </c>
      <c r="AS39" s="832">
        <f>'Confidence intervals'!AS39</f>
        <v>-0.3001148359</v>
      </c>
      <c r="AT39" s="833">
        <f>'Confidence intervals'!AT39</f>
        <v>-0.1714941919</v>
      </c>
      <c r="AU39" s="834">
        <f>'Confidence intervals'!AU39</f>
        <v>-0.04287354798</v>
      </c>
      <c r="AV39" s="832">
        <f>'Confidence intervals'!AV39</f>
        <v>-0.2451675778</v>
      </c>
      <c r="AW39" s="833">
        <f>'Confidence intervals'!AW39</f>
        <v>-0.1532297361</v>
      </c>
      <c r="AX39" s="834">
        <f>'Confidence intervals'!AX39</f>
        <v>-0.06129189445</v>
      </c>
      <c r="AY39" s="832">
        <f>'Confidence intervals'!AY39</f>
        <v>-0.2972047952</v>
      </c>
      <c r="AZ39" s="833">
        <f>'Confidence intervals'!AZ39</f>
        <v>-0.1698313115</v>
      </c>
      <c r="BA39" s="834">
        <f>'Confidence intervals'!BA39</f>
        <v>-0.04245782788</v>
      </c>
      <c r="BB39" s="832">
        <f>'Confidence intervals'!BB39</f>
        <v>-0.3173326637</v>
      </c>
      <c r="BC39" s="833">
        <f>'Confidence intervals'!BC39</f>
        <v>-0.1866662728</v>
      </c>
      <c r="BD39" s="834">
        <f>'Confidence intervals'!BD39</f>
        <v>-0.05599988183</v>
      </c>
      <c r="BE39" s="832">
        <f>'Confidence intervals'!BE39</f>
        <v>-0.04346263746</v>
      </c>
      <c r="BF39" s="833">
        <f>'Confidence intervals'!BF39</f>
        <v>-0.0241459097</v>
      </c>
      <c r="BG39" s="834">
        <f>'Confidence intervals'!BG39</f>
        <v>-0.00482918194</v>
      </c>
      <c r="BH39" s="832">
        <f>'Confidence intervals'!BH39</f>
        <v>-0.6662519475</v>
      </c>
      <c r="BI39" s="833">
        <f>'Confidence intervals'!BI39</f>
        <v>-0.444167965</v>
      </c>
      <c r="BJ39" s="834">
        <f>'Confidence intervals'!BJ39</f>
        <v>-0.2220839825</v>
      </c>
      <c r="BK39" s="832">
        <f>'Confidence intervals'!BK39</f>
        <v>-0.3261102349</v>
      </c>
      <c r="BL39" s="833">
        <f>'Confidence intervals'!BL39</f>
        <v>-0.1811723527</v>
      </c>
      <c r="BM39" s="834">
        <f>'Confidence intervals'!BM39</f>
        <v>-0.03623447055</v>
      </c>
      <c r="BN39" s="874"/>
    </row>
    <row r="40">
      <c r="A40" s="63"/>
      <c r="B40" s="64"/>
      <c r="C40" s="420"/>
      <c r="D40" s="64"/>
      <c r="E40" s="625" t="s">
        <v>553</v>
      </c>
      <c r="F40" s="961" t="s">
        <v>132</v>
      </c>
      <c r="G40" s="971">
        <f>'Main CEA'!$H$102</f>
        <v>116.25262</v>
      </c>
      <c r="H40" s="963" t="s">
        <v>132</v>
      </c>
      <c r="I40" s="961" t="s">
        <v>132</v>
      </c>
      <c r="J40" s="971">
        <f>'Main CEA'!$H$102</f>
        <v>116.25262</v>
      </c>
      <c r="K40" s="963" t="s">
        <v>132</v>
      </c>
      <c r="L40" s="961" t="s">
        <v>132</v>
      </c>
      <c r="M40" s="971">
        <f>'Main CEA'!$H$102</f>
        <v>116.25262</v>
      </c>
      <c r="N40" s="963" t="s">
        <v>132</v>
      </c>
      <c r="O40" s="964"/>
      <c r="P40" s="972"/>
      <c r="Q40" s="966"/>
      <c r="R40" s="964"/>
      <c r="S40" s="972"/>
      <c r="T40" s="966"/>
      <c r="U40" s="964"/>
      <c r="V40" s="972"/>
      <c r="W40" s="966"/>
      <c r="X40" s="964"/>
      <c r="Y40" s="972"/>
      <c r="Z40" s="966"/>
      <c r="AA40" s="961" t="s">
        <v>132</v>
      </c>
      <c r="AB40" s="971">
        <f>'Main CEA'!$H$102</f>
        <v>116.25262</v>
      </c>
      <c r="AC40" s="963" t="s">
        <v>132</v>
      </c>
      <c r="AD40" s="961" t="s">
        <v>132</v>
      </c>
      <c r="AE40" s="971">
        <f>'Main CEA'!$H$102</f>
        <v>116.25262</v>
      </c>
      <c r="AF40" s="963" t="s">
        <v>132</v>
      </c>
      <c r="AG40" s="961" t="s">
        <v>132</v>
      </c>
      <c r="AH40" s="971">
        <f>'Main CEA'!$H$102</f>
        <v>116.25262</v>
      </c>
      <c r="AI40" s="963" t="s">
        <v>132</v>
      </c>
      <c r="AJ40" s="961" t="s">
        <v>132</v>
      </c>
      <c r="AK40" s="971">
        <f>'Main CEA'!$H$102</f>
        <v>116.25262</v>
      </c>
      <c r="AL40" s="963" t="s">
        <v>132</v>
      </c>
      <c r="AM40" s="961" t="s">
        <v>132</v>
      </c>
      <c r="AN40" s="971">
        <f>'Main CEA'!$H$102</f>
        <v>116.25262</v>
      </c>
      <c r="AO40" s="963" t="s">
        <v>132</v>
      </c>
      <c r="AP40" s="961" t="s">
        <v>132</v>
      </c>
      <c r="AQ40" s="971">
        <f>'Main CEA'!$H$102</f>
        <v>116.25262</v>
      </c>
      <c r="AR40" s="963" t="s">
        <v>132</v>
      </c>
      <c r="AS40" s="961" t="s">
        <v>132</v>
      </c>
      <c r="AT40" s="971">
        <f>'Main CEA'!$H$102</f>
        <v>116.25262</v>
      </c>
      <c r="AU40" s="963" t="s">
        <v>132</v>
      </c>
      <c r="AV40" s="961" t="s">
        <v>132</v>
      </c>
      <c r="AW40" s="971">
        <f>'Main CEA'!$H$102</f>
        <v>116.25262</v>
      </c>
      <c r="AX40" s="963" t="s">
        <v>132</v>
      </c>
      <c r="AY40" s="961" t="s">
        <v>132</v>
      </c>
      <c r="AZ40" s="971">
        <f>'Main CEA'!$H$102</f>
        <v>116.25262</v>
      </c>
      <c r="BA40" s="963" t="s">
        <v>132</v>
      </c>
      <c r="BB40" s="961" t="s">
        <v>132</v>
      </c>
      <c r="BC40" s="971">
        <f>'Main CEA'!$H$102</f>
        <v>116.25262</v>
      </c>
      <c r="BD40" s="963" t="s">
        <v>132</v>
      </c>
      <c r="BE40" s="961" t="s">
        <v>132</v>
      </c>
      <c r="BF40" s="971">
        <f>'Main CEA'!$H$102</f>
        <v>116.25262</v>
      </c>
      <c r="BG40" s="963" t="s">
        <v>132</v>
      </c>
      <c r="BH40" s="961" t="s">
        <v>132</v>
      </c>
      <c r="BI40" s="971">
        <f>'Main CEA'!$H$102</f>
        <v>116.25262</v>
      </c>
      <c r="BJ40" s="963" t="s">
        <v>132</v>
      </c>
      <c r="BK40" s="961" t="s">
        <v>132</v>
      </c>
      <c r="BL40" s="971">
        <f>'Main CEA'!$H$102</f>
        <v>116.25262</v>
      </c>
      <c r="BM40" s="963" t="s">
        <v>132</v>
      </c>
      <c r="BN40" s="874"/>
    </row>
    <row r="41">
      <c r="A41" s="63"/>
      <c r="B41" s="64"/>
      <c r="C41" s="420"/>
      <c r="D41" s="64"/>
      <c r="E41" s="625" t="s">
        <v>359</v>
      </c>
      <c r="F41" s="961" t="s">
        <v>132</v>
      </c>
      <c r="G41" s="973">
        <f>'Main CEA'!$H$135</f>
        <v>0.0033545</v>
      </c>
      <c r="H41" s="963" t="s">
        <v>132</v>
      </c>
      <c r="I41" s="961" t="s">
        <v>132</v>
      </c>
      <c r="J41" s="973">
        <f>'Main CEA'!$H$135</f>
        <v>0.0033545</v>
      </c>
      <c r="K41" s="963" t="s">
        <v>132</v>
      </c>
      <c r="L41" s="961" t="s">
        <v>132</v>
      </c>
      <c r="M41" s="973">
        <f>'Main CEA'!$H$135</f>
        <v>0.0033545</v>
      </c>
      <c r="N41" s="963" t="s">
        <v>132</v>
      </c>
      <c r="O41" s="964"/>
      <c r="P41" s="974"/>
      <c r="Q41" s="966"/>
      <c r="R41" s="964"/>
      <c r="S41" s="974"/>
      <c r="T41" s="966"/>
      <c r="U41" s="964"/>
      <c r="V41" s="974"/>
      <c r="W41" s="966"/>
      <c r="X41" s="964"/>
      <c r="Y41" s="974"/>
      <c r="Z41" s="966"/>
      <c r="AA41" s="961" t="s">
        <v>132</v>
      </c>
      <c r="AB41" s="973">
        <f>'Main CEA'!$H$135</f>
        <v>0.0033545</v>
      </c>
      <c r="AC41" s="963" t="s">
        <v>132</v>
      </c>
      <c r="AD41" s="961" t="s">
        <v>132</v>
      </c>
      <c r="AE41" s="973">
        <f>'Main CEA'!$H$135</f>
        <v>0.0033545</v>
      </c>
      <c r="AF41" s="963" t="s">
        <v>132</v>
      </c>
      <c r="AG41" s="961" t="s">
        <v>132</v>
      </c>
      <c r="AH41" s="973">
        <f>'Main CEA'!$H$135</f>
        <v>0.0033545</v>
      </c>
      <c r="AI41" s="963" t="s">
        <v>132</v>
      </c>
      <c r="AJ41" s="961" t="s">
        <v>132</v>
      </c>
      <c r="AK41" s="973">
        <f>'Main CEA'!$H$135</f>
        <v>0.0033545</v>
      </c>
      <c r="AL41" s="963" t="s">
        <v>132</v>
      </c>
      <c r="AM41" s="961" t="s">
        <v>132</v>
      </c>
      <c r="AN41" s="973">
        <f>'Main CEA'!$H$135</f>
        <v>0.0033545</v>
      </c>
      <c r="AO41" s="963" t="s">
        <v>132</v>
      </c>
      <c r="AP41" s="961" t="s">
        <v>132</v>
      </c>
      <c r="AQ41" s="973">
        <f>'Main CEA'!$H$135</f>
        <v>0.0033545</v>
      </c>
      <c r="AR41" s="963" t="s">
        <v>132</v>
      </c>
      <c r="AS41" s="961" t="s">
        <v>132</v>
      </c>
      <c r="AT41" s="973">
        <f>'Main CEA'!$H$135</f>
        <v>0.0033545</v>
      </c>
      <c r="AU41" s="963" t="s">
        <v>132</v>
      </c>
      <c r="AV41" s="961" t="s">
        <v>132</v>
      </c>
      <c r="AW41" s="973">
        <f>'Main CEA'!$H$135</f>
        <v>0.0033545</v>
      </c>
      <c r="AX41" s="963" t="s">
        <v>132</v>
      </c>
      <c r="AY41" s="961" t="s">
        <v>132</v>
      </c>
      <c r="AZ41" s="973">
        <f>'Main CEA'!$H$135</f>
        <v>0.0033545</v>
      </c>
      <c r="BA41" s="963" t="s">
        <v>132</v>
      </c>
      <c r="BB41" s="961" t="s">
        <v>132</v>
      </c>
      <c r="BC41" s="973">
        <f>'Main CEA'!$H$135</f>
        <v>0.0033545</v>
      </c>
      <c r="BD41" s="963" t="s">
        <v>132</v>
      </c>
      <c r="BE41" s="961" t="s">
        <v>132</v>
      </c>
      <c r="BF41" s="973">
        <f>'Main CEA'!$H$135</f>
        <v>0.0033545</v>
      </c>
      <c r="BG41" s="963" t="s">
        <v>132</v>
      </c>
      <c r="BH41" s="961" t="s">
        <v>132</v>
      </c>
      <c r="BI41" s="973">
        <f>'Main CEA'!$H$135</f>
        <v>0.0033545</v>
      </c>
      <c r="BJ41" s="963" t="s">
        <v>132</v>
      </c>
      <c r="BK41" s="961" t="s">
        <v>132</v>
      </c>
      <c r="BL41" s="973">
        <f>'Main CEA'!$H$135</f>
        <v>0.0033545</v>
      </c>
      <c r="BM41" s="963" t="s">
        <v>132</v>
      </c>
      <c r="BN41" s="874"/>
    </row>
    <row r="42">
      <c r="A42" s="63"/>
      <c r="B42" s="64"/>
      <c r="C42" s="420"/>
      <c r="D42" s="64"/>
      <c r="E42" s="420"/>
      <c r="F42" s="975"/>
      <c r="G42" s="875"/>
      <c r="H42" s="976"/>
      <c r="I42" s="975"/>
      <c r="J42" s="875"/>
      <c r="K42" s="976"/>
      <c r="L42" s="975"/>
      <c r="M42" s="875"/>
      <c r="N42" s="976"/>
      <c r="O42" s="975"/>
      <c r="P42" s="941"/>
      <c r="Q42" s="976"/>
      <c r="R42" s="975"/>
      <c r="S42" s="941"/>
      <c r="T42" s="976"/>
      <c r="U42" s="975"/>
      <c r="V42" s="941"/>
      <c r="W42" s="976"/>
      <c r="X42" s="975"/>
      <c r="Y42" s="941"/>
      <c r="Z42" s="976"/>
      <c r="AA42" s="975"/>
      <c r="AB42" s="875"/>
      <c r="AC42" s="976"/>
      <c r="AD42" s="975"/>
      <c r="AE42" s="875"/>
      <c r="AF42" s="976"/>
      <c r="AG42" s="975"/>
      <c r="AH42" s="875"/>
      <c r="AI42" s="976"/>
      <c r="AJ42" s="975"/>
      <c r="AK42" s="875"/>
      <c r="AL42" s="976"/>
      <c r="AM42" s="975"/>
      <c r="AN42" s="875"/>
      <c r="AO42" s="976"/>
      <c r="AP42" s="975"/>
      <c r="AQ42" s="875"/>
      <c r="AR42" s="976"/>
      <c r="AS42" s="975"/>
      <c r="AT42" s="875"/>
      <c r="AU42" s="976"/>
      <c r="AV42" s="975"/>
      <c r="AW42" s="875"/>
      <c r="AX42" s="976"/>
      <c r="AY42" s="975"/>
      <c r="AZ42" s="875"/>
      <c r="BA42" s="976"/>
      <c r="BB42" s="975"/>
      <c r="BC42" s="875"/>
      <c r="BD42" s="976"/>
      <c r="BE42" s="975"/>
      <c r="BF42" s="875"/>
      <c r="BG42" s="976"/>
      <c r="BH42" s="975"/>
      <c r="BI42" s="875"/>
      <c r="BJ42" s="976"/>
      <c r="BK42" s="975"/>
      <c r="BL42" s="875"/>
      <c r="BM42" s="976"/>
      <c r="BN42" s="67"/>
    </row>
  </sheetData>
  <mergeCells count="67">
    <mergeCell ref="R3:T3"/>
    <mergeCell ref="U3:W3"/>
    <mergeCell ref="AS3:AU3"/>
    <mergeCell ref="AV3:AX3"/>
    <mergeCell ref="AY3:BA3"/>
    <mergeCell ref="BB3:BD3"/>
    <mergeCell ref="BE3:BG3"/>
    <mergeCell ref="BH3:BJ3"/>
    <mergeCell ref="BK3:BM3"/>
    <mergeCell ref="X3:Z3"/>
    <mergeCell ref="AA3:AC3"/>
    <mergeCell ref="AD3:AF3"/>
    <mergeCell ref="AG3:AI3"/>
    <mergeCell ref="AJ3:AL3"/>
    <mergeCell ref="AM3:AO3"/>
    <mergeCell ref="AP3:AR3"/>
    <mergeCell ref="X2:Z2"/>
    <mergeCell ref="AA2:AC2"/>
    <mergeCell ref="A3:E3"/>
    <mergeCell ref="F3:H3"/>
    <mergeCell ref="I3:K3"/>
    <mergeCell ref="L3:N3"/>
    <mergeCell ref="O3:Q3"/>
    <mergeCell ref="AS5:AU5"/>
    <mergeCell ref="AV5:AX5"/>
    <mergeCell ref="AY5:BA5"/>
    <mergeCell ref="BB5:BD5"/>
    <mergeCell ref="BE5:BG5"/>
    <mergeCell ref="BH5:BJ5"/>
    <mergeCell ref="BK5:BM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D2:AF2"/>
    <mergeCell ref="AG2:AI2"/>
    <mergeCell ref="AJ2:AL2"/>
    <mergeCell ref="AM2:AO2"/>
    <mergeCell ref="AP2:AR2"/>
    <mergeCell ref="AS2:AU2"/>
    <mergeCell ref="AV2:AX2"/>
    <mergeCell ref="AY2:BA2"/>
    <mergeCell ref="BB2:BD2"/>
    <mergeCell ref="BE2:BG2"/>
    <mergeCell ref="BH2:BJ2"/>
    <mergeCell ref="BK2:BM2"/>
    <mergeCell ref="F1:BM1"/>
    <mergeCell ref="F2:H2"/>
    <mergeCell ref="I2:K2"/>
    <mergeCell ref="L2:N2"/>
    <mergeCell ref="O2:Q2"/>
    <mergeCell ref="R2:T2"/>
    <mergeCell ref="U2:W2"/>
  </mergeCells>
  <drawing r:id="rId2"/>
  <legacyDrawing r:id="rId3"/>
</worksheet>
</file>