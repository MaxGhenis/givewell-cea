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Effective coverage" sheetId="3" r:id="rId6"/>
    <sheet state="visible" name="Counterfactual malaria" sheetId="4" r:id="rId7"/>
    <sheet state="visible" name="Insecticide resistance" sheetId="5" r:id="rId8"/>
    <sheet state="visible" name="LeverageFunging" sheetId="6" r:id="rId9"/>
    <sheet state="visible" name="Inputs" sheetId="7" r:id="rId10"/>
    <sheet state="visible" name="Net decay model" sheetId="8" r:id="rId11"/>
    <sheet state="visible" name="GBD estimates" sheetId="9" r:id="rId12"/>
    <sheet state="visible" name="Simple CEA" sheetId="10" r:id="rId13"/>
    <sheet state="visible" name="Confidence intervals" sheetId="11" r:id="rId14"/>
    <sheet state="visible" name="Sensitivity analysi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 authorId="0" ref="E24">
      <text>
        <t xml:space="preserve">Upstream costs cause downstream costs. Assumes the Global Fund and philanthropic actors are "upstream." The implication of Global Fund costs being "upstream" is they are not leveraged.</t>
      </text>
    </comment>
    <comment authorId="0" ref="E25">
      <text>
        <t xml:space="preserve">Upstream costs cause downstream costs. Assumes domestic government costs are downstream. The implication of these costs being "downstream" is if the program shrinks (i.e., we make a smaller donation), less of these costs will go to the intervention. These costs are leveraged costs.</t>
      </text>
    </comment>
    <comment authorId="0" ref="E225">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This category contains AMF's ITN purchases that have received full product qualification from WHO based on completing a full set of mandated durability tests. </t>
      </text>
    </comment>
    <comment authorId="0" ref="E42">
      <text>
        <t xml:space="preserve">This category contains AMF's ITN purchases that have been prequalified by WHO based on manufacturing requirements and equivalency in performance to Reference ITNs in certain tests.  ITNs in this group have not been tested as rigorously as Reference ITNs.</t>
      </text>
    </comment>
    <comment authorId="0" ref="E77">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8">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9">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IHME does not estimate 1-59 month mortality directly, but it has estimates for 1-11 month and 12-59 month mortality rates. These mortality rates are calculated as the total number of deaths in each age interval divided by the population in that interval, so we can back out the number of deaths in the 1-59 month window using the mortality rates and population estimates. </t>
      </text>
    </comment>
    <comment authorId="0" ref="I24">
      <text>
        <t xml:space="preserve">Our best guess is that all of the areas being targeted for LLIN distributions in Chad are also eligible for SMC. Our understanding is that all SMC-eligible health districts in Chad are receiving SMC, so we assume perfect overlap between LLIN- and SMC-receiving areas.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Bioassays conducted with pyrethroid insecticide + PBO to test relative mosquito mortality are sparse, and we guess that study site selection is skewed toward areas where PBO is more likely to be effective rather than random. For this reason, we expect the bioassay data alone to overestimate the effectiveness of PBO nets for the country at large. This section makes adjustments to account for the likely lack of site representativeness using additional tests that contribute data from substantially more sites.</t>
      </text>
    </comment>
    <comment authorId="0" ref="E41">
      <text>
        <t xml:space="preserve">While we have not investigated other types of Dual AI nets deeply, we have not yet seen compelling evidence that other types of Dual AI nets significantly increase net effectiveness in areas with insecticide resistance, so we assume that these nets are roughly equal in effectiveness to standard LLINs.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Global Fund states: Kwara, Niger, Adamawa, Gombe, Taraba, Yobe, Jigawa, Kaduna, Kano, Katsina, Delta, Ogun, and Osun.
Source: Malaria Consortium, Net-Target Project Report: Nigeria 2020, p. 9
https://files.givewell.org/files/DWDA%202009/Malaria%20Consortium/Malaria_Consortium_Net_target_project_report_Nigeria_2020_Redacted.pdf</t>
      </text>
    </comment>
    <comment authorId="0" ref="M3">
      <text>
        <t xml:space="preserve">PMI states: Benue, Nasarawa, Plateau, Bauchi, Kebbi, Sokoto, Zamfara, Ebonyi, Akwa Ibom, Cross River, and Oyo.
Source: Malaria Consortium, Net- Target Project Report: Nigeria 2020, p. 9
https://files.givewell.org/files/DWDA%202009/Malaria%20Consortium/Malaria_Consortium_Net_target_project_report_Nigeria_2020_Redacted.pdf</t>
      </text>
    </comment>
    <comment authorId="0" ref="E8">
      <text>
        <t xml:space="preserve">This row assumes a donation of arbitrary size ($1,000,000) across countries.</t>
      </text>
    </comment>
    <comment authorId="0" ref="E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1">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t>
      </text>
    </comment>
    <comment authorId="0" ref="I12">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I13">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6">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21">
      <text>
        <t xml:space="preserve">We estimate that ~70% of nets distributed in trials included in the Pryce et al. 2018 meta-analysis were used. See our calculations here: 
https://docs.google.com/spreadsheets/d/1rmLYHM8SYieYYkpKThdVh25DlvbK_wyP6k_eTQ0oSCs/edit#gid=1430231703</t>
      </text>
    </comment>
    <comment authorId="0" ref="E22">
      <text>
        <t xml:space="preserve">This adjustment is used to account for reduced net efficacy due to poor net usage (i.e., people who receive nets not sleeping under them). 
Net use was imperfect in trial contexts, but we guess that net use following AMF's distributions may still be lower than it was in trial contexts.  
Some information about net use in bed net trials and AMF programs can be viewed at https://docs.google.com/a/givewell.org/document/d/1-wcSC2wz6Jn8uKALZvyAo9Um1ukhIB5GMaie8lQDmhU/edit?usp=sharing. 
Methods for collecting usage data vary, and we don't believe we can make a simple apples-to-apples comparison between AMF use data and use data from bed net trials. We have substantial uncertainty, but our best guess is that a value of 90% is appropriate for this parameter. 
An excerpt from Lengeler 2004 (pp. 10-11) details why net use may be a concern in large-scale distributions:
"The bulk of data in this review describe impact under ideal trial conditions (efficacy) rather than impact under large-scale programme conditions (effectiveness). While the difference between efficacy and effectiveness is likely to be small for certain medical interventions (such as vaccination or surgery), it can potentially be large for preventive interventions such as ITNs. 
Some of the consequences of moving from a scientific trial towards a large-scale programme is illustrated by the results of the two mortality trials carried out in The Gambia. The first trial was carried out under well-controlled implementation conditions, with a high coverage rate in the target population (Gambia (Alonso)). Unfortunately it was not randomized and hence not included in the present analysis. The second one was the evaluation of a national impregnation programme carried out by primary health care personnel and which faced some operational problems...and a lower coverage rate (around 60%) of the target population (Gambia (D’Alessandro)).The difference of impact between the two studies is important: the first trial achieved a total reduction in mortality of 42%, while the protective efficacy in the second trial was 23%." 
(Link to Lengeler 2004: https://www.ncbi.nlm.nih.gov/pubmed/15106149)
Additional discussion about net ownership and use is available at https://www.givewell.org/international/technical/programs/insecticide-treated-nets#How_have_larger-scale_distributions_compared_to_the_programs_addressed_in_these_studies.
</t>
      </text>
    </comment>
    <comment authorId="0" ref="E25">
      <text>
        <t xml:space="preserve">We use data from AMF's post-distribution monitoring surveys to estimate the average number of people sleeping under each used net. See our analysis here:
https://docs.google.com/spreadsheets/d/1MnNwE52TiWwszvSMP39m20dy7dhRmSPvoMCKGlvPqrg/edit?usp=sharing
We have not seen survey results from distributions in Chad, Nigeria, or South Sudan, so we rely on our "overall" estimate for these countries.</t>
      </text>
    </comment>
    <comment authorId="0" ref="E35">
      <text>
        <t xml:space="preserve">It's likely that overall net coverage rates were higher in trials compared to AMF distributions. In the study that makes up the majority of the weight in the Cochrane review (Phillips-Howard 2003, 66% weight), attrition of originally distributed nets was low at 8% over 24 months, but net coverage remained above AMF targets for the duration of the 2-year trial due to a high initial coverage rate and additional nets distributed over the study period.
"Eight quarterly surveys were conducted between March 1997 and January 1999 consisting of visits to 784 houses (384 in year 1 and 400 in year 2) that contained 2,178 persons, of whom 446 were children less than five years of age or 11% of all children in the intervention villages in Asembo. The initial ratio of people to project-issued ITNs based upon records of ITNs issued was 1.46 (2,176 people to 1,488 ITNs). Coverage ratios in houses with children were higher than in houses without children (1.82 versus 1.19), reflecting the fact that children are more likely to share sleeping places, and thus ITNs, than adults. Of the 1,488 ITNs issued to the households we sampled, we found 1,372, or 92%, still in place. The percentage of ITNs present in houses that were in use was 73.5% in 1997 and 67.5% in 1998, but this difference was not statistically significant (P = 0.10)." Alaii et al. 2003, http://www.ajtmh.org/content/journals/10.4269/ajtmh.2003.68.137#html_fulltext (companion to Phillips-Howard 2003 RCT). </t>
      </text>
    </comment>
    <comment authorId="0" ref="E44">
      <text>
        <t xml:space="preserve">None of the relevant RCTs of bednets reported data on holes in nets, so this input is highly uncertain. We expect that ITNs in AMF distributions likely have more holes on average than the CTNs used in trials, because trial nets spent less time in the field and likely deteriorated more slowly due to increased training, monitoring, and repair. We benchmark physical damage to CTNs on our Vestergaard PermaNet 2.0 data for the proportion of nets that are too torn, and guess that nets took one-third less damage in trials for each relevant monitoring point up to 24 months post-distribution.</t>
      </text>
    </comment>
    <comment authorId="0" ref="E47">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et al. 1997, p. 857.
https://onlinelibrary.wiley.com/doi/10.1046/j.1365-3156.1997.d01-413.x 
We are uncertain how quickly the insecticidal content of Dual AI nets (e.g., PBO and chlorfenapyr nets) decays compared to the LLINs and CTNs.</t>
      </text>
    </comment>
    <comment authorId="0" ref="E48">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1997, p. 857. https://onlinelibrary.wiley.com/doi/10.1046/j.1365-3156.1997.d01-413.x
We are uncertain how quickly the insecticidal content of Dual AI nets (e.g., PBO and chlorfenapyr nets) decays compared to the LLINs and CTNs.</t>
      </text>
    </comment>
    <comment authorId="0" ref="E54">
      <text>
        <t xml:space="preserve">This category includes net brands that have received product prequalification from WHO based on passing Phase I and sometimes Phase II tests, but haven't undergone Phase III field testing. 
Our example net for this category is the Yorkool LN, which we estimate performs about 15% worse than the PermaNet 2.0. We calculate this value in this spreadsheet (https://docs.google.com/spreadsheets/d/1FSgCl6QEgDsI_-FwVd2jmvrObh_Ko8y5_jXJo-kW4iI/edit#gid=188040397&amp;range=A54:B54) based on our interpretation of the limited field evidence available for the Yorkool LN net. We rounded this value to the nearest multiple of 5 to reflect our uncertainty about this input. 
We have not researched other generic brands at the same level of depth, and we make the provisional assumption that they perform similarly to the Yorkool. Based on their generic status, we expect there to be limited supporting evidence currently available for the durability of these nets in the field, and it seems reasonable to us to apply the same moderate -15% performance penalty to them to account for this uncertainty. </t>
      </text>
    </comment>
    <comment authorId="0" ref="E60">
      <text>
        <t xml:space="preserve">We estimate a durability adjustment of -17.4% for DRC in this spreadsheet: 
https://docs.google.com/spreadsheets/d/1WKRStr770eb8XmWP69E7ZtmQw2vv5GFjXjLbEVaSOpo/edit?usp=sharing
For an in-depth explanation of our methodology, see this report: https://www.givewell.org/international/technical/programs/insecticide-treated-nets/estimating-equivalent-coverage-years-for-LLINs</t>
      </text>
    </comment>
    <comment authorId="0" ref="E74">
      <text>
        <t xml:space="preserve">See our CEA changelog here for more details about why we use these inputs for DRC and Nigeria: 
https://www.givewell.org/how-we-work/our-criteria/cost-effectiveness/cost-effectiveness-models/changelog-2021#Adjustment_for_program_impact_being_to_move_distributions_closer_together
See our CEA changelog here for more details about why we use these inputs for South Sudan:
https://www.givewell.org/how-we-work/our-criteria/cost-effectiveness/cost-effectiveness-models/changelog-2023#Campaign_spacing</t>
      </text>
    </comment>
    <comment authorId="0" ref="J74">
      <text>
        <t xml:space="preserve">This is our rough best guess of the average campaign interval based on information we have received from AMF on the distribution schedule for past and future campaigns. </t>
      </text>
    </comment>
    <comment authorId="0" ref="J75">
      <text>
        <t xml:space="preserve">This is our rough best guess of the average campaign interval based on information we have received from AMF on the distribution schedule for past and future campaigns. </t>
      </text>
    </comment>
    <comment authorId="0" ref="E78">
      <text>
        <t xml:space="preserve">We assume that households discard 50% of residual nets at the point of a new distribution. We have not seen any empirical data to support this estimate, so this is a very rough guess.</t>
      </text>
    </comment>
    <comment authorId="0" ref="E80">
      <text>
        <t xml:space="preserve">An uncertain guess. 
We'd guess that the field surveys we relied on for estimating how long the PermaNet 2.0 lasts encompass distributions with various amounts of time elapsed since the prior distribution round. Some of them likely feature low to negligible pre-existing net coverage, and others may reflect distributions at regular 36-month intervals with substantial pre-existing net coverage, which in turn likely extends survival estimates (unless households immediately discard all older nets). </t>
      </text>
    </comment>
    <comment authorId="0" ref="L85">
      <text>
        <t xml:space="preserve">See here for our population estimates for Nigeria: https://docs.google.com/spreadsheets/d/1sZAarP83X83NRN7B6cyxpJOmmpeHJpv5T4Pz_ZTBgEs/edit#gid=472490601&amp;range=9:10</t>
      </text>
    </comment>
    <comment authorId="0" ref="M85">
      <text>
        <t xml:space="preserve">See here for our population estimates for Nigeria: https://docs.google.com/spreadsheets/d/1sZAarP83X83NRN7B6cyxpJOmmpeHJpv5T4Pz_ZTBgEs/edit#gid=472490601&amp;range=9:10</t>
      </text>
    </comment>
    <comment authorId="0" ref="L86">
      <text>
        <t xml:space="preserve">See here for our population estimates for Nigeria: https://docs.google.com/spreadsheets/d/1sZAarP83X83NRN7B6cyxpJOmmpeHJpv5T4Pz_ZTBgEs/edit#gid=472490601&amp;range=9:10</t>
      </text>
    </comment>
    <comment authorId="0" ref="M86">
      <text>
        <t xml:space="preserve">See here for our population estimates for Nigeria: https://docs.google.com/spreadsheets/d/1sZAarP83X83NRN7B6cyxpJOmmpeHJpv5T4Pz_ZTBgEs/edit#gid=472490601&amp;range=9:10</t>
      </text>
    </comment>
    <comment authorId="0" ref="L89">
      <text>
        <t xml:space="preserve">See here for our baseline malaria mortality rates for Nigeria: https://docs.google.com/spreadsheets/d/1sZAarP83X83NRN7B6cyxpJOmmpeHJpv5T4Pz_ZTBgEs/edit#gid=472490601&amp;range=17:18</t>
      </text>
    </comment>
    <comment authorId="0" ref="M89">
      <text>
        <t xml:space="preserve">See here for our baseline malaria mortality rates for Nigeria: https://docs.google.com/spreadsheets/d/1sZAarP83X83NRN7B6cyxpJOmmpeHJpv5T4Pz_ZTBgEs/edit#gid=472490601&amp;range=17:18</t>
      </text>
    </comment>
    <comment authorId="0" ref="L90">
      <text>
        <t xml:space="preserve">See here for our baseline malaria mortality rates for Nigeria: https://docs.google.com/spreadsheets/d/1sZAarP83X83NRN7B6cyxpJOmmpeHJpv5T4Pz_ZTBgEs/edit#gid=472490601&amp;range=17:18</t>
      </text>
    </comment>
    <comment authorId="0" ref="M90">
      <text>
        <t xml:space="preserve">See here for our baseline malaria mortality rates for Nigeria: https://docs.google.com/spreadsheets/d/1sZAarP83X83NRN7B6cyxpJOmmpeHJpv5T4Pz_ZTBgEs/edit#gid=472490601&amp;range=17:18</t>
      </text>
    </comment>
    <comment authorId="0" ref="C92">
      <text>
        <t xml:space="preserve">We use a modified copy of our CEA for Malaria Consortium's seasonal malaria chemoprevention (SMC) program to estimate how much lower we should expect baseline malaria mortality rates to be in areas where SMC is implemented.</t>
      </text>
    </comment>
    <comment authorId="0" ref="O93">
      <text>
        <t xml:space="preserve">Malaria Consortium SMC philanthropy report 2020, p. 23, Table 11. 
https://files.givewell.org/files/DWDA%202009/Interventions/Nets/SMCPhilanthropyReport2020.pdf</t>
      </text>
    </comment>
    <comment authorId="0" ref="E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R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I100">
      <text>
        <t xml:space="preserve">See here for our estimated malaria incidence for Chad: https://docs.google.com/spreadsheets/d/1M8oDu73Yce2dxgyjPLvlDVpL-E7p1sof1nuhBQ3f2Co/edit#gid=430906804&amp;range=45:45</t>
      </text>
    </comment>
    <comment authorId="0" ref="L100">
      <text>
        <t xml:space="preserve">See here for our malaria incidence estimates for Nigeria: https://docs.google.com/spreadsheets/d/1M8oDu73Yce2dxgyjPLvlDVpL-E7p1sof1nuhBQ3f2Co/edit#gid=472490601&amp;range=47:48</t>
      </text>
    </comment>
    <comment authorId="0" ref="M100">
      <text>
        <t xml:space="preserve">See here for our malaria incidence estimates for Nigeria: https://docs.google.com/spreadsheets/d/1M8oDu73Yce2dxgyjPLvlDVpL-E7p1sof1nuhBQ3f2Co/edit#gid=472490601&amp;range=47:48</t>
      </text>
    </comment>
    <comment authorId="0" ref="I101">
      <text>
        <t xml:space="preserve">See here for our estimated malaria incidence for Chad: https://docs.google.com/spreadsheets/d/1M8oDu73Yce2dxgyjPLvlDVpL-E7p1sof1nuhBQ3f2Co/edit#gid=430906804&amp;range=45:45</t>
      </text>
    </comment>
    <comment authorId="0" ref="L101">
      <text>
        <t xml:space="preserve">See here for our malaria incidence estimates for Nigeria: https://docs.google.com/spreadsheets/d/1M8oDu73Yce2dxgyjPLvlDVpL-E7p1sof1nuhBQ3f2Co/edit#gid=472490601&amp;range=47:48</t>
      </text>
    </comment>
    <comment authorId="0" ref="M101">
      <text>
        <t xml:space="preserve">See here for our malaria incidence estimates for Nigeria: https://docs.google.com/spreadsheets/d/1M8oDu73Yce2dxgyjPLvlDVpL-E7p1sof1nuhBQ3f2Co/edit#gid=472490601&amp;range=47:48</t>
      </text>
    </comment>
    <comment authorId="0" ref="I106">
      <text>
        <t xml:space="preserve">For Chad, we use bioassay data for the 2013-2019 period because there are very few data points available since 2015.</t>
      </text>
    </comment>
    <comment authorId="0" ref="N106">
      <text>
        <t xml:space="preserve">For South Sudan, we rely on a small dataset of bioassay results from 2020 because we have not seen any other recent bioassay results.</t>
      </text>
    </comment>
    <comment authorId="0" ref="E109">
      <text>
        <t xml:space="preserve">We use the estimated increase in median mortality to permethrin (5% increase over 6 years, see cell formulas). 
"Trends analyses were conducted to determine whether there were any significant changes between 2010 and 2016 in malaria vector resistance to specific insecticides, and in specific vector groups (Fig. 4.4 and Fig. 4.5). A global increase in resistance frequency was observed for all pyrethroid insecticides tested. Increases were greatest for etofenprox (44% rise, from 7% to 51%), alphacypermethrin (40% rise, from 10% to 50%) and cyfluthrin (28% rise, from 4% to 32%). The increase was less pronounced for the other pyrethroids although these also had a higher initial resistance frequency in 2010: deltamethrin (14% rise, from 20% to 34%), permethrin (5% rise, from 40% to 45%) and lambda-cyhalothrin (3% rise, from 33% to 36%). This indicates that increasing resistance is an issue for all pyrethroids, and that reductions in susceptibility are most marked for those insecticides for which susceptibility was highest in 2010. Further evaluations will be undertaken to identify whether there are differences in resistance frequency and trends over time between insecticides of the pyrethroid class, in order to guide requirements for insecticide resistance monitoring." WHO Global Report on insecticide resistance 2010-2016, p. 20</t>
      </text>
    </comment>
    <comment authorId="0" ref="I115">
      <text>
        <t xml:space="preserve">For Chad, we use synergist bioassay data for the 2010-2019 period, because there are very few data points available since 2015.</t>
      </text>
    </comment>
    <comment authorId="0" ref="O115">
      <text>
        <t xml:space="preserve">In Togo, the only synergist bioassays we have seen were conducted in 2013.</t>
      </text>
    </comment>
    <comment authorId="0" ref="E118">
      <text>
        <t xml:space="preserve">We calculate the proportion of tested sites where the relevant resistance mechanism was detected here: https://docs.google.com/spreadsheets/d/15QWc-B3OipAvJCdG5iB0a70cMkLDFE2evuudT93fi-8/edit#gid=827576829
Only sites with mono-oxygenase based resistance mechanisms are susceptible to PBO treatment and recommended for PBO net deployment. 
See WHO Guidelines for malaria control, p. xvii.  
https://apps.who.int/iris/bitstream/handle/10665/310862/9789241550499-eng.pdf?ua=1</t>
      </text>
    </comment>
    <comment authorId="0" ref="K118">
      <text>
        <t xml:space="preserve">WHO Malaria Threat Map does not have any data available on the presence of mono-oxygenase resistance mechanisms in Guinea since 2010. See here: https://docs.google.com/spreadsheets/d/15QWc-B3OipAvJCdG5iB0a70cMkLDFE2evuudT93fi-8/edit#gid=827576829
In absence of any data from Guinea, we assume that the proportion of sites with mono-oxygenase resistance in Guinea is equal to the value for Nigeria.</t>
      </text>
    </comment>
    <comment authorId="0" ref="O118">
      <text>
        <t xml:space="preserve">WHO Malaria Threat Map does not have any data available on the presence of mono-oxygenase resistance mechanisms in Togo since 2010. See here: https://docs.google.com/spreadsheets/d/15QWc-B3OipAvJCdG5iB0a70cMkLDFE2evuudT93fi-8/edit#gid=827576829
In absence of any data from Togo, we assume that the proportion of sites with mono-oxygenase resistance in Togo is equal to the value for Nigeria.</t>
      </text>
    </comment>
    <comment authorId="0" ref="E121">
      <text>
        <t xml:space="preserve">Our current best guess is that the combination of insecticides used in chlorfenapyr nets protects against a reduction in effectiveness due to insecticide resistance. This estimate could change as more evidence on their implementation and effectiveness is collected.</t>
      </text>
    </comment>
    <comment authorId="0" ref="C123">
      <text>
        <t xml:space="preserve">The numbers in this section represent our best guesses based on conversations with AMF.</t>
      </text>
    </comment>
    <comment authorId="0" ref="E132">
      <text>
        <t xml:space="preserve">Estimate of the reduction in incidence for plasmodium falciparum malaria for those receiving nets from the Cochrane 2018 review of ITNs, Pryce et al. 2018. See the Pryce et al. 2018 meta-analysis here: https://www.cochranelibrary.com/cdsr/doi/10.1002/14651858.CD000363.pub3/full. 
We decided to use the input for p. falciparum malaria over p. vivax malaria because the incidence estimates we've seen suggest that p. vivax malaria cases are a negligible proportion of total malaria cases in Africa, where we expect AMF to fund net distributions.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Pryce et al. 2018, p. 2. 
Estimated case numbers of Plasmodium vivax, Regional Office for Africa, 2017: 0.67 million. Battle et al. 2019, Table 1. (https://www.thelancet.com/journals/lancet/article/PIIS0140-6736(19)31096-7/fulltext). 
Estimated case incidence count of Plasmodium falciparum, Sub-Saharan Africa, 2017: 182.7 million. Weiss et al. 2019 (https://www.thelancet.com/journals/lancet/article/PIIS0140-6736(19)31097-9/fulltext). 
We also considered using the relative reduction from analyses of (i) parasite prevalence, and (ii) splenomegaly.
We decided to use the estimate of reduction in incidence for two reasons:
(i) the largest number of trials in Lengeler 2004 collect this outcome
(ii) it is consistent with our approach for estimating prevalence reductions for seasonal malaria chemoprevention.</t>
      </text>
    </comment>
    <comment authorId="0" ref="E133">
      <text>
        <t xml:space="preserve">This adjustment is used to account for the possibility that the summary effect reported in Lengeler's 2004 meta-analysis might not have been the true effect ITNs had on the populations being studied. It's GiveWell's best guess that these trials captured something close to the true effect of nets in the study settings. Although we don't have specific, serious concerns about internal validity, we use a default value below 100% based on our expectation that published studies are more likely to overstate an intervention's efficacy than understate it. 
A new Cochrane meta-analysis, Pryce et al. 2018, evaluated the risk of bias of nets studies and rated the quality of the studies of child mortality as generally high, with the relevant studies scoring as at low risk of bias in most categories.
(Link to Lengeler 2004: https://www.ncbi.nlm.nih.gov/pubmed/15106149; Link to Pryce et al. 2018: https://www.ncbi.nlm.nih.gov/pubmed/30398672)</t>
      </text>
    </comment>
    <comment authorId="0" ref="E134">
      <text>
        <t xml:space="preserve">This parameter takes into account that there may be differences in context between nets trials and current distributions that affect program results. 
This external validity adjustment is relatively small because we have already accounted for the major considerations that we believe drive external validity separately in this model: net usage, country-specific mortality rates, and insecticide resistance. </t>
      </text>
    </comment>
    <comment authorId="0" ref="E135">
      <text>
        <t xml:space="preserve">Here we assume the ratio of malaria mortality reduction to malaria incidence reduction for LLIN distributions is equal to the ratio we use in our CEA of seasonal malaria chemoprevention (SMC).
From our SMC CEA: "Academic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136">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137">
      <text>
        <t xml:space="preserve">Source: Malaria Atlas Project, ITN coverage estimates https://files.givewell.org/files/DWDA%202009/Interventions/Nets/GBD2019_ITN_coverage_expanded1.docx
For studies that inform this data, see Bhatt et al. 2015 (https://elifesciences.org/articles/09672) and Bertozzi-Villa et al. 2021 (https://www.nature.com/articles/s41467-021-23707-7)
</t>
      </text>
    </comment>
    <comment authorId="0" ref="L140">
      <text>
        <t xml:space="preserve">See here for our calculations for Nigeria: https://docs.google.com/spreadsheets/d/1sZAarP83X83NRN7B6cyxpJOmmpeHJpv5T4Pz_ZTBgEs/edit#gid=472490601&amp;range=P41</t>
      </text>
    </comment>
    <comment authorId="0" ref="M140">
      <text>
        <t xml:space="preserve">See here for our calculations for Nigeria: https://docs.google.com/spreadsheets/d/1sZAarP83X83NRN7B6cyxpJOmmpeHJpv5T4Pz_ZTBgEs/edit#gid=472490601&amp;range=D41</t>
      </text>
    </comment>
    <comment authorId="0" ref="L141">
      <text>
        <t xml:space="preserve">See here for our calculations for Nigeria: https://docs.google.com/spreadsheets/d/1sZAarP83X83NRN7B6cyxpJOmmpeHJpv5T4Pz_ZTBgEs/edit#gid=472490601&amp;range=P40</t>
      </text>
    </comment>
    <comment authorId="0" ref="M141">
      <text>
        <t xml:space="preserve">See here for our calculations for Nigeria: https://docs.google.com/spreadsheets/d/1sZAarP83X83NRN7B6cyxpJOmmpeHJpv5T4Pz_ZTBgEs/edit#gid=472490601&amp;range=D40</t>
      </text>
    </comment>
    <comment authorId="0" ref="E142">
      <text>
        <t xml:space="preserve">AMF distributed long-lasting insecticide treated nets (LLINs), which are a type of insecticide-treated net (ITN).
The link between ITN coverage and age 5 and over mortality is not well-established by empirical research. GiveWell has spoken with malaria experts who agreed that there is a solid theoretical basis for believing that ITNs should avert adult deaths. Additional details are available in our writeup at https://www.givewell.org/international/technical/programs/insecticide-treated-nets/malaria-mortality-over-five.
In our model, we consider the ratio of adult malaria deaths to child malaria deaths in countries where AMF works (using estimates from the Global Burden of Disease Project). A value of 100% for this parameter would imply that ITNs avert deaths directly in accordance with that ratio.
For example: Imagine that data suggest there are two under-5 malaria deaths for every age 5+ malaria death in a given setting. An input of 100% for this parameter would suggest that for every two under-5 deaths averted, one age 5+ death is averted. Similarly, in the same situation an input of 50% would indicate that one age 5+ death is averted for every four under-5 deaths averted.  
Note that one might choose a low value for this parameter if he or she believes that Global Burden of Disease estimates overstate malaria mortality in individuals age 5 and older.
We use a suggested value of 80%, but have limited confidence about the appropriate value for this parameter. Our value of 80% is based on the following:
1) Two reasons why bed nets may reduce proportionally less death in adults than children are:
(a) Later sleeping times: ~15% adjustment. Older individuals may go to sleep later in the day than young children. As a result, 5-and-overs may be less likely to be under bed nets during the hours when mosquitoes are most likely to bite. We do not have data on this; the only malaria researcher we spoke to who commented on this said, "We investigated mosquito biting times and the times people are under a bed net, and generally did not find large differences between adults and children, though it did vary substantially from site to site." (See link to notes in above report.) We have very roughly guessed that perhaps children are asleep during ~10 critical hours of mosquito biting time. If older individuals are not under bed nets for ~1.5 of those hours, then we roughly assume the nets are ~15% less effective for them.
(b) Lower net use: ~15% adjustment. Maybe older individuals use nets less than young children. We have not yet investigated this in-depth. The only malaria researcher we spoke to who commented on this said, "Bed net usage rates among adults are quite good overall; they mostly share a sleeping place with young children. Again, there is very little research out there and quite a lot of variability. For example, one study found the lowest usage is often among teenagers as, unlike young children, adolescents often don’t share sleeping spaces with their parents." (See link to notes in above report.) We have adjusted by ~15% for this factor very arbitrarily.
2) One factor going in the other direction is that we'd guess that a substantial portion of bednets' effects are community-level effects that come about from generally killing mosquitoes in a region; since these effects are not based on bed net usage practices for any given individual, we expect them to be similar for children and adults. We add ~10% to the adjustment to account for this factor.
3) Final discount: 100% - 15% - 15% + 10% = 80%</t>
      </text>
    </comment>
    <comment authorId="0" ref="E14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14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receiving nets and starting work.</t>
      </text>
    </comment>
    <comment authorId="0" ref="E14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14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H16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16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68">
      <text>
        <t xml:space="preserve">Scenario: The program is delivered to people who don't benefit or minimally benefit because they have received the program from another source.
This possibility is captured elsewhere in the cost-effectiveness model.</t>
      </text>
    </comment>
    <comment authorId="0" ref="E169">
      <text>
        <t xml:space="preserve">Scenario: Pills, ITNs, etc. are poorly made, counterfeit, or otherwise largely or fully ineffective at achieving the expected outcome. 
We looked into it this year and now know what brands of nets AMF is buying and in what quantities. The difference in effectiveness of brands is incorporated into the adjustment for effective coverage years.</t>
      </text>
    </comment>
    <comment authorId="0" ref="E170">
      <text>
        <t xml:space="preserve">Our cost per net analysis already accounts for nets that are purchased and do not reach households, so we do not need to adjust for that here.</t>
      </text>
    </comment>
    <comment authorId="0" ref="E17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results from all large-scale distributions that occurred from 2012-2020 and from one distribution that occurred in 2021, though some post-distribution monitoring rounds have been delayed or skipped. We have not yet seen results from Nigeria, where we expect AMF to spend significant funding in the next few years, because the first distributions it will support there had not occurred at the time of our review.</t>
      </text>
    </comment>
    <comment authorId="0" ref="E173">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AMF's post-distribution monitoring from recent years and have seen a relatively large amount of data beyond headline results; we thus believe we have identified most major risks of bias. AMF's monitoring includes a procedure to audit data collectors' work; this procedure has found lower correspondence on key indicators than we would have expected. In some cases, results for net retention over time are higher than we would have expected compared to the independent literature.</t>
      </text>
    </comment>
    <comment authorId="0" ref="E17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have enough experience with AMF that our cost per ITN analysis is capturing our best guess of the proportion of funds we expect AMF to use for other purposes in the future.</t>
      </text>
    </comment>
    <comment authorId="0" ref="E17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AMF has often been slower to spend funding than it has projected, but overall has spent funding within a few years of receiving it.</t>
      </text>
    </comment>
    <comment authorId="0" ref="E177">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C17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E188">
      <text>
        <t xml:space="preserve">See our CEA changelog here for more details: 
https://www.givewell.org/how-we-work/our-criteria/cost-effectiveness/cost-effectiveness-models/changelog-2021#Adjustment_for_marginal_funding_going_to_lower_priority_areas</t>
      </text>
    </comment>
    <comment authorId="0" ref="I188">
      <text>
        <t xml:space="preserve">For Chad, we use a weighted average of subnational-level data on mortality rates and malaria prevalence (see calculations here: https://docs.google.com/spreadsheets/d/1yYHguoki75oBh-ml4MxYroTWnaWzelAJlssEK8GoEdY/edit?usp=sharing). 
Because we are using subnational-level data, an additional adjustment for marginal funding going to lower priority areas isn't necessary. </t>
      </text>
    </comment>
    <comment authorId="0" ref="E195">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E196">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J196">
      <text>
        <t xml:space="preserve">GiveWell estimate based on projections we have seen for funding gaps and contributions from other funders for ITN campaigns in DRC in 2024-26. We do not yet have permission to publish this information.</t>
      </text>
    </comment>
    <comment authorId="0" ref="L196">
      <text>
        <t xml:space="preserve">See this spreadsheet for details: https://docs.google.com/spreadsheets/d/1vTly3-ywHlTr3K0HXOkyUYoc6Y2wNEgfQgq_-YtBVM8/edit?usp=sharing</t>
      </text>
    </comment>
    <comment authorId="0" ref="M196">
      <text>
        <t xml:space="preserve">Additional data informing this probability: In 2021-2023, we expect AMF will contribute $39.2m to ITN campaigns in PMI-supported states in Nigeria. Based on plans as of late 2021 (shared with us by AMF), we expect that PMI will spend -$7.9m on ITNs than it would have without AMF's contributions. $7.9m/$39.2m = 20%, i.e. 20% of AMF's contribution displaced PMI's funding in this period.
This is a simple calculation that doesn't account for longer-term effects of AMF's funding. It's not clear what direction the longer-term effects will go in. On the one hand, AMF's contributions have served to decrease the interval between ITN campaigns in these states and the government may advocate to PMI to help maintain that schedule in the future, thus crowding in PMI funding. On the other hand, in future cycles less funding may be allocated for ITN campaigns with the expectation that AMF will continue to contribute funding.
Supporting data [internal to GiveWell]: https://givewell.app.box.com/file/891944657319</t>
      </text>
    </comment>
    <comment authorId="0" ref="N196">
      <text>
        <t xml:space="preserve">See this spreadsheet for details: 
https://docs.google.com/spreadsheets/d/1dsEzePBmXi2Kz3NE4ZtBzfGL6EPzE5pgrQmmG0Mjwi8/edit#gid=0&amp;range=E21</t>
      </text>
    </comment>
    <comment authorId="0" ref="E197">
      <text>
        <t xml:space="preserve">Other upstream actors would continue funding the program at the same level they currently do. In-kind government costs are partially leveraged because the program gets smaller in the absence of spending from AMF and other philanthropic actors.
This scenario is not applicable for AMF because we are not modeling any upstream costs beyond GiveWell-directed funding.</t>
      </text>
    </comment>
    <comment authorId="0" ref="E200">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https://docs.google.com/document/d/1osuZjeODCw-oI_xuBQFXe3nkDoFQMGqwcT9MB-DkxUA/edit?usp=sharing</t>
      </text>
    </comment>
    <comment authorId="0" ref="E201">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https://docs.google.com/document/d/1osuZjeODCw-oI_xuBQFXe3nkDoFQMGqwcT9MB-DkxUA/edit?usp=sharing</t>
      </text>
    </comment>
    <comment authorId="0" ref="E202">
      <text>
        <t xml:space="preserve">The program would not happen without the donation. So the philanthropic funding leverages government costs and the Global Fund's costs.</t>
      </text>
    </comment>
    <comment authorId="0" ref="E206">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These intervals are based on GiveWell staff members’ subjective levels of uncertainty for each parameter. See the footnote in our intervention report for more details on our methodology: https://www.givewell.org/international/technical/programs/insecticide-treated-nets#confidence-interval-explanation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6">
      <text>
        <t xml:space="preserve">These intervals are based on GiveWell staff members’ subjective levels of uncertainty for each parameter. See footnote 25 in our intervention report for more details on our methodology.
https://www.givewell.org/international/technical/programs/insecticide-treated-nets#confidence-interval-explanation</t>
      </text>
    </comment>
  </commentList>
</comments>
</file>

<file path=xl/sharedStrings.xml><?xml version="1.0" encoding="utf-8"?>
<sst xmlns="http://schemas.openxmlformats.org/spreadsheetml/2006/main" count="30526" uniqueCount="730">
  <si>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</si>
  <si>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</si>
  <si>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</si>
  <si>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</si>
  <si>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Effective coverage</t>
  </si>
  <si>
    <t>This sheet contains our calculations of how much protection nets distributed in grantee programs provide compared to the protection provided by nets distributed in the trials that inform our treatment effect estimates.</t>
  </si>
  <si>
    <t>Counterfactual malaria</t>
  </si>
  <si>
    <t>This sheet contains our calculations of how high malaria mortality and prevalence rates would be in the absence of net distributions.</t>
  </si>
  <si>
    <t>Insecticide resistance</t>
  </si>
  <si>
    <t>This sheet contains our calculations of how much the protective effect of nets is reduced by insecticide resistance among malaria-transmitting mosquitos.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</si>
  <si>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</si>
  <si>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</si>
  <si>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</si>
  <si>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</si>
  <si>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Net decay model</t>
  </si>
  <si>
    <t>This sheet contains our models of physical net decay over time, which inform calculations on the "Effective coverage"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</si>
  <si>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</si>
  <si>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</si>
  <si>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</si>
  <si>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</si>
  <si>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</si>
  <si>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</si>
  <si>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</si>
  <si>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</si>
  <si>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</si>
  <si>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</si>
  <si>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ITN</t>
  </si>
  <si>
    <t>Insecticide-treated nets (ITNs) are mosquito nets have have been treated with insecticidal chemicals designed to kill and/or repel mosquitoes. ITNs are an umbrella category of nets that include conventionally treated nets (CTNs), long-lasting insecticide-treated nets (LLINs), and newer types of nets like PBO and chlorfenapyr nets.</t>
  </si>
  <si>
    <t>LLIN</t>
  </si>
  <si>
    <t>Long-lasting insecticide-treated nets (LLINs) are mosquito nets that have been treated with insecticides using a method that extends the effectiveness of the insecticide for multiple years without retreatment. Some of the nets (which we sometimes refer to as "standard nets") distributed in programs we consider funding are LLINs.</t>
  </si>
  <si>
    <t>Pyrethroid</t>
  </si>
  <si>
    <t>A class of insecticides commonly used to treat LLINs. The pyrethroid compounds most commonly used to treat LLINs are permethrin, alpha-cypermethrin, and deltamethrin.</t>
  </si>
  <si>
    <t>CTN</t>
  </si>
  <si>
    <t>Conventionally treated nets (CTNs) are mosquito nets that must be re-treated with insecticide periodically to retain their effectiveness. The nets distributed in the trials informing our treatment effect estimates were CTNs.</t>
  </si>
  <si>
    <t>Dual AI nets</t>
  </si>
  <si>
    <t>Dual active ingredient (Dual AI) nets are LLINs that are treated with multiple insecticidal chemicals that have different mechanisms of action. These nets are typically treated with a pyrethroid plus another insecticide and are designed to combat pyrethroid-resistant mosquitoes.</t>
  </si>
  <si>
    <t>PBO</t>
  </si>
  <si>
    <t>Piperonyl butoxide (PBO) is a chemical used alongside pyrethroid insecticides to treat some types of LLINs ("PBO nets") to enhance their effectiveness against insecticide-resistant mosquitos. PBO is not itself an insecticidal chemical but acts as a "synergist" that inhibits the metabolic enzymes that grant mosquitoes immunity to pyrethroids.</t>
  </si>
  <si>
    <t>Chlorfenapyr</t>
  </si>
  <si>
    <t>The rate of new cases in a given unit of time.</t>
  </si>
  <si>
    <t>Incidence</t>
  </si>
  <si>
    <t>Prevalence</t>
  </si>
  <si>
    <t>The proportion of people with a disease or condition at or during a particular time period (regardless of when they first contracted it).</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</si>
  <si>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</si>
  <si>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</si>
  <si>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Immunity among mosquito populations to the insecticidal chemicals commonly used to treat LLINs. Insecticide resistance can inhibit the protective effect of nets against malaria transmission.</t>
  </si>
  <si>
    <t>Bioassay</t>
  </si>
  <si>
    <t>An insecticide resistance test that involves exposing mosquitos to an insecticidal chemical and measuring the proportion of mosquitos that are killed.</t>
  </si>
  <si>
    <t>Person-year of effective coverage</t>
  </si>
  <si>
    <t>We use "effective coverage" to refer to a level of protection against malaria equivalent to the protection provided by the nets distributed in the mortality studies we rely on. A "person-year" refers to the equivalent of one person receiving one year of effective coverage. This unit is a simplification. For example, because nets typically remain effective longer than a year, two person-years of coverage could actually reflect one person receiving effective coverage for two years.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</si>
  <si>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</si>
  <si>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</si>
  <si>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</si>
  <si>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</si>
  <si>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</si>
  <si>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</si>
  <si>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</si>
  <si>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</si>
  <si>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</si>
  <si>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</si>
  <si>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</si>
  <si>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</si>
  <si>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</si>
  <si>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</si>
  <si>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</si>
  <si>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</si>
  <si>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</si>
  <si>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</si>
  <si>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</si>
  <si>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</si>
  <si>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</si>
  <si>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</si>
  <si>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</si>
  <si>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</si>
  <si>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</si>
  <si>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</si>
  <si>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</si>
  <si>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</si>
  <si>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</si>
  <si>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</si>
  <si>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</si>
  <si>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</si>
  <si>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</si>
  <si>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</si>
  <si>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</si>
  <si>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</si>
  <si>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</si>
  <si>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</si>
  <si>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</si>
  <si>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</si>
  <si>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</si>
  <si>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</si>
  <si>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</si>
  <si>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</si>
  <si>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</si>
  <si>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</si>
  <si>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</si>
  <si>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</si>
  <si>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</si>
  <si>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</si>
  <si>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model of LLIN coverage years compared to CTNs</t>
  </si>
  <si>
    <t>GW's insecticide resistance analysis</t>
  </si>
  <si>
    <t>GW's analysis of counterfactual scenarios on pre-existing nets</t>
  </si>
  <si>
    <t>GW's subnational counterfactual mortality calculations</t>
  </si>
  <si>
    <t>Updated GiveWell summary of ITN RCTs</t>
  </si>
  <si>
    <t>GW's analysis of the number of people covered per net</t>
  </si>
  <si>
    <t>GW's analysis of AMF net purchases by net type</t>
  </si>
  <si>
    <t>GW's analysis of Nigerian state-level population estimates</t>
  </si>
  <si>
    <t>GW's analysis of DRC net durability</t>
  </si>
  <si>
    <t>GW's analysis of malaria development effects size</t>
  </si>
  <si>
    <t>Analyses referenced across GiveWell's CEAs</t>
  </si>
  <si>
    <t>GW's moral weights and discount rate</t>
  </si>
  <si>
    <t>GW's analysis on estimating multiplier for benefits experienced by other household members</t>
  </si>
  <si>
    <t>GW's supplemental intervention-level adjustments</t>
  </si>
  <si>
    <t>GWs benchmark for evaluating cost effectiveness</t>
  </si>
  <si>
    <t>GW's analysis of the counterfactual value of other actors' spending</t>
  </si>
  <si>
    <t>GW's analysis of the counterfactual value of Global Fund spending</t>
  </si>
  <si>
    <t>Against Malaria Foundation</t>
  </si>
  <si>
    <t>Chad</t>
  </si>
  <si>
    <t>DRC</t>
  </si>
  <si>
    <t>Guinea</t>
  </si>
  <si>
    <t>Nigeria</t>
  </si>
  <si>
    <t>South Sudan</t>
  </si>
  <si>
    <t>Togo</t>
  </si>
  <si>
    <t>Uganda</t>
  </si>
  <si>
    <t>Main calculations</t>
  </si>
  <si>
    <t>unit</t>
  </si>
  <si>
    <t>type</t>
  </si>
  <si>
    <t>Overall</t>
  </si>
  <si>
    <t>GF states</t>
  </si>
  <si>
    <t>PMI states</t>
  </si>
  <si>
    <t>Final cost-effectiveness estimate (pulled from below for visibility)</t>
  </si>
  <si>
    <t>main</t>
  </si>
  <si>
    <t>Costs</t>
  </si>
  <si>
    <t>GiveWell costs</t>
  </si>
  <si>
    <t>Grant size</t>
  </si>
  <si>
    <t>input</t>
  </si>
  <si>
    <t>Cost breakdown</t>
  </si>
  <si>
    <t>Percentage of total costs covered by the grantee</t>
  </si>
  <si>
    <t>Percentage of total costs covered by other philanthropic actors</t>
  </si>
  <si>
    <t>Percentage of total costs covered by domestic governments</t>
  </si>
  <si>
    <t>Total costs</t>
  </si>
  <si>
    <t>Total spending by all contributors</t>
  </si>
  <si>
    <t>calc</t>
  </si>
  <si>
    <t>-</t>
  </si>
  <si>
    <t>Total spending attributable to different actors</t>
  </si>
  <si>
    <t>Total spending contributed by grantee</t>
  </si>
  <si>
    <t>Total spending contributed by other philanthropic actors</t>
  </si>
  <si>
    <t>Total spending contributed by domestic governments</t>
  </si>
  <si>
    <t>Upstream / downstream spending</t>
  </si>
  <si>
    <t>Total spending causally upstream of donations to grantee</t>
  </si>
  <si>
    <t>Total spending causally downstream of donations to grantee</t>
  </si>
  <si>
    <t>Cost per net</t>
  </si>
  <si>
    <t>Total cost per insecticide-treated net (ITN) distributed</t>
  </si>
  <si>
    <t>Upstream costs per ITN distributed</t>
  </si>
  <si>
    <t>Outputs</t>
  </si>
  <si>
    <t>Net usage</t>
  </si>
  <si>
    <t>Number of nets distributed</t>
  </si>
  <si>
    <t>Proportion of distributed nets that were used in trials from the Pryce et al. 2018 meta-analysis</t>
  </si>
  <si>
    <t>Adjustment for net usage in program contexts</t>
  </si>
  <si>
    <t>Proportion of distributed nets that are used in program contexts</t>
  </si>
  <si>
    <t>Number of nets used</t>
  </si>
  <si>
    <t>Net coverage</t>
  </si>
  <si>
    <t>Number of people sleeping under each used net</t>
  </si>
  <si>
    <t>Total people sleeping under distributed nets</t>
  </si>
  <si>
    <t>Effective coverage years provided per net</t>
  </si>
  <si>
    <t>supp</t>
  </si>
  <si>
    <t>Total person-years of effective coverage provided</t>
  </si>
  <si>
    <t>Age distribution of population</t>
  </si>
  <si>
    <t>Total national population</t>
  </si>
  <si>
    <t>National population under age 5</t>
  </si>
  <si>
    <t>National population age 5-14</t>
  </si>
  <si>
    <t>Proportion of population under age 5</t>
  </si>
  <si>
    <t>Proportion of population age 5-14</t>
  </si>
  <si>
    <t>Proportion of population over age 14</t>
  </si>
  <si>
    <t>Net coverage by age group</t>
  </si>
  <si>
    <t>Person-years of net coverage provided among people under age 5</t>
  </si>
  <si>
    <t>Person-years of net coverage provided among people age 5-14</t>
  </si>
  <si>
    <t>Person-years of net coverage provided among people over age 14</t>
  </si>
  <si>
    <t>Outcomes</t>
  </si>
  <si>
    <t>Mortality reduction among people under age 5</t>
  </si>
  <si>
    <t>Reduction in malaria incidence for children under age 5 receiving nets found in the Pryce et al. 2018 meta-analysis</t>
  </si>
  <si>
    <t>Implied reduction in malaria incidence for people under age 5 sleeping under nets</t>
  </si>
  <si>
    <t>Internal validity adjustment</t>
  </si>
  <si>
    <t>External validity adjustment</t>
  </si>
  <si>
    <t>Adjustment for insecticide resistance</t>
  </si>
  <si>
    <t>Expected reduction in malaria incidence among people under age 5 sleeping under nets</t>
  </si>
  <si>
    <t>Ratio of the reduction in malaria mortality to the reduction in malaria incidence</t>
  </si>
  <si>
    <t>Expected reduction in malaria mortality among people under age 5 sleeping under nets</t>
  </si>
  <si>
    <t>Annual malaria mortality rate among 1-59-month-olds (2019)</t>
  </si>
  <si>
    <t>Indirect malaria deaths per direct malaria death</t>
  </si>
  <si>
    <t>Total malaria-attributable mortality rate (including direct and indirect malaria deaths)</t>
  </si>
  <si>
    <t>Malaria-attributable mortality reduction as a result of seasonal malaria chemoprevention (SMC)</t>
  </si>
  <si>
    <t>Total malaria-attributable mortality rate among 1-59-month-olds (adjusted for SMC)</t>
  </si>
  <si>
    <t>Baseline proportion of 1-59-month-old children sleeping under nets</t>
  </si>
  <si>
    <t>Total malaria-attributable mortality rate among 1-59-month-olds in the absence of nets</t>
  </si>
  <si>
    <t>Total deaths averted among people under age 5</t>
  </si>
  <si>
    <t>Mortality reduction among people age 5 and older</t>
  </si>
  <si>
    <t>Malaria deaths among people under age 5 per year</t>
  </si>
  <si>
    <t>Total malaria deaths per year across all age groups</t>
  </si>
  <si>
    <t>Malaria deaths among people age 5 and older</t>
  </si>
  <si>
    <t>Number of malaria deaths among people age 5 and older per malaria death among people under age 5</t>
  </si>
  <si>
    <t>Relative efficacy of ITNs for reducing mortality of people age 5 and older</t>
  </si>
  <si>
    <t>Total deaths averted among people age 5 and older</t>
  </si>
  <si>
    <t>Malaria incidence reduction among people under age 15</t>
  </si>
  <si>
    <t>Malaria incidence among people under age 5 in the absence of a distribution</t>
  </si>
  <si>
    <t>Malaria incidence among people age 5 to 14 in the absence of a distribution</t>
  </si>
  <si>
    <t>Reduction in malaria incidence among people under age 5 sleeping under nets</t>
  </si>
  <si>
    <t>Reduction in malaria incidence among people age 5 to 14 sleeping under nets</t>
  </si>
  <si>
    <t>Malaria cases averted among people under age 5</t>
  </si>
  <si>
    <t>Malaria cases averted among people age 5 to 14</t>
  </si>
  <si>
    <t>Long-term income increases for people under age 15</t>
  </si>
  <si>
    <t>Increase in annual income per malaria case averted among people under age 15</t>
  </si>
  <si>
    <t>Adjusted increase in ln(income) per malaria case averted among people under age 15</t>
  </si>
  <si>
    <t>Average number of years between nets being distributed and the beginning of long term benefits</t>
  </si>
  <si>
    <t>Discount rate for future benefits</t>
  </si>
  <si>
    <t>Discounted increase in ln(income) per malaria case averted among people under age 15</t>
  </si>
  <si>
    <t>Expected number of years the long-term benefits of receiving nets will last</t>
  </si>
  <si>
    <t>Present value of individual lifetime benefits per malaria case averted among people under age 15</t>
  </si>
  <si>
    <t>Multiplier for resource sharing within households</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</si>
  <si>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</si>
  <si>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</si>
  <si>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</si>
  <si>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</si>
  <si>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</si>
  <si>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</si>
  <si>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Value assigned to averting a malaria-attributable death of a person under age 5</t>
  </si>
  <si>
    <t>Units of value from under-5 deaths averted (before accounting for leverage and funging)</t>
  </si>
  <si>
    <t>Units of value from mortality reduction among people age 5 and older</t>
  </si>
  <si>
    <t>Value assigned to averting a malaria-attributable death of a person age 5 or older</t>
  </si>
  <si>
    <t>Units of value from 5-and-over deaths averted (before accounting for leverage and funging)</t>
  </si>
  <si>
    <t>Units of value from long-term income increases for people under age 15</t>
  </si>
  <si>
    <t>Value assigned to increasing ln(consumption) by one unit for one person for one year</t>
  </si>
  <si>
    <t>Units of value from long-term income increases (before accounting for leverage and funging)</t>
  </si>
  <si>
    <t>Summary of outcomes and initial cost-effectiveness (before final adjustments)</t>
  </si>
  <si>
    <t>Summary of outcomes</t>
  </si>
  <si>
    <t>feed</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</si>
  <si>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</si>
  <si>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</si>
  <si>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</si>
  <si>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</si>
  <si>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</si>
  <si>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5-and-over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</si>
  <si>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</si>
  <si>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</si>
  <si>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</si>
  <si>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</si>
  <si>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Units of value per dollar spent, benchmark</t>
  </si>
  <si>
    <t>Cost-effectiveness in terms of multiples of our benchmark</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</si>
  <si>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</si>
  <si>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</si>
  <si>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</si>
  <si>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 for people under age 15</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</si>
  <si>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</si>
  <si>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</si>
  <si>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</si>
  <si>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</si>
  <si>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</si>
  <si>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</si>
  <si>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</si>
  <si>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cash doesn't receive recipients or is taken back from them inappropriately</t>
  </si>
  <si>
    <t>Quality of monitoring and evaluation</t>
  </si>
  <si>
    <t>Misappropriation without monitoring results</t>
  </si>
  <si>
    <t>False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</si>
  <si>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</si>
  <si>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</si>
  <si>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</si>
  <si>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</si>
  <si>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</si>
  <si>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</si>
  <si>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</si>
  <si>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Malaria morbidity</t>
  </si>
  <si>
    <t>Short-term anemia effects</t>
  </si>
  <si>
    <t>Prevention of diseases other than malaria (e.g. dengue, yellow fever, zika, encephalitis)</t>
  </si>
  <si>
    <t>Prevention of stillbirths</t>
  </si>
  <si>
    <t>Investment of income increases</t>
  </si>
  <si>
    <t>Treatment costs averted from prevention</t>
  </si>
  <si>
    <t>Adjustments affecting cost per life saved</t>
  </si>
  <si>
    <t>Rebound effects / decreased immunity development</t>
  </si>
  <si>
    <t>Subnational adjustments</t>
  </si>
  <si>
    <t>Marginal funding going to lower priority areas</t>
  </si>
  <si>
    <t>Mosquito insecticide resistance in trials underlying our estimates</t>
  </si>
  <si>
    <t>Differences in mosquito species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</si>
  <si>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</si>
  <si>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</si>
  <si>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</si>
  <si>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</si>
  <si>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</si>
  <si>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</si>
  <si>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</si>
  <si>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</si>
  <si>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philanthropic dollar spent, after accounting for all adjustments</t>
  </si>
  <si>
    <t>Counterfactual impact</t>
  </si>
  <si>
    <t>Adjustments affecting program outputs (nets distributed, people covered)</t>
  </si>
  <si>
    <t>Leverage and funging adjustment for counterfactual output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</si>
  <si>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</si>
  <si>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</si>
  <si>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</si>
  <si>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</si>
  <si>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</si>
  <si>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nets distributed that wouldn't have been distributed otherwise</t>
  </si>
  <si>
    <t>Total people sleeping under counterfactually distributed nets</t>
  </si>
  <si>
    <t>Cost per net counterfactually distributed</t>
  </si>
  <si>
    <t>Counterfactual program outcomes</t>
  </si>
  <si>
    <t>Total lives saved that wouldn't have been saved otherwise</t>
  </si>
  <si>
    <t>Cost per life counterfactually saved</t>
  </si>
  <si>
    <t>Supplemental calculations for effective coverage years provided per net</t>
  </si>
  <si>
    <t>Final cost-effectiveness estimate (pulled from "Main calcs" sheet for visibility)</t>
  </si>
  <si>
    <t>Net survival</t>
  </si>
  <si>
    <t>Net coverage years lost to attrition</t>
  </si>
  <si>
    <t>Percentage of nets remaining in use two years after the CTN distributions in trials from the Pryce et al. 2018 meta-analysis</t>
  </si>
  <si>
    <t>Average percentage of nets remaining in use during the 1st year after an ITN distribution</t>
  </si>
  <si>
    <t>Average percentage of nets remaining in use during the 2nd year after an ITN distribution</t>
  </si>
  <si>
    <t>Net coverage years lost due to physical decay</t>
  </si>
  <si>
    <t>Percentage of remaining nets lost due to physical damage at the midpoint of the 1st year after an ITN distribution</t>
  </si>
  <si>
    <t>Percentage of remaining nets lost due to physical damage at the midpoint of the 2nd year after an ITN distribution</t>
  </si>
  <si>
    <t>Percentage of remaining nets lost due to physical damage at the midpoint of the 3rd year after an ITN distribution</t>
  </si>
  <si>
    <t>Ratio of physical net decay in trials of CTN distributions from the Pryce et al. 2018 meta-analysis compared to physical net decay from grantee ITN distributions</t>
  </si>
  <si>
    <t>Percentage of remaining nets lost due to physical damage at the midpoint of the 1st year after a CTN distribution from the Pryce et al. 2018 meta-analysis</t>
  </si>
  <si>
    <t>Percentage of remaining nets lost due to physical damage at the midpoint of the 2nd year after a CTN distribution from the Pryce et al. 2018 meta-analysis</t>
  </si>
  <si>
    <t>Average percentage of remaining nets lost due to physical damage over the two-year period following a CTN distribution from the Pryce et al. 2018 meta-analysis</t>
  </si>
  <si>
    <t>Net coverage years lost due to insecticide decay</t>
  </si>
  <si>
    <t>Proportion of net coverage lost due to insecticide decay for CTNs distributed in trials from the Pryce et al. 2018 meta-analysis</t>
  </si>
  <si>
    <t>Proportion of net coverage lost due to insecticide decay for ITNs distributed in grantee distributions</t>
  </si>
  <si>
    <t>Total net coverage years lost</t>
  </si>
  <si>
    <t>Coverage years lost per year for CTNs distributed in trials from the Pryce et al. 2018 meta-analysis</t>
  </si>
  <si>
    <t>Coverage years lost during the 1st year after a grantee ITN distribution</t>
  </si>
  <si>
    <t>Coverage years lost during the 2nd year after a grantee ITN distribution</t>
  </si>
  <si>
    <t>Coverage years lost during the 3rd year after a grantee ITN distribution</t>
  </si>
  <si>
    <t>Trial-equivalent coverage years provided per distributed net</t>
  </si>
  <si>
    <t>Effective net coverage years provided by a CTN distributed in a trial from the Pryce et al. 2018 meta-analysis (reference value)</t>
  </si>
  <si>
    <t>Effective coverage years provided per net in the 1st year after a grantee ITN distribution</t>
  </si>
  <si>
    <t>Effective coverage years provided per net in the 2nd year after a grantee ITN distribution</t>
  </si>
  <si>
    <t>Effective coverage years provided per net in the 3rd year after a grantee ITN distribution</t>
  </si>
  <si>
    <t>Total effective coverage years provided per net over the three-year period following a grantee ITN distribution for reference ITNs</t>
  </si>
  <si>
    <t>Adjustment for generic ITNs</t>
  </si>
  <si>
    <t>Total effective coverage years provided per net over the three-year period following a grantee ITN distribution of reference ITNs</t>
  </si>
  <si>
    <t>Adjustment for reduced net coverage provided by generic ITNs</t>
  </si>
  <si>
    <t>Total effective coverage years provided per net over the three-year period following a grantee ITN distribution for generic ITNs</t>
  </si>
  <si>
    <t>Breakdown of net types purchased for distributions</t>
  </si>
  <si>
    <t>Expected proportion of ITNs purchased that are generic ITNs</t>
  </si>
  <si>
    <t>Effective coverage years per net, incorporating generic ITNs</t>
  </si>
  <si>
    <t>Overall effective coverage years provided per net over the three-year period following a grantee ITN distribution, before adjusting for lower net durability in DRC</t>
  </si>
  <si>
    <t>Adjustment for lower net durability in DRC</t>
  </si>
  <si>
    <t>Adjustment for lower net durability in DRC than in other countries</t>
  </si>
  <si>
    <t>Overall effective coverage years provided per net over the three-year period following a grantee ITN distribution, after adjusting for lower net durability in DRC</t>
  </si>
  <si>
    <t>Net decay rates</t>
  </si>
  <si>
    <t>Extrapolated net decay rate over a six-year period</t>
  </si>
  <si>
    <t>Effective coverage years provided per net in the 4th year after a grantee ITN distribution</t>
  </si>
  <si>
    <t>Effective coverage years provided per net in the 5th year after a grantee ITN distribution</t>
  </si>
  <si>
    <t>Effective coverage years provided per net in the 6th year after a grantee ITN distribution</t>
  </si>
  <si>
    <t>Extrapolated net decay rate, adjusted for the inclusion of generic ITNs</t>
  </si>
  <si>
    <t>Overall adjustment for reduced net coverage provided by generic ITNs</t>
  </si>
  <si>
    <t>Adjusted effective coverage years provided per net in the 1st year after a grantee ITN distribution</t>
  </si>
  <si>
    <t>Adjusted effective coverage years provided per net in the 2nd year after a grantee ITN distribution</t>
  </si>
  <si>
    <t>Adjusted effective coverage years provided per net in the 3rd year after a grantee ITN distribution</t>
  </si>
  <si>
    <t>Adjusted effective coverage years provided per net in the 4th year after a grantee ITN distribution</t>
  </si>
  <si>
    <t>Adjusted effective coverage years provided per net in the 5th year after a grantee ITN distribution</t>
  </si>
  <si>
    <t>Adjusted effective coverage years provided per net in the 6th year after a grantee ITN distribution</t>
  </si>
  <si>
    <t>Adjusted net decay rate adjusted for lower net durability in DRC</t>
  </si>
  <si>
    <t>Adjustment for lower effective coverage years provided in the 1st year after a grantee ITN distribution in DRC</t>
  </si>
  <si>
    <t>Adjustment for lower effective coverage years provided in the 2nd year after a grantee ITN distribution in DRC</t>
  </si>
  <si>
    <t>Adjustment for lower effective coverage years provided in the 3rd year after a grantee ITN distribution in DRC</t>
  </si>
  <si>
    <t>Adjustment for lower effective coverage years provided in the 4th year after a grantee ITN distribution in DRC</t>
  </si>
  <si>
    <t>Adjustment for lower effective coverage years provided in the 5th year after a grantee ITN distribution in DRC</t>
  </si>
  <si>
    <t>Adjustment for lower effective coverage years provided in the 6th year after a grantee ITN distribution in DRC</t>
  </si>
  <si>
    <t>Final extrapolated net decay rate, after all adjustments</t>
  </si>
  <si>
    <t>Final effective coverage years provided per net in the 1st year after a grantee ITN distribution</t>
  </si>
  <si>
    <t>Final effective coverage years provided per net in the 2nd year after a grantee ITN distribution</t>
  </si>
  <si>
    <t>Final effective coverage years provided per net in the 3rd year after a grantee ITN distribution</t>
  </si>
  <si>
    <t>Final effective coverage years provided per net in the 4th year after a grantee ITN distribution</t>
  </si>
  <si>
    <t>Final effective coverage years provided per net in the 5th year after a grantee ITN distribution</t>
  </si>
  <si>
    <t>Final effective coverage years provided per net in the 6th year after a grantee ITN distribution</t>
  </si>
  <si>
    <t>Changes in net distribution intervals</t>
  </si>
  <si>
    <t>Time intervals between distributions in different scenarios</t>
  </si>
  <si>
    <t>Standard number of months between ITN distributions as modeled in this CEA</t>
  </si>
  <si>
    <t>Expected number of months between the previous net distribution and the upcoming distribution in the absence of a grant</t>
  </si>
  <si>
    <t>Expected number of months between the previous net distribution and the upcoming distribution if a grant is made</t>
  </si>
  <si>
    <t>Expected reduction in number of months between the previous net distribution and the upcoming distribution if a grant is made</t>
  </si>
  <si>
    <t>Costs per distributed net per year for different distribution intervals</t>
  </si>
  <si>
    <t>Cost per net distributed per year for a standard 36-month distribution interval</t>
  </si>
  <si>
    <t>Cost per net distributed per year in the absence of a grant</t>
  </si>
  <si>
    <t>Cost per net distributed per year if a grant is made</t>
  </si>
  <si>
    <t>Change in cost per net distributed per year as a result of a grant shortening the time interval between distributions</t>
  </si>
  <si>
    <t>Coverage years provided per year for different distribution intervals</t>
  </si>
  <si>
    <t>Average coverage years provided per net for a standard 36-month distribution interval</t>
  </si>
  <si>
    <t>Average coverage years provided per net per year over the length of the distribution interval in the absence of a grant</t>
  </si>
  <si>
    <t>Average coverage years provided per net per year over the distribution interval if a grant is made</t>
  </si>
  <si>
    <t>Change in average coverage years provided per net per year as a result of a grant shortening the time interval between distributions</t>
  </si>
  <si>
    <t>Adjustment for shortening the interval between distributions</t>
  </si>
  <si>
    <t>Cost per coverage year provided per net per year for a standard 36-month distribution interval</t>
  </si>
  <si>
    <t>Cost per incremental coverage year provided per net per year as a result of a grant shortening the time interval between distributions</t>
  </si>
  <si>
    <t>Cost-effectiveness of shortening the time interval between distributions as a proportion of the cost-effectiveness of funding a standard 36-month interval that wouldn't have happened otherwise</t>
  </si>
  <si>
    <t>Adjustment for program impact being to move distributions closer together</t>
  </si>
  <si>
    <t>Residual nets from previous distributions</t>
  </si>
  <si>
    <t>Net survival beyond three years post-distribution</t>
  </si>
  <si>
    <t>Expected coverage years remaining per net at the end of a standard 36-month distribution cycle</t>
  </si>
  <si>
    <t>Expected coverage years remaining per net at the end of the distribution cycle in the absence of a grant</t>
  </si>
  <si>
    <t>Expected coverage years remaining per net at the end of the distribution cycle if a grant is made</t>
  </si>
  <si>
    <t>Residual net retention and discard rate</t>
  </si>
  <si>
    <t>Proportion of residual nets that is retained at start of a new distribution</t>
  </si>
  <si>
    <t>Proportion of residual nets that is discarded at start of a new distribution</t>
  </si>
  <si>
    <t>Proportion of net durability studies that capture contributions from residual nets</t>
  </si>
  <si>
    <t>Change in effective coverage years due to residual nets</t>
  </si>
  <si>
    <t>Coverage years lost as a result of discarding residual nets for a standard 36-month distribution cycle</t>
  </si>
  <si>
    <t>Coverage years lost as a result of discarding residual nets in the absence of a grant</t>
  </si>
  <si>
    <t>Coverage years lost as a result of discarding residual nets if a grant is made</t>
  </si>
  <si>
    <t>Adjustment for net coverage years lost due to residual nets from previous distributions</t>
  </si>
  <si>
    <t>Change in effective coverage years due to residual nets as a result of making a grant</t>
  </si>
  <si>
    <t>Final effective coverage years provided per net</t>
  </si>
  <si>
    <t>Effective coverage years provided per net, after adjustments</t>
  </si>
  <si>
    <t>Supplemental calculations for counterfactual malaria mortality and incidence</t>
  </si>
  <si>
    <t>Counterfactual malaria mortality among 1-59-month-olds</t>
  </si>
  <si>
    <t>Population estimates</t>
  </si>
  <si>
    <t>Population age 1-11 months (2019)</t>
  </si>
  <si>
    <t>Population age 12-59 months (2019)</t>
  </si>
  <si>
    <t>Baseline malaria mortality</t>
  </si>
  <si>
    <t>Annual malaria mortality rate among 1-11-month-olds (2019)</t>
  </si>
  <si>
    <t>Annual malaria mortality rate among 12-59-month-olds (2019)</t>
  </si>
  <si>
    <t>Total malaria deaths among children aged 1-59 months per year (2019)</t>
  </si>
  <si>
    <t>Adjusting for deaths averted by seasonal malaria chemoprevention (SMC)</t>
  </si>
  <si>
    <t>Target population of 3-59 month-olds for seasonal malaria chemoprevention programs (SMC)</t>
  </si>
  <si>
    <t>Total population age 1-59 months</t>
  </si>
  <si>
    <t>Proportion of total population age 1-59 months living in areas where SMC is implemented (calculated)</t>
  </si>
  <si>
    <t>Proportion of total population age 1-59 months living in areas where SMC is implemented</t>
  </si>
  <si>
    <t>Probability that available bed nets would be targeted across the country evenly in the absence of grantee support</t>
  </si>
  <si>
    <t>Probability that available bed nets would be targeted at non-SMC areas in the absence of grantee support</t>
  </si>
  <si>
    <t>Proportion of counterfactually distributed nets distributed in areas where SMC is implemented</t>
  </si>
  <si>
    <t>Malaria-attributable deaths averted by SMC per year among 1-59-month-olds living in areas where SMC is implemented</t>
  </si>
  <si>
    <t>Counterfactual malaria incidence</t>
  </si>
  <si>
    <t>Malaria incidence among people under age 15</t>
  </si>
  <si>
    <t>Malaria incidence among people under age 5</t>
  </si>
  <si>
    <t>Malaria incidence among people age 5 to 14</t>
  </si>
  <si>
    <t>Expected increase in malaria incidence in the absence of an ITN distribution</t>
  </si>
  <si>
    <t>Supplemental calculations for the insecticide resistance adjustment</t>
  </si>
  <si>
    <t>Insecticide resistance for standard nets</t>
  </si>
  <si>
    <t>Resistance to pyrethroid insecticides</t>
  </si>
  <si>
    <t>Average mosquito mortality rate found in pyrethroid bioassays (2015-2019)</t>
  </si>
  <si>
    <t>Average year pyrethroid bioassays were conducted</t>
  </si>
  <si>
    <t>Expected year of ITN distribution</t>
  </si>
  <si>
    <t>Number of years between bioassay data collection and the expected year of ITN distribution</t>
  </si>
  <si>
    <t>Expected annual change in mosquito mortality rates over time</t>
  </si>
  <si>
    <t>Estimated change in mosquito mortality rates between bioassay data collection and the expected year of ITN distribution</t>
  </si>
  <si>
    <t>Estimated mosquito mortality rate in the year of ITN distribution</t>
  </si>
  <si>
    <t>Role of insecticide in the protective effect of nets</t>
  </si>
  <si>
    <t>Proportion of the protective effect of ITNs that is due to the physical barrier of the net</t>
  </si>
  <si>
    <t>Proportion of the protective effect of ITNs that is due to pyrethroid insecticide</t>
  </si>
  <si>
    <t>ITN effectiveness compared to trial contexts</t>
  </si>
  <si>
    <t>Effectiveness of ITNs in upcoming distributions relative to nets in studies included in Cochrane reviews</t>
  </si>
  <si>
    <t>Reduction in effectiveness caused by resistance to pyrethroid insecticide</t>
  </si>
  <si>
    <t>Insecticide resistance for PBO nets</t>
  </si>
  <si>
    <t>Resistance to pyrethroid insecticides plus a piperonyl-butoxide (PBO) synergist</t>
  </si>
  <si>
    <t>Average mosquito mortality rate found in bioassays of pyrethroid plus PBO (2015-2019)</t>
  </si>
  <si>
    <t>Average mosquito mortality rate found in the same bioassays of pyrethroid only</t>
  </si>
  <si>
    <t>Initial proportion of resistance that remains when using PBO</t>
  </si>
  <si>
    <t>Reduction in effectiveness due to insecticide resistance in areas where PBO nets are effective</t>
  </si>
  <si>
    <t>External validity adjustments for country representativeness</t>
  </si>
  <si>
    <t>Proportion of bioassay test sites with confirmed pyrethroid insecticide resistance (2015-2019)</t>
  </si>
  <si>
    <t>Proportion of test sites detected to have relevant resistance mechanism (2015-2019)</t>
  </si>
  <si>
    <t>Estimated proportion of country where PBO nets are more effective than standard ITNs</t>
  </si>
  <si>
    <t>Insecticide resistance for Dual AI nets</t>
  </si>
  <si>
    <t>Resistance to insecticides used in Dual AI nets</t>
  </si>
  <si>
    <t>Reduction in effectiveness due to insecticide resistance with chlorfenapyr nets</t>
  </si>
  <si>
    <t>Reduction in effectiveness due to insecticide resistance with other Dual AI nets</t>
  </si>
  <si>
    <t>Insecticide resistance adjustment</t>
  </si>
  <si>
    <t>Breakdown of nets purchased</t>
  </si>
  <si>
    <t>Expected proportion of standard ITNs purchased for distributions</t>
  </si>
  <si>
    <t>Expected proportion of PBO nets purchased for distributions</t>
  </si>
  <si>
    <t>Expected proportion of chlorfenapyr nets purchased for distributions</t>
  </si>
  <si>
    <t>Expected proportion of other Dual AI nets purchased for distributions</t>
  </si>
  <si>
    <t>Final net breakdown</t>
  </si>
  <si>
    <t>Proportion of nets that are standard nets</t>
  </si>
  <si>
    <t>Proportion of nets that are PBO nets distributed to areas where PBO nets are effective</t>
  </si>
  <si>
    <t>Proportion of nets that are PBO nets distributed to areas where PBO nets are not effective</t>
  </si>
  <si>
    <t>Proportion of nets that are chlorfenapyr nets</t>
  </si>
  <si>
    <t>Proportion of nets that are other Dual AI nets</t>
  </si>
  <si>
    <t>Insecticide resistance adjustment by net type</t>
  </si>
  <si>
    <t>Adjustment for standard nets</t>
  </si>
  <si>
    <t>Adjustment for PBO nets distributed to areas where PBO nets are effective</t>
  </si>
  <si>
    <t>Adjustment for PBO nets distributed to areas where PBO nets are not effective</t>
  </si>
  <si>
    <t>Adjustment for chlorfenapyr nets</t>
  </si>
  <si>
    <t>Adjustment for other Dual AI nets</t>
  </si>
  <si>
    <t>Final insecticide resistance adjustment incorporating Dual AI nets</t>
  </si>
  <si>
    <t>Supplemental calculations for the leverage/funging adjustment</t>
  </si>
  <si>
    <t>Counterfactual funding scenarios</t>
  </si>
  <si>
    <t>Probability of scenarios in the absence of philanthropic funding</t>
  </si>
  <si>
    <t>Scenario 1: Domestic governments would replace philanthropic costs</t>
  </si>
  <si>
    <t>Scenario 2: Global Fund and/or PMI would replace philanthropic costs</t>
  </si>
  <si>
    <t>Scenario 3: Other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</si>
  <si>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</si>
  <si>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</si>
  <si>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</si>
  <si>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</si>
  <si>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</si>
  <si>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</si>
  <si>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</si>
  <si>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</si>
  <si>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t>
  </si>
  <si>
    <t>Counterfactual value per dollar spent by the Global Fund or PMI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</si>
  <si>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</si>
  <si>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</si>
  <si>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</si>
  <si>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</si>
  <si>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</si>
  <si>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</si>
  <si>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</si>
  <si>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</si>
  <si>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</si>
  <si>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</si>
  <si>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</si>
  <si>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</si>
  <si>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the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</si>
  <si>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</si>
  <si>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</si>
  <si>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</si>
  <si>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Other upstream costs would stay the same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</si>
  <si>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</si>
  <si>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</si>
  <si>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</si>
  <si>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</si>
  <si>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</si>
  <si>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</si>
  <si>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</si>
  <si>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</si>
  <si>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</si>
  <si>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</si>
  <si>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</si>
  <si>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</si>
  <si>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</si>
  <si>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</si>
  <si>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</si>
  <si>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Leverage and funging adjustment for counterfactual impact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</si>
  <si>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</si>
  <si>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</si>
  <si>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</si>
  <si>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</si>
  <si>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</si>
  <si>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Source</t>
  </si>
  <si>
    <t>GW analysis and discussion</t>
  </si>
  <si>
    <t>Arbitrary value</t>
  </si>
  <si>
    <t>GW analysis</t>
  </si>
  <si>
    <t>GW's analysis of AMF cost per net [unpublished]</t>
  </si>
  <si>
    <t>GW guesstimate</t>
  </si>
  <si>
    <t>GBD 2019</t>
  </si>
  <si>
    <t>GW's model of ITN coverage years compared to CTNs</t>
  </si>
  <si>
    <t>Average percentage of nets remaining in use during the 3rd year after an ITN distribution</t>
  </si>
  <si>
    <t>Counterfactual malaria mortality and incidence</t>
  </si>
  <si>
    <t>GW analysis &amp; Malaria Consortium</t>
  </si>
  <si>
    <t>year</t>
  </si>
  <si>
    <t>WHO Global report on insecticide resistance in malaria vectors: 2010-2016</t>
  </si>
  <si>
    <t>Resistance to insecticides used in other Dual AI nets</t>
  </si>
  <si>
    <t>Pryce et al. 2018</t>
  </si>
  <si>
    <t>GW's analysis of malaria developement effects size</t>
  </si>
  <si>
    <t>GW value judgment</t>
  </si>
  <si>
    <t>Value assigned to doubling consumption for one person for one year</t>
  </si>
  <si>
    <t>Cost-effectiveness benchmark</t>
  </si>
  <si>
    <t>Net decay model (separated from the "Effective coverage" sheet to preserve space)</t>
  </si>
  <si>
    <r>
      <rPr/>
      <t xml:space="preserve">For more information about how we model LLIN decay rates, see </t>
    </r>
    <r>
      <rPr>
        <color rgb="FF1155CC"/>
        <u/>
      </rPr>
      <t>this page</t>
    </r>
    <r>
      <rPr/>
      <t>.</t>
    </r>
  </si>
  <si>
    <t>Annual net decay function, DRC</t>
  </si>
  <si>
    <t>Annual net decay function, other countries</t>
  </si>
  <si>
    <t>Midpoint of year following a distribution</t>
  </si>
  <si>
    <t>Projected effective coverage years per year</t>
  </si>
  <si>
    <t>Expanded net decay function, DRC</t>
  </si>
  <si>
    <t>Expanded net decay function, other countries</t>
  </si>
  <si>
    <t>Months after distribution</t>
  </si>
  <si>
    <t>Projected effective coverage years</t>
  </si>
  <si>
    <t>Average coverage years per year based on cumulative interval</t>
  </si>
  <si>
    <t>Effective coverage years remaining at the end of the month</t>
  </si>
  <si>
    <t>Global Burden of Disease Study 2019 (GBD 2019) Population Estimates 1950-2019</t>
  </si>
  <si>
    <t>GBD 2019 Results Tool: All-cause mortalities among 1-59-month-olds (2004)</t>
  </si>
  <si>
    <t>GBD 2019 Results Tool: All-cause mortality rates among 1-59-month-olds (2019)</t>
  </si>
  <si>
    <t>GBD 2019 Results Tool: Malaria mortality rates among 1-59-month-olds (2019)</t>
  </si>
  <si>
    <t>GBD 2019 Results Tool: Malaria mortalities (2019)</t>
  </si>
  <si>
    <t>GBD 2019 Results Tool: Malaria incidence (2019)</t>
  </si>
  <si>
    <t>GBD 2019 Results Tool: All-cause mortalities (2019)</t>
  </si>
  <si>
    <t>Location</t>
  </si>
  <si>
    <t>Sex</t>
  </si>
  <si>
    <t>Age group</t>
  </si>
  <si>
    <t>Year</t>
  </si>
  <si>
    <t>Measure</t>
  </si>
  <si>
    <t>Metric</t>
  </si>
  <si>
    <t>val</t>
  </si>
  <si>
    <t>upper</t>
  </si>
  <si>
    <t>lower</t>
  </si>
  <si>
    <t>measure</t>
  </si>
  <si>
    <t>location</t>
  </si>
  <si>
    <t>sex</t>
  </si>
  <si>
    <t>age</t>
  </si>
  <si>
    <t>cause</t>
  </si>
  <si>
    <t>metric</t>
  </si>
  <si>
    <t>Angola</t>
  </si>
  <si>
    <t>both</t>
  </si>
  <si>
    <t>&lt;1 year</t>
  </si>
  <si>
    <t>Population</t>
  </si>
  <si>
    <t>Deaths</t>
  </si>
  <si>
    <t>Both</t>
  </si>
  <si>
    <t>28-364 days</t>
  </si>
  <si>
    <t>All causes</t>
  </si>
  <si>
    <t>Rate</t>
  </si>
  <si>
    <t>Malaria</t>
  </si>
  <si>
    <t>&lt;5 years</t>
  </si>
  <si>
    <t>&lt;20 years</t>
  </si>
  <si>
    <t>1-4 years</t>
  </si>
  <si>
    <t>All ages</t>
  </si>
  <si>
    <t>5-14 years</t>
  </si>
  <si>
    <t>Bangladesh</t>
  </si>
  <si>
    <t>0 to 14</t>
  </si>
  <si>
    <t>Benin</t>
  </si>
  <si>
    <t>1 to 4</t>
  </si>
  <si>
    <t>Bhutan</t>
  </si>
  <si>
    <t>10 to 14</t>
  </si>
  <si>
    <t>Botswana</t>
  </si>
  <si>
    <t>10 to 19</t>
  </si>
  <si>
    <t>Burkina Faso</t>
  </si>
  <si>
    <t>10 to 24</t>
  </si>
  <si>
    <t>Burundi</t>
  </si>
  <si>
    <t>15 to 19</t>
  </si>
  <si>
    <t>Côte d'Ivoire</t>
  </si>
  <si>
    <t>15 to 39</t>
  </si>
  <si>
    <t>Cabo Verde</t>
  </si>
  <si>
    <t>15-49 years</t>
  </si>
  <si>
    <t>Cameroon</t>
  </si>
  <si>
    <t>20 plus</t>
  </si>
  <si>
    <t>Central African Republic</t>
  </si>
  <si>
    <t>20 to 24</t>
  </si>
  <si>
    <t>25 plus</t>
  </si>
  <si>
    <t>Comoros</t>
  </si>
  <si>
    <t>25 to 29</t>
  </si>
  <si>
    <t>Congo</t>
  </si>
  <si>
    <t>25 to 49</t>
  </si>
  <si>
    <t>CÃ´te d'Ivoire</t>
  </si>
  <si>
    <t>30 to 34</t>
  </si>
  <si>
    <t>Djibouti</t>
  </si>
  <si>
    <t>35 to 39</t>
  </si>
  <si>
    <t>Equatorial Guinea</t>
  </si>
  <si>
    <t>40 to 44</t>
  </si>
  <si>
    <t>Eritrea</t>
  </si>
  <si>
    <t>45 to 49</t>
  </si>
  <si>
    <t>Eswatini</t>
  </si>
  <si>
    <t>5 to 19</t>
  </si>
  <si>
    <t>Ethiopia</t>
  </si>
  <si>
    <t>5 to 9</t>
  </si>
  <si>
    <t>Gabon</t>
  </si>
  <si>
    <t>50 to 54</t>
  </si>
  <si>
    <t>Gambia</t>
  </si>
  <si>
    <t>50-69 years</t>
  </si>
  <si>
    <t>Ghana</t>
  </si>
  <si>
    <t>55 plus</t>
  </si>
  <si>
    <t>Guinea-Bissau</t>
  </si>
  <si>
    <t>55 to 59</t>
  </si>
  <si>
    <t>India</t>
  </si>
  <si>
    <t>60 to 64</t>
  </si>
  <si>
    <t>Kenya</t>
  </si>
  <si>
    <t>65 to 69</t>
  </si>
  <si>
    <t>Lesotho</t>
  </si>
  <si>
    <t>65 to 74</t>
  </si>
  <si>
    <t>Liberia</t>
  </si>
  <si>
    <t>70 to 74</t>
  </si>
  <si>
    <t>Madagascar</t>
  </si>
  <si>
    <t>70+ years</t>
  </si>
  <si>
    <t>Malawi</t>
  </si>
  <si>
    <t>75 plus</t>
  </si>
  <si>
    <t>Mali</t>
  </si>
  <si>
    <t>75 to 79</t>
  </si>
  <si>
    <t>Mauritania</t>
  </si>
  <si>
    <t>75 to 84</t>
  </si>
  <si>
    <t>Mozambique</t>
  </si>
  <si>
    <t>80 plus</t>
  </si>
  <si>
    <t>Namibia</t>
  </si>
  <si>
    <t>80 to 84</t>
  </si>
  <si>
    <t>Nepal</t>
  </si>
  <si>
    <t>85 plus</t>
  </si>
  <si>
    <t>Niger</t>
  </si>
  <si>
    <t>85 to 89</t>
  </si>
  <si>
    <t>90 to 94</t>
  </si>
  <si>
    <t>Pakistan</t>
  </si>
  <si>
    <t>95 plus</t>
  </si>
  <si>
    <t>Rwanda</t>
  </si>
  <si>
    <t>All Ages</t>
  </si>
  <si>
    <t>Sao Tome and Principe</t>
  </si>
  <si>
    <t>Birth</t>
  </si>
  <si>
    <t>Senegal</t>
  </si>
  <si>
    <t>Early Neonatal</t>
  </si>
  <si>
    <t>Sierra Leone</t>
  </si>
  <si>
    <t>Late Neonatal</t>
  </si>
  <si>
    <t>Somalia</t>
  </si>
  <si>
    <t>Neonatal</t>
  </si>
  <si>
    <t>South Africa</t>
  </si>
  <si>
    <t>Post Neonatal</t>
  </si>
  <si>
    <t>Under 5</t>
  </si>
  <si>
    <t>Tanzania</t>
  </si>
  <si>
    <t>Zambia</t>
  </si>
  <si>
    <t>Zimbabwe</t>
  </si>
  <si>
    <t>Grant</t>
  </si>
  <si>
    <t>Under-five mortality benefits</t>
  </si>
  <si>
    <t>Cost per person under age five reached</t>
  </si>
  <si>
    <t>Number of people under age five reached</t>
  </si>
  <si>
    <t>Years of effective coverage provided by nets</t>
  </si>
  <si>
    <t>Malaria-attributable mortality rate among people under age five</t>
  </si>
  <si>
    <t>Effect of ITN distributions on deaths related to malaria</t>
  </si>
  <si>
    <t>Number of deaths averted among people under age five</t>
  </si>
  <si>
    <t>Initial cost-effectiveness estimate</t>
  </si>
  <si>
    <t>Cost per under-five death averted</t>
  </si>
  <si>
    <t>Moral value of averting the death of a person under age five</t>
  </si>
  <si>
    <t>Initial cost-effectiveness in terms of multiples of our benchmark</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</si>
  <si>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</si>
  <si>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</si>
  <si>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</si>
  <si>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</si>
  <si>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</si>
  <si>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age five and older</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</si>
  <si>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</si>
  <si>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</si>
  <si>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</si>
  <si>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</si>
  <si>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</si>
  <si>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</si>
  <si>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</si>
  <si>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</si>
  <si>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</si>
  <si>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t>
  </si>
  <si>
    <t>Best guess</t>
  </si>
  <si>
    <t>75th</t>
  </si>
  <si>
    <t>Final cost-effectiveness estimate (pulled from "Main calcs" sheet)</t>
  </si>
  <si>
    <t>GiveWell's 25th and 75th percentile values for key inputs</t>
  </si>
  <si>
    <t>Sensitivity analysis results</t>
  </si>
  <si>
    <t>Cost-effectiveness estimate for the 25th and 75th percentile value</t>
  </si>
  <si>
    <t>Monte Carlo sheet URL</t>
  </si>
  <si>
    <t>1IeuibUqfnFalIySVjb1H-B9hmyPDvW2qTZiC9jzHSSc</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</si>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</sst>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74">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i/>
      <sz val="11.0"/>
      <color rgb="FF000000"/>
      <name val="Calibri"/>
    </font>
    <font>
      <color theme="1"/>
      <name val="Arial"/>
      <scheme val="minor"/>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theme="1"/>
      <name val="Calibri"/>
    </font>
    <font>
      <u/>
      <color rgb="FF0000FF"/>
    </font>
    <font>
      <b/>
      <color theme="1"/>
      <name val="Arial"/>
      <scheme val="minor"/>
    </font>
    <font>
      <u/>
      <color rgb="FF0000FF"/>
    </font>
    <font>
      <color rgb="FF000000"/>
      <name val="Arial"/>
    </font>
    <font>
      <b/>
      <color theme="1"/>
      <name val="Arial"/>
    </font>
    <font>
      <b/>
      <u/>
      <color rgb="FF000000"/>
      <name val="Arial"/>
    </font>
    <font>
      <b/>
      <u/>
      <color rgb="FF000000"/>
      <name val="Arial"/>
    </font>
    <font>
      <color rgb="FF000000"/>
      <name val="Arial"/>
      <scheme val="minor"/>
    </font>
    <font>
      <b/>
      <u/>
      <color rgb="FF000000"/>
      <name val="Arial"/>
    </font>
    <font>
      <u/>
      <sz val="11.0"/>
      <color theme="1"/>
      <name val="Calibri"/>
    </font>
    <font>
      <i/>
      <sz val="11.0"/>
      <color theme="1"/>
      <name val="Calibri"/>
    </font>
    <font>
      <b/>
      <sz val="11.0"/>
      <color rgb="FF666666"/>
      <name val="Calibri"/>
    </font>
    <font>
      <sz val="11.0"/>
      <color rgb="FF666666"/>
      <name val="Calibri"/>
    </font>
    <font>
      <color rgb="FF666666"/>
      <name val="Arial"/>
      <scheme val="minor"/>
    </font>
  </fonts>
  <fills count="4">
    <fill>
      <patternFill patternType="none"/>
    </fill>
    <fill>
      <patternFill patternType="lightGray"/>
    </fill>
    <fill>
      <patternFill patternType="solid">
        <fgColor rgb="FFBAD2DE"/>
        <bgColor rgb="FFBAD2DE"/>
      </patternFill>
    </fill>
    <fill>
      <patternFill patternType="solid">
        <fgColor rgb="FFE8F0F4"/>
        <bgColor rgb="FFE8F0F4"/>
      </patternFill>
    </fill>
  </fills>
  <borders count="60">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right style="thin">
        <color rgb="FF999999"/>
      </right>
      <top style="thin">
        <color rgb="FF999999"/>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434343"/>
      </left>
      <top style="thin">
        <color rgb="FF434343"/>
      </top>
      <bottom style="thin">
        <color rgb="FF999999"/>
      </bottom>
    </border>
    <border>
      <right style="thin">
        <color rgb="FF434343"/>
      </right>
      <top style="thin">
        <color rgb="FF434343"/>
      </top>
      <bottom style="thin">
        <color rgb="FF999999"/>
      </bottom>
    </border>
    <border>
      <left style="thin">
        <color rgb="FF434343"/>
      </left>
      <right style="thin">
        <color rgb="FF999999"/>
      </right>
      <top style="thin">
        <color rgb="FF999999"/>
      </top>
      <bottom style="thin">
        <color rgb="FF999999"/>
      </bottom>
    </border>
    <border>
      <left style="thin">
        <color rgb="FF999999"/>
      </left>
      <right style="thin">
        <color rgb="FF434343"/>
      </right>
      <top style="thin">
        <color rgb="FF999999"/>
      </top>
      <bottom style="thin">
        <color rgb="FF999999"/>
      </bottom>
    </border>
    <border>
      <left style="thin">
        <color rgb="FF434343"/>
      </left>
      <right style="thin">
        <color rgb="FF999999"/>
      </right>
    </border>
    <border>
      <left style="thin">
        <color rgb="FF999999"/>
      </left>
      <right style="thin">
        <color rgb="FF434343"/>
      </right>
    </border>
    <border>
      <left style="thin">
        <color rgb="FF434343"/>
      </left>
      <right style="thin">
        <color rgb="FF999999"/>
      </right>
      <bottom style="thin">
        <color rgb="FF434343"/>
      </bottom>
    </border>
    <border>
      <left style="thin">
        <color rgb="FF999999"/>
      </left>
      <right style="thin">
        <color rgb="FF434343"/>
      </right>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999999"/>
      </right>
      <bottom style="thin">
        <color rgb="FF999999"/>
      </bottom>
    </border>
    <border>
      <left style="thin">
        <color rgb="FF999999"/>
      </left>
      <right style="thin">
        <color rgb="FF434343"/>
      </right>
      <bottom style="thin">
        <color rgb="FF999999"/>
      </bottom>
    </border>
    <border>
      <bottom style="thin">
        <color rgb="FF434343"/>
      </bottom>
    </border>
    <border>
      <left style="thin">
        <color rgb="FF999999"/>
      </left>
      <bottom style="thin">
        <color rgb="FF434343"/>
      </bottom>
    </border>
    <border>
      <left style="thin">
        <color rgb="FF999999"/>
      </left>
      <right style="thin">
        <color rgb="FF999999"/>
      </right>
      <bottom style="thin">
        <color rgb="FF434343"/>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right style="thin">
        <color rgb="FF000000"/>
      </right>
    </border>
    <border>
      <left style="thin">
        <color rgb="FF000000"/>
      </left>
      <right style="thin">
        <color rgb="FF999999"/>
      </right>
    </border>
    <border>
      <left style="thin">
        <color rgb="FF000000"/>
      </left>
      <right style="thin">
        <color rgb="FF999999"/>
      </right>
      <bottom style="thin">
        <color rgb="FF000000"/>
      </bottom>
    </border>
    <border>
      <right style="thin">
        <color rgb="FF999999"/>
      </right>
      <bottom style="thin">
        <color rgb="FF000000"/>
      </bottom>
    </border>
    <border>
      <right style="thin">
        <color rgb="FF000000"/>
      </right>
      <bottom style="thin">
        <color rgb="FF000000"/>
      </bottom>
    </border>
  </borders>
  <cellStyleXfs count="1">
    <xf borderId="0" fillId="0" fontId="0" numFmtId="0" applyAlignment="1" applyFont="1"/>
  </cellStyleXfs>
  <cellXfs count="10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8" fillId="0" fontId="6" numFmtId="0" xfId="0" applyAlignment="1" applyBorder="1" applyFont="1">
      <alignment vertical="bottom"/>
    </xf>
    <xf borderId="0" fillId="0" fontId="6" numFmtId="0" xfId="0" applyAlignment="1" applyFont="1">
      <alignment vertical="bottom"/>
    </xf>
    <xf borderId="13" fillId="0" fontId="7" numFmtId="0" xfId="0" applyAlignment="1" applyBorder="1" applyFont="1">
      <alignment readingOrder="0" vertical="bottom"/>
    </xf>
    <xf borderId="9" fillId="0" fontId="3" numFmtId="0" xfId="0" applyAlignment="1" applyBorder="1" applyFont="1">
      <alignment vertical="bottom"/>
    </xf>
    <xf borderId="9" fillId="0" fontId="6" numFmtId="0" xfId="0" applyAlignment="1" applyBorder="1" applyFont="1">
      <alignment vertical="bottom"/>
    </xf>
    <xf borderId="9" fillId="0" fontId="6" numFmtId="0" xfId="0" applyAlignment="1" applyBorder="1" applyFont="1">
      <alignment vertical="bottom"/>
    </xf>
    <xf borderId="10" fillId="0" fontId="6" numFmtId="0" xfId="0" applyAlignment="1" applyBorder="1" applyFont="1">
      <alignment vertical="bottom"/>
    </xf>
    <xf borderId="13" fillId="0" fontId="3" numFmtId="0" xfId="0" applyAlignment="1" applyBorder="1" applyFont="1">
      <alignment vertical="bottom"/>
    </xf>
    <xf borderId="13" fillId="0" fontId="6" numFmtId="0" xfId="0" applyAlignment="1" applyBorder="1" applyFont="1">
      <alignment vertical="bottom"/>
    </xf>
    <xf borderId="13" fillId="0" fontId="6" numFmtId="0" xfId="0" applyAlignment="1" applyBorder="1" applyFont="1">
      <alignment vertical="bottom"/>
    </xf>
    <xf borderId="14" fillId="0" fontId="6" numFmtId="0" xfId="0" applyAlignment="1" applyBorder="1" applyFont="1">
      <alignment vertical="bottom"/>
    </xf>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8"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2" numFmtId="0" xfId="0" applyBorder="1" applyFont="1"/>
    <xf borderId="11" fillId="0" fontId="3" numFmtId="0" xfId="0" applyAlignment="1" applyBorder="1" applyFont="1">
      <alignment horizontal="left" readingOrder="0" shrinkToFit="0" wrapText="1"/>
    </xf>
    <xf borderId="9" fillId="0" fontId="1" numFmtId="0" xfId="0" applyAlignment="1" applyBorder="1" applyFont="1">
      <alignment vertical="bottom"/>
    </xf>
    <xf borderId="9" fillId="0" fontId="3" numFmtId="0" xfId="0" applyAlignment="1" applyBorder="1" applyFont="1">
      <alignment shrinkToFit="0" vertical="bottom" wrapText="1"/>
    </xf>
    <xf borderId="13" fillId="0" fontId="1" numFmtId="0" xfId="0" applyAlignment="1" applyBorder="1" applyFont="1">
      <alignment horizontal="left" readingOrder="0" shrinkToFit="0" wrapText="1"/>
    </xf>
    <xf borderId="13" fillId="0" fontId="3" numFmtId="0" xfId="0" applyAlignment="1" applyBorder="1" applyFont="1">
      <alignment horizontal="left" readingOrder="0" shrinkToFit="0" wrapText="1"/>
    </xf>
    <xf borderId="13" fillId="0" fontId="2" numFmtId="0" xfId="0" applyBorder="1" applyFont="1"/>
    <xf borderId="13" fillId="0" fontId="3" numFmtId="0" xfId="0" applyBorder="1" applyFont="1"/>
    <xf borderId="14" fillId="0" fontId="3" numFmtId="0" xfId="0" applyBorder="1" applyFont="1"/>
    <xf borderId="0" fillId="0" fontId="1" numFmtId="0" xfId="0" applyAlignment="1" applyFont="1">
      <alignment vertical="bottom"/>
    </xf>
    <xf borderId="0" fillId="0" fontId="3" numFmtId="0" xfId="0" applyAlignment="1" applyFont="1">
      <alignment readingOrder="0" shrinkToFit="0" vertical="bottom" wrapText="1"/>
    </xf>
    <xf borderId="0" fillId="0" fontId="6" numFmtId="0" xfId="0" applyAlignment="1" applyFont="1">
      <alignment vertical="bottom"/>
    </xf>
    <xf borderId="7" fillId="0" fontId="6" numFmtId="0" xfId="0" applyAlignment="1" applyBorder="1" applyFont="1">
      <alignment vertical="bottom"/>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9"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10"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1" numFmtId="0" xfId="0" applyAlignment="1" applyFont="1">
      <alignment readingOrder="0"/>
    </xf>
    <xf borderId="9" fillId="0" fontId="12" numFmtId="0" xfId="0" applyAlignment="1" applyBorder="1" applyFont="1">
      <alignment horizontal="left" readingOrder="0" shrinkToFit="0" wrapText="0"/>
    </xf>
    <xf borderId="8" fillId="0" fontId="13" numFmtId="1" xfId="0" applyAlignment="1" applyBorder="1" applyFont="1" applyNumberFormat="1">
      <alignment horizontal="left" readingOrder="0" shrinkToFit="0" vertical="bottom" wrapText="0"/>
    </xf>
    <xf borderId="11" fillId="0" fontId="14" numFmtId="1" xfId="0" applyAlignment="1" applyBorder="1" applyFont="1" applyNumberFormat="1">
      <alignment horizontal="left" readingOrder="0" shrinkToFit="0" vertical="bottom" wrapText="0"/>
    </xf>
    <xf borderId="8" fillId="0" fontId="3" numFmtId="0" xfId="0" applyBorder="1" applyFont="1"/>
    <xf borderId="10" fillId="0" fontId="15" numFmtId="0" xfId="0" applyAlignment="1" applyBorder="1" applyFont="1">
      <alignment horizontal="left" readingOrder="0" shrinkToFit="0" wrapText="0"/>
    </xf>
    <xf borderId="9" fillId="0" fontId="16" numFmtId="0" xfId="0" applyAlignment="1" applyBorder="1" applyFont="1">
      <alignment readingOrder="0"/>
    </xf>
    <xf borderId="11" fillId="0" fontId="17" numFmtId="0" xfId="0" applyAlignment="1" applyBorder="1" applyFont="1">
      <alignment horizontal="left" readingOrder="0" shrinkToFit="0" wrapText="0"/>
    </xf>
    <xf borderId="12" fillId="0" fontId="18" numFmtId="1" xfId="0" applyAlignment="1" applyBorder="1" applyFont="1" applyNumberFormat="1">
      <alignment horizontal="left" readingOrder="0" shrinkToFit="0" vertical="bottom" wrapText="0"/>
    </xf>
    <xf borderId="10" fillId="0" fontId="19" numFmtId="0" xfId="0" applyAlignment="1" applyBorder="1" applyFont="1">
      <alignment readingOrder="0"/>
    </xf>
    <xf borderId="11" fillId="0" fontId="20" numFmtId="0" xfId="0" applyAlignment="1" applyBorder="1" applyFont="1">
      <alignment readingOrder="0"/>
    </xf>
    <xf borderId="16" fillId="0" fontId="21" numFmtId="0" xfId="0" applyAlignment="1" applyBorder="1" applyFont="1">
      <alignment horizontal="left" readingOrder="0"/>
    </xf>
    <xf borderId="0" fillId="0" fontId="3" numFmtId="0" xfId="0" applyAlignment="1" applyFont="1">
      <alignment readingOrder="0"/>
    </xf>
    <xf borderId="8" fillId="0" fontId="22" numFmtId="0" xfId="0" applyAlignment="1" applyBorder="1" applyFont="1">
      <alignment horizontal="left" readingOrder="0" shrinkToFit="0" wrapText="0"/>
    </xf>
    <xf borderId="9" fillId="0" fontId="23" numFmtId="0" xfId="0" applyAlignment="1" applyBorder="1" applyFont="1">
      <alignment horizontal="left" readingOrder="0" shrinkToFit="0" wrapText="0"/>
    </xf>
    <xf borderId="8" fillId="0" fontId="6" numFmtId="0" xfId="0" applyAlignment="1" applyBorder="1" applyFont="1">
      <alignment vertical="bottom"/>
    </xf>
    <xf borderId="12" fillId="0" fontId="24" numFmtId="0" xfId="0" applyAlignment="1" applyBorder="1" applyFont="1">
      <alignment readingOrder="0"/>
    </xf>
    <xf borderId="17" fillId="0" fontId="3" numFmtId="0" xfId="0" applyBorder="1" applyFont="1"/>
    <xf borderId="18" fillId="0" fontId="3" numFmtId="0" xfId="0" applyBorder="1" applyFont="1"/>
    <xf borderId="13" fillId="0" fontId="25"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6"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4" fillId="2" fontId="26" numFmtId="0" xfId="0" applyAlignment="1" applyBorder="1" applyFont="1">
      <alignment horizontal="center" readingOrder="0"/>
    </xf>
    <xf borderId="6" fillId="0" fontId="2" numFmtId="0" xfId="0" applyBorder="1" applyFont="1"/>
    <xf borderId="3"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6"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0" fillId="2" fontId="26" numFmtId="0" xfId="0" applyAlignment="1" applyBorder="1" applyFont="1">
      <alignment horizontal="right" readingOrder="0"/>
    </xf>
    <xf borderId="0" fillId="2" fontId="26" numFmtId="0" xfId="0" applyAlignment="1" applyFont="1">
      <alignment horizontal="center" readingOrder="0" shrinkToFit="0" wrapText="1"/>
    </xf>
    <xf borderId="7" fillId="2" fontId="26" numFmtId="0" xfId="0" applyAlignment="1" applyBorder="1" applyFont="1">
      <alignment horizontal="center" readingOrder="0" shrinkToFit="0" wrapText="1"/>
    </xf>
    <xf borderId="7"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1" fillId="2" fontId="26" numFmtId="0" xfId="0" applyAlignment="1" applyBorder="1" applyFont="1">
      <alignment horizontal="center" readingOrder="0"/>
    </xf>
    <xf borderId="15" fillId="2" fontId="26" numFmtId="0" xfId="0" applyAlignment="1" applyBorder="1" applyFont="1">
      <alignment horizontal="center" readingOrder="0" shrinkToFit="0" wrapText="1"/>
    </xf>
    <xf borderId="16" fillId="2" fontId="26" numFmtId="0" xfId="0" applyAlignment="1" applyBorder="1" applyFont="1">
      <alignment horizontal="center" readingOrder="0" shrinkToFit="0" wrapText="1"/>
    </xf>
    <xf borderId="16"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6"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21" fillId="3" fontId="27" numFmtId="164" xfId="0" applyAlignment="1" applyBorder="1" applyFont="1" applyNumberFormat="1">
      <alignment horizontal="right" vertical="bottom"/>
    </xf>
    <xf borderId="15" fillId="3" fontId="26" numFmtId="164" xfId="0" applyAlignment="1" applyBorder="1" applyFont="1" applyNumberFormat="1">
      <alignment horizontal="right" vertical="bottom"/>
    </xf>
    <xf borderId="7"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2" fillId="3" fontId="27" numFmtId="0" xfId="0" applyAlignment="1" applyBorder="1" applyFont="1">
      <alignment horizontal="right" vertical="bottom"/>
    </xf>
    <xf borderId="5" fillId="3" fontId="27" numFmtId="164" xfId="0" applyAlignment="1" applyBorder="1" applyFont="1" applyNumberFormat="1">
      <alignment horizontal="right" vertical="bottom"/>
    </xf>
    <xf borderId="6" fillId="3" fontId="3" numFmtId="0" xfId="0" applyAlignment="1" applyBorder="1" applyFont="1">
      <alignment horizontal="center" vertical="bottom"/>
    </xf>
    <xf borderId="8" fillId="0" fontId="3" numFmtId="0" xfId="0" applyAlignment="1" applyBorder="1" applyFont="1">
      <alignment vertical="bottom"/>
    </xf>
    <xf borderId="0" fillId="0" fontId="3" numFmtId="0" xfId="0" applyAlignment="1" applyFont="1">
      <alignment vertical="bottom"/>
    </xf>
    <xf borderId="0" fillId="0" fontId="27"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0" fillId="0" fontId="27" numFmtId="0" xfId="0" applyAlignment="1" applyBorder="1" applyFont="1">
      <alignment horizontal="right"/>
    </xf>
    <xf borderId="0" fillId="0" fontId="27" numFmtId="165" xfId="0" applyAlignment="1" applyFont="1" applyNumberFormat="1">
      <alignment horizontal="right"/>
    </xf>
    <xf borderId="7" fillId="0" fontId="3" numFmtId="0" xfId="0" applyAlignment="1" applyBorder="1" applyFont="1">
      <alignment horizontal="center"/>
    </xf>
    <xf borderId="0" fillId="0" fontId="28" numFmtId="0" xfId="0" applyAlignment="1" applyFont="1">
      <alignment readingOrder="0" shrinkToFit="0" vertical="bottom" wrapText="0"/>
    </xf>
    <xf borderId="7" fillId="0" fontId="3" numFmtId="1" xfId="0" applyAlignment="1" applyBorder="1" applyFont="1" applyNumberFormat="1">
      <alignment horizontal="right" vertical="bottom"/>
    </xf>
    <xf borderId="0" fillId="0" fontId="27" numFmtId="0" xfId="0" applyAlignment="1" applyFont="1">
      <alignment horizontal="right"/>
    </xf>
    <xf borderId="15" fillId="0" fontId="27" numFmtId="0" xfId="0" applyAlignment="1" applyBorder="1" applyFont="1">
      <alignment readingOrder="0" vertical="bottom"/>
    </xf>
    <xf borderId="15" fillId="0" fontId="3" numFmtId="0" xfId="0" applyAlignment="1" applyBorder="1" applyFont="1">
      <alignment horizontal="right" readingOrder="0" vertical="bottom"/>
    </xf>
    <xf borderId="16" fillId="0" fontId="27" numFmtId="1" xfId="0" applyAlignment="1" applyBorder="1" applyFont="1" applyNumberFormat="1">
      <alignment horizontal="right" vertical="bottom"/>
    </xf>
    <xf borderId="21" fillId="0" fontId="27" numFmtId="166" xfId="0" applyAlignment="1" applyBorder="1" applyFont="1" applyNumberFormat="1">
      <alignment horizontal="right" readingOrder="0"/>
    </xf>
    <xf borderId="15" fillId="0" fontId="27" numFmtId="166" xfId="0" applyAlignment="1" applyBorder="1" applyFont="1" applyNumberFormat="1">
      <alignment horizontal="right" readingOrder="0"/>
    </xf>
    <xf borderId="16" fillId="0" fontId="3" numFmtId="0" xfId="0" applyAlignment="1" applyBorder="1" applyFont="1">
      <alignment horizontal="center" readingOrder="0"/>
    </xf>
    <xf borderId="0" fillId="0" fontId="27"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7"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3" fillId="0" fontId="27" numFmtId="0" xfId="0" applyAlignment="1" applyBorder="1" applyFont="1">
      <alignment horizontal="right"/>
    </xf>
    <xf borderId="9" fillId="0" fontId="27" numFmtId="9" xfId="0" applyAlignment="1" applyBorder="1" applyFont="1" applyNumberFormat="1">
      <alignment horizontal="right"/>
    </xf>
    <xf borderId="10" fillId="0" fontId="3" numFmtId="0" xfId="0" applyAlignment="1" applyBorder="1" applyFont="1">
      <alignment horizontal="center" readingOrder="0"/>
    </xf>
    <xf borderId="11" fillId="0" fontId="27"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4" fillId="0" fontId="27" numFmtId="0" xfId="0" applyAlignment="1" applyBorder="1" applyFont="1">
      <alignment horizontal="right"/>
    </xf>
    <xf borderId="11" fillId="0" fontId="27" numFmtId="9" xfId="0" applyAlignment="1" applyBorder="1" applyFont="1" applyNumberFormat="1">
      <alignment horizontal="right"/>
    </xf>
    <xf borderId="12" fillId="0" fontId="3" numFmtId="0" xfId="0" applyAlignment="1" applyBorder="1" applyFont="1">
      <alignment horizontal="center" readingOrder="0"/>
    </xf>
    <xf borderId="13" fillId="0" fontId="27"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5" fillId="0" fontId="27" numFmtId="0" xfId="0" applyAlignment="1" applyBorder="1" applyFont="1">
      <alignment horizontal="right"/>
    </xf>
    <xf borderId="13" fillId="0" fontId="27" numFmtId="9" xfId="0" applyAlignment="1" applyBorder="1" applyFont="1" applyNumberFormat="1">
      <alignment horizontal="right"/>
    </xf>
    <xf borderId="14" fillId="0" fontId="3" numFmtId="0" xfId="0" applyAlignment="1" applyBorder="1" applyFont="1">
      <alignment horizontal="center" readingOrder="0"/>
    </xf>
    <xf borderId="0" fillId="0" fontId="29"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7" numFmtId="0" xfId="0" applyAlignment="1" applyBorder="1" applyFont="1">
      <alignment readingOrder="0" shrinkToFit="0" vertical="bottom" wrapText="1"/>
    </xf>
    <xf borderId="16" fillId="0" fontId="3" numFmtId="0" xfId="0" applyAlignment="1" applyBorder="1" applyFont="1">
      <alignment horizontal="right" readingOrder="0" vertical="bottom"/>
    </xf>
    <xf borderId="21" fillId="0" fontId="27" numFmtId="0" xfId="0" applyAlignment="1" applyBorder="1" applyFont="1">
      <alignment horizontal="right" readingOrder="0"/>
    </xf>
    <xf borderId="15" fillId="0" fontId="27" numFmtId="166" xfId="0" applyAlignment="1" applyBorder="1" applyFont="1" applyNumberFormat="1">
      <alignment horizontal="right"/>
    </xf>
    <xf borderId="0" fillId="0" fontId="30" numFmtId="0" xfId="0" applyAlignment="1" applyFont="1">
      <alignment readingOrder="0" vertical="bottom"/>
    </xf>
    <xf borderId="9" fillId="0" fontId="3" numFmtId="0" xfId="0" applyAlignment="1" applyBorder="1" applyFont="1">
      <alignment readingOrder="0" shrinkToFit="0" vertical="bottom" wrapText="0"/>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3" fillId="0" fontId="27" numFmtId="0" xfId="0" applyAlignment="1" applyBorder="1" applyFont="1">
      <alignment horizontal="right" readingOrder="0"/>
    </xf>
    <xf borderId="9" fillId="0" fontId="27" numFmtId="166" xfId="0" applyAlignment="1" applyBorder="1" applyFont="1" applyNumberFormat="1">
      <alignment horizontal="right" readingOrder="0"/>
    </xf>
    <xf borderId="10" fillId="0" fontId="3" numFmtId="0" xfId="0" applyAlignment="1" applyBorder="1" applyFont="1">
      <alignment horizontal="center"/>
    </xf>
    <xf borderId="11" fillId="0" fontId="3" numFmtId="0" xfId="0" applyAlignment="1" applyBorder="1" applyFont="1">
      <alignment readingOrder="0" shrinkToFit="0" vertical="bottom" wrapText="0"/>
    </xf>
    <xf borderId="11"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24" fillId="0" fontId="27" numFmtId="0" xfId="0" applyAlignment="1" applyBorder="1" applyFont="1">
      <alignment horizontal="right" readingOrder="0"/>
    </xf>
    <xf borderId="11" fillId="0" fontId="27" numFmtId="166" xfId="0" applyAlignment="1" applyBorder="1" applyFont="1" applyNumberFormat="1">
      <alignment horizontal="right"/>
    </xf>
    <xf borderId="12" fillId="0" fontId="3" numFmtId="0" xfId="0" applyAlignment="1" applyBorder="1" applyFont="1">
      <alignment horizontal="center"/>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3" numFmtId="1" xfId="0" applyAlignment="1" applyBorder="1" applyFont="1" applyNumberFormat="1">
      <alignment horizontal="right" readingOrder="0" vertical="bottom"/>
    </xf>
    <xf borderId="25" fillId="0" fontId="27" numFmtId="0" xfId="0" applyAlignment="1" applyBorder="1" applyFont="1">
      <alignment horizontal="right" readingOrder="0"/>
    </xf>
    <xf borderId="13" fillId="0" fontId="27" numFmtId="166" xfId="0" applyAlignment="1" applyBorder="1" applyFont="1" applyNumberFormat="1">
      <alignment horizontal="right"/>
    </xf>
    <xf borderId="7" fillId="0" fontId="27" numFmtId="1" xfId="0" applyAlignment="1" applyBorder="1" applyFont="1" applyNumberFormat="1">
      <alignment horizontal="right" readingOrder="0" vertical="bottom"/>
    </xf>
    <xf borderId="9" fillId="0" fontId="27"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27" numFmtId="1" xfId="0" applyAlignment="1" applyBorder="1" applyFont="1" applyNumberFormat="1">
      <alignment horizontal="right" readingOrder="0" vertical="bottom"/>
    </xf>
    <xf borderId="9" fillId="0" fontId="27" numFmtId="166" xfId="0" applyAlignment="1" applyBorder="1" applyFont="1" applyNumberFormat="1">
      <alignment horizontal="right"/>
    </xf>
    <xf borderId="15" fillId="0" fontId="27" numFmtId="0" xfId="0" applyAlignment="1" applyBorder="1" applyFont="1">
      <alignment readingOrder="0" shrinkToFit="0" vertical="bottom" wrapText="1"/>
    </xf>
    <xf borderId="16" fillId="0" fontId="27" numFmtId="1" xfId="0" applyAlignment="1" applyBorder="1" applyFont="1" applyNumberFormat="1">
      <alignment horizontal="right" readingOrder="0" vertical="bottom"/>
    </xf>
    <xf borderId="14" fillId="0" fontId="3" numFmtId="0" xfId="0" applyAlignment="1" applyBorder="1" applyFont="1">
      <alignment horizontal="center"/>
    </xf>
    <xf borderId="0" fillId="0" fontId="3" numFmtId="0" xfId="0" applyAlignment="1" applyFont="1">
      <alignment horizontal="right" vertical="bottom"/>
    </xf>
    <xf borderId="7" fillId="0" fontId="3" numFmtId="0" xfId="0" applyAlignment="1" applyBorder="1" applyFont="1">
      <alignment horizontal="right" vertical="bottom"/>
    </xf>
    <xf borderId="0" fillId="0" fontId="31" numFmtId="0" xfId="0" applyAlignment="1" applyFont="1">
      <alignment shrinkToFit="0" vertical="bottom" wrapText="0"/>
    </xf>
    <xf borderId="0" fillId="0" fontId="3" numFmtId="0" xfId="0" applyAlignment="1" applyFont="1">
      <alignment readingOrder="0" vertical="bottom"/>
    </xf>
    <xf borderId="9" fillId="0" fontId="27"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7" numFmtId="167" xfId="0" applyAlignment="1" applyBorder="1" applyFont="1" applyNumberFormat="1">
      <alignment horizontal="right"/>
    </xf>
    <xf borderId="15" fillId="0" fontId="27" numFmtId="167" xfId="0" applyAlignment="1" applyBorder="1" applyFont="1" applyNumberFormat="1">
      <alignment horizontal="right"/>
    </xf>
    <xf borderId="15" fillId="0" fontId="27" numFmtId="167" xfId="0" applyAlignment="1" applyBorder="1" applyFont="1" applyNumberFormat="1">
      <alignment horizontal="right"/>
    </xf>
    <xf borderId="22" fillId="3" fontId="27" numFmtId="1" xfId="0" applyAlignment="1" applyBorder="1" applyFont="1" applyNumberFormat="1">
      <alignment horizontal="right" vertical="bottom"/>
    </xf>
    <xf borderId="5" fillId="3" fontId="27"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7" fillId="0" fontId="3" numFmtId="168" xfId="0" applyAlignment="1" applyBorder="1" applyFont="1" applyNumberFormat="1">
      <alignment horizontal="right" vertical="bottom"/>
    </xf>
    <xf borderId="0" fillId="0" fontId="27" numFmtId="169" xfId="0" applyAlignment="1" applyFont="1" applyNumberFormat="1">
      <alignment horizontal="right"/>
    </xf>
    <xf borderId="0" fillId="0" fontId="27" numFmtId="9" xfId="0" applyAlignment="1" applyFont="1" applyNumberFormat="1">
      <alignment horizontal="right"/>
    </xf>
    <xf borderId="20" fillId="0" fontId="27" numFmtId="166" xfId="0" applyAlignment="1" applyBorder="1" applyFont="1" applyNumberFormat="1">
      <alignment horizontal="right" readingOrder="0"/>
    </xf>
    <xf borderId="0" fillId="0" fontId="27" numFmtId="166" xfId="0" applyAlignment="1" applyFont="1" applyNumberFormat="1">
      <alignment horizontal="right" readingOrder="0"/>
    </xf>
    <xf borderId="0" fillId="0" fontId="3" numFmtId="0" xfId="0" applyAlignment="1" applyFont="1">
      <alignment shrinkToFit="0" vertical="bottom" wrapText="0"/>
    </xf>
    <xf borderId="23" fillId="0" fontId="27" numFmtId="0" xfId="0" applyAlignment="1" applyBorder="1" applyFont="1">
      <alignment horizontal="right" readingOrder="0" shrinkToFit="0" vertical="bottom" wrapText="1"/>
    </xf>
    <xf borderId="9" fillId="0" fontId="27" numFmtId="3" xfId="0" applyAlignment="1" applyBorder="1" applyFont="1" applyNumberFormat="1">
      <alignment horizontal="right" readingOrder="0"/>
    </xf>
    <xf borderId="23" fillId="0" fontId="27" numFmtId="9" xfId="0" applyAlignment="1" applyBorder="1" applyFont="1" applyNumberFormat="1">
      <alignment horizontal="right" readingOrder="0"/>
    </xf>
    <xf borderId="0" fillId="0" fontId="32" numFmtId="0" xfId="0" applyAlignment="1" applyFont="1">
      <alignment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4" fillId="0" fontId="27" numFmtId="9" xfId="0" applyAlignment="1" applyBorder="1" applyFont="1" applyNumberFormat="1">
      <alignment horizontal="right" readingOrder="0"/>
    </xf>
    <xf borderId="11" fillId="0" fontId="27" numFmtId="0" xfId="0" applyAlignment="1" applyBorder="1" applyFont="1">
      <alignment horizontal="right"/>
    </xf>
    <xf borderId="13"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3" fillId="0" fontId="27" numFmtId="3" xfId="0" applyAlignment="1" applyBorder="1" applyFont="1" applyNumberFormat="1">
      <alignment horizontal="right" readingOrder="0"/>
    </xf>
    <xf borderId="20" fillId="0" fontId="27" numFmtId="164" xfId="0" applyAlignment="1" applyBorder="1" applyFont="1" applyNumberFormat="1">
      <alignment horizontal="right" readingOrder="0"/>
    </xf>
    <xf borderId="0" fillId="0" fontId="27" numFmtId="3" xfId="0" applyAlignment="1" applyFont="1" applyNumberFormat="1">
      <alignment horizontal="right" readingOrder="0"/>
    </xf>
    <xf borderId="0" fillId="0" fontId="27" numFmtId="4" xfId="0" applyAlignment="1" applyFont="1" applyNumberFormat="1">
      <alignment horizontal="right" readingOrder="0"/>
    </xf>
    <xf borderId="23" fillId="0" fontId="27" numFmtId="164" xfId="0" applyAlignment="1" applyBorder="1" applyFont="1" applyNumberFormat="1">
      <alignment horizontal="right" readingOrder="0"/>
    </xf>
    <xf borderId="9" fillId="0" fontId="27" numFmtId="164" xfId="0" applyAlignment="1" applyBorder="1" applyFont="1" applyNumberFormat="1">
      <alignment horizontal="right" readingOrder="0"/>
    </xf>
    <xf borderId="12" fillId="0" fontId="27" numFmtId="1" xfId="0" applyAlignment="1" applyBorder="1" applyFont="1" applyNumberFormat="1">
      <alignment horizontal="right" readingOrder="0" vertical="bottom"/>
    </xf>
    <xf borderId="24" fillId="0" fontId="27" numFmtId="164" xfId="0" applyAlignment="1" applyBorder="1" applyFont="1" applyNumberFormat="1">
      <alignment horizontal="right" readingOrder="0"/>
    </xf>
    <xf borderId="11" fillId="0" fontId="27" numFmtId="3" xfId="0" applyAlignment="1" applyBorder="1" applyFont="1" applyNumberFormat="1">
      <alignment horizontal="right" readingOrder="0"/>
    </xf>
    <xf borderId="11" fillId="0" fontId="27" numFmtId="164" xfId="0" applyAlignment="1" applyBorder="1" applyFont="1" applyNumberFormat="1">
      <alignment horizontal="right" readingOrder="0"/>
    </xf>
    <xf borderId="14" fillId="0" fontId="27" numFmtId="1" xfId="0" applyAlignment="1" applyBorder="1" applyFont="1" applyNumberFormat="1">
      <alignment horizontal="right" readingOrder="0" vertical="bottom"/>
    </xf>
    <xf borderId="25" fillId="0" fontId="27" numFmtId="166" xfId="0" applyAlignment="1" applyBorder="1" applyFont="1" applyNumberFormat="1">
      <alignment horizontal="right" readingOrder="0"/>
    </xf>
    <xf borderId="23" fillId="0" fontId="27" numFmtId="166" xfId="0" applyAlignment="1" applyBorder="1" applyFont="1" applyNumberFormat="1">
      <alignment horizontal="right" readingOrder="0"/>
    </xf>
    <xf borderId="10" fillId="0" fontId="3" numFmtId="0" xfId="0" applyAlignment="1" applyBorder="1" applyFont="1">
      <alignment horizontal="center" readingOrder="0"/>
    </xf>
    <xf borderId="24" fillId="0" fontId="27" numFmtId="166" xfId="0" applyAlignment="1" applyBorder="1" applyFont="1" applyNumberFormat="1">
      <alignment horizontal="right" readingOrder="0"/>
    </xf>
    <xf borderId="12" fillId="0" fontId="3" numFmtId="0" xfId="0" applyAlignment="1" applyBorder="1" applyFont="1">
      <alignment horizontal="center" readingOrder="0"/>
    </xf>
    <xf borderId="11" fillId="0" fontId="27" numFmtId="9" xfId="0" applyAlignment="1" applyBorder="1" applyFont="1" applyNumberFormat="1">
      <alignment horizontal="right" readingOrder="0"/>
    </xf>
    <xf borderId="13" fillId="0" fontId="27" numFmtId="9" xfId="0" applyAlignment="1" applyBorder="1" applyFont="1" applyNumberFormat="1">
      <alignment horizontal="right" readingOrder="0"/>
    </xf>
    <xf borderId="14" fillId="0" fontId="3" numFmtId="0" xfId="0" applyAlignment="1" applyBorder="1" applyFont="1">
      <alignment horizontal="center" readingOrder="0"/>
    </xf>
    <xf borderId="0" fillId="0" fontId="33" numFmtId="0" xfId="0" applyAlignment="1" applyFont="1">
      <alignment readingOrder="0" vertical="bottom"/>
    </xf>
    <xf borderId="0" fillId="0" fontId="34" numFmtId="0" xfId="0" applyAlignment="1" applyFont="1">
      <alignment readingOrder="0" vertical="bottom"/>
    </xf>
    <xf borderId="9" fillId="0" fontId="27" numFmtId="0" xfId="0" applyAlignment="1" applyBorder="1" applyFont="1">
      <alignment horizontal="right"/>
    </xf>
    <xf borderId="20" fillId="0" fontId="27" numFmtId="9" xfId="0" applyAlignment="1" applyBorder="1" applyFont="1" applyNumberFormat="1">
      <alignment horizontal="right"/>
    </xf>
    <xf borderId="7" fillId="0" fontId="3" numFmtId="0" xfId="0" applyAlignment="1" applyBorder="1" applyFont="1">
      <alignment horizontal="center" readingOrder="0"/>
    </xf>
    <xf borderId="12" fillId="0" fontId="3" numFmtId="3" xfId="0" applyAlignment="1" applyBorder="1" applyFont="1" applyNumberFormat="1">
      <alignment horizontal="right" readingOrder="0" vertical="bottom"/>
    </xf>
    <xf borderId="24" fillId="0" fontId="27" numFmtId="2" xfId="0" applyAlignment="1" applyBorder="1" applyFont="1" applyNumberFormat="1">
      <alignment horizontal="right"/>
    </xf>
    <xf borderId="12" fillId="0" fontId="3" numFmtId="9" xfId="0" applyAlignment="1" applyBorder="1" applyFont="1" applyNumberFormat="1">
      <alignment horizontal="center" readingOrder="0"/>
    </xf>
    <xf borderId="23" fillId="0" fontId="27" numFmtId="9" xfId="0" applyAlignment="1" applyBorder="1" applyFont="1" applyNumberFormat="1">
      <alignment horizontal="right"/>
    </xf>
    <xf borderId="9" fillId="0" fontId="3" numFmtId="0" xfId="0" applyAlignment="1" applyBorder="1" applyFont="1">
      <alignment horizontal="right" readingOrder="0" vertical="bottom"/>
    </xf>
    <xf borderId="23" fillId="0" fontId="27" numFmtId="164" xfId="0" applyAlignment="1" applyBorder="1" applyFont="1" applyNumberFormat="1">
      <alignment horizontal="right"/>
    </xf>
    <xf borderId="9" fillId="0" fontId="27" numFmtId="10" xfId="0" applyAlignment="1" applyBorder="1" applyFont="1" applyNumberFormat="1">
      <alignment horizontal="right"/>
    </xf>
    <xf borderId="10" fillId="0" fontId="3" numFmtId="1" xfId="0" applyAlignment="1" applyBorder="1" applyFont="1" applyNumberFormat="1">
      <alignment horizontal="right" readingOrder="0" vertical="bottom"/>
    </xf>
    <xf borderId="11" fillId="0" fontId="27" numFmtId="10" xfId="0" applyAlignment="1" applyBorder="1" applyFont="1" applyNumberFormat="1">
      <alignment horizontal="right"/>
    </xf>
    <xf borderId="15" fillId="0" fontId="27" numFmtId="3" xfId="0" applyAlignment="1" applyBorder="1" applyFont="1" applyNumberFormat="1">
      <alignment horizontal="right"/>
    </xf>
    <xf borderId="0" fillId="0" fontId="35" numFmtId="0" xfId="0" applyAlignment="1" applyFont="1">
      <alignment vertical="bottom"/>
    </xf>
    <xf borderId="9" fillId="0" fontId="27" numFmtId="3" xfId="0" applyAlignment="1" applyBorder="1" applyFont="1" applyNumberFormat="1">
      <alignment horizontal="right"/>
    </xf>
    <xf borderId="11" fillId="0" fontId="27" numFmtId="3" xfId="0" applyAlignment="1" applyBorder="1" applyFont="1" applyNumberFormat="1">
      <alignment horizontal="right"/>
    </xf>
    <xf borderId="11" fillId="0" fontId="27" numFmtId="4" xfId="0" applyAlignment="1" applyBorder="1" applyFont="1" applyNumberFormat="1">
      <alignment horizontal="right"/>
    </xf>
    <xf borderId="24" fillId="0" fontId="27" numFmtId="9" xfId="0" applyAlignment="1" applyBorder="1" applyFont="1" applyNumberFormat="1">
      <alignment horizontal="right"/>
    </xf>
    <xf borderId="13" fillId="0" fontId="27" numFmtId="1" xfId="0" applyAlignment="1" applyBorder="1" applyFont="1" applyNumberFormat="1">
      <alignment horizontal="right"/>
    </xf>
    <xf borderId="7" fillId="0" fontId="3" numFmtId="9" xfId="0" applyAlignment="1" applyBorder="1" applyFont="1" applyNumberFormat="1">
      <alignment horizontal="center"/>
    </xf>
    <xf borderId="0" fillId="0" fontId="3" numFmtId="0" xfId="0" applyAlignment="1" applyFont="1">
      <alignment readingOrder="0" vertical="bottom"/>
    </xf>
    <xf borderId="9" fillId="0" fontId="27" numFmtId="9" xfId="0" applyAlignment="1" applyBorder="1" applyFont="1" applyNumberFormat="1">
      <alignment horizontal="right"/>
    </xf>
    <xf borderId="9" fillId="0" fontId="27" numFmtId="0" xfId="0" applyAlignment="1" applyBorder="1" applyFont="1">
      <alignment readingOrder="0" vertical="bottom"/>
    </xf>
    <xf borderId="24" fillId="0" fontId="27" numFmtId="2" xfId="0" applyAlignment="1" applyBorder="1" applyFont="1" applyNumberFormat="1">
      <alignment horizontal="right" readingOrder="0"/>
    </xf>
    <xf borderId="17" fillId="0" fontId="27" numFmtId="0" xfId="0" applyAlignment="1" applyBorder="1" applyFont="1">
      <alignment readingOrder="0" shrinkToFit="0"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7" numFmtId="2" xfId="0" applyAlignment="1" applyBorder="1" applyFont="1" applyNumberFormat="1">
      <alignment horizontal="right" readingOrder="0"/>
    </xf>
    <xf borderId="18" fillId="0" fontId="3" numFmtId="0" xfId="0" applyAlignment="1" applyBorder="1" applyFont="1">
      <alignment horizontal="center" readingOrder="0"/>
    </xf>
    <xf borderId="0" fillId="0" fontId="1" numFmtId="0" xfId="0" applyAlignment="1" applyFont="1">
      <alignment vertical="bottom"/>
    </xf>
    <xf borderId="14" fillId="0" fontId="3" numFmtId="3" xfId="0" applyAlignment="1" applyBorder="1" applyFont="1" applyNumberFormat="1">
      <alignment horizontal="right" readingOrder="0" vertical="bottom"/>
    </xf>
    <xf borderId="13" fillId="0" fontId="27" numFmtId="3" xfId="0" applyAlignment="1" applyBorder="1" applyFont="1" applyNumberFormat="1">
      <alignment horizontal="right"/>
    </xf>
    <xf borderId="7" fillId="0" fontId="3" numFmtId="3" xfId="0" applyAlignment="1" applyBorder="1" applyFont="1" applyNumberFormat="1">
      <alignment horizontal="right" vertical="bottom"/>
    </xf>
    <xf borderId="10" fillId="0" fontId="3" numFmtId="3" xfId="0" applyAlignment="1" applyBorder="1" applyFont="1" applyNumberFormat="1">
      <alignment horizontal="right" readingOrder="0" vertical="bottom"/>
    </xf>
    <xf borderId="23" fillId="0" fontId="27" numFmtId="165" xfId="0" applyAlignment="1" applyBorder="1" applyFont="1" applyNumberFormat="1">
      <alignment horizontal="right"/>
    </xf>
    <xf borderId="11" fillId="0" fontId="27" numFmtId="0" xfId="0" applyAlignment="1" applyBorder="1" applyFont="1">
      <alignment readingOrder="0" shrinkToFit="0" wrapText="1"/>
    </xf>
    <xf borderId="12" fillId="0" fontId="3" numFmtId="0" xfId="0" applyAlignment="1" applyBorder="1" applyFont="1">
      <alignment horizontal="right" readingOrder="0"/>
    </xf>
    <xf borderId="24" fillId="0" fontId="27" numFmtId="170" xfId="0" applyAlignment="1" applyBorder="1" applyFont="1" applyNumberFormat="1">
      <alignment horizontal="right"/>
    </xf>
    <xf borderId="11" fillId="0" fontId="27" numFmtId="2" xfId="0" applyAlignment="1" applyBorder="1" applyFont="1" applyNumberFormat="1">
      <alignment horizontal="right" readingOrder="0"/>
    </xf>
    <xf borderId="11" fillId="0" fontId="3" numFmtId="0" xfId="0" applyAlignment="1" applyBorder="1" applyFont="1">
      <alignment horizontal="right" readingOrder="0"/>
    </xf>
    <xf borderId="24" fillId="0" fontId="27" numFmtId="165" xfId="0" applyAlignment="1" applyBorder="1" applyFont="1" applyNumberFormat="1">
      <alignment horizontal="right"/>
    </xf>
    <xf borderId="11" fillId="0" fontId="27" numFmtId="0" xfId="0" applyAlignment="1" applyBorder="1" applyFont="1">
      <alignment horizontal="right" readingOrder="0"/>
    </xf>
    <xf borderId="24" fillId="0" fontId="27" numFmtId="3" xfId="0" applyAlignment="1" applyBorder="1" applyFont="1" applyNumberFormat="1">
      <alignment horizontal="right"/>
    </xf>
    <xf borderId="24" fillId="0" fontId="27" numFmtId="4" xfId="0" applyAlignment="1" applyBorder="1" applyFont="1" applyNumberFormat="1">
      <alignment horizontal="right"/>
    </xf>
    <xf borderId="12" fillId="0" fontId="27" numFmtId="3" xfId="0" applyAlignment="1" applyBorder="1" applyFont="1" applyNumberFormat="1">
      <alignment horizontal="center" readingOrder="0"/>
    </xf>
    <xf borderId="15" fillId="0" fontId="27" numFmtId="0" xfId="0" applyAlignment="1" applyBorder="1" applyFont="1">
      <alignment readingOrder="0" shrinkToFit="0" wrapText="1"/>
    </xf>
    <xf borderId="15" fillId="0" fontId="3" numFmtId="0" xfId="0" applyAlignment="1" applyBorder="1" applyFont="1">
      <alignment horizontal="right" readingOrder="0"/>
    </xf>
    <xf borderId="16" fillId="0" fontId="3" numFmtId="0" xfId="0" applyAlignment="1" applyBorder="1" applyFont="1">
      <alignment horizontal="right" readingOrder="0"/>
    </xf>
    <xf borderId="16" fillId="0" fontId="3" numFmtId="0" xfId="0" applyAlignment="1" applyBorder="1" applyFont="1">
      <alignment horizontal="center" readingOrder="0"/>
    </xf>
    <xf borderId="0" fillId="0" fontId="27" numFmtId="0" xfId="0" applyAlignment="1" applyFont="1">
      <alignment shrinkToFit="0" wrapText="1"/>
    </xf>
    <xf borderId="0" fillId="0" fontId="3" numFmtId="0" xfId="0" applyAlignment="1" applyFont="1">
      <alignment horizontal="right"/>
    </xf>
    <xf borderId="5" fillId="3" fontId="27" numFmtId="0" xfId="0" applyAlignment="1" applyBorder="1" applyFont="1">
      <alignment horizontal="right" vertical="bottom"/>
    </xf>
    <xf borderId="23" fillId="0" fontId="27" numFmtId="1" xfId="0" applyAlignment="1" applyBorder="1" applyFont="1" applyNumberFormat="1">
      <alignment horizontal="right"/>
    </xf>
    <xf borderId="25" fillId="0" fontId="27" numFmtId="1" xfId="0" applyAlignment="1" applyBorder="1" applyFont="1" applyNumberFormat="1">
      <alignment horizontal="right" readingOrder="0"/>
    </xf>
    <xf borderId="20" fillId="0" fontId="27" numFmtId="2" xfId="0" applyAlignment="1" applyBorder="1" applyFont="1" applyNumberFormat="1">
      <alignment horizontal="right"/>
    </xf>
    <xf borderId="0" fillId="0" fontId="27" numFmtId="2" xfId="0" applyAlignment="1" applyFont="1" applyNumberFormat="1">
      <alignment horizontal="right"/>
    </xf>
    <xf borderId="20" fillId="0" fontId="27" numFmtId="1" xfId="0" applyAlignment="1" applyBorder="1" applyFont="1" applyNumberFormat="1">
      <alignment horizontal="right"/>
    </xf>
    <xf borderId="0" fillId="0" fontId="27" numFmtId="1" xfId="0" applyAlignment="1" applyFont="1" applyNumberFormat="1">
      <alignment horizontal="right"/>
    </xf>
    <xf borderId="23" fillId="0" fontId="27" numFmtId="3" xfId="0" applyAlignment="1" applyBorder="1" applyFont="1" applyNumberFormat="1">
      <alignment horizontal="right"/>
    </xf>
    <xf borderId="9" fillId="0" fontId="27" numFmtId="171" xfId="0" applyAlignment="1" applyBorder="1" applyFont="1" applyNumberFormat="1">
      <alignment horizontal="right"/>
    </xf>
    <xf borderId="15" fillId="0" fontId="27" numFmtId="3" xfId="0" applyAlignment="1" applyBorder="1" applyFont="1" applyNumberFormat="1">
      <alignment horizontal="right" readingOrder="0"/>
    </xf>
    <xf borderId="11" fillId="0" fontId="27" numFmtId="1" xfId="0" applyAlignment="1" applyBorder="1" applyFont="1" applyNumberFormat="1">
      <alignment horizontal="right"/>
    </xf>
    <xf borderId="23" fillId="0" fontId="27" numFmtId="1" xfId="0" applyAlignment="1" applyBorder="1" applyFont="1" applyNumberFormat="1">
      <alignment horizontal="right" readingOrder="0"/>
    </xf>
    <xf borderId="9" fillId="0" fontId="27" numFmtId="9" xfId="0" applyAlignment="1" applyBorder="1" applyFont="1" applyNumberFormat="1">
      <alignment horizontal="right" readingOrder="0"/>
    </xf>
    <xf borderId="24" fillId="0" fontId="27" numFmtId="3" xfId="0" applyAlignment="1" applyBorder="1" applyFont="1" applyNumberFormat="1">
      <alignment horizontal="right" readingOrder="0"/>
    </xf>
    <xf borderId="11" fillId="0" fontId="27" numFmtId="171" xfId="0" applyAlignment="1" applyBorder="1" applyFont="1" applyNumberFormat="1">
      <alignment horizontal="right" readingOrder="0"/>
    </xf>
    <xf borderId="25" fillId="0" fontId="27" numFmtId="2" xfId="0" applyAlignment="1" applyBorder="1" applyFont="1" applyNumberFormat="1">
      <alignment horizontal="right" readingOrder="0"/>
    </xf>
    <xf borderId="13" fillId="0" fontId="27" numFmtId="0" xfId="0" applyAlignment="1" applyBorder="1" applyFont="1">
      <alignment horizontal="right" readingOrder="0"/>
    </xf>
    <xf borderId="17" fillId="0" fontId="27" numFmtId="0" xfId="0" applyAlignment="1" applyBorder="1" applyFont="1">
      <alignment readingOrder="0" shrinkToFit="0" vertical="bottom" wrapText="1"/>
    </xf>
    <xf borderId="26" fillId="0" fontId="27" numFmtId="0" xfId="0" applyAlignment="1" applyBorder="1" applyFont="1">
      <alignment horizontal="right" readingOrder="0"/>
    </xf>
    <xf borderId="17" fillId="0" fontId="27" numFmtId="171" xfId="0" applyAlignment="1" applyBorder="1" applyFont="1" applyNumberFormat="1">
      <alignment horizontal="right"/>
    </xf>
    <xf borderId="26" fillId="0" fontId="27" numFmtId="170" xfId="0" applyAlignment="1" applyBorder="1" applyFont="1" applyNumberFormat="1">
      <alignment horizontal="right"/>
    </xf>
    <xf borderId="17" fillId="0" fontId="27" numFmtId="169" xfId="0" applyAlignment="1" applyBorder="1" applyFont="1" applyNumberFormat="1">
      <alignment horizontal="right"/>
    </xf>
    <xf borderId="13" fillId="0" fontId="27" numFmtId="169" xfId="0" applyAlignment="1" applyBorder="1" applyFont="1" applyNumberFormat="1">
      <alignment horizontal="right"/>
    </xf>
    <xf borderId="10" fillId="0" fontId="3" numFmtId="0" xfId="0" applyAlignment="1" applyBorder="1" applyFont="1">
      <alignment horizontal="right" readingOrder="0" vertical="bottom"/>
    </xf>
    <xf borderId="9"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7" numFmtId="0" xfId="0" applyAlignment="1" applyBorder="1" applyFont="1">
      <alignment horizontal="right"/>
    </xf>
    <xf borderId="11" fillId="0" fontId="3" numFmtId="0" xfId="0" applyAlignment="1" applyBorder="1" applyFont="1">
      <alignment horizontal="right" vertical="bottom"/>
    </xf>
    <xf borderId="12" fillId="0" fontId="3" numFmtId="0" xfId="0" applyAlignment="1" applyBorder="1" applyFont="1">
      <alignment horizontal="right" vertical="bottom"/>
    </xf>
    <xf borderId="0" fillId="0" fontId="27" numFmtId="0" xfId="0" applyAlignment="1" applyFont="1">
      <alignment readingOrder="0" vertical="bottom"/>
    </xf>
    <xf borderId="0" fillId="0" fontId="27" numFmtId="9" xfId="0" applyAlignment="1" applyFont="1" applyNumberFormat="1">
      <alignment horizontal="right" readingOrder="0"/>
    </xf>
    <xf borderId="15" fillId="0" fontId="3" numFmtId="0" xfId="0" applyAlignment="1" applyBorder="1" applyFont="1">
      <alignment readingOrder="0" vertical="bottom"/>
    </xf>
    <xf borderId="21" fillId="0" fontId="27" numFmtId="9" xfId="0" applyAlignment="1" applyBorder="1" applyFont="1" applyNumberFormat="1">
      <alignment horizontal="right"/>
    </xf>
    <xf borderId="15" fillId="0" fontId="27" numFmtId="9" xfId="0" applyAlignment="1" applyBorder="1" applyFont="1" applyNumberFormat="1">
      <alignment horizontal="right" readingOrder="0"/>
    </xf>
    <xf borderId="20" fillId="0" fontId="27" numFmtId="0" xfId="0" applyAlignment="1" applyBorder="1" applyFont="1">
      <alignment horizontal="right" readingOrder="0"/>
    </xf>
    <xf borderId="15" fillId="0" fontId="27" numFmtId="9" xfId="0" applyAlignment="1" applyBorder="1" applyFont="1" applyNumberFormat="1">
      <alignment horizontal="right"/>
    </xf>
    <xf borderId="0" fillId="0" fontId="3" numFmtId="10" xfId="0" applyAlignment="1" applyFont="1" applyNumberFormat="1">
      <alignment horizontal="right" vertical="bottom"/>
    </xf>
    <xf borderId="21" fillId="0" fontId="27" numFmtId="0" xfId="0" applyAlignment="1" applyBorder="1" applyFont="1">
      <alignment horizontal="right"/>
    </xf>
    <xf borderId="16" fillId="0" fontId="3" numFmtId="0" xfId="0" applyAlignment="1" applyBorder="1" applyFont="1">
      <alignment horizontal="center"/>
    </xf>
    <xf borderId="7" fillId="0" fontId="3" numFmtId="169" xfId="0" applyAlignment="1" applyBorder="1" applyFont="1" applyNumberFormat="1">
      <alignment horizontal="right" readingOrder="0" vertical="bottom"/>
    </xf>
    <xf borderId="10" fillId="0" fontId="3" numFmtId="169" xfId="0" applyAlignment="1" applyBorder="1" applyFont="1" applyNumberFormat="1">
      <alignment horizontal="right" readingOrder="0" vertical="bottom"/>
    </xf>
    <xf borderId="23" fillId="0" fontId="27" numFmtId="171" xfId="0" applyAlignment="1" applyBorder="1" applyFont="1" applyNumberFormat="1">
      <alignment horizontal="right" readingOrder="0"/>
    </xf>
    <xf borderId="24" fillId="0" fontId="27" numFmtId="171" xfId="0" applyAlignment="1" applyBorder="1" applyFont="1" applyNumberFormat="1">
      <alignment horizontal="right" readingOrder="0"/>
    </xf>
    <xf borderId="11" fillId="0" fontId="27" numFmtId="171" xfId="0" applyAlignment="1" applyBorder="1" applyFont="1" applyNumberFormat="1">
      <alignment horizontal="right"/>
    </xf>
    <xf borderId="13" fillId="0" fontId="26" numFmtId="0" xfId="0" applyAlignment="1" applyBorder="1" applyFont="1">
      <alignment readingOrder="0" shrinkToFit="0" vertical="bottom" wrapText="1"/>
    </xf>
    <xf borderId="13" fillId="0" fontId="1" numFmtId="0" xfId="0" applyAlignment="1" applyBorder="1" applyFont="1">
      <alignment horizontal="right" readingOrder="0" vertical="bottom"/>
    </xf>
    <xf borderId="14" fillId="0" fontId="1" numFmtId="0" xfId="0" applyAlignment="1" applyBorder="1" applyFont="1">
      <alignment horizontal="right" readingOrder="0" vertical="bottom"/>
    </xf>
    <xf borderId="25" fillId="0" fontId="26" numFmtId="164" xfId="0" applyAlignment="1" applyBorder="1" applyFont="1" applyNumberFormat="1">
      <alignment horizontal="right" readingOrder="0"/>
    </xf>
    <xf borderId="13" fillId="0" fontId="26" numFmtId="164" xfId="0" applyAlignment="1" applyBorder="1" applyFont="1" applyNumberFormat="1">
      <alignment horizontal="right"/>
    </xf>
    <xf borderId="0" fillId="0" fontId="36"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0" fillId="0" fontId="26" numFmtId="164" xfId="0" applyAlignment="1" applyBorder="1" applyFont="1" applyNumberFormat="1">
      <alignment horizontal="right" readingOrder="0"/>
    </xf>
    <xf borderId="0" fillId="0" fontId="36" numFmtId="164" xfId="0" applyAlignment="1" applyFont="1" applyNumberFormat="1">
      <alignment horizontal="right" readingOrder="0"/>
    </xf>
    <xf borderId="11" fillId="0" fontId="27" numFmtId="0" xfId="0" applyAlignment="1" applyBorder="1" applyFont="1">
      <alignment readingOrder="0" shrinkToFit="0" vertical="bottom" wrapText="1"/>
    </xf>
    <xf borderId="0" fillId="0" fontId="27" numFmtId="10" xfId="0" applyAlignment="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7" numFmtId="0" xfId="0" applyAlignment="1" applyBorder="1" applyFont="1">
      <alignment shrinkToFit="0" vertical="bottom" wrapText="1"/>
    </xf>
    <xf borderId="15" fillId="0" fontId="3" numFmtId="0" xfId="0" applyAlignment="1" applyBorder="1" applyFont="1">
      <alignment horizontal="right" vertical="bottom"/>
    </xf>
    <xf borderId="27" fillId="2" fontId="26" numFmtId="0" xfId="0" applyAlignment="1" applyBorder="1" applyFont="1">
      <alignment horizontal="center" readingOrder="0"/>
    </xf>
    <xf borderId="3" fillId="2" fontId="1" numFmtId="0" xfId="0" applyAlignment="1" applyBorder="1" applyFont="1">
      <alignment vertical="bottom"/>
    </xf>
    <xf borderId="20" fillId="2" fontId="26" numFmtId="0" xfId="0" applyAlignment="1" applyBorder="1" applyFont="1">
      <alignment horizontal="center" readingOrder="0"/>
    </xf>
    <xf borderId="7" fillId="2" fontId="1" numFmtId="0" xfId="0" applyAlignment="1" applyBorder="1" applyFont="1">
      <alignment vertical="bottom"/>
    </xf>
    <xf borderId="16"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9" fillId="0" fontId="3" numFmtId="0" xfId="0" applyAlignment="1" applyBorder="1" applyFont="1">
      <alignment horizontal="right" readingOrder="0" shrinkToFit="0" vertical="bottom" wrapText="0"/>
    </xf>
    <xf borderId="23" fillId="0" fontId="3" numFmtId="9" xfId="0" applyAlignment="1" applyBorder="1" applyFont="1" applyNumberFormat="1">
      <alignment horizontal="right" readingOrder="0" vertical="bottom"/>
    </xf>
    <xf borderId="9" fillId="0" fontId="3" numFmtId="1" xfId="0" applyAlignment="1" applyBorder="1" applyFont="1" applyNumberFormat="1">
      <alignment horizontal="right" readingOrder="0"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shrinkToFit="0" vertical="bottom" wrapText="0"/>
    </xf>
    <xf borderId="24" fillId="0" fontId="3" numFmtId="9" xfId="0" applyAlignment="1" applyBorder="1" applyFont="1" applyNumberFormat="1">
      <alignment horizontal="right" readingOrder="0" vertical="bottom"/>
    </xf>
    <xf borderId="11" fillId="0" fontId="3" numFmtId="1" xfId="0" applyAlignment="1" applyBorder="1" applyFont="1" applyNumberFormat="1">
      <alignment horizontal="right" readingOrder="0" vertical="bottom"/>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5" fillId="0" fontId="3" numFmtId="9" xfId="0" applyAlignment="1" applyBorder="1" applyFont="1" applyNumberFormat="1">
      <alignment horizontal="right" readingOrder="0" vertical="bottom"/>
    </xf>
    <xf borderId="13" fillId="0" fontId="3" numFmtId="1" xfId="0" applyAlignment="1" applyBorder="1" applyFont="1" applyNumberFormat="1">
      <alignment horizontal="right" readingOrder="0" vertical="bottom"/>
    </xf>
    <xf borderId="0" fillId="0" fontId="3" numFmtId="1" xfId="0" applyAlignment="1" applyFont="1" applyNumberFormat="1">
      <alignment horizontal="right" readingOrder="0" vertical="bottom"/>
    </xf>
    <xf borderId="20" fillId="0" fontId="27" numFmtId="165" xfId="0" applyAlignment="1" applyBorder="1" applyFont="1" applyNumberFormat="1">
      <alignment horizontal="right"/>
    </xf>
    <xf borderId="9" fillId="0" fontId="27" numFmtId="1" xfId="0" applyAlignment="1" applyBorder="1" applyFont="1" applyNumberFormat="1">
      <alignment horizontal="right"/>
    </xf>
    <xf borderId="25" fillId="0" fontId="27" numFmtId="9" xfId="0" applyAlignment="1" applyBorder="1" applyFont="1" applyNumberFormat="1">
      <alignment horizontal="right"/>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23" fillId="0" fontId="27" numFmtId="4" xfId="0" applyAlignment="1" applyBorder="1" applyFont="1" applyNumberFormat="1">
      <alignment horizontal="right" readingOrder="0"/>
    </xf>
    <xf borderId="11" fillId="0" fontId="27" numFmtId="1" xfId="0" applyAlignment="1" applyBorder="1" applyFont="1" applyNumberFormat="1">
      <alignment horizontal="right" readingOrder="0" vertical="bottom"/>
    </xf>
    <xf borderId="24" fillId="0" fontId="27" numFmtId="4" xfId="0" applyAlignment="1" applyBorder="1" applyFont="1" applyNumberFormat="1">
      <alignment horizontal="right" readingOrder="0"/>
    </xf>
    <xf borderId="13" fillId="0" fontId="27" numFmtId="1" xfId="0" applyAlignment="1" applyBorder="1" applyFont="1" applyNumberFormat="1">
      <alignment horizontal="right" readingOrder="0" vertical="bottom"/>
    </xf>
    <xf borderId="25" fillId="0" fontId="27" numFmtId="4" xfId="0" applyAlignment="1" applyBorder="1" applyFont="1" applyNumberFormat="1">
      <alignment horizontal="right" readingOrder="0"/>
    </xf>
    <xf borderId="20" fillId="0" fontId="27" numFmtId="3" xfId="0" applyAlignment="1" applyBorder="1" applyFont="1" applyNumberFormat="1">
      <alignment horizontal="right" readingOrder="0"/>
    </xf>
    <xf borderId="0" fillId="0" fontId="27" numFmtId="164" xfId="0" applyAlignment="1" applyFont="1" applyNumberFormat="1">
      <alignment horizontal="right" readingOrder="0"/>
    </xf>
    <xf borderId="15" fillId="0" fontId="27" numFmtId="1" xfId="0" applyAlignment="1" applyBorder="1" applyFont="1" applyNumberFormat="1">
      <alignment horizontal="right" readingOrder="0" vertical="bottom"/>
    </xf>
    <xf borderId="21" fillId="0" fontId="27" numFmtId="9" xfId="0" applyAlignment="1" applyBorder="1" applyFont="1" applyNumberFormat="1">
      <alignment horizontal="right" readingOrder="0"/>
    </xf>
    <xf borderId="15" fillId="0" fontId="27" numFmtId="164" xfId="0" applyAlignment="1" applyBorder="1" applyFont="1" applyNumberFormat="1">
      <alignment horizontal="right" readingOrder="0"/>
    </xf>
    <xf borderId="21" fillId="0" fontId="27" numFmtId="4" xfId="0" applyAlignment="1" applyBorder="1" applyFont="1" applyNumberFormat="1">
      <alignment horizontal="right" readingOrder="0"/>
    </xf>
    <xf borderId="15" fillId="0" fontId="27" numFmtId="4" xfId="0" applyAlignment="1" applyBorder="1" applyFont="1" applyNumberFormat="1">
      <alignment horizontal="right" readingOrder="0"/>
    </xf>
    <xf borderId="9" fillId="0" fontId="27" numFmtId="0" xfId="0" applyAlignment="1" applyBorder="1" applyFont="1">
      <alignment shrinkToFit="0" vertical="bottom" wrapText="1"/>
    </xf>
    <xf borderId="13" fillId="0" fontId="27" numFmtId="4" xfId="0" applyAlignment="1" applyBorder="1" applyFont="1" applyNumberFormat="1">
      <alignment horizontal="right"/>
    </xf>
    <xf borderId="6" fillId="3" fontId="3" numFmtId="0" xfId="0" applyAlignment="1" applyBorder="1" applyFont="1">
      <alignment horizontal="right" vertical="bottom"/>
    </xf>
    <xf borderId="23" fillId="0" fontId="27" numFmtId="4" xfId="0" applyAlignment="1" applyBorder="1" applyFont="1" applyNumberFormat="1">
      <alignment horizontal="right"/>
    </xf>
    <xf borderId="9" fillId="0" fontId="37" numFmtId="0" xfId="0" applyAlignment="1" applyBorder="1" applyFont="1">
      <alignment horizontal="right"/>
    </xf>
    <xf borderId="11" fillId="0" fontId="37" numFmtId="0" xfId="0" applyAlignment="1" applyBorder="1" applyFont="1">
      <alignment horizontal="right"/>
    </xf>
    <xf borderId="13" fillId="0" fontId="37" numFmtId="0" xfId="0" applyAlignment="1" applyBorder="1" applyFont="1">
      <alignment horizontal="right"/>
    </xf>
    <xf borderId="23" fillId="0" fontId="37" numFmtId="0" xfId="0" applyAlignment="1" applyBorder="1" applyFont="1">
      <alignment horizontal="right"/>
    </xf>
    <xf borderId="9" fillId="0" fontId="37" numFmtId="1" xfId="0" applyAlignment="1" applyBorder="1" applyFont="1" applyNumberFormat="1">
      <alignment horizontal="right"/>
    </xf>
    <xf borderId="24" fillId="0" fontId="37" numFmtId="0" xfId="0" applyAlignment="1" applyBorder="1" applyFont="1">
      <alignment horizontal="right"/>
    </xf>
    <xf borderId="11" fillId="0" fontId="37" numFmtId="1" xfId="0" applyAlignment="1" applyBorder="1" applyFont="1" applyNumberFormat="1">
      <alignment horizontal="right"/>
    </xf>
    <xf borderId="24" fillId="0" fontId="37" numFmtId="0" xfId="0" applyAlignment="1" applyBorder="1" applyFont="1">
      <alignment horizontal="right" readingOrder="0"/>
    </xf>
    <xf borderId="25" fillId="0" fontId="37" numFmtId="0" xfId="0" applyAlignment="1" applyBorder="1" applyFont="1">
      <alignment horizontal="right" readingOrder="0"/>
    </xf>
    <xf borderId="9" fillId="0" fontId="37" numFmtId="4" xfId="0" applyAlignment="1" applyBorder="1" applyFont="1" applyNumberFormat="1">
      <alignment horizontal="right"/>
    </xf>
    <xf borderId="11" fillId="0" fontId="37" numFmtId="4" xfId="0" applyAlignment="1" applyBorder="1" applyFont="1" applyNumberFormat="1">
      <alignment horizontal="right"/>
    </xf>
    <xf borderId="13" fillId="0" fontId="37" numFmtId="4" xfId="0" applyAlignment="1" applyBorder="1" applyFont="1" applyNumberFormat="1">
      <alignment horizontal="right"/>
    </xf>
    <xf borderId="24" fillId="0" fontId="27" numFmtId="1" xfId="0" applyAlignment="1" applyBorder="1" applyFont="1" applyNumberFormat="1">
      <alignment horizontal="right" readingOrder="0"/>
    </xf>
    <xf borderId="13" fillId="0" fontId="27" numFmtId="0" xfId="0" applyAlignment="1" applyBorder="1" applyFont="1">
      <alignment horizontal="right"/>
    </xf>
    <xf borderId="11" fillId="0" fontId="27" numFmtId="167" xfId="0" applyAlignment="1" applyBorder="1" applyFont="1" applyNumberFormat="1">
      <alignment horizontal="right" readingOrder="0"/>
    </xf>
    <xf borderId="11" fillId="0" fontId="27" numFmtId="167" xfId="0" applyAlignment="1" applyBorder="1" applyFont="1" applyNumberFormat="1">
      <alignment horizontal="right"/>
    </xf>
    <xf borderId="13" fillId="0" fontId="27" numFmtId="167" xfId="0" applyAlignment="1" applyBorder="1" applyFont="1" applyNumberFormat="1">
      <alignment horizontal="right"/>
    </xf>
    <xf borderId="0" fillId="0" fontId="27" numFmtId="0" xfId="0" applyAlignment="1" applyFont="1">
      <alignment horizontal="right" readingOrder="0"/>
    </xf>
    <xf borderId="9" fillId="0" fontId="27" numFmtId="2" xfId="0" applyAlignment="1" applyBorder="1" applyFont="1" applyNumberFormat="1">
      <alignment horizontal="right"/>
    </xf>
    <xf borderId="9" fillId="0" fontId="27" numFmtId="0" xfId="0" applyAlignment="1" applyBorder="1" applyFont="1">
      <alignment horizontal="right" readingOrder="0"/>
    </xf>
    <xf borderId="9" fillId="0" fontId="27" numFmtId="2" xfId="0" applyAlignment="1" applyBorder="1" applyFont="1" applyNumberFormat="1">
      <alignment horizontal="right" readingOrder="0"/>
    </xf>
    <xf borderId="11" fillId="0" fontId="27" numFmtId="2" xfId="0" applyAlignment="1" applyBorder="1" applyFont="1" applyNumberFormat="1">
      <alignment horizontal="right"/>
    </xf>
    <xf borderId="13" fillId="0" fontId="27" numFmtId="2" xfId="0" applyAlignment="1" applyBorder="1" applyFont="1" applyNumberFormat="1">
      <alignment horizontal="right"/>
    </xf>
    <xf borderId="9" fillId="0" fontId="27" numFmtId="167" xfId="0" applyAlignment="1" applyBorder="1" applyFont="1" applyNumberFormat="1">
      <alignment horizontal="right"/>
    </xf>
    <xf borderId="11" fillId="0" fontId="27" numFmtId="167" xfId="0" applyAlignment="1" applyBorder="1" applyFont="1" applyNumberFormat="1">
      <alignment horizontal="right"/>
    </xf>
    <xf borderId="6" fillId="3" fontId="3" numFmtId="1" xfId="0" applyAlignment="1" applyBorder="1" applyFont="1" applyNumberFormat="1">
      <alignment horizontal="right" vertical="bottom"/>
    </xf>
    <xf borderId="0" fillId="0" fontId="3" numFmtId="0" xfId="0" applyAlignment="1" applyFont="1">
      <alignment readingOrder="0" shrinkToFit="0" vertical="bottom" wrapText="1"/>
    </xf>
    <xf borderId="20" fillId="0" fontId="3" numFmtId="1" xfId="0" applyAlignment="1" applyBorder="1" applyFont="1" applyNumberFormat="1">
      <alignment horizontal="right" vertical="bottom"/>
    </xf>
    <xf borderId="9" fillId="0" fontId="3" numFmtId="0" xfId="0" applyAlignment="1" applyBorder="1" applyFont="1">
      <alignment readingOrder="0" shrinkToFit="0" vertical="bottom" wrapText="1"/>
    </xf>
    <xf borderId="23" fillId="0" fontId="3" numFmtId="1"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24" fillId="0" fontId="3" numFmtId="1" xfId="0" applyAlignment="1" applyBorder="1" applyFont="1" applyNumberFormat="1">
      <alignment horizontal="right" readingOrder="0" vertical="bottom"/>
    </xf>
    <xf borderId="13" fillId="0" fontId="3" numFmtId="0" xfId="0" applyAlignment="1" applyBorder="1" applyFont="1">
      <alignment readingOrder="0" shrinkToFit="0" vertical="bottom" wrapText="1"/>
    </xf>
    <xf borderId="25" fillId="0" fontId="3" numFmtId="1" xfId="0" applyAlignment="1" applyBorder="1" applyFont="1" applyNumberFormat="1">
      <alignment horizontal="right" readingOrder="0" vertical="bottom"/>
    </xf>
    <xf borderId="0" fillId="0" fontId="1" numFmtId="0" xfId="0" applyAlignment="1" applyFont="1">
      <alignment readingOrder="0" shrinkToFit="0" vertical="bottom" wrapText="0"/>
    </xf>
    <xf borderId="23" fillId="0" fontId="3" numFmtId="9" xfId="0" applyAlignment="1" applyBorder="1" applyFont="1" applyNumberFormat="1">
      <alignment horizontal="right" vertical="bottom"/>
    </xf>
    <xf borderId="24" fillId="0" fontId="3" numFmtId="9" xfId="0" applyAlignment="1" applyBorder="1" applyFont="1" applyNumberFormat="1">
      <alignment horizontal="right" vertical="bottom"/>
    </xf>
    <xf borderId="25" fillId="0" fontId="3" numFmtId="9" xfId="0" applyAlignment="1" applyBorder="1" applyFont="1" applyNumberFormat="1">
      <alignment horizontal="right" vertical="bottom"/>
    </xf>
    <xf borderId="9" fillId="0" fontId="27" numFmtId="4" xfId="0" applyAlignment="1" applyBorder="1" applyFont="1" applyNumberFormat="1">
      <alignment horizontal="right"/>
    </xf>
    <xf borderId="0" fillId="0" fontId="27" numFmtId="4" xfId="0" applyAlignment="1" applyFont="1" applyNumberFormat="1">
      <alignment horizontal="right"/>
    </xf>
    <xf borderId="15" fillId="0" fontId="27" numFmtId="164" xfId="0" applyAlignment="1" applyBorder="1" applyFont="1" applyNumberFormat="1">
      <alignment horizontal="right"/>
    </xf>
    <xf borderId="15" fillId="0" fontId="27" numFmtId="0" xfId="0" applyAlignment="1" applyBorder="1" applyFont="1">
      <alignment horizontal="right"/>
    </xf>
    <xf borderId="25" fillId="0" fontId="27" numFmtId="1" xfId="0" applyAlignment="1" applyBorder="1" applyFont="1" applyNumberFormat="1">
      <alignment horizontal="right"/>
    </xf>
    <xf borderId="25" fillId="0" fontId="27" numFmtId="164" xfId="0" applyAlignment="1" applyBorder="1" applyFont="1" applyNumberFormat="1">
      <alignment horizontal="right" readingOrder="0"/>
    </xf>
    <xf borderId="13" fillId="0" fontId="27" numFmtId="10" xfId="0" applyAlignment="1" applyBorder="1" applyFont="1" applyNumberFormat="1">
      <alignment horizontal="right" readingOrder="0"/>
    </xf>
    <xf borderId="0" fillId="0" fontId="3" numFmtId="0" xfId="0" applyAlignment="1" applyFont="1">
      <alignment horizontal="right" readingOrder="0" vertical="bottom"/>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11" fillId="0" fontId="27" numFmtId="1" xfId="0" applyAlignment="1" applyBorder="1" applyFont="1" applyNumberFormat="1">
      <alignment horizontal="right" readingOrder="0" vertical="bottom"/>
    </xf>
    <xf borderId="12" fillId="0" fontId="3" numFmtId="1" xfId="0" applyBorder="1" applyFont="1" applyNumberFormat="1"/>
    <xf borderId="12" fillId="0" fontId="27" numFmtId="9" xfId="0" applyAlignment="1" applyBorder="1" applyFont="1" applyNumberFormat="1">
      <alignment horizontal="right" readingOrder="0"/>
    </xf>
    <xf borderId="0" fillId="0" fontId="27" numFmtId="10" xfId="0" applyAlignment="1" applyFont="1" applyNumberFormat="1">
      <alignment horizontal="right" readingOrder="0"/>
    </xf>
    <xf borderId="12" fillId="0" fontId="3" numFmtId="1" xfId="0" applyAlignment="1" applyBorder="1" applyFont="1" applyNumberFormat="1">
      <alignment horizontal="right" readingOrder="0" vertical="bottom"/>
    </xf>
    <xf borderId="13" fillId="0" fontId="27" numFmtId="0" xfId="0" applyAlignment="1" applyBorder="1" applyFont="1">
      <alignment readingOrder="0" vertical="bottom"/>
    </xf>
    <xf borderId="15" fillId="0" fontId="27" numFmtId="0" xfId="0" applyAlignment="1" applyBorder="1" applyFont="1">
      <alignment shrinkToFit="0" wrapText="1"/>
    </xf>
    <xf borderId="24" fillId="0" fontId="27" numFmtId="1" xfId="0" applyAlignment="1" applyBorder="1" applyFont="1" applyNumberFormat="1">
      <alignment horizontal="right"/>
    </xf>
    <xf borderId="25" fillId="0" fontId="27" numFmtId="9" xfId="0" applyAlignment="1" applyBorder="1" applyFont="1" applyNumberFormat="1">
      <alignment horizontal="right" readingOrder="0"/>
    </xf>
    <xf borderId="9" fillId="0" fontId="27" numFmtId="0" xfId="0" applyAlignment="1" applyBorder="1" applyFont="1">
      <alignment readingOrder="0" shrinkToFit="0" wrapText="1"/>
    </xf>
    <xf borderId="9" fillId="0" fontId="3" numFmtId="1" xfId="0" applyAlignment="1" applyBorder="1" applyFont="1" applyNumberFormat="1">
      <alignment horizontal="right" readingOrder="0"/>
    </xf>
    <xf borderId="13" fillId="0" fontId="27" numFmtId="0" xfId="0" applyAlignment="1" applyBorder="1" applyFont="1">
      <alignment readingOrder="0" shrinkToFit="0" wrapText="1"/>
    </xf>
    <xf borderId="11" fillId="0" fontId="27" numFmtId="0" xfId="0" applyAlignment="1" applyBorder="1" applyFont="1">
      <alignment readingOrder="0" vertical="bottom"/>
    </xf>
    <xf borderId="9" fillId="0" fontId="37" numFmtId="9" xfId="0" applyBorder="1" applyFont="1" applyNumberFormat="1"/>
    <xf borderId="11" fillId="0" fontId="37" numFmtId="9" xfId="0" applyBorder="1" applyFont="1" applyNumberFormat="1"/>
    <xf borderId="21" fillId="0" fontId="27" numFmtId="2" xfId="0" applyAlignment="1" applyBorder="1" applyFont="1" applyNumberFormat="1">
      <alignment horizontal="right" readingOrder="0"/>
    </xf>
    <xf borderId="2" fillId="2" fontId="26" numFmtId="0" xfId="0" applyAlignment="1" applyBorder="1" applyFont="1">
      <alignment shrinkToFit="0" vertical="bottom" wrapText="1"/>
    </xf>
    <xf borderId="0" fillId="2" fontId="26" numFmtId="0" xfId="0" applyAlignment="1" applyFont="1">
      <alignment shrinkToFit="0" vertical="bottom" wrapText="1"/>
    </xf>
    <xf borderId="15" fillId="3" fontId="26" numFmtId="0" xfId="0" applyAlignment="1" applyBorder="1" applyFont="1">
      <alignment readingOrder="0" shrinkToFit="0" vertical="bottom" wrapText="1"/>
    </xf>
    <xf borderId="0" fillId="0" fontId="27" numFmtId="0" xfId="0" applyAlignment="1" applyFont="1">
      <alignment shrinkToFit="0" vertical="bottom" wrapText="1"/>
    </xf>
    <xf borderId="21" fillId="0" fontId="27" numFmtId="166" xfId="0" applyAlignment="1" applyBorder="1" applyFont="1" applyNumberFormat="1">
      <alignment horizontal="right"/>
    </xf>
    <xf borderId="0" fillId="0" fontId="27" numFmtId="0" xfId="0" applyAlignment="1" applyFont="1">
      <alignment readingOrder="0" shrinkToFit="0" wrapText="1"/>
    </xf>
    <xf borderId="9" fillId="0" fontId="27" numFmtId="0" xfId="0" applyAlignment="1" applyBorder="1" applyFont="1">
      <alignment readingOrder="0" shrinkToFit="0" wrapText="1"/>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0" fillId="0" fontId="27" numFmtId="0" xfId="0" applyAlignment="1" applyFont="1">
      <alignment readingOrder="0" shrinkToFit="0" vertical="bottom" wrapText="1"/>
    </xf>
    <xf borderId="21" fillId="0" fontId="27" numFmtId="164" xfId="0" applyAlignment="1" applyBorder="1" applyFont="1" applyNumberFormat="1">
      <alignment horizontal="right" readingOrder="0"/>
    </xf>
    <xf borderId="12" fillId="0" fontId="27" numFmtId="0" xfId="0" applyAlignment="1" applyBorder="1" applyFont="1">
      <alignment horizontal="right" readingOrder="0" vertical="bottom"/>
    </xf>
    <xf borderId="11" fillId="0" fontId="27" numFmtId="166" xfId="0" applyAlignment="1" applyBorder="1" applyFont="1" applyNumberFormat="1">
      <alignment horizontal="right" readingOrder="0"/>
    </xf>
    <xf borderId="14" fillId="0" fontId="27" numFmtId="0" xfId="0" applyAlignment="1" applyBorder="1" applyFont="1">
      <alignment horizontal="right" readingOrder="0" vertical="bottom"/>
    </xf>
    <xf borderId="13" fillId="0" fontId="27" numFmtId="166" xfId="0" applyAlignment="1" applyBorder="1" applyFont="1" applyNumberFormat="1">
      <alignment horizontal="right" readingOrder="0"/>
    </xf>
    <xf borderId="10" fillId="0" fontId="27" numFmtId="0" xfId="0" applyAlignment="1" applyBorder="1" applyFont="1">
      <alignment horizontal="right" readingOrder="0" vertical="bottom"/>
    </xf>
    <xf borderId="16" fillId="0" fontId="27" numFmtId="0" xfId="0" applyAlignment="1" applyBorder="1" applyFont="1">
      <alignment horizontal="right" readingOrder="0" vertical="bottom"/>
    </xf>
    <xf borderId="0" fillId="0" fontId="27" numFmtId="0" xfId="0" applyAlignment="1" applyFont="1">
      <alignment shrinkToFit="0" wrapText="1"/>
    </xf>
    <xf borderId="9" fillId="0" fontId="3" numFmtId="0" xfId="0" applyAlignment="1" applyBorder="1" applyFont="1">
      <alignment horizontal="right" readingOrder="0"/>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13" fillId="0" fontId="3" numFmtId="0" xfId="0" applyAlignment="1" applyBorder="1" applyFont="1">
      <alignment horizontal="right" readingOrder="0"/>
    </xf>
    <xf borderId="8" fillId="0" fontId="1" numFmtId="0" xfId="0" applyAlignment="1" applyBorder="1" applyFont="1">
      <alignment readingOrder="0" shrinkToFit="0" vertical="bottom" wrapText="0"/>
    </xf>
    <xf borderId="20" fillId="0" fontId="27" numFmtId="0" xfId="0" applyAlignment="1" applyBorder="1" applyFont="1">
      <alignment horizontal="right" vertical="bottom"/>
    </xf>
    <xf borderId="0" fillId="0" fontId="27" numFmtId="0" xfId="0" applyAlignment="1" applyFont="1">
      <alignment horizontal="right" vertical="bottom"/>
    </xf>
    <xf borderId="23" fillId="0" fontId="27" numFmtId="0" xfId="0" applyAlignment="1" applyBorder="1" applyFont="1">
      <alignment horizontal="right" readingOrder="0" vertical="bottom"/>
    </xf>
    <xf borderId="9" fillId="0" fontId="27" numFmtId="170" xfId="0" applyAlignment="1" applyBorder="1" applyFont="1" applyNumberFormat="1">
      <alignment horizontal="right" vertical="bottom"/>
    </xf>
    <xf borderId="24" fillId="0" fontId="27" numFmtId="9" xfId="0" applyAlignment="1" applyBorder="1" applyFont="1" applyNumberFormat="1">
      <alignment horizontal="right" readingOrder="0" vertical="bottom"/>
    </xf>
    <xf borderId="11" fillId="0" fontId="27" numFmtId="168" xfId="0" applyAlignment="1" applyBorder="1" applyFont="1" applyNumberFormat="1">
      <alignment horizontal="right" vertical="bottom"/>
    </xf>
    <xf borderId="24" fillId="0" fontId="27" numFmtId="0" xfId="0" applyAlignment="1" applyBorder="1" applyFont="1">
      <alignment horizontal="right" readingOrder="0" vertical="bottom"/>
    </xf>
    <xf borderId="11" fillId="0" fontId="27" numFmtId="9" xfId="0" applyAlignment="1" applyBorder="1" applyFont="1" applyNumberFormat="1">
      <alignment horizontal="right" vertical="bottom"/>
    </xf>
    <xf borderId="25" fillId="0" fontId="27" numFmtId="0" xfId="0" applyAlignment="1" applyBorder="1" applyFont="1">
      <alignment horizontal="right" readingOrder="0" vertical="bottom"/>
    </xf>
    <xf borderId="13" fillId="0" fontId="27" numFmtId="171" xfId="0" applyAlignment="1" applyBorder="1" applyFont="1" applyNumberFormat="1">
      <alignment horizontal="right" vertical="bottom"/>
    </xf>
    <xf borderId="14" fillId="0" fontId="3" numFmtId="0" xfId="0" applyAlignment="1" applyBorder="1" applyFont="1">
      <alignment horizontal="right" vertical="bottom"/>
    </xf>
    <xf borderId="20" fillId="0" fontId="27" numFmtId="169" xfId="0" applyAlignment="1" applyBorder="1" applyFont="1" applyNumberFormat="1">
      <alignment horizontal="right" vertical="bottom"/>
    </xf>
    <xf borderId="9" fillId="0" fontId="27" numFmtId="0" xfId="0" applyAlignment="1" applyBorder="1" applyFont="1">
      <alignment shrinkToFit="0" vertical="bottom" wrapText="1"/>
    </xf>
    <xf borderId="23" fillId="0" fontId="27" numFmtId="169" xfId="0" applyAlignment="1" applyBorder="1" applyFont="1" applyNumberFormat="1">
      <alignment horizontal="right" vertical="bottom"/>
    </xf>
    <xf borderId="9" fillId="0" fontId="27" numFmtId="3" xfId="0" applyAlignment="1" applyBorder="1" applyFont="1" applyNumberFormat="1">
      <alignment horizontal="right" vertical="bottom"/>
    </xf>
    <xf borderId="11" fillId="0" fontId="27" numFmtId="0" xfId="0" applyAlignment="1" applyBorder="1" applyFont="1">
      <alignment shrinkToFit="0" vertical="bottom" wrapText="1"/>
    </xf>
    <xf borderId="24" fillId="0" fontId="27" numFmtId="9" xfId="0" applyAlignment="1" applyBorder="1" applyFont="1" applyNumberFormat="1">
      <alignment horizontal="right" vertical="bottom"/>
    </xf>
    <xf borderId="24" fillId="0" fontId="27" numFmtId="169" xfId="0" applyAlignment="1" applyBorder="1" applyFont="1" applyNumberFormat="1">
      <alignment horizontal="right" vertical="bottom"/>
    </xf>
    <xf borderId="25" fillId="0" fontId="27" numFmtId="169" xfId="0" applyAlignment="1" applyBorder="1" applyFont="1" applyNumberFormat="1">
      <alignment horizontal="right" readingOrder="0" vertical="bottom"/>
    </xf>
    <xf borderId="13" fillId="0" fontId="27" numFmtId="1" xfId="0" applyAlignment="1" applyBorder="1" applyFont="1" applyNumberFormat="1">
      <alignment horizontal="right" vertical="bottom"/>
    </xf>
    <xf borderId="23" fillId="0" fontId="27" numFmtId="170" xfId="0" applyAlignment="1" applyBorder="1" applyFont="1" applyNumberFormat="1">
      <alignment horizontal="right" vertical="bottom"/>
    </xf>
    <xf borderId="9" fillId="0" fontId="27" numFmtId="0" xfId="0" applyAlignment="1" applyBorder="1" applyFont="1">
      <alignment horizontal="right" vertical="bottom"/>
    </xf>
    <xf borderId="21" fillId="0" fontId="27" numFmtId="170" xfId="0" applyAlignment="1" applyBorder="1" applyFont="1" applyNumberFormat="1">
      <alignment horizontal="right" vertical="bottom"/>
    </xf>
    <xf borderId="15" fillId="0" fontId="27" numFmtId="0" xfId="0" applyAlignment="1" applyBorder="1" applyFont="1">
      <alignment horizontal="right" vertical="bottom"/>
    </xf>
    <xf borderId="16" fillId="0" fontId="3" numFmtId="0" xfId="0" applyAlignment="1" applyBorder="1" applyFon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0" fillId="0" fontId="27" numFmtId="0" xfId="0" applyAlignment="1" applyBorder="1" applyFont="1">
      <alignment horizontal="right" readingOrder="0"/>
    </xf>
    <xf borderId="0" fillId="0" fontId="27" numFmtId="3" xfId="0" applyAlignment="1" applyFont="1" applyNumberFormat="1">
      <alignment horizontal="right"/>
    </xf>
    <xf borderId="7" fillId="0" fontId="3" numFmtId="0" xfId="0" applyBorder="1" applyFont="1"/>
    <xf borderId="9" fillId="0" fontId="3" numFmtId="0" xfId="0" applyAlignment="1" applyBorder="1" applyFont="1">
      <alignment readingOrder="0" vertical="bottom"/>
    </xf>
    <xf borderId="10" fillId="0" fontId="3" numFmtId="0" xfId="0" applyAlignment="1" applyBorder="1" applyFont="1">
      <alignment horizontal="right" readingOrder="0" vertical="bottom"/>
    </xf>
    <xf borderId="10" fillId="0" fontId="3" numFmtId="0" xfId="0" applyBorder="1" applyFont="1"/>
    <xf borderId="12" fillId="0" fontId="3" numFmtId="0" xfId="0" applyAlignment="1" applyBorder="1" applyFont="1">
      <alignment horizontal="right" readingOrder="0" vertical="bottom"/>
    </xf>
    <xf borderId="12" fillId="0" fontId="3" numFmtId="0" xfId="0" applyBorder="1" applyFont="1"/>
    <xf borderId="14" fillId="0" fontId="3" numFmtId="0" xfId="0" applyAlignment="1" applyBorder="1" applyFont="1">
      <alignment horizontal="right" readingOrder="0" vertical="bottom"/>
    </xf>
    <xf borderId="14" fillId="0" fontId="3" numFmtId="0" xfId="0" applyBorder="1" applyFont="1"/>
    <xf borderId="24" fillId="0" fontId="27" numFmtId="0" xfId="0" applyAlignment="1" applyBorder="1" applyFont="1">
      <alignment horizontal="right" readingOrder="0"/>
    </xf>
    <xf borderId="4" fillId="3" fontId="1" numFmtId="0" xfId="0" applyAlignment="1" applyBorder="1" applyFont="1">
      <alignment readingOrder="0" vertical="bottom"/>
    </xf>
    <xf borderId="22" fillId="3" fontId="27" numFmtId="0" xfId="0" applyAlignment="1" applyBorder="1" applyFont="1">
      <alignment horizontal="right" readingOrder="0"/>
    </xf>
    <xf borderId="5" fillId="3" fontId="27" numFmtId="3" xfId="0" applyAlignment="1" applyBorder="1" applyFont="1" applyNumberFormat="1">
      <alignment horizontal="right"/>
    </xf>
    <xf borderId="6" fillId="3" fontId="3" numFmtId="0" xfId="0" applyBorder="1" applyFont="1"/>
    <xf borderId="15" fillId="0" fontId="3" numFmtId="0" xfId="0" applyAlignment="1" applyBorder="1" applyFont="1">
      <alignment horizontal="right" readingOrder="0" vertical="bottom"/>
    </xf>
    <xf borderId="16" fillId="0" fontId="3" numFmtId="0" xfId="0" applyBorder="1" applyFont="1"/>
    <xf borderId="7" fillId="0" fontId="37" numFmtId="0" xfId="0" applyBorder="1" applyFont="1"/>
    <xf borderId="0" fillId="0" fontId="38" numFmtId="0" xfId="0" applyAlignment="1" applyFont="1">
      <alignment readingOrder="0" shrinkToFit="0" vertical="bottom" wrapText="1"/>
    </xf>
    <xf borderId="24" fillId="0" fontId="27" numFmtId="169" xfId="0" applyAlignment="1" applyBorder="1" applyFont="1" applyNumberFormat="1">
      <alignment horizontal="right" readingOrder="0"/>
    </xf>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1" fillId="0" fontId="27"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8" fillId="2" fontId="1" numFmtId="0" xfId="0" applyAlignment="1" applyBorder="1" applyFont="1">
      <alignment vertical="bottom"/>
    </xf>
    <xf borderId="0" fillId="2" fontId="1" numFmtId="0" xfId="0" applyAlignment="1" applyFont="1">
      <alignment horizontal="left" shrinkToFit="0" vertical="bottom" wrapText="0"/>
    </xf>
    <xf borderId="7"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6" fillId="3" fontId="26" numFmtId="164" xfId="0" applyAlignment="1" applyBorder="1" applyFont="1" applyNumberFormat="1">
      <alignment horizontal="right" vertical="bottom"/>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7" fillId="3" fontId="3" numFmtId="0" xfId="0" applyAlignment="1" applyBorder="1" applyFont="1">
      <alignment horizontal="left" shrinkToFit="0" vertical="bottom" wrapText="0"/>
    </xf>
    <xf borderId="22" fillId="3" fontId="3" numFmtId="0" xfId="0" applyAlignment="1" applyBorder="1" applyFont="1">
      <alignment horizontal="right" vertical="bottom"/>
    </xf>
    <xf borderId="5" fillId="3" fontId="3" numFmtId="164" xfId="0" applyAlignment="1" applyBorder="1" applyFont="1" applyNumberFormat="1">
      <alignment horizontal="right" vertical="bottom"/>
    </xf>
    <xf borderId="6" fillId="3" fontId="3" numFmtId="164" xfId="0" applyAlignment="1" applyBorder="1" applyFont="1" applyNumberForma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0" fillId="0" fontId="3" numFmtId="0" xfId="0" applyAlignment="1" applyBorder="1" applyFont="1">
      <alignment horizontal="right"/>
    </xf>
    <xf borderId="0" fillId="0" fontId="3" numFmtId="9" xfId="0" applyAlignment="1" applyFont="1" applyNumberForma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1"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0" fillId="0" fontId="3" numFmtId="0" xfId="0" applyAlignment="1" applyBorder="1" applyFont="1">
      <alignment horizontal="right" readingOrder="0"/>
    </xf>
    <xf borderId="9" fillId="0" fontId="3" numFmtId="0" xfId="0" applyAlignment="1" applyBorder="1" applyFont="1">
      <alignment readingOrder="0" shrinkToFit="0" wrapText="1"/>
    </xf>
    <xf borderId="23" fillId="0" fontId="3" numFmtId="0" xfId="0" applyAlignment="1" applyBorder="1" applyFont="1">
      <alignment horizontal="right" readingOrder="0"/>
    </xf>
    <xf borderId="9" fillId="0" fontId="3" numFmtId="9" xfId="0" applyAlignment="1" applyBorder="1" applyFont="1" applyNumberFormat="1">
      <alignment horizontal="right"/>
    </xf>
    <xf borderId="10" fillId="0" fontId="3" numFmtId="9" xfId="0" applyAlignment="1" applyBorder="1" applyFont="1" applyNumberFormat="1">
      <alignment horizontal="right"/>
    </xf>
    <xf borderId="28" fillId="0" fontId="3" numFmtId="0" xfId="0" applyBorder="1" applyFont="1"/>
    <xf borderId="9" fillId="0" fontId="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0" xfId="0" applyAlignment="1" applyBorder="1" applyFont="1">
      <alignment readingOrder="0" shrinkToFit="0" wrapText="1"/>
    </xf>
    <xf borderId="24" fillId="0" fontId="3" numFmtId="0" xfId="0" applyAlignment="1" applyBorder="1" applyFont="1">
      <alignment horizontal="right" readingOrder="0"/>
    </xf>
    <xf borderId="11"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29" fillId="0" fontId="3" numFmtId="0" xfId="0" applyBorder="1" applyFont="1"/>
    <xf borderId="11"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3" fillId="0" fontId="3" numFmtId="0" xfId="0" applyAlignment="1" applyBorder="1" applyFont="1">
      <alignment readingOrder="0" shrinkToFit="0" wrapText="1"/>
    </xf>
    <xf borderId="25"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30" fillId="0" fontId="3" numFmtId="0" xfId="0" applyBorder="1" applyFont="1"/>
    <xf borderId="13" fillId="0" fontId="3" numFmtId="0" xfId="0" applyAlignment="1" applyBorder="1" applyFont="1">
      <alignment horizontal="left" readingOrder="0" shrinkToFit="0" wrapText="0"/>
    </xf>
    <xf borderId="14"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15" fillId="0" fontId="3" numFmtId="0" xfId="0" applyAlignment="1" applyBorder="1" applyFont="1">
      <alignment readingOrder="0" shrinkToFit="0" vertical="bottom" wrapText="1"/>
    </xf>
    <xf borderId="21" fillId="0" fontId="3" numFmtId="0" xfId="0" applyAlignment="1" applyBorder="1" applyFont="1">
      <alignment horizontal="right" readingOrder="0"/>
    </xf>
    <xf borderId="15" fillId="0" fontId="3" numFmtId="167" xfId="0" applyAlignment="1" applyBorder="1" applyFont="1" applyNumberFormat="1">
      <alignment horizontal="right" readingOrder="0"/>
    </xf>
    <xf borderId="16" fillId="0" fontId="3" numFmtId="167" xfId="0" applyAlignment="1" applyBorder="1" applyFont="1" applyNumberFormat="1">
      <alignment horizontal="right" readingOrder="0"/>
    </xf>
    <xf borderId="16" fillId="0" fontId="3" numFmtId="0" xfId="0" applyAlignment="1" applyBorder="1" applyFont="1">
      <alignment horizontal="left" readingOrder="0" shrinkToFit="0" wrapText="0"/>
    </xf>
    <xf borderId="22"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9" fillId="0" fontId="3" numFmtId="0" xfId="0" applyAlignment="1" applyBorder="1" applyFont="1">
      <alignment readingOrder="0" shrinkToFit="0" vertical="bottom" wrapText="1"/>
    </xf>
    <xf borderId="23" fillId="0" fontId="3" numFmtId="9" xfId="0" applyAlignment="1" applyBorder="1" applyFont="1" applyNumberFormat="1">
      <alignment horizontal="right" readingOrder="0"/>
    </xf>
    <xf borderId="9"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13"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3" fillId="0" fontId="3" numFmtId="166" xfId="0" applyAlignment="1" applyBorder="1" applyFont="1" applyNumberFormat="1">
      <alignment horizontal="right" readingOrder="0"/>
    </xf>
    <xf borderId="14" fillId="0" fontId="3" numFmtId="166" xfId="0" applyAlignment="1" applyBorder="1" applyFont="1" applyNumberFormat="1">
      <alignment horizontal="right" readingOrder="0"/>
    </xf>
    <xf borderId="14" fillId="0" fontId="3" numFmtId="0" xfId="0" applyAlignment="1" applyBorder="1" applyFont="1">
      <alignment horizontal="left" shrinkToFit="0" wrapText="0"/>
    </xf>
    <xf borderId="20" fillId="0" fontId="3" numFmtId="164" xfId="0" applyAlignment="1" applyBorder="1" applyFont="1" applyNumberFormat="1">
      <alignment horizontal="right" readingOrder="0"/>
    </xf>
    <xf borderId="7" fillId="0" fontId="27" numFmtId="164" xfId="0" applyAlignment="1" applyBorder="1" applyFont="1" applyNumberFormat="1">
      <alignment horizontal="right" readingOrder="0"/>
    </xf>
    <xf borderId="0" fillId="0" fontId="3" numFmtId="0" xfId="0" applyAlignment="1" applyFont="1">
      <alignment horizontal="left" readingOrder="0" shrinkToFit="0" wrapText="0"/>
    </xf>
    <xf borderId="7" fillId="0" fontId="39"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16" fillId="0" fontId="27" numFmtId="164" xfId="0" applyAlignment="1" applyBorder="1" applyFont="1" applyNumberFormat="1">
      <alignment horizontal="right" readingOrder="0"/>
    </xf>
    <xf borderId="16" fillId="0" fontId="40" numFmtId="0" xfId="0" applyAlignment="1" applyBorder="1" applyFont="1">
      <alignment horizontal="left" readingOrder="0" shrinkToFit="0" wrapText="0"/>
    </xf>
    <xf borderId="7" fillId="0" fontId="3" numFmtId="0" xfId="0" applyAlignment="1" applyBorder="1" applyFont="1">
      <alignment horizontal="right" readingOrder="0"/>
    </xf>
    <xf borderId="9"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9" fillId="0" fontId="3" numFmtId="0" xfId="0" applyAlignment="1" applyBorder="1" applyFont="1">
      <alignment horizontal="left" readingOrder="0" shrinkToFit="0" wrapText="0"/>
    </xf>
    <xf borderId="10" fillId="0" fontId="41" numFmtId="0" xfId="0" applyAlignment="1" applyBorder="1" applyFont="1">
      <alignment horizontal="left" readingOrder="0" shrinkToFit="0" wrapText="0"/>
    </xf>
    <xf borderId="15"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42" numFmtId="0" xfId="0" applyAlignment="1" applyBorder="1" applyFont="1">
      <alignment horizontal="left" readingOrder="0" shrinkToFit="0" wrapText="0"/>
    </xf>
    <xf borderId="7" fillId="0" fontId="27" numFmtId="1" xfId="0" applyAlignment="1" applyBorder="1" applyFont="1" applyNumberFormat="1">
      <alignment horizontal="right" vertical="bottom"/>
    </xf>
    <xf borderId="0" fillId="0" fontId="3" numFmtId="0" xfId="0" applyAlignment="1" applyFont="1">
      <alignment horizontal="right" readingOrder="0" shrinkToFit="0" vertical="bottom" wrapText="0"/>
    </xf>
    <xf borderId="8"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7" fillId="0" fontId="3" numFmtId="1" xfId="0" applyAlignment="1" applyBorder="1" applyFont="1" applyNumberFormat="1">
      <alignment horizontal="left" shrinkToFit="0" vertical="bottom" wrapText="0"/>
    </xf>
    <xf borderId="28" fillId="0" fontId="3" numFmtId="1" xfId="0" applyAlignment="1" applyBorder="1" applyFont="1" applyNumberFormat="1">
      <alignment horizontal="right" vertical="bottom"/>
    </xf>
    <xf borderId="9" fillId="0" fontId="3" numFmtId="1" xfId="0" applyAlignment="1" applyBorder="1" applyFont="1" applyNumberFormat="1">
      <alignment horizontal="left" readingOrder="0" shrinkToFit="0" vertical="bottom" wrapText="0"/>
    </xf>
    <xf borderId="11" fillId="0" fontId="3" numFmtId="0" xfId="0" applyAlignment="1" applyBorder="1" applyFont="1">
      <alignment readingOrder="0" shrinkToFit="0" vertical="bottom" wrapText="1"/>
    </xf>
    <xf borderId="29" fillId="0" fontId="3" numFmtId="1" xfId="0" applyAlignment="1" applyBorder="1" applyFont="1" applyNumberFormat="1">
      <alignment horizontal="right" vertical="bottom"/>
    </xf>
    <xf borderId="11" fillId="0" fontId="3" numFmtId="1" xfId="0" applyAlignment="1" applyBorder="1" applyFont="1" applyNumberFormat="1">
      <alignment horizontal="left" readingOrder="0" shrinkToFit="0" vertical="bottom" wrapText="0"/>
    </xf>
    <xf borderId="12" fillId="0" fontId="43" numFmtId="0" xfId="0" applyAlignment="1" applyBorder="1" applyFont="1">
      <alignment horizontal="left" readingOrder="0" shrinkToFit="0" wrapText="0"/>
    </xf>
    <xf borderId="14"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3" fillId="0" fontId="3" numFmtId="1" xfId="0" applyAlignment="1" applyBorder="1" applyFont="1" applyNumberFormat="1">
      <alignment horizontal="left" readingOrder="0" shrinkToFit="0" vertical="bottom" wrapText="0"/>
    </xf>
    <xf borderId="14" fillId="0" fontId="44" numFmtId="0" xfId="0" applyAlignment="1" applyBorder="1" applyFont="1">
      <alignment horizontal="left" readingOrder="0" shrinkToFit="0" wrapText="0"/>
    </xf>
    <xf borderId="15" fillId="0" fontId="3" numFmtId="0" xfId="0" applyAlignment="1" applyBorder="1" applyFont="1">
      <alignment horizontal="right" readingOrder="0" shrinkToFit="0" vertical="bottom" wrapText="0"/>
    </xf>
    <xf borderId="21" fillId="0" fontId="3" numFmtId="2"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readingOrder="0" vertical="bottom"/>
    </xf>
    <xf borderId="20" fillId="0" fontId="3" numFmtId="9" xfId="0" applyAlignment="1" applyBorder="1" applyFont="1" applyNumberFormat="1">
      <alignment horizontal="right" readingOrder="0" vertical="bottom"/>
    </xf>
    <xf borderId="0" fillId="0" fontId="3" numFmtId="1" xfId="0" applyAlignment="1" applyFont="1" applyNumberFormat="1">
      <alignment horizontal="left" readingOrder="0" shrinkToFit="0" vertical="bottom" wrapText="0"/>
    </xf>
    <xf borderId="7" fillId="0" fontId="3" numFmtId="1" xfId="0" applyAlignment="1" applyBorder="1" applyFont="1" applyNumberFormat="1">
      <alignment horizontal="left" readingOrder="0" shrinkToFit="0" vertical="bottom" wrapText="0"/>
    </xf>
    <xf borderId="16" fillId="0" fontId="45" numFmtId="1" xfId="0" applyAlignment="1" applyBorder="1" applyFont="1" applyNumberFormat="1">
      <alignment horizontal="left" readingOrder="0" shrinkToFit="0" vertical="bottom" wrapText="0"/>
    </xf>
    <xf borderId="21"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23" fillId="0" fontId="3" numFmtId="2" xfId="0" applyAlignment="1" applyBorder="1" applyFont="1" applyNumberFormat="1">
      <alignment horizontal="right" readingOrder="0" vertical="bottom"/>
    </xf>
    <xf borderId="11" fillId="0" fontId="3" numFmtId="0" xfId="0" applyAlignment="1" applyBorder="1" applyFont="1">
      <alignment readingOrder="0" vertical="bottom"/>
    </xf>
    <xf borderId="24" fillId="0" fontId="3" numFmtId="2" xfId="0" applyAlignment="1" applyBorder="1" applyFont="1" applyNumberFormat="1">
      <alignment horizontal="right" readingOrder="0" vertical="bottom"/>
    </xf>
    <xf borderId="13" fillId="0" fontId="3" numFmtId="0" xfId="0" applyAlignment="1" applyBorder="1" applyFont="1">
      <alignment readingOrder="0" vertical="bottom"/>
    </xf>
    <xf borderId="25" fillId="0" fontId="3" numFmtId="2" xfId="0" applyAlignment="1" applyBorder="1" applyFont="1" applyNumberFormat="1">
      <alignment horizontal="right" readingOrder="0" vertical="bottom"/>
    </xf>
    <xf borderId="23" fillId="0" fontId="3" numFmtId="0" xfId="0" applyAlignment="1" applyBorder="1" applyFont="1">
      <alignment horizontal="right" readingOrder="0" vertical="bottom"/>
    </xf>
    <xf borderId="9" fillId="0" fontId="3" numFmtId="9" xfId="0" applyAlignment="1" applyBorder="1" applyFont="1" applyNumberFormat="1">
      <alignment horizontal="right" readingOrder="0" vertical="bottom"/>
    </xf>
    <xf borderId="10" fillId="0" fontId="46" numFmtId="1" xfId="0" applyAlignment="1" applyBorder="1" applyFont="1" applyNumberFormat="1">
      <alignment horizontal="left" readingOrder="0" shrinkToFit="0" vertical="bottom" wrapText="0"/>
    </xf>
    <xf borderId="24" fillId="0" fontId="3" numFmtId="0" xfId="0" applyAlignment="1" applyBorder="1" applyFont="1">
      <alignment horizontal="right" readingOrder="0" vertical="bottom"/>
    </xf>
    <xf borderId="11" fillId="0" fontId="3" numFmtId="9" xfId="0" applyAlignment="1" applyBorder="1" applyFont="1" applyNumberFormat="1">
      <alignment horizontal="right" readingOrder="0" vertical="bottom"/>
    </xf>
    <xf borderId="25" fillId="0" fontId="3" numFmtId="0" xfId="0" applyAlignment="1" applyBorder="1" applyFont="1">
      <alignment horizontal="right" readingOrder="0" vertical="bottom"/>
    </xf>
    <xf borderId="13" fillId="0" fontId="3" numFmtId="9" xfId="0" applyAlignment="1" applyBorder="1" applyFont="1" applyNumberFormat="1">
      <alignment horizontal="right" readingOrder="0" vertical="bottom"/>
    </xf>
    <xf borderId="9" fillId="0" fontId="3" numFmtId="1" xfId="0" applyAlignment="1" applyBorder="1" applyFont="1" applyNumberFormat="1">
      <alignment horizontal="left" shrinkToFit="0" vertical="bottom" wrapText="0"/>
    </xf>
    <xf borderId="10" fillId="0" fontId="3" numFmtId="1" xfId="0" applyAlignment="1" applyBorder="1" applyFont="1" applyNumberFormat="1">
      <alignment horizontal="left" shrinkToFit="0" vertical="bottom" wrapText="0"/>
    </xf>
    <xf borderId="12" fillId="0" fontId="3" numFmtId="1" xfId="0" applyAlignment="1" applyBorder="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9"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10" fillId="0" fontId="47" numFmtId="0" xfId="0" applyAlignment="1" applyBorder="1" applyFont="1">
      <alignment readingOrder="0"/>
    </xf>
    <xf borderId="13" fillId="0" fontId="3" numFmtId="3" xfId="0" applyAlignment="1" applyBorder="1" applyFont="1" applyNumberFormat="1">
      <alignment horizontal="right" readingOrder="0" vertical="bottom"/>
    </xf>
    <xf borderId="14" fillId="0" fontId="48" numFmtId="0" xfId="0" applyAlignment="1" applyBorder="1" applyFont="1">
      <alignment readingOrder="0"/>
    </xf>
    <xf borderId="0" fillId="0" fontId="3" numFmtId="3" xfId="0" applyAlignment="1" applyFont="1" applyNumberFormat="1">
      <alignment horizontal="right" vertical="bottom"/>
    </xf>
    <xf borderId="13" fillId="0" fontId="3" numFmtId="0" xfId="0" applyAlignment="1" applyBorder="1" applyFont="1">
      <alignment horizontal="right" readingOrder="0" vertical="bottom"/>
    </xf>
    <xf borderId="20" fillId="0" fontId="3" numFmtId="0" xfId="0" applyAlignment="1" applyBorder="1" applyFont="1">
      <alignment horizontal="right" readingOrder="0" vertical="bottom"/>
    </xf>
    <xf borderId="0" fillId="0" fontId="3" numFmtId="169" xfId="0" applyAlignment="1" applyFont="1" applyNumberFormat="1">
      <alignment horizontal="right" readingOrder="0" vertical="bottom"/>
    </xf>
    <xf borderId="9" fillId="0" fontId="3" numFmtId="16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1"/>
    </xf>
    <xf borderId="11" fillId="0" fontId="3" numFmtId="169" xfId="0" applyAlignment="1" applyBorder="1" applyFont="1" applyNumberFormat="1">
      <alignment horizontal="right" readingOrder="0" vertical="bottom"/>
    </xf>
    <xf borderId="11" fillId="0" fontId="3" numFmtId="3" xfId="0" applyAlignment="1" applyBorder="1" applyFont="1" applyNumberFormat="1">
      <alignment horizontal="right" readingOrder="0" vertical="bottom"/>
    </xf>
    <xf borderId="12" fillId="0" fontId="3" numFmtId="169" xfId="0" applyAlignment="1" applyBorder="1" applyFont="1" applyNumberFormat="1">
      <alignment horizontal="right" readingOrder="0" vertical="bottom"/>
    </xf>
    <xf borderId="13" fillId="0" fontId="3" numFmtId="169" xfId="0" applyAlignment="1" applyBorder="1" applyFont="1" applyNumberFormat="1">
      <alignment horizontal="right" readingOrder="0" vertical="bottom"/>
    </xf>
    <xf borderId="14" fillId="0" fontId="3" numFmtId="169" xfId="0" applyAlignment="1" applyBorder="1" applyFont="1" applyNumberFormat="1">
      <alignment horizontal="right" readingOrder="0" vertical="bottom"/>
    </xf>
    <xf borderId="14" fillId="0" fontId="3" numFmtId="1" xfId="0" applyAlignment="1" applyBorder="1" applyFont="1" applyNumberFormat="1">
      <alignment horizontal="left" readingOrder="0" shrinkToFit="0" vertical="bottom" wrapText="0"/>
    </xf>
    <xf borderId="23" fillId="0" fontId="3" numFmtId="166"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49" numFmtId="0" xfId="0" applyAlignment="1" applyBorder="1" applyFont="1">
      <alignment horizontal="left" readingOrder="0" shrinkToFit="0" wrapText="0"/>
    </xf>
    <xf borderId="10" fillId="0" fontId="3" numFmtId="9" xfId="0" applyAlignment="1" applyBorder="1" applyFont="1" applyNumberFormat="1">
      <alignment horizontal="right" readingOrder="0" vertical="bottom"/>
    </xf>
    <xf borderId="10" fillId="0" fontId="50" numFmtId="1" xfId="0" applyAlignment="1" applyBorder="1" applyFont="1" applyNumberFormat="1">
      <alignment horizontal="left" readingOrder="0" shrinkToFit="0" vertical="bottom" wrapText="0"/>
    </xf>
    <xf borderId="25" fillId="0" fontId="3" numFmtId="10" xfId="0" applyAlignment="1" applyBorder="1" applyFont="1" applyNumberFormat="1">
      <alignment horizontal="right" readingOrder="0" vertical="bottom"/>
    </xf>
    <xf borderId="13" fillId="0" fontId="51" numFmtId="0" xfId="0" applyAlignment="1" applyBorder="1" applyFont="1">
      <alignment readingOrder="0" shrinkToFit="0" vertical="bottom" wrapText="0"/>
    </xf>
    <xf borderId="12" fillId="0" fontId="3" numFmtId="9" xfId="0" applyAlignment="1" applyBorder="1" applyFont="1" applyNumberFormat="1">
      <alignment horizontal="right" readingOrder="0" vertical="bottom"/>
    </xf>
    <xf borderId="14" fillId="0" fontId="3" numFmtId="9" xfId="0" applyAlignment="1" applyBorder="1" applyFont="1" applyNumberFormat="1">
      <alignment horizontal="right" readingOrder="0" vertical="bottom"/>
    </xf>
    <xf borderId="16" fillId="0" fontId="52" numFmtId="1" xfId="0" applyAlignment="1" applyBorder="1" applyFont="1" applyNumberFormat="1">
      <alignment horizontal="left" readingOrder="0" shrinkToFit="0" vertical="bottom" wrapText="0"/>
    </xf>
    <xf borderId="20" fillId="0" fontId="3" numFmtId="1" xfId="0" applyAlignment="1" applyBorder="1" applyFont="1" applyNumberFormat="1">
      <alignment horizontal="right" readingOrder="0"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21" fillId="0" fontId="3" numFmtId="1" xfId="0" applyAlignment="1" applyBorder="1" applyFont="1" applyNumberFormat="1">
      <alignment horizontal="right" readingOrder="0" vertical="bottom"/>
    </xf>
    <xf borderId="16" fillId="0" fontId="3" numFmtId="9" xfId="0" applyAlignment="1" applyBorder="1" applyFont="1" applyNumberFormat="1">
      <alignment horizontal="right" readingOrder="0" vertical="bottom"/>
    </xf>
    <xf borderId="0" fillId="0" fontId="3" numFmtId="0" xfId="0" applyAlignment="1" applyFont="1">
      <alignment horizontal="right" readingOrder="0" vertical="bottom"/>
    </xf>
    <xf borderId="7" fillId="0" fontId="3" numFmtId="0" xfId="0" applyAlignment="1" applyBorder="1" applyFont="1">
      <alignment horizontal="right" readingOrder="0" vertical="bottom"/>
    </xf>
    <xf borderId="20" fillId="0" fontId="3" numFmtId="9" xfId="0" applyAlignment="1" applyBorder="1" applyFont="1" applyNumberFormat="1">
      <alignment horizontal="right" readingOrder="0"/>
    </xf>
    <xf borderId="0" fillId="0" fontId="53" numFmtId="0" xfId="0" applyAlignment="1" applyFont="1">
      <alignment horizontal="left" readingOrder="0" shrinkToFit="0" wrapText="0"/>
    </xf>
    <xf borderId="11" fillId="0" fontId="3" numFmtId="0" xfId="0" applyAlignment="1" applyBorder="1" applyFont="1">
      <alignment readingOrder="0" shrinkToFit="0" vertical="bottom" wrapText="1"/>
    </xf>
    <xf borderId="24" fillId="0" fontId="3" numFmtId="9" xfId="0" applyAlignment="1" applyBorder="1" applyFont="1" applyNumberFormat="1">
      <alignment horizontal="right" readingOrder="0"/>
    </xf>
    <xf borderId="11" fillId="0" fontId="3" numFmtId="166" xfId="0" applyAlignment="1" applyBorder="1" applyFont="1" applyNumberFormat="1">
      <alignment horizontal="right" readingOrder="0"/>
    </xf>
    <xf borderId="12" fillId="0" fontId="3" numFmtId="166" xfId="0" applyAlignment="1" applyBorder="1" applyFont="1" applyNumberFormat="1">
      <alignment horizontal="right" readingOrder="0"/>
    </xf>
    <xf borderId="12" fillId="0" fontId="3" numFmtId="0" xfId="0" applyAlignment="1" applyBorder="1" applyFont="1">
      <alignment horizontal="left" shrinkToFit="0" wrapText="0"/>
    </xf>
    <xf borderId="10" fillId="0" fontId="3" numFmtId="0" xfId="0" applyAlignment="1" applyBorder="1" applyFont="1">
      <alignment horizontal="right" readingOrder="0"/>
    </xf>
    <xf borderId="10" fillId="0" fontId="3" numFmtId="0" xfId="0" applyAlignment="1" applyBorder="1" applyFont="1">
      <alignment horizontal="left" shrinkToFit="0" wrapText="0"/>
    </xf>
    <xf borderId="13" fillId="0" fontId="27" numFmtId="0" xfId="0" applyAlignment="1" applyBorder="1" applyFont="1">
      <alignment horizontal="left" readingOrder="0" shrinkToFit="0" wrapText="0"/>
    </xf>
    <xf borderId="0" fillId="0" fontId="3" numFmtId="3" xfId="0" applyAlignment="1" applyFont="1" applyNumberFormat="1">
      <alignment horizontal="right"/>
    </xf>
    <xf borderId="0" fillId="0" fontId="3" numFmtId="3" xfId="0" applyAlignment="1" applyFont="1" applyNumberFormat="1">
      <alignment horizontal="right" readingOrder="0"/>
    </xf>
    <xf borderId="7" fillId="0" fontId="3" numFmtId="3" xfId="0" applyAlignment="1" applyBorder="1" applyFont="1" applyNumberFormat="1">
      <alignment horizontal="right"/>
    </xf>
    <xf borderId="14" fillId="0" fontId="3" numFmtId="0" xfId="0" applyAlignment="1" applyBorder="1" applyFont="1">
      <alignment horizontal="right" readingOrder="0"/>
    </xf>
    <xf borderId="13" fillId="0" fontId="3" numFmtId="0" xfId="0" applyAlignment="1" applyBorder="1" applyFont="1">
      <alignment horizontal="left" readingOrder="0" shrinkToFit="0" wrapText="0"/>
    </xf>
    <xf borderId="0" fillId="0" fontId="3" numFmtId="10" xfId="0" applyAlignment="1" applyFont="1" applyNumberFormat="1">
      <alignment horizontal="right"/>
    </xf>
    <xf borderId="20" fillId="0" fontId="3" numFmtId="0" xfId="0" applyBorder="1" applyFont="1"/>
    <xf borderId="23" fillId="0" fontId="3" numFmtId="165" xfId="0" applyAlignment="1" applyBorder="1" applyFont="1" applyNumberFormat="1">
      <alignment horizontal="right" readingOrder="0"/>
    </xf>
    <xf borderId="28" fillId="0" fontId="3" numFmtId="0" xfId="0" applyAlignment="1" applyBorder="1" applyFont="1">
      <alignment horizontal="right"/>
    </xf>
    <xf borderId="9" fillId="0" fontId="3" numFmtId="0" xfId="0" applyAlignment="1" applyBorder="1" applyFont="1">
      <alignment horizontal="left" readingOrder="0"/>
    </xf>
    <xf borderId="10" fillId="0" fontId="54" numFmtId="0" xfId="0" applyAlignment="1" applyBorder="1" applyFont="1">
      <alignment horizontal="left" readingOrder="0"/>
    </xf>
    <xf borderId="11" fillId="0" fontId="27" numFmtId="1" xfId="0" applyAlignment="1" applyBorder="1" applyFont="1" applyNumberFormat="1">
      <alignment readingOrder="0" shrinkToFit="0" vertical="bottom" wrapText="1"/>
    </xf>
    <xf borderId="29" fillId="0" fontId="3" numFmtId="0" xfId="0" applyAlignment="1" applyBorder="1" applyFont="1">
      <alignment horizontal="right"/>
    </xf>
    <xf borderId="11" fillId="0" fontId="3" numFmtId="0" xfId="0" applyAlignment="1" applyBorder="1" applyFont="1">
      <alignment horizontal="left" readingOrder="0" shrinkToFit="0" wrapText="0"/>
    </xf>
    <xf borderId="12" fillId="0" fontId="3" numFmtId="0" xfId="0" applyAlignment="1" applyBorder="1" applyFont="1">
      <alignment horizontal="right" readingOrder="0" shrinkToFit="0" wrapText="0"/>
    </xf>
    <xf borderId="24" fillId="0" fontId="3" numFmtId="165" xfId="0" applyAlignment="1" applyBorder="1" applyFont="1" applyNumberFormat="1">
      <alignment horizontal="right" readingOrder="0"/>
    </xf>
    <xf borderId="12" fillId="0" fontId="55" numFmtId="0" xfId="0" applyAlignment="1" applyBorder="1" applyFont="1">
      <alignment horizontal="left" readingOrder="0" shrinkToFit="0" wrapText="0"/>
    </xf>
    <xf borderId="5" fillId="3" fontId="3" numFmtId="0" xfId="0" applyAlignment="1" applyBorder="1" applyFont="1">
      <alignment horizontal="righ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3" fillId="0" fontId="3" numFmtId="1" xfId="0" applyAlignment="1" applyBorder="1" applyFont="1" applyNumberForma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28" fillId="0" fontId="3" numFmtId="0" xfId="0" applyAlignment="1" applyBorder="1" applyFont="1">
      <alignment horizontal="left" readingOrder="0" shrinkToFit="0" wrapText="0"/>
    </xf>
    <xf borderId="10" fillId="0" fontId="56" numFmtId="0" xfId="0" applyAlignment="1" applyBorder="1" applyFont="1">
      <alignment horizontal="left" readingOrder="0" shrinkToFit="0" wrapText="0"/>
    </xf>
    <xf borderId="23" fillId="0" fontId="3" numFmtId="169" xfId="0" applyAlignment="1" applyBorder="1" applyFont="1" applyNumberFormat="1">
      <alignment horizontal="right" readingOrder="0"/>
    </xf>
    <xf borderId="25" fillId="0" fontId="3" numFmtId="169" xfId="0" applyAlignment="1" applyBorder="1" applyFont="1" applyNumberFormat="1">
      <alignment horizontal="right" readingOrder="0"/>
    </xf>
    <xf borderId="13" fillId="0" fontId="3" numFmtId="169" xfId="0" applyAlignment="1" applyBorder="1" applyFont="1" applyNumberFormat="1">
      <alignment horizontal="right" readingOrder="0"/>
    </xf>
    <xf borderId="14" fillId="0" fontId="3" numFmtId="169" xfId="0" applyAlignment="1" applyBorder="1" applyFont="1" applyNumberFormat="1">
      <alignment horizontal="right" readingOrder="0"/>
    </xf>
    <xf borderId="14" fillId="0" fontId="57" numFmtId="0" xfId="0" applyAlignment="1" applyBorder="1" applyFont="1">
      <alignment horizontal="left" readingOrder="0" shrinkToFit="0" wrapText="0"/>
    </xf>
    <xf borderId="20"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7" fillId="0" fontId="3" numFmtId="169" xfId="0" applyAlignment="1" applyBorder="1" applyFont="1" applyNumberFormat="1">
      <alignment horizontal="right" readingOrder="0"/>
    </xf>
    <xf borderId="7" fillId="0" fontId="58" numFmtId="0" xfId="0" applyAlignment="1" applyBorder="1" applyFont="1">
      <alignment horizontal="left" readingOrder="0" shrinkToFit="0" wrapText="0"/>
    </xf>
    <xf borderId="0" fillId="0" fontId="59" numFmtId="0" xfId="0" applyAlignment="1" applyFont="1">
      <alignment vertical="bottom"/>
    </xf>
    <xf borderId="15" fillId="0" fontId="3" numFmtId="0" xfId="0" applyAlignment="1" applyBorder="1" applyFont="1">
      <alignment shrinkToFit="0" vertical="bottom" wrapText="1"/>
    </xf>
    <xf borderId="21"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3" numFmtId="169" xfId="0" applyAlignment="1" applyBorder="1" applyFont="1" applyNumberFormat="1">
      <alignment horizontal="right" readingOrder="0"/>
    </xf>
    <xf borderId="9" fillId="0" fontId="3" numFmtId="0" xfId="0" applyAlignment="1" applyBorder="1" applyFont="1">
      <alignment horizontal="left" shrinkToFit="0" wrapText="0"/>
    </xf>
    <xf borderId="10"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24" fillId="0" fontId="3" numFmtId="9" xfId="0" applyAlignment="1" applyBorder="1" applyFont="1" applyNumberFormat="1">
      <alignment horizontal="right"/>
    </xf>
    <xf borderId="11"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8" fillId="0" fontId="37" numFmtId="0" xfId="0" applyBorder="1" applyFont="1"/>
    <xf borderId="0" fillId="0" fontId="37" numFmtId="0" xfId="0" applyAlignment="1" applyFont="1">
      <alignment shrinkToFit="0" wrapText="1"/>
    </xf>
    <xf borderId="20" fillId="0" fontId="37" numFmtId="0" xfId="0" applyBorder="1" applyFont="1"/>
    <xf borderId="11" fillId="0" fontId="3" numFmtId="0" xfId="0" applyAlignment="1" applyBorder="1" applyFont="1">
      <alignment readingOrder="0" shrinkToFit="0" wrapText="1"/>
    </xf>
    <xf borderId="13" fillId="0" fontId="3" numFmtId="0" xfId="0" applyAlignment="1" applyBorder="1" applyFont="1">
      <alignment readingOrder="0" shrinkToFit="0" wrapText="1"/>
    </xf>
    <xf borderId="23" fillId="0" fontId="3" numFmtId="170" xfId="0" applyAlignment="1" applyBorder="1" applyFont="1" applyNumberFormat="1">
      <alignment horizontal="right" readingOrder="0"/>
    </xf>
    <xf borderId="10" fillId="0" fontId="60" numFmtId="0" xfId="0" applyAlignment="1" applyBorder="1" applyFont="1">
      <alignment readingOrder="0"/>
    </xf>
    <xf borderId="15"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shrinkToFit="0" vertical="bottom" wrapText="1"/>
    </xf>
    <xf borderId="21" fillId="0" fontId="3" numFmtId="9" xfId="0" applyAlignment="1" applyBorder="1" applyFont="1" applyNumberFormat="1">
      <alignment horizontal="right"/>
    </xf>
    <xf borderId="15"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4" fillId="2" fontId="61" numFmtId="0" xfId="0" applyAlignment="1" applyBorder="1" applyFont="1">
      <alignment readingOrder="0" shrinkToFit="0" wrapText="1"/>
    </xf>
    <xf borderId="0" fillId="0" fontId="37" numFmtId="0" xfId="0" applyAlignment="1" applyFont="1">
      <alignment readingOrder="0" shrinkToFit="0" wrapText="1"/>
    </xf>
    <xf borderId="0" fillId="0" fontId="62" numFmtId="0" xfId="0" applyAlignment="1" applyFont="1">
      <alignment readingOrder="0"/>
    </xf>
    <xf borderId="0" fillId="0" fontId="61" numFmtId="0" xfId="0" applyAlignment="1" applyFont="1">
      <alignment horizontal="center" readingOrder="0" shrinkToFit="0" wrapText="1"/>
    </xf>
    <xf borderId="0" fillId="0" fontId="37" numFmtId="0" xfId="0" applyAlignment="1" applyFont="1">
      <alignment horizontal="center" readingOrder="0" shrinkToFit="0" wrapText="1"/>
    </xf>
    <xf borderId="31" fillId="3" fontId="61" numFmtId="0" xfId="0" applyAlignment="1" applyBorder="1" applyFont="1">
      <alignment horizontal="center" readingOrder="0" shrinkToFit="0" wrapText="1"/>
    </xf>
    <xf borderId="32" fillId="0" fontId="2" numFmtId="0" xfId="0" applyBorder="1" applyFont="1"/>
    <xf borderId="33" fillId="2" fontId="61" numFmtId="0" xfId="0" applyAlignment="1" applyBorder="1" applyFont="1">
      <alignment horizontal="center" readingOrder="0" shrinkToFit="0" wrapText="1"/>
    </xf>
    <xf borderId="34" fillId="2" fontId="61" numFmtId="0" xfId="0" applyAlignment="1" applyBorder="1" applyFont="1">
      <alignment horizontal="center" readingOrder="0" shrinkToFit="0" wrapText="1"/>
    </xf>
    <xf borderId="33" fillId="0" fontId="61" numFmtId="0" xfId="0" applyAlignment="1" applyBorder="1" applyFont="1">
      <alignment horizontal="center" readingOrder="0" shrinkToFit="0" wrapText="1"/>
    </xf>
    <xf borderId="34" fillId="0" fontId="61" numFmtId="0" xfId="0" applyAlignment="1" applyBorder="1" applyFont="1">
      <alignment horizontal="center" readingOrder="0" shrinkToFit="0" wrapText="1"/>
    </xf>
    <xf borderId="35" fillId="0" fontId="37" numFmtId="0" xfId="0" applyAlignment="1" applyBorder="1" applyFont="1">
      <alignment horizontal="center" readingOrder="0"/>
    </xf>
    <xf borderId="36" fillId="0" fontId="63" numFmtId="2" xfId="0" applyAlignment="1" applyBorder="1" applyFont="1" applyNumberFormat="1">
      <alignment horizontal="right" readingOrder="0" vertical="bottom"/>
    </xf>
    <xf borderId="0" fillId="0" fontId="37" numFmtId="0" xfId="0" applyAlignment="1" applyFont="1">
      <alignment horizontal="center" readingOrder="0"/>
    </xf>
    <xf borderId="36" fillId="0" fontId="63" numFmtId="2" xfId="0" applyAlignment="1" applyBorder="1" applyFont="1" applyNumberFormat="1">
      <alignment horizontal="right" vertical="bottom"/>
    </xf>
    <xf borderId="37" fillId="0" fontId="37" numFmtId="0" xfId="0" applyAlignment="1" applyBorder="1" applyFont="1">
      <alignment horizontal="center" readingOrder="0"/>
    </xf>
    <xf borderId="38" fillId="0" fontId="63" numFmtId="2" xfId="0" applyAlignment="1" applyBorder="1" applyFont="1" applyNumberFormat="1">
      <alignment horizontal="right" vertical="bottom"/>
    </xf>
    <xf borderId="39" fillId="3" fontId="61" numFmtId="0" xfId="0" applyAlignment="1" applyBorder="1" applyFont="1">
      <alignment horizontal="center" readingOrder="0"/>
    </xf>
    <xf borderId="40" fillId="0" fontId="2" numFmtId="0" xfId="0" applyBorder="1" applyFont="1"/>
    <xf borderId="41" fillId="0" fontId="2" numFmtId="0" xfId="0" applyBorder="1" applyFont="1"/>
    <xf borderId="42" fillId="0" fontId="61" numFmtId="0" xfId="0" applyAlignment="1" applyBorder="1" applyFont="1">
      <alignment readingOrder="0" shrinkToFit="0" wrapText="1"/>
    </xf>
    <xf borderId="21" fillId="0" fontId="61" numFmtId="0" xfId="0" applyAlignment="1" applyBorder="1" applyFont="1">
      <alignment readingOrder="0" shrinkToFit="0"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35" fillId="0" fontId="37" numFmtId="0" xfId="0" applyAlignment="1" applyBorder="1" applyFont="1">
      <alignment readingOrder="0"/>
    </xf>
    <xf borderId="20" fillId="0" fontId="6" numFmtId="2" xfId="0" applyAlignment="1" applyBorder="1" applyFont="1" applyNumberFormat="1">
      <alignment horizontal="right" vertical="bottom"/>
    </xf>
    <xf borderId="8" fillId="0" fontId="6" numFmtId="2" xfId="0" applyAlignment="1" applyBorder="1" applyFont="1" applyNumberFormat="1">
      <alignment vertical="bottom"/>
    </xf>
    <xf borderId="36" fillId="0" fontId="6" numFmtId="2" xfId="0" applyAlignment="1" applyBorder="1" applyFont="1" applyNumberFormat="1">
      <alignment vertical="bottom"/>
    </xf>
    <xf borderId="0" fillId="0" fontId="37" numFmtId="0" xfId="0" applyAlignment="1" applyFont="1">
      <alignment readingOrder="0"/>
    </xf>
    <xf borderId="0" fillId="0" fontId="37" numFmtId="2" xfId="0" applyFont="1" applyNumberFormat="1"/>
    <xf borderId="0" fillId="0" fontId="37" numFmtId="0" xfId="0" applyAlignment="1" applyFont="1">
      <alignment readingOrder="0" shrinkToFit="0" wrapText="1"/>
    </xf>
    <xf borderId="0" fillId="0" fontId="37" numFmtId="4" xfId="0" applyFont="1" applyNumberFormat="1"/>
    <xf borderId="0" fillId="0" fontId="37" numFmtId="9"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0" fillId="0" fontId="37" numFmtId="2"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37" fillId="0" fontId="37" numFmtId="0" xfId="0" applyAlignment="1" applyBorder="1" applyFont="1">
      <alignment readingOrder="0"/>
    </xf>
    <xf borderId="44" fillId="0" fontId="37" numFmtId="2" xfId="0" applyBorder="1" applyFont="1" applyNumberFormat="1"/>
    <xf borderId="45" fillId="0" fontId="6" numFmtId="2" xfId="0" applyAlignment="1" applyBorder="1" applyFont="1" applyNumberFormat="1">
      <alignment vertical="bottom"/>
    </xf>
    <xf borderId="38" fillId="0" fontId="6" numFmtId="2" xfId="0" applyAlignment="1" applyBorder="1" applyFont="1" applyNumberFormat="1">
      <alignment vertical="bottom"/>
    </xf>
    <xf borderId="37" fillId="0" fontId="37" numFmtId="0" xfId="0" applyBorder="1" applyFont="1"/>
    <xf borderId="46" fillId="0" fontId="37" numFmtId="2" xfId="0" applyBorder="1" applyFont="1" applyNumberFormat="1"/>
    <xf borderId="45" fillId="0" fontId="37" numFmtId="2" xfId="0" applyBorder="1" applyFont="1" applyNumberFormat="1"/>
    <xf borderId="38" fillId="0" fontId="37" numFmtId="2" xfId="0" applyBorder="1" applyFont="1" applyNumberFormat="1"/>
    <xf borderId="0" fillId="0" fontId="37" numFmtId="0" xfId="0" applyAlignment="1" applyFont="1">
      <alignment readingOrder="0"/>
    </xf>
    <xf borderId="0" fillId="0" fontId="6" numFmtId="2" xfId="0" applyAlignment="1" applyFont="1" applyNumberFormat="1">
      <alignment horizontal="right" vertical="bottom"/>
    </xf>
    <xf borderId="0" fillId="0" fontId="6" numFmtId="2" xfId="0" applyAlignment="1" applyFont="1" applyNumberFormat="1">
      <alignment vertical="bottom"/>
    </xf>
    <xf borderId="1" fillId="0" fontId="6" numFmtId="0" xfId="0" applyAlignment="1" applyBorder="1" applyFont="1">
      <alignment vertical="bottom"/>
    </xf>
    <xf borderId="47" fillId="0" fontId="6" numFmtId="0" xfId="0" applyAlignment="1" applyBorder="1" applyFont="1">
      <alignment vertical="bottom"/>
    </xf>
    <xf borderId="47" fillId="0" fontId="6" numFmtId="3" xfId="0" applyAlignment="1" applyBorder="1" applyFont="1" applyNumberFormat="1">
      <alignment vertical="bottom"/>
    </xf>
    <xf borderId="2" fillId="0" fontId="6" numFmtId="0" xfId="0" applyAlignment="1" applyBorder="1" applyFont="1">
      <alignment vertical="bottom"/>
    </xf>
    <xf borderId="2" fillId="0" fontId="37" numFmtId="0" xfId="0" applyBorder="1" applyFont="1"/>
    <xf borderId="48" fillId="0" fontId="63" numFmtId="0" xfId="0" applyAlignment="1" applyBorder="1" applyFont="1">
      <alignment vertical="bottom"/>
    </xf>
    <xf borderId="15" fillId="3" fontId="65" numFmtId="0" xfId="0" applyAlignment="1" applyBorder="1" applyFont="1">
      <alignment horizontal="center" vertical="bottom"/>
    </xf>
    <xf borderId="49" fillId="0" fontId="2" numFmtId="0" xfId="0" applyBorder="1" applyFont="1"/>
    <xf borderId="0" fillId="0" fontId="63" numFmtId="0" xfId="0" applyAlignment="1" applyFont="1">
      <alignment vertical="bottom"/>
    </xf>
    <xf borderId="50" fillId="3" fontId="66" numFmtId="0" xfId="0" applyAlignment="1" applyBorder="1" applyFont="1">
      <alignment horizontal="center" vertical="bottom"/>
    </xf>
    <xf borderId="0" fillId="0" fontId="67" numFmtId="0" xfId="0" applyFont="1"/>
    <xf borderId="51" fillId="3" fontId="68" numFmtId="0" xfId="0" applyAlignment="1" applyBorder="1" applyFont="1">
      <alignment horizontal="center" readingOrder="0" vertical="bottom"/>
    </xf>
    <xf borderId="52" fillId="0" fontId="2" numFmtId="0" xfId="0" applyBorder="1" applyFont="1"/>
    <xf borderId="53" fillId="0" fontId="2" numFmtId="0" xfId="0" applyBorder="1" applyFont="1"/>
    <xf borderId="7" fillId="0" fontId="67" numFmtId="0" xfId="0" applyBorder="1" applyFont="1"/>
    <xf borderId="48" fillId="0" fontId="6" numFmtId="0" xfId="0" applyAlignment="1" applyBorder="1" applyFont="1">
      <alignment vertical="bottom"/>
    </xf>
    <xf borderId="16" fillId="0" fontId="64" numFmtId="0" xfId="0" applyAlignment="1" applyBorder="1" applyFont="1">
      <alignment readingOrder="0" vertical="bottom"/>
    </xf>
    <xf borderId="16" fillId="0" fontId="64" numFmtId="3" xfId="0" applyAlignment="1" applyBorder="1" applyFont="1" applyNumberFormat="1">
      <alignment vertical="bottom"/>
    </xf>
    <xf borderId="49" fillId="0" fontId="64" numFmtId="3" xfId="0" applyAlignment="1" applyBorder="1" applyFont="1" applyNumberFormat="1">
      <alignment vertical="bottom"/>
    </xf>
    <xf borderId="54" fillId="0" fontId="64" numFmtId="0" xfId="0" applyAlignment="1" applyBorder="1" applyFont="1">
      <alignment readingOrder="0" vertical="bottom"/>
    </xf>
    <xf borderId="16" fillId="0" fontId="64" numFmtId="0" xfId="0" applyAlignment="1" applyBorder="1" applyFont="1">
      <alignment readingOrder="0" vertical="bottom"/>
    </xf>
    <xf borderId="54" fillId="0" fontId="64" numFmtId="0" xfId="0" applyAlignment="1" applyBorder="1" applyFont="1">
      <alignment vertical="bottom"/>
    </xf>
    <xf borderId="16" fillId="0" fontId="64" numFmtId="0" xfId="0" applyAlignment="1" applyBorder="1" applyFont="1">
      <alignment vertical="bottom"/>
    </xf>
    <xf borderId="7" fillId="0" fontId="6" numFmtId="0" xfId="0" applyAlignment="1" applyBorder="1" applyFont="1">
      <alignment vertical="bottom"/>
    </xf>
    <xf borderId="7" fillId="0" fontId="6" numFmtId="0" xfId="0" applyAlignment="1" applyBorder="1" applyFont="1">
      <alignment horizontal="right" vertical="bottom"/>
    </xf>
    <xf borderId="7" fillId="0" fontId="6" numFmtId="3" xfId="0" applyAlignment="1" applyBorder="1" applyFont="1" applyNumberFormat="1">
      <alignment horizontal="right" vertical="bottom"/>
    </xf>
    <xf borderId="55" fillId="0" fontId="6" numFmtId="3" xfId="0" applyAlignment="1" applyBorder="1" applyFont="1" applyNumberFormat="1">
      <alignment horizontal="right" vertical="bottom"/>
    </xf>
    <xf borderId="56" fillId="0" fontId="6" numFmtId="0" xfId="0" applyAlignment="1" applyBorder="1" applyFont="1">
      <alignment vertical="bottom"/>
    </xf>
    <xf borderId="56" fillId="0" fontId="6" numFmtId="0" xfId="0" applyAlignment="1" applyBorder="1" applyFont="1">
      <alignment readingOrder="0" vertical="bottom"/>
    </xf>
    <xf borderId="7" fillId="0" fontId="6" numFmtId="0" xfId="0" applyAlignment="1" applyBorder="1" applyFont="1">
      <alignment readingOrder="0" vertical="bottom"/>
    </xf>
    <xf borderId="7" fillId="0" fontId="6" numFmtId="0" xfId="0" applyAlignment="1" applyBorder="1" applyFont="1">
      <alignment horizontal="right" readingOrder="0" vertical="bottom"/>
    </xf>
    <xf borderId="7" fillId="0" fontId="6" numFmtId="3" xfId="0" applyAlignment="1" applyBorder="1" applyFont="1" applyNumberFormat="1">
      <alignment horizontal="right" readingOrder="0" vertical="bottom"/>
    </xf>
    <xf borderId="55" fillId="0" fontId="6" numFmtId="3" xfId="0" applyAlignment="1" applyBorder="1" applyFont="1" applyNumberFormat="1">
      <alignment horizontal="right" readingOrder="0" vertical="bottom"/>
    </xf>
    <xf borderId="7" fillId="0" fontId="6" numFmtId="0" xfId="0" applyAlignment="1" applyBorder="1" applyFont="1">
      <alignment vertical="bottom"/>
    </xf>
    <xf borderId="57" fillId="0" fontId="6" numFmtId="0" xfId="0" applyAlignment="1" applyBorder="1" applyFont="1">
      <alignment readingOrder="0" vertical="bottom"/>
    </xf>
    <xf borderId="58" fillId="0" fontId="6" numFmtId="0" xfId="0" applyAlignment="1" applyBorder="1" applyFont="1">
      <alignment readingOrder="0" vertical="bottom"/>
    </xf>
    <xf borderId="58" fillId="0" fontId="6" numFmtId="0" xfId="0" applyAlignment="1" applyBorder="1" applyFont="1">
      <alignment horizontal="right" readingOrder="0" vertical="bottom"/>
    </xf>
    <xf borderId="58" fillId="0" fontId="6" numFmtId="3" xfId="0" applyAlignment="1" applyBorder="1" applyFont="1" applyNumberFormat="1">
      <alignment horizontal="right" readingOrder="0" vertical="bottom"/>
    </xf>
    <xf borderId="59" fillId="0" fontId="6" numFmtId="3" xfId="0" applyAlignment="1" applyBorder="1" applyFont="1" applyNumberFormat="1">
      <alignment horizontal="right" readingOrder="0" vertical="bottom"/>
    </xf>
    <xf borderId="0" fillId="0" fontId="6" numFmtId="3" xfId="0" applyAlignment="1" applyFont="1" applyNumberFormat="1">
      <alignment vertical="bottom"/>
    </xf>
    <xf borderId="0" fillId="0" fontId="37" numFmtId="3" xfId="0" applyFont="1" applyNumberFormat="1"/>
    <xf borderId="57" fillId="0" fontId="6" numFmtId="0" xfId="0" applyAlignment="1" applyBorder="1" applyFont="1">
      <alignment vertical="bottom"/>
    </xf>
    <xf borderId="58" fillId="0" fontId="6" numFmtId="0" xfId="0" applyAlignment="1" applyBorder="1" applyFont="1">
      <alignment vertical="bottom"/>
    </xf>
    <xf borderId="58" fillId="0" fontId="6" numFmtId="0" xfId="0" applyAlignment="1" applyBorder="1" applyFont="1">
      <alignment horizontal="right" vertical="bottom"/>
    </xf>
    <xf borderId="58" fillId="0" fontId="6" numFmtId="3" xfId="0" applyAlignment="1" applyBorder="1" applyFont="1" applyNumberFormat="1">
      <alignment horizontal="right" vertical="bottom"/>
    </xf>
    <xf borderId="59" fillId="0" fontId="6" numFmtId="3" xfId="0" applyAlignment="1" applyBorder="1" applyFont="1" applyNumberFormat="1">
      <alignment horizontal="right" vertical="bottom"/>
    </xf>
    <xf borderId="15" fillId="0" fontId="37" numFmtId="0" xfId="0" applyBorder="1" applyFont="1"/>
    <xf borderId="15" fillId="0" fontId="37" numFmtId="3" xfId="0" applyBorder="1" applyFont="1" applyNumberFormat="1"/>
    <xf borderId="19" fillId="0" fontId="6" numFmtId="0" xfId="0" applyAlignment="1" applyBorder="1" applyFont="1">
      <alignment vertical="bottom"/>
    </xf>
    <xf borderId="15" fillId="0" fontId="6" numFmtId="0" xfId="0" applyAlignment="1" applyBorder="1" applyFont="1">
      <alignment vertical="bottom"/>
    </xf>
    <xf borderId="15" fillId="0" fontId="6" numFmtId="3" xfId="0" applyAlignment="1" applyBorder="1" applyFont="1" applyNumberFormat="1">
      <alignment vertical="bottom"/>
    </xf>
    <xf borderId="16" fillId="0" fontId="37" numFmtId="0" xfId="0" applyBorder="1" applyFont="1"/>
    <xf borderId="27" fillId="2" fontId="26" numFmtId="0" xfId="0" applyAlignment="1" applyBorder="1" applyFont="1">
      <alignment horizontal="right" readingOrder="0"/>
    </xf>
    <xf borderId="5" fillId="2" fontId="26" numFmtId="0" xfId="0" applyAlignment="1" applyBorder="1" applyFont="1">
      <alignment horizontal="center" readingOrder="0"/>
    </xf>
    <xf borderId="27" fillId="2" fontId="1" numFmtId="0" xfId="0" applyAlignment="1" applyBorder="1" applyFont="1">
      <alignment shrinkToFit="0" vertical="bottom" wrapText="1"/>
    </xf>
    <xf borderId="20" fillId="2" fontId="1" numFmtId="0" xfId="0" applyAlignment="1" applyBorder="1" applyFont="1">
      <alignment shrinkToFit="0" vertical="bottom" wrapText="1"/>
    </xf>
    <xf borderId="21" fillId="2" fontId="1" numFmtId="0" xfId="0" applyAlignment="1" applyBorder="1" applyFont="1">
      <alignment shrinkToFit="0" vertical="bottom" wrapText="1"/>
    </xf>
    <xf borderId="5" fillId="3" fontId="27" numFmtId="0" xfId="0" applyAlignment="1" applyBorder="1" applyFont="1">
      <alignment horizontal="right" shrinkToFit="0" vertical="bottom" wrapText="1"/>
    </xf>
    <xf borderId="5" fillId="3" fontId="26"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7" numFmtId="0" xfId="0" applyAlignment="1" applyFont="1">
      <alignment horizontal="right" shrinkToFit="0" wrapText="1"/>
    </xf>
    <xf borderId="7" fillId="0" fontId="3" numFmtId="0" xfId="0" applyAlignment="1" applyBorder="1" applyFont="1">
      <alignment shrinkToFit="0" wrapText="1"/>
    </xf>
    <xf borderId="16" fillId="0" fontId="3" numFmtId="0" xfId="0" applyAlignment="1" applyBorder="1" applyFont="1">
      <alignment shrinkToFit="0" wrapText="1"/>
    </xf>
    <xf borderId="10" fillId="0" fontId="3" numFmtId="0" xfId="0" applyAlignment="1" applyBorder="1" applyFont="1">
      <alignment shrinkToFit="0" wrapText="1"/>
    </xf>
    <xf borderId="12" fillId="0" fontId="3" numFmtId="0" xfId="0" applyAlignment="1" applyBorder="1" applyFont="1">
      <alignment shrinkToFit="0" wrapText="1"/>
    </xf>
    <xf borderId="11" fillId="0" fontId="27" numFmtId="169" xfId="0" applyAlignment="1" applyBorder="1" applyFont="1" applyNumberFormat="1">
      <alignment horizontal="right"/>
    </xf>
    <xf borderId="14" fillId="0" fontId="3" numFmtId="0" xfId="0" applyAlignment="1" applyBorder="1" applyFont="1">
      <alignment shrinkToFit="0" wrapText="1"/>
    </xf>
    <xf borderId="13" fillId="0" fontId="1" numFmtId="0" xfId="0" applyAlignment="1" applyBorder="1" applyFont="1">
      <alignment readingOrder="0" shrinkToFit="0" vertical="bottom" wrapText="1"/>
    </xf>
    <xf borderId="25" fillId="0" fontId="26" numFmtId="0" xfId="0" applyAlignment="1" applyBorder="1" applyFont="1">
      <alignment horizontal="right" readingOrder="0"/>
    </xf>
    <xf borderId="0" fillId="0" fontId="27" numFmtId="172" xfId="0" applyAlignment="1" applyFont="1" applyNumberFormat="1">
      <alignment horizontal="right" shrinkToFit="0" wrapText="1"/>
    </xf>
    <xf borderId="0" fillId="0" fontId="37" numFmtId="172" xfId="0" applyFont="1" applyNumberFormat="1"/>
    <xf borderId="9" fillId="0" fontId="3" numFmtId="0" xfId="0" applyAlignment="1" applyBorder="1" applyFont="1">
      <alignment horizontal="right" readingOrder="0" shrinkToFit="0" vertical="bottom" wrapText="1"/>
    </xf>
    <xf borderId="13" fillId="0" fontId="3" numFmtId="0" xfId="0" applyAlignment="1" applyBorder="1" applyFont="1">
      <alignment horizontal="right" readingOrder="0" shrinkToFit="0" vertical="bottom" wrapText="1"/>
    </xf>
    <xf borderId="13" fillId="0" fontId="37" numFmtId="9" xfId="0" applyBorder="1" applyFont="1" applyNumberFormat="1"/>
    <xf borderId="20" fillId="0" fontId="26" numFmtId="0" xfId="0" applyAlignment="1" applyBorder="1" applyFont="1">
      <alignment horizontal="right"/>
    </xf>
    <xf borderId="0" fillId="0" fontId="26" numFmtId="164" xfId="0" applyAlignment="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right" readingOrder="0" vertical="bottom"/>
    </xf>
    <xf borderId="10" fillId="0" fontId="1" numFmtId="0" xfId="0" applyAlignment="1" applyBorder="1" applyFont="1">
      <alignment horizontal="right" readingOrder="0" vertical="bottom"/>
    </xf>
    <xf borderId="23" fillId="0" fontId="26" numFmtId="0" xfId="0" applyAlignment="1" applyBorder="1" applyFont="1">
      <alignment horizontal="right" readingOrder="0"/>
    </xf>
    <xf borderId="9" fillId="0" fontId="26" numFmtId="164" xfId="0" applyAlignment="1" applyBorder="1" applyFont="1" applyNumberFormat="1">
      <alignment horizontal="right"/>
    </xf>
    <xf borderId="15" fillId="0" fontId="69" numFmtId="0" xfId="0" applyAlignment="1" applyBorder="1" applyFont="1">
      <alignment readingOrder="0" shrinkToFit="0" vertical="bottom" wrapText="0"/>
    </xf>
    <xf borderId="15" fillId="0" fontId="70" numFmtId="0" xfId="0" applyAlignment="1" applyBorder="1" applyFont="1">
      <alignment readingOrder="0" shrinkToFit="0" vertical="bottom" wrapText="1"/>
    </xf>
    <xf borderId="15" fillId="0" fontId="27" numFmtId="165" xfId="0" applyAlignment="1" applyBorder="1" applyFont="1" applyNumberFormat="1">
      <alignment horizontal="right"/>
    </xf>
    <xf borderId="1" fillId="2" fontId="26" numFmtId="0" xfId="0" applyAlignment="1" applyBorder="1" applyFont="1">
      <alignment horizontal="center" readingOrder="0"/>
    </xf>
    <xf borderId="3" fillId="0" fontId="2" numFmtId="0" xfId="0" applyBorder="1" applyFont="1"/>
    <xf borderId="1" fillId="2" fontId="26" numFmtId="0" xfId="0" applyAlignment="1" applyBorder="1" applyFont="1">
      <alignment horizontal="center" readingOrder="0" shrinkToFit="0" wrapText="1"/>
    </xf>
    <xf borderId="7" fillId="2" fontId="1" numFmtId="0" xfId="0" applyAlignment="1" applyBorder="1" applyFont="1">
      <alignment shrinkToFit="0" vertical="bottom" wrapText="1"/>
    </xf>
    <xf borderId="8" fillId="2" fontId="26" numFmtId="0" xfId="0" applyAlignment="1" applyBorder="1" applyFont="1">
      <alignment horizontal="center" readingOrder="0"/>
    </xf>
    <xf borderId="0" fillId="2" fontId="71" numFmtId="0" xfId="0" applyAlignment="1" applyFont="1">
      <alignment horizontal="center" readingOrder="0"/>
    </xf>
    <xf borderId="7" fillId="2" fontId="26" numFmtId="0" xfId="0" applyAlignment="1" applyBorder="1" applyFont="1">
      <alignment horizontal="center" readingOrder="0"/>
    </xf>
    <xf borderId="8" fillId="2" fontId="26" numFmtId="0" xfId="0" applyAlignment="1" applyBorder="1" applyFont="1">
      <alignment horizontal="center" readingOrder="0" shrinkToFit="0" wrapText="1"/>
    </xf>
    <xf borderId="7" fillId="0" fontId="2" numFmtId="0" xfId="0" applyBorder="1" applyFont="1"/>
    <xf borderId="0" fillId="2" fontId="1" numFmtId="0" xfId="0" applyAlignment="1" applyFont="1">
      <alignment readingOrder="0" vertical="bottom"/>
    </xf>
    <xf borderId="19" fillId="2" fontId="26" numFmtId="0" xfId="0" applyAlignment="1" applyBorder="1" applyFont="1">
      <alignment horizontal="center" readingOrder="0"/>
    </xf>
    <xf borderId="16" fillId="2" fontId="26" numFmtId="0" xfId="0" applyAlignment="1" applyBorder="1" applyFont="1">
      <alignment horizontal="center" readingOrder="0"/>
    </xf>
    <xf borderId="19" fillId="2" fontId="26" numFmtId="0" xfId="0" applyAlignment="1" applyBorder="1" applyFont="1">
      <alignment horizontal="center" readingOrder="0" shrinkToFit="0" wrapText="1"/>
    </xf>
    <xf borderId="16" fillId="2" fontId="3" numFmtId="0" xfId="0" applyAlignment="1" applyBorder="1" applyFont="1">
      <alignment shrinkToFit="0" vertical="bottom" wrapText="1"/>
    </xf>
    <xf borderId="1" fillId="3" fontId="1" numFmtId="0" xfId="0" applyAlignment="1" applyBorder="1" applyFont="1">
      <alignment readingOrder="0" shrinkToFit="0" vertical="bottom" wrapText="0"/>
    </xf>
    <xf borderId="19" fillId="3" fontId="26" numFmtId="164" xfId="0" applyAlignment="1" applyBorder="1" applyFont="1" applyNumberFormat="1">
      <alignment horizontal="center" vertical="bottom"/>
    </xf>
    <xf borderId="16" fillId="0" fontId="2" numFmtId="0" xfId="0" applyBorder="1" applyFont="1"/>
    <xf borderId="16" fillId="3" fontId="27" numFmtId="0" xfId="0" applyAlignment="1" applyBorder="1" applyFont="1">
      <alignment horizontal="right" vertical="bottom"/>
    </xf>
    <xf borderId="4" fillId="3" fontId="27" numFmtId="0" xfId="0" applyAlignment="1" applyBorder="1" applyFont="1">
      <alignment horizontal="center" vertical="bottom"/>
    </xf>
    <xf borderId="5" fillId="3" fontId="72" numFmtId="0" xfId="0" applyAlignment="1" applyBorder="1" applyFont="1">
      <alignment horizontal="center" vertical="bottom"/>
    </xf>
    <xf borderId="6" fillId="3" fontId="27" numFmtId="0" xfId="0" applyAlignment="1" applyBorder="1" applyFont="1">
      <alignment horizontal="center" vertical="bottom"/>
    </xf>
    <xf borderId="5" fillId="3" fontId="27" numFmtId="0" xfId="0" applyAlignment="1" applyBorder="1" applyFont="1">
      <alignment horizontal="center" vertical="bottom"/>
    </xf>
    <xf borderId="6" fillId="3" fontId="27" numFmtId="0" xfId="0" applyAlignment="1" applyBorder="1" applyFont="1">
      <alignment horizontal="right" vertical="bottom"/>
    </xf>
    <xf borderId="8" fillId="0" fontId="27" numFmtId="0" xfId="0" applyAlignment="1" applyBorder="1" applyFont="1">
      <alignment horizontal="center"/>
    </xf>
    <xf borderId="0" fillId="0" fontId="72" numFmtId="0" xfId="0" applyAlignment="1" applyFont="1">
      <alignment horizontal="center"/>
    </xf>
    <xf borderId="7" fillId="0" fontId="27" numFmtId="0" xfId="0" applyAlignment="1" applyBorder="1" applyFont="1">
      <alignment horizontal="center"/>
    </xf>
    <xf borderId="8" fillId="0" fontId="27" numFmtId="0" xfId="0" applyAlignment="1" applyBorder="1" applyFont="1">
      <alignment horizontal="center" shrinkToFit="0" wrapText="1"/>
    </xf>
    <xf borderId="0" fillId="0" fontId="27" numFmtId="0" xfId="0" applyAlignment="1" applyFont="1">
      <alignment horizontal="center" shrinkToFit="0" wrapText="1"/>
    </xf>
    <xf borderId="7" fillId="0" fontId="27" numFmtId="0" xfId="0" applyAlignment="1" applyBorder="1" applyFont="1">
      <alignment horizontal="center" shrinkToFit="0" wrapText="1"/>
    </xf>
    <xf borderId="8" fillId="0" fontId="27" numFmtId="3" xfId="0" applyAlignment="1" applyBorder="1" applyFont="1" applyNumberFormat="1">
      <alignment horizontal="center"/>
    </xf>
    <xf borderId="0" fillId="0" fontId="72" numFmtId="3" xfId="0" applyAlignment="1" applyFont="1" applyNumberFormat="1">
      <alignment horizontal="center"/>
    </xf>
    <xf borderId="7" fillId="0" fontId="27" numFmtId="3" xfId="0" applyAlignment="1" applyBorder="1" applyFont="1" applyNumberFormat="1">
      <alignment horizontal="center"/>
    </xf>
    <xf borderId="0" fillId="0" fontId="27" numFmtId="3" xfId="0" applyAlignment="1" applyFont="1" applyNumberFormat="1">
      <alignment horizontal="center"/>
    </xf>
    <xf borderId="28" fillId="0" fontId="27" numFmtId="167" xfId="0" applyAlignment="1" applyBorder="1" applyFont="1" applyNumberFormat="1">
      <alignment horizontal="center" readingOrder="0"/>
    </xf>
    <xf borderId="9" fillId="0" fontId="72" numFmtId="167" xfId="0" applyAlignment="1" applyBorder="1" applyFont="1" applyNumberFormat="1">
      <alignment horizontal="center" readingOrder="0"/>
    </xf>
    <xf borderId="10" fillId="0" fontId="27" numFmtId="167" xfId="0" applyAlignment="1" applyBorder="1" applyFont="1" applyNumberFormat="1">
      <alignment horizontal="center" readingOrder="0"/>
    </xf>
    <xf borderId="29" fillId="0" fontId="27" numFmtId="169" xfId="0" applyAlignment="1" applyBorder="1" applyFont="1" applyNumberFormat="1">
      <alignment horizontal="center" readingOrder="0"/>
    </xf>
    <xf borderId="9" fillId="0" fontId="72" numFmtId="164" xfId="0" applyAlignment="1" applyBorder="1" applyFont="1" applyNumberFormat="1">
      <alignment horizontal="center" readingOrder="0"/>
    </xf>
    <xf borderId="12" fillId="0" fontId="27" numFmtId="169" xfId="0" applyAlignment="1" applyBorder="1" applyFont="1" applyNumberFormat="1">
      <alignment horizontal="center" readingOrder="0"/>
    </xf>
    <xf borderId="29" fillId="0" fontId="27" numFmtId="10" xfId="0" applyAlignment="1" applyBorder="1" applyFont="1" applyNumberFormat="1">
      <alignment horizontal="center" readingOrder="0"/>
    </xf>
    <xf borderId="9" fillId="0" fontId="72" numFmtId="10" xfId="0" applyAlignment="1" applyBorder="1" applyFont="1" applyNumberFormat="1">
      <alignment horizontal="center" readingOrder="0"/>
    </xf>
    <xf borderId="12" fillId="0" fontId="27" numFmtId="10" xfId="0" applyAlignment="1" applyBorder="1" applyFont="1" applyNumberFormat="1">
      <alignment horizontal="center" readingOrder="0"/>
    </xf>
    <xf borderId="30" fillId="0" fontId="27" numFmtId="9" xfId="0" applyAlignment="1" applyBorder="1" applyFont="1" applyNumberFormat="1">
      <alignment horizontal="center" readingOrder="0"/>
    </xf>
    <xf borderId="13" fillId="0" fontId="72" numFmtId="9" xfId="0" applyAlignment="1" applyBorder="1" applyFont="1" applyNumberFormat="1">
      <alignment horizontal="center" readingOrder="0"/>
    </xf>
    <xf borderId="14" fillId="0" fontId="27" numFmtId="9" xfId="0" applyAlignment="1" applyBorder="1" applyFont="1" applyNumberFormat="1">
      <alignment horizontal="center" readingOrder="0"/>
    </xf>
    <xf borderId="30" fillId="0" fontId="27" numFmtId="9" xfId="0" applyAlignment="1" applyBorder="1" applyFont="1" applyNumberFormat="1">
      <alignment horizontal="center" readingOrder="0" shrinkToFit="0" wrapText="1"/>
    </xf>
    <xf borderId="14" fillId="0" fontId="27" numFmtId="9" xfId="0" applyAlignment="1" applyBorder="1" applyFont="1" applyNumberFormat="1">
      <alignment horizontal="center" readingOrder="0" shrinkToFit="0" wrapText="1"/>
    </xf>
    <xf borderId="8" fillId="0" fontId="37" numFmtId="0" xfId="0" applyAlignment="1" applyBorder="1" applyFont="1">
      <alignment horizontal="center"/>
    </xf>
    <xf borderId="0" fillId="0" fontId="73" numFmtId="0" xfId="0" applyAlignment="1" applyFont="1">
      <alignment horizontal="center"/>
    </xf>
    <xf borderId="7" fillId="0" fontId="37" numFmtId="0" xfId="0" applyAlignment="1" applyBorder="1" applyFont="1">
      <alignment horizontal="center"/>
    </xf>
    <xf borderId="28" fillId="0" fontId="27" numFmtId="9" xfId="0" applyAlignment="1" applyBorder="1" applyFont="1" applyNumberFormat="1">
      <alignment horizontal="center" readingOrder="0"/>
    </xf>
    <xf borderId="9" fillId="0" fontId="72" numFmtId="9" xfId="0" applyAlignment="1" applyBorder="1" applyFont="1" applyNumberFormat="1">
      <alignment horizontal="center" readingOrder="0"/>
    </xf>
    <xf borderId="10" fillId="0" fontId="27" numFmtId="9" xfId="0" applyAlignment="1" applyBorder="1" applyFont="1" applyNumberFormat="1">
      <alignment horizontal="center" readingOrder="0"/>
    </xf>
    <xf borderId="14" fillId="0" fontId="27" numFmtId="9" xfId="0" applyAlignment="1" applyBorder="1" applyFont="1" applyNumberFormat="1">
      <alignment horizontal="center"/>
    </xf>
    <xf borderId="29" fillId="0" fontId="27" numFmtId="9" xfId="0" applyAlignment="1" applyBorder="1" applyFont="1" applyNumberFormat="1">
      <alignment horizontal="center" readingOrder="0"/>
    </xf>
    <xf borderId="11" fillId="0" fontId="72" numFmtId="9" xfId="0" applyAlignment="1" applyBorder="1" applyFont="1" applyNumberFormat="1">
      <alignment horizontal="center" readingOrder="0"/>
    </xf>
    <xf borderId="12" fillId="0" fontId="27" numFmtId="9" xfId="0" applyAlignment="1" applyBorder="1" applyFont="1" applyNumberFormat="1">
      <alignment horizontal="center" readingOrder="0"/>
    </xf>
    <xf borderId="29" fillId="0" fontId="27" numFmtId="9" xfId="0" applyAlignment="1" applyBorder="1" applyFont="1" applyNumberFormat="1">
      <alignment horizontal="center" readingOrder="0" shrinkToFit="0" wrapText="1"/>
    </xf>
    <xf borderId="12" fillId="0" fontId="27" numFmtId="9" xfId="0" applyAlignment="1" applyBorder="1" applyFont="1" applyNumberFormat="1">
      <alignment horizontal="center" readingOrder="0" shrinkToFit="0" wrapText="1"/>
    </xf>
    <xf borderId="8" fillId="0" fontId="27" numFmtId="0" xfId="0" applyAlignment="1" applyBorder="1" applyFont="1">
      <alignment horizontal="center" vertical="bottom"/>
    </xf>
    <xf borderId="0" fillId="0" fontId="72" numFmtId="0" xfId="0" applyAlignment="1" applyFont="1">
      <alignment horizontal="center" vertical="bottom"/>
    </xf>
    <xf borderId="7" fillId="0" fontId="27" numFmtId="0" xfId="0" applyAlignment="1" applyBorder="1" applyFont="1">
      <alignment horizontal="center" vertical="bottom"/>
    </xf>
    <xf borderId="0" fillId="0" fontId="27" numFmtId="0" xfId="0" applyAlignment="1" applyFont="1">
      <alignment horizontal="center" vertical="bottom"/>
    </xf>
    <xf borderId="7" fillId="0" fontId="27" numFmtId="0" xfId="0" applyAlignment="1" applyBorder="1" applyFont="1">
      <alignment horizontal="right" vertical="bottom"/>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7" xfId="0" applyAlignment="1" applyBorder="1" applyFont="1" applyNumberFormat="1">
      <alignment vertical="bottom"/>
    </xf>
    <xf borderId="5" fillId="3" fontId="6" numFmtId="164" xfId="0" applyAlignment="1" applyBorder="1" applyFont="1" applyNumberFormat="1">
      <alignment vertical="bottom"/>
    </xf>
    <xf borderId="6" fillId="3" fontId="6" numFmtId="167" xfId="0" applyAlignment="1" applyBorder="1" applyFont="1" applyNumberFormat="1">
      <alignment vertical="bottom"/>
    </xf>
    <xf borderId="4" fillId="3" fontId="6" numFmtId="0" xfId="0" applyAlignment="1" applyBorder="1" applyFont="1">
      <alignment vertical="bottom"/>
    </xf>
    <xf borderId="5" fillId="3" fontId="6" numFmtId="0" xfId="0" applyAlignment="1" applyBorder="1" applyFont="1">
      <alignment vertical="bottom"/>
    </xf>
    <xf borderId="6" fillId="3" fontId="6" numFmtId="0" xfId="0" applyAlignment="1" applyBorder="1" applyFont="1">
      <alignment vertical="bottom"/>
    </xf>
    <xf borderId="0" fillId="0" fontId="3" numFmtId="0" xfId="0" applyAlignment="1" applyFont="1">
      <alignment shrinkToFit="0" vertical="bottom" wrapText="1"/>
    </xf>
    <xf borderId="0" fillId="0" fontId="3" numFmtId="0" xfId="0" applyAlignment="1" applyFont="1">
      <alignment horizontal="center" readingOrder="0" vertical="bottom"/>
    </xf>
    <xf borderId="0" fillId="0" fontId="6" numFmtId="164" xfId="0" applyAlignment="1" applyFont="1" applyNumberFormat="1">
      <alignment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164" xfId="0" applyAlignment="1" applyBorder="1" applyFont="1" applyNumberFormat="1">
      <alignment horizontal="center" vertical="bottom"/>
    </xf>
    <xf borderId="11" fillId="0" fontId="3" numFmtId="164" xfId="0" applyAlignment="1" applyBorder="1" applyFont="1" applyNumberFormat="1">
      <alignment horizontal="center" vertical="bottom"/>
    </xf>
    <xf borderId="12"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8"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1" fillId="0" fontId="3" numFmtId="0" xfId="0" applyAlignment="1" applyBorder="1" applyFont="1">
      <alignment shrinkToFit="0" vertical="bottom" wrapText="1"/>
    </xf>
    <xf borderId="29"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2" fillId="0" fontId="3" numFmtId="3" xfId="0" applyAlignment="1" applyBorder="1" applyFont="1" applyNumberFormat="1">
      <alignment horizontal="center" vertical="bottom"/>
    </xf>
    <xf borderId="11" fillId="0" fontId="3" numFmtId="164" xfId="0" applyAlignment="1" applyBorder="1" applyFont="1" applyNumberFormat="1">
      <alignment shrinkToFit="0" vertical="bottom" wrapText="1"/>
    </xf>
    <xf borderId="11" fillId="0" fontId="3" numFmtId="10" xfId="0" applyAlignment="1" applyBorder="1" applyFont="1" applyNumberFormat="1">
      <alignment shrinkToFit="0" vertical="bottom" wrapText="1"/>
    </xf>
    <xf borderId="13" fillId="0" fontId="3" numFmtId="9" xfId="0" applyAlignment="1" applyBorder="1" applyFont="1" applyNumberFormat="1">
      <alignment shrinkToFit="0" vertical="bottom" wrapText="1"/>
    </xf>
    <xf borderId="13" fillId="0" fontId="3" numFmtId="0" xfId="0" applyAlignment="1" applyBorder="1" applyFont="1">
      <alignment shrinkToFit="0" vertical="bottom" wrapText="1"/>
    </xf>
    <xf borderId="4" fillId="3" fontId="1" numFmtId="0" xfId="0" applyAlignment="1" applyBorder="1" applyFont="1">
      <alignment readingOrder="0"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1" numFmtId="0" xfId="0" applyAlignment="1" applyBorder="1" applyFont="1">
      <alignment vertical="bottom"/>
    </xf>
    <xf borderId="8" fillId="0" fontId="6" numFmtId="166" xfId="0" applyAlignment="1" applyBorder="1" applyFont="1" applyNumberFormat="1">
      <alignment vertical="bottom"/>
    </xf>
    <xf borderId="0" fillId="0" fontId="6" numFmtId="166" xfId="0" applyAlignment="1" applyFont="1" applyNumberFormat="1">
      <alignment vertical="bottom"/>
    </xf>
    <xf borderId="9"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9" fillId="0" fontId="72" numFmtId="166" xfId="0" applyAlignment="1" applyBorder="1" applyFont="1" applyNumberFormat="1">
      <alignment horizontal="center" vertical="bottom"/>
    </xf>
    <xf borderId="10" fillId="0" fontId="3" numFmtId="166" xfId="0" applyAlignment="1" applyBorder="1" applyFont="1" applyNumberFormat="1">
      <alignment horizontal="center" vertical="bottom"/>
    </xf>
    <xf borderId="28" fillId="0" fontId="3" numFmtId="167" xfId="0" applyAlignment="1" applyBorder="1" applyFont="1" applyNumberFormat="1">
      <alignment horizontal="center" vertical="bottom"/>
    </xf>
    <xf borderId="9" fillId="0" fontId="72" numFmtId="167" xfId="0" applyAlignment="1" applyBorder="1" applyFont="1" applyNumberFormat="1">
      <alignment horizontal="center" vertical="bottom"/>
    </xf>
    <xf borderId="10" fillId="0" fontId="3" numFmtId="167" xfId="0" applyAlignment="1" applyBorder="1" applyFont="1" applyNumberFormat="1">
      <alignment horizontal="center" vertical="bottom"/>
    </xf>
    <xf borderId="8" fillId="0" fontId="6" numFmtId="164" xfId="0" applyAlignment="1" applyBorder="1" applyFont="1" applyNumberFormat="1">
      <alignment vertical="bottom"/>
    </xf>
    <xf borderId="9" fillId="0" fontId="3" numFmtId="164" xfId="0" applyAlignment="1" applyBorder="1" applyFont="1" applyNumberFormat="1">
      <alignment shrinkToFit="0" vertical="bottom" wrapText="1"/>
    </xf>
    <xf borderId="28" fillId="0" fontId="3" numFmtId="164" xfId="0" applyAlignment="1" applyBorder="1" applyFont="1" applyNumberFormat="1">
      <alignment horizontal="center" vertical="bottom"/>
    </xf>
    <xf borderId="9" fillId="0" fontId="72" numFmtId="164" xfId="0" applyAlignment="1" applyBorder="1" applyFont="1" applyNumberFormat="1">
      <alignment horizontal="center" vertical="bottom"/>
    </xf>
    <xf borderId="10" fillId="0" fontId="3" numFmtId="164" xfId="0" applyAlignment="1" applyBorder="1" applyFont="1" applyNumberFormat="1">
      <alignment horizontal="center" vertical="bottom"/>
    </xf>
    <xf borderId="8" fillId="0" fontId="6" numFmtId="10" xfId="0" applyAlignment="1" applyBorder="1" applyFont="1" applyNumberFormat="1">
      <alignment vertical="bottom"/>
    </xf>
    <xf borderId="0" fillId="0" fontId="6" numFmtId="10" xfId="0" applyAlignment="1" applyFont="1" applyNumberFormat="1">
      <alignment vertical="bottom"/>
    </xf>
    <xf borderId="9" fillId="0" fontId="3" numFmtId="10" xfId="0" applyAlignment="1" applyBorder="1" applyFont="1" applyNumberFormat="1">
      <alignment shrinkToFit="0" vertical="bottom" wrapText="1"/>
    </xf>
    <xf borderId="28" fillId="0" fontId="3" numFmtId="10" xfId="0" applyAlignment="1" applyBorder="1" applyFont="1" applyNumberFormat="1">
      <alignment horizontal="center" vertical="bottom"/>
    </xf>
    <xf borderId="9" fillId="0" fontId="72" numFmtId="10" xfId="0" applyAlignment="1" applyBorder="1" applyFont="1" applyNumberFormat="1">
      <alignment horizontal="center" vertical="bottom"/>
    </xf>
    <xf borderId="10" fillId="0" fontId="3" numFmtId="10" xfId="0" applyAlignment="1" applyBorder="1" applyFont="1" applyNumberFormat="1">
      <alignment horizontal="center" vertical="bottom"/>
    </xf>
    <xf borderId="8" fillId="0" fontId="6" numFmtId="9" xfId="0" applyAlignment="1" applyBorder="1" applyFont="1" applyNumberFormat="1">
      <alignment vertical="bottom"/>
    </xf>
    <xf borderId="9" fillId="0" fontId="3" numFmtId="9" xfId="0" applyAlignment="1" applyBorder="1" applyFont="1" applyNumberFormat="1">
      <alignment shrinkToFit="0" vertical="bottom" wrapText="1"/>
    </xf>
    <xf borderId="28" fillId="0" fontId="3" numFmtId="9" xfId="0" applyAlignment="1" applyBorder="1" applyFont="1" applyNumberFormat="1">
      <alignment horizontal="center" vertical="bottom"/>
    </xf>
    <xf borderId="9" fillId="0" fontId="72" numFmtId="9" xfId="0" applyAlignment="1" applyBorder="1" applyFont="1" applyNumberFormat="1">
      <alignment horizontal="center" vertical="bottom"/>
    </xf>
    <xf borderId="10" fillId="0" fontId="3" numFmtId="9" xfId="0" applyAlignment="1" applyBorder="1" applyFont="1" applyNumberFormat="1">
      <alignment horizontal="center" vertical="bottom"/>
    </xf>
    <xf borderId="9" fillId="0" fontId="72" numFmtId="3" xfId="0" applyAlignment="1" applyBorder="1" applyFont="1" applyNumberFormat="1">
      <alignment horizontal="center" vertical="bottom"/>
    </xf>
    <xf borderId="9" fillId="0" fontId="72" numFmtId="170" xfId="0" applyAlignment="1" applyBorder="1" applyFont="1" applyNumberFormat="1">
      <alignment horizontal="center" vertical="bottom"/>
    </xf>
    <xf borderId="7"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12">
    <tableStyle count="3" pivot="0" name="Net decay model-style">
      <tableStyleElement dxfId="1" type="headerRow"/>
      <tableStyleElement dxfId="2" type="firstRowStripe"/>
      <tableStyleElement dxfId="3" type="secondRowStripe"/>
    </tableStyle>
    <tableStyle count="3" pivot="0" name="Net decay model-style 2">
      <tableStyleElement dxfId="1" type="headerRow"/>
      <tableStyleElement dxfId="2" type="firstRowStripe"/>
      <tableStyleElement dxfId="3" type="secondRowStripe"/>
    </tableStyle>
    <tableStyle count="3" pivot="0" name="Net decay model-style 3">
      <tableStyleElement dxfId="1" type="headerRow"/>
      <tableStyleElement dxfId="2" type="firstRowStripe"/>
      <tableStyleElement dxfId="3" type="secondRowStripe"/>
    </tableStyle>
    <tableStyle count="3" pivot="0" name="Net decay model-style 4">
      <tableStyleElement dxfId="1" type="headerRow"/>
      <tableStyleElement dxfId="2" type="firstRowStripe"/>
      <tableStyleElement dxfId="3" type="secondRowStripe"/>
    </tableStyle>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 count="3" pivot="0" name="GBD estimat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6:C13" displayName="Table_1" name="Table_1" id="1">
  <tableColumns count="2">
    <tableColumn name="Midpoint of year following a distribution" id="1"/>
    <tableColumn name="Projected effective coverage years per year" id="2"/>
  </tableColumns>
  <tableStyleInfo name="Net decay model-style" showColumnStripes="0" showFirstColumn="1" showLastColumn="1" showRowStripes="1"/>
</table>
</file>

<file path=xl/tables/table2.xml><?xml version="1.0" encoding="utf-8"?>
<table xmlns="http://schemas.openxmlformats.org/spreadsheetml/2006/main" ref="G6:H13" displayName="Table_2" name="Table_2" id="2">
  <tableColumns count="2">
    <tableColumn name="Midpoint of year following a distribution" id="1"/>
    <tableColumn name="Projected effective coverage years per year" id="2"/>
  </tableColumns>
  <tableStyleInfo name="Net decay model-style 2" showColumnStripes="0" showFirstColumn="1" showLastColumn="1" showRowStripes="1"/>
</table>
</file>

<file path=xl/tables/table3.xml><?xml version="1.0" encoding="utf-8"?>
<table xmlns="http://schemas.openxmlformats.org/spreadsheetml/2006/main" ref="B16:E89" displayName="Table_3" name="Table_3" id="3">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3" showColumnStripes="0" showFirstColumn="1" showLastColumn="1" showRowStripes="1"/>
</table>
</file>

<file path=xl/tables/table4.xml><?xml version="1.0" encoding="utf-8"?>
<table xmlns="http://schemas.openxmlformats.org/spreadsheetml/2006/main" ref="G16:J89" displayName="Table_4" name="Table_4" id="4">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4" showColumnStripes="0" showFirstColumn="1" showLastColumn="1" showRowStripes="1"/>
</table>
</file>

<file path=xl/tables/table5.xml><?xml version="1.0" encoding="utf-8"?>
<table xmlns="http://schemas.openxmlformats.org/spreadsheetml/2006/main" ref="B3:J2400" displayName="Table_5" name="Table_5" id="5">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6.xml><?xml version="1.0" encoding="utf-8"?>
<table xmlns="http://schemas.openxmlformats.org/spreadsheetml/2006/main" ref="L3:T2400" displayName="Table_6" name="Table_6" id="6">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2" showColumnStripes="0" showFirstColumn="1" showLastColumn="1" showRowStripes="1"/>
</table>
</file>

<file path=xl/tables/table7.xml><?xml version="1.0" encoding="utf-8"?>
<table xmlns="http://schemas.openxmlformats.org/spreadsheetml/2006/main" ref="V3:AE105" displayName="Table_7" name="Table_7" id="7">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8.xml><?xml version="1.0" encoding="utf-8"?>
<table xmlns="http://schemas.openxmlformats.org/spreadsheetml/2006/main" ref="AG3:AP105" displayName="Table_8" name="Table_8" id="8">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9.xml><?xml version="1.0" encoding="utf-8"?>
<table xmlns="http://schemas.openxmlformats.org/spreadsheetml/2006/main" ref="AR3:BA105" displayName="Table_9" name="Table_9" id="9">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5" showColumnStripes="0" showFirstColumn="1" showLastColumn="1" showRowStripes="1"/>
</table>
</file>

<file path=xl/tables/table10.xml><?xml version="1.0" encoding="utf-8"?>
<table xmlns="http://schemas.openxmlformats.org/spreadsheetml/2006/main" ref="BC3:BL105" displayName="Table_10" name="Table_10" id="10">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6" showColumnStripes="0" showFirstColumn="1" showLastColumn="1" showRowStripes="1"/>
</table>
</file>

<file path=xl/tables/table11.xml><?xml version="1.0" encoding="utf-8"?>
<table xmlns="http://schemas.openxmlformats.org/spreadsheetml/2006/main" ref="BN3:BW105" displayName="Table_11" name="Table_11" id="1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7" showColumnStripes="0" showFirstColumn="1" showLastColumn="1" showRowStripes="1"/>
</table>
</file>

<file path=xl/tables/table12.xml><?xml version="1.0" encoding="utf-8"?>
<table xmlns="http://schemas.openxmlformats.org/spreadsheetml/2006/main" ref="BY3:CH54" displayName="Table_12" name="Table_12" id="1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AcGQSyBQxcB6oGJFGGWCYqwY-jW7oahJJK-cTZOkMc/edit" TargetMode="External"/><Relationship Id="rId10" Type="http://schemas.openxmlformats.org/officeDocument/2006/relationships/hyperlink" Target="https://docs.google.com/spreadsheets/d/1zeVV1nDmM6CnvPK36fRGpujYxIMvPJUHruHwNA_KnXQ/edit?usp=sharing" TargetMode="External"/><Relationship Id="rId13"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12uuyYt6QLRZuJojwz6fHv4JQ-GHNeIpiT-SauY3kmM/edit" TargetMode="External"/><Relationship Id="rId1" Type="http://schemas.openxmlformats.org/officeDocument/2006/relationships/hyperlink" Target="https://docs.google.com/spreadsheets/d/1w48klZFrzMea5h9SA6nndzoL7su9b58XcH6Lxi3sA3g/edit?usp=sharing" TargetMode="External"/><Relationship Id="rId2" Type="http://schemas.openxmlformats.org/officeDocument/2006/relationships/hyperlink" Target="https://docs.google.com/spreadsheets/d/14G_rG5755lZfeb4UXXDMUm0WhxScxLm_GTwAAQPloDs/edit?usp=sharing" TargetMode="External"/><Relationship Id="rId3" Type="http://schemas.openxmlformats.org/officeDocument/2006/relationships/hyperlink" Target="https://docs.google.com/spreadsheets/d/1Qx0xKqUfmgHdbxQbk8pqPWiCzzoYNgV9c23-rZXeCbQ/edit?usp=sharing" TargetMode="External"/><Relationship Id="rId4" Type="http://schemas.openxmlformats.org/officeDocument/2006/relationships/hyperlink" Target="https://docs.google.com/spreadsheets/d/1sZAarP83X83NRN7B6cyxpJOmmpeHJpv5T4Pz_ZTBgEs/edit?usp=sharing" TargetMode="External"/><Relationship Id="rId9" Type="http://schemas.openxmlformats.org/officeDocument/2006/relationships/hyperlink" Target="https://docs.google.com/spreadsheets/d/1WKRStr770eb8XmWP69E7ZtmQw2vv5GFjXjLbEVaSOpo/edit?usp=sharing" TargetMode="External"/><Relationship Id="rId15" Type="http://schemas.openxmlformats.org/officeDocument/2006/relationships/hyperlink" Target="https://docs.google.com/spreadsheets/d/1zl2r2tHhzkWBSTZJwfinBWaEBnfBn5EsKAIK_gsDMmg/edit?usp=sharing" TargetMode="External"/><Relationship Id="rId14" Type="http://schemas.openxmlformats.org/officeDocument/2006/relationships/hyperlink" Target="https://docs.google.com/spreadsheets/d/1o0l0xucYBa8rjVKwDHh_K5PZTN6GeoenaKz77bTMXa4/edit?gid=1110574950" TargetMode="External"/><Relationship Id="rId17" Type="http://schemas.openxmlformats.org/officeDocument/2006/relationships/drawing" Target="../drawings/drawing1.xml"/><Relationship Id="rId16" Type="http://schemas.openxmlformats.org/officeDocument/2006/relationships/hyperlink" Target="https://docs.google.com/spreadsheets/d/1W-_XtJPo2OYKyCdJ2Iyih_n2nCcQC5WSpEKNzfC2cwo/edit?usp=sharing" TargetMode="External"/><Relationship Id="rId5" Type="http://schemas.openxmlformats.org/officeDocument/2006/relationships/hyperlink" Target="https://docs.google.com/spreadsheets/d/1rmLYHM8SYieYYkpKThdVh25DlvbK_wyP6k_eTQ0oSCs/edit" TargetMode="External"/><Relationship Id="rId6" Type="http://schemas.openxmlformats.org/officeDocument/2006/relationships/hyperlink" Target="https://docs.google.com/spreadsheets/d/1MnNwE52TiWwszvSMP39m20dy7dhRmSPvoMCKGlvPqrg/edit?usp=sharing" TargetMode="External"/><Relationship Id="rId7" Type="http://schemas.openxmlformats.org/officeDocument/2006/relationships/hyperlink" Target="https://docs.google.com/spreadsheets/d/1xL2yhH3Z5MUv0iEDquNNhxuM5XxuM5McjnePQ7t9Tvs/edit?usp=sharing" TargetMode="External"/><Relationship Id="rId8" Type="http://schemas.openxmlformats.org/officeDocument/2006/relationships/hyperlink" Target="https://docs.google.com/spreadsheets/d/1xlIU3kEZFaGyUsQgLWNxi23X7_DgNUFbTHaY8d9iy8w/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YgMgML21RLKFHb0QlHphR-KwfJiukMdlIJ7Oub_TyQE/edit?usp=sharing" TargetMode="External"/><Relationship Id="rId42" Type="http://schemas.openxmlformats.org/officeDocument/2006/relationships/hyperlink" Target="https://docs.google.com/spreadsheets/d/1YgMgML21RLKFHb0QlHphR-KwfJiukMdlIJ7Oub_TyQE/edit?usp=sharing" TargetMode="External"/><Relationship Id="rId41" Type="http://schemas.openxmlformats.org/officeDocument/2006/relationships/hyperlink" Target="https://docs.google.com/spreadsheets/d/1YgMgML21RLKFHb0QlHphR-KwfJiukMdlIJ7Oub_TyQE/edit?usp=sharing" TargetMode="External"/><Relationship Id="rId44" Type="http://schemas.openxmlformats.org/officeDocument/2006/relationships/hyperlink" Target="https://docs.google.com/spreadsheets/d/1YgMgML21RLKFHb0QlHphR-KwfJiukMdlIJ7Oub_TyQE/edit?usp=sharing" TargetMode="External"/><Relationship Id="rId43" Type="http://schemas.openxmlformats.org/officeDocument/2006/relationships/hyperlink" Target="https://docs.google.com/spreadsheets/d/1YgMgML21RLKFHb0QlHphR-KwfJiukMdlIJ7Oub_TyQE/edit?usp=sharing" TargetMode="External"/><Relationship Id="rId46" Type="http://schemas.openxmlformats.org/officeDocument/2006/relationships/hyperlink" Target="https://docs.google.com/spreadsheets/d/1YgMgML21RLKFHb0QlHphR-KwfJiukMdlIJ7Oub_TyQE/edit?usp=sharing" TargetMode="External"/><Relationship Id="rId45" Type="http://schemas.openxmlformats.org/officeDocument/2006/relationships/hyperlink" Target="https://docs.google.com/spreadsheets/d/1YgMgML21RLKFHb0QlHphR-KwfJiukMdlIJ7Oub_TyQE/edit?usp=sharing" TargetMode="External"/><Relationship Id="rId1" Type="http://schemas.openxmlformats.org/officeDocument/2006/relationships/comments" Target="../comments6.xml"/><Relationship Id="rId2" Type="http://schemas.openxmlformats.org/officeDocument/2006/relationships/hyperlink" Target="https://docs.google.com/spreadsheets/d/1rmLYHM8SYieYYkpKThdVh25DlvbK_wyP6k_eTQ0oSCs/edit" TargetMode="External"/><Relationship Id="rId3" Type="http://schemas.openxmlformats.org/officeDocument/2006/relationships/hyperlink" Target="https://docs.google.com/spreadsheets/d/1MnNwE52TiWwszvSMP39m20dy7dhRmSPvoMCKGlvPqrg/edit?usp=sharing" TargetMode="External"/><Relationship Id="rId4" Type="http://schemas.openxmlformats.org/officeDocument/2006/relationships/hyperlink" Target="https://docs.google.com/spreadsheets/d/1w48klZFrzMea5h9SA6nndzoL7su9b58XcH6Lxi3sA3g/edit?usp=sharing" TargetMode="External"/><Relationship Id="rId9" Type="http://schemas.openxmlformats.org/officeDocument/2006/relationships/hyperlink" Target="https://docs.google.com/spreadsheets/d/1w48klZFrzMea5h9SA6nndzoL7su9b58XcH6Lxi3sA3g/edit?usp=sharing" TargetMode="External"/><Relationship Id="rId48" Type="http://schemas.openxmlformats.org/officeDocument/2006/relationships/hyperlink" Target="https://docs.google.com/spreadsheets/d/1YgMgML21RLKFHb0QlHphR-KwfJiukMdlIJ7Oub_TyQE/edit?usp=sharing" TargetMode="External"/><Relationship Id="rId47" Type="http://schemas.openxmlformats.org/officeDocument/2006/relationships/hyperlink" Target="https://docs.google.com/spreadsheets/d/1YgMgML21RLKFHb0QlHphR-KwfJiukMdlIJ7Oub_TyQE/edit?usp=sharing" TargetMode="External"/><Relationship Id="rId49" Type="http://schemas.openxmlformats.org/officeDocument/2006/relationships/hyperlink" Target="https://docs.google.com/spreadsheets/d/1YgMgML21RLKFHb0QlHphR-KwfJiukMdlIJ7Oub_TyQE/edit?usp=sharing" TargetMode="External"/><Relationship Id="rId5" Type="http://schemas.openxmlformats.org/officeDocument/2006/relationships/hyperlink" Target="https://docs.google.com/spreadsheets/d/1w48klZFrzMea5h9SA6nndzoL7su9b58XcH6Lxi3sA3g/edit?usp=sharing" TargetMode="External"/><Relationship Id="rId6" Type="http://schemas.openxmlformats.org/officeDocument/2006/relationships/hyperlink" Target="https://docs.google.com/spreadsheets/d/1w48klZFrzMea5h9SA6nndzoL7su9b58XcH6Lxi3sA3g/edit?usp=sharing" TargetMode="External"/><Relationship Id="rId7" Type="http://schemas.openxmlformats.org/officeDocument/2006/relationships/hyperlink" Target="https://docs.google.com/spreadsheets/d/1w48klZFrzMea5h9SA6nndzoL7su9b58XcH6Lxi3sA3g/edit?usp=sharing" TargetMode="External"/><Relationship Id="rId8" Type="http://schemas.openxmlformats.org/officeDocument/2006/relationships/hyperlink" Target="https://docs.google.com/spreadsheets/d/1w48klZFrzMea5h9SA6nndzoL7su9b58XcH6Lxi3sA3g/edit?usp=sharing" TargetMode="External"/><Relationship Id="rId31" Type="http://schemas.openxmlformats.org/officeDocument/2006/relationships/hyperlink" Target="https://www.ncbi.nlm.nih.gov/pmc/articles/PMC6418392/" TargetMode="External"/><Relationship Id="rId30" Type="http://schemas.openxmlformats.org/officeDocument/2006/relationships/hyperlink" Target="https://docs.google.com/spreadsheets/d/14G_rG5755lZfeb4UXXDMUm0WhxScxLm_GTwAAQPloDs/edit?usp=sharing" TargetMode="External"/><Relationship Id="rId33" Type="http://schemas.openxmlformats.org/officeDocument/2006/relationships/hyperlink" Target="https://docs.google.com/spreadsheets/d/1GAcGQSyBQxcB6oGJFGGWCYqwY-jW7oahJJK-cTZOkMc/edit" TargetMode="External"/><Relationship Id="rId32" Type="http://schemas.openxmlformats.org/officeDocument/2006/relationships/hyperlink" Target="https://docs.google.com/spreadsheets/d/1zeVV1nDmM6CnvPK36fRGpujYxIMvPJUHruHwNA_KnXQ/edit?usp=sharing" TargetMode="External"/><Relationship Id="rId35" Type="http://schemas.openxmlformats.org/officeDocument/2006/relationships/hyperlink" Target="https://docs.google.com/spreadsheets/d/1GAcGQSyBQxcB6oGJFGGWCYqwY-jW7oahJJK-cTZOkMc/edit" TargetMode="External"/><Relationship Id="rId34" Type="http://schemas.openxmlformats.org/officeDocument/2006/relationships/hyperlink" Target="https://docs.google.com/spreadsheets/d/112uuyYt6QLRZuJojwz6fHv4JQ-GHNeIpiT-SauY3kmM/edit" TargetMode="External"/><Relationship Id="rId37" Type="http://schemas.openxmlformats.org/officeDocument/2006/relationships/hyperlink" Target="https://docs.google.com/spreadsheets/d/1GAcGQSyBQxcB6oGJFGGWCYqwY-jW7oahJJK-cTZOkMc/edit" TargetMode="External"/><Relationship Id="rId36" Type="http://schemas.openxmlformats.org/officeDocument/2006/relationships/hyperlink" Target="https://docs.google.com/spreadsheets/d/1GAcGQSyBQxcB6oGJFGGWCYqwY-jW7oahJJK-cTZOkMc/edit" TargetMode="External"/><Relationship Id="rId39" Type="http://schemas.openxmlformats.org/officeDocument/2006/relationships/hyperlink" Target="https://docs.google.com/spreadsheets/d/1o0l0xucYBa8rjVKwDHh_K5PZTN6GeoenaKz77bTMXa4/edit?gid=1110574950" TargetMode="External"/><Relationship Id="rId38" Type="http://schemas.openxmlformats.org/officeDocument/2006/relationships/hyperlink" Target="https://docs.google.com/spreadsheets/d/1GAcGQSyBQxcB6oGJFGGWCYqwY-jW7oahJJK-cTZOkMc/edit" TargetMode="External"/><Relationship Id="rId20" Type="http://schemas.openxmlformats.org/officeDocument/2006/relationships/hyperlink" Target="https://docs.google.com/spreadsheets/d/1WKRStr770eb8XmWP69E7ZtmQw2vv5GFjXjLbEVaSOpo/edit" TargetMode="External"/><Relationship Id="rId22" Type="http://schemas.openxmlformats.org/officeDocument/2006/relationships/hyperlink" Target="https://docs.google.com/spreadsheets/d/1xlIU3kEZFaGyUsQgLWNxi23X7_DgNUFbTHaY8d9iy8w/edit?usp=sharing" TargetMode="External"/><Relationship Id="rId21" Type="http://schemas.openxmlformats.org/officeDocument/2006/relationships/hyperlink" Target="https://docs.google.com/spreadsheets/d/1WKRStr770eb8XmWP69E7ZtmQw2vv5GFjXjLbEVaSOpo/edit" TargetMode="External"/><Relationship Id="rId24" Type="http://schemas.openxmlformats.org/officeDocument/2006/relationships/hyperlink" Target="https://docs.google.com/spreadsheets/d/14G_rG5755lZfeb4UXXDMUm0WhxScxLm_GTwAAQPloDs/edit?usp=sharing" TargetMode="External"/><Relationship Id="rId23" Type="http://schemas.openxmlformats.org/officeDocument/2006/relationships/hyperlink" Target="https://docs.google.com/spreadsheets/d/14G_rG5755lZfeb4UXXDMUm0WhxScxLm_GTwAAQPloDs/edit?usp=sharing" TargetMode="External"/><Relationship Id="rId26" Type="http://schemas.openxmlformats.org/officeDocument/2006/relationships/hyperlink" Target="https://docs.google.com/spreadsheets/d/14G_rG5755lZfeb4UXXDMUm0WhxScxLm_GTwAAQPloDs/edit" TargetMode="External"/><Relationship Id="rId25" Type="http://schemas.openxmlformats.org/officeDocument/2006/relationships/hyperlink" Target="http://apps.who.int/iris/bitstream/handle/10665/272533/9789241514057-eng.pdf?sequence=1&amp;isAllowed=y" TargetMode="External"/><Relationship Id="rId28" Type="http://schemas.openxmlformats.org/officeDocument/2006/relationships/hyperlink" Target="https://docs.google.com/spreadsheets/d/14G_rG5755lZfeb4UXXDMUm0WhxScxLm_GTwAAQPloDs/edit?usp=sharing" TargetMode="External"/><Relationship Id="rId27" Type="http://schemas.openxmlformats.org/officeDocument/2006/relationships/hyperlink" Target="https://docs.google.com/spreadsheets/d/14G_rG5755lZfeb4UXXDMUm0WhxScxLm_GTwAAQPloDs/edit?usp=sharing" TargetMode="External"/><Relationship Id="rId29" Type="http://schemas.openxmlformats.org/officeDocument/2006/relationships/hyperlink" Target="https://docs.google.com/spreadsheets/d/14G_rG5755lZfeb4UXXDMUm0WhxScxLm_GTwAAQPloDs/edit?usp=sharing" TargetMode="External"/><Relationship Id="rId51" Type="http://schemas.openxmlformats.org/officeDocument/2006/relationships/hyperlink" Target="https://docs.google.com/spreadsheets/d/1zl2r2tHhzkWBSTZJwfinBWaEBnfBn5EsKAIK_gsDMmg/edit?usp=sharing" TargetMode="External"/><Relationship Id="rId50" Type="http://schemas.openxmlformats.org/officeDocument/2006/relationships/hyperlink" Target="https://docs.google.com/spreadsheets/d/1YgMgML21RLKFHb0QlHphR-KwfJiukMdlIJ7Oub_TyQE/edit?usp=sharing" TargetMode="External"/><Relationship Id="rId53" Type="http://schemas.openxmlformats.org/officeDocument/2006/relationships/drawing" Target="../drawings/drawing7.xml"/><Relationship Id="rId52" Type="http://schemas.openxmlformats.org/officeDocument/2006/relationships/hyperlink" Target="https://docs.google.com/spreadsheets/d/1W-_XtJPo2OYKyCdJ2Iyih_n2nCcQC5WSpEKNzfC2cwo/edit?usp=sharing" TargetMode="External"/><Relationship Id="rId11" Type="http://schemas.openxmlformats.org/officeDocument/2006/relationships/hyperlink" Target="https://docs.google.com/spreadsheets/d/1w48klZFrzMea5h9SA6nndzoL7su9b58XcH6Lxi3sA3g/edit?usp=sharing" TargetMode="External"/><Relationship Id="rId10" Type="http://schemas.openxmlformats.org/officeDocument/2006/relationships/hyperlink" Target="https://docs.google.com/spreadsheets/d/1w48klZFrzMea5h9SA6nndzoL7su9b58XcH6Lxi3sA3g/edit?usp=sharing" TargetMode="External"/><Relationship Id="rId54" Type="http://schemas.openxmlformats.org/officeDocument/2006/relationships/vmlDrawing" Target="../drawings/vmlDrawing6.vml"/><Relationship Id="rId13" Type="http://schemas.openxmlformats.org/officeDocument/2006/relationships/hyperlink" Target="https://docs.google.com/spreadsheets/d/1w48klZFrzMea5h9SA6nndzoL7su9b58XcH6Lxi3sA3g/edit?usp=sharing" TargetMode="External"/><Relationship Id="rId12" Type="http://schemas.openxmlformats.org/officeDocument/2006/relationships/hyperlink" Target="https://docs.google.com/spreadsheets/d/1w48klZFrzMea5h9SA6nndzoL7su9b58XcH6Lxi3sA3g/edit?usp=sharing" TargetMode="External"/><Relationship Id="rId15" Type="http://schemas.openxmlformats.org/officeDocument/2006/relationships/hyperlink" Target="https://docs.google.com/spreadsheets/d/1WKRStr770eb8XmWP69E7ZtmQw2vv5GFjXjLbEVaSOpo/edit?usp=sharing" TargetMode="External"/><Relationship Id="rId14" Type="http://schemas.openxmlformats.org/officeDocument/2006/relationships/hyperlink" Target="https://docs.google.com/spreadsheets/d/1xL2yhH3Z5MUv0iEDquNNhxuM5XxuM5McjnePQ7t9Tvs/edit" TargetMode="External"/><Relationship Id="rId17" Type="http://schemas.openxmlformats.org/officeDocument/2006/relationships/hyperlink" Target="https://docs.google.com/spreadsheets/d/1w48klZFrzMea5h9SA6nndzoL7su9b58XcH6Lxi3sA3g/edit" TargetMode="External"/><Relationship Id="rId16" Type="http://schemas.openxmlformats.org/officeDocument/2006/relationships/hyperlink" Target="https://docs.google.com/spreadsheets/d/1w48klZFrzMea5h9SA6nndzoL7su9b58XcH6Lxi3sA3g/edit" TargetMode="External"/><Relationship Id="rId19" Type="http://schemas.openxmlformats.org/officeDocument/2006/relationships/hyperlink" Target="https://docs.google.com/spreadsheets/d/1WKRStr770eb8XmWP69E7ZtmQw2vv5GFjXjLbEVaSOpo/edit" TargetMode="External"/><Relationship Id="rId18" Type="http://schemas.openxmlformats.org/officeDocument/2006/relationships/hyperlink" Target="https://docs.google.com/spreadsheets/d/1w48klZFrzMea5h9SA6nndzoL7su9b58XcH6Lxi3sA3g/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ivewell.org/international/technical/programs/insecticide-treated-nets/estimating-equivalent-coverage-years-for-LLINs" TargetMode="External"/><Relationship Id="rId2" Type="http://schemas.openxmlformats.org/officeDocument/2006/relationships/drawing" Target="../drawings/drawing8.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 Id="rId10"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ghdx.healthdata.org/record/ihme-data/gbd-2019-population-estimates-1950-2019" TargetMode="External"/><Relationship Id="rId3" Type="http://schemas.openxmlformats.org/officeDocument/2006/relationships/hyperlink" Target="http://ghdx.healthdata.org/record/ihme-data/gbd-2019-population-estimates-1950-2019" TargetMode="External"/><Relationship Id="rId4" Type="http://schemas.openxmlformats.org/officeDocument/2006/relationships/hyperlink" Target="https://vizhub.healthdata.org/gbd-results?params=gbd-api-2019-permalink/b0f98a9bd8047cd6d9c5689f7cc74a0b" TargetMode="External"/><Relationship Id="rId9" Type="http://schemas.openxmlformats.org/officeDocument/2006/relationships/hyperlink" Target="https://vizhub.healthdata.org/gbd-results?params=gbd-api-2019-permalink/3bd91c146f93b9ef787ac8eeac18ff56" TargetMode="External"/><Relationship Id="rId5" Type="http://schemas.openxmlformats.org/officeDocument/2006/relationships/hyperlink" Target="https://vizhub.healthdata.org/gbd-results?params=gbd-api-2019-permalink/039d2e94181cb9524330c4ee45ec13c4" TargetMode="External"/><Relationship Id="rId6" Type="http://schemas.openxmlformats.org/officeDocument/2006/relationships/hyperlink" Target="https://vizhub.healthdata.org/gbd-results?params=gbd-api-2019-permalink/ab7bb247680ef8aa913b03e069087224" TargetMode="External"/><Relationship Id="rId7" Type="http://schemas.openxmlformats.org/officeDocument/2006/relationships/hyperlink" Target="https://vizhub.healthdata.org/gbd-results?params=gbd-api-2019-permalink/ab7bb247680ef8aa913b03e069087224" TargetMode="External"/><Relationship Id="rId8" Type="http://schemas.openxmlformats.org/officeDocument/2006/relationships/hyperlink" Target="https://vizhub.healthdata.org/gbd-results?params=gbd-api-2019-permalink/9639fbf09e0047216321eaf5c79e2aae" TargetMode="External"/><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26" Type="http://schemas.openxmlformats.org/officeDocument/2006/relationships/table" Target="../tables/table11.xml"/><Relationship Id="rId25" Type="http://schemas.openxmlformats.org/officeDocument/2006/relationships/table" Target="../tables/table10.xml"/><Relationship Id="rId27" Type="http://schemas.openxmlformats.org/officeDocument/2006/relationships/table" Target="../tables/table12.xml"/><Relationship Id="rId11" Type="http://schemas.openxmlformats.org/officeDocument/2006/relationships/vmlDrawing" Target="../drawings/vmlDrawing7.vm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13"/>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7" t="s">
        <v>14</v>
      </c>
      <c r="F10" s="18" t="s">
        <v>15</v>
      </c>
      <c r="G10" s="18"/>
      <c r="H10" s="19"/>
      <c r="I10" s="19"/>
      <c r="J10" s="19"/>
      <c r="K10" s="19"/>
      <c r="L10" s="19"/>
      <c r="M10" s="19"/>
      <c r="N10" s="19"/>
      <c r="O10" s="19"/>
      <c r="P10" s="19"/>
      <c r="Q10" s="19"/>
      <c r="R10" s="19"/>
      <c r="S10" s="19"/>
      <c r="T10" s="19"/>
      <c r="U10" s="19"/>
      <c r="V10" s="20"/>
    </row>
    <row r="11">
      <c r="A11" s="12"/>
      <c r="B11" s="9"/>
      <c r="C11" s="9"/>
      <c r="D11" s="9"/>
      <c r="E11" s="17" t="s">
        <v>16</v>
      </c>
      <c r="F11" s="18" t="s">
        <v>17</v>
      </c>
      <c r="G11" s="18"/>
      <c r="H11" s="19"/>
      <c r="I11" s="19"/>
      <c r="J11" s="19"/>
      <c r="K11" s="19"/>
      <c r="L11" s="19"/>
      <c r="M11" s="19"/>
      <c r="N11" s="19"/>
      <c r="O11" s="19"/>
      <c r="P11" s="19"/>
      <c r="Q11" s="19"/>
      <c r="R11" s="19"/>
      <c r="S11" s="19"/>
      <c r="T11" s="19"/>
      <c r="U11" s="19"/>
      <c r="V11" s="20"/>
    </row>
    <row r="12">
      <c r="A12" s="12"/>
      <c r="B12" s="9"/>
      <c r="C12" s="9"/>
      <c r="D12" s="9"/>
      <c r="E12" s="17" t="s">
        <v>18</v>
      </c>
      <c r="F12" s="18" t="s">
        <v>19</v>
      </c>
      <c r="G12" s="18"/>
      <c r="H12" s="19"/>
      <c r="I12" s="19"/>
      <c r="J12" s="19"/>
      <c r="K12" s="19"/>
      <c r="L12" s="19"/>
      <c r="M12" s="19"/>
      <c r="N12" s="19"/>
      <c r="O12" s="19"/>
      <c r="P12" s="19"/>
      <c r="Q12" s="19"/>
      <c r="R12" s="19"/>
      <c r="S12" s="19"/>
      <c r="T12" s="19"/>
      <c r="U12" s="19"/>
      <c r="V12" s="20"/>
    </row>
    <row r="13">
      <c r="A13" s="21"/>
      <c r="B13" s="22"/>
      <c r="C13" s="22"/>
      <c r="D13" s="22"/>
      <c r="E13" s="23" t="s">
        <v>20</v>
      </c>
      <c r="F13" s="24" t="s">
        <v>21</v>
      </c>
      <c r="G13" s="25"/>
      <c r="H13" s="26"/>
      <c r="I13" s="26"/>
      <c r="J13" s="26"/>
      <c r="K13" s="26"/>
      <c r="L13" s="26"/>
      <c r="M13" s="26"/>
      <c r="N13" s="26"/>
      <c r="O13" s="26"/>
      <c r="P13" s="26"/>
      <c r="Q13" s="26"/>
      <c r="R13" s="26"/>
      <c r="S13" s="26"/>
      <c r="T13" s="26"/>
      <c r="U13" s="26"/>
      <c r="V13" s="27"/>
    </row>
    <row r="14">
      <c r="A14" s="21"/>
      <c r="B14" s="22"/>
      <c r="C14" s="22"/>
      <c r="D14" s="22"/>
      <c r="E14" s="23" t="s">
        <v>22</v>
      </c>
      <c r="F14" s="28" t="s">
        <v>23</v>
      </c>
      <c r="G14" s="29"/>
      <c r="H14" s="30"/>
      <c r="I14" s="30"/>
      <c r="J14" s="30"/>
      <c r="K14" s="30"/>
      <c r="L14" s="30"/>
      <c r="M14" s="30"/>
      <c r="N14" s="30"/>
      <c r="O14" s="30"/>
      <c r="P14" s="30"/>
      <c r="Q14" s="30"/>
      <c r="R14" s="30"/>
      <c r="S14" s="30"/>
      <c r="T14" s="30"/>
      <c r="U14" s="30"/>
      <c r="V14" s="31"/>
    </row>
    <row r="15">
      <c r="A15" s="12"/>
      <c r="B15" s="9"/>
      <c r="C15" s="9"/>
      <c r="D15" s="9"/>
      <c r="E15" s="9"/>
      <c r="F15" s="9"/>
      <c r="G15" s="9"/>
      <c r="H15" s="10"/>
      <c r="I15" s="10"/>
      <c r="J15" s="10"/>
      <c r="K15" s="10"/>
      <c r="L15" s="10"/>
      <c r="M15" s="10"/>
      <c r="N15" s="10"/>
      <c r="O15" s="10"/>
      <c r="P15" s="10"/>
      <c r="Q15" s="10"/>
      <c r="R15" s="10"/>
      <c r="S15" s="10"/>
      <c r="T15" s="10"/>
      <c r="U15" s="10"/>
      <c r="V15" s="11"/>
    </row>
    <row r="16">
      <c r="A16" s="5" t="s">
        <v>24</v>
      </c>
      <c r="B16" s="6"/>
      <c r="C16" s="6"/>
      <c r="D16" s="6"/>
      <c r="E16" s="6"/>
      <c r="F16" s="6"/>
      <c r="G16" s="6"/>
      <c r="H16" s="7"/>
      <c r="I16" s="7"/>
      <c r="J16" s="7"/>
      <c r="K16" s="7"/>
      <c r="L16" s="7"/>
      <c r="M16" s="7"/>
      <c r="N16" s="7"/>
      <c r="O16" s="7"/>
      <c r="P16" s="7"/>
      <c r="Q16" s="7"/>
      <c r="R16" s="7"/>
      <c r="S16" s="7"/>
      <c r="T16" s="7"/>
      <c r="U16" s="7"/>
      <c r="V16" s="8"/>
    </row>
    <row r="17">
      <c r="A17" s="32"/>
      <c r="B17" s="33"/>
      <c r="C17" s="33"/>
      <c r="D17" s="33"/>
      <c r="E17" s="33"/>
      <c r="F17" s="33"/>
      <c r="G17" s="33"/>
      <c r="H17" s="10"/>
      <c r="I17" s="10"/>
      <c r="J17" s="10"/>
      <c r="K17" s="10"/>
      <c r="L17" s="10"/>
      <c r="M17" s="10"/>
      <c r="N17" s="10"/>
      <c r="O17" s="10"/>
      <c r="P17" s="10"/>
      <c r="Q17" s="10"/>
      <c r="R17" s="10"/>
      <c r="S17" s="10"/>
      <c r="T17" s="10"/>
      <c r="U17" s="10"/>
      <c r="V17" s="11"/>
    </row>
    <row r="18">
      <c r="A18" s="32"/>
      <c r="B18" s="33"/>
      <c r="C18" s="34" t="s">
        <v>25</v>
      </c>
      <c r="G18" s="33"/>
      <c r="H18" s="10"/>
      <c r="I18" s="10"/>
      <c r="J18" s="10"/>
      <c r="K18" s="10"/>
      <c r="L18" s="10"/>
      <c r="M18" s="10"/>
      <c r="N18" s="10"/>
      <c r="O18" s="10"/>
      <c r="P18" s="10"/>
      <c r="Q18" s="10"/>
      <c r="R18" s="10"/>
      <c r="S18" s="10"/>
      <c r="T18" s="10"/>
      <c r="U18" s="10"/>
      <c r="V18" s="11"/>
    </row>
    <row r="19">
      <c r="A19" s="32"/>
      <c r="B19" s="33"/>
      <c r="C19" s="33"/>
      <c r="D19" s="33"/>
      <c r="E19" s="35" t="s">
        <v>26</v>
      </c>
      <c r="F19" s="36" t="s">
        <v>27</v>
      </c>
      <c r="G19" s="37"/>
      <c r="H19" s="37"/>
      <c r="I19" s="37"/>
      <c r="J19" s="37"/>
      <c r="K19" s="37"/>
      <c r="L19" s="37"/>
      <c r="M19" s="37"/>
      <c r="N19" s="37"/>
      <c r="O19" s="37"/>
      <c r="P19" s="37"/>
      <c r="Q19" s="37"/>
      <c r="R19" s="37"/>
      <c r="S19" s="37"/>
      <c r="T19" s="15"/>
      <c r="U19" s="15"/>
      <c r="V19" s="16"/>
    </row>
    <row r="20">
      <c r="A20" s="32"/>
      <c r="B20" s="33"/>
      <c r="C20" s="33"/>
      <c r="D20" s="33"/>
      <c r="E20" s="35" t="s">
        <v>28</v>
      </c>
      <c r="F20" s="36" t="s">
        <v>29</v>
      </c>
      <c r="G20" s="37"/>
      <c r="H20" s="37"/>
      <c r="I20" s="37"/>
      <c r="J20" s="37"/>
      <c r="K20" s="37"/>
      <c r="L20" s="37"/>
      <c r="M20" s="37"/>
      <c r="N20" s="37"/>
      <c r="O20" s="37"/>
      <c r="P20" s="37"/>
      <c r="Q20" s="37"/>
      <c r="R20" s="37"/>
      <c r="S20" s="37"/>
      <c r="T20" s="15"/>
      <c r="U20" s="15"/>
      <c r="V20" s="16"/>
    </row>
    <row r="21">
      <c r="A21" s="32"/>
      <c r="B21" s="33"/>
      <c r="C21" s="33"/>
      <c r="D21" s="33"/>
      <c r="E21" s="38" t="s">
        <v>30</v>
      </c>
      <c r="F21" s="18" t="s">
        <v>31</v>
      </c>
      <c r="G21" s="39"/>
      <c r="H21" s="39"/>
      <c r="I21" s="39"/>
      <c r="J21" s="39"/>
      <c r="K21" s="39"/>
      <c r="L21" s="39"/>
      <c r="M21" s="39"/>
      <c r="N21" s="39"/>
      <c r="O21" s="39"/>
      <c r="P21" s="39"/>
      <c r="Q21" s="39"/>
      <c r="R21" s="39"/>
      <c r="S21" s="39"/>
      <c r="T21" s="19"/>
      <c r="U21" s="19"/>
      <c r="V21" s="20"/>
    </row>
    <row r="22">
      <c r="A22" s="32"/>
      <c r="B22" s="33"/>
      <c r="C22" s="33"/>
      <c r="D22" s="33"/>
      <c r="E22" s="38" t="s">
        <v>32</v>
      </c>
      <c r="F22" s="40" t="s">
        <v>33</v>
      </c>
      <c r="G22" s="39"/>
      <c r="H22" s="39"/>
      <c r="I22" s="39"/>
      <c r="J22" s="39"/>
      <c r="K22" s="39"/>
      <c r="L22" s="39"/>
      <c r="M22" s="39"/>
      <c r="N22" s="39"/>
      <c r="O22" s="39"/>
      <c r="P22" s="39"/>
      <c r="Q22" s="39"/>
      <c r="R22" s="39"/>
      <c r="S22" s="39"/>
      <c r="T22" s="19"/>
      <c r="U22" s="19"/>
      <c r="V22" s="20"/>
    </row>
    <row r="23">
      <c r="A23" s="32"/>
      <c r="B23" s="33"/>
      <c r="C23" s="33"/>
      <c r="D23" s="33"/>
      <c r="E23" s="35" t="s">
        <v>34</v>
      </c>
      <c r="F23" s="36" t="s">
        <v>35</v>
      </c>
      <c r="G23" s="37"/>
      <c r="H23" s="37"/>
      <c r="I23" s="37"/>
      <c r="J23" s="37"/>
      <c r="K23" s="37"/>
      <c r="L23" s="37"/>
      <c r="M23" s="37"/>
      <c r="N23" s="37"/>
      <c r="O23" s="37"/>
      <c r="P23" s="37"/>
      <c r="Q23" s="37"/>
      <c r="R23" s="37"/>
      <c r="S23" s="37"/>
      <c r="T23" s="15"/>
      <c r="U23" s="15"/>
      <c r="V23" s="16"/>
    </row>
    <row r="24">
      <c r="A24" s="32"/>
      <c r="B24" s="33"/>
      <c r="C24" s="33"/>
      <c r="D24" s="33"/>
      <c r="E24" s="35" t="s">
        <v>36</v>
      </c>
      <c r="F24" s="36" t="s">
        <v>37</v>
      </c>
      <c r="G24" s="37"/>
      <c r="H24" s="37"/>
      <c r="I24" s="37"/>
      <c r="J24" s="37"/>
      <c r="K24" s="37"/>
      <c r="L24" s="37"/>
      <c r="M24" s="37"/>
      <c r="N24" s="37"/>
      <c r="O24" s="37"/>
      <c r="P24" s="37"/>
      <c r="Q24" s="37"/>
      <c r="R24" s="37"/>
      <c r="S24" s="37"/>
      <c r="T24" s="15"/>
      <c r="U24" s="15"/>
      <c r="V24" s="16"/>
    </row>
    <row r="25">
      <c r="A25" s="32"/>
      <c r="B25" s="33"/>
      <c r="C25" s="33"/>
      <c r="D25" s="33"/>
      <c r="E25" s="35" t="s">
        <v>38</v>
      </c>
      <c r="F25" s="36" t="s">
        <v>39</v>
      </c>
      <c r="G25" s="37"/>
      <c r="H25" s="37"/>
      <c r="I25" s="37"/>
      <c r="J25" s="37"/>
      <c r="K25" s="37"/>
      <c r="L25" s="37"/>
      <c r="M25" s="37"/>
      <c r="N25" s="37"/>
      <c r="O25" s="37"/>
      <c r="P25" s="37"/>
      <c r="Q25" s="37"/>
      <c r="R25" s="37"/>
      <c r="S25" s="37"/>
      <c r="T25" s="15"/>
      <c r="U25" s="15"/>
      <c r="V25" s="16"/>
    </row>
    <row r="26">
      <c r="A26" s="32"/>
      <c r="B26" s="33"/>
      <c r="C26" s="33"/>
      <c r="D26" s="33"/>
      <c r="E26" s="35" t="s">
        <v>40</v>
      </c>
      <c r="T26" s="10"/>
      <c r="U26" s="10"/>
      <c r="V26" s="11"/>
    </row>
    <row r="27">
      <c r="A27" s="32"/>
      <c r="B27" s="33"/>
      <c r="C27" s="33"/>
      <c r="D27" s="33"/>
      <c r="E27" s="35" t="s">
        <v>41</v>
      </c>
      <c r="F27" s="36" t="s">
        <v>42</v>
      </c>
      <c r="G27" s="37"/>
      <c r="H27" s="37"/>
      <c r="I27" s="37"/>
      <c r="J27" s="37"/>
      <c r="K27" s="37"/>
      <c r="L27" s="37"/>
      <c r="M27" s="37"/>
      <c r="N27" s="37"/>
      <c r="O27" s="37"/>
      <c r="P27" s="37"/>
      <c r="Q27" s="37"/>
      <c r="R27" s="37"/>
      <c r="S27" s="37"/>
      <c r="T27" s="15"/>
      <c r="U27" s="15"/>
      <c r="V27" s="16"/>
    </row>
    <row r="28">
      <c r="A28" s="32"/>
      <c r="B28" s="33"/>
      <c r="C28" s="33"/>
      <c r="D28" s="33"/>
      <c r="E28" s="41" t="s">
        <v>43</v>
      </c>
      <c r="F28" s="42" t="s">
        <v>44</v>
      </c>
      <c r="G28" s="37"/>
      <c r="H28" s="37"/>
      <c r="I28" s="37"/>
      <c r="J28" s="37"/>
      <c r="K28" s="37"/>
      <c r="L28" s="37"/>
      <c r="M28" s="37"/>
      <c r="N28" s="37"/>
      <c r="O28" s="37"/>
      <c r="P28" s="37"/>
      <c r="Q28" s="37"/>
      <c r="R28" s="37"/>
      <c r="S28" s="37"/>
      <c r="T28" s="15"/>
      <c r="U28" s="15"/>
      <c r="V28" s="16"/>
    </row>
    <row r="29">
      <c r="A29" s="32"/>
      <c r="B29" s="33"/>
      <c r="C29" s="33"/>
      <c r="D29" s="33"/>
      <c r="E29" s="35" t="s">
        <v>8</v>
      </c>
      <c r="F29" s="36" t="s">
        <v>45</v>
      </c>
      <c r="G29" s="37"/>
      <c r="H29" s="37"/>
      <c r="I29" s="37"/>
      <c r="J29" s="37"/>
      <c r="K29" s="37"/>
      <c r="L29" s="37"/>
      <c r="M29" s="37"/>
      <c r="N29" s="37"/>
      <c r="O29" s="37"/>
      <c r="P29" s="37"/>
      <c r="Q29" s="37"/>
      <c r="R29" s="37"/>
      <c r="S29" s="37"/>
      <c r="T29" s="15"/>
      <c r="U29" s="15"/>
      <c r="V29" s="16"/>
    </row>
    <row r="30">
      <c r="A30" s="32"/>
      <c r="B30" s="33"/>
      <c r="C30" s="33"/>
      <c r="D30" s="33"/>
      <c r="E30" s="35" t="s">
        <v>46</v>
      </c>
      <c r="F30" s="14" t="s">
        <v>47</v>
      </c>
      <c r="G30" s="37"/>
      <c r="H30" s="37"/>
      <c r="I30" s="37"/>
      <c r="J30" s="37"/>
      <c r="K30" s="37"/>
      <c r="L30" s="37"/>
      <c r="M30" s="37"/>
      <c r="N30" s="37"/>
      <c r="O30" s="37"/>
      <c r="P30" s="37"/>
      <c r="Q30" s="37"/>
      <c r="R30" s="37"/>
      <c r="S30" s="37"/>
      <c r="T30" s="15"/>
      <c r="U30" s="15"/>
      <c r="V30" s="16"/>
    </row>
    <row r="31">
      <c r="A31" s="32"/>
      <c r="B31" s="33"/>
      <c r="C31" s="33"/>
      <c r="D31" s="33"/>
      <c r="E31" s="43" t="s">
        <v>48</v>
      </c>
      <c r="F31" s="44" t="s">
        <v>49</v>
      </c>
      <c r="G31" s="45"/>
      <c r="H31" s="45"/>
      <c r="I31" s="45"/>
      <c r="J31" s="45"/>
      <c r="K31" s="45"/>
      <c r="L31" s="45"/>
      <c r="M31" s="45"/>
      <c r="N31" s="45"/>
      <c r="O31" s="45"/>
      <c r="P31" s="45"/>
      <c r="Q31" s="45"/>
      <c r="R31" s="45"/>
      <c r="S31" s="45"/>
      <c r="T31" s="46"/>
      <c r="U31" s="46"/>
      <c r="V31" s="47"/>
    </row>
    <row r="32">
      <c r="A32" s="32"/>
      <c r="B32" s="33"/>
      <c r="C32" s="33"/>
      <c r="D32" s="33"/>
      <c r="E32" s="9"/>
      <c r="F32" s="33"/>
      <c r="G32" s="33"/>
      <c r="H32" s="10"/>
      <c r="I32" s="10"/>
      <c r="J32" s="10"/>
      <c r="K32" s="10"/>
      <c r="L32" s="10"/>
      <c r="M32" s="10"/>
      <c r="N32" s="10"/>
      <c r="O32" s="10"/>
      <c r="P32" s="10"/>
      <c r="Q32" s="10"/>
      <c r="R32" s="10"/>
      <c r="S32" s="10"/>
      <c r="T32" s="10"/>
      <c r="U32" s="10"/>
      <c r="V32" s="11"/>
    </row>
    <row r="33">
      <c r="A33" s="32"/>
      <c r="B33" s="33"/>
      <c r="C33" s="34" t="s">
        <v>50</v>
      </c>
      <c r="G33" s="33"/>
      <c r="H33" s="10"/>
      <c r="I33" s="10"/>
      <c r="J33" s="10"/>
      <c r="K33" s="10"/>
      <c r="L33" s="10"/>
      <c r="M33" s="10"/>
      <c r="N33" s="10"/>
      <c r="O33" s="10"/>
      <c r="P33" s="10"/>
      <c r="Q33" s="10"/>
      <c r="R33" s="10"/>
      <c r="S33" s="10"/>
      <c r="T33" s="10"/>
      <c r="U33" s="10"/>
      <c r="V33" s="11"/>
    </row>
    <row r="34">
      <c r="A34" s="32"/>
      <c r="B34" s="33"/>
      <c r="C34" s="33"/>
      <c r="D34" s="33"/>
      <c r="E34" s="35" t="s">
        <v>51</v>
      </c>
      <c r="F34" s="36" t="s">
        <v>52</v>
      </c>
      <c r="G34" s="37"/>
      <c r="H34" s="37"/>
      <c r="I34" s="37"/>
      <c r="J34" s="37"/>
      <c r="K34" s="37"/>
      <c r="L34" s="37"/>
      <c r="M34" s="37"/>
      <c r="N34" s="37"/>
      <c r="O34" s="37"/>
      <c r="P34" s="37"/>
      <c r="Q34" s="37"/>
      <c r="R34" s="37"/>
      <c r="S34" s="37"/>
      <c r="T34" s="15"/>
      <c r="U34" s="15"/>
      <c r="V34" s="16"/>
    </row>
    <row r="35">
      <c r="A35" s="32"/>
      <c r="B35" s="33"/>
      <c r="C35" s="33"/>
      <c r="D35" s="33"/>
      <c r="E35" s="38" t="s">
        <v>53</v>
      </c>
      <c r="F35" s="40" t="s">
        <v>54</v>
      </c>
      <c r="G35" s="39"/>
      <c r="H35" s="39"/>
      <c r="I35" s="39"/>
      <c r="J35" s="39"/>
      <c r="K35" s="39"/>
      <c r="L35" s="39"/>
      <c r="M35" s="39"/>
      <c r="N35" s="39"/>
      <c r="O35" s="39"/>
      <c r="P35" s="39"/>
      <c r="Q35" s="39"/>
      <c r="R35" s="39"/>
      <c r="S35" s="39"/>
      <c r="T35" s="19"/>
      <c r="U35" s="19"/>
      <c r="V35" s="20"/>
    </row>
    <row r="36">
      <c r="A36" s="32"/>
      <c r="B36" s="33"/>
      <c r="C36" s="33"/>
      <c r="D36" s="33"/>
      <c r="E36" s="35" t="s">
        <v>55</v>
      </c>
      <c r="F36" s="36" t="s">
        <v>56</v>
      </c>
      <c r="G36" s="37"/>
      <c r="H36" s="37"/>
      <c r="I36" s="37"/>
      <c r="J36" s="37"/>
      <c r="K36" s="37"/>
      <c r="L36" s="37"/>
      <c r="M36" s="37"/>
      <c r="N36" s="37"/>
      <c r="O36" s="37"/>
      <c r="P36" s="37"/>
      <c r="Q36" s="37"/>
      <c r="R36" s="37"/>
      <c r="S36" s="37"/>
      <c r="T36" s="15"/>
      <c r="U36" s="15"/>
      <c r="V36" s="16"/>
    </row>
    <row r="37">
      <c r="A37" s="32"/>
      <c r="B37" s="33"/>
      <c r="C37" s="33"/>
      <c r="D37" s="33"/>
      <c r="E37" s="38" t="s">
        <v>57</v>
      </c>
      <c r="F37" s="40" t="s">
        <v>58</v>
      </c>
      <c r="G37" s="39"/>
      <c r="H37" s="39"/>
      <c r="I37" s="39"/>
      <c r="J37" s="39"/>
      <c r="K37" s="39"/>
      <c r="L37" s="39"/>
      <c r="M37" s="39"/>
      <c r="N37" s="39"/>
      <c r="O37" s="39"/>
      <c r="P37" s="39"/>
      <c r="Q37" s="39"/>
      <c r="R37" s="39"/>
      <c r="S37" s="39"/>
      <c r="T37" s="19"/>
      <c r="U37" s="19"/>
      <c r="V37" s="20"/>
    </row>
    <row r="38">
      <c r="A38" s="21"/>
      <c r="B38" s="22"/>
      <c r="C38" s="22"/>
      <c r="D38" s="22"/>
      <c r="E38" s="48" t="s">
        <v>59</v>
      </c>
      <c r="F38" s="49" t="s">
        <v>60</v>
      </c>
      <c r="T38" s="50"/>
      <c r="U38" s="50"/>
      <c r="V38" s="51"/>
    </row>
    <row r="39">
      <c r="A39" s="32"/>
      <c r="B39" s="33"/>
      <c r="C39" s="33"/>
      <c r="D39" s="33"/>
      <c r="E39" s="38" t="s">
        <v>61</v>
      </c>
      <c r="F39" s="40" t="s">
        <v>62</v>
      </c>
      <c r="G39" s="39"/>
      <c r="H39" s="39"/>
      <c r="I39" s="39"/>
      <c r="J39" s="39"/>
      <c r="K39" s="39"/>
      <c r="L39" s="39"/>
      <c r="M39" s="39"/>
      <c r="N39" s="39"/>
      <c r="O39" s="39"/>
      <c r="P39" s="39"/>
      <c r="Q39" s="39"/>
      <c r="R39" s="39"/>
      <c r="S39" s="39"/>
      <c r="T39" s="19"/>
      <c r="U39" s="19"/>
      <c r="V39" s="20"/>
    </row>
    <row r="40">
      <c r="A40" s="32"/>
      <c r="B40" s="33"/>
      <c r="C40" s="33"/>
      <c r="D40" s="33"/>
      <c r="E40" s="35" t="s">
        <v>63</v>
      </c>
      <c r="F40" s="36" t="s">
        <v>64</v>
      </c>
      <c r="G40" s="37"/>
      <c r="H40" s="37"/>
      <c r="I40" s="37"/>
      <c r="J40" s="37"/>
      <c r="K40" s="37"/>
      <c r="L40" s="37"/>
      <c r="M40" s="37"/>
      <c r="N40" s="37"/>
      <c r="O40" s="37"/>
      <c r="P40" s="37"/>
      <c r="Q40" s="37"/>
      <c r="R40" s="37"/>
      <c r="S40" s="37"/>
      <c r="T40" s="15"/>
      <c r="U40" s="15"/>
      <c r="V40" s="16"/>
    </row>
    <row r="41">
      <c r="A41" s="32"/>
      <c r="B41" s="33"/>
      <c r="C41" s="33"/>
      <c r="D41" s="33"/>
      <c r="E41" s="52" t="s">
        <v>65</v>
      </c>
      <c r="F41" s="53" t="s">
        <v>66</v>
      </c>
      <c r="G41" s="54"/>
      <c r="H41" s="54"/>
      <c r="I41" s="54"/>
      <c r="J41" s="54"/>
      <c r="K41" s="54"/>
      <c r="L41" s="54"/>
      <c r="M41" s="54"/>
      <c r="N41" s="54"/>
      <c r="O41" s="54"/>
      <c r="P41" s="54"/>
      <c r="Q41" s="54"/>
      <c r="R41" s="54"/>
      <c r="S41" s="54"/>
      <c r="T41" s="55"/>
      <c r="U41" s="55"/>
      <c r="V41" s="56"/>
    </row>
    <row r="42">
      <c r="A42" s="32"/>
      <c r="B42" s="33"/>
      <c r="C42" s="33"/>
      <c r="D42" s="33"/>
      <c r="E42" s="33"/>
      <c r="F42" s="33"/>
      <c r="G42" s="33"/>
      <c r="H42" s="10"/>
      <c r="I42" s="10"/>
      <c r="J42" s="10"/>
      <c r="K42" s="10"/>
      <c r="L42" s="10"/>
      <c r="M42" s="10"/>
      <c r="N42" s="10"/>
      <c r="O42" s="10"/>
      <c r="P42" s="10"/>
      <c r="Q42" s="10"/>
      <c r="R42" s="10"/>
      <c r="S42" s="10"/>
      <c r="T42" s="10"/>
      <c r="U42" s="10"/>
      <c r="V42" s="11"/>
    </row>
    <row r="43">
      <c r="A43" s="5" t="s">
        <v>67</v>
      </c>
      <c r="B43" s="6"/>
      <c r="C43" s="6"/>
      <c r="D43" s="6"/>
      <c r="E43" s="6"/>
      <c r="F43" s="6"/>
      <c r="G43" s="6"/>
      <c r="H43" s="7"/>
      <c r="I43" s="7"/>
      <c r="J43" s="7"/>
      <c r="K43" s="7"/>
      <c r="L43" s="7"/>
      <c r="M43" s="7"/>
      <c r="N43" s="7"/>
      <c r="O43" s="7"/>
      <c r="P43" s="7"/>
      <c r="Q43" s="7"/>
      <c r="R43" s="7"/>
      <c r="S43" s="7"/>
      <c r="T43" s="7"/>
      <c r="U43" s="7"/>
      <c r="V43" s="8"/>
    </row>
    <row r="44">
      <c r="A44" s="12"/>
      <c r="B44" s="10"/>
      <c r="C44" s="10"/>
      <c r="D44" s="10"/>
      <c r="E44" s="10"/>
      <c r="F44" s="10"/>
      <c r="G44" s="10"/>
      <c r="H44" s="10"/>
      <c r="I44" s="10"/>
      <c r="J44" s="10"/>
      <c r="K44" s="10"/>
      <c r="L44" s="10"/>
      <c r="M44" s="10"/>
      <c r="N44" s="10"/>
      <c r="O44" s="10"/>
      <c r="P44" s="10"/>
      <c r="Q44" s="10"/>
      <c r="R44" s="10"/>
      <c r="S44" s="10"/>
      <c r="T44" s="10"/>
      <c r="U44" s="10"/>
      <c r="V44" s="11"/>
    </row>
    <row r="45">
      <c r="A45" s="12"/>
      <c r="B45" s="10"/>
      <c r="C45" s="57" t="s">
        <v>68</v>
      </c>
      <c r="F45" s="10"/>
      <c r="G45" s="10"/>
      <c r="H45" s="10"/>
      <c r="I45" s="10"/>
      <c r="J45" s="10"/>
      <c r="K45" s="10"/>
      <c r="L45" s="10"/>
      <c r="M45" s="10"/>
      <c r="N45" s="10"/>
      <c r="O45" s="10"/>
      <c r="P45" s="10"/>
      <c r="Q45" s="10"/>
      <c r="R45" s="10"/>
      <c r="S45" s="10"/>
      <c r="T45" s="10"/>
      <c r="U45" s="10"/>
      <c r="V45" s="11"/>
    </row>
    <row r="46">
      <c r="A46" s="12"/>
      <c r="B46" s="10"/>
      <c r="C46" s="10"/>
      <c r="D46" s="10"/>
      <c r="E46" s="58" t="s">
        <v>69</v>
      </c>
      <c r="F46" s="59" t="s">
        <v>70</v>
      </c>
      <c r="G46" s="15"/>
      <c r="H46" s="15"/>
      <c r="I46" s="15"/>
      <c r="J46" s="15"/>
      <c r="K46" s="15"/>
      <c r="L46" s="15"/>
      <c r="M46" s="15"/>
      <c r="N46" s="15"/>
      <c r="O46" s="15"/>
      <c r="P46" s="15"/>
      <c r="Q46" s="15"/>
      <c r="R46" s="15"/>
      <c r="S46" s="15"/>
      <c r="T46" s="15"/>
      <c r="U46" s="15"/>
      <c r="V46" s="16"/>
    </row>
    <row r="47">
      <c r="A47" s="12"/>
      <c r="B47" s="10"/>
      <c r="C47" s="10"/>
      <c r="D47" s="10"/>
      <c r="E47" s="60" t="s">
        <v>71</v>
      </c>
      <c r="F47" s="61" t="s">
        <v>72</v>
      </c>
      <c r="G47" s="19"/>
      <c r="H47" s="19"/>
      <c r="I47" s="19"/>
      <c r="J47" s="19"/>
      <c r="K47" s="19"/>
      <c r="L47" s="19"/>
      <c r="M47" s="19"/>
      <c r="N47" s="19"/>
      <c r="O47" s="19"/>
      <c r="P47" s="19"/>
      <c r="Q47" s="19"/>
      <c r="R47" s="19"/>
      <c r="S47" s="19"/>
      <c r="T47" s="19"/>
      <c r="U47" s="19"/>
      <c r="V47" s="20"/>
    </row>
    <row r="48">
      <c r="A48" s="12"/>
      <c r="B48" s="10"/>
      <c r="C48" s="10"/>
      <c r="D48" s="10"/>
      <c r="E48" s="60" t="s">
        <v>73</v>
      </c>
      <c r="F48" s="61" t="s">
        <v>74</v>
      </c>
      <c r="G48" s="19"/>
      <c r="H48" s="19"/>
      <c r="I48" s="19"/>
      <c r="J48" s="19"/>
      <c r="K48" s="19"/>
      <c r="L48" s="19"/>
      <c r="M48" s="19"/>
      <c r="N48" s="19"/>
      <c r="O48" s="19"/>
      <c r="P48" s="19"/>
      <c r="Q48" s="19"/>
      <c r="R48" s="19"/>
      <c r="S48" s="19"/>
      <c r="T48" s="19"/>
      <c r="U48" s="19"/>
      <c r="V48" s="20"/>
    </row>
    <row r="49">
      <c r="A49" s="12"/>
      <c r="B49" s="10"/>
      <c r="C49" s="10"/>
      <c r="D49" s="10"/>
      <c r="E49" s="60" t="s">
        <v>75</v>
      </c>
      <c r="F49" s="61" t="s">
        <v>76</v>
      </c>
      <c r="G49" s="19"/>
      <c r="H49" s="19"/>
      <c r="I49" s="19"/>
      <c r="J49" s="19"/>
      <c r="K49" s="19"/>
      <c r="L49" s="19"/>
      <c r="M49" s="19"/>
      <c r="N49" s="19"/>
      <c r="O49" s="19"/>
      <c r="P49" s="19"/>
      <c r="Q49" s="19"/>
      <c r="R49" s="19"/>
      <c r="S49" s="19"/>
      <c r="T49" s="19"/>
      <c r="U49" s="19"/>
      <c r="V49" s="20"/>
    </row>
    <row r="50">
      <c r="A50" s="12"/>
      <c r="B50" s="10"/>
      <c r="C50" s="10"/>
      <c r="D50" s="10"/>
      <c r="E50" s="60" t="s">
        <v>77</v>
      </c>
      <c r="F50" s="61" t="s">
        <v>78</v>
      </c>
      <c r="G50" s="19"/>
      <c r="H50" s="19"/>
      <c r="I50" s="19"/>
      <c r="J50" s="19"/>
      <c r="K50" s="19"/>
      <c r="L50" s="19"/>
      <c r="M50" s="19"/>
      <c r="N50" s="19"/>
      <c r="O50" s="19"/>
      <c r="P50" s="19"/>
      <c r="Q50" s="19"/>
      <c r="R50" s="19"/>
      <c r="S50" s="19"/>
      <c r="T50" s="19"/>
      <c r="U50" s="19"/>
      <c r="V50" s="20"/>
    </row>
    <row r="51">
      <c r="A51" s="12"/>
      <c r="B51" s="10"/>
      <c r="C51" s="10"/>
      <c r="D51" s="10"/>
      <c r="E51" s="60" t="s">
        <v>79</v>
      </c>
      <c r="F51" s="61" t="s">
        <v>80</v>
      </c>
      <c r="G51" s="19"/>
      <c r="H51" s="19"/>
      <c r="I51" s="19"/>
      <c r="J51" s="19"/>
      <c r="K51" s="19"/>
      <c r="L51" s="19"/>
      <c r="M51" s="19"/>
      <c r="N51" s="19"/>
      <c r="O51" s="19"/>
      <c r="P51" s="19"/>
      <c r="Q51" s="19"/>
      <c r="R51" s="19"/>
      <c r="S51" s="19"/>
      <c r="T51" s="19"/>
      <c r="U51" s="19"/>
      <c r="V51" s="20"/>
    </row>
    <row r="52">
      <c r="A52" s="12"/>
      <c r="B52" s="10"/>
      <c r="C52" s="10"/>
      <c r="D52" s="10"/>
      <c r="E52" s="60" t="s">
        <v>81</v>
      </c>
      <c r="F52" s="61" t="s">
        <v>82</v>
      </c>
      <c r="G52" s="19"/>
      <c r="H52" s="19"/>
      <c r="I52" s="19"/>
      <c r="J52" s="19"/>
      <c r="K52" s="19"/>
      <c r="L52" s="19"/>
      <c r="M52" s="19"/>
      <c r="N52" s="19"/>
      <c r="O52" s="19"/>
      <c r="P52" s="19"/>
      <c r="Q52" s="19"/>
      <c r="R52" s="19"/>
      <c r="S52" s="19"/>
      <c r="T52" s="19"/>
      <c r="U52" s="19"/>
      <c r="V52" s="20"/>
    </row>
    <row r="53">
      <c r="A53" s="12"/>
      <c r="B53" s="10"/>
      <c r="C53" s="10"/>
      <c r="D53" s="10"/>
      <c r="E53" s="60" t="s">
        <v>83</v>
      </c>
      <c r="F53" s="61" t="s">
        <v>84</v>
      </c>
      <c r="G53" s="19"/>
      <c r="H53" s="19"/>
      <c r="I53" s="19"/>
      <c r="J53" s="19"/>
      <c r="K53" s="19"/>
      <c r="L53" s="19"/>
      <c r="M53" s="19"/>
      <c r="N53" s="19"/>
      <c r="O53" s="19"/>
      <c r="P53" s="19"/>
      <c r="Q53" s="19"/>
      <c r="R53" s="19"/>
      <c r="S53" s="19"/>
      <c r="T53" s="19"/>
      <c r="U53" s="19"/>
      <c r="V53" s="20"/>
    </row>
    <row r="54">
      <c r="A54" s="12"/>
      <c r="B54" s="10"/>
      <c r="C54" s="10"/>
      <c r="D54" s="10"/>
      <c r="E54" s="62" t="s">
        <v>85</v>
      </c>
      <c r="F54" s="63" t="s">
        <v>86</v>
      </c>
      <c r="G54" s="46"/>
      <c r="H54" s="46"/>
      <c r="I54" s="46"/>
      <c r="J54" s="46"/>
      <c r="K54" s="46"/>
      <c r="L54" s="46"/>
      <c r="M54" s="46"/>
      <c r="N54" s="46"/>
      <c r="O54" s="46"/>
      <c r="P54" s="46"/>
      <c r="Q54" s="46"/>
      <c r="R54" s="46"/>
      <c r="S54" s="46"/>
      <c r="T54" s="46"/>
      <c r="U54" s="46"/>
      <c r="V54" s="47"/>
    </row>
    <row r="55">
      <c r="A55" s="12"/>
      <c r="B55" s="10"/>
      <c r="C55" s="10"/>
      <c r="D55" s="10"/>
      <c r="E55" s="10"/>
      <c r="F55" s="10"/>
      <c r="G55" s="10"/>
      <c r="H55" s="10"/>
      <c r="I55" s="10"/>
      <c r="J55" s="10"/>
      <c r="K55" s="10"/>
      <c r="L55" s="10"/>
      <c r="M55" s="10"/>
      <c r="N55" s="10"/>
      <c r="O55" s="10"/>
      <c r="P55" s="10"/>
      <c r="Q55" s="10"/>
      <c r="R55" s="10"/>
      <c r="S55" s="10"/>
      <c r="T55" s="10"/>
      <c r="U55" s="10"/>
      <c r="V55" s="11"/>
    </row>
    <row r="56">
      <c r="A56" s="12"/>
      <c r="B56" s="10"/>
      <c r="C56" s="57" t="s">
        <v>87</v>
      </c>
      <c r="F56" s="10"/>
      <c r="G56" s="10"/>
      <c r="H56" s="10"/>
      <c r="I56" s="10"/>
      <c r="J56" s="10"/>
      <c r="K56" s="10"/>
      <c r="L56" s="10"/>
      <c r="M56" s="10"/>
      <c r="N56" s="10"/>
      <c r="O56" s="10"/>
      <c r="P56" s="10"/>
      <c r="Q56" s="10"/>
      <c r="R56" s="10"/>
      <c r="S56" s="10"/>
      <c r="T56" s="10"/>
      <c r="U56" s="10"/>
      <c r="V56" s="11"/>
    </row>
    <row r="57">
      <c r="A57" s="12"/>
      <c r="B57" s="10"/>
      <c r="C57" s="10"/>
      <c r="D57" s="10"/>
      <c r="E57" s="10"/>
      <c r="F57" s="10"/>
      <c r="G57" s="10"/>
      <c r="H57" s="10"/>
      <c r="I57" s="10"/>
      <c r="J57" s="10"/>
      <c r="K57" s="10"/>
      <c r="L57" s="10"/>
      <c r="M57" s="10"/>
      <c r="N57" s="10"/>
      <c r="O57" s="10"/>
      <c r="P57" s="10"/>
      <c r="Q57" s="10"/>
      <c r="R57" s="10"/>
      <c r="S57" s="10"/>
      <c r="T57" s="10"/>
      <c r="U57" s="10"/>
      <c r="V57" s="11"/>
    </row>
    <row r="58">
      <c r="A58" s="12"/>
      <c r="B58" s="10"/>
      <c r="C58" s="10"/>
      <c r="D58" s="10"/>
      <c r="E58" s="58" t="s">
        <v>88</v>
      </c>
      <c r="F58" s="59" t="s">
        <v>89</v>
      </c>
      <c r="G58" s="15"/>
      <c r="H58" s="15"/>
      <c r="I58" s="15"/>
      <c r="J58" s="15"/>
      <c r="K58" s="15"/>
      <c r="L58" s="15"/>
      <c r="M58" s="15"/>
      <c r="N58" s="15"/>
      <c r="O58" s="15"/>
      <c r="P58" s="15"/>
      <c r="Q58" s="15"/>
      <c r="R58" s="15"/>
      <c r="S58" s="15"/>
      <c r="T58" s="15"/>
      <c r="U58" s="15"/>
      <c r="V58" s="16"/>
    </row>
    <row r="59">
      <c r="A59" s="12"/>
      <c r="B59" s="10"/>
      <c r="C59" s="10"/>
      <c r="D59" s="10"/>
      <c r="E59" s="60" t="s">
        <v>90</v>
      </c>
      <c r="F59" s="61" t="s">
        <v>91</v>
      </c>
      <c r="G59" s="19"/>
      <c r="H59" s="19"/>
      <c r="I59" s="19"/>
      <c r="J59" s="19"/>
      <c r="K59" s="19"/>
      <c r="L59" s="19"/>
      <c r="M59" s="19"/>
      <c r="N59" s="19"/>
      <c r="O59" s="19"/>
      <c r="P59" s="19"/>
      <c r="Q59" s="19"/>
      <c r="R59" s="19"/>
      <c r="S59" s="19"/>
      <c r="T59" s="19"/>
      <c r="U59" s="19"/>
      <c r="V59" s="20"/>
    </row>
    <row r="60">
      <c r="A60" s="12"/>
      <c r="B60" s="10"/>
      <c r="C60" s="10"/>
      <c r="D60" s="10"/>
      <c r="E60" s="60" t="s">
        <v>92</v>
      </c>
      <c r="F60" s="61" t="s">
        <v>93</v>
      </c>
      <c r="G60" s="19"/>
      <c r="H60" s="19"/>
      <c r="I60" s="19"/>
      <c r="J60" s="19"/>
      <c r="K60" s="19"/>
      <c r="L60" s="19"/>
      <c r="M60" s="19"/>
      <c r="N60" s="19"/>
      <c r="O60" s="19"/>
      <c r="P60" s="19"/>
      <c r="Q60" s="19"/>
      <c r="R60" s="19"/>
      <c r="S60" s="19"/>
      <c r="T60" s="19"/>
      <c r="U60" s="19"/>
      <c r="V60" s="20"/>
    </row>
    <row r="61">
      <c r="A61" s="12"/>
      <c r="B61" s="10"/>
      <c r="C61" s="10"/>
      <c r="D61" s="10"/>
      <c r="E61" s="60" t="s">
        <v>94</v>
      </c>
      <c r="F61" s="61" t="s">
        <v>95</v>
      </c>
      <c r="G61" s="19"/>
      <c r="H61" s="19"/>
      <c r="I61" s="19"/>
      <c r="J61" s="19"/>
      <c r="K61" s="19"/>
      <c r="L61" s="19"/>
      <c r="M61" s="19"/>
      <c r="N61" s="19"/>
      <c r="O61" s="19"/>
      <c r="P61" s="19"/>
      <c r="Q61" s="19"/>
      <c r="R61" s="19"/>
      <c r="S61" s="19"/>
      <c r="T61" s="19"/>
      <c r="U61" s="19"/>
      <c r="V61" s="20"/>
    </row>
    <row r="62">
      <c r="A62" s="12"/>
      <c r="B62" s="10"/>
      <c r="C62" s="10"/>
      <c r="D62" s="10"/>
      <c r="E62" s="62" t="s">
        <v>96</v>
      </c>
      <c r="F62" s="63" t="s">
        <v>97</v>
      </c>
      <c r="G62" s="46"/>
      <c r="H62" s="46"/>
      <c r="I62" s="46"/>
      <c r="J62" s="46"/>
      <c r="K62" s="46"/>
      <c r="L62" s="46"/>
      <c r="M62" s="46"/>
      <c r="N62" s="46"/>
      <c r="O62" s="46"/>
      <c r="P62" s="46"/>
      <c r="Q62" s="46"/>
      <c r="R62" s="46"/>
      <c r="S62" s="46"/>
      <c r="T62" s="46"/>
      <c r="U62" s="46"/>
      <c r="V62" s="47"/>
    </row>
    <row r="63">
      <c r="A63" s="12"/>
      <c r="B63" s="10"/>
      <c r="C63" s="10"/>
      <c r="D63" s="10"/>
      <c r="E63" s="10"/>
      <c r="F63" s="10"/>
      <c r="G63" s="10"/>
      <c r="H63" s="10"/>
      <c r="I63" s="10"/>
      <c r="J63" s="10"/>
      <c r="K63" s="10"/>
      <c r="L63" s="10"/>
      <c r="M63" s="10"/>
      <c r="N63" s="10"/>
      <c r="O63" s="10"/>
      <c r="P63" s="10"/>
      <c r="Q63" s="10"/>
      <c r="R63" s="10"/>
      <c r="S63" s="10"/>
      <c r="T63" s="10"/>
      <c r="U63" s="10"/>
      <c r="V63" s="11"/>
    </row>
    <row r="64">
      <c r="A64" s="5" t="s">
        <v>98</v>
      </c>
      <c r="B64" s="6"/>
      <c r="C64" s="6"/>
      <c r="D64" s="6"/>
      <c r="E64" s="6"/>
      <c r="F64" s="6"/>
      <c r="G64" s="6"/>
      <c r="H64" s="7"/>
      <c r="I64" s="7"/>
      <c r="J64" s="7"/>
      <c r="K64" s="7"/>
      <c r="L64" s="7"/>
      <c r="M64" s="7"/>
      <c r="N64" s="7"/>
      <c r="O64" s="7"/>
      <c r="P64" s="7"/>
      <c r="Q64" s="7"/>
      <c r="R64" s="7"/>
      <c r="S64" s="7"/>
      <c r="T64" s="7"/>
      <c r="U64" s="7"/>
      <c r="V64" s="8"/>
    </row>
    <row r="65">
      <c r="A65" s="64"/>
      <c r="B65" s="10"/>
      <c r="D65" s="10"/>
      <c r="E65" s="65"/>
      <c r="F65" s="10"/>
      <c r="G65" s="10"/>
      <c r="H65" s="10"/>
      <c r="I65" s="10"/>
      <c r="J65" s="10"/>
      <c r="K65" s="10"/>
      <c r="L65" s="10"/>
      <c r="M65" s="10"/>
      <c r="N65" s="10"/>
      <c r="O65" s="10"/>
      <c r="P65" s="10"/>
      <c r="Q65" s="10"/>
      <c r="R65" s="10"/>
      <c r="S65" s="10"/>
      <c r="T65" s="10"/>
      <c r="U65" s="10"/>
      <c r="V65" s="11"/>
    </row>
    <row r="66">
      <c r="A66" s="64"/>
      <c r="B66" s="10"/>
      <c r="C66" s="66" t="s">
        <v>99</v>
      </c>
      <c r="G66" s="10"/>
      <c r="H66" s="10"/>
      <c r="I66" s="10"/>
      <c r="J66" s="10"/>
      <c r="K66" s="10"/>
      <c r="L66" s="10"/>
      <c r="M66" s="10"/>
      <c r="N66" s="10"/>
      <c r="O66" s="10"/>
      <c r="P66" s="10"/>
      <c r="Q66" s="10"/>
      <c r="R66" s="10"/>
      <c r="S66" s="10"/>
      <c r="T66" s="10"/>
      <c r="U66" s="10"/>
      <c r="V66" s="11"/>
    </row>
    <row r="67">
      <c r="A67" s="64"/>
      <c r="B67" s="10"/>
      <c r="D67" s="10"/>
      <c r="E67" s="67" t="s">
        <v>100</v>
      </c>
      <c r="F67" s="15"/>
      <c r="G67" s="15"/>
      <c r="H67" s="15"/>
      <c r="I67" s="15"/>
      <c r="J67" s="15"/>
      <c r="K67" s="15"/>
      <c r="L67" s="15"/>
      <c r="M67" s="15"/>
      <c r="N67" s="15"/>
      <c r="O67" s="15"/>
      <c r="P67" s="15"/>
      <c r="Q67" s="15"/>
      <c r="R67" s="15"/>
      <c r="S67" s="15"/>
      <c r="T67" s="15"/>
      <c r="U67" s="15"/>
      <c r="V67" s="16"/>
    </row>
    <row r="68">
      <c r="A68" s="68"/>
      <c r="B68" s="10"/>
      <c r="D68" s="10"/>
      <c r="E68" s="69" t="s">
        <v>101</v>
      </c>
      <c r="F68" s="19"/>
      <c r="G68" s="19"/>
      <c r="H68" s="19"/>
      <c r="I68" s="19"/>
      <c r="J68" s="19"/>
      <c r="K68" s="19"/>
      <c r="L68" s="19"/>
      <c r="M68" s="19"/>
      <c r="N68" s="19"/>
      <c r="O68" s="19"/>
      <c r="P68" s="19"/>
      <c r="Q68" s="19"/>
      <c r="R68" s="19"/>
      <c r="S68" s="19"/>
      <c r="T68" s="19"/>
      <c r="U68" s="19"/>
      <c r="V68" s="20"/>
    </row>
    <row r="69">
      <c r="A69" s="70"/>
      <c r="B69" s="10"/>
      <c r="D69" s="10"/>
      <c r="E69" s="71" t="s">
        <v>102</v>
      </c>
      <c r="F69" s="15"/>
      <c r="G69" s="15"/>
      <c r="H69" s="15"/>
      <c r="I69" s="15"/>
      <c r="J69" s="15"/>
      <c r="K69" s="15"/>
      <c r="L69" s="15"/>
      <c r="M69" s="15"/>
      <c r="N69" s="15"/>
      <c r="O69" s="15"/>
      <c r="P69" s="15"/>
      <c r="Q69" s="15"/>
      <c r="R69" s="15"/>
      <c r="S69" s="15"/>
      <c r="T69" s="15"/>
      <c r="U69" s="15"/>
      <c r="V69" s="16"/>
    </row>
    <row r="70">
      <c r="A70" s="70"/>
      <c r="B70" s="10"/>
      <c r="D70" s="10"/>
      <c r="E70" s="72" t="s">
        <v>103</v>
      </c>
      <c r="F70" s="15"/>
      <c r="G70" s="15"/>
      <c r="H70" s="15"/>
      <c r="I70" s="15"/>
      <c r="J70" s="15"/>
      <c r="K70" s="15"/>
      <c r="L70" s="15"/>
      <c r="M70" s="15"/>
      <c r="N70" s="15"/>
      <c r="O70" s="15"/>
      <c r="P70" s="15"/>
      <c r="Q70" s="15"/>
      <c r="R70" s="15"/>
      <c r="S70" s="15"/>
      <c r="T70" s="15"/>
      <c r="U70" s="15"/>
      <c r="V70" s="16"/>
    </row>
    <row r="71">
      <c r="A71" s="70"/>
      <c r="B71" s="10"/>
      <c r="D71" s="10"/>
      <c r="E71" s="71" t="s">
        <v>104</v>
      </c>
      <c r="F71" s="19"/>
      <c r="G71" s="19"/>
      <c r="H71" s="19"/>
      <c r="I71" s="19"/>
      <c r="J71" s="19"/>
      <c r="K71" s="19"/>
      <c r="L71" s="19"/>
      <c r="M71" s="19"/>
      <c r="N71" s="19"/>
      <c r="O71" s="19"/>
      <c r="P71" s="19"/>
      <c r="Q71" s="19"/>
      <c r="R71" s="19"/>
      <c r="S71" s="19"/>
      <c r="T71" s="19"/>
      <c r="U71" s="19"/>
      <c r="V71" s="20"/>
    </row>
    <row r="72">
      <c r="A72" s="70"/>
      <c r="B72" s="10"/>
      <c r="D72" s="10"/>
      <c r="E72" s="73" t="s">
        <v>105</v>
      </c>
      <c r="F72" s="19"/>
      <c r="G72" s="19"/>
      <c r="H72" s="19"/>
      <c r="I72" s="19"/>
      <c r="J72" s="19"/>
      <c r="K72" s="19"/>
      <c r="L72" s="19"/>
      <c r="M72" s="19"/>
      <c r="N72" s="19"/>
      <c r="O72" s="19"/>
      <c r="P72" s="19"/>
      <c r="Q72" s="19"/>
      <c r="R72" s="19"/>
      <c r="S72" s="19"/>
      <c r="T72" s="19"/>
      <c r="U72" s="19"/>
      <c r="V72" s="20"/>
    </row>
    <row r="73">
      <c r="A73" s="70"/>
      <c r="B73" s="10"/>
      <c r="C73" s="10"/>
      <c r="D73" s="10"/>
      <c r="E73" s="74" t="s">
        <v>106</v>
      </c>
      <c r="F73" s="19"/>
      <c r="G73" s="19"/>
      <c r="H73" s="19"/>
      <c r="I73" s="19"/>
      <c r="J73" s="19"/>
      <c r="K73" s="19"/>
      <c r="L73" s="19"/>
      <c r="M73" s="19"/>
      <c r="N73" s="19"/>
      <c r="O73" s="19"/>
      <c r="P73" s="19"/>
      <c r="Q73" s="19"/>
      <c r="R73" s="19"/>
      <c r="S73" s="19"/>
      <c r="T73" s="19"/>
      <c r="U73" s="19"/>
      <c r="V73" s="20"/>
    </row>
    <row r="74">
      <c r="A74" s="70"/>
      <c r="B74" s="10"/>
      <c r="C74" s="10"/>
      <c r="D74" s="10"/>
      <c r="E74" s="75" t="s">
        <v>107</v>
      </c>
      <c r="F74" s="19"/>
      <c r="G74" s="19"/>
      <c r="H74" s="19"/>
      <c r="I74" s="19"/>
      <c r="J74" s="19"/>
      <c r="K74" s="19"/>
      <c r="L74" s="19"/>
      <c r="M74" s="19"/>
      <c r="N74" s="19"/>
      <c r="O74" s="19"/>
      <c r="P74" s="19"/>
      <c r="Q74" s="19"/>
      <c r="R74" s="19"/>
      <c r="S74" s="19"/>
      <c r="T74" s="19"/>
      <c r="U74" s="19"/>
      <c r="V74" s="20"/>
    </row>
    <row r="75">
      <c r="A75" s="70"/>
      <c r="B75" s="10"/>
      <c r="C75" s="10"/>
      <c r="D75" s="10"/>
      <c r="E75" s="76" t="s">
        <v>108</v>
      </c>
      <c r="F75" s="19"/>
      <c r="G75" s="19"/>
      <c r="H75" s="19"/>
      <c r="I75" s="19"/>
      <c r="J75" s="19"/>
      <c r="K75" s="19"/>
      <c r="L75" s="19"/>
      <c r="M75" s="19"/>
      <c r="N75" s="19"/>
      <c r="O75" s="19"/>
      <c r="P75" s="19"/>
      <c r="Q75" s="19"/>
      <c r="R75" s="19"/>
      <c r="S75" s="19"/>
      <c r="T75" s="19"/>
      <c r="U75" s="19"/>
      <c r="V75" s="20"/>
    </row>
    <row r="76">
      <c r="A76" s="70"/>
      <c r="B76" s="10"/>
      <c r="D76" s="10"/>
      <c r="E76" s="77" t="s">
        <v>109</v>
      </c>
      <c r="F76" s="55"/>
      <c r="G76" s="55"/>
      <c r="H76" s="55"/>
      <c r="I76" s="55"/>
      <c r="J76" s="55"/>
      <c r="K76" s="55"/>
      <c r="L76" s="55"/>
      <c r="M76" s="55"/>
      <c r="N76" s="55"/>
      <c r="O76" s="55"/>
      <c r="P76" s="55"/>
      <c r="Q76" s="55"/>
      <c r="R76" s="55"/>
      <c r="S76" s="55"/>
      <c r="T76" s="55"/>
      <c r="U76" s="55"/>
      <c r="V76" s="56"/>
    </row>
    <row r="77">
      <c r="A77" s="70"/>
      <c r="B77" s="10"/>
      <c r="D77" s="10"/>
      <c r="E77" s="78"/>
      <c r="F77" s="10"/>
      <c r="G77" s="10"/>
      <c r="H77" s="10"/>
      <c r="I77" s="10"/>
      <c r="J77" s="10"/>
      <c r="K77" s="10"/>
      <c r="L77" s="10"/>
      <c r="M77" s="10"/>
      <c r="N77" s="10"/>
      <c r="O77" s="10"/>
      <c r="P77" s="10"/>
      <c r="Q77" s="10"/>
      <c r="R77" s="10"/>
      <c r="S77" s="10"/>
      <c r="T77" s="10"/>
      <c r="U77" s="10"/>
      <c r="V77" s="11"/>
    </row>
    <row r="78">
      <c r="A78" s="10"/>
      <c r="B78" s="10"/>
      <c r="C78" s="66" t="s">
        <v>110</v>
      </c>
      <c r="G78" s="10"/>
      <c r="H78" s="10"/>
      <c r="I78" s="10"/>
      <c r="J78" s="10"/>
      <c r="K78" s="10"/>
      <c r="L78" s="10"/>
      <c r="M78" s="10"/>
      <c r="N78" s="10"/>
      <c r="O78" s="10"/>
      <c r="P78" s="10"/>
      <c r="Q78" s="10"/>
      <c r="R78" s="10"/>
      <c r="S78" s="10"/>
      <c r="T78" s="10"/>
      <c r="U78" s="10"/>
      <c r="V78" s="11"/>
    </row>
    <row r="79">
      <c r="A79" s="79"/>
      <c r="B79" s="10"/>
      <c r="D79" s="10"/>
      <c r="E79" s="80" t="s">
        <v>111</v>
      </c>
      <c r="F79" s="15"/>
      <c r="G79" s="15"/>
      <c r="H79" s="15"/>
      <c r="I79" s="15"/>
      <c r="J79" s="15"/>
      <c r="K79" s="15"/>
      <c r="L79" s="15"/>
      <c r="M79" s="15"/>
      <c r="N79" s="15"/>
      <c r="O79" s="15"/>
      <c r="P79" s="15"/>
      <c r="Q79" s="15"/>
      <c r="R79" s="15"/>
      <c r="S79" s="15"/>
      <c r="T79" s="15"/>
      <c r="U79" s="15"/>
      <c r="V79" s="16"/>
    </row>
    <row r="80">
      <c r="A80" s="79"/>
      <c r="B80" s="10"/>
      <c r="D80" s="10"/>
      <c r="E80" s="80" t="s">
        <v>112</v>
      </c>
      <c r="F80" s="15"/>
      <c r="G80" s="15"/>
      <c r="H80" s="15"/>
      <c r="I80" s="15"/>
      <c r="J80" s="15"/>
      <c r="K80" s="15"/>
      <c r="L80" s="15"/>
      <c r="M80" s="15"/>
      <c r="N80" s="15"/>
      <c r="O80" s="15"/>
      <c r="P80" s="15"/>
      <c r="Q80" s="15"/>
      <c r="R80" s="15"/>
      <c r="S80" s="15"/>
      <c r="T80" s="15"/>
      <c r="U80" s="15"/>
      <c r="V80" s="16"/>
    </row>
    <row r="81">
      <c r="A81" s="79"/>
      <c r="B81" s="10"/>
      <c r="D81" s="10"/>
      <c r="E81" s="80" t="s">
        <v>113</v>
      </c>
      <c r="F81" s="15"/>
      <c r="G81" s="15"/>
      <c r="H81" s="15"/>
      <c r="I81" s="15"/>
      <c r="J81" s="15"/>
      <c r="K81" s="15"/>
      <c r="L81" s="15"/>
      <c r="M81" s="15"/>
      <c r="N81" s="15"/>
      <c r="O81" s="15"/>
      <c r="P81" s="15"/>
      <c r="Q81" s="15"/>
      <c r="R81" s="15"/>
      <c r="S81" s="15"/>
      <c r="T81" s="15"/>
      <c r="U81" s="15"/>
      <c r="V81" s="16"/>
    </row>
    <row r="82">
      <c r="A82" s="81"/>
      <c r="B82" s="50"/>
      <c r="C82" s="50"/>
      <c r="D82" s="50"/>
      <c r="E82" s="13" t="s">
        <v>114</v>
      </c>
      <c r="F82" s="50"/>
      <c r="G82" s="50"/>
      <c r="H82" s="50"/>
      <c r="I82" s="50"/>
      <c r="J82" s="50"/>
      <c r="K82" s="50"/>
      <c r="L82" s="50"/>
      <c r="M82" s="50"/>
      <c r="N82" s="50"/>
      <c r="O82" s="50"/>
      <c r="P82" s="50"/>
      <c r="Q82" s="50"/>
      <c r="R82" s="50"/>
      <c r="S82" s="50"/>
      <c r="T82" s="50"/>
      <c r="U82" s="50"/>
      <c r="V82" s="51"/>
    </row>
    <row r="83">
      <c r="A83" s="70"/>
      <c r="B83" s="10"/>
      <c r="D83" s="10"/>
      <c r="E83" s="82" t="s">
        <v>115</v>
      </c>
      <c r="F83" s="83"/>
      <c r="G83" s="83"/>
      <c r="H83" s="83"/>
      <c r="I83" s="83"/>
      <c r="J83" s="83"/>
      <c r="K83" s="83"/>
      <c r="L83" s="83"/>
      <c r="M83" s="83"/>
      <c r="N83" s="83"/>
      <c r="O83" s="83"/>
      <c r="P83" s="83"/>
      <c r="Q83" s="83"/>
      <c r="R83" s="83"/>
      <c r="S83" s="83"/>
      <c r="T83" s="83"/>
      <c r="U83" s="83"/>
      <c r="V83" s="84"/>
    </row>
    <row r="84">
      <c r="A84" s="70"/>
      <c r="B84" s="10"/>
      <c r="C84" s="10"/>
      <c r="D84" s="10"/>
      <c r="E84" s="85" t="s">
        <v>116</v>
      </c>
      <c r="F84" s="46"/>
      <c r="G84" s="46"/>
      <c r="H84" s="46"/>
      <c r="I84" s="46"/>
      <c r="J84" s="46"/>
      <c r="K84" s="46"/>
      <c r="L84" s="46"/>
      <c r="M84" s="46"/>
      <c r="N84" s="46"/>
      <c r="O84" s="46"/>
      <c r="P84" s="46"/>
      <c r="Q84" s="46"/>
      <c r="R84" s="46"/>
      <c r="S84" s="46"/>
      <c r="T84" s="46"/>
      <c r="U84" s="46"/>
      <c r="V84" s="47"/>
    </row>
    <row r="85">
      <c r="A85" s="86"/>
      <c r="B85" s="55"/>
      <c r="C85" s="55"/>
      <c r="D85" s="55"/>
      <c r="E85" s="55"/>
      <c r="F85" s="55"/>
      <c r="G85" s="55"/>
      <c r="H85" s="55"/>
      <c r="I85" s="55"/>
      <c r="J85" s="55"/>
      <c r="K85" s="55"/>
      <c r="L85" s="55"/>
      <c r="M85" s="55"/>
      <c r="N85" s="55"/>
      <c r="O85" s="55"/>
      <c r="P85" s="55"/>
      <c r="Q85" s="55"/>
      <c r="R85" s="55"/>
      <c r="S85" s="55"/>
      <c r="T85" s="55"/>
      <c r="U85" s="55"/>
      <c r="V85" s="56"/>
    </row>
  </sheetData>
  <mergeCells count="31">
    <mergeCell ref="A1:G1"/>
    <mergeCell ref="A2:G2"/>
    <mergeCell ref="A16:G16"/>
    <mergeCell ref="C18:F18"/>
    <mergeCell ref="F19:S19"/>
    <mergeCell ref="F20:S20"/>
    <mergeCell ref="F21:S21"/>
    <mergeCell ref="F22:S22"/>
    <mergeCell ref="F23:S23"/>
    <mergeCell ref="F24:S24"/>
    <mergeCell ref="F25:S25"/>
    <mergeCell ref="F27:S27"/>
    <mergeCell ref="F28:S28"/>
    <mergeCell ref="F29:S29"/>
    <mergeCell ref="F30:S30"/>
    <mergeCell ref="F31:S31"/>
    <mergeCell ref="C33:F33"/>
    <mergeCell ref="F34:S34"/>
    <mergeCell ref="F35:S35"/>
    <mergeCell ref="F36:S36"/>
    <mergeCell ref="F37:S37"/>
    <mergeCell ref="A64:G64"/>
    <mergeCell ref="C66:F66"/>
    <mergeCell ref="C78:F78"/>
    <mergeCell ref="F38:S38"/>
    <mergeCell ref="F39:S39"/>
    <mergeCell ref="F40:S40"/>
    <mergeCell ref="F41:S41"/>
    <mergeCell ref="A43:G43"/>
    <mergeCell ref="C45:E45"/>
    <mergeCell ref="C56:E56"/>
  </mergeCells>
  <hyperlinks>
    <hyperlink display="Main CEA" location="'Main CEA'!A1" ref="E4"/>
    <hyperlink display="Effective coverage" location="'Effective coverage'!A1" ref="E5"/>
    <hyperlink display="Counterfactual malaria" location="'Counterfactual malaria'!A1" ref="E6"/>
    <hyperlink display="Insecticide resistance" location="'Insecticide resistance'!A1" ref="E7"/>
    <hyperlink display="Leverage/Funging" location="LeverageFunging!A1" ref="E8"/>
    <hyperlink display="Inputs" location="Inputs!A1" ref="E9"/>
    <hyperlink display="Net decay model" location="'Net decay model'!A1" ref="E10"/>
    <hyperlink display="GBD estimates" location="'GBD estimates'!A1" ref="E11"/>
    <hyperlink display="Simple CEA" location="'Simple CEA'!A1" ref="E12"/>
    <hyperlink display="Confidence intervals" location="'Confidence intervals'!A1" ref="E13"/>
    <hyperlink display="Sensitivity analysis" location="'Sensitivity analysis'!A1" ref="E14"/>
    <hyperlink r:id="rId1" ref="E67"/>
    <hyperlink r:id="rId2" ref="E68"/>
    <hyperlink r:id="rId3" ref="E69"/>
    <hyperlink r:id="rId4" ref="E70"/>
    <hyperlink r:id="rId5" location="gid=1430231703" ref="E71"/>
    <hyperlink r:id="rId6" ref="E72"/>
    <hyperlink r:id="rId7" ref="E73"/>
    <hyperlink r:id="rId8" ref="E74"/>
    <hyperlink r:id="rId9" ref="E75"/>
    <hyperlink r:id="rId10" ref="E76"/>
    <hyperlink r:id="rId11" location="gid=1087538420" ref="E79"/>
    <hyperlink r:id="rId12" location="gid=0" ref="E80"/>
    <hyperlink r:id="rId13" ref="E81"/>
    <hyperlink r:id="rId14" location="gid=1110574950" ref="E82"/>
    <hyperlink r:id="rId15" ref="E83"/>
    <hyperlink r:id="rId16" ref="E84"/>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1"/>
      <c r="H1" s="92"/>
      <c r="I1" s="92" t="s">
        <v>117</v>
      </c>
      <c r="J1" s="6"/>
      <c r="K1" s="6"/>
      <c r="L1" s="6"/>
      <c r="M1" s="6"/>
      <c r="N1" s="6"/>
      <c r="O1" s="6"/>
      <c r="P1" s="93"/>
      <c r="Q1" s="94"/>
    </row>
    <row r="2">
      <c r="A2" s="95"/>
      <c r="B2" s="96"/>
      <c r="C2" s="96"/>
      <c r="D2" s="96"/>
      <c r="E2" s="97"/>
      <c r="F2" s="98"/>
      <c r="G2" s="99"/>
      <c r="H2" s="100"/>
      <c r="I2" s="101" t="s">
        <v>118</v>
      </c>
      <c r="J2" s="101" t="s">
        <v>119</v>
      </c>
      <c r="K2" s="101" t="s">
        <v>120</v>
      </c>
      <c r="L2" s="101" t="s">
        <v>121</v>
      </c>
      <c r="M2" s="101" t="s">
        <v>121</v>
      </c>
      <c r="N2" s="101" t="s">
        <v>122</v>
      </c>
      <c r="O2" s="101" t="s">
        <v>123</v>
      </c>
      <c r="P2" s="102" t="s">
        <v>124</v>
      </c>
      <c r="Q2" s="103"/>
    </row>
    <row r="3">
      <c r="A3" s="104" t="s">
        <v>125</v>
      </c>
      <c r="B3" s="54"/>
      <c r="C3" s="54"/>
      <c r="D3" s="54"/>
      <c r="E3" s="54"/>
      <c r="F3" s="105" t="s">
        <v>126</v>
      </c>
      <c r="G3" s="106" t="s">
        <v>127</v>
      </c>
      <c r="H3" s="107" t="s">
        <v>128</v>
      </c>
      <c r="I3" s="108"/>
      <c r="J3" s="108"/>
      <c r="K3" s="108"/>
      <c r="L3" s="108" t="s">
        <v>129</v>
      </c>
      <c r="M3" s="108" t="s">
        <v>130</v>
      </c>
      <c r="N3" s="108"/>
      <c r="O3" s="108"/>
      <c r="P3" s="109"/>
      <c r="Q3" s="110"/>
    </row>
    <row r="4">
      <c r="A4" s="111"/>
      <c r="B4" s="112"/>
      <c r="C4" s="112"/>
      <c r="D4" s="112"/>
      <c r="E4" s="113" t="s">
        <v>131</v>
      </c>
      <c r="F4" s="114" t="str">
        <f>F203</f>
        <v>xbenchmark</v>
      </c>
      <c r="G4" s="114" t="s">
        <v>132</v>
      </c>
      <c r="H4" s="115" t="str">
        <f t="shared" ref="H4:P4" si="1">H203</f>
        <v>-</v>
      </c>
      <c r="I4" s="116">
        <f t="shared" si="1"/>
        <v>4.820299402</v>
      </c>
      <c r="J4" s="116">
        <f t="shared" si="1"/>
        <v>14.62902526</v>
      </c>
      <c r="K4" s="116">
        <f t="shared" si="1"/>
        <v>22.79223041</v>
      </c>
      <c r="L4" s="116">
        <f t="shared" si="1"/>
        <v>16.77873555</v>
      </c>
      <c r="M4" s="116">
        <f t="shared" si="1"/>
        <v>13.25042655</v>
      </c>
      <c r="N4" s="116">
        <f t="shared" si="1"/>
        <v>7.163000428</v>
      </c>
      <c r="O4" s="116">
        <f t="shared" si="1"/>
        <v>8.806165397</v>
      </c>
      <c r="P4" s="116">
        <f t="shared" si="1"/>
        <v>15.60303965</v>
      </c>
      <c r="Q4" s="117"/>
    </row>
    <row r="5">
      <c r="A5" s="118" t="s">
        <v>133</v>
      </c>
      <c r="B5" s="6"/>
      <c r="C5" s="6"/>
      <c r="D5" s="6"/>
      <c r="E5" s="6"/>
      <c r="F5" s="6"/>
      <c r="G5" s="6"/>
      <c r="H5" s="119"/>
      <c r="I5" s="120"/>
      <c r="J5" s="120"/>
      <c r="K5" s="120"/>
      <c r="L5" s="120"/>
      <c r="M5" s="120"/>
      <c r="N5" s="120"/>
      <c r="O5" s="120"/>
      <c r="P5" s="120"/>
      <c r="Q5" s="121"/>
    </row>
    <row r="6">
      <c r="A6" s="122"/>
      <c r="B6" s="123"/>
      <c r="C6" s="123"/>
      <c r="D6" s="123"/>
      <c r="E6" s="124"/>
      <c r="F6" s="125"/>
      <c r="G6" s="126"/>
      <c r="H6" s="127"/>
      <c r="I6" s="128"/>
      <c r="J6" s="128"/>
      <c r="K6" s="128"/>
      <c r="L6" s="128"/>
      <c r="M6" s="128"/>
      <c r="N6" s="128"/>
      <c r="O6" s="128"/>
      <c r="P6" s="128"/>
      <c r="Q6" s="129"/>
    </row>
    <row r="7">
      <c r="A7" s="122"/>
      <c r="B7" s="123"/>
      <c r="C7" s="130" t="s">
        <v>134</v>
      </c>
      <c r="F7" s="125"/>
      <c r="G7" s="131"/>
      <c r="H7" s="127"/>
      <c r="I7" s="132"/>
      <c r="J7" s="132"/>
      <c r="K7" s="132"/>
      <c r="L7" s="132"/>
      <c r="M7" s="132"/>
      <c r="N7" s="132"/>
      <c r="O7" s="132"/>
      <c r="P7" s="132"/>
      <c r="Q7" s="129"/>
    </row>
    <row r="8">
      <c r="A8" s="122"/>
      <c r="B8" s="123"/>
      <c r="C8" s="123"/>
      <c r="D8" s="123"/>
      <c r="E8" s="133" t="s">
        <v>135</v>
      </c>
      <c r="F8" s="134" t="str">
        <f>Inputs!F8</f>
        <v>$</v>
      </c>
      <c r="G8" s="135" t="s">
        <v>136</v>
      </c>
      <c r="H8" s="136">
        <f>Inputs!H8</f>
        <v>1000000</v>
      </c>
      <c r="I8" s="137" t="str">
        <f>Inputs!I8</f>
        <v>-</v>
      </c>
      <c r="J8" s="137" t="str">
        <f>Inputs!J8</f>
        <v>-</v>
      </c>
      <c r="K8" s="137" t="str">
        <f>Inputs!K8</f>
        <v>-</v>
      </c>
      <c r="L8" s="137" t="str">
        <f>Inputs!L8</f>
        <v>-</v>
      </c>
      <c r="M8" s="137" t="str">
        <f>Inputs!M8</f>
        <v>-</v>
      </c>
      <c r="N8" s="137" t="str">
        <f>Inputs!N8</f>
        <v>-</v>
      </c>
      <c r="O8" s="137" t="str">
        <f>Inputs!O8</f>
        <v>-</v>
      </c>
      <c r="P8" s="137" t="str">
        <f>Inputs!P8</f>
        <v>-</v>
      </c>
      <c r="Q8" s="138"/>
    </row>
    <row r="9">
      <c r="A9" s="122"/>
      <c r="B9" s="123"/>
      <c r="C9" s="123"/>
      <c r="D9" s="123"/>
      <c r="E9" s="139"/>
      <c r="F9" s="140"/>
      <c r="G9" s="141"/>
      <c r="H9" s="127"/>
      <c r="I9" s="132"/>
      <c r="J9" s="132"/>
      <c r="K9" s="132"/>
      <c r="L9" s="132"/>
      <c r="M9" s="132"/>
      <c r="N9" s="132"/>
      <c r="O9" s="132"/>
      <c r="P9" s="132"/>
      <c r="Q9" s="129"/>
    </row>
    <row r="10">
      <c r="A10" s="122"/>
      <c r="B10" s="123"/>
      <c r="C10" s="57" t="s">
        <v>137</v>
      </c>
      <c r="F10" s="142"/>
      <c r="G10" s="143"/>
      <c r="H10" s="127"/>
      <c r="I10" s="132"/>
      <c r="J10" s="132"/>
      <c r="K10" s="132"/>
      <c r="L10" s="132"/>
      <c r="M10" s="132"/>
      <c r="N10" s="132"/>
      <c r="O10" s="132"/>
      <c r="P10" s="132"/>
      <c r="Q10" s="129"/>
    </row>
    <row r="11">
      <c r="A11" s="122"/>
      <c r="B11" s="123"/>
      <c r="C11" s="10"/>
      <c r="D11" s="10"/>
      <c r="E11" s="144" t="s">
        <v>138</v>
      </c>
      <c r="F11" s="145" t="str">
        <f>Inputs!F11</f>
        <v>%</v>
      </c>
      <c r="G11" s="146" t="s">
        <v>136</v>
      </c>
      <c r="H11" s="147" t="str">
        <f>Inputs!H11</f>
        <v>-</v>
      </c>
      <c r="I11" s="148">
        <f>Inputs!I11</f>
        <v>0.9562847</v>
      </c>
      <c r="J11" s="148">
        <f>Inputs!J11</f>
        <v>0.9449092</v>
      </c>
      <c r="K11" s="148">
        <f>Inputs!K11</f>
        <v>0.9562847</v>
      </c>
      <c r="L11" s="148">
        <f>Inputs!L11</f>
        <v>0.9613383</v>
      </c>
      <c r="M11" s="148">
        <f>Inputs!M11</f>
        <v>0.9613383</v>
      </c>
      <c r="N11" s="148">
        <f>Inputs!N11</f>
        <v>0.936798</v>
      </c>
      <c r="O11" s="148">
        <f>Inputs!O11</f>
        <v>0.9595745</v>
      </c>
      <c r="P11" s="148">
        <f>Inputs!P11</f>
        <v>0.9553321</v>
      </c>
      <c r="Q11" s="149"/>
    </row>
    <row r="12">
      <c r="A12" s="122"/>
      <c r="B12" s="123"/>
      <c r="C12" s="10"/>
      <c r="D12" s="10"/>
      <c r="E12" s="150" t="s">
        <v>139</v>
      </c>
      <c r="F12" s="151" t="str">
        <f>Inputs!F12</f>
        <v>%</v>
      </c>
      <c r="G12" s="152" t="s">
        <v>136</v>
      </c>
      <c r="H12" s="153" t="str">
        <f>Inputs!H12</f>
        <v>-</v>
      </c>
      <c r="I12" s="154">
        <f>Inputs!I12</f>
        <v>0</v>
      </c>
      <c r="J12" s="154">
        <f>Inputs!J12</f>
        <v>0</v>
      </c>
      <c r="K12" s="154">
        <f>Inputs!K12</f>
        <v>0</v>
      </c>
      <c r="L12" s="154">
        <f>Inputs!L12</f>
        <v>0</v>
      </c>
      <c r="M12" s="154">
        <f>Inputs!M12</f>
        <v>0</v>
      </c>
      <c r="N12" s="154">
        <f>Inputs!N12</f>
        <v>0</v>
      </c>
      <c r="O12" s="154">
        <f>Inputs!O12</f>
        <v>0</v>
      </c>
      <c r="P12" s="154">
        <f>Inputs!P12</f>
        <v>0</v>
      </c>
      <c r="Q12" s="155"/>
    </row>
    <row r="13">
      <c r="A13" s="122"/>
      <c r="B13" s="123"/>
      <c r="C13" s="10"/>
      <c r="D13" s="10"/>
      <c r="E13" s="156" t="s">
        <v>140</v>
      </c>
      <c r="F13" s="157" t="str">
        <f>Inputs!F13</f>
        <v>%</v>
      </c>
      <c r="G13" s="158" t="s">
        <v>136</v>
      </c>
      <c r="H13" s="159" t="str">
        <f>Inputs!H13</f>
        <v>-</v>
      </c>
      <c r="I13" s="160">
        <f>Inputs!I13</f>
        <v>0.0437153</v>
      </c>
      <c r="J13" s="160">
        <f>Inputs!J13</f>
        <v>0.0550908</v>
      </c>
      <c r="K13" s="160">
        <f>Inputs!K13</f>
        <v>0.0437153</v>
      </c>
      <c r="L13" s="160">
        <f>Inputs!L13</f>
        <v>0.0386617</v>
      </c>
      <c r="M13" s="160">
        <f>Inputs!M13</f>
        <v>0.0386617</v>
      </c>
      <c r="N13" s="160">
        <f>Inputs!N13</f>
        <v>0.0632021</v>
      </c>
      <c r="O13" s="160">
        <f>Inputs!O13</f>
        <v>0.0404255</v>
      </c>
      <c r="P13" s="160">
        <f>Inputs!P13</f>
        <v>0.0446679</v>
      </c>
      <c r="Q13" s="161"/>
    </row>
    <row r="14">
      <c r="A14" s="122"/>
      <c r="B14" s="123"/>
      <c r="C14" s="162"/>
      <c r="D14" s="123"/>
      <c r="E14" s="139"/>
      <c r="F14" s="140"/>
      <c r="G14" s="163"/>
      <c r="H14" s="127"/>
      <c r="I14" s="132"/>
      <c r="J14" s="132"/>
      <c r="K14" s="132"/>
      <c r="L14" s="132"/>
      <c r="M14" s="132"/>
      <c r="N14" s="132"/>
      <c r="O14" s="132"/>
      <c r="P14" s="132"/>
      <c r="Q14" s="129"/>
    </row>
    <row r="15">
      <c r="A15" s="122"/>
      <c r="B15" s="123"/>
      <c r="C15" s="162" t="s">
        <v>141</v>
      </c>
      <c r="F15" s="140"/>
      <c r="G15" s="163"/>
      <c r="H15" s="127"/>
      <c r="I15" s="132"/>
      <c r="J15" s="132"/>
      <c r="K15" s="132"/>
      <c r="L15" s="132"/>
      <c r="M15" s="132"/>
      <c r="N15" s="132"/>
      <c r="O15" s="132"/>
      <c r="P15" s="132"/>
      <c r="Q15" s="129"/>
    </row>
    <row r="16">
      <c r="A16" s="122"/>
      <c r="B16" s="123"/>
      <c r="C16" s="162"/>
      <c r="D16" s="123"/>
      <c r="E16" s="164" t="s">
        <v>142</v>
      </c>
      <c r="F16" s="134" t="s">
        <v>75</v>
      </c>
      <c r="G16" s="165" t="s">
        <v>143</v>
      </c>
      <c r="H16" s="166" t="s">
        <v>144</v>
      </c>
      <c r="I16" s="167">
        <f t="shared" ref="I16:P16" si="2">IF(I8="-",$H8/I11,I8/I11)</f>
        <v>1045713.688</v>
      </c>
      <c r="J16" s="167">
        <f t="shared" si="2"/>
        <v>1058302.745</v>
      </c>
      <c r="K16" s="167">
        <f t="shared" si="2"/>
        <v>1045713.688</v>
      </c>
      <c r="L16" s="167">
        <f t="shared" si="2"/>
        <v>1040216.54</v>
      </c>
      <c r="M16" s="167">
        <f t="shared" si="2"/>
        <v>1040216.54</v>
      </c>
      <c r="N16" s="167">
        <f t="shared" si="2"/>
        <v>1067465.985</v>
      </c>
      <c r="O16" s="167">
        <f t="shared" si="2"/>
        <v>1042128.568</v>
      </c>
      <c r="P16" s="167">
        <f t="shared" si="2"/>
        <v>1046756.411</v>
      </c>
      <c r="Q16" s="138"/>
    </row>
    <row r="17">
      <c r="A17" s="122"/>
      <c r="B17" s="123"/>
      <c r="C17" s="162"/>
      <c r="D17" s="162"/>
      <c r="E17" s="162"/>
      <c r="F17" s="140"/>
      <c r="G17" s="163"/>
      <c r="H17" s="127"/>
      <c r="I17" s="132"/>
      <c r="J17" s="132"/>
      <c r="K17" s="132"/>
      <c r="L17" s="132"/>
      <c r="M17" s="132"/>
      <c r="N17" s="132"/>
      <c r="O17" s="132"/>
      <c r="P17" s="132"/>
      <c r="Q17" s="129"/>
    </row>
    <row r="18">
      <c r="A18" s="122"/>
      <c r="B18" s="123"/>
      <c r="C18" s="168" t="s">
        <v>145</v>
      </c>
      <c r="F18" s="140"/>
      <c r="G18" s="163"/>
      <c r="H18" s="127"/>
      <c r="I18" s="132"/>
      <c r="J18" s="132"/>
      <c r="K18" s="132"/>
      <c r="L18" s="132"/>
      <c r="M18" s="132"/>
      <c r="N18" s="132"/>
      <c r="O18" s="132"/>
      <c r="P18" s="132"/>
      <c r="Q18" s="129"/>
    </row>
    <row r="19">
      <c r="A19" s="122"/>
      <c r="B19" s="123"/>
      <c r="C19" s="162"/>
      <c r="D19" s="162"/>
      <c r="E19" s="169" t="s">
        <v>146</v>
      </c>
      <c r="F19" s="170" t="s">
        <v>75</v>
      </c>
      <c r="G19" s="171" t="s">
        <v>143</v>
      </c>
      <c r="H19" s="172" t="s">
        <v>144</v>
      </c>
      <c r="I19" s="173">
        <f t="shared" ref="I19:P19" si="3">I11*I$16</f>
        <v>1000000</v>
      </c>
      <c r="J19" s="173">
        <f t="shared" si="3"/>
        <v>1000000</v>
      </c>
      <c r="K19" s="173">
        <f t="shared" si="3"/>
        <v>1000000</v>
      </c>
      <c r="L19" s="173">
        <f t="shared" si="3"/>
        <v>1000000</v>
      </c>
      <c r="M19" s="173">
        <f t="shared" si="3"/>
        <v>1000000</v>
      </c>
      <c r="N19" s="173">
        <f t="shared" si="3"/>
        <v>1000000</v>
      </c>
      <c r="O19" s="173">
        <f t="shared" si="3"/>
        <v>1000000</v>
      </c>
      <c r="P19" s="173">
        <f t="shared" si="3"/>
        <v>1000000</v>
      </c>
      <c r="Q19" s="174"/>
    </row>
    <row r="20">
      <c r="A20" s="122"/>
      <c r="B20" s="123"/>
      <c r="C20" s="162"/>
      <c r="D20" s="162"/>
      <c r="E20" s="175" t="s">
        <v>147</v>
      </c>
      <c r="F20" s="176" t="s">
        <v>75</v>
      </c>
      <c r="G20" s="177" t="s">
        <v>143</v>
      </c>
      <c r="H20" s="178" t="s">
        <v>144</v>
      </c>
      <c r="I20" s="179">
        <f t="shared" ref="I20:P20" si="4">I12*I$16</f>
        <v>0</v>
      </c>
      <c r="J20" s="179">
        <f t="shared" si="4"/>
        <v>0</v>
      </c>
      <c r="K20" s="179">
        <f t="shared" si="4"/>
        <v>0</v>
      </c>
      <c r="L20" s="179">
        <f t="shared" si="4"/>
        <v>0</v>
      </c>
      <c r="M20" s="179">
        <f t="shared" si="4"/>
        <v>0</v>
      </c>
      <c r="N20" s="179">
        <f t="shared" si="4"/>
        <v>0</v>
      </c>
      <c r="O20" s="179">
        <f t="shared" si="4"/>
        <v>0</v>
      </c>
      <c r="P20" s="179">
        <f t="shared" si="4"/>
        <v>0</v>
      </c>
      <c r="Q20" s="180"/>
    </row>
    <row r="21">
      <c r="A21" s="122"/>
      <c r="B21" s="123"/>
      <c r="C21" s="162"/>
      <c r="D21" s="123"/>
      <c r="E21" s="181" t="s">
        <v>148</v>
      </c>
      <c r="F21" s="182" t="s">
        <v>75</v>
      </c>
      <c r="G21" s="183" t="s">
        <v>143</v>
      </c>
      <c r="H21" s="184" t="s">
        <v>144</v>
      </c>
      <c r="I21" s="185">
        <f t="shared" ref="I21:P21" si="5">I13*I$16</f>
        <v>45713.68757</v>
      </c>
      <c r="J21" s="185">
        <f t="shared" si="5"/>
        <v>58302.74486</v>
      </c>
      <c r="K21" s="185">
        <f t="shared" si="5"/>
        <v>45713.68757</v>
      </c>
      <c r="L21" s="185">
        <f t="shared" si="5"/>
        <v>40216.5398</v>
      </c>
      <c r="M21" s="185">
        <f t="shared" si="5"/>
        <v>40216.5398</v>
      </c>
      <c r="N21" s="185">
        <f t="shared" si="5"/>
        <v>67466.09194</v>
      </c>
      <c r="O21" s="185">
        <f t="shared" si="5"/>
        <v>42128.56844</v>
      </c>
      <c r="P21" s="185">
        <f t="shared" si="5"/>
        <v>46756.41068</v>
      </c>
      <c r="Q21" s="161"/>
    </row>
    <row r="22">
      <c r="A22" s="122"/>
      <c r="B22" s="123"/>
      <c r="C22" s="162"/>
      <c r="D22" s="123"/>
      <c r="E22" s="139"/>
      <c r="F22" s="140"/>
      <c r="G22" s="163"/>
      <c r="H22" s="127"/>
      <c r="I22" s="132"/>
      <c r="J22" s="132"/>
      <c r="K22" s="132"/>
      <c r="L22" s="132"/>
      <c r="M22" s="132"/>
      <c r="N22" s="132"/>
      <c r="O22" s="132"/>
      <c r="P22" s="132"/>
      <c r="Q22" s="129"/>
    </row>
    <row r="23">
      <c r="A23" s="122"/>
      <c r="B23" s="123"/>
      <c r="C23" s="168" t="s">
        <v>149</v>
      </c>
      <c r="F23" s="140"/>
      <c r="G23" s="186"/>
      <c r="H23" s="127"/>
      <c r="I23" s="132"/>
      <c r="J23" s="132"/>
      <c r="K23" s="132"/>
      <c r="L23" s="132"/>
      <c r="M23" s="132"/>
      <c r="N23" s="132"/>
      <c r="O23" s="132"/>
      <c r="P23" s="132"/>
      <c r="Q23" s="129"/>
    </row>
    <row r="24">
      <c r="A24" s="122"/>
      <c r="B24" s="123"/>
      <c r="C24" s="123"/>
      <c r="D24" s="123"/>
      <c r="E24" s="187" t="s">
        <v>150</v>
      </c>
      <c r="F24" s="188" t="s">
        <v>75</v>
      </c>
      <c r="G24" s="189" t="s">
        <v>143</v>
      </c>
      <c r="H24" s="172" t="s">
        <v>144</v>
      </c>
      <c r="I24" s="190">
        <f t="shared" ref="I24:P24" si="6">SUM(I19:I20)</f>
        <v>1000000</v>
      </c>
      <c r="J24" s="190">
        <f t="shared" si="6"/>
        <v>1000000</v>
      </c>
      <c r="K24" s="190">
        <f t="shared" si="6"/>
        <v>1000000</v>
      </c>
      <c r="L24" s="190">
        <f t="shared" si="6"/>
        <v>1000000</v>
      </c>
      <c r="M24" s="190">
        <f t="shared" si="6"/>
        <v>1000000</v>
      </c>
      <c r="N24" s="190">
        <f t="shared" si="6"/>
        <v>1000000</v>
      </c>
      <c r="O24" s="190">
        <f t="shared" si="6"/>
        <v>1000000</v>
      </c>
      <c r="P24" s="190">
        <f t="shared" si="6"/>
        <v>1000000</v>
      </c>
      <c r="Q24" s="174"/>
    </row>
    <row r="25">
      <c r="A25" s="122"/>
      <c r="B25" s="123"/>
      <c r="C25" s="123"/>
      <c r="D25" s="123"/>
      <c r="E25" s="191" t="s">
        <v>151</v>
      </c>
      <c r="F25" s="134" t="s">
        <v>75</v>
      </c>
      <c r="G25" s="192" t="s">
        <v>143</v>
      </c>
      <c r="H25" s="184" t="s">
        <v>144</v>
      </c>
      <c r="I25" s="185">
        <f t="shared" ref="I25:P25" si="7">I21</f>
        <v>45713.68757</v>
      </c>
      <c r="J25" s="185">
        <f t="shared" si="7"/>
        <v>58302.74486</v>
      </c>
      <c r="K25" s="185">
        <f t="shared" si="7"/>
        <v>45713.68757</v>
      </c>
      <c r="L25" s="185">
        <f t="shared" si="7"/>
        <v>40216.5398</v>
      </c>
      <c r="M25" s="185">
        <f t="shared" si="7"/>
        <v>40216.5398</v>
      </c>
      <c r="N25" s="185">
        <f t="shared" si="7"/>
        <v>67466.09194</v>
      </c>
      <c r="O25" s="185">
        <f t="shared" si="7"/>
        <v>42128.56844</v>
      </c>
      <c r="P25" s="185">
        <f t="shared" si="7"/>
        <v>46756.41068</v>
      </c>
      <c r="Q25" s="193"/>
    </row>
    <row r="26">
      <c r="A26" s="122"/>
      <c r="B26" s="123"/>
      <c r="C26" s="162"/>
      <c r="D26" s="162"/>
      <c r="E26" s="162"/>
      <c r="F26" s="194"/>
      <c r="G26" s="195"/>
      <c r="H26" s="127"/>
      <c r="I26" s="132"/>
      <c r="J26" s="132"/>
      <c r="K26" s="132"/>
      <c r="L26" s="132"/>
      <c r="M26" s="132"/>
      <c r="N26" s="132"/>
      <c r="O26" s="132"/>
      <c r="P26" s="132"/>
      <c r="Q26" s="129"/>
    </row>
    <row r="27">
      <c r="A27" s="122"/>
      <c r="B27" s="123"/>
      <c r="C27" s="162" t="s">
        <v>152</v>
      </c>
      <c r="F27" s="194"/>
      <c r="G27" s="195"/>
      <c r="H27" s="127"/>
      <c r="I27" s="132"/>
      <c r="J27" s="132"/>
      <c r="K27" s="132"/>
      <c r="L27" s="132"/>
      <c r="M27" s="132"/>
      <c r="N27" s="132"/>
      <c r="O27" s="132"/>
      <c r="P27" s="132"/>
      <c r="Q27" s="129"/>
    </row>
    <row r="28">
      <c r="A28" s="122"/>
      <c r="B28" s="123"/>
      <c r="C28" s="196"/>
      <c r="D28" s="197"/>
      <c r="E28" s="198" t="s">
        <v>153</v>
      </c>
      <c r="F28" s="188" t="str">
        <f>Inputs!F16</f>
        <v>$</v>
      </c>
      <c r="G28" s="199" t="s">
        <v>136</v>
      </c>
      <c r="H28" s="147" t="str">
        <f>Inputs!H16</f>
        <v>-</v>
      </c>
      <c r="I28" s="200">
        <f>Inputs!I16</f>
        <v>3.93785</v>
      </c>
      <c r="J28" s="200">
        <f>Inputs!J16</f>
        <v>5.85033</v>
      </c>
      <c r="K28" s="200">
        <f>Inputs!K16</f>
        <v>3.93785</v>
      </c>
      <c r="L28" s="200">
        <f>Inputs!L16</f>
        <v>4.34117</v>
      </c>
      <c r="M28" s="200">
        <f>Inputs!M16</f>
        <v>4.34117</v>
      </c>
      <c r="N28" s="200">
        <f>Inputs!N16</f>
        <v>5.32824</v>
      </c>
      <c r="O28" s="200">
        <f>Inputs!O16</f>
        <v>3.66624</v>
      </c>
      <c r="P28" s="200">
        <f>Inputs!P16</f>
        <v>4.44504</v>
      </c>
      <c r="Q28" s="149"/>
    </row>
    <row r="29">
      <c r="A29" s="122"/>
      <c r="B29" s="123"/>
      <c r="C29" s="196"/>
      <c r="D29" s="197"/>
      <c r="E29" s="164" t="s">
        <v>154</v>
      </c>
      <c r="F29" s="134" t="s">
        <v>75</v>
      </c>
      <c r="G29" s="165" t="s">
        <v>143</v>
      </c>
      <c r="H29" s="166" t="s">
        <v>144</v>
      </c>
      <c r="I29" s="201">
        <f t="shared" ref="I29:P29" si="8">(I24/I16)*I28</f>
        <v>3.765705706</v>
      </c>
      <c r="J29" s="201">
        <f t="shared" si="8"/>
        <v>5.52803064</v>
      </c>
      <c r="K29" s="201">
        <f t="shared" si="8"/>
        <v>3.765705706</v>
      </c>
      <c r="L29" s="201">
        <f t="shared" si="8"/>
        <v>4.173332988</v>
      </c>
      <c r="M29" s="201">
        <f t="shared" si="8"/>
        <v>4.173332988</v>
      </c>
      <c r="N29" s="201">
        <f t="shared" si="8"/>
        <v>4.991484576</v>
      </c>
      <c r="O29" s="201">
        <f t="shared" si="8"/>
        <v>3.518030415</v>
      </c>
      <c r="P29" s="202">
        <f t="shared" si="8"/>
        <v>4.246489398</v>
      </c>
      <c r="Q29" s="138"/>
    </row>
    <row r="30">
      <c r="A30" s="122"/>
      <c r="B30" s="123"/>
      <c r="C30" s="162"/>
      <c r="D30" s="123"/>
      <c r="E30" s="139"/>
      <c r="F30" s="140"/>
      <c r="G30" s="163"/>
      <c r="H30" s="127"/>
      <c r="I30" s="132"/>
      <c r="J30" s="132"/>
      <c r="K30" s="132"/>
      <c r="L30" s="132"/>
      <c r="M30" s="132"/>
      <c r="N30" s="132"/>
      <c r="O30" s="132"/>
      <c r="P30" s="132"/>
      <c r="Q30" s="129"/>
    </row>
    <row r="31">
      <c r="A31" s="118" t="s">
        <v>155</v>
      </c>
      <c r="B31" s="6"/>
      <c r="C31" s="6"/>
      <c r="D31" s="6"/>
      <c r="E31" s="6"/>
      <c r="F31" s="6"/>
      <c r="G31" s="6"/>
      <c r="H31" s="203"/>
      <c r="I31" s="204"/>
      <c r="J31" s="204"/>
      <c r="K31" s="204"/>
      <c r="L31" s="204"/>
      <c r="M31" s="204"/>
      <c r="N31" s="204"/>
      <c r="O31" s="204"/>
      <c r="P31" s="204"/>
      <c r="Q31" s="205"/>
    </row>
    <row r="32">
      <c r="A32" s="122"/>
      <c r="B32" s="123"/>
      <c r="C32" s="123"/>
      <c r="D32" s="123"/>
      <c r="E32" s="124"/>
      <c r="F32" s="125"/>
      <c r="G32" s="206"/>
      <c r="H32" s="127"/>
      <c r="I32" s="207"/>
      <c r="J32" s="207"/>
      <c r="K32" s="208"/>
      <c r="L32" s="132"/>
      <c r="M32" s="132"/>
      <c r="N32" s="132"/>
      <c r="O32" s="132"/>
      <c r="P32" s="132"/>
      <c r="Q32" s="129"/>
    </row>
    <row r="33">
      <c r="A33" s="122"/>
      <c r="B33" s="123"/>
      <c r="C33" s="130" t="s">
        <v>156</v>
      </c>
      <c r="F33" s="140"/>
      <c r="G33" s="186"/>
      <c r="H33" s="209"/>
      <c r="I33" s="210"/>
      <c r="J33" s="210"/>
      <c r="K33" s="210"/>
      <c r="L33" s="210"/>
      <c r="M33" s="210"/>
      <c r="N33" s="210"/>
      <c r="O33" s="210"/>
      <c r="P33" s="210"/>
      <c r="Q33" s="129"/>
    </row>
    <row r="34">
      <c r="A34" s="122"/>
      <c r="B34" s="123"/>
      <c r="C34" s="123"/>
      <c r="D34" s="211"/>
      <c r="E34" s="59" t="s">
        <v>157</v>
      </c>
      <c r="F34" s="188" t="s">
        <v>69</v>
      </c>
      <c r="G34" s="189" t="s">
        <v>143</v>
      </c>
      <c r="H34" s="212" t="s">
        <v>144</v>
      </c>
      <c r="I34" s="213">
        <f t="shared" ref="I34:P34" si="9">I19/I29</f>
        <v>265554.4745</v>
      </c>
      <c r="J34" s="213">
        <f t="shared" si="9"/>
        <v>180896.2477</v>
      </c>
      <c r="K34" s="213">
        <f t="shared" si="9"/>
        <v>265554.4745</v>
      </c>
      <c r="L34" s="213">
        <f t="shared" si="9"/>
        <v>239616.6333</v>
      </c>
      <c r="M34" s="213">
        <f t="shared" si="9"/>
        <v>239616.6333</v>
      </c>
      <c r="N34" s="213">
        <f t="shared" si="9"/>
        <v>200341.1981</v>
      </c>
      <c r="O34" s="213">
        <f t="shared" si="9"/>
        <v>284249.9587</v>
      </c>
      <c r="P34" s="213">
        <f t="shared" si="9"/>
        <v>235488.6369</v>
      </c>
      <c r="Q34" s="149"/>
    </row>
    <row r="35">
      <c r="A35" s="122"/>
      <c r="B35" s="123"/>
      <c r="C35" s="123"/>
      <c r="D35" s="211"/>
      <c r="E35" s="198" t="s">
        <v>158</v>
      </c>
      <c r="F35" s="188" t="str">
        <f>Inputs!F21</f>
        <v>%</v>
      </c>
      <c r="G35" s="189" t="s">
        <v>136</v>
      </c>
      <c r="H35" s="214">
        <f>Inputs!H21</f>
        <v>0.7</v>
      </c>
      <c r="I35" s="213" t="str">
        <f>Inputs!I21</f>
        <v>-</v>
      </c>
      <c r="J35" s="213" t="str">
        <f>Inputs!J21</f>
        <v>-</v>
      </c>
      <c r="K35" s="213" t="str">
        <f>Inputs!K21</f>
        <v>-</v>
      </c>
      <c r="L35" s="213" t="str">
        <f>Inputs!L21</f>
        <v>-</v>
      </c>
      <c r="M35" s="213" t="str">
        <f>Inputs!M21</f>
        <v>-</v>
      </c>
      <c r="N35" s="213" t="str">
        <f>Inputs!N21</f>
        <v>-</v>
      </c>
      <c r="O35" s="213" t="str">
        <f>Inputs!O21</f>
        <v>-</v>
      </c>
      <c r="P35" s="213" t="str">
        <f>Inputs!P21</f>
        <v>-</v>
      </c>
      <c r="Q35" s="149"/>
    </row>
    <row r="36">
      <c r="A36" s="122"/>
      <c r="B36" s="123"/>
      <c r="C36" s="215"/>
      <c r="D36" s="123"/>
      <c r="E36" s="216" t="s">
        <v>159</v>
      </c>
      <c r="F36" s="217" t="str">
        <f>Inputs!F22</f>
        <v>%</v>
      </c>
      <c r="G36" s="218" t="s">
        <v>136</v>
      </c>
      <c r="H36" s="219">
        <f>Inputs!H22</f>
        <v>-0.1</v>
      </c>
      <c r="I36" s="179" t="str">
        <f>Inputs!I22</f>
        <v>-</v>
      </c>
      <c r="J36" s="179" t="str">
        <f>Inputs!J22</f>
        <v>-</v>
      </c>
      <c r="K36" s="179" t="str">
        <f>Inputs!K22</f>
        <v>-</v>
      </c>
      <c r="L36" s="179" t="str">
        <f>Inputs!L22</f>
        <v>-</v>
      </c>
      <c r="M36" s="179" t="str">
        <f>Inputs!M22</f>
        <v>-</v>
      </c>
      <c r="N36" s="179" t="str">
        <f>Inputs!N22</f>
        <v>-</v>
      </c>
      <c r="O36" s="179" t="str">
        <f>Inputs!O22</f>
        <v>-</v>
      </c>
      <c r="P36" s="179" t="str">
        <f>Inputs!P22</f>
        <v>-</v>
      </c>
      <c r="Q36" s="155"/>
    </row>
    <row r="37">
      <c r="A37" s="122"/>
      <c r="B37" s="123"/>
      <c r="C37" s="215"/>
      <c r="D37" s="123"/>
      <c r="E37" s="216" t="s">
        <v>160</v>
      </c>
      <c r="F37" s="217" t="s">
        <v>79</v>
      </c>
      <c r="G37" s="218" t="s">
        <v>143</v>
      </c>
      <c r="H37" s="219">
        <f>H35*(1+H36)</f>
        <v>0.63</v>
      </c>
      <c r="I37" s="220" t="s">
        <v>144</v>
      </c>
      <c r="J37" s="220" t="s">
        <v>144</v>
      </c>
      <c r="K37" s="220" t="s">
        <v>144</v>
      </c>
      <c r="L37" s="220" t="s">
        <v>144</v>
      </c>
      <c r="M37" s="220" t="s">
        <v>144</v>
      </c>
      <c r="N37" s="220" t="s">
        <v>144</v>
      </c>
      <c r="O37" s="220" t="s">
        <v>144</v>
      </c>
      <c r="P37" s="220" t="s">
        <v>144</v>
      </c>
      <c r="Q37" s="155"/>
    </row>
    <row r="38">
      <c r="A38" s="122"/>
      <c r="B38" s="123"/>
      <c r="C38" s="215"/>
      <c r="D38" s="123"/>
      <c r="E38" s="181" t="s">
        <v>161</v>
      </c>
      <c r="F38" s="221" t="s">
        <v>69</v>
      </c>
      <c r="G38" s="222" t="s">
        <v>143</v>
      </c>
      <c r="H38" s="184" t="s">
        <v>144</v>
      </c>
      <c r="I38" s="223">
        <f t="shared" ref="I38:P38" si="10">I34*$H37</f>
        <v>167299.319</v>
      </c>
      <c r="J38" s="223">
        <f t="shared" si="10"/>
        <v>113964.6361</v>
      </c>
      <c r="K38" s="223">
        <f t="shared" si="10"/>
        <v>167299.319</v>
      </c>
      <c r="L38" s="223">
        <f t="shared" si="10"/>
        <v>150958.479</v>
      </c>
      <c r="M38" s="223">
        <f t="shared" si="10"/>
        <v>150958.479</v>
      </c>
      <c r="N38" s="223">
        <f t="shared" si="10"/>
        <v>126214.9548</v>
      </c>
      <c r="O38" s="223">
        <f t="shared" si="10"/>
        <v>179077.474</v>
      </c>
      <c r="P38" s="223">
        <f t="shared" si="10"/>
        <v>148357.8413</v>
      </c>
      <c r="Q38" s="161"/>
    </row>
    <row r="39">
      <c r="A39" s="122"/>
      <c r="B39" s="123"/>
      <c r="C39" s="123"/>
      <c r="D39" s="123"/>
      <c r="E39" s="139"/>
      <c r="F39" s="140"/>
      <c r="G39" s="186"/>
      <c r="H39" s="224"/>
      <c r="I39" s="225"/>
      <c r="J39" s="225"/>
      <c r="K39" s="225"/>
      <c r="L39" s="225"/>
      <c r="M39" s="225"/>
      <c r="N39" s="225"/>
      <c r="O39" s="225"/>
      <c r="P39" s="225"/>
      <c r="Q39" s="129"/>
    </row>
    <row r="40">
      <c r="A40" s="122"/>
      <c r="B40" s="123"/>
      <c r="C40" s="130" t="s">
        <v>162</v>
      </c>
      <c r="F40" s="140"/>
      <c r="G40" s="186"/>
      <c r="H40" s="224"/>
      <c r="I40" s="226"/>
      <c r="J40" s="226"/>
      <c r="K40" s="225"/>
      <c r="L40" s="225"/>
      <c r="M40" s="226"/>
      <c r="N40" s="226"/>
      <c r="O40" s="225"/>
      <c r="P40" s="225"/>
      <c r="Q40" s="129"/>
    </row>
    <row r="41">
      <c r="A41" s="122"/>
      <c r="B41" s="123"/>
      <c r="C41" s="123"/>
      <c r="D41" s="123"/>
      <c r="E41" s="198" t="s">
        <v>163</v>
      </c>
      <c r="F41" s="188" t="str">
        <f>Inputs!F25</f>
        <v>#</v>
      </c>
      <c r="G41" s="189" t="s">
        <v>136</v>
      </c>
      <c r="H41" s="227" t="str">
        <f>Inputs!H25</f>
        <v>-</v>
      </c>
      <c r="I41" s="228">
        <f>Inputs!I25</f>
        <v>1.93645</v>
      </c>
      <c r="J41" s="228">
        <f>Inputs!J25</f>
        <v>2.15114</v>
      </c>
      <c r="K41" s="228">
        <f>Inputs!K25</f>
        <v>1.99095</v>
      </c>
      <c r="L41" s="228">
        <f>Inputs!L25</f>
        <v>1.93645</v>
      </c>
      <c r="M41" s="228">
        <f>Inputs!M25</f>
        <v>1.93645</v>
      </c>
      <c r="N41" s="228">
        <f>Inputs!N25</f>
        <v>1.93645</v>
      </c>
      <c r="O41" s="228">
        <f>Inputs!O25</f>
        <v>1.72163</v>
      </c>
      <c r="P41" s="228">
        <f>Inputs!P25</f>
        <v>1.76505</v>
      </c>
      <c r="Q41" s="149"/>
    </row>
    <row r="42">
      <c r="A42" s="122"/>
      <c r="B42" s="123"/>
      <c r="C42" s="123"/>
      <c r="D42" s="123"/>
      <c r="E42" s="216" t="s">
        <v>164</v>
      </c>
      <c r="F42" s="217" t="s">
        <v>69</v>
      </c>
      <c r="G42" s="229" t="s">
        <v>143</v>
      </c>
      <c r="H42" s="230" t="s">
        <v>144</v>
      </c>
      <c r="I42" s="231">
        <f t="shared" ref="I42:P42" si="11">I38*I41</f>
        <v>323966.7662</v>
      </c>
      <c r="J42" s="231">
        <f t="shared" si="11"/>
        <v>245153.8872</v>
      </c>
      <c r="K42" s="231">
        <f t="shared" si="11"/>
        <v>333084.5791</v>
      </c>
      <c r="L42" s="231">
        <f t="shared" si="11"/>
        <v>292323.5466</v>
      </c>
      <c r="M42" s="231">
        <f t="shared" si="11"/>
        <v>292323.5466</v>
      </c>
      <c r="N42" s="231">
        <f t="shared" si="11"/>
        <v>244408.9492</v>
      </c>
      <c r="O42" s="231">
        <f t="shared" si="11"/>
        <v>308305.1515</v>
      </c>
      <c r="P42" s="231">
        <f t="shared" si="11"/>
        <v>261859.0077</v>
      </c>
      <c r="Q42" s="155"/>
    </row>
    <row r="43">
      <c r="A43" s="122"/>
      <c r="B43" s="123"/>
      <c r="C43" s="123"/>
      <c r="D43" s="123"/>
      <c r="E43" s="216" t="s">
        <v>165</v>
      </c>
      <c r="F43" s="217" t="str">
        <f>'Effective coverage'!F145</f>
        <v>#</v>
      </c>
      <c r="G43" s="229" t="s">
        <v>166</v>
      </c>
      <c r="H43" s="230" t="str">
        <f>'Effective coverage'!H145</f>
        <v>-</v>
      </c>
      <c r="I43" s="232">
        <f>'Effective coverage'!I145</f>
        <v>1.965608617</v>
      </c>
      <c r="J43" s="232">
        <f>'Effective coverage'!J145</f>
        <v>1.192516657</v>
      </c>
      <c r="K43" s="232">
        <f>'Effective coverage'!K145</f>
        <v>1.965608617</v>
      </c>
      <c r="L43" s="232">
        <f>'Effective coverage'!L145</f>
        <v>1.965608617</v>
      </c>
      <c r="M43" s="232">
        <f>'Effective coverage'!M145</f>
        <v>1.31712103</v>
      </c>
      <c r="N43" s="232">
        <f>'Effective coverage'!N145</f>
        <v>1.26901599</v>
      </c>
      <c r="O43" s="232">
        <f>'Effective coverage'!O145</f>
        <v>1.965608617</v>
      </c>
      <c r="P43" s="232">
        <f>'Effective coverage'!P145</f>
        <v>1.965608617</v>
      </c>
      <c r="Q43" s="155"/>
    </row>
    <row r="44">
      <c r="A44" s="122"/>
      <c r="B44" s="123"/>
      <c r="C44" s="123"/>
      <c r="D44" s="123"/>
      <c r="E44" s="181" t="s">
        <v>167</v>
      </c>
      <c r="F44" s="221" t="s">
        <v>69</v>
      </c>
      <c r="G44" s="233" t="s">
        <v>143</v>
      </c>
      <c r="H44" s="234" t="s">
        <v>144</v>
      </c>
      <c r="I44" s="223">
        <f t="shared" ref="I44:P44" si="12">I42*I43</f>
        <v>636791.8672</v>
      </c>
      <c r="J44" s="223">
        <f t="shared" si="12"/>
        <v>292350.0941</v>
      </c>
      <c r="K44" s="223">
        <f t="shared" si="12"/>
        <v>654713.9188</v>
      </c>
      <c r="L44" s="223">
        <f t="shared" si="12"/>
        <v>574593.682</v>
      </c>
      <c r="M44" s="223">
        <f t="shared" si="12"/>
        <v>385025.4909</v>
      </c>
      <c r="N44" s="223">
        <f t="shared" si="12"/>
        <v>310158.8645</v>
      </c>
      <c r="O44" s="223">
        <f t="shared" si="12"/>
        <v>606007.2624</v>
      </c>
      <c r="P44" s="223">
        <f t="shared" si="12"/>
        <v>514712.322</v>
      </c>
      <c r="Q44" s="161"/>
    </row>
    <row r="45">
      <c r="A45" s="122"/>
      <c r="B45" s="123"/>
      <c r="C45" s="123"/>
      <c r="D45" s="123"/>
      <c r="E45" s="139"/>
      <c r="F45" s="140"/>
      <c r="G45" s="186"/>
      <c r="H45" s="209"/>
      <c r="I45" s="225"/>
      <c r="J45" s="225"/>
      <c r="K45" s="225"/>
      <c r="L45" s="225"/>
      <c r="M45" s="225"/>
      <c r="N45" s="225"/>
      <c r="O45" s="225"/>
      <c r="P45" s="225"/>
      <c r="Q45" s="129"/>
    </row>
    <row r="46">
      <c r="A46" s="122"/>
      <c r="B46" s="123"/>
      <c r="C46" s="168" t="s">
        <v>168</v>
      </c>
      <c r="F46" s="140"/>
      <c r="G46" s="186"/>
      <c r="H46" s="209"/>
      <c r="I46" s="225"/>
      <c r="J46" s="225"/>
      <c r="K46" s="225"/>
      <c r="L46" s="225"/>
      <c r="M46" s="225"/>
      <c r="N46" s="225"/>
      <c r="O46" s="225"/>
      <c r="P46" s="225"/>
      <c r="Q46" s="129"/>
    </row>
    <row r="47">
      <c r="A47" s="122"/>
      <c r="B47" s="123"/>
      <c r="C47" s="123"/>
      <c r="D47" s="123"/>
      <c r="E47" s="198" t="s">
        <v>169</v>
      </c>
      <c r="F47" s="188" t="str">
        <f>Inputs!F28</f>
        <v>#</v>
      </c>
      <c r="G47" s="189" t="str">
        <f>Inputs!G28</f>
        <v>input</v>
      </c>
      <c r="H47" s="235" t="str">
        <f>Inputs!H28</f>
        <v>-</v>
      </c>
      <c r="I47" s="213">
        <f>Inputs!I28</f>
        <v>16398859.74</v>
      </c>
      <c r="J47" s="213">
        <f>Inputs!J28</f>
        <v>87670443.78</v>
      </c>
      <c r="K47" s="213">
        <f>Inputs!K28</f>
        <v>12643148.93</v>
      </c>
      <c r="L47" s="213">
        <f>Inputs!L28</f>
        <v>214823785.7</v>
      </c>
      <c r="M47" s="213">
        <f>Inputs!M28</f>
        <v>214823785.7</v>
      </c>
      <c r="N47" s="213">
        <f>Inputs!N28</f>
        <v>9282963.047</v>
      </c>
      <c r="O47" s="213">
        <f>Inputs!O28</f>
        <v>7921526.585</v>
      </c>
      <c r="P47" s="213">
        <f>Inputs!P28</f>
        <v>41117856.24</v>
      </c>
      <c r="Q47" s="236"/>
    </row>
    <row r="48">
      <c r="A48" s="122"/>
      <c r="B48" s="123"/>
      <c r="C48" s="123"/>
      <c r="D48" s="123"/>
      <c r="E48" s="216" t="s">
        <v>170</v>
      </c>
      <c r="F48" s="217" t="str">
        <f>Inputs!F29</f>
        <v>#</v>
      </c>
      <c r="G48" s="229" t="str">
        <f>Inputs!G29</f>
        <v>input</v>
      </c>
      <c r="H48" s="237" t="str">
        <f>Inputs!H29</f>
        <v>-</v>
      </c>
      <c r="I48" s="231">
        <f>Inputs!I29</f>
        <v>3332666.562</v>
      </c>
      <c r="J48" s="231">
        <f>Inputs!J29</f>
        <v>13629465.15</v>
      </c>
      <c r="K48" s="231">
        <f>Inputs!K29</f>
        <v>2143394.877</v>
      </c>
      <c r="L48" s="231">
        <f>Inputs!L29</f>
        <v>33521637.83</v>
      </c>
      <c r="M48" s="231">
        <f>Inputs!M29</f>
        <v>33521637.83</v>
      </c>
      <c r="N48" s="231">
        <f>Inputs!N29</f>
        <v>1516375.155</v>
      </c>
      <c r="O48" s="231">
        <f>Inputs!O29</f>
        <v>1114855.207</v>
      </c>
      <c r="P48" s="231">
        <f>Inputs!P29</f>
        <v>7089749.816</v>
      </c>
      <c r="Q48" s="238"/>
    </row>
    <row r="49">
      <c r="A49" s="122"/>
      <c r="B49" s="123"/>
      <c r="C49" s="123"/>
      <c r="D49" s="123"/>
      <c r="E49" s="216" t="s">
        <v>171</v>
      </c>
      <c r="F49" s="217" t="str">
        <f>Inputs!F30</f>
        <v>#</v>
      </c>
      <c r="G49" s="229" t="str">
        <f>Inputs!G30</f>
        <v>input</v>
      </c>
      <c r="H49" s="237" t="str">
        <f>Inputs!H30</f>
        <v>-</v>
      </c>
      <c r="I49" s="231">
        <f>Inputs!I30</f>
        <v>4977421.002</v>
      </c>
      <c r="J49" s="231">
        <f>Inputs!J30</f>
        <v>24065680.16</v>
      </c>
      <c r="K49" s="231">
        <f>Inputs!K30</f>
        <v>3569794.5</v>
      </c>
      <c r="L49" s="231">
        <f>Inputs!L30</f>
        <v>60226436.53</v>
      </c>
      <c r="M49" s="231">
        <f>Inputs!M30</f>
        <v>60226436.53</v>
      </c>
      <c r="N49" s="231">
        <f>Inputs!N30</f>
        <v>2652127.884</v>
      </c>
      <c r="O49" s="231">
        <f>Inputs!O30</f>
        <v>2032780.787</v>
      </c>
      <c r="P49" s="231">
        <f>Inputs!P30</f>
        <v>11987722.12</v>
      </c>
      <c r="Q49" s="238"/>
    </row>
    <row r="50">
      <c r="A50" s="122"/>
      <c r="B50" s="123"/>
      <c r="C50" s="123"/>
      <c r="D50" s="123"/>
      <c r="E50" s="216" t="s">
        <v>172</v>
      </c>
      <c r="F50" s="217" t="s">
        <v>69</v>
      </c>
      <c r="G50" s="229" t="s">
        <v>143</v>
      </c>
      <c r="H50" s="237" t="s">
        <v>144</v>
      </c>
      <c r="I50" s="239">
        <f t="shared" ref="I50:P50" si="13">I48/I47</f>
        <v>0.2032255056</v>
      </c>
      <c r="J50" s="239">
        <f t="shared" si="13"/>
        <v>0.1554624861</v>
      </c>
      <c r="K50" s="239">
        <f t="shared" si="13"/>
        <v>0.1695301454</v>
      </c>
      <c r="L50" s="239">
        <f t="shared" si="13"/>
        <v>0.1560424872</v>
      </c>
      <c r="M50" s="239">
        <f t="shared" si="13"/>
        <v>0.1560424872</v>
      </c>
      <c r="N50" s="239">
        <f t="shared" si="13"/>
        <v>0.1633503384</v>
      </c>
      <c r="O50" s="239">
        <f t="shared" si="13"/>
        <v>0.1407374191</v>
      </c>
      <c r="P50" s="239">
        <f t="shared" si="13"/>
        <v>0.172425084</v>
      </c>
      <c r="Q50" s="155"/>
    </row>
    <row r="51">
      <c r="A51" s="122"/>
      <c r="B51" s="123"/>
      <c r="C51" s="123"/>
      <c r="D51" s="123"/>
      <c r="E51" s="216" t="s">
        <v>173</v>
      </c>
      <c r="F51" s="217" t="s">
        <v>69</v>
      </c>
      <c r="G51" s="229" t="s">
        <v>143</v>
      </c>
      <c r="H51" s="237" t="s">
        <v>144</v>
      </c>
      <c r="I51" s="239">
        <f t="shared" ref="I51:P51" si="14">I49/I47</f>
        <v>0.3035223839</v>
      </c>
      <c r="J51" s="239">
        <f t="shared" si="14"/>
        <v>0.274501635</v>
      </c>
      <c r="K51" s="239">
        <f t="shared" si="14"/>
        <v>0.2823501107</v>
      </c>
      <c r="L51" s="239">
        <f t="shared" si="14"/>
        <v>0.2803527381</v>
      </c>
      <c r="M51" s="239">
        <f t="shared" si="14"/>
        <v>0.2803527381</v>
      </c>
      <c r="N51" s="239">
        <f t="shared" si="14"/>
        <v>0.2856984209</v>
      </c>
      <c r="O51" s="239">
        <f t="shared" si="14"/>
        <v>0.2566147781</v>
      </c>
      <c r="P51" s="239">
        <f t="shared" si="14"/>
        <v>0.2915454067</v>
      </c>
      <c r="Q51" s="155"/>
    </row>
    <row r="52">
      <c r="A52" s="122"/>
      <c r="B52" s="123"/>
      <c r="C52" s="123"/>
      <c r="D52" s="123"/>
      <c r="E52" s="181" t="s">
        <v>174</v>
      </c>
      <c r="F52" s="221" t="s">
        <v>69</v>
      </c>
      <c r="G52" s="233" t="s">
        <v>143</v>
      </c>
      <c r="H52" s="234" t="s">
        <v>144</v>
      </c>
      <c r="I52" s="240">
        <f t="shared" ref="I52:P52" si="15">1-SUM(I50:I51)</f>
        <v>0.4932521105</v>
      </c>
      <c r="J52" s="240">
        <f t="shared" si="15"/>
        <v>0.5700358789</v>
      </c>
      <c r="K52" s="240">
        <f t="shared" si="15"/>
        <v>0.5481197439</v>
      </c>
      <c r="L52" s="240">
        <f t="shared" si="15"/>
        <v>0.5636047747</v>
      </c>
      <c r="M52" s="240">
        <f t="shared" si="15"/>
        <v>0.5636047747</v>
      </c>
      <c r="N52" s="240">
        <f t="shared" si="15"/>
        <v>0.5509512407</v>
      </c>
      <c r="O52" s="240">
        <f t="shared" si="15"/>
        <v>0.6026478028</v>
      </c>
      <c r="P52" s="240">
        <f t="shared" si="15"/>
        <v>0.5360295093</v>
      </c>
      <c r="Q52" s="241"/>
    </row>
    <row r="53">
      <c r="A53" s="122"/>
      <c r="B53" s="123"/>
      <c r="C53" s="123"/>
      <c r="D53" s="123"/>
      <c r="E53" s="139"/>
      <c r="F53" s="140"/>
      <c r="G53" s="186"/>
      <c r="H53" s="209"/>
      <c r="I53" s="225"/>
      <c r="J53" s="225"/>
      <c r="K53" s="225"/>
      <c r="L53" s="225"/>
      <c r="M53" s="225"/>
      <c r="N53" s="225"/>
      <c r="O53" s="225"/>
      <c r="P53" s="225"/>
      <c r="Q53" s="129"/>
    </row>
    <row r="54">
      <c r="A54" s="122"/>
      <c r="B54" s="123"/>
      <c r="C54" s="168" t="s">
        <v>175</v>
      </c>
      <c r="F54" s="140"/>
      <c r="G54" s="186"/>
      <c r="H54" s="209"/>
      <c r="I54" s="225"/>
      <c r="J54" s="225"/>
      <c r="K54" s="225"/>
      <c r="L54" s="225"/>
      <c r="M54" s="225"/>
      <c r="N54" s="225"/>
      <c r="O54" s="225"/>
      <c r="P54" s="225"/>
      <c r="Q54" s="129"/>
    </row>
    <row r="55">
      <c r="A55" s="122"/>
      <c r="B55" s="123"/>
      <c r="C55" s="123"/>
      <c r="D55" s="123"/>
      <c r="E55" s="198" t="s">
        <v>176</v>
      </c>
      <c r="F55" s="188" t="s">
        <v>69</v>
      </c>
      <c r="G55" s="189" t="s">
        <v>143</v>
      </c>
      <c r="H55" s="235" t="s">
        <v>144</v>
      </c>
      <c r="I55" s="213">
        <f t="shared" ref="I55:P55" si="16">I$44*I50</f>
        <v>129412.3492</v>
      </c>
      <c r="J55" s="213">
        <f t="shared" si="16"/>
        <v>45449.47245</v>
      </c>
      <c r="K55" s="213">
        <f t="shared" si="16"/>
        <v>110993.7459</v>
      </c>
      <c r="L55" s="213">
        <f t="shared" si="16"/>
        <v>89661.02727</v>
      </c>
      <c r="M55" s="213">
        <f t="shared" si="16"/>
        <v>60080.33523</v>
      </c>
      <c r="N55" s="213">
        <f t="shared" si="16"/>
        <v>50664.55547</v>
      </c>
      <c r="O55" s="213">
        <f t="shared" si="16"/>
        <v>85287.89807</v>
      </c>
      <c r="P55" s="213">
        <f t="shared" si="16"/>
        <v>88749.31535</v>
      </c>
      <c r="Q55" s="149"/>
    </row>
    <row r="56">
      <c r="A56" s="122"/>
      <c r="B56" s="123"/>
      <c r="C56" s="123"/>
      <c r="D56" s="123"/>
      <c r="E56" s="216" t="s">
        <v>177</v>
      </c>
      <c r="F56" s="217" t="s">
        <v>69</v>
      </c>
      <c r="G56" s="229" t="s">
        <v>143</v>
      </c>
      <c r="H56" s="237" t="s">
        <v>144</v>
      </c>
      <c r="I56" s="231">
        <f t="shared" ref="I56:P56" si="17">I$44*I51</f>
        <v>193280.5856</v>
      </c>
      <c r="J56" s="231">
        <f t="shared" si="17"/>
        <v>80250.57883</v>
      </c>
      <c r="K56" s="231">
        <f t="shared" si="17"/>
        <v>184858.5474</v>
      </c>
      <c r="L56" s="231">
        <f t="shared" si="17"/>
        <v>161088.9121</v>
      </c>
      <c r="M56" s="231">
        <f t="shared" si="17"/>
        <v>107942.9506</v>
      </c>
      <c r="N56" s="231">
        <f t="shared" si="17"/>
        <v>88611.89783</v>
      </c>
      <c r="O56" s="231">
        <f t="shared" si="17"/>
        <v>155510.4192</v>
      </c>
      <c r="P56" s="231">
        <f t="shared" si="17"/>
        <v>150062.0132</v>
      </c>
      <c r="Q56" s="155"/>
    </row>
    <row r="57">
      <c r="A57" s="122"/>
      <c r="B57" s="123"/>
      <c r="C57" s="123"/>
      <c r="D57" s="123"/>
      <c r="E57" s="181" t="s">
        <v>178</v>
      </c>
      <c r="F57" s="221" t="s">
        <v>69</v>
      </c>
      <c r="G57" s="233" t="s">
        <v>143</v>
      </c>
      <c r="H57" s="234" t="s">
        <v>144</v>
      </c>
      <c r="I57" s="223">
        <f t="shared" ref="I57:P57" si="18">I$44*I52</f>
        <v>314098.9324</v>
      </c>
      <c r="J57" s="223">
        <f t="shared" si="18"/>
        <v>166650.0428</v>
      </c>
      <c r="K57" s="223">
        <f t="shared" si="18"/>
        <v>358861.6255</v>
      </c>
      <c r="L57" s="223">
        <f t="shared" si="18"/>
        <v>323843.7427</v>
      </c>
      <c r="M57" s="223">
        <f t="shared" si="18"/>
        <v>217002.205</v>
      </c>
      <c r="N57" s="223">
        <f t="shared" si="18"/>
        <v>170882.4112</v>
      </c>
      <c r="O57" s="223">
        <f t="shared" si="18"/>
        <v>365208.9451</v>
      </c>
      <c r="P57" s="223">
        <f t="shared" si="18"/>
        <v>275900.9934</v>
      </c>
      <c r="Q57" s="241"/>
    </row>
    <row r="58">
      <c r="A58" s="122"/>
      <c r="B58" s="123"/>
      <c r="C58" s="123"/>
      <c r="D58" s="123"/>
      <c r="E58" s="124"/>
      <c r="F58" s="125"/>
      <c r="G58" s="131"/>
      <c r="H58" s="127"/>
      <c r="I58" s="132"/>
      <c r="J58" s="132"/>
      <c r="K58" s="132"/>
      <c r="L58" s="132"/>
      <c r="M58" s="132"/>
      <c r="N58" s="132"/>
      <c r="O58" s="132"/>
      <c r="P58" s="132"/>
      <c r="Q58" s="129"/>
    </row>
    <row r="59">
      <c r="A59" s="118" t="s">
        <v>179</v>
      </c>
      <c r="B59" s="6"/>
      <c r="C59" s="6"/>
      <c r="D59" s="6"/>
      <c r="E59" s="6"/>
      <c r="F59" s="6"/>
      <c r="G59" s="6"/>
      <c r="H59" s="203"/>
      <c r="I59" s="204"/>
      <c r="J59" s="204"/>
      <c r="K59" s="204"/>
      <c r="L59" s="204"/>
      <c r="M59" s="204"/>
      <c r="N59" s="204"/>
      <c r="O59" s="204"/>
      <c r="P59" s="204"/>
      <c r="Q59" s="205"/>
    </row>
    <row r="60">
      <c r="A60" s="122"/>
      <c r="B60" s="123"/>
      <c r="C60" s="242"/>
      <c r="D60" s="123"/>
      <c r="E60" s="124"/>
      <c r="F60" s="125"/>
      <c r="G60" s="126"/>
      <c r="H60" s="127"/>
      <c r="I60" s="132"/>
      <c r="J60" s="132"/>
      <c r="K60" s="132"/>
      <c r="L60" s="132"/>
      <c r="M60" s="132"/>
      <c r="N60" s="132"/>
      <c r="O60" s="132"/>
      <c r="P60" s="132"/>
      <c r="Q60" s="129"/>
    </row>
    <row r="61">
      <c r="A61" s="122"/>
      <c r="B61" s="123"/>
      <c r="C61" s="243" t="s">
        <v>180</v>
      </c>
      <c r="F61" s="125"/>
      <c r="G61" s="126"/>
      <c r="H61" s="127"/>
      <c r="I61" s="132"/>
      <c r="J61" s="132"/>
      <c r="K61" s="132"/>
      <c r="L61" s="132"/>
      <c r="M61" s="132"/>
      <c r="N61" s="132"/>
      <c r="O61" s="132"/>
      <c r="P61" s="208"/>
      <c r="Q61" s="129"/>
    </row>
    <row r="62">
      <c r="A62" s="122"/>
      <c r="B62" s="123"/>
      <c r="C62" s="243"/>
      <c r="D62" s="243"/>
      <c r="E62" s="198" t="s">
        <v>181</v>
      </c>
      <c r="F62" s="188" t="str">
        <f>Inputs!F132</f>
        <v>%</v>
      </c>
      <c r="G62" s="199" t="str">
        <f>Inputs!G132</f>
        <v>input</v>
      </c>
      <c r="H62" s="214">
        <f>Inputs!H132</f>
        <v>0.45</v>
      </c>
      <c r="I62" s="244" t="str">
        <f>Inputs!I132</f>
        <v>-</v>
      </c>
      <c r="J62" s="244" t="str">
        <f>Inputs!J132</f>
        <v>-</v>
      </c>
      <c r="K62" s="244" t="str">
        <f>Inputs!K132</f>
        <v>-</v>
      </c>
      <c r="L62" s="244" t="str">
        <f>Inputs!L132</f>
        <v>-</v>
      </c>
      <c r="M62" s="244" t="str">
        <f>Inputs!M132</f>
        <v>-</v>
      </c>
      <c r="N62" s="244" t="str">
        <f>Inputs!N132</f>
        <v>-</v>
      </c>
      <c r="O62" s="244" t="str">
        <f>Inputs!O132</f>
        <v>-</v>
      </c>
      <c r="P62" s="244" t="str">
        <f>Inputs!P132</f>
        <v>-</v>
      </c>
      <c r="Q62" s="149"/>
    </row>
    <row r="63">
      <c r="A63" s="122"/>
      <c r="B63" s="123"/>
      <c r="C63" s="243"/>
      <c r="D63" s="243"/>
      <c r="E63" s="139" t="s">
        <v>182</v>
      </c>
      <c r="F63" s="140" t="s">
        <v>79</v>
      </c>
      <c r="G63" s="163" t="s">
        <v>143</v>
      </c>
      <c r="H63" s="245">
        <f>H62/H35</f>
        <v>0.6428571429</v>
      </c>
      <c r="I63" s="132" t="s">
        <v>144</v>
      </c>
      <c r="J63" s="132" t="s">
        <v>144</v>
      </c>
      <c r="K63" s="132" t="s">
        <v>144</v>
      </c>
      <c r="L63" s="132" t="s">
        <v>144</v>
      </c>
      <c r="M63" s="132" t="s">
        <v>144</v>
      </c>
      <c r="N63" s="132" t="s">
        <v>144</v>
      </c>
      <c r="O63" s="132" t="s">
        <v>144</v>
      </c>
      <c r="P63" s="132" t="s">
        <v>144</v>
      </c>
      <c r="Q63" s="246"/>
    </row>
    <row r="64">
      <c r="A64" s="122"/>
      <c r="B64" s="123"/>
      <c r="C64" s="215"/>
      <c r="D64" s="123"/>
      <c r="E64" s="216" t="s">
        <v>183</v>
      </c>
      <c r="F64" s="217" t="str">
        <f>Inputs!F133</f>
        <v>%</v>
      </c>
      <c r="G64" s="218" t="str">
        <f>Inputs!G133</f>
        <v>input</v>
      </c>
      <c r="H64" s="219">
        <f>Inputs!H133</f>
        <v>-0.05</v>
      </c>
      <c r="I64" s="179" t="str">
        <f>Inputs!I133</f>
        <v>-</v>
      </c>
      <c r="J64" s="179" t="str">
        <f>Inputs!J133</f>
        <v>-</v>
      </c>
      <c r="K64" s="179" t="str">
        <f>Inputs!K133</f>
        <v>-</v>
      </c>
      <c r="L64" s="179" t="str">
        <f>Inputs!L133</f>
        <v>-</v>
      </c>
      <c r="M64" s="179" t="str">
        <f>Inputs!M133</f>
        <v>-</v>
      </c>
      <c r="N64" s="179" t="str">
        <f>Inputs!N133</f>
        <v>-</v>
      </c>
      <c r="O64" s="179" t="str">
        <f>Inputs!O133</f>
        <v>-</v>
      </c>
      <c r="P64" s="179" t="str">
        <f>Inputs!P133</f>
        <v>-</v>
      </c>
      <c r="Q64" s="155"/>
    </row>
    <row r="65">
      <c r="A65" s="122"/>
      <c r="B65" s="123"/>
      <c r="C65" s="215"/>
      <c r="D65" s="123"/>
      <c r="E65" s="216" t="s">
        <v>184</v>
      </c>
      <c r="F65" s="217" t="str">
        <f>Inputs!F134</f>
        <v>%</v>
      </c>
      <c r="G65" s="218" t="str">
        <f>Inputs!G134</f>
        <v>input</v>
      </c>
      <c r="H65" s="219">
        <f>Inputs!H134</f>
        <v>-0.05</v>
      </c>
      <c r="I65" s="179" t="str">
        <f>Inputs!I134</f>
        <v>-</v>
      </c>
      <c r="J65" s="179" t="str">
        <f>Inputs!J134</f>
        <v>-</v>
      </c>
      <c r="K65" s="179" t="str">
        <f>Inputs!K134</f>
        <v>-</v>
      </c>
      <c r="L65" s="179" t="str">
        <f>Inputs!L134</f>
        <v>-</v>
      </c>
      <c r="M65" s="179" t="str">
        <f>Inputs!M134</f>
        <v>-</v>
      </c>
      <c r="N65" s="179" t="str">
        <f>Inputs!N134</f>
        <v>-</v>
      </c>
      <c r="O65" s="179" t="str">
        <f>Inputs!O134</f>
        <v>-</v>
      </c>
      <c r="P65" s="179" t="str">
        <f>Inputs!P134</f>
        <v>-</v>
      </c>
      <c r="Q65" s="155"/>
    </row>
    <row r="66">
      <c r="A66" s="122"/>
      <c r="B66" s="123"/>
      <c r="C66" s="123"/>
      <c r="D66" s="123"/>
      <c r="E66" s="216" t="s">
        <v>185</v>
      </c>
      <c r="F66" s="217" t="str">
        <f>'Insecticide resistance'!F66</f>
        <v>%</v>
      </c>
      <c r="G66" s="247" t="s">
        <v>166</v>
      </c>
      <c r="H66" s="248" t="str">
        <f>'Insecticide resistance'!H66</f>
        <v>-</v>
      </c>
      <c r="I66" s="154">
        <f>'Insecticide resistance'!I66</f>
        <v>-0.5859760227</v>
      </c>
      <c r="J66" s="154">
        <f>'Insecticide resistance'!J66</f>
        <v>-0.03767823997</v>
      </c>
      <c r="K66" s="154">
        <f>'Insecticide resistance'!K66</f>
        <v>-0.2070227136</v>
      </c>
      <c r="L66" s="154">
        <f>'Insecticide resistance'!L66</f>
        <v>-0.1353111037</v>
      </c>
      <c r="M66" s="154">
        <f>'Insecticide resistance'!M66</f>
        <v>-0.1353111037</v>
      </c>
      <c r="N66" s="154">
        <f>'Insecticide resistance'!N66</f>
        <v>-0.3073066123</v>
      </c>
      <c r="O66" s="154">
        <f>'Insecticide resistance'!O66</f>
        <v>-0.3290596923</v>
      </c>
      <c r="P66" s="154">
        <f>'Insecticide resistance'!P66</f>
        <v>-0.1149838304</v>
      </c>
      <c r="Q66" s="249"/>
    </row>
    <row r="67">
      <c r="A67" s="122"/>
      <c r="B67" s="123"/>
      <c r="C67" s="243"/>
      <c r="D67" s="243"/>
      <c r="E67" s="198" t="s">
        <v>186</v>
      </c>
      <c r="F67" s="188" t="s">
        <v>79</v>
      </c>
      <c r="G67" s="199" t="s">
        <v>143</v>
      </c>
      <c r="H67" s="172" t="s">
        <v>144</v>
      </c>
      <c r="I67" s="148">
        <f t="shared" ref="I67:P67" si="19">$H63*(1+$H64)*(1+$H65)*(1+I66)</f>
        <v>0.2402078397</v>
      </c>
      <c r="J67" s="148">
        <f t="shared" si="19"/>
        <v>0.558318464</v>
      </c>
      <c r="K67" s="148">
        <f t="shared" si="19"/>
        <v>0.4600684292</v>
      </c>
      <c r="L67" s="148">
        <f t="shared" si="19"/>
        <v>0.5016739686</v>
      </c>
      <c r="M67" s="148">
        <f t="shared" si="19"/>
        <v>0.5016739686</v>
      </c>
      <c r="N67" s="148">
        <f t="shared" si="19"/>
        <v>0.4018858601</v>
      </c>
      <c r="O67" s="148">
        <f t="shared" si="19"/>
        <v>0.3892651892</v>
      </c>
      <c r="P67" s="148">
        <f t="shared" si="19"/>
        <v>0.513467417</v>
      </c>
      <c r="Q67" s="236"/>
    </row>
    <row r="68">
      <c r="A68" s="122"/>
      <c r="B68" s="123"/>
      <c r="C68" s="243"/>
      <c r="D68" s="243"/>
      <c r="E68" s="198" t="s">
        <v>187</v>
      </c>
      <c r="F68" s="188" t="str">
        <f>Inputs!F135</f>
        <v>%</v>
      </c>
      <c r="G68" s="199" t="s">
        <v>136</v>
      </c>
      <c r="H68" s="250">
        <f>Inputs!H135</f>
        <v>1</v>
      </c>
      <c r="I68" s="244" t="str">
        <f>Inputs!I135</f>
        <v>-</v>
      </c>
      <c r="J68" s="244" t="str">
        <f>Inputs!J135</f>
        <v>-</v>
      </c>
      <c r="K68" s="244" t="str">
        <f>Inputs!K135</f>
        <v>-</v>
      </c>
      <c r="L68" s="244" t="str">
        <f>Inputs!L135</f>
        <v>-</v>
      </c>
      <c r="M68" s="244" t="str">
        <f>Inputs!M135</f>
        <v>-</v>
      </c>
      <c r="N68" s="244" t="str">
        <f>Inputs!N135</f>
        <v>-</v>
      </c>
      <c r="O68" s="244" t="str">
        <f>Inputs!O135</f>
        <v>-</v>
      </c>
      <c r="P68" s="244" t="str">
        <f>Inputs!P135</f>
        <v>-</v>
      </c>
      <c r="Q68" s="149"/>
    </row>
    <row r="69">
      <c r="A69" s="122"/>
      <c r="B69" s="123"/>
      <c r="C69" s="243"/>
      <c r="D69" s="243"/>
      <c r="E69" s="198" t="s">
        <v>188</v>
      </c>
      <c r="F69" s="188" t="s">
        <v>79</v>
      </c>
      <c r="G69" s="199" t="s">
        <v>143</v>
      </c>
      <c r="H69" s="172" t="s">
        <v>144</v>
      </c>
      <c r="I69" s="148">
        <f t="shared" ref="I69:P69" si="20">I67*$H68</f>
        <v>0.2402078397</v>
      </c>
      <c r="J69" s="148">
        <f t="shared" si="20"/>
        <v>0.558318464</v>
      </c>
      <c r="K69" s="148">
        <f t="shared" si="20"/>
        <v>0.4600684292</v>
      </c>
      <c r="L69" s="148">
        <f t="shared" si="20"/>
        <v>0.5016739686</v>
      </c>
      <c r="M69" s="148">
        <f t="shared" si="20"/>
        <v>0.5016739686</v>
      </c>
      <c r="N69" s="148">
        <f t="shared" si="20"/>
        <v>0.4018858601</v>
      </c>
      <c r="O69" s="148">
        <f t="shared" si="20"/>
        <v>0.3892651892</v>
      </c>
      <c r="P69" s="148">
        <f t="shared" si="20"/>
        <v>0.513467417</v>
      </c>
      <c r="Q69" s="149"/>
    </row>
    <row r="70">
      <c r="A70" s="122"/>
      <c r="B70" s="123"/>
      <c r="C70" s="243"/>
      <c r="D70" s="243"/>
      <c r="E70" s="198" t="s">
        <v>189</v>
      </c>
      <c r="F70" s="251" t="str">
        <f>'Counterfactual malaria'!F15</f>
        <v>%</v>
      </c>
      <c r="G70" s="199" t="s">
        <v>166</v>
      </c>
      <c r="H70" s="252" t="str">
        <f>'Counterfactual malaria'!H15</f>
        <v>-</v>
      </c>
      <c r="I70" s="253">
        <f>'Counterfactual malaria'!I15</f>
        <v>0.001318997688</v>
      </c>
      <c r="J70" s="253">
        <f>'Counterfactual malaria'!J15</f>
        <v>0.00305644734</v>
      </c>
      <c r="K70" s="253">
        <f>'Counterfactual malaria'!K15</f>
        <v>0.003673911359</v>
      </c>
      <c r="L70" s="253">
        <f>'Counterfactual malaria'!L15</f>
        <v>0.002704804276</v>
      </c>
      <c r="M70" s="253">
        <f>'Counterfactual malaria'!M15</f>
        <v>0.002906550552</v>
      </c>
      <c r="N70" s="253">
        <f>'Counterfactual malaria'!N15</f>
        <v>0.002516179553</v>
      </c>
      <c r="O70" s="253">
        <f>'Counterfactual malaria'!O15</f>
        <v>0.001639136168</v>
      </c>
      <c r="P70" s="253">
        <f>'Counterfactual malaria'!P15</f>
        <v>0.002350482231</v>
      </c>
      <c r="Q70" s="149"/>
    </row>
    <row r="71">
      <c r="A71" s="122"/>
      <c r="B71" s="123"/>
      <c r="C71" s="243"/>
      <c r="D71" s="243"/>
      <c r="E71" s="198" t="s">
        <v>190</v>
      </c>
      <c r="F71" s="188" t="str">
        <f>Inputs!F136</f>
        <v>#</v>
      </c>
      <c r="G71" s="254" t="str">
        <f>Inputs!G136</f>
        <v>input</v>
      </c>
      <c r="H71" s="147">
        <f>Inputs!H136</f>
        <v>0.75</v>
      </c>
      <c r="I71" s="244" t="str">
        <f>Inputs!I136</f>
        <v>-</v>
      </c>
      <c r="J71" s="244" t="str">
        <f>Inputs!J136</f>
        <v>-</v>
      </c>
      <c r="K71" s="244" t="str">
        <f>Inputs!K136</f>
        <v>-</v>
      </c>
      <c r="L71" s="244" t="str">
        <f>Inputs!L136</f>
        <v>-</v>
      </c>
      <c r="M71" s="244" t="str">
        <f>Inputs!M136</f>
        <v>-</v>
      </c>
      <c r="N71" s="244" t="str">
        <f>Inputs!N136</f>
        <v>-</v>
      </c>
      <c r="O71" s="244" t="str">
        <f>Inputs!O136</f>
        <v>-</v>
      </c>
      <c r="P71" s="244" t="str">
        <f>Inputs!P136</f>
        <v>-</v>
      </c>
      <c r="Q71" s="149"/>
    </row>
    <row r="72">
      <c r="A72" s="122"/>
      <c r="B72" s="123"/>
      <c r="C72" s="243"/>
      <c r="D72" s="243"/>
      <c r="E72" s="198" t="s">
        <v>191</v>
      </c>
      <c r="F72" s="188" t="s">
        <v>79</v>
      </c>
      <c r="G72" s="199" t="s">
        <v>143</v>
      </c>
      <c r="H72" s="172" t="s">
        <v>144</v>
      </c>
      <c r="I72" s="253">
        <f t="shared" ref="I72:P72" si="21">I70*(1+$H71)</f>
        <v>0.002308245954</v>
      </c>
      <c r="J72" s="253">
        <f t="shared" si="21"/>
        <v>0.005348782845</v>
      </c>
      <c r="K72" s="253">
        <f t="shared" si="21"/>
        <v>0.006429344879</v>
      </c>
      <c r="L72" s="253">
        <f t="shared" si="21"/>
        <v>0.004733407483</v>
      </c>
      <c r="M72" s="253">
        <f t="shared" si="21"/>
        <v>0.005086463466</v>
      </c>
      <c r="N72" s="253">
        <f t="shared" si="21"/>
        <v>0.004403314217</v>
      </c>
      <c r="O72" s="253">
        <f t="shared" si="21"/>
        <v>0.002868488294</v>
      </c>
      <c r="P72" s="253">
        <f t="shared" si="21"/>
        <v>0.004113343904</v>
      </c>
      <c r="Q72" s="149"/>
    </row>
    <row r="73">
      <c r="A73" s="122"/>
      <c r="B73" s="123"/>
      <c r="C73" s="243"/>
      <c r="D73" s="243"/>
      <c r="E73" s="216" t="s">
        <v>192</v>
      </c>
      <c r="F73" s="217" t="str">
        <f>'Counterfactual malaria'!F26</f>
        <v>ppt</v>
      </c>
      <c r="G73" s="218" t="s">
        <v>166</v>
      </c>
      <c r="H73" s="230" t="str">
        <f>'Counterfactual malaria'!H26</f>
        <v>-</v>
      </c>
      <c r="I73" s="255">
        <f>'Counterfactual malaria'!I26</f>
        <v>0.00091339</v>
      </c>
      <c r="J73" s="255">
        <f>'Counterfactual malaria'!J26</f>
        <v>0</v>
      </c>
      <c r="K73" s="255">
        <f>'Counterfactual malaria'!K26</f>
        <v>0</v>
      </c>
      <c r="L73" s="255">
        <f>'Counterfactual malaria'!L26</f>
        <v>0.0006345738285</v>
      </c>
      <c r="M73" s="255">
        <f>'Counterfactual malaria'!M26</f>
        <v>0.001422761968</v>
      </c>
      <c r="N73" s="255">
        <f>'Counterfactual malaria'!N26</f>
        <v>0.000434442</v>
      </c>
      <c r="O73" s="255">
        <f>'Counterfactual malaria'!O26</f>
        <v>0.0007102489736</v>
      </c>
      <c r="P73" s="255">
        <f>'Counterfactual malaria'!P26</f>
        <v>0</v>
      </c>
      <c r="Q73" s="155"/>
    </row>
    <row r="74">
      <c r="A74" s="122"/>
      <c r="B74" s="123"/>
      <c r="C74" s="243"/>
      <c r="D74" s="243"/>
      <c r="E74" s="216" t="s">
        <v>193</v>
      </c>
      <c r="F74" s="217" t="s">
        <v>79</v>
      </c>
      <c r="G74" s="218" t="s">
        <v>143</v>
      </c>
      <c r="H74" s="178" t="s">
        <v>144</v>
      </c>
      <c r="I74" s="255">
        <f t="shared" ref="I74:P74" si="22">I72-I73</f>
        <v>0.001394855954</v>
      </c>
      <c r="J74" s="255">
        <f t="shared" si="22"/>
        <v>0.005348782845</v>
      </c>
      <c r="K74" s="255">
        <f t="shared" si="22"/>
        <v>0.006429344879</v>
      </c>
      <c r="L74" s="255">
        <f t="shared" si="22"/>
        <v>0.004098833654</v>
      </c>
      <c r="M74" s="255">
        <f t="shared" si="22"/>
        <v>0.003663701498</v>
      </c>
      <c r="N74" s="255">
        <f t="shared" si="22"/>
        <v>0.003968872217</v>
      </c>
      <c r="O74" s="255">
        <f t="shared" si="22"/>
        <v>0.00215823932</v>
      </c>
      <c r="P74" s="255">
        <f t="shared" si="22"/>
        <v>0.004113343904</v>
      </c>
      <c r="Q74" s="155"/>
    </row>
    <row r="75">
      <c r="A75" s="122"/>
      <c r="B75" s="123"/>
      <c r="C75" s="243"/>
      <c r="D75" s="243"/>
      <c r="E75" s="198" t="s">
        <v>194</v>
      </c>
      <c r="F75" s="188" t="str">
        <f>Inputs!F137</f>
        <v>%</v>
      </c>
      <c r="G75" s="254" t="str">
        <f>Inputs!G137</f>
        <v>input</v>
      </c>
      <c r="H75" s="172" t="str">
        <f>Inputs!H137</f>
        <v>-</v>
      </c>
      <c r="I75" s="148">
        <f>Inputs!I137</f>
        <v>0.313</v>
      </c>
      <c r="J75" s="148">
        <f>Inputs!J137</f>
        <v>0.591</v>
      </c>
      <c r="K75" s="148">
        <f>Inputs!K137</f>
        <v>0.586</v>
      </c>
      <c r="L75" s="148">
        <f>Inputs!L137</f>
        <v>0.51</v>
      </c>
      <c r="M75" s="148">
        <f>Inputs!M137</f>
        <v>0.471</v>
      </c>
      <c r="N75" s="148">
        <f>Inputs!N137</f>
        <v>0.494</v>
      </c>
      <c r="O75" s="148">
        <f>Inputs!O137</f>
        <v>0.795</v>
      </c>
      <c r="P75" s="148">
        <f>Inputs!P137</f>
        <v>0.704</v>
      </c>
      <c r="Q75" s="149"/>
    </row>
    <row r="76">
      <c r="A76" s="122"/>
      <c r="B76" s="123"/>
      <c r="C76" s="243"/>
      <c r="D76" s="243"/>
      <c r="E76" s="198" t="s">
        <v>195</v>
      </c>
      <c r="F76" s="188" t="s">
        <v>79</v>
      </c>
      <c r="G76" s="199" t="s">
        <v>143</v>
      </c>
      <c r="H76" s="172" t="s">
        <v>144</v>
      </c>
      <c r="I76" s="253">
        <f t="shared" ref="I76:P76" si="23">I74/((1-I69)*I75+(1-I75))</f>
        <v>0.001508254121</v>
      </c>
      <c r="J76" s="253">
        <f t="shared" si="23"/>
        <v>0.007982855406</v>
      </c>
      <c r="K76" s="253">
        <f t="shared" si="23"/>
        <v>0.008802499665</v>
      </c>
      <c r="L76" s="253">
        <f t="shared" si="23"/>
        <v>0.005508102085</v>
      </c>
      <c r="M76" s="253">
        <f t="shared" si="23"/>
        <v>0.004797231947</v>
      </c>
      <c r="N76" s="253">
        <f t="shared" si="23"/>
        <v>0.004952000966</v>
      </c>
      <c r="O76" s="253">
        <f t="shared" si="23"/>
        <v>0.003125463445</v>
      </c>
      <c r="P76" s="253">
        <f t="shared" si="23"/>
        <v>0.006442007678</v>
      </c>
      <c r="Q76" s="149"/>
    </row>
    <row r="77">
      <c r="A77" s="122"/>
      <c r="B77" s="123"/>
      <c r="C77" s="243"/>
      <c r="D77" s="243"/>
      <c r="E77" s="164" t="s">
        <v>196</v>
      </c>
      <c r="F77" s="134" t="s">
        <v>69</v>
      </c>
      <c r="G77" s="165" t="s">
        <v>143</v>
      </c>
      <c r="H77" s="166" t="s">
        <v>144</v>
      </c>
      <c r="I77" s="256">
        <f t="shared" ref="I77:P77" si="24">I55*I76*I69</f>
        <v>46.8853777</v>
      </c>
      <c r="J77" s="256">
        <f t="shared" si="24"/>
        <v>202.5671883</v>
      </c>
      <c r="K77" s="256">
        <f t="shared" si="24"/>
        <v>449.4971659</v>
      </c>
      <c r="L77" s="256">
        <f t="shared" si="24"/>
        <v>247.7577553</v>
      </c>
      <c r="M77" s="256">
        <f t="shared" si="24"/>
        <v>144.5921218</v>
      </c>
      <c r="N77" s="256">
        <f t="shared" si="24"/>
        <v>100.8295162</v>
      </c>
      <c r="O77" s="256">
        <f t="shared" si="24"/>
        <v>103.7641668</v>
      </c>
      <c r="P77" s="256">
        <f t="shared" si="24"/>
        <v>293.5615279</v>
      </c>
      <c r="Q77" s="138"/>
    </row>
    <row r="78">
      <c r="A78" s="122"/>
      <c r="B78" s="123"/>
      <c r="C78" s="243"/>
      <c r="D78" s="243"/>
      <c r="E78" s="139"/>
      <c r="F78" s="125"/>
      <c r="G78" s="126"/>
      <c r="H78" s="127"/>
      <c r="I78" s="132"/>
      <c r="J78" s="132"/>
      <c r="K78" s="132"/>
      <c r="L78" s="132"/>
      <c r="M78" s="132"/>
      <c r="N78" s="132"/>
      <c r="O78" s="132"/>
      <c r="P78" s="132"/>
      <c r="Q78" s="129"/>
    </row>
    <row r="79">
      <c r="A79" s="122"/>
      <c r="B79" s="123"/>
      <c r="C79" s="243" t="s">
        <v>197</v>
      </c>
      <c r="F79" s="140"/>
      <c r="G79" s="163"/>
      <c r="H79" s="127"/>
      <c r="I79" s="132"/>
      <c r="J79" s="132"/>
      <c r="K79" s="132"/>
      <c r="L79" s="132"/>
      <c r="M79" s="132"/>
      <c r="N79" s="132"/>
      <c r="O79" s="132"/>
      <c r="P79" s="132"/>
      <c r="Q79" s="129"/>
    </row>
    <row r="80">
      <c r="A80" s="122"/>
      <c r="B80" s="123"/>
      <c r="C80" s="257"/>
      <c r="D80" s="123"/>
      <c r="E80" s="198" t="s">
        <v>198</v>
      </c>
      <c r="F80" s="188" t="str">
        <f>Inputs!F140</f>
        <v>#</v>
      </c>
      <c r="G80" s="199" t="str">
        <f>Inputs!G140</f>
        <v>input</v>
      </c>
      <c r="H80" s="147" t="str">
        <f>Inputs!H140</f>
        <v>-</v>
      </c>
      <c r="I80" s="258">
        <f>Inputs!I140</f>
        <v>4525.732446</v>
      </c>
      <c r="J80" s="258">
        <f>Inputs!J140</f>
        <v>44077.9481</v>
      </c>
      <c r="K80" s="258">
        <f>Inputs!K140</f>
        <v>8181.102532</v>
      </c>
      <c r="L80" s="213">
        <f>Inputs!L140</f>
        <v>44919.36</v>
      </c>
      <c r="M80" s="213">
        <f>Inputs!M140</f>
        <v>30014.76</v>
      </c>
      <c r="N80" s="258">
        <f>Inputs!N140</f>
        <v>4010.303592</v>
      </c>
      <c r="O80" s="258">
        <f>Inputs!O140</f>
        <v>1880.407943</v>
      </c>
      <c r="P80" s="258">
        <f>Inputs!P140</f>
        <v>17385.76538</v>
      </c>
      <c r="Q80" s="149"/>
    </row>
    <row r="81">
      <c r="A81" s="122"/>
      <c r="B81" s="123"/>
      <c r="C81" s="257"/>
      <c r="D81" s="123"/>
      <c r="E81" s="216" t="s">
        <v>199</v>
      </c>
      <c r="F81" s="217" t="str">
        <f>Inputs!F141</f>
        <v>#</v>
      </c>
      <c r="G81" s="218" t="str">
        <f>Inputs!G141</f>
        <v>input</v>
      </c>
      <c r="H81" s="153" t="str">
        <f>Inputs!H141</f>
        <v>-</v>
      </c>
      <c r="I81" s="259">
        <f>Inputs!I141</f>
        <v>7194.19944</v>
      </c>
      <c r="J81" s="259">
        <f>Inputs!J141</f>
        <v>57160.15456</v>
      </c>
      <c r="K81" s="259">
        <f>Inputs!K141</f>
        <v>11336.50112</v>
      </c>
      <c r="L81" s="231">
        <f>Inputs!L141</f>
        <v>77647.61</v>
      </c>
      <c r="M81" s="231">
        <f>Inputs!M141</f>
        <v>55752.71</v>
      </c>
      <c r="N81" s="259">
        <f>Inputs!N141</f>
        <v>5109.313152</v>
      </c>
      <c r="O81" s="259">
        <f>Inputs!O141</f>
        <v>5436.187861</v>
      </c>
      <c r="P81" s="259">
        <f>Inputs!P141</f>
        <v>22586.59252</v>
      </c>
      <c r="Q81" s="155"/>
    </row>
    <row r="82">
      <c r="A82" s="122"/>
      <c r="B82" s="123"/>
      <c r="C82" s="257"/>
      <c r="D82" s="123"/>
      <c r="E82" s="216" t="s">
        <v>200</v>
      </c>
      <c r="F82" s="217" t="s">
        <v>69</v>
      </c>
      <c r="G82" s="218" t="s">
        <v>143</v>
      </c>
      <c r="H82" s="178" t="s">
        <v>144</v>
      </c>
      <c r="I82" s="259">
        <f t="shared" ref="I82:P82" si="25">I81-I80</f>
        <v>2668.466994</v>
      </c>
      <c r="J82" s="259">
        <f t="shared" si="25"/>
        <v>13082.20646</v>
      </c>
      <c r="K82" s="259">
        <f t="shared" si="25"/>
        <v>3155.398588</v>
      </c>
      <c r="L82" s="259">
        <f t="shared" si="25"/>
        <v>32728.25</v>
      </c>
      <c r="M82" s="259">
        <f t="shared" si="25"/>
        <v>25737.95</v>
      </c>
      <c r="N82" s="259">
        <f t="shared" si="25"/>
        <v>1099.00956</v>
      </c>
      <c r="O82" s="259">
        <f t="shared" si="25"/>
        <v>3555.779918</v>
      </c>
      <c r="P82" s="259">
        <f t="shared" si="25"/>
        <v>5200.82714</v>
      </c>
      <c r="Q82" s="155"/>
    </row>
    <row r="83">
      <c r="A83" s="122"/>
      <c r="B83" s="123"/>
      <c r="C83" s="257"/>
      <c r="D83" s="123"/>
      <c r="E83" s="216" t="s">
        <v>201</v>
      </c>
      <c r="F83" s="217" t="s">
        <v>79</v>
      </c>
      <c r="G83" s="218" t="s">
        <v>143</v>
      </c>
      <c r="H83" s="178" t="s">
        <v>144</v>
      </c>
      <c r="I83" s="260">
        <f t="shared" ref="I83:P83" si="26">I82/I80</f>
        <v>0.5896210229</v>
      </c>
      <c r="J83" s="260">
        <f t="shared" si="26"/>
        <v>0.2967970839</v>
      </c>
      <c r="K83" s="260">
        <f t="shared" si="26"/>
        <v>0.3856935634</v>
      </c>
      <c r="L83" s="260">
        <f t="shared" si="26"/>
        <v>0.7286000958</v>
      </c>
      <c r="M83" s="260">
        <f t="shared" si="26"/>
        <v>0.8575097719</v>
      </c>
      <c r="N83" s="260">
        <f t="shared" si="26"/>
        <v>0.2740464742</v>
      </c>
      <c r="O83" s="260">
        <f t="shared" si="26"/>
        <v>1.890961975</v>
      </c>
      <c r="P83" s="260">
        <f t="shared" si="26"/>
        <v>0.2991428347</v>
      </c>
      <c r="Q83" s="155"/>
    </row>
    <row r="84">
      <c r="A84" s="122"/>
      <c r="B84" s="123"/>
      <c r="C84" s="257"/>
      <c r="D84" s="123"/>
      <c r="E84" s="216" t="s">
        <v>202</v>
      </c>
      <c r="F84" s="217" t="str">
        <f>Inputs!F142</f>
        <v>%</v>
      </c>
      <c r="G84" s="218" t="str">
        <f>Inputs!G142</f>
        <v>input</v>
      </c>
      <c r="H84" s="261">
        <f>Inputs!H142</f>
        <v>0.8</v>
      </c>
      <c r="I84" s="220" t="str">
        <f>Inputs!I142</f>
        <v>-</v>
      </c>
      <c r="J84" s="220" t="str">
        <f>Inputs!J142</f>
        <v>-</v>
      </c>
      <c r="K84" s="220" t="str">
        <f>Inputs!K142</f>
        <v>-</v>
      </c>
      <c r="L84" s="220" t="str">
        <f>Inputs!L142</f>
        <v>-</v>
      </c>
      <c r="M84" s="220" t="str">
        <f>Inputs!M142</f>
        <v>-</v>
      </c>
      <c r="N84" s="220" t="str">
        <f>Inputs!N142</f>
        <v>-</v>
      </c>
      <c r="O84" s="220" t="str">
        <f>Inputs!O142</f>
        <v>-</v>
      </c>
      <c r="P84" s="220" t="str">
        <f>Inputs!P142</f>
        <v>-</v>
      </c>
      <c r="Q84" s="155"/>
    </row>
    <row r="85">
      <c r="A85" s="122"/>
      <c r="B85" s="123"/>
      <c r="C85" s="257"/>
      <c r="D85" s="123"/>
      <c r="E85" s="181" t="s">
        <v>203</v>
      </c>
      <c r="F85" s="221" t="s">
        <v>69</v>
      </c>
      <c r="G85" s="222" t="s">
        <v>143</v>
      </c>
      <c r="H85" s="184" t="s">
        <v>144</v>
      </c>
      <c r="I85" s="262">
        <f t="shared" ref="I85:P85" si="27">I77*I83*$H84</f>
        <v>22.11568348</v>
      </c>
      <c r="J85" s="262">
        <f t="shared" si="27"/>
        <v>48.09708063</v>
      </c>
      <c r="K85" s="262">
        <f t="shared" si="27"/>
        <v>138.6945309</v>
      </c>
      <c r="L85" s="262">
        <f t="shared" si="27"/>
        <v>144.4130594</v>
      </c>
      <c r="M85" s="262">
        <f t="shared" si="27"/>
        <v>99.19132593</v>
      </c>
      <c r="N85" s="262">
        <f t="shared" si="27"/>
        <v>22.10557874</v>
      </c>
      <c r="O85" s="262">
        <f t="shared" si="27"/>
        <v>156.971275</v>
      </c>
      <c r="P85" s="262">
        <f t="shared" si="27"/>
        <v>70.2534621</v>
      </c>
      <c r="Q85" s="161"/>
    </row>
    <row r="86">
      <c r="A86" s="122"/>
      <c r="B86" s="123"/>
      <c r="C86" s="257"/>
      <c r="D86" s="123"/>
      <c r="E86" s="139"/>
      <c r="F86" s="140"/>
      <c r="G86" s="163"/>
      <c r="H86" s="127"/>
      <c r="I86" s="132"/>
      <c r="J86" s="132"/>
      <c r="K86" s="132"/>
      <c r="L86" s="132"/>
      <c r="M86" s="132"/>
      <c r="N86" s="132"/>
      <c r="O86" s="132"/>
      <c r="P86" s="132"/>
      <c r="Q86" s="263"/>
    </row>
    <row r="87">
      <c r="A87" s="122"/>
      <c r="B87" s="123"/>
      <c r="C87" s="168" t="s">
        <v>204</v>
      </c>
      <c r="F87" s="140"/>
      <c r="G87" s="163"/>
      <c r="H87" s="127"/>
      <c r="I87" s="132"/>
      <c r="J87" s="132"/>
      <c r="K87" s="132"/>
      <c r="L87" s="132"/>
      <c r="M87" s="132"/>
      <c r="N87" s="132"/>
      <c r="O87" s="132"/>
      <c r="P87" s="132"/>
      <c r="Q87" s="129"/>
    </row>
    <row r="88">
      <c r="A88" s="122"/>
      <c r="B88" s="123"/>
      <c r="C88" s="257"/>
      <c r="D88" s="264"/>
      <c r="E88" s="198" t="s">
        <v>205</v>
      </c>
      <c r="F88" s="188" t="str">
        <f>'Counterfactual malaria'!F36</f>
        <v>%</v>
      </c>
      <c r="G88" s="199" t="s">
        <v>166</v>
      </c>
      <c r="H88" s="147" t="str">
        <f>'Counterfactual malaria'!H36</f>
        <v>-</v>
      </c>
      <c r="I88" s="265">
        <f>'Counterfactual malaria'!I36</f>
        <v>0.2389634809</v>
      </c>
      <c r="J88" s="265">
        <f>'Counterfactual malaria'!J36</f>
        <v>1.312088155</v>
      </c>
      <c r="K88" s="265">
        <f>'Counterfactual malaria'!K36</f>
        <v>0.979056497</v>
      </c>
      <c r="L88" s="265">
        <f>'Counterfactual malaria'!L36</f>
        <v>0.8300257314</v>
      </c>
      <c r="M88" s="148">
        <f>'Counterfactual malaria'!M36</f>
        <v>0.9873421779</v>
      </c>
      <c r="N88" s="148">
        <f>'Counterfactual malaria'!N36</f>
        <v>0.7352142562</v>
      </c>
      <c r="O88" s="148">
        <f>'Counterfactual malaria'!O36</f>
        <v>1.064869351</v>
      </c>
      <c r="P88" s="148">
        <f>'Counterfactual malaria'!P36</f>
        <v>1.026211123</v>
      </c>
      <c r="Q88" s="149"/>
    </row>
    <row r="89">
      <c r="A89" s="122"/>
      <c r="B89" s="123"/>
      <c r="C89" s="257"/>
      <c r="D89" s="123"/>
      <c r="E89" s="266" t="s">
        <v>206</v>
      </c>
      <c r="F89" s="188" t="str">
        <f>'Counterfactual malaria'!F37</f>
        <v>%</v>
      </c>
      <c r="G89" s="199" t="s">
        <v>166</v>
      </c>
      <c r="H89" s="147" t="str">
        <f>'Counterfactual malaria'!H37</f>
        <v>-</v>
      </c>
      <c r="I89" s="265">
        <f>'Counterfactual malaria'!I37</f>
        <v>0.2389634809</v>
      </c>
      <c r="J89" s="265">
        <f>'Counterfactual malaria'!J37</f>
        <v>0.5349874334</v>
      </c>
      <c r="K89" s="265">
        <f>'Counterfactual malaria'!K37</f>
        <v>0.408530636</v>
      </c>
      <c r="L89" s="265">
        <f>'Counterfactual malaria'!L37</f>
        <v>0.3611326964</v>
      </c>
      <c r="M89" s="148">
        <f>'Counterfactual malaria'!M37</f>
        <v>0.420057953</v>
      </c>
      <c r="N89" s="148">
        <f>'Counterfactual malaria'!N37</f>
        <v>0.3116497861</v>
      </c>
      <c r="O89" s="148">
        <f>'Counterfactual malaria'!O37</f>
        <v>0.4466842516</v>
      </c>
      <c r="P89" s="148">
        <f>'Counterfactual malaria'!P37</f>
        <v>0.4290397227</v>
      </c>
      <c r="Q89" s="149"/>
    </row>
    <row r="90">
      <c r="A90" s="122"/>
      <c r="B90" s="123"/>
      <c r="C90" s="123"/>
      <c r="D90" s="123"/>
      <c r="E90" s="216" t="s">
        <v>207</v>
      </c>
      <c r="F90" s="217" t="s">
        <v>81</v>
      </c>
      <c r="G90" s="218" t="s">
        <v>143</v>
      </c>
      <c r="H90" s="267" t="s">
        <v>144</v>
      </c>
      <c r="I90" s="154">
        <f t="shared" ref="I90:P90" si="28">I$67*I88</f>
        <v>0.0574009015</v>
      </c>
      <c r="J90" s="154">
        <f t="shared" si="28"/>
        <v>0.7325630436</v>
      </c>
      <c r="K90" s="154">
        <f t="shared" si="28"/>
        <v>0.4504329847</v>
      </c>
      <c r="L90" s="154">
        <f t="shared" si="28"/>
        <v>0.4164023027</v>
      </c>
      <c r="M90" s="154">
        <f t="shared" si="28"/>
        <v>0.4953238687</v>
      </c>
      <c r="N90" s="154">
        <f t="shared" si="28"/>
        <v>0.2954722137</v>
      </c>
      <c r="O90" s="154">
        <f t="shared" si="28"/>
        <v>0.4145165695</v>
      </c>
      <c r="P90" s="154">
        <f t="shared" si="28"/>
        <v>0.5269259743</v>
      </c>
      <c r="Q90" s="155"/>
    </row>
    <row r="91">
      <c r="A91" s="70"/>
      <c r="B91" s="10"/>
      <c r="C91" s="10"/>
      <c r="D91" s="10"/>
      <c r="E91" s="268" t="s">
        <v>208</v>
      </c>
      <c r="F91" s="269" t="s">
        <v>81</v>
      </c>
      <c r="G91" s="270" t="s">
        <v>143</v>
      </c>
      <c r="H91" s="271" t="s">
        <v>144</v>
      </c>
      <c r="I91" s="154">
        <f t="shared" ref="I91:P91" si="29">I$67*I89</f>
        <v>0.0574009015</v>
      </c>
      <c r="J91" s="154">
        <f t="shared" si="29"/>
        <v>0.2986933621</v>
      </c>
      <c r="K91" s="154">
        <f t="shared" si="29"/>
        <v>0.187952048</v>
      </c>
      <c r="L91" s="154">
        <f t="shared" si="29"/>
        <v>0.181170873</v>
      </c>
      <c r="M91" s="154">
        <f t="shared" si="29"/>
        <v>0.2107321403</v>
      </c>
      <c r="N91" s="154">
        <f t="shared" si="29"/>
        <v>0.1252476424</v>
      </c>
      <c r="O91" s="154">
        <f t="shared" si="29"/>
        <v>0.1738786297</v>
      </c>
      <c r="P91" s="154">
        <f t="shared" si="29"/>
        <v>0.2202979182</v>
      </c>
      <c r="Q91" s="272"/>
    </row>
    <row r="92">
      <c r="A92" s="122"/>
      <c r="B92" s="123"/>
      <c r="C92" s="130"/>
      <c r="D92" s="273"/>
      <c r="E92" s="216" t="s">
        <v>209</v>
      </c>
      <c r="F92" s="217" t="s">
        <v>69</v>
      </c>
      <c r="G92" s="247" t="s">
        <v>143</v>
      </c>
      <c r="H92" s="178" t="s">
        <v>144</v>
      </c>
      <c r="I92" s="259">
        <f t="shared" ref="I92:P92" si="30">I90*I55</f>
        <v>7428.385509</v>
      </c>
      <c r="J92" s="259">
        <f t="shared" si="30"/>
        <v>33294.60387</v>
      </c>
      <c r="K92" s="259">
        <f t="shared" si="30"/>
        <v>49995.24424</v>
      </c>
      <c r="L92" s="259">
        <f t="shared" si="30"/>
        <v>37335.05822</v>
      </c>
      <c r="M92" s="259">
        <f t="shared" si="30"/>
        <v>29759.22408</v>
      </c>
      <c r="N92" s="259">
        <f t="shared" si="30"/>
        <v>14969.96836</v>
      </c>
      <c r="O92" s="259">
        <f t="shared" si="30"/>
        <v>35353.24693</v>
      </c>
      <c r="P92" s="259">
        <f t="shared" si="30"/>
        <v>46764.31946</v>
      </c>
      <c r="Q92" s="238"/>
    </row>
    <row r="93">
      <c r="A93" s="122"/>
      <c r="B93" s="123"/>
      <c r="C93" s="123"/>
      <c r="D93" s="123"/>
      <c r="E93" s="181" t="s">
        <v>210</v>
      </c>
      <c r="F93" s="221" t="s">
        <v>69</v>
      </c>
      <c r="G93" s="274" t="s">
        <v>143</v>
      </c>
      <c r="H93" s="184" t="s">
        <v>144</v>
      </c>
      <c r="I93" s="275">
        <f t="shared" ref="I93:P93" si="31">I91*I56</f>
        <v>11094.47986</v>
      </c>
      <c r="J93" s="275">
        <f t="shared" si="31"/>
        <v>23970.3152</v>
      </c>
      <c r="K93" s="275">
        <f t="shared" si="31"/>
        <v>34744.54258</v>
      </c>
      <c r="L93" s="275">
        <f t="shared" si="31"/>
        <v>29184.61883</v>
      </c>
      <c r="M93" s="275">
        <f t="shared" si="31"/>
        <v>22747.04901</v>
      </c>
      <c r="N93" s="275">
        <f t="shared" si="31"/>
        <v>11098.43129</v>
      </c>
      <c r="O93" s="275">
        <f t="shared" si="31"/>
        <v>27039.9386</v>
      </c>
      <c r="P93" s="275">
        <f t="shared" si="31"/>
        <v>33058.34912</v>
      </c>
      <c r="Q93" s="241"/>
    </row>
    <row r="94">
      <c r="A94" s="122"/>
      <c r="B94" s="123"/>
      <c r="C94" s="123"/>
      <c r="D94" s="123"/>
      <c r="E94" s="139"/>
      <c r="F94" s="140"/>
      <c r="G94" s="163"/>
      <c r="H94" s="127"/>
      <c r="I94" s="132"/>
      <c r="J94" s="132"/>
      <c r="K94" s="132"/>
      <c r="L94" s="132"/>
      <c r="M94" s="132"/>
      <c r="N94" s="132"/>
      <c r="O94" s="132"/>
      <c r="P94" s="132"/>
      <c r="Q94" s="129"/>
    </row>
    <row r="95">
      <c r="A95" s="122"/>
      <c r="B95" s="123"/>
      <c r="C95" s="130" t="s">
        <v>211</v>
      </c>
      <c r="F95" s="125"/>
      <c r="G95" s="276"/>
      <c r="H95" s="127"/>
      <c r="I95" s="132"/>
      <c r="J95" s="132"/>
      <c r="K95" s="132"/>
      <c r="L95" s="132"/>
      <c r="M95" s="132"/>
      <c r="N95" s="132"/>
      <c r="O95" s="132"/>
      <c r="P95" s="132"/>
      <c r="Q95" s="129"/>
    </row>
    <row r="96">
      <c r="A96" s="122"/>
      <c r="B96" s="123"/>
      <c r="C96" s="123"/>
      <c r="D96" s="211"/>
      <c r="E96" s="198" t="s">
        <v>212</v>
      </c>
      <c r="F96" s="188" t="str">
        <f>Inputs!F145</f>
        <v>%</v>
      </c>
      <c r="G96" s="277" t="str">
        <f>Inputs!G145</f>
        <v>input</v>
      </c>
      <c r="H96" s="278">
        <f>Inputs!H145</f>
        <v>0.0058088</v>
      </c>
      <c r="I96" s="244" t="str">
        <f>Inputs!I145</f>
        <v>-</v>
      </c>
      <c r="J96" s="244" t="str">
        <f>Inputs!J145</f>
        <v>-</v>
      </c>
      <c r="K96" s="244" t="str">
        <f>Inputs!K145</f>
        <v>-</v>
      </c>
      <c r="L96" s="244" t="str">
        <f>Inputs!L145</f>
        <v>-</v>
      </c>
      <c r="M96" s="244" t="str">
        <f>Inputs!M145</f>
        <v>-</v>
      </c>
      <c r="N96" s="244" t="str">
        <f>Inputs!N145</f>
        <v>-</v>
      </c>
      <c r="O96" s="244" t="str">
        <f>Inputs!O145</f>
        <v>-</v>
      </c>
      <c r="P96" s="244" t="str">
        <f>Inputs!P145</f>
        <v>-</v>
      </c>
      <c r="Q96" s="149"/>
    </row>
    <row r="97">
      <c r="A97" s="70"/>
      <c r="B97" s="10"/>
      <c r="C97" s="10"/>
      <c r="D97" s="10"/>
      <c r="E97" s="279" t="s">
        <v>213</v>
      </c>
      <c r="F97" s="151" t="s">
        <v>77</v>
      </c>
      <c r="G97" s="280" t="s">
        <v>143</v>
      </c>
      <c r="H97" s="281">
        <f>(ln(1+H96)-ln(1))</f>
        <v>0.005791993972</v>
      </c>
      <c r="I97" s="282" t="s">
        <v>144</v>
      </c>
      <c r="J97" s="282" t="s">
        <v>144</v>
      </c>
      <c r="K97" s="282" t="s">
        <v>144</v>
      </c>
      <c r="L97" s="282" t="s">
        <v>144</v>
      </c>
      <c r="M97" s="282" t="s">
        <v>144</v>
      </c>
      <c r="N97" s="282" t="s">
        <v>144</v>
      </c>
      <c r="O97" s="282" t="s">
        <v>144</v>
      </c>
      <c r="P97" s="282" t="s">
        <v>144</v>
      </c>
      <c r="Q97" s="155"/>
    </row>
    <row r="98">
      <c r="A98" s="70"/>
      <c r="B98" s="10"/>
      <c r="C98" s="168"/>
      <c r="D98" s="10"/>
      <c r="E98" s="279" t="s">
        <v>214</v>
      </c>
      <c r="F98" s="283" t="str">
        <f>Inputs!F146</f>
        <v>#</v>
      </c>
      <c r="G98" s="152" t="str">
        <f>Inputs!G146</f>
        <v>input</v>
      </c>
      <c r="H98" s="153">
        <f>Inputs!H146</f>
        <v>10</v>
      </c>
      <c r="I98" s="220" t="str">
        <f>Inputs!I146</f>
        <v>-</v>
      </c>
      <c r="J98" s="220" t="str">
        <f>Inputs!J146</f>
        <v>-</v>
      </c>
      <c r="K98" s="220" t="str">
        <f>Inputs!K146</f>
        <v>-</v>
      </c>
      <c r="L98" s="220" t="str">
        <f>Inputs!L146</f>
        <v>-</v>
      </c>
      <c r="M98" s="220" t="str">
        <f>Inputs!M146</f>
        <v>-</v>
      </c>
      <c r="N98" s="220" t="str">
        <f>Inputs!N146</f>
        <v>-</v>
      </c>
      <c r="O98" s="220" t="str">
        <f>Inputs!O146</f>
        <v>-</v>
      </c>
      <c r="P98" s="220" t="str">
        <f>Inputs!P146</f>
        <v>-</v>
      </c>
      <c r="Q98" s="155"/>
    </row>
    <row r="99">
      <c r="A99" s="70"/>
      <c r="B99" s="10"/>
      <c r="C99" s="168"/>
      <c r="D99" s="10"/>
      <c r="E99" s="279" t="s">
        <v>215</v>
      </c>
      <c r="F99" s="283" t="str">
        <f>Inputs!F147</f>
        <v>%</v>
      </c>
      <c r="G99" s="152" t="str">
        <f>Inputs!G147</f>
        <v>input</v>
      </c>
      <c r="H99" s="284">
        <f>Inputs!H147</f>
        <v>0.04</v>
      </c>
      <c r="I99" s="220" t="str">
        <f>Inputs!I147</f>
        <v>-</v>
      </c>
      <c r="J99" s="220" t="str">
        <f>Inputs!J147</f>
        <v>-</v>
      </c>
      <c r="K99" s="220" t="str">
        <f>Inputs!K147</f>
        <v>-</v>
      </c>
      <c r="L99" s="220" t="str">
        <f>Inputs!L147</f>
        <v>-</v>
      </c>
      <c r="M99" s="220" t="str">
        <f>Inputs!M147</f>
        <v>-</v>
      </c>
      <c r="N99" s="220" t="str">
        <f>Inputs!N147</f>
        <v>-</v>
      </c>
      <c r="O99" s="220" t="str">
        <f>Inputs!O147</f>
        <v>-</v>
      </c>
      <c r="P99" s="220" t="str">
        <f>Inputs!P147</f>
        <v>-</v>
      </c>
      <c r="Q99" s="155"/>
    </row>
    <row r="100">
      <c r="A100" s="70"/>
      <c r="B100" s="10"/>
      <c r="C100" s="168"/>
      <c r="D100" s="10"/>
      <c r="E100" s="279" t="s">
        <v>216</v>
      </c>
      <c r="F100" s="151" t="s">
        <v>77</v>
      </c>
      <c r="G100" s="280" t="s">
        <v>143</v>
      </c>
      <c r="H100" s="248">
        <f>H97/(1+H99)^H98</f>
        <v>0.003912863593</v>
      </c>
      <c r="I100" s="285" t="s">
        <v>144</v>
      </c>
      <c r="J100" s="285" t="s">
        <v>144</v>
      </c>
      <c r="K100" s="285" t="s">
        <v>144</v>
      </c>
      <c r="L100" s="285" t="s">
        <v>144</v>
      </c>
      <c r="M100" s="285" t="s">
        <v>144</v>
      </c>
      <c r="N100" s="285" t="s">
        <v>144</v>
      </c>
      <c r="O100" s="285" t="s">
        <v>144</v>
      </c>
      <c r="P100" s="285" t="s">
        <v>144</v>
      </c>
      <c r="Q100" s="155"/>
    </row>
    <row r="101">
      <c r="A101" s="70"/>
      <c r="B101" s="10"/>
      <c r="C101" s="168"/>
      <c r="D101" s="10"/>
      <c r="E101" s="279" t="s">
        <v>217</v>
      </c>
      <c r="F101" s="151" t="str">
        <f>Inputs!F148</f>
        <v>#</v>
      </c>
      <c r="G101" s="280" t="str">
        <f>Inputs!G148</f>
        <v>input</v>
      </c>
      <c r="H101" s="286">
        <f>Inputs!H148</f>
        <v>40</v>
      </c>
      <c r="I101" s="285" t="str">
        <f>Inputs!I148</f>
        <v>-</v>
      </c>
      <c r="J101" s="285" t="str">
        <f>Inputs!J148</f>
        <v>-</v>
      </c>
      <c r="K101" s="285" t="str">
        <f>Inputs!K148</f>
        <v>-</v>
      </c>
      <c r="L101" s="285" t="str">
        <f>Inputs!L148</f>
        <v>-</v>
      </c>
      <c r="M101" s="285" t="str">
        <f>Inputs!M148</f>
        <v>-</v>
      </c>
      <c r="N101" s="285" t="str">
        <f>Inputs!N148</f>
        <v>-</v>
      </c>
      <c r="O101" s="285" t="str">
        <f>Inputs!O148</f>
        <v>-</v>
      </c>
      <c r="P101" s="285" t="str">
        <f>Inputs!P148</f>
        <v>-</v>
      </c>
      <c r="Q101" s="155"/>
    </row>
    <row r="102">
      <c r="A102" s="70"/>
      <c r="B102" s="10"/>
      <c r="C102" s="168"/>
      <c r="D102" s="10"/>
      <c r="E102" s="279" t="s">
        <v>218</v>
      </c>
      <c r="F102" s="151" t="s">
        <v>77</v>
      </c>
      <c r="G102" s="280" t="s">
        <v>143</v>
      </c>
      <c r="H102" s="287">
        <f>pv(H99,H101,-H100,,1)</f>
        <v>0.08054428131</v>
      </c>
      <c r="I102" s="285" t="s">
        <v>144</v>
      </c>
      <c r="J102" s="285" t="s">
        <v>144</v>
      </c>
      <c r="K102" s="285" t="s">
        <v>144</v>
      </c>
      <c r="L102" s="285" t="s">
        <v>144</v>
      </c>
      <c r="M102" s="285" t="s">
        <v>144</v>
      </c>
      <c r="N102" s="285" t="s">
        <v>144</v>
      </c>
      <c r="O102" s="285" t="s">
        <v>144</v>
      </c>
      <c r="P102" s="285" t="s">
        <v>144</v>
      </c>
      <c r="Q102" s="155"/>
    </row>
    <row r="103">
      <c r="A103" s="70"/>
      <c r="B103" s="10"/>
      <c r="C103" s="168"/>
      <c r="D103" s="10"/>
      <c r="E103" s="279" t="s">
        <v>219</v>
      </c>
      <c r="F103" s="151" t="str">
        <f>Inputs!F149</f>
        <v>#</v>
      </c>
      <c r="G103" s="280" t="str">
        <f>Inputs!G149</f>
        <v>input</v>
      </c>
      <c r="H103" s="153">
        <f>Inputs!H149</f>
        <v>2</v>
      </c>
      <c r="I103" s="220" t="str">
        <f>Inputs!I149</f>
        <v>-</v>
      </c>
      <c r="J103" s="220" t="str">
        <f>Inputs!J149</f>
        <v>-</v>
      </c>
      <c r="K103" s="220" t="str">
        <f>Inputs!K149</f>
        <v>-</v>
      </c>
      <c r="L103" s="220" t="str">
        <f>Inputs!L149</f>
        <v>-</v>
      </c>
      <c r="M103" s="220" t="str">
        <f>Inputs!M149</f>
        <v>-</v>
      </c>
      <c r="N103" s="220" t="str">
        <f>Inputs!N149</f>
        <v>-</v>
      </c>
      <c r="O103" s="220" t="str">
        <f>Inputs!O149</f>
        <v>-</v>
      </c>
      <c r="P103" s="220" t="str">
        <f>Inputs!P149</f>
        <v>-</v>
      </c>
      <c r="Q103" s="155"/>
    </row>
    <row r="104">
      <c r="A104" s="70"/>
      <c r="B104" s="10"/>
      <c r="C104" s="168"/>
      <c r="D104" s="10"/>
      <c r="E104" s="279" t="s">
        <v>220</v>
      </c>
      <c r="F104" s="151" t="s">
        <v>77</v>
      </c>
      <c r="G104" s="280" t="s">
        <v>143</v>
      </c>
      <c r="H104" s="248">
        <f>H102*H103</f>
        <v>0.1610885626</v>
      </c>
      <c r="I104" s="285" t="s">
        <v>144</v>
      </c>
      <c r="J104" s="285" t="s">
        <v>144</v>
      </c>
      <c r="K104" s="285" t="s">
        <v>144</v>
      </c>
      <c r="L104" s="285" t="s">
        <v>144</v>
      </c>
      <c r="M104" s="285" t="s">
        <v>144</v>
      </c>
      <c r="N104" s="285" t="s">
        <v>144</v>
      </c>
      <c r="O104" s="285" t="s">
        <v>144</v>
      </c>
      <c r="P104" s="285" t="s">
        <v>144</v>
      </c>
      <c r="Q104" s="155"/>
    </row>
    <row r="105">
      <c r="A105" s="70"/>
      <c r="B105" s="10"/>
      <c r="C105" s="168"/>
      <c r="D105" s="10"/>
      <c r="E105" s="279" t="s">
        <v>221</v>
      </c>
      <c r="F105" s="151" t="s">
        <v>77</v>
      </c>
      <c r="G105" s="280" t="s">
        <v>143</v>
      </c>
      <c r="H105" s="178" t="s">
        <v>144</v>
      </c>
      <c r="I105" s="259">
        <f t="shared" ref="I105:P105" si="32">I92*$H104</f>
        <v>1196.627944</v>
      </c>
      <c r="J105" s="259">
        <f t="shared" si="32"/>
        <v>5363.37988</v>
      </c>
      <c r="K105" s="259">
        <f t="shared" si="32"/>
        <v>8053.662033</v>
      </c>
      <c r="L105" s="259">
        <f t="shared" si="32"/>
        <v>6014.250864</v>
      </c>
      <c r="M105" s="259">
        <f t="shared" si="32"/>
        <v>4793.870632</v>
      </c>
      <c r="N105" s="259">
        <f t="shared" si="32"/>
        <v>2411.490686</v>
      </c>
      <c r="O105" s="259">
        <f t="shared" si="32"/>
        <v>5695.003732</v>
      </c>
      <c r="P105" s="259">
        <f t="shared" si="32"/>
        <v>7533.197005</v>
      </c>
      <c r="Q105" s="288"/>
    </row>
    <row r="106">
      <c r="A106" s="70"/>
      <c r="B106" s="10"/>
      <c r="C106" s="168"/>
      <c r="D106" s="10"/>
      <c r="E106" s="279" t="s">
        <v>222</v>
      </c>
      <c r="F106" s="151" t="s">
        <v>77</v>
      </c>
      <c r="G106" s="280" t="s">
        <v>143</v>
      </c>
      <c r="H106" s="178" t="s">
        <v>144</v>
      </c>
      <c r="I106" s="259">
        <f t="shared" ref="I106:P106" si="33">I93*$H104</f>
        <v>1787.193813</v>
      </c>
      <c r="J106" s="259">
        <f t="shared" si="33"/>
        <v>3861.343621</v>
      </c>
      <c r="K106" s="259">
        <f t="shared" si="33"/>
        <v>5596.948424</v>
      </c>
      <c r="L106" s="259">
        <f t="shared" si="33"/>
        <v>4701.308298</v>
      </c>
      <c r="M106" s="259">
        <f t="shared" si="33"/>
        <v>3664.289429</v>
      </c>
      <c r="N106" s="259">
        <f t="shared" si="33"/>
        <v>1787.830343</v>
      </c>
      <c r="O106" s="259">
        <f t="shared" si="33"/>
        <v>4355.824842</v>
      </c>
      <c r="P106" s="259">
        <f t="shared" si="33"/>
        <v>5325.321942</v>
      </c>
      <c r="Q106" s="155"/>
    </row>
    <row r="107">
      <c r="A107" s="70"/>
      <c r="B107" s="10"/>
      <c r="C107" s="168"/>
      <c r="D107" s="10"/>
      <c r="E107" s="289" t="s">
        <v>223</v>
      </c>
      <c r="F107" s="290" t="s">
        <v>77</v>
      </c>
      <c r="G107" s="291" t="s">
        <v>143</v>
      </c>
      <c r="H107" s="166" t="s">
        <v>144</v>
      </c>
      <c r="I107" s="256">
        <f t="shared" ref="I107:P107" si="34">SUM(I105:I106)</f>
        <v>2983.821758</v>
      </c>
      <c r="J107" s="256">
        <f t="shared" si="34"/>
        <v>9224.723502</v>
      </c>
      <c r="K107" s="256">
        <f t="shared" si="34"/>
        <v>13650.61046</v>
      </c>
      <c r="L107" s="256">
        <f t="shared" si="34"/>
        <v>10715.55916</v>
      </c>
      <c r="M107" s="256">
        <f t="shared" si="34"/>
        <v>8458.160062</v>
      </c>
      <c r="N107" s="256">
        <f t="shared" si="34"/>
        <v>4199.32103</v>
      </c>
      <c r="O107" s="256">
        <f t="shared" si="34"/>
        <v>10050.82857</v>
      </c>
      <c r="P107" s="256">
        <f t="shared" si="34"/>
        <v>12858.51895</v>
      </c>
      <c r="Q107" s="292"/>
    </row>
    <row r="108">
      <c r="A108" s="70"/>
      <c r="B108" s="10"/>
      <c r="C108" s="10"/>
      <c r="D108" s="10"/>
      <c r="E108" s="293"/>
      <c r="F108" s="294"/>
      <c r="G108" s="143"/>
      <c r="H108" s="127"/>
      <c r="I108" s="132"/>
      <c r="J108" s="132"/>
      <c r="K108" s="132"/>
      <c r="L108" s="132"/>
      <c r="M108" s="132"/>
      <c r="N108" s="132"/>
      <c r="O108" s="132"/>
      <c r="P108" s="132"/>
      <c r="Q108" s="129"/>
    </row>
    <row r="109">
      <c r="A109" s="118" t="s">
        <v>224</v>
      </c>
      <c r="B109" s="6"/>
      <c r="C109" s="6"/>
      <c r="D109" s="6"/>
      <c r="E109" s="6"/>
      <c r="F109" s="6"/>
      <c r="G109" s="6"/>
      <c r="H109" s="119"/>
      <c r="I109" s="295"/>
      <c r="J109" s="295"/>
      <c r="K109" s="295"/>
      <c r="L109" s="295"/>
      <c r="M109" s="295"/>
      <c r="N109" s="295"/>
      <c r="O109" s="295"/>
      <c r="P109" s="295"/>
      <c r="Q109" s="121"/>
    </row>
    <row r="110">
      <c r="A110" s="122"/>
      <c r="B110" s="123"/>
      <c r="C110" s="123"/>
      <c r="D110" s="123"/>
      <c r="E110" s="124"/>
      <c r="F110" s="125"/>
      <c r="G110" s="126"/>
      <c r="H110" s="127"/>
      <c r="I110" s="132"/>
      <c r="J110" s="132"/>
      <c r="K110" s="132"/>
      <c r="L110" s="132"/>
      <c r="M110" s="132"/>
      <c r="N110" s="132"/>
      <c r="O110" s="132"/>
      <c r="P110" s="132"/>
      <c r="Q110" s="129"/>
    </row>
    <row r="111">
      <c r="A111" s="122"/>
      <c r="B111" s="123"/>
      <c r="C111" s="168" t="s">
        <v>225</v>
      </c>
      <c r="F111" s="125"/>
      <c r="G111" s="126"/>
      <c r="H111" s="127"/>
      <c r="I111" s="132"/>
      <c r="J111" s="132"/>
      <c r="K111" s="132"/>
      <c r="L111" s="132"/>
      <c r="M111" s="132"/>
      <c r="N111" s="132"/>
      <c r="O111" s="132"/>
      <c r="P111" s="132"/>
      <c r="Q111" s="129"/>
    </row>
    <row r="112">
      <c r="A112" s="122"/>
      <c r="B112" s="123"/>
      <c r="C112" s="123"/>
      <c r="D112" s="123"/>
      <c r="E112" s="198" t="s">
        <v>226</v>
      </c>
      <c r="F112" s="188" t="str">
        <f>Inputs!F154</f>
        <v>UoV</v>
      </c>
      <c r="G112" s="199" t="str">
        <f>Inputs!G154</f>
        <v>input</v>
      </c>
      <c r="H112" s="296">
        <f>Inputs!H154</f>
        <v>116.25262</v>
      </c>
      <c r="I112" s="148" t="str">
        <f>Inputs!I154</f>
        <v>-</v>
      </c>
      <c r="J112" s="148" t="str">
        <f>Inputs!J154</f>
        <v>-</v>
      </c>
      <c r="K112" s="148" t="str">
        <f>Inputs!K154</f>
        <v>-</v>
      </c>
      <c r="L112" s="148" t="str">
        <f>Inputs!L154</f>
        <v>-</v>
      </c>
      <c r="M112" s="148" t="str">
        <f>Inputs!M154</f>
        <v>-</v>
      </c>
      <c r="N112" s="148" t="str">
        <f>Inputs!N154</f>
        <v>-</v>
      </c>
      <c r="O112" s="148" t="str">
        <f>Inputs!O154</f>
        <v>-</v>
      </c>
      <c r="P112" s="148" t="str">
        <f>Inputs!P154</f>
        <v>-</v>
      </c>
      <c r="Q112" s="174"/>
    </row>
    <row r="113">
      <c r="A113" s="122"/>
      <c r="B113" s="123"/>
      <c r="C113" s="123"/>
      <c r="D113" s="123"/>
      <c r="E113" s="181" t="s">
        <v>227</v>
      </c>
      <c r="F113" s="221" t="s">
        <v>83</v>
      </c>
      <c r="G113" s="222" t="s">
        <v>143</v>
      </c>
      <c r="H113" s="297" t="s">
        <v>144</v>
      </c>
      <c r="I113" s="275">
        <f t="shared" ref="I113:P113" si="35">I77*$H112</f>
        <v>5450.547997</v>
      </c>
      <c r="J113" s="275">
        <f t="shared" si="35"/>
        <v>23548.96637</v>
      </c>
      <c r="K113" s="275">
        <f t="shared" si="35"/>
        <v>52255.22321</v>
      </c>
      <c r="L113" s="275">
        <f t="shared" si="35"/>
        <v>28802.48818</v>
      </c>
      <c r="M113" s="275">
        <f t="shared" si="35"/>
        <v>16809.21299</v>
      </c>
      <c r="N113" s="275">
        <f t="shared" si="35"/>
        <v>11721.69544</v>
      </c>
      <c r="O113" s="275">
        <f t="shared" si="35"/>
        <v>12062.85625</v>
      </c>
      <c r="P113" s="275">
        <f t="shared" si="35"/>
        <v>34127.29675</v>
      </c>
      <c r="Q113" s="241"/>
    </row>
    <row r="114">
      <c r="A114" s="122"/>
      <c r="B114" s="123"/>
      <c r="C114" s="123"/>
      <c r="D114" s="123"/>
      <c r="E114" s="139"/>
      <c r="F114" s="140"/>
      <c r="G114" s="163"/>
      <c r="H114" s="298"/>
      <c r="I114" s="299"/>
      <c r="J114" s="299"/>
      <c r="K114" s="299"/>
      <c r="L114" s="299"/>
      <c r="M114" s="299"/>
      <c r="N114" s="299"/>
      <c r="O114" s="299"/>
      <c r="P114" s="299"/>
      <c r="Q114" s="129"/>
    </row>
    <row r="115">
      <c r="A115" s="122"/>
      <c r="B115" s="123"/>
      <c r="C115" s="168" t="s">
        <v>228</v>
      </c>
      <c r="F115" s="125"/>
      <c r="G115" s="126"/>
      <c r="H115" s="300"/>
      <c r="I115" s="301"/>
      <c r="J115" s="301"/>
      <c r="K115" s="301"/>
      <c r="L115" s="301"/>
      <c r="M115" s="301"/>
      <c r="N115" s="301"/>
      <c r="O115" s="301"/>
      <c r="P115" s="301"/>
      <c r="Q115" s="129"/>
    </row>
    <row r="116">
      <c r="A116" s="122"/>
      <c r="B116" s="123"/>
      <c r="C116" s="123"/>
      <c r="D116" s="123"/>
      <c r="E116" s="198" t="s">
        <v>229</v>
      </c>
      <c r="F116" s="188" t="str">
        <f>Inputs!F155</f>
        <v>UoV</v>
      </c>
      <c r="G116" s="199" t="str">
        <f>Inputs!G155</f>
        <v>input</v>
      </c>
      <c r="H116" s="302">
        <f>Inputs!H155</f>
        <v>73.1914</v>
      </c>
      <c r="I116" s="303" t="str">
        <f>Inputs!I155</f>
        <v>-</v>
      </c>
      <c r="J116" s="303" t="str">
        <f>Inputs!J155</f>
        <v>-</v>
      </c>
      <c r="K116" s="303" t="str">
        <f>Inputs!K155</f>
        <v>-</v>
      </c>
      <c r="L116" s="303" t="str">
        <f>Inputs!L155</f>
        <v>-</v>
      </c>
      <c r="M116" s="303" t="str">
        <f>Inputs!M155</f>
        <v>-</v>
      </c>
      <c r="N116" s="303" t="str">
        <f>Inputs!N155</f>
        <v>-</v>
      </c>
      <c r="O116" s="303" t="str">
        <f>Inputs!O155</f>
        <v>-</v>
      </c>
      <c r="P116" s="303" t="str">
        <f>Inputs!P155</f>
        <v>-</v>
      </c>
      <c r="Q116" s="174"/>
    </row>
    <row r="117">
      <c r="A117" s="122"/>
      <c r="B117" s="123"/>
      <c r="C117" s="123"/>
      <c r="D117" s="123"/>
      <c r="E117" s="181" t="s">
        <v>230</v>
      </c>
      <c r="F117" s="221" t="s">
        <v>83</v>
      </c>
      <c r="G117" s="222" t="s">
        <v>143</v>
      </c>
      <c r="H117" s="166" t="s">
        <v>144</v>
      </c>
      <c r="I117" s="304">
        <f t="shared" ref="I117:P117" si="36">I85*$H116</f>
        <v>1618.677836</v>
      </c>
      <c r="J117" s="304">
        <f t="shared" si="36"/>
        <v>3520.292667</v>
      </c>
      <c r="K117" s="304">
        <f t="shared" si="36"/>
        <v>10151.24689</v>
      </c>
      <c r="L117" s="304">
        <f t="shared" si="36"/>
        <v>10569.79399</v>
      </c>
      <c r="M117" s="304">
        <f t="shared" si="36"/>
        <v>7259.952012</v>
      </c>
      <c r="N117" s="304">
        <f t="shared" si="36"/>
        <v>1617.938256</v>
      </c>
      <c r="O117" s="304">
        <f t="shared" si="36"/>
        <v>11488.94738</v>
      </c>
      <c r="P117" s="304">
        <f t="shared" si="36"/>
        <v>5141.949246</v>
      </c>
      <c r="Q117" s="138"/>
    </row>
    <row r="118">
      <c r="A118" s="122"/>
      <c r="B118" s="123"/>
      <c r="C118" s="168"/>
      <c r="D118" s="123"/>
      <c r="E118" s="124"/>
      <c r="F118" s="125"/>
      <c r="G118" s="126"/>
      <c r="H118" s="127"/>
      <c r="I118" s="132"/>
      <c r="J118" s="132"/>
      <c r="K118" s="132"/>
      <c r="L118" s="132"/>
      <c r="M118" s="132"/>
      <c r="N118" s="132"/>
      <c r="O118" s="132"/>
      <c r="P118" s="132"/>
      <c r="Q118" s="129"/>
    </row>
    <row r="119">
      <c r="A119" s="122"/>
      <c r="B119" s="123"/>
      <c r="C119" s="168" t="s">
        <v>231</v>
      </c>
      <c r="F119" s="140"/>
      <c r="G119" s="163"/>
      <c r="H119" s="245"/>
      <c r="I119" s="208"/>
      <c r="J119" s="208"/>
      <c r="K119" s="208"/>
      <c r="L119" s="208"/>
      <c r="M119" s="208"/>
      <c r="N119" s="208"/>
      <c r="O119" s="208"/>
      <c r="P119" s="208"/>
      <c r="Q119" s="129"/>
    </row>
    <row r="120">
      <c r="A120" s="122"/>
      <c r="B120" s="123"/>
      <c r="C120" s="123"/>
      <c r="D120" s="123"/>
      <c r="E120" s="198" t="s">
        <v>232</v>
      </c>
      <c r="F120" s="188" t="str">
        <f>Inputs!F157</f>
        <v>UoV</v>
      </c>
      <c r="G120" s="199" t="str">
        <f>Inputs!G157</f>
        <v>input</v>
      </c>
      <c r="H120" s="252">
        <f>Inputs!H157</f>
        <v>1.442695041</v>
      </c>
      <c r="I120" s="148" t="str">
        <f>Inputs!I157</f>
        <v>-</v>
      </c>
      <c r="J120" s="148" t="str">
        <f>Inputs!J157</f>
        <v>-</v>
      </c>
      <c r="K120" s="148" t="str">
        <f>Inputs!K157</f>
        <v>-</v>
      </c>
      <c r="L120" s="148" t="str">
        <f>Inputs!L157</f>
        <v>-</v>
      </c>
      <c r="M120" s="148" t="str">
        <f>Inputs!M157</f>
        <v>-</v>
      </c>
      <c r="N120" s="148" t="str">
        <f>Inputs!N157</f>
        <v>-</v>
      </c>
      <c r="O120" s="148" t="str">
        <f>Inputs!O157</f>
        <v>-</v>
      </c>
      <c r="P120" s="148" t="str">
        <f>Inputs!P157</f>
        <v>-</v>
      </c>
      <c r="Q120" s="174"/>
    </row>
    <row r="121">
      <c r="A121" s="122"/>
      <c r="B121" s="123"/>
      <c r="C121" s="123"/>
      <c r="D121" s="123"/>
      <c r="E121" s="164" t="s">
        <v>233</v>
      </c>
      <c r="F121" s="134" t="s">
        <v>83</v>
      </c>
      <c r="G121" s="165" t="s">
        <v>143</v>
      </c>
      <c r="H121" s="166" t="s">
        <v>144</v>
      </c>
      <c r="I121" s="256">
        <f t="shared" ref="I121:P121" si="37">I107*$H120</f>
        <v>4304.744853</v>
      </c>
      <c r="J121" s="256">
        <f t="shared" si="37"/>
        <v>13308.46285</v>
      </c>
      <c r="K121" s="256">
        <f t="shared" si="37"/>
        <v>19693.66801</v>
      </c>
      <c r="L121" s="256">
        <f t="shared" si="37"/>
        <v>15459.28406</v>
      </c>
      <c r="M121" s="256">
        <f t="shared" si="37"/>
        <v>12202.54558</v>
      </c>
      <c r="N121" s="256">
        <f t="shared" si="37"/>
        <v>6058.339625</v>
      </c>
      <c r="O121" s="256">
        <f t="shared" si="37"/>
        <v>14500.28054</v>
      </c>
      <c r="P121" s="256">
        <f t="shared" si="37"/>
        <v>18550.92152</v>
      </c>
      <c r="Q121" s="138"/>
    </row>
    <row r="122">
      <c r="A122" s="122"/>
      <c r="B122" s="123"/>
      <c r="C122" s="123"/>
      <c r="D122" s="123"/>
      <c r="E122" s="124"/>
      <c r="F122" s="125"/>
      <c r="G122" s="126"/>
      <c r="H122" s="127"/>
      <c r="I122" s="132"/>
      <c r="J122" s="132"/>
      <c r="K122" s="132"/>
      <c r="L122" s="132"/>
      <c r="M122" s="132"/>
      <c r="N122" s="132"/>
      <c r="O122" s="132"/>
      <c r="P122" s="132"/>
      <c r="Q122" s="129"/>
    </row>
    <row r="123">
      <c r="A123" s="118" t="s">
        <v>234</v>
      </c>
      <c r="B123" s="6"/>
      <c r="C123" s="6"/>
      <c r="D123" s="6"/>
      <c r="E123" s="6"/>
      <c r="F123" s="6"/>
      <c r="G123" s="6"/>
      <c r="H123" s="119"/>
      <c r="I123" s="295"/>
      <c r="J123" s="295"/>
      <c r="K123" s="295"/>
      <c r="L123" s="295"/>
      <c r="M123" s="295"/>
      <c r="N123" s="295"/>
      <c r="O123" s="295"/>
      <c r="P123" s="295"/>
      <c r="Q123" s="121"/>
    </row>
    <row r="124">
      <c r="A124" s="122"/>
      <c r="B124" s="123"/>
      <c r="C124" s="123"/>
      <c r="D124" s="123"/>
      <c r="E124" s="124"/>
      <c r="F124" s="125"/>
      <c r="G124" s="126"/>
      <c r="H124" s="127"/>
      <c r="I124" s="132"/>
      <c r="J124" s="132"/>
      <c r="K124" s="132"/>
      <c r="L124" s="132"/>
      <c r="M124" s="132"/>
      <c r="N124" s="132"/>
      <c r="O124" s="132"/>
      <c r="P124" s="132"/>
      <c r="Q124" s="129"/>
    </row>
    <row r="125">
      <c r="A125" s="122"/>
      <c r="B125" s="123"/>
      <c r="C125" s="168" t="s">
        <v>235</v>
      </c>
      <c r="F125" s="125"/>
      <c r="G125" s="126"/>
      <c r="H125" s="127"/>
      <c r="I125" s="132"/>
      <c r="J125" s="132"/>
      <c r="K125" s="132"/>
      <c r="L125" s="132"/>
      <c r="M125" s="132"/>
      <c r="N125" s="132"/>
      <c r="O125" s="132"/>
      <c r="P125" s="132"/>
      <c r="Q125" s="129"/>
    </row>
    <row r="126">
      <c r="A126" s="122"/>
      <c r="B126" s="123"/>
      <c r="C126" s="123"/>
      <c r="D126" s="123"/>
      <c r="E126" s="198" t="s">
        <v>196</v>
      </c>
      <c r="F126" s="188" t="str">
        <f>F77</f>
        <v>#</v>
      </c>
      <c r="G126" s="199" t="s">
        <v>236</v>
      </c>
      <c r="H126" s="172" t="str">
        <f t="shared" ref="H126:P126" si="38">H77</f>
        <v>-</v>
      </c>
      <c r="I126" s="258">
        <f t="shared" si="38"/>
        <v>46.8853777</v>
      </c>
      <c r="J126" s="258">
        <f t="shared" si="38"/>
        <v>202.5671883</v>
      </c>
      <c r="K126" s="258">
        <f t="shared" si="38"/>
        <v>449.4971659</v>
      </c>
      <c r="L126" s="258">
        <f t="shared" si="38"/>
        <v>247.7577553</v>
      </c>
      <c r="M126" s="258">
        <f t="shared" si="38"/>
        <v>144.5921218</v>
      </c>
      <c r="N126" s="258">
        <f t="shared" si="38"/>
        <v>100.8295162</v>
      </c>
      <c r="O126" s="258">
        <f t="shared" si="38"/>
        <v>103.7641668</v>
      </c>
      <c r="P126" s="258">
        <f t="shared" si="38"/>
        <v>293.5615279</v>
      </c>
      <c r="Q126" s="236"/>
    </row>
    <row r="127">
      <c r="A127" s="122"/>
      <c r="B127" s="123"/>
      <c r="C127" s="123"/>
      <c r="D127" s="123"/>
      <c r="E127" s="216" t="s">
        <v>203</v>
      </c>
      <c r="F127" s="217" t="str">
        <f>F85</f>
        <v>#</v>
      </c>
      <c r="G127" s="218" t="s">
        <v>236</v>
      </c>
      <c r="H127" s="178" t="str">
        <f t="shared" ref="H127:P127" si="39">H85</f>
        <v>-</v>
      </c>
      <c r="I127" s="305">
        <f t="shared" si="39"/>
        <v>22.11568348</v>
      </c>
      <c r="J127" s="305">
        <f t="shared" si="39"/>
        <v>48.09708063</v>
      </c>
      <c r="K127" s="305">
        <f t="shared" si="39"/>
        <v>138.6945309</v>
      </c>
      <c r="L127" s="305">
        <f t="shared" si="39"/>
        <v>144.4130594</v>
      </c>
      <c r="M127" s="305">
        <f t="shared" si="39"/>
        <v>99.19132593</v>
      </c>
      <c r="N127" s="305">
        <f t="shared" si="39"/>
        <v>22.10557874</v>
      </c>
      <c r="O127" s="305">
        <f t="shared" si="39"/>
        <v>156.971275</v>
      </c>
      <c r="P127" s="305">
        <f t="shared" si="39"/>
        <v>70.2534621</v>
      </c>
      <c r="Q127" s="238"/>
    </row>
    <row r="128">
      <c r="A128" s="122"/>
      <c r="B128" s="123"/>
      <c r="C128" s="123"/>
      <c r="D128" s="123"/>
      <c r="E128" s="181" t="s">
        <v>237</v>
      </c>
      <c r="F128" s="221" t="s">
        <v>69</v>
      </c>
      <c r="G128" s="222" t="s">
        <v>143</v>
      </c>
      <c r="H128" s="184" t="s">
        <v>144</v>
      </c>
      <c r="I128" s="275">
        <f t="shared" ref="I128:P128" si="40">SUM(I92:I93)</f>
        <v>18522.86537</v>
      </c>
      <c r="J128" s="275">
        <f t="shared" si="40"/>
        <v>57264.91907</v>
      </c>
      <c r="K128" s="275">
        <f t="shared" si="40"/>
        <v>84739.78682</v>
      </c>
      <c r="L128" s="275">
        <f t="shared" si="40"/>
        <v>66519.67705</v>
      </c>
      <c r="M128" s="275">
        <f t="shared" si="40"/>
        <v>52506.27309</v>
      </c>
      <c r="N128" s="275">
        <f t="shared" si="40"/>
        <v>26068.39965</v>
      </c>
      <c r="O128" s="275">
        <f t="shared" si="40"/>
        <v>62393.18552</v>
      </c>
      <c r="P128" s="275">
        <f t="shared" si="40"/>
        <v>79822.66858</v>
      </c>
      <c r="Q128" s="241"/>
    </row>
    <row r="129">
      <c r="A129" s="122"/>
      <c r="B129" s="123"/>
      <c r="C129" s="123"/>
      <c r="D129" s="123"/>
      <c r="E129" s="124"/>
      <c r="F129" s="125"/>
      <c r="G129" s="126"/>
      <c r="H129" s="127"/>
      <c r="I129" s="132"/>
      <c r="J129" s="132"/>
      <c r="K129" s="132"/>
      <c r="L129" s="132"/>
      <c r="M129" s="132"/>
      <c r="N129" s="132"/>
      <c r="O129" s="132"/>
      <c r="P129" s="132"/>
      <c r="Q129" s="129"/>
    </row>
    <row r="130">
      <c r="A130" s="122"/>
      <c r="B130" s="123"/>
      <c r="C130" s="168" t="s">
        <v>238</v>
      </c>
      <c r="F130" s="125"/>
      <c r="G130" s="126"/>
      <c r="H130" s="127"/>
      <c r="I130" s="132"/>
      <c r="J130" s="132"/>
      <c r="K130" s="132"/>
      <c r="L130" s="132"/>
      <c r="M130" s="132"/>
      <c r="N130" s="132"/>
      <c r="O130" s="132"/>
      <c r="P130" s="132"/>
      <c r="Q130" s="129"/>
    </row>
    <row r="131">
      <c r="A131" s="122"/>
      <c r="B131" s="123"/>
      <c r="C131" s="123"/>
      <c r="D131" s="123"/>
      <c r="E131" s="198" t="s">
        <v>226</v>
      </c>
      <c r="F131" s="188" t="str">
        <f>F112</f>
        <v>UoV</v>
      </c>
      <c r="G131" s="199" t="s">
        <v>236</v>
      </c>
      <c r="H131" s="306">
        <f t="shared" ref="H131:P131" si="41">H112</f>
        <v>116.25262</v>
      </c>
      <c r="I131" s="307" t="str">
        <f t="shared" si="41"/>
        <v>-</v>
      </c>
      <c r="J131" s="307" t="str">
        <f t="shared" si="41"/>
        <v>-</v>
      </c>
      <c r="K131" s="307" t="str">
        <f t="shared" si="41"/>
        <v>-</v>
      </c>
      <c r="L131" s="307" t="str">
        <f t="shared" si="41"/>
        <v>-</v>
      </c>
      <c r="M131" s="307" t="str">
        <f t="shared" si="41"/>
        <v>-</v>
      </c>
      <c r="N131" s="307" t="str">
        <f t="shared" si="41"/>
        <v>-</v>
      </c>
      <c r="O131" s="307" t="str">
        <f t="shared" si="41"/>
        <v>-</v>
      </c>
      <c r="P131" s="307" t="str">
        <f t="shared" si="41"/>
        <v>-</v>
      </c>
      <c r="Q131" s="149"/>
    </row>
    <row r="132">
      <c r="A132" s="122"/>
      <c r="B132" s="123"/>
      <c r="C132" s="123"/>
      <c r="D132" s="123"/>
      <c r="E132" s="216" t="s">
        <v>229</v>
      </c>
      <c r="F132" s="217" t="str">
        <f>F116</f>
        <v>UoV</v>
      </c>
      <c r="G132" s="218" t="s">
        <v>236</v>
      </c>
      <c r="H132" s="308">
        <f t="shared" ref="H132:P132" si="42">H116</f>
        <v>73.1914</v>
      </c>
      <c r="I132" s="309" t="str">
        <f t="shared" si="42"/>
        <v>-</v>
      </c>
      <c r="J132" s="309" t="str">
        <f t="shared" si="42"/>
        <v>-</v>
      </c>
      <c r="K132" s="309" t="str">
        <f t="shared" si="42"/>
        <v>-</v>
      </c>
      <c r="L132" s="309" t="str">
        <f t="shared" si="42"/>
        <v>-</v>
      </c>
      <c r="M132" s="309" t="str">
        <f t="shared" si="42"/>
        <v>-</v>
      </c>
      <c r="N132" s="309" t="str">
        <f t="shared" si="42"/>
        <v>-</v>
      </c>
      <c r="O132" s="309" t="str">
        <f t="shared" si="42"/>
        <v>-</v>
      </c>
      <c r="P132" s="309" t="str">
        <f t="shared" si="42"/>
        <v>-</v>
      </c>
      <c r="Q132" s="155"/>
    </row>
    <row r="133">
      <c r="A133" s="122"/>
      <c r="B133" s="123"/>
      <c r="C133" s="123"/>
      <c r="D133" s="123"/>
      <c r="E133" s="181" t="s">
        <v>239</v>
      </c>
      <c r="F133" s="221" t="s">
        <v>83</v>
      </c>
      <c r="G133" s="222" t="s">
        <v>143</v>
      </c>
      <c r="H133" s="310">
        <f>H104*H120</f>
        <v>0.2324016704</v>
      </c>
      <c r="I133" s="311" t="s">
        <v>144</v>
      </c>
      <c r="J133" s="311" t="s">
        <v>144</v>
      </c>
      <c r="K133" s="311" t="s">
        <v>144</v>
      </c>
      <c r="L133" s="311" t="s">
        <v>144</v>
      </c>
      <c r="M133" s="311" t="s">
        <v>144</v>
      </c>
      <c r="N133" s="311" t="s">
        <v>144</v>
      </c>
      <c r="O133" s="311" t="s">
        <v>144</v>
      </c>
      <c r="P133" s="311" t="s">
        <v>144</v>
      </c>
      <c r="Q133" s="241"/>
    </row>
    <row r="134">
      <c r="A134" s="122"/>
      <c r="B134" s="123"/>
      <c r="C134" s="123"/>
      <c r="D134" s="123"/>
      <c r="E134" s="124"/>
      <c r="F134" s="125"/>
      <c r="G134" s="126"/>
      <c r="H134" s="127"/>
      <c r="I134" s="132"/>
      <c r="J134" s="132"/>
      <c r="K134" s="132"/>
      <c r="L134" s="132"/>
      <c r="M134" s="132"/>
      <c r="N134" s="132"/>
      <c r="O134" s="132"/>
      <c r="P134" s="132"/>
      <c r="Q134" s="129"/>
    </row>
    <row r="135">
      <c r="A135" s="122"/>
      <c r="B135" s="123"/>
      <c r="C135" s="168" t="s">
        <v>240</v>
      </c>
      <c r="F135" s="125"/>
      <c r="G135" s="126"/>
      <c r="H135" s="127"/>
      <c r="I135" s="132"/>
      <c r="J135" s="132"/>
      <c r="K135" s="132"/>
      <c r="L135" s="132"/>
      <c r="M135" s="132"/>
      <c r="N135" s="132"/>
      <c r="O135" s="132"/>
      <c r="P135" s="132"/>
      <c r="Q135" s="129"/>
    </row>
    <row r="136">
      <c r="A136" s="122"/>
      <c r="B136" s="123"/>
      <c r="C136" s="123"/>
      <c r="D136" s="123"/>
      <c r="E136" s="198" t="s">
        <v>241</v>
      </c>
      <c r="F136" s="188" t="s">
        <v>83</v>
      </c>
      <c r="G136" s="199" t="s">
        <v>143</v>
      </c>
      <c r="H136" s="172" t="s">
        <v>144</v>
      </c>
      <c r="I136" s="258">
        <f t="shared" ref="I136:P136" si="43">I126*$H131</f>
        <v>5450.547997</v>
      </c>
      <c r="J136" s="258">
        <f t="shared" si="43"/>
        <v>23548.96637</v>
      </c>
      <c r="K136" s="258">
        <f t="shared" si="43"/>
        <v>52255.22321</v>
      </c>
      <c r="L136" s="258">
        <f t="shared" si="43"/>
        <v>28802.48818</v>
      </c>
      <c r="M136" s="258">
        <f t="shared" si="43"/>
        <v>16809.21299</v>
      </c>
      <c r="N136" s="258">
        <f t="shared" si="43"/>
        <v>11721.69544</v>
      </c>
      <c r="O136" s="258">
        <f t="shared" si="43"/>
        <v>12062.85625</v>
      </c>
      <c r="P136" s="258">
        <f t="shared" si="43"/>
        <v>34127.29675</v>
      </c>
      <c r="Q136" s="236"/>
    </row>
    <row r="137">
      <c r="A137" s="122"/>
      <c r="B137" s="123"/>
      <c r="C137" s="123"/>
      <c r="D137" s="123"/>
      <c r="E137" s="216" t="s">
        <v>242</v>
      </c>
      <c r="F137" s="217" t="s">
        <v>83</v>
      </c>
      <c r="G137" s="218" t="s">
        <v>143</v>
      </c>
      <c r="H137" s="178" t="s">
        <v>144</v>
      </c>
      <c r="I137" s="259">
        <f t="shared" ref="I137:P137" si="44">I127*$H132</f>
        <v>1618.677836</v>
      </c>
      <c r="J137" s="259">
        <f t="shared" si="44"/>
        <v>3520.292667</v>
      </c>
      <c r="K137" s="259">
        <f t="shared" si="44"/>
        <v>10151.24689</v>
      </c>
      <c r="L137" s="259">
        <f t="shared" si="44"/>
        <v>10569.79399</v>
      </c>
      <c r="M137" s="259">
        <f t="shared" si="44"/>
        <v>7259.952012</v>
      </c>
      <c r="N137" s="259">
        <f t="shared" si="44"/>
        <v>1617.938256</v>
      </c>
      <c r="O137" s="259">
        <f t="shared" si="44"/>
        <v>11488.94738</v>
      </c>
      <c r="P137" s="259">
        <f t="shared" si="44"/>
        <v>5141.949246</v>
      </c>
      <c r="Q137" s="238"/>
    </row>
    <row r="138">
      <c r="A138" s="122"/>
      <c r="B138" s="123"/>
      <c r="C138" s="123"/>
      <c r="D138" s="123"/>
      <c r="E138" s="181" t="s">
        <v>243</v>
      </c>
      <c r="F138" s="221" t="s">
        <v>83</v>
      </c>
      <c r="G138" s="222" t="s">
        <v>143</v>
      </c>
      <c r="H138" s="184" t="s">
        <v>144</v>
      </c>
      <c r="I138" s="275">
        <f t="shared" ref="I138:P138" si="45">I128*$H133</f>
        <v>4304.744853</v>
      </c>
      <c r="J138" s="275">
        <f t="shared" si="45"/>
        <v>13308.46285</v>
      </c>
      <c r="K138" s="275">
        <f t="shared" si="45"/>
        <v>19693.66801</v>
      </c>
      <c r="L138" s="275">
        <f t="shared" si="45"/>
        <v>15459.28406</v>
      </c>
      <c r="M138" s="275">
        <f t="shared" si="45"/>
        <v>12202.54558</v>
      </c>
      <c r="N138" s="275">
        <f t="shared" si="45"/>
        <v>6058.339625</v>
      </c>
      <c r="O138" s="275">
        <f t="shared" si="45"/>
        <v>14500.28054</v>
      </c>
      <c r="P138" s="275">
        <f t="shared" si="45"/>
        <v>18550.92152</v>
      </c>
      <c r="Q138" s="241"/>
    </row>
    <row r="139">
      <c r="A139" s="122"/>
      <c r="B139" s="123"/>
      <c r="C139" s="123"/>
      <c r="D139" s="123"/>
      <c r="E139" s="124"/>
      <c r="F139" s="125"/>
      <c r="G139" s="126"/>
      <c r="H139" s="127"/>
      <c r="I139" s="132"/>
      <c r="J139" s="132"/>
      <c r="K139" s="132"/>
      <c r="L139" s="132"/>
      <c r="M139" s="132"/>
      <c r="N139" s="132"/>
      <c r="O139" s="132"/>
      <c r="P139" s="132"/>
      <c r="Q139" s="129"/>
    </row>
    <row r="140">
      <c r="A140" s="122"/>
      <c r="B140" s="123"/>
      <c r="C140" s="168" t="s">
        <v>244</v>
      </c>
      <c r="F140" s="125"/>
      <c r="G140" s="126"/>
      <c r="H140" s="127"/>
      <c r="I140" s="132"/>
      <c r="J140" s="132"/>
      <c r="K140" s="132"/>
      <c r="L140" s="132"/>
      <c r="M140" s="132"/>
      <c r="N140" s="132"/>
      <c r="O140" s="132"/>
      <c r="P140" s="132"/>
      <c r="Q140" s="129"/>
    </row>
    <row r="141">
      <c r="A141" s="122"/>
      <c r="B141" s="123"/>
      <c r="C141" s="123"/>
      <c r="D141" s="123"/>
      <c r="E141" s="198" t="s">
        <v>146</v>
      </c>
      <c r="F141" s="188" t="str">
        <f>F19</f>
        <v>$</v>
      </c>
      <c r="G141" s="199" t="s">
        <v>236</v>
      </c>
      <c r="H141" s="172" t="str">
        <f t="shared" ref="H141:P141" si="46">H19</f>
        <v>-</v>
      </c>
      <c r="I141" s="190">
        <f t="shared" si="46"/>
        <v>1000000</v>
      </c>
      <c r="J141" s="190">
        <f t="shared" si="46"/>
        <v>1000000</v>
      </c>
      <c r="K141" s="190">
        <f t="shared" si="46"/>
        <v>1000000</v>
      </c>
      <c r="L141" s="190">
        <f t="shared" si="46"/>
        <v>1000000</v>
      </c>
      <c r="M141" s="190">
        <f t="shared" si="46"/>
        <v>1000000</v>
      </c>
      <c r="N141" s="190">
        <f t="shared" si="46"/>
        <v>1000000</v>
      </c>
      <c r="O141" s="190">
        <f t="shared" si="46"/>
        <v>1000000</v>
      </c>
      <c r="P141" s="190">
        <f t="shared" si="46"/>
        <v>1000000</v>
      </c>
      <c r="Q141" s="149"/>
    </row>
    <row r="142">
      <c r="A142" s="122"/>
      <c r="B142" s="123"/>
      <c r="C142" s="123"/>
      <c r="D142" s="123"/>
      <c r="E142" s="216" t="s">
        <v>245</v>
      </c>
      <c r="F142" s="217" t="s">
        <v>83</v>
      </c>
      <c r="G142" s="218" t="s">
        <v>143</v>
      </c>
      <c r="H142" s="178" t="s">
        <v>144</v>
      </c>
      <c r="I142" s="259">
        <f t="shared" ref="I142:P142" si="47">SUM(I136:I138)</f>
        <v>11373.97069</v>
      </c>
      <c r="J142" s="259">
        <f t="shared" si="47"/>
        <v>40377.72188</v>
      </c>
      <c r="K142" s="259">
        <f t="shared" si="47"/>
        <v>82100.13811</v>
      </c>
      <c r="L142" s="259">
        <f t="shared" si="47"/>
        <v>54831.56623</v>
      </c>
      <c r="M142" s="259">
        <f t="shared" si="47"/>
        <v>36271.71058</v>
      </c>
      <c r="N142" s="259">
        <f t="shared" si="47"/>
        <v>19397.97332</v>
      </c>
      <c r="O142" s="259">
        <f t="shared" si="47"/>
        <v>38052.08417</v>
      </c>
      <c r="P142" s="259">
        <f t="shared" si="47"/>
        <v>57820.16751</v>
      </c>
      <c r="Q142" s="238"/>
    </row>
    <row r="143">
      <c r="A143" s="122"/>
      <c r="B143" s="123"/>
      <c r="C143" s="123"/>
      <c r="D143" s="123"/>
      <c r="E143" s="312" t="s">
        <v>246</v>
      </c>
      <c r="F143" s="269" t="s">
        <v>83</v>
      </c>
      <c r="G143" s="270" t="s">
        <v>143</v>
      </c>
      <c r="H143" s="313" t="s">
        <v>144</v>
      </c>
      <c r="I143" s="314">
        <f t="shared" ref="I143:P143" si="48">I142/I141</f>
        <v>0.01137397069</v>
      </c>
      <c r="J143" s="314">
        <f t="shared" si="48"/>
        <v>0.04037772188</v>
      </c>
      <c r="K143" s="314">
        <f t="shared" si="48"/>
        <v>0.08210013811</v>
      </c>
      <c r="L143" s="314">
        <f t="shared" si="48"/>
        <v>0.05483156623</v>
      </c>
      <c r="M143" s="314">
        <f t="shared" si="48"/>
        <v>0.03627171058</v>
      </c>
      <c r="N143" s="314">
        <f t="shared" si="48"/>
        <v>0.01939797332</v>
      </c>
      <c r="O143" s="314">
        <f t="shared" si="48"/>
        <v>0.03805208417</v>
      </c>
      <c r="P143" s="314">
        <f t="shared" si="48"/>
        <v>0.05782016751</v>
      </c>
      <c r="Q143" s="272"/>
    </row>
    <row r="144">
      <c r="A144" s="122"/>
      <c r="B144" s="123"/>
      <c r="C144" s="123"/>
      <c r="D144" s="123"/>
      <c r="E144" s="312" t="s">
        <v>247</v>
      </c>
      <c r="F144" s="269" t="str">
        <f>Inputs!F162</f>
        <v>UoV</v>
      </c>
      <c r="G144" s="270" t="str">
        <f>Inputs!G162</f>
        <v>input</v>
      </c>
      <c r="H144" s="315">
        <f>Inputs!H162</f>
        <v>0.00333</v>
      </c>
      <c r="I144" s="316" t="str">
        <f>Inputs!I162</f>
        <v>-</v>
      </c>
      <c r="J144" s="316" t="str">
        <f>Inputs!J162</f>
        <v>-</v>
      </c>
      <c r="K144" s="316" t="str">
        <f>Inputs!K162</f>
        <v>-</v>
      </c>
      <c r="L144" s="316" t="str">
        <f>Inputs!L162</f>
        <v>-</v>
      </c>
      <c r="M144" s="316" t="str">
        <f>Inputs!M162</f>
        <v>-</v>
      </c>
      <c r="N144" s="316" t="str">
        <f>Inputs!N162</f>
        <v>-</v>
      </c>
      <c r="O144" s="316" t="str">
        <f>Inputs!O162</f>
        <v>-</v>
      </c>
      <c r="P144" s="316" t="str">
        <f>Inputs!P162</f>
        <v>-</v>
      </c>
      <c r="Q144" s="272"/>
    </row>
    <row r="145">
      <c r="A145" s="122"/>
      <c r="B145" s="123"/>
      <c r="C145" s="123"/>
      <c r="D145" s="123"/>
      <c r="E145" s="181" t="s">
        <v>248</v>
      </c>
      <c r="F145" s="221" t="s">
        <v>85</v>
      </c>
      <c r="G145" s="222" t="s">
        <v>143</v>
      </c>
      <c r="H145" s="184" t="s">
        <v>144</v>
      </c>
      <c r="I145" s="317">
        <f t="shared" ref="I145:P145" si="49">I143/$H144</f>
        <v>3.415606813</v>
      </c>
      <c r="J145" s="317">
        <f t="shared" si="49"/>
        <v>12.12544201</v>
      </c>
      <c r="K145" s="317">
        <f t="shared" si="49"/>
        <v>24.65469613</v>
      </c>
      <c r="L145" s="317">
        <f t="shared" si="49"/>
        <v>16.46593581</v>
      </c>
      <c r="M145" s="317">
        <f t="shared" si="49"/>
        <v>10.89240558</v>
      </c>
      <c r="N145" s="317">
        <f t="shared" si="49"/>
        <v>5.825217212</v>
      </c>
      <c r="O145" s="317">
        <f t="shared" si="49"/>
        <v>11.4270523</v>
      </c>
      <c r="P145" s="317">
        <f t="shared" si="49"/>
        <v>17.36341367</v>
      </c>
      <c r="Q145" s="241"/>
    </row>
    <row r="146">
      <c r="A146" s="122"/>
      <c r="B146" s="123"/>
      <c r="C146" s="123"/>
      <c r="D146" s="123"/>
      <c r="E146" s="124"/>
      <c r="F146" s="125"/>
      <c r="G146" s="126"/>
      <c r="H146" s="127"/>
      <c r="I146" s="132"/>
      <c r="J146" s="132"/>
      <c r="K146" s="132"/>
      <c r="L146" s="132"/>
      <c r="M146" s="132"/>
      <c r="N146" s="132"/>
      <c r="O146" s="132"/>
      <c r="P146" s="132"/>
      <c r="Q146" s="129"/>
    </row>
    <row r="147">
      <c r="A147" s="122"/>
      <c r="B147" s="123"/>
      <c r="C147" s="168" t="s">
        <v>249</v>
      </c>
      <c r="F147" s="140"/>
      <c r="G147" s="126"/>
      <c r="H147" s="127"/>
      <c r="I147" s="132"/>
      <c r="J147" s="132"/>
      <c r="K147" s="132"/>
      <c r="L147" s="132"/>
      <c r="M147" s="132"/>
      <c r="N147" s="132"/>
      <c r="O147" s="132"/>
      <c r="P147" s="132"/>
      <c r="Q147" s="129"/>
    </row>
    <row r="148">
      <c r="A148" s="122"/>
      <c r="B148" s="123"/>
      <c r="C148" s="168"/>
      <c r="D148" s="123"/>
      <c r="E148" s="198" t="s">
        <v>250</v>
      </c>
      <c r="F148" s="188" t="s">
        <v>79</v>
      </c>
      <c r="G148" s="199" t="s">
        <v>143</v>
      </c>
      <c r="H148" s="172" t="s">
        <v>144</v>
      </c>
      <c r="I148" s="148">
        <f t="shared" ref="I148:P148" si="50">I136/I$142</f>
        <v>0.4792124182</v>
      </c>
      <c r="J148" s="148">
        <f t="shared" si="50"/>
        <v>0.5832168153</v>
      </c>
      <c r="K148" s="148">
        <f t="shared" si="50"/>
        <v>0.6364815506</v>
      </c>
      <c r="L148" s="148">
        <f t="shared" si="50"/>
        <v>0.525290269</v>
      </c>
      <c r="M148" s="148">
        <f t="shared" si="50"/>
        <v>0.4634248764</v>
      </c>
      <c r="N148" s="148">
        <f t="shared" si="50"/>
        <v>0.6042742324</v>
      </c>
      <c r="O148" s="148">
        <f t="shared" si="50"/>
        <v>0.3170090815</v>
      </c>
      <c r="P148" s="148">
        <f t="shared" si="50"/>
        <v>0.590231717</v>
      </c>
      <c r="Q148" s="149"/>
    </row>
    <row r="149">
      <c r="A149" s="122"/>
      <c r="B149" s="123"/>
      <c r="C149" s="168"/>
      <c r="D149" s="123"/>
      <c r="E149" s="216" t="s">
        <v>251</v>
      </c>
      <c r="F149" s="217" t="s">
        <v>79</v>
      </c>
      <c r="G149" s="218" t="s">
        <v>143</v>
      </c>
      <c r="H149" s="178" t="s">
        <v>144</v>
      </c>
      <c r="I149" s="154">
        <f t="shared" ref="I149:P149" si="51">I137/I$142</f>
        <v>0.1423142261</v>
      </c>
      <c r="J149" s="154">
        <f t="shared" si="51"/>
        <v>0.08718403374</v>
      </c>
      <c r="K149" s="154">
        <f t="shared" si="51"/>
        <v>0.1236446993</v>
      </c>
      <c r="L149" s="154">
        <f t="shared" si="51"/>
        <v>0.1927684128</v>
      </c>
      <c r="M149" s="154">
        <f t="shared" si="51"/>
        <v>0.2001546631</v>
      </c>
      <c r="N149" s="154">
        <f t="shared" si="51"/>
        <v>0.08340759261</v>
      </c>
      <c r="O149" s="154">
        <f t="shared" si="51"/>
        <v>0.3019268886</v>
      </c>
      <c r="P149" s="154">
        <f t="shared" si="51"/>
        <v>0.08893003025</v>
      </c>
      <c r="Q149" s="155"/>
    </row>
    <row r="150">
      <c r="A150" s="122"/>
      <c r="B150" s="123"/>
      <c r="C150" s="168"/>
      <c r="D150" s="123"/>
      <c r="E150" s="181" t="s">
        <v>252</v>
      </c>
      <c r="F150" s="221" t="s">
        <v>79</v>
      </c>
      <c r="G150" s="222" t="s">
        <v>143</v>
      </c>
      <c r="H150" s="184" t="s">
        <v>144</v>
      </c>
      <c r="I150" s="160">
        <f t="shared" ref="I150:P150" si="52">I138/I$142</f>
        <v>0.3784733557</v>
      </c>
      <c r="J150" s="160">
        <f t="shared" si="52"/>
        <v>0.3295991509</v>
      </c>
      <c r="K150" s="160">
        <f t="shared" si="52"/>
        <v>0.2398737501</v>
      </c>
      <c r="L150" s="160">
        <f t="shared" si="52"/>
        <v>0.2819413182</v>
      </c>
      <c r="M150" s="160">
        <f t="shared" si="52"/>
        <v>0.3364204605</v>
      </c>
      <c r="N150" s="160">
        <f t="shared" si="52"/>
        <v>0.312318175</v>
      </c>
      <c r="O150" s="160">
        <f t="shared" si="52"/>
        <v>0.3810640299</v>
      </c>
      <c r="P150" s="160">
        <f t="shared" si="52"/>
        <v>0.3208382528</v>
      </c>
      <c r="Q150" s="161"/>
    </row>
    <row r="151">
      <c r="A151" s="122"/>
      <c r="B151" s="123"/>
      <c r="C151" s="168"/>
      <c r="D151" s="123"/>
      <c r="E151" s="124"/>
      <c r="F151" s="125"/>
      <c r="G151" s="126"/>
      <c r="H151" s="127"/>
      <c r="I151" s="132"/>
      <c r="J151" s="132"/>
      <c r="K151" s="132"/>
      <c r="L151" s="132"/>
      <c r="M151" s="132"/>
      <c r="N151" s="132"/>
      <c r="O151" s="132"/>
      <c r="P151" s="132"/>
      <c r="Q151" s="129"/>
    </row>
    <row r="152">
      <c r="A152" s="122"/>
      <c r="B152" s="123"/>
      <c r="C152" s="168" t="s">
        <v>253</v>
      </c>
      <c r="F152" s="125"/>
      <c r="G152" s="126"/>
      <c r="H152" s="127"/>
      <c r="I152" s="132"/>
      <c r="J152" s="132"/>
      <c r="K152" s="132"/>
      <c r="L152" s="132"/>
      <c r="M152" s="132"/>
      <c r="N152" s="132"/>
      <c r="O152" s="132"/>
      <c r="P152" s="132"/>
      <c r="Q152" s="129"/>
    </row>
    <row r="153">
      <c r="A153" s="122"/>
      <c r="B153" s="123"/>
      <c r="C153" s="123"/>
      <c r="D153" s="123"/>
      <c r="E153" s="198" t="s">
        <v>146</v>
      </c>
      <c r="F153" s="251" t="str">
        <f>F19</f>
        <v>$</v>
      </c>
      <c r="G153" s="318" t="s">
        <v>236</v>
      </c>
      <c r="H153" s="147" t="str">
        <f t="shared" ref="H153:P153" si="53">H19</f>
        <v>-</v>
      </c>
      <c r="I153" s="190">
        <f t="shared" si="53"/>
        <v>1000000</v>
      </c>
      <c r="J153" s="190">
        <f t="shared" si="53"/>
        <v>1000000</v>
      </c>
      <c r="K153" s="190">
        <f t="shared" si="53"/>
        <v>1000000</v>
      </c>
      <c r="L153" s="190">
        <f t="shared" si="53"/>
        <v>1000000</v>
      </c>
      <c r="M153" s="190">
        <f t="shared" si="53"/>
        <v>1000000</v>
      </c>
      <c r="N153" s="190">
        <f t="shared" si="53"/>
        <v>1000000</v>
      </c>
      <c r="O153" s="190">
        <f t="shared" si="53"/>
        <v>1000000</v>
      </c>
      <c r="P153" s="190">
        <f t="shared" si="53"/>
        <v>1000000</v>
      </c>
      <c r="Q153" s="149"/>
    </row>
    <row r="154">
      <c r="A154" s="122"/>
      <c r="B154" s="123"/>
      <c r="C154" s="123"/>
      <c r="D154" s="123"/>
      <c r="E154" s="216" t="s">
        <v>254</v>
      </c>
      <c r="F154" s="217" t="s">
        <v>69</v>
      </c>
      <c r="G154" s="218" t="s">
        <v>143</v>
      </c>
      <c r="H154" s="178" t="s">
        <v>144</v>
      </c>
      <c r="I154" s="259">
        <f t="shared" ref="I154:P154" si="54">SUM(I126:I127)</f>
        <v>69.00106118</v>
      </c>
      <c r="J154" s="259">
        <f t="shared" si="54"/>
        <v>250.6642689</v>
      </c>
      <c r="K154" s="259">
        <f t="shared" si="54"/>
        <v>588.1916968</v>
      </c>
      <c r="L154" s="259">
        <f t="shared" si="54"/>
        <v>392.1708146</v>
      </c>
      <c r="M154" s="259">
        <f t="shared" si="54"/>
        <v>243.7834478</v>
      </c>
      <c r="N154" s="259">
        <f t="shared" si="54"/>
        <v>122.935095</v>
      </c>
      <c r="O154" s="259">
        <f t="shared" si="54"/>
        <v>260.7354418</v>
      </c>
      <c r="P154" s="259">
        <f t="shared" si="54"/>
        <v>363.81499</v>
      </c>
      <c r="Q154" s="238"/>
    </row>
    <row r="155">
      <c r="A155" s="122"/>
      <c r="B155" s="123"/>
      <c r="C155" s="123"/>
      <c r="D155" s="123"/>
      <c r="E155" s="181" t="s">
        <v>253</v>
      </c>
      <c r="F155" s="221" t="s">
        <v>75</v>
      </c>
      <c r="G155" s="222" t="s">
        <v>143</v>
      </c>
      <c r="H155" s="184" t="s">
        <v>144</v>
      </c>
      <c r="I155" s="185">
        <f t="shared" ref="I155:P155" si="55">I153/I154</f>
        <v>14492.53074</v>
      </c>
      <c r="J155" s="185">
        <f t="shared" si="55"/>
        <v>3989.399862</v>
      </c>
      <c r="K155" s="185">
        <f t="shared" si="55"/>
        <v>1700.126006</v>
      </c>
      <c r="L155" s="185">
        <f t="shared" si="55"/>
        <v>2549.909281</v>
      </c>
      <c r="M155" s="185">
        <f t="shared" si="55"/>
        <v>4102.001219</v>
      </c>
      <c r="N155" s="185">
        <f t="shared" si="55"/>
        <v>8134.373672</v>
      </c>
      <c r="O155" s="185">
        <f t="shared" si="55"/>
        <v>3835.305217</v>
      </c>
      <c r="P155" s="185">
        <f t="shared" si="55"/>
        <v>2748.649802</v>
      </c>
      <c r="Q155" s="161"/>
    </row>
    <row r="156">
      <c r="A156" s="122"/>
      <c r="B156" s="123"/>
      <c r="C156" s="123"/>
      <c r="D156" s="123"/>
      <c r="E156" s="124"/>
      <c r="F156" s="125"/>
      <c r="G156" s="126"/>
      <c r="H156" s="127"/>
      <c r="I156" s="132"/>
      <c r="J156" s="132"/>
      <c r="K156" s="132"/>
      <c r="L156" s="132"/>
      <c r="M156" s="132"/>
      <c r="N156" s="132"/>
      <c r="O156" s="132"/>
      <c r="P156" s="132"/>
      <c r="Q156" s="129"/>
    </row>
    <row r="157">
      <c r="A157" s="118" t="s">
        <v>255</v>
      </c>
      <c r="B157" s="6"/>
      <c r="C157" s="6"/>
      <c r="D157" s="6"/>
      <c r="E157" s="6"/>
      <c r="F157" s="6"/>
      <c r="G157" s="6"/>
      <c r="H157" s="119"/>
      <c r="I157" s="295"/>
      <c r="J157" s="295"/>
      <c r="K157" s="295"/>
      <c r="L157" s="295"/>
      <c r="M157" s="295"/>
      <c r="N157" s="295"/>
      <c r="O157" s="295"/>
      <c r="P157" s="295"/>
      <c r="Q157" s="121"/>
    </row>
    <row r="158">
      <c r="A158" s="122"/>
      <c r="B158" s="123"/>
      <c r="C158" s="123"/>
      <c r="D158" s="123"/>
      <c r="E158" s="124"/>
      <c r="F158" s="125"/>
      <c r="G158" s="126"/>
      <c r="H158" s="127"/>
      <c r="I158" s="208"/>
      <c r="J158" s="208"/>
      <c r="K158" s="132"/>
      <c r="L158" s="132"/>
      <c r="M158" s="132"/>
      <c r="N158" s="132"/>
      <c r="O158" s="132"/>
      <c r="P158" s="132"/>
      <c r="Q158" s="129"/>
    </row>
    <row r="159">
      <c r="A159" s="122"/>
      <c r="B159" s="123"/>
      <c r="C159" s="168" t="s">
        <v>256</v>
      </c>
      <c r="F159" s="125"/>
      <c r="G159" s="126"/>
      <c r="H159" s="127"/>
      <c r="I159" s="208"/>
      <c r="J159" s="208"/>
      <c r="K159" s="132"/>
      <c r="L159" s="132"/>
      <c r="M159" s="132"/>
      <c r="N159" s="132"/>
      <c r="O159" s="132"/>
      <c r="P159" s="132"/>
      <c r="Q159" s="129"/>
    </row>
    <row r="160">
      <c r="A160" s="122"/>
      <c r="B160" s="123"/>
      <c r="C160" s="123"/>
      <c r="D160" s="319" t="s">
        <v>257</v>
      </c>
      <c r="E160" s="37"/>
      <c r="F160" s="320"/>
      <c r="G160" s="321"/>
      <c r="H160" s="147"/>
      <c r="I160" s="244"/>
      <c r="J160" s="244"/>
      <c r="K160" s="244"/>
      <c r="L160" s="244"/>
      <c r="M160" s="244"/>
      <c r="N160" s="244"/>
      <c r="O160" s="244"/>
      <c r="P160" s="244"/>
      <c r="Q160" s="322"/>
    </row>
    <row r="161">
      <c r="A161" s="122"/>
      <c r="B161" s="123"/>
      <c r="C161" s="123"/>
      <c r="D161" s="123"/>
      <c r="E161" s="198" t="s">
        <v>258</v>
      </c>
      <c r="F161" s="188" t="str">
        <f>Inputs!F168</f>
        <v>%</v>
      </c>
      <c r="G161" s="199" t="str">
        <f>Inputs!G168</f>
        <v>input</v>
      </c>
      <c r="H161" s="250">
        <f>Inputs!H168</f>
        <v>0</v>
      </c>
      <c r="I161" s="307" t="str">
        <f>Inputs!I168</f>
        <v>-</v>
      </c>
      <c r="J161" s="307" t="str">
        <f>Inputs!J168</f>
        <v>-</v>
      </c>
      <c r="K161" s="307" t="str">
        <f>Inputs!K168</f>
        <v>-</v>
      </c>
      <c r="L161" s="307" t="str">
        <f>Inputs!L168</f>
        <v>-</v>
      </c>
      <c r="M161" s="307" t="str">
        <f>Inputs!M168</f>
        <v>-</v>
      </c>
      <c r="N161" s="307" t="str">
        <f>Inputs!N168</f>
        <v>-</v>
      </c>
      <c r="O161" s="307" t="str">
        <f>Inputs!O168</f>
        <v>-</v>
      </c>
      <c r="P161" s="307" t="str">
        <f>Inputs!P168</f>
        <v>-</v>
      </c>
      <c r="Q161" s="149"/>
    </row>
    <row r="162">
      <c r="A162" s="122"/>
      <c r="B162" s="123"/>
      <c r="C162" s="123"/>
      <c r="D162" s="123"/>
      <c r="E162" s="198" t="s">
        <v>259</v>
      </c>
      <c r="F162" s="217" t="str">
        <f>Inputs!F169</f>
        <v>%</v>
      </c>
      <c r="G162" s="218" t="str">
        <f>Inputs!G169</f>
        <v>input</v>
      </c>
      <c r="H162" s="261">
        <f>Inputs!H169</f>
        <v>0</v>
      </c>
      <c r="I162" s="239" t="str">
        <f>Inputs!I169</f>
        <v>-</v>
      </c>
      <c r="J162" s="239" t="str">
        <f>Inputs!J169</f>
        <v>-</v>
      </c>
      <c r="K162" s="239" t="str">
        <f>Inputs!K169</f>
        <v>-</v>
      </c>
      <c r="L162" s="239" t="str">
        <f>Inputs!L169</f>
        <v>-</v>
      </c>
      <c r="M162" s="239" t="str">
        <f>Inputs!M169</f>
        <v>-</v>
      </c>
      <c r="N162" s="239" t="str">
        <f>Inputs!N169</f>
        <v>-</v>
      </c>
      <c r="O162" s="239" t="str">
        <f>Inputs!O169</f>
        <v>-</v>
      </c>
      <c r="P162" s="239" t="str">
        <f>Inputs!P169</f>
        <v>-</v>
      </c>
      <c r="Q162" s="155"/>
    </row>
    <row r="163">
      <c r="A163" s="122"/>
      <c r="B163" s="123"/>
      <c r="C163" s="123"/>
      <c r="D163" s="123"/>
      <c r="E163" s="198" t="s">
        <v>260</v>
      </c>
      <c r="F163" s="217" t="str">
        <f>Inputs!F170</f>
        <v>%</v>
      </c>
      <c r="G163" s="218" t="str">
        <f>Inputs!G170</f>
        <v>input</v>
      </c>
      <c r="H163" s="261">
        <f>Inputs!H170</f>
        <v>0</v>
      </c>
      <c r="I163" s="239" t="str">
        <f>Inputs!I170</f>
        <v>-</v>
      </c>
      <c r="J163" s="239" t="str">
        <f>Inputs!J170</f>
        <v>-</v>
      </c>
      <c r="K163" s="239" t="str">
        <f>Inputs!K170</f>
        <v>-</v>
      </c>
      <c r="L163" s="239" t="str">
        <f>Inputs!L170</f>
        <v>-</v>
      </c>
      <c r="M163" s="239" t="str">
        <f>Inputs!M170</f>
        <v>-</v>
      </c>
      <c r="N163" s="239" t="str">
        <f>Inputs!N170</f>
        <v>-</v>
      </c>
      <c r="O163" s="239" t="str">
        <f>Inputs!O170</f>
        <v>-</v>
      </c>
      <c r="P163" s="239" t="str">
        <f>Inputs!P170</f>
        <v>-</v>
      </c>
      <c r="Q163" s="155"/>
    </row>
    <row r="164">
      <c r="A164" s="122"/>
      <c r="B164" s="123"/>
      <c r="C164" s="123"/>
      <c r="D164" s="319" t="s">
        <v>261</v>
      </c>
      <c r="E164" s="37"/>
      <c r="F164" s="323"/>
      <c r="G164" s="324"/>
      <c r="H164" s="261"/>
      <c r="I164" s="154"/>
      <c r="J164" s="154"/>
      <c r="K164" s="154"/>
      <c r="L164" s="154"/>
      <c r="M164" s="154"/>
      <c r="N164" s="154"/>
      <c r="O164" s="154"/>
      <c r="P164" s="154"/>
      <c r="Q164" s="180"/>
    </row>
    <row r="165">
      <c r="A165" s="122"/>
      <c r="B165" s="123"/>
      <c r="C165" s="123"/>
      <c r="D165" s="123"/>
      <c r="E165" s="198" t="s">
        <v>262</v>
      </c>
      <c r="F165" s="217" t="str">
        <f>Inputs!F172</f>
        <v>%</v>
      </c>
      <c r="G165" s="218" t="str">
        <f>Inputs!G172</f>
        <v>input</v>
      </c>
      <c r="H165" s="261">
        <f>Inputs!H172</f>
        <v>-0.02</v>
      </c>
      <c r="I165" s="239" t="str">
        <f>Inputs!I172</f>
        <v>-</v>
      </c>
      <c r="J165" s="239" t="str">
        <f>Inputs!J172</f>
        <v>-</v>
      </c>
      <c r="K165" s="239" t="str">
        <f>Inputs!K172</f>
        <v>-</v>
      </c>
      <c r="L165" s="239" t="str">
        <f>Inputs!L172</f>
        <v>-</v>
      </c>
      <c r="M165" s="239" t="str">
        <f>Inputs!M172</f>
        <v>-</v>
      </c>
      <c r="N165" s="239" t="str">
        <f>Inputs!N172</f>
        <v>-</v>
      </c>
      <c r="O165" s="239" t="str">
        <f>Inputs!O172</f>
        <v>-</v>
      </c>
      <c r="P165" s="239" t="str">
        <f>Inputs!P172</f>
        <v>-</v>
      </c>
      <c r="Q165" s="155"/>
    </row>
    <row r="166">
      <c r="A166" s="122"/>
      <c r="B166" s="123"/>
      <c r="C166" s="123"/>
      <c r="D166" s="123"/>
      <c r="E166" s="198" t="s">
        <v>263</v>
      </c>
      <c r="F166" s="217" t="str">
        <f>Inputs!F173</f>
        <v>%</v>
      </c>
      <c r="G166" s="218" t="str">
        <f>Inputs!G173</f>
        <v>input</v>
      </c>
      <c r="H166" s="261">
        <f>Inputs!H173</f>
        <v>-0.02</v>
      </c>
      <c r="I166" s="239" t="str">
        <f>Inputs!I173</f>
        <v>-</v>
      </c>
      <c r="J166" s="239" t="str">
        <f>Inputs!J173</f>
        <v>-</v>
      </c>
      <c r="K166" s="239" t="str">
        <f>Inputs!K173</f>
        <v>-</v>
      </c>
      <c r="L166" s="239" t="str">
        <f>Inputs!L173</f>
        <v>-</v>
      </c>
      <c r="M166" s="239" t="str">
        <f>Inputs!M173</f>
        <v>-</v>
      </c>
      <c r="N166" s="239" t="str">
        <f>Inputs!N173</f>
        <v>-</v>
      </c>
      <c r="O166" s="239" t="str">
        <f>Inputs!O173</f>
        <v>-</v>
      </c>
      <c r="P166" s="239" t="str">
        <f>Inputs!P173</f>
        <v>-</v>
      </c>
      <c r="Q166" s="155"/>
    </row>
    <row r="167">
      <c r="A167" s="122"/>
      <c r="B167" s="123"/>
      <c r="C167" s="123"/>
      <c r="D167" s="319" t="s">
        <v>264</v>
      </c>
      <c r="E167" s="37"/>
      <c r="F167" s="323"/>
      <c r="G167" s="324"/>
      <c r="H167" s="261"/>
      <c r="I167" s="154"/>
      <c r="J167" s="154"/>
      <c r="K167" s="154"/>
      <c r="L167" s="154"/>
      <c r="M167" s="154"/>
      <c r="N167" s="154"/>
      <c r="O167" s="154"/>
      <c r="P167" s="154"/>
      <c r="Q167" s="180"/>
    </row>
    <row r="168">
      <c r="A168" s="122"/>
      <c r="B168" s="123"/>
      <c r="C168" s="123"/>
      <c r="D168" s="123"/>
      <c r="E168" s="198" t="s">
        <v>265</v>
      </c>
      <c r="F168" s="217" t="str">
        <f>Inputs!F175</f>
        <v>%</v>
      </c>
      <c r="G168" s="218" t="str">
        <f>Inputs!G175</f>
        <v>input</v>
      </c>
      <c r="H168" s="261">
        <f>Inputs!H175</f>
        <v>0</v>
      </c>
      <c r="I168" s="239" t="str">
        <f>Inputs!I175</f>
        <v>-</v>
      </c>
      <c r="J168" s="239" t="str">
        <f>Inputs!J175</f>
        <v>-</v>
      </c>
      <c r="K168" s="239" t="str">
        <f>Inputs!K175</f>
        <v>-</v>
      </c>
      <c r="L168" s="239" t="str">
        <f>Inputs!L175</f>
        <v>-</v>
      </c>
      <c r="M168" s="239" t="str">
        <f>Inputs!M175</f>
        <v>-</v>
      </c>
      <c r="N168" s="239" t="str">
        <f>Inputs!N175</f>
        <v>-</v>
      </c>
      <c r="O168" s="239" t="str">
        <f>Inputs!O175</f>
        <v>-</v>
      </c>
      <c r="P168" s="239" t="str">
        <f>Inputs!P175</f>
        <v>-</v>
      </c>
      <c r="Q168" s="155"/>
    </row>
    <row r="169">
      <c r="A169" s="122"/>
      <c r="B169" s="123"/>
      <c r="C169" s="123"/>
      <c r="D169" s="123"/>
      <c r="E169" s="198" t="s">
        <v>266</v>
      </c>
      <c r="F169" s="217" t="str">
        <f>Inputs!F176</f>
        <v>%</v>
      </c>
      <c r="G169" s="218" t="str">
        <f>Inputs!G176</f>
        <v>input</v>
      </c>
      <c r="H169" s="261">
        <f>Inputs!H176</f>
        <v>0</v>
      </c>
      <c r="I169" s="239" t="str">
        <f>Inputs!I176</f>
        <v>-</v>
      </c>
      <c r="J169" s="239" t="str">
        <f>Inputs!J176</f>
        <v>-</v>
      </c>
      <c r="K169" s="239" t="str">
        <f>Inputs!K176</f>
        <v>-</v>
      </c>
      <c r="L169" s="239" t="str">
        <f>Inputs!L176</f>
        <v>-</v>
      </c>
      <c r="M169" s="239" t="str">
        <f>Inputs!M176</f>
        <v>-</v>
      </c>
      <c r="N169" s="239" t="str">
        <f>Inputs!N176</f>
        <v>-</v>
      </c>
      <c r="O169" s="239" t="str">
        <f>Inputs!O176</f>
        <v>-</v>
      </c>
      <c r="P169" s="239" t="str">
        <f>Inputs!P176</f>
        <v>-</v>
      </c>
      <c r="Q169" s="155"/>
    </row>
    <row r="170">
      <c r="A170" s="122"/>
      <c r="B170" s="123"/>
      <c r="C170" s="123"/>
      <c r="D170" s="123"/>
      <c r="E170" s="198" t="s">
        <v>267</v>
      </c>
      <c r="F170" s="217" t="str">
        <f>Inputs!F177</f>
        <v>%</v>
      </c>
      <c r="G170" s="218" t="str">
        <f>Inputs!G177</f>
        <v>input</v>
      </c>
      <c r="H170" s="261">
        <f>Inputs!H177</f>
        <v>0</v>
      </c>
      <c r="I170" s="239" t="str">
        <f>Inputs!I177</f>
        <v>-</v>
      </c>
      <c r="J170" s="239" t="str">
        <f>Inputs!J177</f>
        <v>-</v>
      </c>
      <c r="K170" s="239" t="str">
        <f>Inputs!K177</f>
        <v>-</v>
      </c>
      <c r="L170" s="239" t="str">
        <f>Inputs!L177</f>
        <v>-</v>
      </c>
      <c r="M170" s="239" t="str">
        <f>Inputs!M177</f>
        <v>-</v>
      </c>
      <c r="N170" s="239" t="str">
        <f>Inputs!N177</f>
        <v>-</v>
      </c>
      <c r="O170" s="239" t="str">
        <f>Inputs!O177</f>
        <v>-</v>
      </c>
      <c r="P170" s="239" t="str">
        <f>Inputs!P177</f>
        <v>-</v>
      </c>
      <c r="Q170" s="155"/>
    </row>
    <row r="171">
      <c r="A171" s="122"/>
      <c r="B171" s="123"/>
      <c r="C171" s="123"/>
      <c r="D171" s="264"/>
      <c r="E171" s="325"/>
      <c r="F171" s="140"/>
      <c r="G171" s="140"/>
      <c r="H171" s="245"/>
      <c r="I171" s="326"/>
      <c r="J171" s="326"/>
      <c r="K171" s="326"/>
      <c r="L171" s="326"/>
      <c r="M171" s="326"/>
      <c r="N171" s="326"/>
      <c r="O171" s="326"/>
      <c r="P171" s="326"/>
      <c r="Q171" s="246"/>
    </row>
    <row r="172">
      <c r="A172" s="122"/>
      <c r="B172" s="123"/>
      <c r="C172" s="123"/>
      <c r="D172" s="327" t="s">
        <v>268</v>
      </c>
      <c r="E172" s="54"/>
      <c r="F172" s="134" t="s">
        <v>79</v>
      </c>
      <c r="G172" s="165" t="s">
        <v>143</v>
      </c>
      <c r="H172" s="328">
        <f>sum(H161:H163,H165:H166,H168:H170)</f>
        <v>-0.04</v>
      </c>
      <c r="I172" s="329" t="s">
        <v>144</v>
      </c>
      <c r="J172" s="329" t="s">
        <v>144</v>
      </c>
      <c r="K172" s="329" t="s">
        <v>144</v>
      </c>
      <c r="L172" s="329" t="s">
        <v>144</v>
      </c>
      <c r="M172" s="329" t="s">
        <v>144</v>
      </c>
      <c r="N172" s="329" t="s">
        <v>144</v>
      </c>
      <c r="O172" s="329" t="s">
        <v>144</v>
      </c>
      <c r="P172" s="329" t="s">
        <v>144</v>
      </c>
      <c r="Q172" s="138"/>
    </row>
    <row r="173">
      <c r="A173" s="122"/>
      <c r="B173" s="123"/>
      <c r="C173" s="123"/>
      <c r="D173" s="123"/>
      <c r="E173" s="124"/>
      <c r="F173" s="125"/>
      <c r="G173" s="126"/>
      <c r="H173" s="127"/>
      <c r="I173" s="132"/>
      <c r="J173" s="132"/>
      <c r="K173" s="132"/>
      <c r="L173" s="132"/>
      <c r="M173" s="132"/>
      <c r="N173" s="132"/>
      <c r="O173" s="132"/>
      <c r="P173" s="132"/>
      <c r="Q173" s="129"/>
    </row>
    <row r="174">
      <c r="A174" s="122"/>
      <c r="B174" s="123"/>
      <c r="C174" s="162" t="s">
        <v>269</v>
      </c>
      <c r="F174" s="125"/>
      <c r="G174" s="126"/>
      <c r="H174" s="127"/>
      <c r="I174" s="132"/>
      <c r="J174" s="132"/>
      <c r="K174" s="132"/>
      <c r="L174" s="132"/>
      <c r="M174" s="132"/>
      <c r="N174" s="132"/>
      <c r="O174" s="132"/>
      <c r="P174" s="132"/>
      <c r="Q174" s="129"/>
    </row>
    <row r="175">
      <c r="A175" s="122"/>
      <c r="B175" s="123"/>
      <c r="C175" s="123"/>
      <c r="D175" s="319" t="s">
        <v>270</v>
      </c>
      <c r="E175" s="37"/>
      <c r="F175" s="188"/>
      <c r="G175" s="199"/>
      <c r="H175" s="214"/>
      <c r="I175" s="307"/>
      <c r="J175" s="307"/>
      <c r="K175" s="307"/>
      <c r="L175" s="307"/>
      <c r="M175" s="307"/>
      <c r="N175" s="307"/>
      <c r="O175" s="307"/>
      <c r="P175" s="307"/>
      <c r="Q175" s="149"/>
    </row>
    <row r="176">
      <c r="A176" s="122"/>
      <c r="B176" s="123"/>
      <c r="C176" s="123"/>
      <c r="D176" s="264"/>
      <c r="E176" s="198" t="s">
        <v>271</v>
      </c>
      <c r="F176" s="188" t="str">
        <f>Inputs!F180</f>
        <v>%</v>
      </c>
      <c r="G176" s="199" t="str">
        <f>Inputs!G180</f>
        <v>input</v>
      </c>
      <c r="H176" s="214">
        <f>Inputs!H180</f>
        <v>0.09</v>
      </c>
      <c r="I176" s="307" t="str">
        <f>Inputs!I180</f>
        <v>-</v>
      </c>
      <c r="J176" s="307" t="str">
        <f>Inputs!J180</f>
        <v>-</v>
      </c>
      <c r="K176" s="307" t="str">
        <f>Inputs!K180</f>
        <v>-</v>
      </c>
      <c r="L176" s="307" t="str">
        <f>Inputs!L180</f>
        <v>-</v>
      </c>
      <c r="M176" s="307" t="str">
        <f>Inputs!M180</f>
        <v>-</v>
      </c>
      <c r="N176" s="307" t="str">
        <f>Inputs!N180</f>
        <v>-</v>
      </c>
      <c r="O176" s="307" t="str">
        <f>Inputs!O180</f>
        <v>-</v>
      </c>
      <c r="P176" s="307" t="str">
        <f>Inputs!P180</f>
        <v>-</v>
      </c>
      <c r="Q176" s="149"/>
    </row>
    <row r="177">
      <c r="A177" s="122"/>
      <c r="B177" s="123"/>
      <c r="C177" s="123"/>
      <c r="D177" s="123"/>
      <c r="E177" s="198" t="s">
        <v>272</v>
      </c>
      <c r="F177" s="217" t="str">
        <f>Inputs!F181</f>
        <v>%</v>
      </c>
      <c r="G177" s="218" t="str">
        <f>Inputs!G181</f>
        <v>input</v>
      </c>
      <c r="H177" s="219">
        <f>Inputs!H181</f>
        <v>0.09</v>
      </c>
      <c r="I177" s="239" t="str">
        <f>Inputs!I181</f>
        <v>-</v>
      </c>
      <c r="J177" s="239" t="str">
        <f>Inputs!J181</f>
        <v>-</v>
      </c>
      <c r="K177" s="239" t="str">
        <f>Inputs!K181</f>
        <v>-</v>
      </c>
      <c r="L177" s="239" t="str">
        <f>Inputs!L181</f>
        <v>-</v>
      </c>
      <c r="M177" s="239" t="str">
        <f>Inputs!M181</f>
        <v>-</v>
      </c>
      <c r="N177" s="239" t="str">
        <f>Inputs!N181</f>
        <v>-</v>
      </c>
      <c r="O177" s="239" t="str">
        <f>Inputs!O181</f>
        <v>-</v>
      </c>
      <c r="P177" s="239" t="str">
        <f>Inputs!P181</f>
        <v>-</v>
      </c>
      <c r="Q177" s="155"/>
    </row>
    <row r="178">
      <c r="A178" s="122"/>
      <c r="B178" s="123"/>
      <c r="C178" s="123"/>
      <c r="D178" s="123"/>
      <c r="E178" s="198" t="s">
        <v>273</v>
      </c>
      <c r="F178" s="217" t="str">
        <f>Inputs!F182</f>
        <v>%</v>
      </c>
      <c r="G178" s="218" t="str">
        <f>Inputs!G182</f>
        <v>input</v>
      </c>
      <c r="H178" s="219">
        <f>Inputs!H182</f>
        <v>0.02</v>
      </c>
      <c r="I178" s="239" t="str">
        <f>Inputs!I182</f>
        <v>-</v>
      </c>
      <c r="J178" s="239" t="str">
        <f>Inputs!J182</f>
        <v>-</v>
      </c>
      <c r="K178" s="239" t="str">
        <f>Inputs!K182</f>
        <v>-</v>
      </c>
      <c r="L178" s="239" t="str">
        <f>Inputs!L182</f>
        <v>-</v>
      </c>
      <c r="M178" s="239" t="str">
        <f>Inputs!M182</f>
        <v>-</v>
      </c>
      <c r="N178" s="239" t="str">
        <f>Inputs!N182</f>
        <v>-</v>
      </c>
      <c r="O178" s="239" t="str">
        <f>Inputs!O182</f>
        <v>-</v>
      </c>
      <c r="P178" s="239" t="str">
        <f>Inputs!P182</f>
        <v>-</v>
      </c>
      <c r="Q178" s="155"/>
    </row>
    <row r="179">
      <c r="A179" s="122"/>
      <c r="B179" s="123"/>
      <c r="C179" s="123"/>
      <c r="D179" s="123"/>
      <c r="E179" s="198" t="s">
        <v>274</v>
      </c>
      <c r="F179" s="217" t="str">
        <f>Inputs!F183</f>
        <v>%</v>
      </c>
      <c r="G179" s="218" t="str">
        <f>Inputs!G183</f>
        <v>input</v>
      </c>
      <c r="H179" s="219">
        <f>Inputs!H183</f>
        <v>0.09</v>
      </c>
      <c r="I179" s="239" t="str">
        <f>Inputs!I183</f>
        <v>-</v>
      </c>
      <c r="J179" s="239" t="str">
        <f>Inputs!J183</f>
        <v>-</v>
      </c>
      <c r="K179" s="239" t="str">
        <f>Inputs!K183</f>
        <v>-</v>
      </c>
      <c r="L179" s="239" t="str">
        <f>Inputs!L183</f>
        <v>-</v>
      </c>
      <c r="M179" s="239" t="str">
        <f>Inputs!M183</f>
        <v>-</v>
      </c>
      <c r="N179" s="239" t="str">
        <f>Inputs!N183</f>
        <v>-</v>
      </c>
      <c r="O179" s="239" t="str">
        <f>Inputs!O183</f>
        <v>-</v>
      </c>
      <c r="P179" s="239" t="str">
        <f>Inputs!P183</f>
        <v>-</v>
      </c>
      <c r="Q179" s="155"/>
    </row>
    <row r="180">
      <c r="A180" s="122"/>
      <c r="B180" s="123"/>
      <c r="C180" s="123"/>
      <c r="D180" s="123"/>
      <c r="E180" s="198" t="s">
        <v>275</v>
      </c>
      <c r="F180" s="217" t="str">
        <f>Inputs!F184</f>
        <v>%</v>
      </c>
      <c r="G180" s="218" t="str">
        <f>Inputs!G184</f>
        <v>input</v>
      </c>
      <c r="H180" s="219">
        <f>Inputs!H184</f>
        <v>0.025</v>
      </c>
      <c r="I180" s="239" t="str">
        <f>Inputs!I184</f>
        <v>-</v>
      </c>
      <c r="J180" s="239" t="str">
        <f>Inputs!J184</f>
        <v>-</v>
      </c>
      <c r="K180" s="239" t="str">
        <f>Inputs!K184</f>
        <v>-</v>
      </c>
      <c r="L180" s="239" t="str">
        <f>Inputs!L184</f>
        <v>-</v>
      </c>
      <c r="M180" s="239" t="str">
        <f>Inputs!M184</f>
        <v>-</v>
      </c>
      <c r="N180" s="239" t="str">
        <f>Inputs!N184</f>
        <v>-</v>
      </c>
      <c r="O180" s="239" t="str">
        <f>Inputs!O184</f>
        <v>-</v>
      </c>
      <c r="P180" s="239" t="str">
        <f>Inputs!P184</f>
        <v>-</v>
      </c>
      <c r="Q180" s="155"/>
    </row>
    <row r="181">
      <c r="A181" s="122"/>
      <c r="B181" s="123"/>
      <c r="C181" s="123"/>
      <c r="D181" s="123"/>
      <c r="E181" s="198" t="s">
        <v>276</v>
      </c>
      <c r="F181" s="217" t="str">
        <f>Inputs!F185</f>
        <v>%</v>
      </c>
      <c r="G181" s="218" t="str">
        <f>Inputs!G185</f>
        <v>input</v>
      </c>
      <c r="H181" s="219">
        <f>Inputs!H185</f>
        <v>0.2</v>
      </c>
      <c r="I181" s="239" t="str">
        <f>Inputs!I185</f>
        <v>-</v>
      </c>
      <c r="J181" s="239" t="str">
        <f>Inputs!J185</f>
        <v>-</v>
      </c>
      <c r="K181" s="239" t="str">
        <f>Inputs!K185</f>
        <v>-</v>
      </c>
      <c r="L181" s="239" t="str">
        <f>Inputs!L185</f>
        <v>-</v>
      </c>
      <c r="M181" s="239" t="str">
        <f>Inputs!M185</f>
        <v>-</v>
      </c>
      <c r="N181" s="239" t="str">
        <f>Inputs!N185</f>
        <v>-</v>
      </c>
      <c r="O181" s="239" t="str">
        <f>Inputs!O185</f>
        <v>-</v>
      </c>
      <c r="P181" s="239" t="str">
        <f>Inputs!P185</f>
        <v>-</v>
      </c>
      <c r="Q181" s="155"/>
    </row>
    <row r="182">
      <c r="A182" s="122"/>
      <c r="B182" s="123"/>
      <c r="C182" s="123"/>
      <c r="D182" s="319" t="s">
        <v>277</v>
      </c>
      <c r="E182" s="37"/>
      <c r="F182" s="217"/>
      <c r="G182" s="218"/>
      <c r="H182" s="219"/>
      <c r="I182" s="239"/>
      <c r="J182" s="239"/>
      <c r="K182" s="239"/>
      <c r="L182" s="239"/>
      <c r="M182" s="239"/>
      <c r="N182" s="239"/>
      <c r="O182" s="239"/>
      <c r="P182" s="239"/>
      <c r="Q182" s="155"/>
    </row>
    <row r="183">
      <c r="A183" s="122"/>
      <c r="B183" s="123"/>
      <c r="C183" s="123"/>
      <c r="D183" s="123"/>
      <c r="E183" s="198" t="s">
        <v>278</v>
      </c>
      <c r="F183" s="217" t="str">
        <f>Inputs!F186</f>
        <v>%</v>
      </c>
      <c r="G183" s="218" t="str">
        <f>Inputs!G186</f>
        <v>input</v>
      </c>
      <c r="H183" s="219">
        <f>Inputs!H186</f>
        <v>-0.04</v>
      </c>
      <c r="I183" s="239" t="str">
        <f>Inputs!I186</f>
        <v>-</v>
      </c>
      <c r="J183" s="239" t="str">
        <f>Inputs!J186</f>
        <v>-</v>
      </c>
      <c r="K183" s="239" t="str">
        <f>Inputs!K186</f>
        <v>-</v>
      </c>
      <c r="L183" s="239" t="str">
        <f>Inputs!L186</f>
        <v>-</v>
      </c>
      <c r="M183" s="239" t="str">
        <f>Inputs!M186</f>
        <v>-</v>
      </c>
      <c r="N183" s="239" t="str">
        <f>Inputs!N186</f>
        <v>-</v>
      </c>
      <c r="O183" s="239" t="str">
        <f>Inputs!O186</f>
        <v>-</v>
      </c>
      <c r="P183" s="239" t="str">
        <f>Inputs!P186</f>
        <v>-</v>
      </c>
      <c r="Q183" s="155"/>
    </row>
    <row r="184">
      <c r="A184" s="122"/>
      <c r="B184" s="123"/>
      <c r="C184" s="123"/>
      <c r="D184" s="123"/>
      <c r="E184" s="198" t="s">
        <v>279</v>
      </c>
      <c r="F184" s="217" t="str">
        <f>Inputs!F187</f>
        <v>%</v>
      </c>
      <c r="G184" s="218" t="str">
        <f>Inputs!G187</f>
        <v>input</v>
      </c>
      <c r="H184" s="219">
        <f>Inputs!H187</f>
        <v>0.024</v>
      </c>
      <c r="I184" s="239" t="str">
        <f>Inputs!I187</f>
        <v>-</v>
      </c>
      <c r="J184" s="239" t="str">
        <f>Inputs!J187</f>
        <v>-</v>
      </c>
      <c r="K184" s="239" t="str">
        <f>Inputs!K187</f>
        <v>-</v>
      </c>
      <c r="L184" s="239" t="str">
        <f>Inputs!L187</f>
        <v>-</v>
      </c>
      <c r="M184" s="239" t="str">
        <f>Inputs!M187</f>
        <v>-</v>
      </c>
      <c r="N184" s="239" t="str">
        <f>Inputs!N187</f>
        <v>-</v>
      </c>
      <c r="O184" s="239" t="str">
        <f>Inputs!O187</f>
        <v>-</v>
      </c>
      <c r="P184" s="239" t="str">
        <f>Inputs!P187</f>
        <v>-</v>
      </c>
      <c r="Q184" s="155"/>
    </row>
    <row r="185">
      <c r="A185" s="122"/>
      <c r="B185" s="123"/>
      <c r="C185" s="123"/>
      <c r="D185" s="123"/>
      <c r="E185" s="198" t="s">
        <v>280</v>
      </c>
      <c r="F185" s="217" t="str">
        <f>Inputs!F188</f>
        <v>%</v>
      </c>
      <c r="G185" s="218" t="str">
        <f>Inputs!G188</f>
        <v>input</v>
      </c>
      <c r="H185" s="219" t="str">
        <f>Inputs!H188</f>
        <v>-</v>
      </c>
      <c r="I185" s="239">
        <f>Inputs!I188</f>
        <v>0</v>
      </c>
      <c r="J185" s="239">
        <f>Inputs!J188</f>
        <v>-0.05</v>
      </c>
      <c r="K185" s="239">
        <f>Inputs!K188</f>
        <v>-0.15</v>
      </c>
      <c r="L185" s="239">
        <f>Inputs!L188</f>
        <v>-0.05</v>
      </c>
      <c r="M185" s="239">
        <f>Inputs!M188</f>
        <v>-0.05</v>
      </c>
      <c r="N185" s="239">
        <f>Inputs!N188</f>
        <v>-0.15</v>
      </c>
      <c r="O185" s="239">
        <f>Inputs!O188</f>
        <v>-0.15</v>
      </c>
      <c r="P185" s="239">
        <f>Inputs!P188</f>
        <v>-0.15</v>
      </c>
      <c r="Q185" s="155"/>
    </row>
    <row r="186">
      <c r="A186" s="122"/>
      <c r="B186" s="123"/>
      <c r="C186" s="123"/>
      <c r="D186" s="123"/>
      <c r="E186" s="198" t="s">
        <v>281</v>
      </c>
      <c r="F186" s="217" t="str">
        <f>Inputs!F189</f>
        <v>%</v>
      </c>
      <c r="G186" s="218" t="str">
        <f>Inputs!G189</f>
        <v>input</v>
      </c>
      <c r="H186" s="219">
        <f>Inputs!H189</f>
        <v>0.05</v>
      </c>
      <c r="I186" s="239" t="str">
        <f>Inputs!I189</f>
        <v>-</v>
      </c>
      <c r="J186" s="239" t="str">
        <f>Inputs!J189</f>
        <v>-</v>
      </c>
      <c r="K186" s="239" t="str">
        <f>Inputs!K189</f>
        <v>-</v>
      </c>
      <c r="L186" s="239" t="str">
        <f>Inputs!L189</f>
        <v>-</v>
      </c>
      <c r="M186" s="239" t="str">
        <f>Inputs!M189</f>
        <v>-</v>
      </c>
      <c r="N186" s="239" t="str">
        <f>Inputs!N189</f>
        <v>-</v>
      </c>
      <c r="O186" s="239" t="str">
        <f>Inputs!O189</f>
        <v>-</v>
      </c>
      <c r="P186" s="239" t="str">
        <f>Inputs!P189</f>
        <v>-</v>
      </c>
      <c r="Q186" s="155"/>
    </row>
    <row r="187">
      <c r="A187" s="122"/>
      <c r="B187" s="123"/>
      <c r="C187" s="123"/>
      <c r="D187" s="123"/>
      <c r="E187" s="198" t="s">
        <v>282</v>
      </c>
      <c r="F187" s="217" t="str">
        <f>Inputs!F190</f>
        <v>%</v>
      </c>
      <c r="G187" s="218" t="str">
        <f>Inputs!G190</f>
        <v>input</v>
      </c>
      <c r="H187" s="219">
        <f>Inputs!H190</f>
        <v>-0.02</v>
      </c>
      <c r="I187" s="239" t="str">
        <f>Inputs!I190</f>
        <v>-</v>
      </c>
      <c r="J187" s="239" t="str">
        <f>Inputs!J190</f>
        <v>-</v>
      </c>
      <c r="K187" s="239" t="str">
        <f>Inputs!K190</f>
        <v>-</v>
      </c>
      <c r="L187" s="239" t="str">
        <f>Inputs!L190</f>
        <v>-</v>
      </c>
      <c r="M187" s="239" t="str">
        <f>Inputs!M190</f>
        <v>-</v>
      </c>
      <c r="N187" s="239" t="str">
        <f>Inputs!N190</f>
        <v>-</v>
      </c>
      <c r="O187" s="239" t="str">
        <f>Inputs!O190</f>
        <v>-</v>
      </c>
      <c r="P187" s="239" t="str">
        <f>Inputs!P190</f>
        <v>-</v>
      </c>
      <c r="Q187" s="155"/>
    </row>
    <row r="188">
      <c r="A188" s="122"/>
      <c r="B188" s="123"/>
      <c r="C188" s="123"/>
      <c r="D188" s="264"/>
      <c r="E188" s="325"/>
      <c r="F188" s="140"/>
      <c r="G188" s="140"/>
      <c r="H188" s="330"/>
      <c r="I188" s="132"/>
      <c r="J188" s="132"/>
      <c r="K188" s="132"/>
      <c r="L188" s="132"/>
      <c r="M188" s="132"/>
      <c r="N188" s="132"/>
      <c r="O188" s="132"/>
      <c r="P188" s="132"/>
      <c r="Q188" s="246"/>
    </row>
    <row r="189">
      <c r="A189" s="122"/>
      <c r="B189" s="123"/>
      <c r="C189" s="123"/>
      <c r="D189" s="327" t="s">
        <v>283</v>
      </c>
      <c r="E189" s="54"/>
      <c r="F189" s="134" t="s">
        <v>79</v>
      </c>
      <c r="G189" s="165" t="s">
        <v>143</v>
      </c>
      <c r="H189" s="166" t="s">
        <v>144</v>
      </c>
      <c r="I189" s="331">
        <f t="shared" ref="I189:P189" si="56">SUM($H176:$H188,I176:I188)</f>
        <v>0.529</v>
      </c>
      <c r="J189" s="331">
        <f t="shared" si="56"/>
        <v>0.479</v>
      </c>
      <c r="K189" s="331">
        <f t="shared" si="56"/>
        <v>0.379</v>
      </c>
      <c r="L189" s="331">
        <f t="shared" si="56"/>
        <v>0.479</v>
      </c>
      <c r="M189" s="331">
        <f t="shared" si="56"/>
        <v>0.479</v>
      </c>
      <c r="N189" s="331">
        <f t="shared" si="56"/>
        <v>0.379</v>
      </c>
      <c r="O189" s="331">
        <f t="shared" si="56"/>
        <v>0.379</v>
      </c>
      <c r="P189" s="331">
        <f t="shared" si="56"/>
        <v>0.379</v>
      </c>
      <c r="Q189" s="138"/>
    </row>
    <row r="190">
      <c r="A190" s="122"/>
      <c r="B190" s="123"/>
      <c r="C190" s="123"/>
      <c r="D190" s="123"/>
      <c r="E190" s="124"/>
      <c r="F190" s="332"/>
      <c r="G190" s="126"/>
      <c r="H190" s="127"/>
      <c r="I190" s="132"/>
      <c r="J190" s="132"/>
      <c r="K190" s="132"/>
      <c r="L190" s="132"/>
      <c r="M190" s="132"/>
      <c r="N190" s="132"/>
      <c r="O190" s="132"/>
      <c r="P190" s="132"/>
      <c r="Q190" s="129"/>
    </row>
    <row r="191">
      <c r="A191" s="122"/>
      <c r="B191" s="123"/>
      <c r="C191" s="168" t="s">
        <v>284</v>
      </c>
      <c r="F191" s="332"/>
      <c r="G191" s="126"/>
      <c r="H191" s="127"/>
      <c r="I191" s="132"/>
      <c r="J191" s="132"/>
      <c r="K191" s="132"/>
      <c r="L191" s="132"/>
      <c r="M191" s="132"/>
      <c r="N191" s="132"/>
      <c r="O191" s="132"/>
      <c r="P191" s="132"/>
      <c r="Q191" s="129"/>
    </row>
    <row r="192">
      <c r="A192" s="122"/>
      <c r="B192" s="123"/>
      <c r="C192" s="123"/>
      <c r="D192" s="123"/>
      <c r="E192" s="198" t="s">
        <v>285</v>
      </c>
      <c r="F192" s="188" t="str">
        <f>LeverageFunging!F111</f>
        <v>%</v>
      </c>
      <c r="G192" s="199" t="s">
        <v>166</v>
      </c>
      <c r="H192" s="147" t="str">
        <f>LeverageFunging!H111</f>
        <v>-</v>
      </c>
      <c r="I192" s="148">
        <f>LeverageFunging!I111</f>
        <v>-0.008308060237</v>
      </c>
      <c r="J192" s="148">
        <f>LeverageFunging!J111</f>
        <v>-0.004114250426</v>
      </c>
      <c r="K192" s="148">
        <f>LeverageFunging!K111</f>
        <v>-0.001382525591</v>
      </c>
      <c r="L192" s="148">
        <f>LeverageFunging!L111</f>
        <v>-0.001698012775</v>
      </c>
      <c r="M192" s="148">
        <f>LeverageFunging!M111</f>
        <v>-0.003159222382</v>
      </c>
      <c r="N192" s="148">
        <f>LeverageFunging!N111</f>
        <v>-0.01129290244</v>
      </c>
      <c r="O192" s="148">
        <f>LeverageFunging!O111</f>
        <v>-0.001691670199</v>
      </c>
      <c r="P192" s="148">
        <f>LeverageFunging!P111</f>
        <v>-0.001853405826</v>
      </c>
      <c r="Q192" s="174"/>
    </row>
    <row r="193">
      <c r="A193" s="122"/>
      <c r="B193" s="123"/>
      <c r="C193" s="123"/>
      <c r="D193" s="123"/>
      <c r="E193" s="216" t="s">
        <v>286</v>
      </c>
      <c r="F193" s="217" t="str">
        <f>LeverageFunging!F112</f>
        <v>%</v>
      </c>
      <c r="G193" s="218" t="s">
        <v>166</v>
      </c>
      <c r="H193" s="153" t="str">
        <f>LeverageFunging!H112</f>
        <v>-</v>
      </c>
      <c r="I193" s="154">
        <f>LeverageFunging!I112</f>
        <v>-0.0302403437</v>
      </c>
      <c r="J193" s="154">
        <f>LeverageFunging!J112</f>
        <v>-0.1461607338</v>
      </c>
      <c r="K193" s="154">
        <f>LeverageFunging!K112</f>
        <v>-0.3003019883</v>
      </c>
      <c r="L193" s="154">
        <f>LeverageFunging!L112</f>
        <v>-0.280617756</v>
      </c>
      <c r="M193" s="154">
        <f>LeverageFunging!M112</f>
        <v>-0.1400660492</v>
      </c>
      <c r="N193" s="154">
        <f>LeverageFunging!N112</f>
        <v>-0.05985331551</v>
      </c>
      <c r="O193" s="154">
        <f>LeverageFunging!O112</f>
        <v>-0.4161821599</v>
      </c>
      <c r="P193" s="154">
        <f>LeverageFunging!P112</f>
        <v>-0.319351647</v>
      </c>
      <c r="Q193" s="180"/>
    </row>
    <row r="194">
      <c r="A194" s="122"/>
      <c r="B194" s="123"/>
      <c r="C194" s="123"/>
      <c r="D194" s="123"/>
      <c r="E194" s="139"/>
      <c r="F194" s="140"/>
      <c r="G194" s="140"/>
      <c r="H194" s="127"/>
      <c r="I194" s="208"/>
      <c r="J194" s="208"/>
      <c r="K194" s="208"/>
      <c r="L194" s="208"/>
      <c r="M194" s="208"/>
      <c r="N194" s="208"/>
      <c r="O194" s="208"/>
      <c r="P194" s="208"/>
      <c r="Q194" s="129"/>
    </row>
    <row r="195">
      <c r="A195" s="122"/>
      <c r="B195" s="123"/>
      <c r="C195" s="123"/>
      <c r="D195" s="164" t="s">
        <v>287</v>
      </c>
      <c r="E195" s="54"/>
      <c r="F195" s="134" t="s">
        <v>79</v>
      </c>
      <c r="G195" s="165" t="s">
        <v>143</v>
      </c>
      <c r="H195" s="333" t="str">
        <f>LeverageFunging!H113</f>
        <v>-</v>
      </c>
      <c r="I195" s="331">
        <f t="shared" ref="I195:P195" si="57">SUM(I192:I193)</f>
        <v>-0.03854840393</v>
      </c>
      <c r="J195" s="331">
        <f t="shared" si="57"/>
        <v>-0.1502749842</v>
      </c>
      <c r="K195" s="331">
        <f t="shared" si="57"/>
        <v>-0.3016845139</v>
      </c>
      <c r="L195" s="331">
        <f t="shared" si="57"/>
        <v>-0.2823157688</v>
      </c>
      <c r="M195" s="331">
        <f t="shared" si="57"/>
        <v>-0.1432252715</v>
      </c>
      <c r="N195" s="331">
        <f t="shared" si="57"/>
        <v>-0.07114621795</v>
      </c>
      <c r="O195" s="331">
        <f t="shared" si="57"/>
        <v>-0.4178738301</v>
      </c>
      <c r="P195" s="331">
        <f t="shared" si="57"/>
        <v>-0.3212050528</v>
      </c>
      <c r="Q195" s="334"/>
    </row>
    <row r="196">
      <c r="A196" s="122"/>
      <c r="B196" s="123"/>
      <c r="C196" s="123"/>
      <c r="D196" s="123"/>
      <c r="E196" s="124"/>
      <c r="F196" s="332"/>
      <c r="G196" s="126"/>
      <c r="H196" s="127"/>
      <c r="I196" s="132"/>
      <c r="J196" s="132"/>
      <c r="K196" s="132"/>
      <c r="L196" s="132"/>
      <c r="M196" s="132"/>
      <c r="N196" s="132"/>
      <c r="O196" s="132"/>
      <c r="P196" s="132"/>
      <c r="Q196" s="129"/>
    </row>
    <row r="197">
      <c r="A197" s="118" t="s">
        <v>288</v>
      </c>
      <c r="B197" s="6"/>
      <c r="C197" s="6"/>
      <c r="D197" s="6"/>
      <c r="E197" s="6"/>
      <c r="F197" s="6"/>
      <c r="G197" s="6"/>
      <c r="H197" s="119"/>
      <c r="I197" s="295"/>
      <c r="J197" s="295"/>
      <c r="K197" s="295"/>
      <c r="L197" s="295"/>
      <c r="M197" s="295"/>
      <c r="N197" s="295"/>
      <c r="O197" s="295"/>
      <c r="P197" s="295"/>
      <c r="Q197" s="121"/>
    </row>
    <row r="198">
      <c r="A198" s="122"/>
      <c r="B198" s="123"/>
      <c r="C198" s="123"/>
      <c r="D198" s="123"/>
      <c r="E198" s="124"/>
      <c r="F198" s="332"/>
      <c r="G198" s="126"/>
      <c r="H198" s="127"/>
      <c r="I198" s="132"/>
      <c r="J198" s="132"/>
      <c r="K198" s="132"/>
      <c r="L198" s="132"/>
      <c r="M198" s="132"/>
      <c r="N198" s="132"/>
      <c r="O198" s="132"/>
      <c r="P198" s="132"/>
      <c r="Q198" s="129"/>
    </row>
    <row r="199">
      <c r="A199" s="122"/>
      <c r="B199" s="123"/>
      <c r="C199" s="57" t="s">
        <v>289</v>
      </c>
      <c r="F199" s="140"/>
      <c r="G199" s="335"/>
      <c r="H199" s="300"/>
      <c r="I199" s="301"/>
      <c r="J199" s="301"/>
      <c r="K199" s="301"/>
      <c r="L199" s="301"/>
      <c r="M199" s="301"/>
      <c r="N199" s="301"/>
      <c r="O199" s="301"/>
      <c r="P199" s="301"/>
      <c r="Q199" s="129"/>
    </row>
    <row r="200">
      <c r="A200" s="122"/>
      <c r="B200" s="123"/>
      <c r="C200" s="10"/>
      <c r="D200" s="123"/>
      <c r="E200" s="266" t="s">
        <v>290</v>
      </c>
      <c r="F200" s="188" t="str">
        <f>LeverageFunging!F108</f>
        <v>UOV</v>
      </c>
      <c r="G200" s="336" t="s">
        <v>166</v>
      </c>
      <c r="H200" s="306" t="str">
        <f>LeverageFunging!H108</f>
        <v>-</v>
      </c>
      <c r="I200" s="258">
        <f t="shared" ref="I200:P200" si="58">I142*(1+$H172)*(1+I189)*(1+I195)</f>
        <v>16051.59701</v>
      </c>
      <c r="J200" s="258">
        <f t="shared" si="58"/>
        <v>48714.65413</v>
      </c>
      <c r="K200" s="258">
        <f t="shared" si="58"/>
        <v>75898.12727</v>
      </c>
      <c r="L200" s="258">
        <f t="shared" si="58"/>
        <v>55873.18937</v>
      </c>
      <c r="M200" s="258">
        <f t="shared" si="58"/>
        <v>44123.92041</v>
      </c>
      <c r="N200" s="258">
        <f t="shared" si="58"/>
        <v>23852.79142</v>
      </c>
      <c r="O200" s="258">
        <f t="shared" si="58"/>
        <v>29324.53077</v>
      </c>
      <c r="P200" s="258">
        <f t="shared" si="58"/>
        <v>51958.12203</v>
      </c>
      <c r="Q200" s="174"/>
    </row>
    <row r="201">
      <c r="A201" s="122"/>
      <c r="B201" s="123"/>
      <c r="C201" s="123"/>
      <c r="D201" s="123"/>
      <c r="E201" s="198" t="s">
        <v>146</v>
      </c>
      <c r="F201" s="188" t="str">
        <f>F19</f>
        <v>$</v>
      </c>
      <c r="G201" s="199" t="s">
        <v>236</v>
      </c>
      <c r="H201" s="337" t="str">
        <f t="shared" ref="H201:P201" si="59">H19</f>
        <v>-</v>
      </c>
      <c r="I201" s="190">
        <f t="shared" si="59"/>
        <v>1000000</v>
      </c>
      <c r="J201" s="190">
        <f t="shared" si="59"/>
        <v>1000000</v>
      </c>
      <c r="K201" s="190">
        <f t="shared" si="59"/>
        <v>1000000</v>
      </c>
      <c r="L201" s="190">
        <f t="shared" si="59"/>
        <v>1000000</v>
      </c>
      <c r="M201" s="190">
        <f t="shared" si="59"/>
        <v>1000000</v>
      </c>
      <c r="N201" s="190">
        <f t="shared" si="59"/>
        <v>1000000</v>
      </c>
      <c r="O201" s="190">
        <f t="shared" si="59"/>
        <v>1000000</v>
      </c>
      <c r="P201" s="190">
        <f t="shared" si="59"/>
        <v>1000000</v>
      </c>
      <c r="Q201" s="174"/>
    </row>
    <row r="202">
      <c r="A202" s="122"/>
      <c r="B202" s="123"/>
      <c r="C202" s="123"/>
      <c r="D202" s="123"/>
      <c r="E202" s="216" t="s">
        <v>291</v>
      </c>
      <c r="F202" s="217" t="s">
        <v>83</v>
      </c>
      <c r="G202" s="218" t="s">
        <v>143</v>
      </c>
      <c r="H202" s="338" t="s">
        <v>144</v>
      </c>
      <c r="I202" s="339">
        <f t="shared" ref="I202:P202" si="60">I200/I201</f>
        <v>0.01605159701</v>
      </c>
      <c r="J202" s="339">
        <f t="shared" si="60"/>
        <v>0.04871465413</v>
      </c>
      <c r="K202" s="339">
        <f t="shared" si="60"/>
        <v>0.07589812727</v>
      </c>
      <c r="L202" s="339">
        <f t="shared" si="60"/>
        <v>0.05587318937</v>
      </c>
      <c r="M202" s="339">
        <f t="shared" si="60"/>
        <v>0.04412392041</v>
      </c>
      <c r="N202" s="339">
        <f t="shared" si="60"/>
        <v>0.02385279142</v>
      </c>
      <c r="O202" s="339">
        <f t="shared" si="60"/>
        <v>0.02932453077</v>
      </c>
      <c r="P202" s="339">
        <f t="shared" si="60"/>
        <v>0.05195812203</v>
      </c>
      <c r="Q202" s="180"/>
    </row>
    <row r="203">
      <c r="A203" s="122"/>
      <c r="B203" s="123"/>
      <c r="C203" s="123"/>
      <c r="D203" s="123"/>
      <c r="E203" s="340" t="s">
        <v>248</v>
      </c>
      <c r="F203" s="341" t="s">
        <v>85</v>
      </c>
      <c r="G203" s="342" t="s">
        <v>143</v>
      </c>
      <c r="H203" s="343" t="s">
        <v>144</v>
      </c>
      <c r="I203" s="344">
        <f t="shared" ref="I203:P203" si="61">I202/$H144</f>
        <v>4.820299402</v>
      </c>
      <c r="J203" s="344">
        <f t="shared" si="61"/>
        <v>14.62902526</v>
      </c>
      <c r="K203" s="344">
        <f t="shared" si="61"/>
        <v>22.79223041</v>
      </c>
      <c r="L203" s="344">
        <f t="shared" si="61"/>
        <v>16.77873555</v>
      </c>
      <c r="M203" s="344">
        <f t="shared" si="61"/>
        <v>13.25042655</v>
      </c>
      <c r="N203" s="344">
        <f t="shared" si="61"/>
        <v>7.163000428</v>
      </c>
      <c r="O203" s="344">
        <f t="shared" si="61"/>
        <v>8.806165397</v>
      </c>
      <c r="P203" s="344">
        <f t="shared" si="61"/>
        <v>15.60303965</v>
      </c>
      <c r="Q203" s="193"/>
    </row>
    <row r="204">
      <c r="A204" s="122"/>
      <c r="B204" s="123"/>
      <c r="C204" s="123"/>
      <c r="D204" s="123"/>
      <c r="E204" s="345"/>
      <c r="F204" s="346"/>
      <c r="G204" s="347"/>
      <c r="H204" s="348"/>
      <c r="I204" s="349"/>
      <c r="J204" s="349"/>
      <c r="K204" s="349"/>
      <c r="L204" s="349"/>
      <c r="M204" s="349"/>
      <c r="N204" s="349"/>
      <c r="O204" s="349"/>
      <c r="P204" s="349"/>
      <c r="Q204" s="129"/>
    </row>
    <row r="205">
      <c r="A205" s="118" t="s">
        <v>292</v>
      </c>
      <c r="B205" s="6"/>
      <c r="C205" s="6"/>
      <c r="D205" s="6"/>
      <c r="E205" s="6"/>
      <c r="F205" s="6"/>
      <c r="G205" s="6"/>
      <c r="H205" s="119"/>
      <c r="I205" s="295"/>
      <c r="J205" s="295"/>
      <c r="K205" s="295"/>
      <c r="L205" s="295"/>
      <c r="M205" s="295"/>
      <c r="N205" s="295"/>
      <c r="O205" s="295"/>
      <c r="P205" s="295"/>
      <c r="Q205" s="121"/>
    </row>
    <row r="206">
      <c r="A206" s="122"/>
      <c r="B206" s="123"/>
      <c r="C206" s="123"/>
      <c r="D206" s="123"/>
      <c r="E206" s="124"/>
      <c r="F206" s="125"/>
      <c r="G206" s="125"/>
      <c r="H206" s="127"/>
      <c r="I206" s="132"/>
      <c r="J206" s="132"/>
      <c r="K206" s="132"/>
      <c r="L206" s="132"/>
      <c r="M206" s="132"/>
      <c r="N206" s="132"/>
      <c r="O206" s="132"/>
      <c r="P206" s="132"/>
      <c r="Q206" s="129"/>
    </row>
    <row r="207">
      <c r="A207" s="122"/>
      <c r="B207" s="123"/>
      <c r="C207" s="168" t="s">
        <v>293</v>
      </c>
      <c r="F207" s="125"/>
      <c r="G207" s="125"/>
      <c r="H207" s="127"/>
      <c r="I207" s="132"/>
      <c r="J207" s="132"/>
      <c r="K207" s="132"/>
      <c r="L207" s="132"/>
      <c r="M207" s="132"/>
      <c r="N207" s="132"/>
      <c r="O207" s="132"/>
      <c r="P207" s="132"/>
      <c r="Q207" s="129"/>
    </row>
    <row r="208">
      <c r="A208" s="122"/>
      <c r="B208" s="123"/>
      <c r="C208" s="123"/>
      <c r="D208" s="123"/>
      <c r="E208" s="198" t="s">
        <v>268</v>
      </c>
      <c r="F208" s="188" t="str">
        <f>F172</f>
        <v>%</v>
      </c>
      <c r="G208" s="188" t="s">
        <v>236</v>
      </c>
      <c r="H208" s="250">
        <f t="shared" ref="H208:P208" si="62">H172</f>
        <v>-0.04</v>
      </c>
      <c r="I208" s="148" t="str">
        <f t="shared" si="62"/>
        <v>-</v>
      </c>
      <c r="J208" s="148" t="str">
        <f t="shared" si="62"/>
        <v>-</v>
      </c>
      <c r="K208" s="148" t="str">
        <f t="shared" si="62"/>
        <v>-</v>
      </c>
      <c r="L208" s="148" t="str">
        <f t="shared" si="62"/>
        <v>-</v>
      </c>
      <c r="M208" s="148" t="str">
        <f t="shared" si="62"/>
        <v>-</v>
      </c>
      <c r="N208" s="148" t="str">
        <f t="shared" si="62"/>
        <v>-</v>
      </c>
      <c r="O208" s="148" t="str">
        <f t="shared" si="62"/>
        <v>-</v>
      </c>
      <c r="P208" s="148" t="str">
        <f t="shared" si="62"/>
        <v>-</v>
      </c>
      <c r="Q208" s="174"/>
    </row>
    <row r="209">
      <c r="A209" s="122"/>
      <c r="B209" s="123"/>
      <c r="C209" s="123"/>
      <c r="D209" s="123"/>
      <c r="E209" s="350" t="s">
        <v>294</v>
      </c>
      <c r="F209" s="217" t="str">
        <f>LeverageFunging!F118</f>
        <v>%</v>
      </c>
      <c r="G209" s="217" t="s">
        <v>166</v>
      </c>
      <c r="H209" s="178" t="str">
        <f>LeverageFunging!H118</f>
        <v>-</v>
      </c>
      <c r="I209" s="154">
        <f>LeverageFunging!I118</f>
        <v>-0.03854840393</v>
      </c>
      <c r="J209" s="154">
        <f>LeverageFunging!J118</f>
        <v>-0.1502749842</v>
      </c>
      <c r="K209" s="154">
        <f>LeverageFunging!K118</f>
        <v>-0.3016845139</v>
      </c>
      <c r="L209" s="154">
        <f>LeverageFunging!L118</f>
        <v>-0.2823157688</v>
      </c>
      <c r="M209" s="154">
        <f>LeverageFunging!M118</f>
        <v>-0.1432252715</v>
      </c>
      <c r="N209" s="154">
        <f>LeverageFunging!N118</f>
        <v>-0.07114621795</v>
      </c>
      <c r="O209" s="154">
        <f>LeverageFunging!O118</f>
        <v>-0.4178738301</v>
      </c>
      <c r="P209" s="154">
        <f>LeverageFunging!P118</f>
        <v>-0.3212050528</v>
      </c>
      <c r="Q209" s="180"/>
    </row>
    <row r="210">
      <c r="A210" s="122"/>
      <c r="B210" s="123"/>
      <c r="C210" s="123"/>
      <c r="D210" s="327" t="s">
        <v>295</v>
      </c>
      <c r="E210" s="54"/>
      <c r="F210" s="134" t="s">
        <v>79</v>
      </c>
      <c r="G210" s="134" t="s">
        <v>143</v>
      </c>
      <c r="H210" s="166" t="s">
        <v>144</v>
      </c>
      <c r="I210" s="331">
        <f t="shared" ref="I210:P210" si="63">((1+$H208)*(1+I209))-1</f>
        <v>-0.07700646778</v>
      </c>
      <c r="J210" s="331">
        <f t="shared" si="63"/>
        <v>-0.1842639848</v>
      </c>
      <c r="K210" s="331">
        <f t="shared" si="63"/>
        <v>-0.3296171334</v>
      </c>
      <c r="L210" s="331">
        <f t="shared" si="63"/>
        <v>-0.311023138</v>
      </c>
      <c r="M210" s="331">
        <f t="shared" si="63"/>
        <v>-0.1774962607</v>
      </c>
      <c r="N210" s="331">
        <f t="shared" si="63"/>
        <v>-0.1083003692</v>
      </c>
      <c r="O210" s="331">
        <f t="shared" si="63"/>
        <v>-0.4411588769</v>
      </c>
      <c r="P210" s="331">
        <f t="shared" si="63"/>
        <v>-0.3483568507</v>
      </c>
      <c r="Q210" s="334"/>
    </row>
    <row r="211">
      <c r="A211" s="122"/>
      <c r="B211" s="123"/>
      <c r="C211" s="123"/>
      <c r="D211" s="123"/>
      <c r="E211" s="124"/>
      <c r="F211" s="125"/>
      <c r="G211" s="125"/>
      <c r="H211" s="127"/>
      <c r="I211" s="132"/>
      <c r="J211" s="132"/>
      <c r="K211" s="132"/>
      <c r="L211" s="132"/>
      <c r="M211" s="132"/>
      <c r="N211" s="132"/>
      <c r="O211" s="132"/>
      <c r="P211" s="132"/>
      <c r="Q211" s="129"/>
    </row>
    <row r="212">
      <c r="A212" s="122"/>
      <c r="B212" s="123"/>
      <c r="C212" s="168" t="s">
        <v>296</v>
      </c>
      <c r="F212" s="125"/>
      <c r="G212" s="125"/>
      <c r="H212" s="127"/>
      <c r="I212" s="132"/>
      <c r="J212" s="132"/>
      <c r="K212" s="132"/>
      <c r="L212" s="132"/>
      <c r="M212" s="132"/>
      <c r="N212" s="132"/>
      <c r="O212" s="132"/>
      <c r="P212" s="132"/>
      <c r="Q212" s="129"/>
    </row>
    <row r="213">
      <c r="A213" s="122"/>
      <c r="B213" s="123"/>
      <c r="C213" s="123"/>
      <c r="D213" s="123"/>
      <c r="E213" s="198" t="s">
        <v>268</v>
      </c>
      <c r="F213" s="188" t="str">
        <f>F172</f>
        <v>%</v>
      </c>
      <c r="G213" s="188" t="s">
        <v>236</v>
      </c>
      <c r="H213" s="250">
        <f t="shared" ref="H213:P213" si="64">H172</f>
        <v>-0.04</v>
      </c>
      <c r="I213" s="148" t="str">
        <f t="shared" si="64"/>
        <v>-</v>
      </c>
      <c r="J213" s="148" t="str">
        <f t="shared" si="64"/>
        <v>-</v>
      </c>
      <c r="K213" s="148" t="str">
        <f t="shared" si="64"/>
        <v>-</v>
      </c>
      <c r="L213" s="148" t="str">
        <f t="shared" si="64"/>
        <v>-</v>
      </c>
      <c r="M213" s="148" t="str">
        <f t="shared" si="64"/>
        <v>-</v>
      </c>
      <c r="N213" s="148" t="str">
        <f t="shared" si="64"/>
        <v>-</v>
      </c>
      <c r="O213" s="148" t="str">
        <f t="shared" si="64"/>
        <v>-</v>
      </c>
      <c r="P213" s="148" t="str">
        <f t="shared" si="64"/>
        <v>-</v>
      </c>
      <c r="Q213" s="174"/>
    </row>
    <row r="214">
      <c r="A214" s="122"/>
      <c r="B214" s="123"/>
      <c r="C214" s="123"/>
      <c r="D214" s="123"/>
      <c r="E214" s="216" t="s">
        <v>297</v>
      </c>
      <c r="F214" s="217" t="s">
        <v>79</v>
      </c>
      <c r="G214" s="217" t="s">
        <v>143</v>
      </c>
      <c r="H214" s="178" t="s">
        <v>144</v>
      </c>
      <c r="I214" s="154">
        <f t="shared" ref="I214:P214" si="65">SUM($H183:$H188,I183:I188)</f>
        <v>0.014</v>
      </c>
      <c r="J214" s="154">
        <f t="shared" si="65"/>
        <v>-0.036</v>
      </c>
      <c r="K214" s="154">
        <f t="shared" si="65"/>
        <v>-0.136</v>
      </c>
      <c r="L214" s="154">
        <f t="shared" si="65"/>
        <v>-0.036</v>
      </c>
      <c r="M214" s="154">
        <f t="shared" si="65"/>
        <v>-0.036</v>
      </c>
      <c r="N214" s="154">
        <f t="shared" si="65"/>
        <v>-0.136</v>
      </c>
      <c r="O214" s="154">
        <f t="shared" si="65"/>
        <v>-0.136</v>
      </c>
      <c r="P214" s="154">
        <f t="shared" si="65"/>
        <v>-0.136</v>
      </c>
      <c r="Q214" s="180"/>
    </row>
    <row r="215">
      <c r="A215" s="122"/>
      <c r="B215" s="123"/>
      <c r="C215" s="123"/>
      <c r="D215" s="123"/>
      <c r="E215" s="350" t="str">
        <f>LeverageFunging!E126</f>
        <v>Leverage and funging adjustment for counterfactual outcome estimates</v>
      </c>
      <c r="F215" s="217" t="str">
        <f>LeverageFunging!F126</f>
        <v>%</v>
      </c>
      <c r="G215" s="217" t="str">
        <f>LeverageFunging!G126</f>
        <v>calc</v>
      </c>
      <c r="H215" s="178" t="str">
        <f>LeverageFunging!H126</f>
        <v>-</v>
      </c>
      <c r="I215" s="154">
        <f>LeverageFunging!I126</f>
        <v>-0.04800360696</v>
      </c>
      <c r="J215" s="154">
        <f>LeverageFunging!J126</f>
        <v>-0.1549071168</v>
      </c>
      <c r="K215" s="154">
        <f>LeverageFunging!K126</f>
        <v>-0.3029513787</v>
      </c>
      <c r="L215" s="154">
        <f>LeverageFunging!L126</f>
        <v>-0.2837509315</v>
      </c>
      <c r="M215" s="154">
        <f>LeverageFunging!M126</f>
        <v>-0.1462694867</v>
      </c>
      <c r="N215" s="154">
        <f>LeverageFunging!N126</f>
        <v>-0.08431767372</v>
      </c>
      <c r="O215" s="154">
        <f>LeverageFunging!O126</f>
        <v>-0.4195717084</v>
      </c>
      <c r="P215" s="154">
        <f>LeverageFunging!P126</f>
        <v>-0.323395702</v>
      </c>
      <c r="Q215" s="180"/>
    </row>
    <row r="216">
      <c r="A216" s="122"/>
      <c r="B216" s="123"/>
      <c r="C216" s="123"/>
      <c r="D216" s="327" t="s">
        <v>298</v>
      </c>
      <c r="E216" s="54"/>
      <c r="F216" s="134" t="s">
        <v>79</v>
      </c>
      <c r="G216" s="134" t="s">
        <v>143</v>
      </c>
      <c r="H216" s="166" t="s">
        <v>144</v>
      </c>
      <c r="I216" s="331">
        <f t="shared" ref="I216:P216" si="66">((1+$H213)*(1+I214)*(1+I215))-1</f>
        <v>-0.07328863116</v>
      </c>
      <c r="J216" s="331">
        <f t="shared" si="66"/>
        <v>-0.2179172422</v>
      </c>
      <c r="K216" s="331">
        <f t="shared" si="66"/>
        <v>-0.4218399916</v>
      </c>
      <c r="L216" s="331">
        <f t="shared" si="66"/>
        <v>-0.337154462</v>
      </c>
      <c r="M216" s="331">
        <f t="shared" si="66"/>
        <v>-0.2099236337</v>
      </c>
      <c r="N216" s="331">
        <f t="shared" si="66"/>
        <v>-0.2404964513</v>
      </c>
      <c r="O216" s="331">
        <f t="shared" si="66"/>
        <v>-0.5185695578</v>
      </c>
      <c r="P216" s="331">
        <f t="shared" si="66"/>
        <v>-0.4387973311</v>
      </c>
      <c r="Q216" s="334"/>
    </row>
    <row r="217">
      <c r="A217" s="122"/>
      <c r="B217" s="123"/>
      <c r="C217" s="123"/>
      <c r="D217" s="123"/>
      <c r="E217" s="124"/>
      <c r="F217" s="125"/>
      <c r="G217" s="125"/>
      <c r="H217" s="127"/>
      <c r="I217" s="132"/>
      <c r="J217" s="132"/>
      <c r="K217" s="132"/>
      <c r="L217" s="132"/>
      <c r="M217" s="132"/>
      <c r="N217" s="132"/>
      <c r="O217" s="132"/>
      <c r="P217" s="132"/>
      <c r="Q217" s="129"/>
    </row>
    <row r="218">
      <c r="A218" s="122"/>
      <c r="B218" s="123"/>
      <c r="C218" s="168" t="s">
        <v>299</v>
      </c>
      <c r="F218" s="125"/>
      <c r="G218" s="125"/>
      <c r="H218" s="127"/>
      <c r="I218" s="132"/>
      <c r="J218" s="132"/>
      <c r="K218" s="132"/>
      <c r="L218" s="132"/>
      <c r="M218" s="132"/>
      <c r="N218" s="132"/>
      <c r="O218" s="132"/>
      <c r="P218" s="132"/>
      <c r="Q218" s="129"/>
    </row>
    <row r="219">
      <c r="A219" s="122"/>
      <c r="B219" s="123"/>
      <c r="C219" s="123"/>
      <c r="D219" s="123"/>
      <c r="E219" s="198" t="s">
        <v>300</v>
      </c>
      <c r="F219" s="188" t="s">
        <v>69</v>
      </c>
      <c r="G219" s="188" t="s">
        <v>143</v>
      </c>
      <c r="H219" s="172" t="s">
        <v>144</v>
      </c>
      <c r="I219" s="258">
        <f t="shared" ref="I219:P219" si="67">I34*(1+I$210)</f>
        <v>245105.0625</v>
      </c>
      <c r="J219" s="258">
        <f t="shared" si="67"/>
        <v>147563.5843</v>
      </c>
      <c r="K219" s="258">
        <f t="shared" si="67"/>
        <v>178023.1699</v>
      </c>
      <c r="L219" s="258">
        <f t="shared" si="67"/>
        <v>165090.3161</v>
      </c>
      <c r="M219" s="258">
        <f t="shared" si="67"/>
        <v>197085.5769</v>
      </c>
      <c r="N219" s="258">
        <f t="shared" si="67"/>
        <v>178644.1723</v>
      </c>
      <c r="O219" s="258">
        <f t="shared" si="67"/>
        <v>158850.5661</v>
      </c>
      <c r="P219" s="258">
        <f t="shared" si="67"/>
        <v>153454.557</v>
      </c>
      <c r="Q219" s="174"/>
    </row>
    <row r="220">
      <c r="A220" s="122"/>
      <c r="B220" s="123"/>
      <c r="C220" s="123"/>
      <c r="D220" s="123"/>
      <c r="E220" s="216" t="s">
        <v>301</v>
      </c>
      <c r="F220" s="217" t="s">
        <v>69</v>
      </c>
      <c r="G220" s="217" t="s">
        <v>143</v>
      </c>
      <c r="H220" s="178" t="s">
        <v>144</v>
      </c>
      <c r="I220" s="259">
        <f t="shared" ref="I220:P220" si="68">I42*(1+I$210)</f>
        <v>299019.2299</v>
      </c>
      <c r="J220" s="259">
        <f t="shared" si="68"/>
        <v>199980.8551</v>
      </c>
      <c r="K220" s="259">
        <f t="shared" si="68"/>
        <v>223294.195</v>
      </c>
      <c r="L220" s="259">
        <f t="shared" si="68"/>
        <v>201404.1598</v>
      </c>
      <c r="M220" s="259">
        <f t="shared" si="68"/>
        <v>240437.2101</v>
      </c>
      <c r="N220" s="259">
        <f t="shared" si="68"/>
        <v>217939.3697</v>
      </c>
      <c r="O220" s="259">
        <f t="shared" si="68"/>
        <v>172293.5971</v>
      </c>
      <c r="P220" s="259">
        <f t="shared" si="68"/>
        <v>170638.6285</v>
      </c>
      <c r="Q220" s="180"/>
    </row>
    <row r="221">
      <c r="A221" s="122"/>
      <c r="B221" s="123"/>
      <c r="C221" s="123"/>
      <c r="D221" s="123"/>
      <c r="E221" s="164" t="s">
        <v>302</v>
      </c>
      <c r="F221" s="134" t="s">
        <v>75</v>
      </c>
      <c r="G221" s="134" t="s">
        <v>143</v>
      </c>
      <c r="H221" s="166" t="s">
        <v>144</v>
      </c>
      <c r="I221" s="201">
        <f t="shared" ref="I221:P221" si="69">I19/I219</f>
        <v>4.079883092</v>
      </c>
      <c r="J221" s="201">
        <f t="shared" si="69"/>
        <v>6.776739701</v>
      </c>
      <c r="K221" s="201">
        <f t="shared" si="69"/>
        <v>5.617246343</v>
      </c>
      <c r="L221" s="201">
        <f t="shared" si="69"/>
        <v>6.057290481</v>
      </c>
      <c r="M221" s="201">
        <f t="shared" si="69"/>
        <v>5.073938012</v>
      </c>
      <c r="N221" s="201">
        <f t="shared" si="69"/>
        <v>5.597719684</v>
      </c>
      <c r="O221" s="201">
        <f t="shared" si="69"/>
        <v>6.295224653</v>
      </c>
      <c r="P221" s="201">
        <f t="shared" si="69"/>
        <v>6.516587188</v>
      </c>
      <c r="Q221" s="334"/>
    </row>
    <row r="222">
      <c r="A222" s="122"/>
      <c r="B222" s="123"/>
      <c r="C222" s="123"/>
      <c r="D222" s="123"/>
      <c r="E222" s="124"/>
      <c r="F222" s="125"/>
      <c r="G222" s="125"/>
      <c r="H222" s="127"/>
      <c r="I222" s="132"/>
      <c r="J222" s="132"/>
      <c r="K222" s="132"/>
      <c r="L222" s="132"/>
      <c r="M222" s="132"/>
      <c r="N222" s="132"/>
      <c r="O222" s="132"/>
      <c r="P222" s="132"/>
      <c r="Q222" s="129"/>
    </row>
    <row r="223">
      <c r="A223" s="122"/>
      <c r="B223" s="123"/>
      <c r="C223" s="168" t="s">
        <v>303</v>
      </c>
      <c r="F223" s="125"/>
      <c r="G223" s="125"/>
      <c r="H223" s="127"/>
      <c r="I223" s="351"/>
      <c r="J223" s="351"/>
      <c r="K223" s="351"/>
      <c r="L223" s="351"/>
      <c r="M223" s="351"/>
      <c r="N223" s="351"/>
      <c r="O223" s="351"/>
      <c r="P223" s="351"/>
      <c r="Q223" s="129"/>
    </row>
    <row r="224">
      <c r="A224" s="122"/>
      <c r="B224" s="123"/>
      <c r="C224" s="123"/>
      <c r="D224" s="123"/>
      <c r="E224" s="198" t="s">
        <v>304</v>
      </c>
      <c r="F224" s="188" t="s">
        <v>69</v>
      </c>
      <c r="G224" s="188" t="s">
        <v>143</v>
      </c>
      <c r="H224" s="172" t="s">
        <v>144</v>
      </c>
      <c r="I224" s="258">
        <f t="shared" ref="I224:P224" si="70">I154*(1+I$216)</f>
        <v>63.94406786</v>
      </c>
      <c r="J224" s="258">
        <f t="shared" si="70"/>
        <v>196.0402027</v>
      </c>
      <c r="K224" s="258">
        <f t="shared" si="70"/>
        <v>340.0689164</v>
      </c>
      <c r="L224" s="258">
        <f t="shared" si="70"/>
        <v>259.9486746</v>
      </c>
      <c r="M224" s="258">
        <f t="shared" si="70"/>
        <v>192.6075406</v>
      </c>
      <c r="N224" s="258">
        <f t="shared" si="70"/>
        <v>93.3696409</v>
      </c>
      <c r="O224" s="258">
        <f t="shared" si="70"/>
        <v>125.525979</v>
      </c>
      <c r="P224" s="258">
        <f t="shared" si="70"/>
        <v>204.1739434</v>
      </c>
      <c r="Q224" s="174"/>
    </row>
    <row r="225">
      <c r="A225" s="122"/>
      <c r="B225" s="123"/>
      <c r="C225" s="123"/>
      <c r="D225" s="123"/>
      <c r="E225" s="164" t="s">
        <v>305</v>
      </c>
      <c r="F225" s="134" t="s">
        <v>75</v>
      </c>
      <c r="G225" s="134" t="s">
        <v>143</v>
      </c>
      <c r="H225" s="166" t="s">
        <v>144</v>
      </c>
      <c r="I225" s="167">
        <f t="shared" ref="I225:P225" si="71">I19/I224</f>
        <v>15638.66725</v>
      </c>
      <c r="J225" s="167">
        <f t="shared" si="71"/>
        <v>5100.994521</v>
      </c>
      <c r="K225" s="167">
        <f t="shared" si="71"/>
        <v>2940.580429</v>
      </c>
      <c r="L225" s="167">
        <f t="shared" si="71"/>
        <v>3846.913247</v>
      </c>
      <c r="M225" s="167">
        <f t="shared" si="71"/>
        <v>5191.904725</v>
      </c>
      <c r="N225" s="167">
        <f t="shared" si="71"/>
        <v>10710.11937</v>
      </c>
      <c r="O225" s="167">
        <f t="shared" si="71"/>
        <v>7966.478396</v>
      </c>
      <c r="P225" s="167">
        <f t="shared" si="71"/>
        <v>4897.784622</v>
      </c>
      <c r="Q225" s="334"/>
    </row>
    <row r="226">
      <c r="A226" s="352"/>
      <c r="B226" s="353"/>
      <c r="C226" s="353"/>
      <c r="D226" s="353"/>
      <c r="E226" s="354"/>
      <c r="F226" s="355"/>
      <c r="G226" s="355"/>
      <c r="H226" s="333"/>
      <c r="I226" s="167"/>
      <c r="J226" s="167"/>
      <c r="K226" s="167"/>
      <c r="L226" s="167"/>
      <c r="M226" s="167"/>
      <c r="N226" s="167"/>
      <c r="O226" s="167"/>
      <c r="P226" s="167"/>
      <c r="Q226" s="334"/>
    </row>
  </sheetData>
  <mergeCells count="51">
    <mergeCell ref="I1:P1"/>
    <mergeCell ref="A3:E3"/>
    <mergeCell ref="A5:G5"/>
    <mergeCell ref="C7:E7"/>
    <mergeCell ref="C10:E10"/>
    <mergeCell ref="C15:E15"/>
    <mergeCell ref="C18:E18"/>
    <mergeCell ref="C23:E23"/>
    <mergeCell ref="C27:E27"/>
    <mergeCell ref="A31:G31"/>
    <mergeCell ref="C33:E33"/>
    <mergeCell ref="C40:E40"/>
    <mergeCell ref="C46:E46"/>
    <mergeCell ref="C54:E54"/>
    <mergeCell ref="A59:G59"/>
    <mergeCell ref="C61:E61"/>
    <mergeCell ref="C79:E79"/>
    <mergeCell ref="C87:E87"/>
    <mergeCell ref="C95:E95"/>
    <mergeCell ref="A109:G109"/>
    <mergeCell ref="C111:E111"/>
    <mergeCell ref="C115:E115"/>
    <mergeCell ref="C119:E119"/>
    <mergeCell ref="A123:G123"/>
    <mergeCell ref="C125:E125"/>
    <mergeCell ref="C130:E130"/>
    <mergeCell ref="C135:E135"/>
    <mergeCell ref="C140:E140"/>
    <mergeCell ref="C147:E147"/>
    <mergeCell ref="C152:E152"/>
    <mergeCell ref="A157:G157"/>
    <mergeCell ref="C159:E159"/>
    <mergeCell ref="D160:E160"/>
    <mergeCell ref="D164:E164"/>
    <mergeCell ref="D167:E167"/>
    <mergeCell ref="D195:E195"/>
    <mergeCell ref="C199:E199"/>
    <mergeCell ref="A205:G205"/>
    <mergeCell ref="C207:E207"/>
    <mergeCell ref="D210:E210"/>
    <mergeCell ref="C212:E212"/>
    <mergeCell ref="D216:E216"/>
    <mergeCell ref="C218:E218"/>
    <mergeCell ref="C223:E223"/>
    <mergeCell ref="D172:E172"/>
    <mergeCell ref="C174:E174"/>
    <mergeCell ref="D175:E175"/>
    <mergeCell ref="D182:E182"/>
    <mergeCell ref="D189:E189"/>
    <mergeCell ref="C191:E191"/>
    <mergeCell ref="A197:G197"/>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cost per insecticide-treated net (ITN) distributed" location="Inputs!E16" ref="E28"/>
    <hyperlink display="Proportion of distributed nets that were used in trials from the Pryce et al. 2018 meta-analysis" location="Inputs!E21" ref="E35"/>
    <hyperlink display="Adjustment for net usage in program contexts" location="Inputs!E22" ref="E36"/>
    <hyperlink display="Number of people sleeping under each used net" location="Inputs!E25" ref="E41"/>
    <hyperlink display="Effective coverage years provided per net" location="'Effective coverage'!E145" ref="E43"/>
    <hyperlink display="Total national population" location="Inputs!E28" ref="E47"/>
    <hyperlink display="National population under age 5" location="Inputs!E29" ref="E48"/>
    <hyperlink display="National population age 5-14" location="Inputs!E30" ref="E49"/>
    <hyperlink display="Reduction in malaria incidence for children under age 5 receiving nets found in the Pryce et al. 2018 meta-analysis" location="Inputs!E132" ref="E62"/>
    <hyperlink display="Internal validity adjustment" location="Inputs!E133" ref="E64"/>
    <hyperlink display="External validity adjustment" location="Inputs!E134" ref="E65"/>
    <hyperlink display="Adjustment for insecticide resistance" location="'Insecticide resistance'!E66" ref="E66"/>
    <hyperlink display="Ratio of the reduction in malaria mortality to the reduction in malaria incidence" location="Inputs!E135" ref="E68"/>
    <hyperlink display="Annual malaria mortality rate among 1-59-month-olds (2019)" location="'Counterfactual malaria'!E15" ref="E70"/>
    <hyperlink display="Indirect malaria deaths per direct malaria death" location="Inputs!E136" ref="E71"/>
    <hyperlink display="Malaria-attributable mortality reduction as a result of seasonal malaria chemoprevention (SMC)" location="'Counterfactual malaria'!E26" ref="E73"/>
    <hyperlink display="Baseline proportion of 1-59-month-old children sleeping under nets" location="Inputs!E137" ref="E75"/>
    <hyperlink display="Malaria deaths among people under age 5 per year" location="Inputs!E140" ref="E80"/>
    <hyperlink display="Total malaria deaths per year across all age groups" location="Inputs!E141" ref="E81"/>
    <hyperlink display="Relative efficacy of ITNs for reducing mortality of people age 5 and older" location="Inputs!E142" ref="E84"/>
    <hyperlink display="Malaria incidence among people under age 5 in the absence of a distribution" location="'Counterfactual malaria'!E36" ref="E88"/>
    <hyperlink display="Malaria incidence among people age 5 to 14 in the absence of a distribution" location="'Counterfactual malaria'!E37" ref="E89"/>
    <hyperlink display="Increase in annual income per malaria case averted among people under age 15" location="Inputs!E145" ref="E96"/>
    <hyperlink display="Average number of years between nets being distributed and the beginning of long term benefits" location="Inputs!E146" ref="E98"/>
    <hyperlink display="Discount rate for future benefits" location="Inputs!E147" ref="E99"/>
    <hyperlink display="Expected number of years the long-term benefits of receiving nets will last" location="Inputs!E148" ref="E101"/>
    <hyperlink display="Multiplier for resource sharing within households" location="Inputs!E149" ref="E103"/>
    <hyperlink display="Value assigned to averting a malaria-attributable death of a person under age 5" location="Inputs!E154" ref="E112"/>
    <hyperlink display="Value assigned to averting a malaria-attributable death of a person age 5 or older" location="Inputs!E155" ref="E116"/>
    <hyperlink display="Value assigned to increasing ln(consumption) by one unit for one person for one year" location="Inputs!E157" ref="E120"/>
    <hyperlink display="Total deaths averted among people under age 5" location="'Main CEA'!E77" ref="E126"/>
    <hyperlink display="Total deaths averted among people age 5 and older" location="'Main CEA'!E85" ref="E127"/>
    <hyperlink display="Value assigned to averting a malaria-attributable death of a person under age 5" location="Inputs!E154" ref="E131"/>
    <hyperlink display="Value assigned to averting a malaria-attributable death of a person age 5 or older" location="Inputs!E155" ref="E132"/>
    <hyperlink display="Total spending contributed by grantee" location="'Main CEA'!E19" ref="E141"/>
    <hyperlink display="Units of value per dollar spent, benchmark" location="Inputs!E162" ref="E144"/>
    <hyperlink display="Total spending contributed by grantee" location="'Main CEA'!E19" ref="E153"/>
    <hyperlink display="Double treatment" location="Inputs!E168" ref="E161"/>
    <hyperlink display="Ineffective goods" location="Inputs!E169" ref="E162"/>
    <hyperlink display="Goods purchased and left in storage until they expire / cash doesn't receive recipients or is taken back from them inappropriately" location="Inputs!E170" ref="E163"/>
    <hyperlink display="Misappropriation without monitoring results" location="Inputs!E172" ref="E165"/>
    <hyperlink display="False monitoring results" location="Inputs!E173" ref="E166"/>
    <hyperlink display="Change of priorities" location="Inputs!E175" ref="E168"/>
    <hyperlink display="Non-funding bottlenecks" location="Inputs!E176" ref="E169"/>
    <hyperlink display="Within-org fungibility" location="Inputs!E177" ref="E170"/>
    <hyperlink display="Malaria morbidity" location="Inputs!E180" ref="E176"/>
    <hyperlink display="Short-term anemia effects" location="Inputs!E181" ref="E177"/>
    <hyperlink display="Prevention of diseases other than malaria (e.g. dengue, yellow fever, zika, encephalitis)" location="Inputs!E182" ref="E178"/>
    <hyperlink display="Prevention of stillbirths" location="Inputs!E183" ref="E179"/>
    <hyperlink display="Investment of income increases" location="Inputs!E184" ref="E180"/>
    <hyperlink display="Treatment costs averted from prevention" location="Inputs!E185" ref="E181"/>
    <hyperlink display="Rebound effects / decreased immunity development" location="Inputs!E186" ref="E183"/>
    <hyperlink display="Subnational adjustments" location="Inputs!E187" ref="E184"/>
    <hyperlink display="Marginal funding going to lower priority areas" location="Inputs!E188" ref="E185"/>
    <hyperlink display="Mosquito insecticide resistance in trials underlying our estimates" location="Inputs!E189" ref="E186"/>
    <hyperlink display="Differences in mosquito species" location="Inputs!E190" ref="E187"/>
    <hyperlink display="Adjustment for the possibility of crowding funding into the program (leverage)" location="LeverageFunging!E111" ref="E192"/>
    <hyperlink display="Adjustment for the possibility of crowding funding out of the program (funging)" location="LeverageFunging!E112" ref="E193"/>
    <hyperlink display="Total value generated by grantee spending after adjusting for leverage and funging" location="LeverageFunging!E108" ref="E200"/>
    <hyperlink display="Total spending contributed by grantee" location="'Main CEA'!E19" ref="E201"/>
    <hyperlink display="Total supplemental grantee-level adjustment" location="'Main CEA'!D172" ref="E208"/>
    <hyperlink display="Leverage and funging adjustment for counterfactual output estimates" location="LeverageFunging!E118" ref="E209"/>
    <hyperlink display="Total supplemental grantee-level adjustment" location="'Main CEA'!D172" ref="E21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306</v>
      </c>
      <c r="B3" s="54"/>
      <c r="C3" s="54"/>
      <c r="D3" s="54"/>
      <c r="E3" s="54"/>
      <c r="F3" s="105" t="s">
        <v>126</v>
      </c>
      <c r="G3" s="105" t="s">
        <v>127</v>
      </c>
      <c r="H3" s="107" t="s">
        <v>128</v>
      </c>
      <c r="I3" s="108"/>
      <c r="J3" s="108"/>
      <c r="K3" s="108"/>
      <c r="L3" s="108" t="s">
        <v>129</v>
      </c>
      <c r="M3" s="108" t="s">
        <v>130</v>
      </c>
      <c r="N3" s="108"/>
      <c r="O3" s="108"/>
      <c r="P3" s="109"/>
      <c r="Q3" s="360"/>
    </row>
    <row r="4">
      <c r="A4" s="111"/>
      <c r="B4" s="112"/>
      <c r="C4" s="112"/>
      <c r="D4" s="112"/>
      <c r="E4" s="113" t="s">
        <v>307</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308</v>
      </c>
      <c r="B5" s="6"/>
      <c r="C5" s="6"/>
      <c r="D5" s="6"/>
      <c r="E5" s="6"/>
      <c r="F5" s="6"/>
      <c r="G5" s="6"/>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309</v>
      </c>
      <c r="F7" s="125"/>
      <c r="G7" s="363"/>
      <c r="H7" s="127"/>
      <c r="I7" s="132"/>
      <c r="J7" s="132"/>
      <c r="K7" s="132"/>
      <c r="L7" s="132"/>
      <c r="M7" s="132"/>
      <c r="N7" s="132"/>
      <c r="O7" s="132"/>
      <c r="P7" s="132"/>
      <c r="Q7" s="11"/>
    </row>
    <row r="8">
      <c r="A8" s="122"/>
      <c r="B8" s="123"/>
      <c r="C8" s="123"/>
      <c r="D8" s="123"/>
      <c r="E8" s="187" t="s">
        <v>310</v>
      </c>
      <c r="F8" s="364" t="str">
        <f>Inputs!F35</f>
        <v>%</v>
      </c>
      <c r="G8" s="364" t="str">
        <f>Inputs!G35</f>
        <v>input</v>
      </c>
      <c r="H8" s="365">
        <f>Inputs!H35</f>
        <v>1</v>
      </c>
      <c r="I8" s="366" t="str">
        <f>Inputs!I35</f>
        <v>-</v>
      </c>
      <c r="J8" s="366" t="str">
        <f>Inputs!J35</f>
        <v>-</v>
      </c>
      <c r="K8" s="366" t="str">
        <f>Inputs!K35</f>
        <v>-</v>
      </c>
      <c r="L8" s="366" t="str">
        <f>Inputs!L35</f>
        <v>-</v>
      </c>
      <c r="M8" s="366" t="str">
        <f>Inputs!M35</f>
        <v>-</v>
      </c>
      <c r="N8" s="366" t="str">
        <f>Inputs!N35</f>
        <v>-</v>
      </c>
      <c r="O8" s="366" t="str">
        <f>Inputs!O35</f>
        <v>-</v>
      </c>
      <c r="P8" s="366" t="str">
        <f>Inputs!P35</f>
        <v>-</v>
      </c>
      <c r="Q8" s="16"/>
    </row>
    <row r="9">
      <c r="A9" s="122"/>
      <c r="B9" s="123"/>
      <c r="C9" s="162"/>
      <c r="D9" s="123"/>
      <c r="E9" s="367" t="s">
        <v>311</v>
      </c>
      <c r="F9" s="368" t="str">
        <f>Inputs!F36</f>
        <v>%</v>
      </c>
      <c r="G9" s="368" t="str">
        <f>Inputs!G36</f>
        <v>input</v>
      </c>
      <c r="H9" s="369">
        <f>Inputs!H36</f>
        <v>0.9539455</v>
      </c>
      <c r="I9" s="370" t="str">
        <f>Inputs!I36</f>
        <v>-</v>
      </c>
      <c r="J9" s="370" t="str">
        <f>Inputs!J36</f>
        <v>-</v>
      </c>
      <c r="K9" s="370" t="str">
        <f>Inputs!K36</f>
        <v>-</v>
      </c>
      <c r="L9" s="370" t="str">
        <f>Inputs!L36</f>
        <v>-</v>
      </c>
      <c r="M9" s="370" t="str">
        <f>Inputs!M36</f>
        <v>-</v>
      </c>
      <c r="N9" s="370" t="str">
        <f>Inputs!N36</f>
        <v>-</v>
      </c>
      <c r="O9" s="370" t="str">
        <f>Inputs!O36</f>
        <v>-</v>
      </c>
      <c r="P9" s="370" t="str">
        <f>Inputs!P36</f>
        <v>-</v>
      </c>
      <c r="Q9" s="20"/>
    </row>
    <row r="10">
      <c r="A10" s="122"/>
      <c r="B10" s="123"/>
      <c r="C10" s="162"/>
      <c r="D10" s="123"/>
      <c r="E10" s="367" t="s">
        <v>312</v>
      </c>
      <c r="F10" s="368" t="str">
        <f>Inputs!F37</f>
        <v>%</v>
      </c>
      <c r="G10" s="368" t="str">
        <f>Inputs!G37</f>
        <v>input</v>
      </c>
      <c r="H10" s="369">
        <f>Inputs!H37</f>
        <v>0.8345774</v>
      </c>
      <c r="I10" s="370" t="str">
        <f>Inputs!I37</f>
        <v>-</v>
      </c>
      <c r="J10" s="370" t="str">
        <f>Inputs!J37</f>
        <v>-</v>
      </c>
      <c r="K10" s="370" t="str">
        <f>Inputs!K37</f>
        <v>-</v>
      </c>
      <c r="L10" s="370" t="str">
        <f>Inputs!L37</f>
        <v>-</v>
      </c>
      <c r="M10" s="370" t="str">
        <f>Inputs!M37</f>
        <v>-</v>
      </c>
      <c r="N10" s="370" t="str">
        <f>Inputs!N37</f>
        <v>-</v>
      </c>
      <c r="O10" s="370" t="str">
        <f>Inputs!O37</f>
        <v>-</v>
      </c>
      <c r="P10" s="370" t="str">
        <f>Inputs!P37</f>
        <v>-</v>
      </c>
      <c r="Q10" s="20"/>
    </row>
    <row r="11">
      <c r="A11" s="122"/>
      <c r="B11" s="123"/>
      <c r="C11" s="123"/>
      <c r="D11" s="123"/>
      <c r="E11" s="371" t="str">
        <f>Inputs!E38</f>
        <v>Average percentage of nets remaining in use during the 3rd year after an ITN distribution</v>
      </c>
      <c r="F11" s="372" t="str">
        <f>Inputs!F38</f>
        <v>%</v>
      </c>
      <c r="G11" s="372" t="str">
        <f>Inputs!G38</f>
        <v>input</v>
      </c>
      <c r="H11" s="373">
        <f>Inputs!H38</f>
        <v>0.6935533</v>
      </c>
      <c r="I11" s="374" t="str">
        <f>Inputs!I38</f>
        <v>-</v>
      </c>
      <c r="J11" s="374" t="str">
        <f>Inputs!J38</f>
        <v>-</v>
      </c>
      <c r="K11" s="374" t="str">
        <f>Inputs!K38</f>
        <v>-</v>
      </c>
      <c r="L11" s="374" t="str">
        <f>Inputs!L38</f>
        <v>-</v>
      </c>
      <c r="M11" s="374" t="str">
        <f>Inputs!M38</f>
        <v>-</v>
      </c>
      <c r="N11" s="374" t="str">
        <f>Inputs!N38</f>
        <v>-</v>
      </c>
      <c r="O11" s="374" t="str">
        <f>Inputs!O38</f>
        <v>-</v>
      </c>
      <c r="P11" s="374" t="str">
        <f>Inputs!P38</f>
        <v>-</v>
      </c>
      <c r="Q11" s="47"/>
    </row>
    <row r="12">
      <c r="A12" s="122"/>
      <c r="B12" s="123"/>
      <c r="C12" s="123"/>
      <c r="D12" s="123"/>
      <c r="E12" s="139"/>
      <c r="F12" s="140"/>
      <c r="G12" s="375"/>
      <c r="H12" s="376"/>
      <c r="I12" s="132"/>
      <c r="J12" s="132"/>
      <c r="K12" s="132"/>
      <c r="L12" s="132"/>
      <c r="M12" s="132"/>
      <c r="N12" s="132"/>
      <c r="O12" s="132"/>
      <c r="P12" s="132"/>
      <c r="Q12" s="11"/>
    </row>
    <row r="13">
      <c r="A13" s="122"/>
      <c r="B13" s="123"/>
      <c r="C13" s="162" t="s">
        <v>313</v>
      </c>
      <c r="F13" s="140"/>
      <c r="G13" s="375"/>
      <c r="H13" s="376"/>
      <c r="I13" s="132"/>
      <c r="J13" s="132"/>
      <c r="K13" s="132"/>
      <c r="L13" s="132"/>
      <c r="M13" s="132"/>
      <c r="N13" s="132"/>
      <c r="O13" s="132"/>
      <c r="P13" s="132"/>
      <c r="Q13" s="11"/>
    </row>
    <row r="14">
      <c r="A14" s="122"/>
      <c r="B14" s="123"/>
      <c r="C14" s="123"/>
      <c r="D14" s="123"/>
      <c r="E14" s="198" t="s">
        <v>314</v>
      </c>
      <c r="F14" s="364" t="str">
        <f>Inputs!F41</f>
        <v>%</v>
      </c>
      <c r="G14" s="366" t="str">
        <f>Inputs!G41</f>
        <v>input</v>
      </c>
      <c r="H14" s="250">
        <f>Inputs!H41</f>
        <v>0.0346098</v>
      </c>
      <c r="I14" s="377" t="str">
        <f>Inputs!I41</f>
        <v>-</v>
      </c>
      <c r="J14" s="377" t="str">
        <f>Inputs!J41</f>
        <v>-</v>
      </c>
      <c r="K14" s="377" t="str">
        <f>Inputs!K41</f>
        <v>-</v>
      </c>
      <c r="L14" s="377" t="str">
        <f>Inputs!L41</f>
        <v>-</v>
      </c>
      <c r="M14" s="377" t="str">
        <f>Inputs!M41</f>
        <v>-</v>
      </c>
      <c r="N14" s="377" t="str">
        <f>Inputs!N41</f>
        <v>-</v>
      </c>
      <c r="O14" s="377" t="str">
        <f>Inputs!O41</f>
        <v>-</v>
      </c>
      <c r="P14" s="377" t="str">
        <f>Inputs!P41</f>
        <v>-</v>
      </c>
      <c r="Q14" s="16"/>
    </row>
    <row r="15">
      <c r="A15" s="122"/>
      <c r="B15" s="123"/>
      <c r="C15" s="123"/>
      <c r="D15" s="123"/>
      <c r="E15" s="216" t="s">
        <v>315</v>
      </c>
      <c r="F15" s="368" t="str">
        <f>Inputs!F42</f>
        <v>%</v>
      </c>
      <c r="G15" s="370" t="str">
        <f>Inputs!G42</f>
        <v>input</v>
      </c>
      <c r="H15" s="261">
        <f>Inputs!H42</f>
        <v>0.1536925</v>
      </c>
      <c r="I15" s="305" t="str">
        <f>Inputs!I42</f>
        <v>-</v>
      </c>
      <c r="J15" s="305" t="str">
        <f>Inputs!J42</f>
        <v>-</v>
      </c>
      <c r="K15" s="305" t="str">
        <f>Inputs!K42</f>
        <v>-</v>
      </c>
      <c r="L15" s="305" t="str">
        <f>Inputs!L42</f>
        <v>-</v>
      </c>
      <c r="M15" s="305" t="str">
        <f>Inputs!M42</f>
        <v>-</v>
      </c>
      <c r="N15" s="305" t="str">
        <f>Inputs!N42</f>
        <v>-</v>
      </c>
      <c r="O15" s="305" t="str">
        <f>Inputs!O42</f>
        <v>-</v>
      </c>
      <c r="P15" s="305" t="str">
        <f>Inputs!P42</f>
        <v>-</v>
      </c>
      <c r="Q15" s="20"/>
    </row>
    <row r="16">
      <c r="A16" s="122"/>
      <c r="B16" s="123"/>
      <c r="C16" s="123"/>
      <c r="D16" s="123"/>
      <c r="E16" s="216" t="s">
        <v>316</v>
      </c>
      <c r="F16" s="368" t="str">
        <f>Inputs!F43</f>
        <v>%</v>
      </c>
      <c r="G16" s="370" t="str">
        <f>Inputs!G43</f>
        <v>input</v>
      </c>
      <c r="H16" s="261">
        <f>Inputs!H43</f>
        <v>0.3453212</v>
      </c>
      <c r="I16" s="305" t="str">
        <f>Inputs!I43</f>
        <v>-</v>
      </c>
      <c r="J16" s="305" t="str">
        <f>Inputs!J43</f>
        <v>-</v>
      </c>
      <c r="K16" s="305" t="str">
        <f>Inputs!K43</f>
        <v>-</v>
      </c>
      <c r="L16" s="305" t="str">
        <f>Inputs!L43</f>
        <v>-</v>
      </c>
      <c r="M16" s="305" t="str">
        <f>Inputs!M43</f>
        <v>-</v>
      </c>
      <c r="N16" s="305" t="str">
        <f>Inputs!N43</f>
        <v>-</v>
      </c>
      <c r="O16" s="305" t="str">
        <f>Inputs!O43</f>
        <v>-</v>
      </c>
      <c r="P16" s="305" t="str">
        <f>Inputs!P43</f>
        <v>-</v>
      </c>
      <c r="Q16" s="20"/>
    </row>
    <row r="17">
      <c r="A17" s="122"/>
      <c r="B17" s="123"/>
      <c r="C17" s="123"/>
      <c r="D17" s="123"/>
      <c r="E17" s="216" t="s">
        <v>317</v>
      </c>
      <c r="F17" s="368" t="str">
        <f>Inputs!F44</f>
        <v>%</v>
      </c>
      <c r="G17" s="370" t="str">
        <f>Inputs!G44</f>
        <v>input</v>
      </c>
      <c r="H17" s="261">
        <f>Inputs!H44</f>
        <v>0.33</v>
      </c>
      <c r="I17" s="305" t="str">
        <f>Inputs!I44</f>
        <v>-</v>
      </c>
      <c r="J17" s="305" t="str">
        <f>Inputs!J44</f>
        <v>-</v>
      </c>
      <c r="K17" s="305" t="str">
        <f>Inputs!K44</f>
        <v>-</v>
      </c>
      <c r="L17" s="305" t="str">
        <f>Inputs!L44</f>
        <v>-</v>
      </c>
      <c r="M17" s="305" t="str">
        <f>Inputs!M44</f>
        <v>-</v>
      </c>
      <c r="N17" s="305" t="str">
        <f>Inputs!N44</f>
        <v>-</v>
      </c>
      <c r="O17" s="305" t="str">
        <f>Inputs!O44</f>
        <v>-</v>
      </c>
      <c r="P17" s="305" t="str">
        <f>Inputs!P44</f>
        <v>-</v>
      </c>
      <c r="Q17" s="20"/>
    </row>
    <row r="18">
      <c r="A18" s="122"/>
      <c r="B18" s="123"/>
      <c r="C18" s="123"/>
      <c r="D18" s="123"/>
      <c r="E18" s="216" t="s">
        <v>318</v>
      </c>
      <c r="F18" s="368" t="s">
        <v>79</v>
      </c>
      <c r="G18" s="370" t="s">
        <v>143</v>
      </c>
      <c r="H18" s="261">
        <f t="shared" ref="H18:H19" si="1">H14*(1-H$17)</f>
        <v>0.023188566</v>
      </c>
      <c r="I18" s="370" t="s">
        <v>144</v>
      </c>
      <c r="J18" s="370" t="s">
        <v>144</v>
      </c>
      <c r="K18" s="370" t="s">
        <v>144</v>
      </c>
      <c r="L18" s="370" t="s">
        <v>144</v>
      </c>
      <c r="M18" s="370" t="s">
        <v>144</v>
      </c>
      <c r="N18" s="370" t="s">
        <v>144</v>
      </c>
      <c r="O18" s="370" t="s">
        <v>144</v>
      </c>
      <c r="P18" s="370" t="s">
        <v>144</v>
      </c>
      <c r="Q18" s="20"/>
    </row>
    <row r="19">
      <c r="A19" s="122"/>
      <c r="B19" s="123"/>
      <c r="C19" s="123"/>
      <c r="D19" s="123"/>
      <c r="E19" s="216" t="s">
        <v>319</v>
      </c>
      <c r="F19" s="368" t="s">
        <v>79</v>
      </c>
      <c r="G19" s="370" t="s">
        <v>143</v>
      </c>
      <c r="H19" s="261">
        <f t="shared" si="1"/>
        <v>0.102973975</v>
      </c>
      <c r="I19" s="370" t="s">
        <v>144</v>
      </c>
      <c r="J19" s="370" t="s">
        <v>144</v>
      </c>
      <c r="K19" s="370" t="s">
        <v>144</v>
      </c>
      <c r="L19" s="370" t="s">
        <v>144</v>
      </c>
      <c r="M19" s="370" t="s">
        <v>144</v>
      </c>
      <c r="N19" s="370" t="s">
        <v>144</v>
      </c>
      <c r="O19" s="370" t="s">
        <v>144</v>
      </c>
      <c r="P19" s="370" t="s">
        <v>144</v>
      </c>
      <c r="Q19" s="20"/>
    </row>
    <row r="20">
      <c r="A20" s="122"/>
      <c r="B20" s="123"/>
      <c r="C20" s="123"/>
      <c r="D20" s="123"/>
      <c r="E20" s="181" t="s">
        <v>320</v>
      </c>
      <c r="F20" s="221" t="s">
        <v>79</v>
      </c>
      <c r="G20" s="374" t="s">
        <v>143</v>
      </c>
      <c r="H20" s="378">
        <f>AVERAGE(H18:H19)</f>
        <v>0.0630812705</v>
      </c>
      <c r="I20" s="374" t="s">
        <v>144</v>
      </c>
      <c r="J20" s="374" t="s">
        <v>144</v>
      </c>
      <c r="K20" s="374" t="s">
        <v>144</v>
      </c>
      <c r="L20" s="374" t="s">
        <v>144</v>
      </c>
      <c r="M20" s="374" t="s">
        <v>144</v>
      </c>
      <c r="N20" s="374" t="s">
        <v>144</v>
      </c>
      <c r="O20" s="374" t="s">
        <v>144</v>
      </c>
      <c r="P20" s="374" t="s">
        <v>144</v>
      </c>
      <c r="Q20" s="47"/>
    </row>
    <row r="21">
      <c r="A21" s="122"/>
      <c r="B21" s="123"/>
      <c r="C21" s="123"/>
      <c r="D21" s="123"/>
      <c r="E21" s="139"/>
      <c r="F21" s="140"/>
      <c r="G21" s="375"/>
      <c r="H21" s="376"/>
      <c r="I21" s="132"/>
      <c r="J21" s="132"/>
      <c r="K21" s="132"/>
      <c r="L21" s="132"/>
      <c r="M21" s="132"/>
      <c r="N21" s="132"/>
      <c r="O21" s="132"/>
      <c r="P21" s="132"/>
      <c r="Q21" s="11"/>
    </row>
    <row r="22">
      <c r="A22" s="122"/>
      <c r="B22" s="123"/>
      <c r="C22" s="162" t="s">
        <v>321</v>
      </c>
      <c r="F22" s="140"/>
      <c r="G22" s="375"/>
      <c r="H22" s="376"/>
      <c r="I22" s="132"/>
      <c r="J22" s="132"/>
      <c r="K22" s="132"/>
      <c r="L22" s="132"/>
      <c r="M22" s="132"/>
      <c r="N22" s="132"/>
      <c r="O22" s="132"/>
      <c r="P22" s="132"/>
      <c r="Q22" s="11"/>
    </row>
    <row r="23">
      <c r="A23" s="122"/>
      <c r="B23" s="123"/>
      <c r="C23" s="123"/>
      <c r="D23" s="123"/>
      <c r="E23" s="198" t="s">
        <v>322</v>
      </c>
      <c r="F23" s="188" t="str">
        <f>Inputs!F47</f>
        <v>%</v>
      </c>
      <c r="G23" s="366" t="str">
        <f>Inputs!G47</f>
        <v>input</v>
      </c>
      <c r="H23" s="250">
        <f>Inputs!H47</f>
        <v>0</v>
      </c>
      <c r="I23" s="377" t="str">
        <f>Inputs!I47</f>
        <v>-</v>
      </c>
      <c r="J23" s="377" t="str">
        <f>Inputs!J47</f>
        <v>-</v>
      </c>
      <c r="K23" s="377" t="str">
        <f>Inputs!K47</f>
        <v>-</v>
      </c>
      <c r="L23" s="377" t="str">
        <f>Inputs!L47</f>
        <v>-</v>
      </c>
      <c r="M23" s="377" t="str">
        <f>Inputs!M47</f>
        <v>-</v>
      </c>
      <c r="N23" s="377" t="str">
        <f>Inputs!N47</f>
        <v>-</v>
      </c>
      <c r="O23" s="377" t="str">
        <f>Inputs!O47</f>
        <v>-</v>
      </c>
      <c r="P23" s="377" t="str">
        <f>Inputs!P47</f>
        <v>-</v>
      </c>
      <c r="Q23" s="16"/>
    </row>
    <row r="24">
      <c r="A24" s="122"/>
      <c r="B24" s="123"/>
      <c r="C24" s="123"/>
      <c r="D24" s="123"/>
      <c r="E24" s="181" t="s">
        <v>323</v>
      </c>
      <c r="F24" s="221" t="str">
        <f>Inputs!F48</f>
        <v>%</v>
      </c>
      <c r="G24" s="374" t="str">
        <f>Inputs!G48</f>
        <v>input</v>
      </c>
      <c r="H24" s="378">
        <f>Inputs!H48</f>
        <v>0</v>
      </c>
      <c r="I24" s="262" t="str">
        <f>Inputs!I48</f>
        <v>-</v>
      </c>
      <c r="J24" s="262" t="str">
        <f>Inputs!J48</f>
        <v>-</v>
      </c>
      <c r="K24" s="262" t="str">
        <f>Inputs!K48</f>
        <v>-</v>
      </c>
      <c r="L24" s="262" t="str">
        <f>Inputs!L48</f>
        <v>-</v>
      </c>
      <c r="M24" s="262" t="str">
        <f>Inputs!M48</f>
        <v>-</v>
      </c>
      <c r="N24" s="262" t="str">
        <f>Inputs!N48</f>
        <v>-</v>
      </c>
      <c r="O24" s="262" t="str">
        <f>Inputs!O48</f>
        <v>-</v>
      </c>
      <c r="P24" s="262" t="str">
        <f>Inputs!P48</f>
        <v>-</v>
      </c>
      <c r="Q24" s="47"/>
    </row>
    <row r="25">
      <c r="A25" s="122"/>
      <c r="B25" s="123"/>
      <c r="C25" s="123"/>
      <c r="D25" s="123"/>
      <c r="E25" s="139"/>
      <c r="F25" s="140"/>
      <c r="G25" s="375"/>
      <c r="H25" s="376"/>
      <c r="I25" s="132"/>
      <c r="J25" s="132"/>
      <c r="K25" s="132"/>
      <c r="L25" s="132"/>
      <c r="M25" s="132"/>
      <c r="N25" s="132"/>
      <c r="O25" s="132"/>
      <c r="P25" s="132"/>
      <c r="Q25" s="11"/>
    </row>
    <row r="26">
      <c r="A26" s="122"/>
      <c r="B26" s="123"/>
      <c r="C26" s="162" t="s">
        <v>324</v>
      </c>
      <c r="F26" s="140"/>
      <c r="G26" s="379"/>
      <c r="H26" s="209"/>
      <c r="I26" s="326"/>
      <c r="J26" s="326"/>
      <c r="K26" s="326"/>
      <c r="L26" s="326"/>
      <c r="M26" s="326"/>
      <c r="N26" s="326"/>
      <c r="O26" s="326"/>
      <c r="P26" s="326"/>
      <c r="Q26" s="11"/>
    </row>
    <row r="27">
      <c r="A27" s="122"/>
      <c r="B27" s="123"/>
      <c r="C27" s="162"/>
      <c r="D27" s="211"/>
      <c r="E27" s="198" t="s">
        <v>325</v>
      </c>
      <c r="F27" s="188" t="s">
        <v>69</v>
      </c>
      <c r="G27" s="380" t="s">
        <v>143</v>
      </c>
      <c r="H27" s="381">
        <f>(1-H8)+(H8*H20)+(H8*H20*H23)</f>
        <v>0.0630812705</v>
      </c>
      <c r="I27" s="366" t="s">
        <v>144</v>
      </c>
      <c r="J27" s="366" t="s">
        <v>144</v>
      </c>
      <c r="K27" s="366" t="s">
        <v>144</v>
      </c>
      <c r="L27" s="366" t="s">
        <v>144</v>
      </c>
      <c r="M27" s="366" t="s">
        <v>144</v>
      </c>
      <c r="N27" s="366" t="s">
        <v>144</v>
      </c>
      <c r="O27" s="366" t="s">
        <v>144</v>
      </c>
      <c r="P27" s="366" t="s">
        <v>144</v>
      </c>
      <c r="Q27" s="16"/>
    </row>
    <row r="28">
      <c r="A28" s="122"/>
      <c r="B28" s="123"/>
      <c r="C28" s="162"/>
      <c r="D28" s="211"/>
      <c r="E28" s="216" t="s">
        <v>326</v>
      </c>
      <c r="F28" s="217" t="s">
        <v>69</v>
      </c>
      <c r="G28" s="382" t="s">
        <v>143</v>
      </c>
      <c r="H28" s="383">
        <f t="shared" ref="H28:H30" si="2">(1-H9)+(H9*H14)+(H9*H14*H$24)</f>
        <v>0.07907036297</v>
      </c>
      <c r="I28" s="370" t="s">
        <v>144</v>
      </c>
      <c r="J28" s="370" t="s">
        <v>144</v>
      </c>
      <c r="K28" s="370" t="s">
        <v>144</v>
      </c>
      <c r="L28" s="370" t="s">
        <v>144</v>
      </c>
      <c r="M28" s="370" t="s">
        <v>144</v>
      </c>
      <c r="N28" s="370" t="s">
        <v>144</v>
      </c>
      <c r="O28" s="370" t="s">
        <v>144</v>
      </c>
      <c r="P28" s="370" t="s">
        <v>144</v>
      </c>
      <c r="Q28" s="20"/>
    </row>
    <row r="29">
      <c r="A29" s="122"/>
      <c r="B29" s="123"/>
      <c r="C29" s="162"/>
      <c r="D29" s="211"/>
      <c r="E29" s="216" t="s">
        <v>327</v>
      </c>
      <c r="F29" s="217" t="s">
        <v>69</v>
      </c>
      <c r="G29" s="382" t="s">
        <v>143</v>
      </c>
      <c r="H29" s="383">
        <f t="shared" si="2"/>
        <v>0.293690887</v>
      </c>
      <c r="I29" s="370" t="s">
        <v>144</v>
      </c>
      <c r="J29" s="370" t="s">
        <v>144</v>
      </c>
      <c r="K29" s="370" t="s">
        <v>144</v>
      </c>
      <c r="L29" s="370" t="s">
        <v>144</v>
      </c>
      <c r="M29" s="370" t="s">
        <v>144</v>
      </c>
      <c r="N29" s="370" t="s">
        <v>144</v>
      </c>
      <c r="O29" s="370" t="s">
        <v>144</v>
      </c>
      <c r="P29" s="370" t="s">
        <v>144</v>
      </c>
      <c r="Q29" s="20"/>
    </row>
    <row r="30">
      <c r="A30" s="122"/>
      <c r="B30" s="123"/>
      <c r="C30" s="162"/>
      <c r="D30" s="211"/>
      <c r="E30" s="181" t="s">
        <v>328</v>
      </c>
      <c r="F30" s="221" t="s">
        <v>69</v>
      </c>
      <c r="G30" s="384" t="s">
        <v>143</v>
      </c>
      <c r="H30" s="385">
        <f t="shared" si="2"/>
        <v>0.5459453578</v>
      </c>
      <c r="I30" s="374" t="s">
        <v>144</v>
      </c>
      <c r="J30" s="374" t="s">
        <v>144</v>
      </c>
      <c r="K30" s="374" t="s">
        <v>144</v>
      </c>
      <c r="L30" s="374" t="s">
        <v>144</v>
      </c>
      <c r="M30" s="374" t="s">
        <v>144</v>
      </c>
      <c r="N30" s="374" t="s">
        <v>144</v>
      </c>
      <c r="O30" s="374" t="s">
        <v>144</v>
      </c>
      <c r="P30" s="374" t="s">
        <v>144</v>
      </c>
      <c r="Q30" s="47"/>
    </row>
    <row r="31">
      <c r="A31" s="122"/>
      <c r="B31" s="123"/>
      <c r="C31" s="162"/>
      <c r="D31" s="211"/>
      <c r="E31" s="139"/>
      <c r="F31" s="140"/>
      <c r="G31" s="379"/>
      <c r="H31" s="209"/>
      <c r="I31" s="326"/>
      <c r="J31" s="326"/>
      <c r="K31" s="326"/>
      <c r="L31" s="326"/>
      <c r="M31" s="326"/>
      <c r="N31" s="326"/>
      <c r="O31" s="326"/>
      <c r="P31" s="326"/>
      <c r="Q31" s="11"/>
    </row>
    <row r="32">
      <c r="A32" s="122"/>
      <c r="B32" s="123"/>
      <c r="C32" s="162" t="s">
        <v>329</v>
      </c>
      <c r="F32" s="140"/>
      <c r="G32" s="379"/>
      <c r="H32" s="209"/>
      <c r="I32" s="326"/>
      <c r="J32" s="326"/>
      <c r="K32" s="326"/>
      <c r="L32" s="326"/>
      <c r="M32" s="326"/>
      <c r="N32" s="326"/>
      <c r="O32" s="326"/>
      <c r="P32" s="326"/>
      <c r="Q32" s="11"/>
    </row>
    <row r="33">
      <c r="A33" s="122"/>
      <c r="B33" s="123"/>
      <c r="C33" s="123"/>
      <c r="D33" s="211"/>
      <c r="E33" s="198" t="s">
        <v>330</v>
      </c>
      <c r="F33" s="188" t="str">
        <f>Inputs!F51</f>
        <v>#</v>
      </c>
      <c r="G33" s="380" t="str">
        <f>Inputs!G51</f>
        <v>input</v>
      </c>
      <c r="H33" s="381">
        <f>Inputs!H51</f>
        <v>1</v>
      </c>
      <c r="I33" s="377" t="str">
        <f>Inputs!I51</f>
        <v>-</v>
      </c>
      <c r="J33" s="377" t="str">
        <f>Inputs!J51</f>
        <v>-</v>
      </c>
      <c r="K33" s="377" t="str">
        <f>Inputs!K51</f>
        <v>-</v>
      </c>
      <c r="L33" s="377" t="str">
        <f>Inputs!L51</f>
        <v>-</v>
      </c>
      <c r="M33" s="377" t="str">
        <f>Inputs!M51</f>
        <v>-</v>
      </c>
      <c r="N33" s="377" t="str">
        <f>Inputs!N51</f>
        <v>-</v>
      </c>
      <c r="O33" s="377" t="str">
        <f>Inputs!O51</f>
        <v>-</v>
      </c>
      <c r="P33" s="377" t="str">
        <f>Inputs!P51</f>
        <v>-</v>
      </c>
      <c r="Q33" s="16"/>
    </row>
    <row r="34">
      <c r="A34" s="122"/>
      <c r="B34" s="123"/>
      <c r="C34" s="123"/>
      <c r="D34" s="211"/>
      <c r="E34" s="216" t="s">
        <v>331</v>
      </c>
      <c r="F34" s="217" t="s">
        <v>69</v>
      </c>
      <c r="G34" s="382" t="s">
        <v>143</v>
      </c>
      <c r="H34" s="383">
        <f t="shared" ref="H34:H36" si="3">H$33-(H28-H$27)</f>
        <v>0.9840109075</v>
      </c>
      <c r="I34" s="370" t="s">
        <v>144</v>
      </c>
      <c r="J34" s="370" t="s">
        <v>144</v>
      </c>
      <c r="K34" s="370" t="s">
        <v>144</v>
      </c>
      <c r="L34" s="370" t="s">
        <v>144</v>
      </c>
      <c r="M34" s="370" t="s">
        <v>144</v>
      </c>
      <c r="N34" s="370" t="s">
        <v>144</v>
      </c>
      <c r="O34" s="370" t="s">
        <v>144</v>
      </c>
      <c r="P34" s="370" t="s">
        <v>144</v>
      </c>
      <c r="Q34" s="20"/>
    </row>
    <row r="35">
      <c r="A35" s="122"/>
      <c r="B35" s="123"/>
      <c r="C35" s="123"/>
      <c r="D35" s="211"/>
      <c r="E35" s="216" t="s">
        <v>332</v>
      </c>
      <c r="F35" s="217" t="s">
        <v>69</v>
      </c>
      <c r="G35" s="382" t="s">
        <v>143</v>
      </c>
      <c r="H35" s="383">
        <f t="shared" si="3"/>
        <v>0.7693903835</v>
      </c>
      <c r="I35" s="370" t="s">
        <v>144</v>
      </c>
      <c r="J35" s="370" t="s">
        <v>144</v>
      </c>
      <c r="K35" s="370" t="s">
        <v>144</v>
      </c>
      <c r="L35" s="370" t="s">
        <v>144</v>
      </c>
      <c r="M35" s="370" t="s">
        <v>144</v>
      </c>
      <c r="N35" s="370" t="s">
        <v>144</v>
      </c>
      <c r="O35" s="370" t="s">
        <v>144</v>
      </c>
      <c r="P35" s="370" t="s">
        <v>144</v>
      </c>
      <c r="Q35" s="20"/>
    </row>
    <row r="36">
      <c r="A36" s="122"/>
      <c r="B36" s="123"/>
      <c r="C36" s="123"/>
      <c r="D36" s="211"/>
      <c r="E36" s="216" t="s">
        <v>333</v>
      </c>
      <c r="F36" s="217" t="s">
        <v>69</v>
      </c>
      <c r="G36" s="382" t="s">
        <v>143</v>
      </c>
      <c r="H36" s="383">
        <f t="shared" si="3"/>
        <v>0.5171359127</v>
      </c>
      <c r="I36" s="370" t="s">
        <v>144</v>
      </c>
      <c r="J36" s="370" t="s">
        <v>144</v>
      </c>
      <c r="K36" s="370" t="s">
        <v>144</v>
      </c>
      <c r="L36" s="370" t="s">
        <v>144</v>
      </c>
      <c r="M36" s="370" t="s">
        <v>144</v>
      </c>
      <c r="N36" s="370" t="s">
        <v>144</v>
      </c>
      <c r="O36" s="370" t="s">
        <v>144</v>
      </c>
      <c r="P36" s="370" t="s">
        <v>144</v>
      </c>
      <c r="Q36" s="20"/>
    </row>
    <row r="37">
      <c r="A37" s="122"/>
      <c r="B37" s="123"/>
      <c r="C37" s="123"/>
      <c r="D37" s="211"/>
      <c r="E37" s="181" t="s">
        <v>334</v>
      </c>
      <c r="F37" s="221" t="s">
        <v>69</v>
      </c>
      <c r="G37" s="384" t="s">
        <v>143</v>
      </c>
      <c r="H37" s="385">
        <f>SUM(H34:H36)</f>
        <v>2.270537204</v>
      </c>
      <c r="I37" s="374" t="s">
        <v>144</v>
      </c>
      <c r="J37" s="374" t="s">
        <v>144</v>
      </c>
      <c r="K37" s="374" t="s">
        <v>144</v>
      </c>
      <c r="L37" s="374" t="s">
        <v>144</v>
      </c>
      <c r="M37" s="374" t="s">
        <v>144</v>
      </c>
      <c r="N37" s="374" t="s">
        <v>144</v>
      </c>
      <c r="O37" s="374" t="s">
        <v>144</v>
      </c>
      <c r="P37" s="374" t="s">
        <v>144</v>
      </c>
      <c r="Q37" s="47"/>
    </row>
    <row r="38">
      <c r="A38" s="122"/>
      <c r="B38" s="123"/>
      <c r="C38" s="123"/>
      <c r="D38" s="123"/>
      <c r="E38" s="139"/>
      <c r="F38" s="140"/>
      <c r="G38" s="379"/>
      <c r="H38" s="386"/>
      <c r="I38" s="225"/>
      <c r="J38" s="225"/>
      <c r="K38" s="225"/>
      <c r="L38" s="225"/>
      <c r="M38" s="225"/>
      <c r="N38" s="225"/>
      <c r="O38" s="225"/>
      <c r="P38" s="225"/>
      <c r="Q38" s="11"/>
    </row>
    <row r="39">
      <c r="A39" s="122"/>
      <c r="B39" s="123"/>
      <c r="C39" s="168" t="s">
        <v>335</v>
      </c>
      <c r="F39" s="125"/>
      <c r="G39" s="363"/>
      <c r="H39" s="224"/>
      <c r="I39" s="387"/>
      <c r="J39" s="387"/>
      <c r="K39" s="387"/>
      <c r="L39" s="387"/>
      <c r="M39" s="387"/>
      <c r="N39" s="387"/>
      <c r="O39" s="387"/>
      <c r="P39" s="387"/>
      <c r="Q39" s="11"/>
    </row>
    <row r="40">
      <c r="A40" s="122"/>
      <c r="B40" s="123"/>
      <c r="C40" s="123"/>
      <c r="D40" s="123"/>
      <c r="E40" s="198" t="s">
        <v>336</v>
      </c>
      <c r="F40" s="188" t="s">
        <v>69</v>
      </c>
      <c r="G40" s="366" t="s">
        <v>143</v>
      </c>
      <c r="H40" s="381">
        <f>H37</f>
        <v>2.270537204</v>
      </c>
      <c r="I40" s="366" t="s">
        <v>144</v>
      </c>
      <c r="J40" s="366" t="s">
        <v>144</v>
      </c>
      <c r="K40" s="366" t="s">
        <v>144</v>
      </c>
      <c r="L40" s="366" t="s">
        <v>144</v>
      </c>
      <c r="M40" s="366" t="s">
        <v>144</v>
      </c>
      <c r="N40" s="366" t="s">
        <v>144</v>
      </c>
      <c r="O40" s="366" t="s">
        <v>144</v>
      </c>
      <c r="P40" s="366" t="s">
        <v>144</v>
      </c>
      <c r="Q40" s="16"/>
    </row>
    <row r="41">
      <c r="A41" s="122"/>
      <c r="B41" s="123"/>
      <c r="C41" s="123"/>
      <c r="D41" s="123"/>
      <c r="E41" s="216" t="s">
        <v>337</v>
      </c>
      <c r="F41" s="217" t="str">
        <f>Inputs!F54</f>
        <v>%</v>
      </c>
      <c r="G41" s="370" t="str">
        <f>Inputs!G54</f>
        <v>input</v>
      </c>
      <c r="H41" s="219">
        <f>Inputs!H54</f>
        <v>-0.15</v>
      </c>
      <c r="I41" s="239" t="str">
        <f>Inputs!I54</f>
        <v>-</v>
      </c>
      <c r="J41" s="239" t="str">
        <f>Inputs!J54</f>
        <v>-</v>
      </c>
      <c r="K41" s="239" t="str">
        <f>Inputs!K54</f>
        <v>-</v>
      </c>
      <c r="L41" s="239" t="str">
        <f>Inputs!L54</f>
        <v>-</v>
      </c>
      <c r="M41" s="239" t="str">
        <f>Inputs!M54</f>
        <v>-</v>
      </c>
      <c r="N41" s="239" t="str">
        <f>Inputs!N54</f>
        <v>-</v>
      </c>
      <c r="O41" s="239" t="str">
        <f>Inputs!O54</f>
        <v>-</v>
      </c>
      <c r="P41" s="239" t="str">
        <f>Inputs!P54</f>
        <v>-</v>
      </c>
      <c r="Q41" s="20"/>
    </row>
    <row r="42">
      <c r="A42" s="122"/>
      <c r="B42" s="123"/>
      <c r="C42" s="168"/>
      <c r="D42" s="123"/>
      <c r="E42" s="181" t="s">
        <v>338</v>
      </c>
      <c r="F42" s="221" t="s">
        <v>69</v>
      </c>
      <c r="G42" s="384" t="s">
        <v>143</v>
      </c>
      <c r="H42" s="385">
        <f>H37*(1+H41)</f>
        <v>1.929956623</v>
      </c>
      <c r="I42" s="374" t="s">
        <v>144</v>
      </c>
      <c r="J42" s="374" t="s">
        <v>144</v>
      </c>
      <c r="K42" s="374" t="s">
        <v>144</v>
      </c>
      <c r="L42" s="374" t="s">
        <v>144</v>
      </c>
      <c r="M42" s="374" t="s">
        <v>144</v>
      </c>
      <c r="N42" s="374" t="s">
        <v>144</v>
      </c>
      <c r="O42" s="374" t="s">
        <v>144</v>
      </c>
      <c r="P42" s="374" t="s">
        <v>144</v>
      </c>
      <c r="Q42" s="47"/>
    </row>
    <row r="43">
      <c r="A43" s="122"/>
      <c r="B43" s="123"/>
      <c r="C43" s="168"/>
      <c r="D43" s="123"/>
      <c r="E43" s="139"/>
      <c r="F43" s="140"/>
      <c r="G43" s="379"/>
      <c r="H43" s="224"/>
      <c r="I43" s="387"/>
      <c r="J43" s="387"/>
      <c r="K43" s="387"/>
      <c r="L43" s="387"/>
      <c r="M43" s="387"/>
      <c r="N43" s="387"/>
      <c r="O43" s="387"/>
      <c r="P43" s="387"/>
      <c r="Q43" s="11"/>
    </row>
    <row r="44">
      <c r="A44" s="122"/>
      <c r="B44" s="123"/>
      <c r="C44" s="168" t="s">
        <v>339</v>
      </c>
      <c r="F44" s="140"/>
      <c r="G44" s="379"/>
      <c r="H44" s="224"/>
      <c r="I44" s="387"/>
      <c r="J44" s="387"/>
      <c r="K44" s="387"/>
      <c r="L44" s="387"/>
      <c r="M44" s="387"/>
      <c r="N44" s="387"/>
      <c r="O44" s="387"/>
      <c r="P44" s="387"/>
      <c r="Q44" s="11"/>
    </row>
    <row r="45">
      <c r="A45" s="122"/>
      <c r="B45" s="123"/>
      <c r="C45" s="168"/>
      <c r="D45" s="123"/>
      <c r="E45" s="164" t="s">
        <v>340</v>
      </c>
      <c r="F45" s="134" t="str">
        <f>Inputs!F57</f>
        <v>%</v>
      </c>
      <c r="G45" s="388" t="str">
        <f>Inputs!G57</f>
        <v>input</v>
      </c>
      <c r="H45" s="389">
        <f>Inputs!H57</f>
        <v>0.465547</v>
      </c>
      <c r="I45" s="390" t="str">
        <f>Inputs!I57</f>
        <v>-</v>
      </c>
      <c r="J45" s="390" t="str">
        <f>Inputs!J57</f>
        <v>-</v>
      </c>
      <c r="K45" s="390" t="str">
        <f>Inputs!K57</f>
        <v>-</v>
      </c>
      <c r="L45" s="390" t="str">
        <f>Inputs!L57</f>
        <v>-</v>
      </c>
      <c r="M45" s="390" t="str">
        <f>Inputs!M57</f>
        <v>-</v>
      </c>
      <c r="N45" s="390" t="str">
        <f>Inputs!N57</f>
        <v>-</v>
      </c>
      <c r="O45" s="390" t="str">
        <f>Inputs!O57</f>
        <v>-</v>
      </c>
      <c r="P45" s="390" t="str">
        <f>Inputs!P57</f>
        <v>-</v>
      </c>
      <c r="Q45" s="56"/>
    </row>
    <row r="46">
      <c r="A46" s="122"/>
      <c r="B46" s="123"/>
      <c r="C46" s="168"/>
      <c r="D46" s="123"/>
      <c r="E46" s="139"/>
      <c r="F46" s="140"/>
      <c r="G46" s="379"/>
      <c r="H46" s="224"/>
      <c r="I46" s="387"/>
      <c r="J46" s="387"/>
      <c r="K46" s="387"/>
      <c r="L46" s="387"/>
      <c r="M46" s="387"/>
      <c r="N46" s="387"/>
      <c r="O46" s="387"/>
      <c r="P46" s="387"/>
      <c r="Q46" s="11"/>
    </row>
    <row r="47">
      <c r="A47" s="122"/>
      <c r="B47" s="123"/>
      <c r="C47" s="168" t="s">
        <v>341</v>
      </c>
      <c r="F47" s="140"/>
      <c r="G47" s="379"/>
      <c r="H47" s="224"/>
      <c r="I47" s="387"/>
      <c r="J47" s="387"/>
      <c r="K47" s="387"/>
      <c r="L47" s="387"/>
      <c r="M47" s="387"/>
      <c r="N47" s="387"/>
      <c r="O47" s="387"/>
      <c r="P47" s="387"/>
      <c r="Q47" s="11"/>
    </row>
    <row r="48">
      <c r="A48" s="122"/>
      <c r="B48" s="123"/>
      <c r="C48" s="168"/>
      <c r="D48" s="123"/>
      <c r="E48" s="164" t="s">
        <v>342</v>
      </c>
      <c r="F48" s="134" t="s">
        <v>69</v>
      </c>
      <c r="G48" s="388" t="s">
        <v>143</v>
      </c>
      <c r="H48" s="391">
        <f>H40*(1-H45)+(H42*H45)</f>
        <v>2.111980936</v>
      </c>
      <c r="I48" s="392" t="s">
        <v>144</v>
      </c>
      <c r="J48" s="392" t="s">
        <v>144</v>
      </c>
      <c r="K48" s="392" t="s">
        <v>144</v>
      </c>
      <c r="L48" s="392" t="s">
        <v>144</v>
      </c>
      <c r="M48" s="392" t="s">
        <v>144</v>
      </c>
      <c r="N48" s="392" t="s">
        <v>144</v>
      </c>
      <c r="O48" s="392" t="s">
        <v>144</v>
      </c>
      <c r="P48" s="392" t="s">
        <v>144</v>
      </c>
      <c r="Q48" s="56"/>
    </row>
    <row r="49">
      <c r="A49" s="122"/>
      <c r="B49" s="123"/>
      <c r="C49" s="123"/>
      <c r="D49" s="123"/>
      <c r="E49" s="124"/>
      <c r="F49" s="125"/>
      <c r="G49" s="363"/>
      <c r="H49" s="127"/>
      <c r="I49" s="132"/>
      <c r="J49" s="132"/>
      <c r="K49" s="132"/>
      <c r="L49" s="132"/>
      <c r="M49" s="132"/>
      <c r="N49" s="132"/>
      <c r="O49" s="132"/>
      <c r="P49" s="132"/>
      <c r="Q49" s="11"/>
    </row>
    <row r="50">
      <c r="A50" s="122"/>
      <c r="B50" s="123"/>
      <c r="C50" s="168" t="s">
        <v>343</v>
      </c>
      <c r="F50" s="125"/>
      <c r="G50" s="363"/>
      <c r="H50" s="127"/>
      <c r="I50" s="132"/>
      <c r="J50" s="132"/>
      <c r="K50" s="132"/>
      <c r="L50" s="132"/>
      <c r="M50" s="132"/>
      <c r="N50" s="132"/>
      <c r="O50" s="132"/>
      <c r="P50" s="132"/>
      <c r="Q50" s="11"/>
    </row>
    <row r="51">
      <c r="A51" s="122"/>
      <c r="B51" s="123"/>
      <c r="C51" s="123"/>
      <c r="D51" s="123"/>
      <c r="E51" s="393" t="s">
        <v>344</v>
      </c>
      <c r="F51" s="188" t="str">
        <f>Inputs!F60</f>
        <v>%</v>
      </c>
      <c r="G51" s="366" t="str">
        <f>Inputs!G60</f>
        <v>input</v>
      </c>
      <c r="H51" s="147" t="str">
        <f>Inputs!H60</f>
        <v>-</v>
      </c>
      <c r="I51" s="148" t="str">
        <f>Inputs!I60</f>
        <v>-</v>
      </c>
      <c r="J51" s="148">
        <f>Inputs!J60</f>
        <v>-0.1737044</v>
      </c>
      <c r="K51" s="377" t="str">
        <f>Inputs!K60</f>
        <v>-</v>
      </c>
      <c r="L51" s="377" t="str">
        <f>Inputs!L60</f>
        <v>-</v>
      </c>
      <c r="M51" s="377" t="str">
        <f>Inputs!M60</f>
        <v>-</v>
      </c>
      <c r="N51" s="377" t="str">
        <f>Inputs!N60</f>
        <v>-</v>
      </c>
      <c r="O51" s="377" t="str">
        <f>Inputs!O60</f>
        <v>-</v>
      </c>
      <c r="P51" s="377" t="str">
        <f>Inputs!P60</f>
        <v>-</v>
      </c>
      <c r="Q51" s="16"/>
    </row>
    <row r="52">
      <c r="A52" s="122"/>
      <c r="B52" s="123"/>
      <c r="C52" s="123"/>
      <c r="D52" s="123"/>
      <c r="E52" s="181" t="s">
        <v>345</v>
      </c>
      <c r="F52" s="221" t="s">
        <v>69</v>
      </c>
      <c r="G52" s="374" t="s">
        <v>143</v>
      </c>
      <c r="H52" s="184" t="s">
        <v>144</v>
      </c>
      <c r="I52" s="394">
        <f t="shared" ref="I52:P52" si="4">$H48*IF(I51&lt;&gt;"-",(1+I51),1)</f>
        <v>2.111980936</v>
      </c>
      <c r="J52" s="394">
        <f t="shared" si="4"/>
        <v>1.745120555</v>
      </c>
      <c r="K52" s="394">
        <f t="shared" si="4"/>
        <v>2.111980936</v>
      </c>
      <c r="L52" s="394">
        <f t="shared" si="4"/>
        <v>2.111980936</v>
      </c>
      <c r="M52" s="394">
        <f t="shared" si="4"/>
        <v>2.111980936</v>
      </c>
      <c r="N52" s="394">
        <f t="shared" si="4"/>
        <v>2.111980936</v>
      </c>
      <c r="O52" s="394">
        <f t="shared" si="4"/>
        <v>2.111980936</v>
      </c>
      <c r="P52" s="394">
        <f t="shared" si="4"/>
        <v>2.111980936</v>
      </c>
      <c r="Q52" s="47"/>
    </row>
    <row r="53">
      <c r="A53" s="122"/>
      <c r="B53" s="123"/>
      <c r="C53" s="123"/>
      <c r="D53" s="123"/>
      <c r="E53" s="124"/>
      <c r="F53" s="125"/>
      <c r="G53" s="363"/>
      <c r="H53" s="127"/>
      <c r="I53" s="132"/>
      <c r="J53" s="132"/>
      <c r="K53" s="132"/>
      <c r="L53" s="132"/>
      <c r="M53" s="132"/>
      <c r="N53" s="132"/>
      <c r="O53" s="132"/>
      <c r="P53" s="132"/>
      <c r="Q53" s="11"/>
    </row>
    <row r="54">
      <c r="A54" s="118" t="s">
        <v>346</v>
      </c>
      <c r="B54" s="6"/>
      <c r="C54" s="6"/>
      <c r="D54" s="6"/>
      <c r="E54" s="6"/>
      <c r="F54" s="6"/>
      <c r="G54" s="6"/>
      <c r="H54" s="119"/>
      <c r="I54" s="295"/>
      <c r="J54" s="295"/>
      <c r="K54" s="295"/>
      <c r="L54" s="295"/>
      <c r="M54" s="295"/>
      <c r="N54" s="295"/>
      <c r="O54" s="295"/>
      <c r="P54" s="295"/>
      <c r="Q54" s="395"/>
    </row>
    <row r="55">
      <c r="A55" s="122"/>
      <c r="B55" s="123"/>
      <c r="C55" s="123"/>
      <c r="D55" s="123"/>
      <c r="E55" s="124"/>
      <c r="F55" s="125"/>
      <c r="G55" s="125"/>
      <c r="H55" s="127"/>
      <c r="I55" s="132"/>
      <c r="J55" s="132"/>
      <c r="K55" s="132"/>
      <c r="L55" s="132"/>
      <c r="M55" s="132"/>
      <c r="N55" s="132"/>
      <c r="O55" s="132"/>
      <c r="P55" s="132"/>
      <c r="Q55" s="11"/>
    </row>
    <row r="56">
      <c r="A56" s="122"/>
      <c r="B56" s="123"/>
      <c r="C56" s="168" t="s">
        <v>347</v>
      </c>
      <c r="F56" s="125"/>
      <c r="G56" s="125"/>
      <c r="H56" s="127"/>
      <c r="I56" s="132"/>
      <c r="J56" s="132"/>
      <c r="K56" s="132"/>
      <c r="L56" s="132"/>
      <c r="M56" s="132"/>
      <c r="N56" s="132"/>
      <c r="O56" s="132"/>
      <c r="P56" s="132"/>
      <c r="Q56" s="11"/>
    </row>
    <row r="57">
      <c r="A57" s="122"/>
      <c r="B57" s="123"/>
      <c r="C57" s="168"/>
      <c r="D57" s="168"/>
      <c r="E57" s="198" t="s">
        <v>331</v>
      </c>
      <c r="F57" s="188" t="str">
        <f t="shared" ref="F57:F59" si="6">F34</f>
        <v>#</v>
      </c>
      <c r="G57" s="188" t="s">
        <v>236</v>
      </c>
      <c r="H57" s="396">
        <f t="shared" ref="H57:P57" si="5">H34</f>
        <v>0.9840109075</v>
      </c>
      <c r="I57" s="377" t="str">
        <f t="shared" si="5"/>
        <v>-</v>
      </c>
      <c r="J57" s="377" t="str">
        <f t="shared" si="5"/>
        <v>-</v>
      </c>
      <c r="K57" s="377" t="str">
        <f t="shared" si="5"/>
        <v>-</v>
      </c>
      <c r="L57" s="377" t="str">
        <f t="shared" si="5"/>
        <v>-</v>
      </c>
      <c r="M57" s="377" t="str">
        <f t="shared" si="5"/>
        <v>-</v>
      </c>
      <c r="N57" s="377" t="str">
        <f t="shared" si="5"/>
        <v>-</v>
      </c>
      <c r="O57" s="377" t="str">
        <f t="shared" si="5"/>
        <v>-</v>
      </c>
      <c r="P57" s="377" t="str">
        <f t="shared" si="5"/>
        <v>-</v>
      </c>
      <c r="Q57" s="16"/>
    </row>
    <row r="58">
      <c r="A58" s="122"/>
      <c r="B58" s="123"/>
      <c r="C58" s="168"/>
      <c r="D58" s="168"/>
      <c r="E58" s="216" t="s">
        <v>332</v>
      </c>
      <c r="F58" s="217" t="str">
        <f t="shared" si="6"/>
        <v>#</v>
      </c>
      <c r="G58" s="217" t="s">
        <v>236</v>
      </c>
      <c r="H58" s="287">
        <f t="shared" ref="H58:P58" si="7">H35</f>
        <v>0.7693903835</v>
      </c>
      <c r="I58" s="305" t="str">
        <f t="shared" si="7"/>
        <v>-</v>
      </c>
      <c r="J58" s="305" t="str">
        <f t="shared" si="7"/>
        <v>-</v>
      </c>
      <c r="K58" s="305" t="str">
        <f t="shared" si="7"/>
        <v>-</v>
      </c>
      <c r="L58" s="305" t="str">
        <f t="shared" si="7"/>
        <v>-</v>
      </c>
      <c r="M58" s="305" t="str">
        <f t="shared" si="7"/>
        <v>-</v>
      </c>
      <c r="N58" s="305" t="str">
        <f t="shared" si="7"/>
        <v>-</v>
      </c>
      <c r="O58" s="305" t="str">
        <f t="shared" si="7"/>
        <v>-</v>
      </c>
      <c r="P58" s="305" t="str">
        <f t="shared" si="7"/>
        <v>-</v>
      </c>
      <c r="Q58" s="20"/>
    </row>
    <row r="59">
      <c r="A59" s="122"/>
      <c r="B59" s="123"/>
      <c r="C59" s="168"/>
      <c r="D59" s="168"/>
      <c r="E59" s="216" t="s">
        <v>333</v>
      </c>
      <c r="F59" s="217" t="str">
        <f t="shared" si="6"/>
        <v>#</v>
      </c>
      <c r="G59" s="217" t="s">
        <v>236</v>
      </c>
      <c r="H59" s="287">
        <f t="shared" ref="H59:P59" si="8">H36</f>
        <v>0.5171359127</v>
      </c>
      <c r="I59" s="305" t="str">
        <f t="shared" si="8"/>
        <v>-</v>
      </c>
      <c r="J59" s="305" t="str">
        <f t="shared" si="8"/>
        <v>-</v>
      </c>
      <c r="K59" s="305" t="str">
        <f t="shared" si="8"/>
        <v>-</v>
      </c>
      <c r="L59" s="305" t="str">
        <f t="shared" si="8"/>
        <v>-</v>
      </c>
      <c r="M59" s="305" t="str">
        <f t="shared" si="8"/>
        <v>-</v>
      </c>
      <c r="N59" s="305" t="str">
        <f t="shared" si="8"/>
        <v>-</v>
      </c>
      <c r="O59" s="305" t="str">
        <f t="shared" si="8"/>
        <v>-</v>
      </c>
      <c r="P59" s="305" t="str">
        <f t="shared" si="8"/>
        <v>-</v>
      </c>
      <c r="Q59" s="20"/>
    </row>
    <row r="60">
      <c r="A60" s="122"/>
      <c r="B60" s="123"/>
      <c r="C60" s="168"/>
      <c r="D60" s="168"/>
      <c r="E60" s="216" t="s">
        <v>348</v>
      </c>
      <c r="F60" s="217" t="str">
        <f>Inputs!F63</f>
        <v>#</v>
      </c>
      <c r="G60" s="217" t="str">
        <f>Inputs!G63</f>
        <v>input</v>
      </c>
      <c r="H60" s="267">
        <f>Inputs!H63</f>
        <v>0.218549</v>
      </c>
      <c r="I60" s="305" t="str">
        <f>Inputs!I63</f>
        <v>-</v>
      </c>
      <c r="J60" s="305" t="str">
        <f>Inputs!J63</f>
        <v>-</v>
      </c>
      <c r="K60" s="305" t="str">
        <f>Inputs!K63</f>
        <v>-</v>
      </c>
      <c r="L60" s="305" t="str">
        <f>Inputs!L63</f>
        <v>-</v>
      </c>
      <c r="M60" s="305" t="str">
        <f>Inputs!M63</f>
        <v>-</v>
      </c>
      <c r="N60" s="305" t="str">
        <f>Inputs!N63</f>
        <v>-</v>
      </c>
      <c r="O60" s="305" t="str">
        <f>Inputs!O63</f>
        <v>-</v>
      </c>
      <c r="P60" s="305" t="str">
        <f>Inputs!P63</f>
        <v>-</v>
      </c>
      <c r="Q60" s="20"/>
    </row>
    <row r="61">
      <c r="A61" s="122"/>
      <c r="B61" s="123"/>
      <c r="C61" s="168"/>
      <c r="D61" s="168"/>
      <c r="E61" s="216" t="s">
        <v>349</v>
      </c>
      <c r="F61" s="217" t="str">
        <f>Inputs!F64</f>
        <v>#</v>
      </c>
      <c r="G61" s="217" t="str">
        <f>Inputs!G64</f>
        <v>input</v>
      </c>
      <c r="H61" s="267">
        <f>Inputs!H64</f>
        <v>0.065935</v>
      </c>
      <c r="I61" s="305" t="str">
        <f>Inputs!I64</f>
        <v>-</v>
      </c>
      <c r="J61" s="305" t="str">
        <f>Inputs!J64</f>
        <v>-</v>
      </c>
      <c r="K61" s="305" t="str">
        <f>Inputs!K64</f>
        <v>-</v>
      </c>
      <c r="L61" s="305" t="str">
        <f>Inputs!L64</f>
        <v>-</v>
      </c>
      <c r="M61" s="305" t="str">
        <f>Inputs!M64</f>
        <v>-</v>
      </c>
      <c r="N61" s="305" t="str">
        <f>Inputs!N64</f>
        <v>-</v>
      </c>
      <c r="O61" s="305" t="str">
        <f>Inputs!O64</f>
        <v>-</v>
      </c>
      <c r="P61" s="305" t="str">
        <f>Inputs!P64</f>
        <v>-</v>
      </c>
      <c r="Q61" s="20"/>
    </row>
    <row r="62">
      <c r="A62" s="122"/>
      <c r="B62" s="123"/>
      <c r="C62" s="168"/>
      <c r="D62" s="168"/>
      <c r="E62" s="181" t="s">
        <v>350</v>
      </c>
      <c r="F62" s="221" t="str">
        <f>Inputs!F65</f>
        <v>#</v>
      </c>
      <c r="G62" s="221" t="str">
        <f>Inputs!G65</f>
        <v>input</v>
      </c>
      <c r="H62" s="310">
        <f>Inputs!H65</f>
        <v>0.010989</v>
      </c>
      <c r="I62" s="262" t="str">
        <f>Inputs!I65</f>
        <v>-</v>
      </c>
      <c r="J62" s="262" t="str">
        <f>Inputs!J65</f>
        <v>-</v>
      </c>
      <c r="K62" s="262" t="str">
        <f>Inputs!K65</f>
        <v>-</v>
      </c>
      <c r="L62" s="262" t="str">
        <f>Inputs!L65</f>
        <v>-</v>
      </c>
      <c r="M62" s="262" t="str">
        <f>Inputs!M65</f>
        <v>-</v>
      </c>
      <c r="N62" s="262" t="str">
        <f>Inputs!N65</f>
        <v>-</v>
      </c>
      <c r="O62" s="262" t="str">
        <f>Inputs!O65</f>
        <v>-</v>
      </c>
      <c r="P62" s="262" t="str">
        <f>Inputs!P65</f>
        <v>-</v>
      </c>
      <c r="Q62" s="47"/>
    </row>
    <row r="63">
      <c r="A63" s="122"/>
      <c r="B63" s="123"/>
      <c r="C63" s="168"/>
      <c r="D63" s="168"/>
      <c r="E63" s="139"/>
      <c r="F63" s="140"/>
      <c r="G63" s="140"/>
      <c r="H63" s="330"/>
      <c r="Q63" s="11"/>
    </row>
    <row r="64">
      <c r="A64" s="122"/>
      <c r="B64" s="123"/>
      <c r="C64" s="168" t="s">
        <v>351</v>
      </c>
      <c r="F64" s="140"/>
      <c r="G64" s="140"/>
      <c r="H64" s="330"/>
      <c r="Q64" s="11"/>
    </row>
    <row r="65">
      <c r="A65" s="122"/>
      <c r="B65" s="123"/>
      <c r="C65" s="168"/>
      <c r="D65" s="168"/>
      <c r="E65" s="198" t="s">
        <v>352</v>
      </c>
      <c r="F65" s="188" t="s">
        <v>79</v>
      </c>
      <c r="G65" s="188" t="s">
        <v>143</v>
      </c>
      <c r="H65" s="214">
        <f>(H48-H40)/H40</f>
        <v>-0.06983205</v>
      </c>
      <c r="I65" s="397" t="s">
        <v>144</v>
      </c>
      <c r="J65" s="397" t="s">
        <v>144</v>
      </c>
      <c r="K65" s="397" t="s">
        <v>144</v>
      </c>
      <c r="L65" s="397" t="s">
        <v>144</v>
      </c>
      <c r="M65" s="397" t="s">
        <v>144</v>
      </c>
      <c r="N65" s="397" t="s">
        <v>144</v>
      </c>
      <c r="O65" s="397" t="s">
        <v>144</v>
      </c>
      <c r="P65" s="397" t="s">
        <v>144</v>
      </c>
      <c r="Q65" s="16"/>
    </row>
    <row r="66">
      <c r="A66" s="122"/>
      <c r="B66" s="123"/>
      <c r="C66" s="168"/>
      <c r="D66" s="168"/>
      <c r="E66" s="216" t="s">
        <v>353</v>
      </c>
      <c r="F66" s="217" t="s">
        <v>69</v>
      </c>
      <c r="G66" s="217" t="s">
        <v>143</v>
      </c>
      <c r="H66" s="383">
        <f t="shared" ref="H66:H71" si="9">H57*(1+H$65)</f>
        <v>0.9152954086</v>
      </c>
      <c r="I66" s="398" t="s">
        <v>144</v>
      </c>
      <c r="J66" s="398" t="s">
        <v>144</v>
      </c>
      <c r="K66" s="398" t="s">
        <v>144</v>
      </c>
      <c r="L66" s="398" t="s">
        <v>144</v>
      </c>
      <c r="M66" s="398" t="s">
        <v>144</v>
      </c>
      <c r="N66" s="398" t="s">
        <v>144</v>
      </c>
      <c r="O66" s="398" t="s">
        <v>144</v>
      </c>
      <c r="P66" s="398" t="s">
        <v>144</v>
      </c>
      <c r="Q66" s="20"/>
    </row>
    <row r="67">
      <c r="A67" s="122"/>
      <c r="B67" s="123"/>
      <c r="C67" s="168"/>
      <c r="D67" s="168"/>
      <c r="E67" s="216" t="s">
        <v>354</v>
      </c>
      <c r="F67" s="217" t="s">
        <v>69</v>
      </c>
      <c r="G67" s="217" t="s">
        <v>143</v>
      </c>
      <c r="H67" s="383">
        <f t="shared" si="9"/>
        <v>0.7156622757</v>
      </c>
      <c r="I67" s="398" t="s">
        <v>144</v>
      </c>
      <c r="J67" s="398" t="s">
        <v>144</v>
      </c>
      <c r="K67" s="398" t="s">
        <v>144</v>
      </c>
      <c r="L67" s="398" t="s">
        <v>144</v>
      </c>
      <c r="M67" s="398" t="s">
        <v>144</v>
      </c>
      <c r="N67" s="398" t="s">
        <v>144</v>
      </c>
      <c r="O67" s="398" t="s">
        <v>144</v>
      </c>
      <c r="P67" s="398" t="s">
        <v>144</v>
      </c>
      <c r="Q67" s="20"/>
    </row>
    <row r="68">
      <c r="A68" s="122"/>
      <c r="B68" s="123"/>
      <c r="C68" s="168"/>
      <c r="D68" s="168"/>
      <c r="E68" s="216" t="s">
        <v>355</v>
      </c>
      <c r="F68" s="217" t="s">
        <v>69</v>
      </c>
      <c r="G68" s="217" t="s">
        <v>143</v>
      </c>
      <c r="H68" s="383">
        <f t="shared" si="9"/>
        <v>0.4810232518</v>
      </c>
      <c r="I68" s="398" t="s">
        <v>144</v>
      </c>
      <c r="J68" s="398" t="s">
        <v>144</v>
      </c>
      <c r="K68" s="398" t="s">
        <v>144</v>
      </c>
      <c r="L68" s="398" t="s">
        <v>144</v>
      </c>
      <c r="M68" s="398" t="s">
        <v>144</v>
      </c>
      <c r="N68" s="398" t="s">
        <v>144</v>
      </c>
      <c r="O68" s="398" t="s">
        <v>144</v>
      </c>
      <c r="P68" s="398" t="s">
        <v>144</v>
      </c>
      <c r="Q68" s="20"/>
    </row>
    <row r="69">
      <c r="A69" s="122"/>
      <c r="B69" s="123"/>
      <c r="C69" s="168"/>
      <c r="D69" s="168"/>
      <c r="E69" s="216" t="s">
        <v>356</v>
      </c>
      <c r="F69" s="217" t="s">
        <v>69</v>
      </c>
      <c r="G69" s="217" t="s">
        <v>143</v>
      </c>
      <c r="H69" s="383">
        <f t="shared" si="9"/>
        <v>0.2032872753</v>
      </c>
      <c r="I69" s="398" t="s">
        <v>144</v>
      </c>
      <c r="J69" s="398" t="s">
        <v>144</v>
      </c>
      <c r="K69" s="398" t="s">
        <v>144</v>
      </c>
      <c r="L69" s="398" t="s">
        <v>144</v>
      </c>
      <c r="M69" s="398" t="s">
        <v>144</v>
      </c>
      <c r="N69" s="398" t="s">
        <v>144</v>
      </c>
      <c r="O69" s="398" t="s">
        <v>144</v>
      </c>
      <c r="P69" s="398" t="s">
        <v>144</v>
      </c>
      <c r="Q69" s="20"/>
    </row>
    <row r="70">
      <c r="A70" s="122"/>
      <c r="B70" s="123"/>
      <c r="C70" s="168"/>
      <c r="D70" s="168"/>
      <c r="E70" s="216" t="s">
        <v>357</v>
      </c>
      <c r="F70" s="217" t="s">
        <v>69</v>
      </c>
      <c r="G70" s="217" t="s">
        <v>143</v>
      </c>
      <c r="H70" s="383">
        <f t="shared" si="9"/>
        <v>0.06133062378</v>
      </c>
      <c r="I70" s="398" t="s">
        <v>144</v>
      </c>
      <c r="J70" s="398" t="s">
        <v>144</v>
      </c>
      <c r="K70" s="398" t="s">
        <v>144</v>
      </c>
      <c r="L70" s="398" t="s">
        <v>144</v>
      </c>
      <c r="M70" s="398" t="s">
        <v>144</v>
      </c>
      <c r="N70" s="398" t="s">
        <v>144</v>
      </c>
      <c r="O70" s="398" t="s">
        <v>144</v>
      </c>
      <c r="P70" s="398" t="s">
        <v>144</v>
      </c>
      <c r="Q70" s="20"/>
    </row>
    <row r="71">
      <c r="A71" s="122"/>
      <c r="B71" s="123"/>
      <c r="C71" s="168"/>
      <c r="D71" s="168"/>
      <c r="E71" s="181" t="s">
        <v>358</v>
      </c>
      <c r="F71" s="221" t="s">
        <v>69</v>
      </c>
      <c r="G71" s="221" t="s">
        <v>143</v>
      </c>
      <c r="H71" s="385">
        <f t="shared" si="9"/>
        <v>0.0102216156</v>
      </c>
      <c r="I71" s="399" t="s">
        <v>144</v>
      </c>
      <c r="J71" s="399" t="s">
        <v>144</v>
      </c>
      <c r="K71" s="399" t="s">
        <v>144</v>
      </c>
      <c r="L71" s="399" t="s">
        <v>144</v>
      </c>
      <c r="M71" s="399" t="s">
        <v>144</v>
      </c>
      <c r="N71" s="399" t="s">
        <v>144</v>
      </c>
      <c r="O71" s="399" t="s">
        <v>144</v>
      </c>
      <c r="P71" s="399" t="s">
        <v>144</v>
      </c>
      <c r="Q71" s="47"/>
    </row>
    <row r="72">
      <c r="A72" s="122"/>
      <c r="B72" s="123"/>
      <c r="C72" s="168"/>
      <c r="D72" s="168"/>
      <c r="E72" s="139"/>
      <c r="F72" s="140"/>
      <c r="G72" s="140"/>
      <c r="H72" s="330"/>
      <c r="Q72" s="11"/>
    </row>
    <row r="73">
      <c r="A73" s="122"/>
      <c r="B73" s="123"/>
      <c r="C73" s="168" t="s">
        <v>359</v>
      </c>
      <c r="F73" s="140"/>
      <c r="G73" s="140"/>
      <c r="H73" s="330"/>
      <c r="Q73" s="11"/>
    </row>
    <row r="74">
      <c r="A74" s="122"/>
      <c r="B74" s="123"/>
      <c r="C74" s="168"/>
      <c r="D74" s="168"/>
      <c r="E74" s="198" t="s">
        <v>360</v>
      </c>
      <c r="F74" s="188" t="str">
        <f>Inputs!F68</f>
        <v>%</v>
      </c>
      <c r="G74" s="188" t="str">
        <f>Inputs!G68</f>
        <v>input</v>
      </c>
      <c r="H74" s="400" t="str">
        <f>Inputs!H68</f>
        <v>-</v>
      </c>
      <c r="I74" s="307" t="str">
        <f>Inputs!I68</f>
        <v>-</v>
      </c>
      <c r="J74" s="307">
        <f>Inputs!J68</f>
        <v>-0.1165152</v>
      </c>
      <c r="K74" s="401" t="str">
        <f>Inputs!K68</f>
        <v>-</v>
      </c>
      <c r="L74" s="401" t="str">
        <f>Inputs!L68</f>
        <v>-</v>
      </c>
      <c r="M74" s="401" t="str">
        <f>Inputs!M68</f>
        <v>-</v>
      </c>
      <c r="N74" s="401" t="str">
        <f>Inputs!N68</f>
        <v>-</v>
      </c>
      <c r="O74" s="401" t="str">
        <f>Inputs!O68</f>
        <v>-</v>
      </c>
      <c r="P74" s="401" t="str">
        <f>Inputs!P68</f>
        <v>-</v>
      </c>
      <c r="Q74" s="16"/>
    </row>
    <row r="75">
      <c r="A75" s="122"/>
      <c r="B75" s="123"/>
      <c r="C75" s="168"/>
      <c r="D75" s="168"/>
      <c r="E75" s="216" t="s">
        <v>361</v>
      </c>
      <c r="F75" s="217" t="str">
        <f>Inputs!F69</f>
        <v>%</v>
      </c>
      <c r="G75" s="217" t="str">
        <f>Inputs!G69</f>
        <v>input</v>
      </c>
      <c r="H75" s="402" t="str">
        <f>Inputs!H69</f>
        <v>-</v>
      </c>
      <c r="I75" s="239" t="str">
        <f>Inputs!I69</f>
        <v>-</v>
      </c>
      <c r="J75" s="239">
        <f>Inputs!J69</f>
        <v>-0.1609735</v>
      </c>
      <c r="K75" s="403" t="str">
        <f>Inputs!K69</f>
        <v>-</v>
      </c>
      <c r="L75" s="403" t="str">
        <f>Inputs!L69</f>
        <v>-</v>
      </c>
      <c r="M75" s="403" t="str">
        <f>Inputs!M69</f>
        <v>-</v>
      </c>
      <c r="N75" s="403" t="str">
        <f>Inputs!N69</f>
        <v>-</v>
      </c>
      <c r="O75" s="403" t="str">
        <f>Inputs!O69</f>
        <v>-</v>
      </c>
      <c r="P75" s="403" t="str">
        <f>Inputs!P69</f>
        <v>-</v>
      </c>
      <c r="Q75" s="20"/>
    </row>
    <row r="76">
      <c r="A76" s="122"/>
      <c r="B76" s="123"/>
      <c r="C76" s="168"/>
      <c r="D76" s="168"/>
      <c r="E76" s="216" t="s">
        <v>362</v>
      </c>
      <c r="F76" s="217" t="str">
        <f>Inputs!F70</f>
        <v>%</v>
      </c>
      <c r="G76" s="217" t="str">
        <f>Inputs!G70</f>
        <v>input</v>
      </c>
      <c r="H76" s="402" t="str">
        <f>Inputs!H70</f>
        <v>-</v>
      </c>
      <c r="I76" s="239" t="str">
        <f>Inputs!I70</f>
        <v>-</v>
      </c>
      <c r="J76" s="239">
        <f>Inputs!J70</f>
        <v>-0.3246594</v>
      </c>
      <c r="K76" s="403" t="str">
        <f>Inputs!K70</f>
        <v>-</v>
      </c>
      <c r="L76" s="403" t="str">
        <f>Inputs!L70</f>
        <v>-</v>
      </c>
      <c r="M76" s="403" t="str">
        <f>Inputs!M70</f>
        <v>-</v>
      </c>
      <c r="N76" s="403" t="str">
        <f>Inputs!N70</f>
        <v>-</v>
      </c>
      <c r="O76" s="403" t="str">
        <f>Inputs!O70</f>
        <v>-</v>
      </c>
      <c r="P76" s="403" t="str">
        <f>Inputs!P70</f>
        <v>-</v>
      </c>
      <c r="Q76" s="20"/>
    </row>
    <row r="77">
      <c r="A77" s="122"/>
      <c r="B77" s="123"/>
      <c r="C77" s="168"/>
      <c r="D77" s="168"/>
      <c r="E77" s="216" t="s">
        <v>363</v>
      </c>
      <c r="F77" s="217" t="s">
        <v>79</v>
      </c>
      <c r="G77" s="217" t="s">
        <v>143</v>
      </c>
      <c r="H77" s="404" t="s">
        <v>144</v>
      </c>
      <c r="I77" s="239" t="s">
        <v>144</v>
      </c>
      <c r="J77" s="239">
        <f t="shared" ref="J77:J79" si="10">MAX(-1,(J76+((J76-J75)/J75)*J76))</f>
        <v>-0.6547893039</v>
      </c>
      <c r="K77" s="398" t="s">
        <v>144</v>
      </c>
      <c r="L77" s="398" t="s">
        <v>144</v>
      </c>
      <c r="M77" s="398" t="s">
        <v>144</v>
      </c>
      <c r="N77" s="398" t="s">
        <v>144</v>
      </c>
      <c r="O77" s="398" t="s">
        <v>144</v>
      </c>
      <c r="P77" s="398" t="s">
        <v>144</v>
      </c>
      <c r="Q77" s="20"/>
    </row>
    <row r="78">
      <c r="A78" s="122"/>
      <c r="B78" s="123"/>
      <c r="C78" s="168"/>
      <c r="D78" s="168"/>
      <c r="E78" s="216" t="s">
        <v>364</v>
      </c>
      <c r="F78" s="217" t="s">
        <v>79</v>
      </c>
      <c r="G78" s="217" t="s">
        <v>143</v>
      </c>
      <c r="H78" s="404" t="s">
        <v>144</v>
      </c>
      <c r="I78" s="239" t="s">
        <v>144</v>
      </c>
      <c r="J78" s="239">
        <f t="shared" si="10"/>
        <v>-1</v>
      </c>
      <c r="K78" s="398" t="s">
        <v>144</v>
      </c>
      <c r="L78" s="398" t="s">
        <v>144</v>
      </c>
      <c r="M78" s="398" t="s">
        <v>144</v>
      </c>
      <c r="N78" s="398" t="s">
        <v>144</v>
      </c>
      <c r="O78" s="398" t="s">
        <v>144</v>
      </c>
      <c r="P78" s="398" t="s">
        <v>144</v>
      </c>
      <c r="Q78" s="20"/>
    </row>
    <row r="79">
      <c r="A79" s="122"/>
      <c r="B79" s="123"/>
      <c r="C79" s="168"/>
      <c r="D79" s="168"/>
      <c r="E79" s="181" t="s">
        <v>365</v>
      </c>
      <c r="F79" s="221" t="s">
        <v>79</v>
      </c>
      <c r="G79" s="221" t="s">
        <v>143</v>
      </c>
      <c r="H79" s="405" t="s">
        <v>144</v>
      </c>
      <c r="I79" s="240" t="s">
        <v>144</v>
      </c>
      <c r="J79" s="240">
        <f t="shared" si="10"/>
        <v>-1</v>
      </c>
      <c r="K79" s="399" t="s">
        <v>144</v>
      </c>
      <c r="L79" s="399" t="s">
        <v>144</v>
      </c>
      <c r="M79" s="399" t="s">
        <v>144</v>
      </c>
      <c r="N79" s="399" t="s">
        <v>144</v>
      </c>
      <c r="O79" s="399" t="s">
        <v>144</v>
      </c>
      <c r="P79" s="399" t="s">
        <v>144</v>
      </c>
      <c r="Q79" s="47"/>
    </row>
    <row r="80">
      <c r="A80" s="122"/>
      <c r="B80" s="123"/>
      <c r="C80" s="168"/>
      <c r="D80" s="168"/>
      <c r="E80" s="139"/>
      <c r="F80" s="140"/>
      <c r="G80" s="140"/>
      <c r="H80" s="330"/>
      <c r="Q80" s="11"/>
    </row>
    <row r="81">
      <c r="A81" s="122"/>
      <c r="B81" s="123"/>
      <c r="C81" s="168" t="s">
        <v>366</v>
      </c>
      <c r="F81" s="140"/>
      <c r="G81" s="140"/>
      <c r="H81" s="330"/>
      <c r="Q81" s="11"/>
    </row>
    <row r="82">
      <c r="A82" s="122"/>
      <c r="B82" s="123"/>
      <c r="C82" s="168"/>
      <c r="D82" s="168"/>
      <c r="E82" s="198" t="s">
        <v>367</v>
      </c>
      <c r="F82" s="188" t="s">
        <v>69</v>
      </c>
      <c r="G82" s="188" t="s">
        <v>143</v>
      </c>
      <c r="H82" s="381" t="s">
        <v>144</v>
      </c>
      <c r="I82" s="406">
        <f t="shared" ref="I82:P82" si="11">IF(I74&lt;&gt;"-",$H66*(1+I74),$H66)</f>
        <v>0.9152954086</v>
      </c>
      <c r="J82" s="406">
        <f t="shared" si="11"/>
        <v>0.808649581</v>
      </c>
      <c r="K82" s="406">
        <f t="shared" si="11"/>
        <v>0.9152954086</v>
      </c>
      <c r="L82" s="406">
        <f t="shared" si="11"/>
        <v>0.9152954086</v>
      </c>
      <c r="M82" s="406">
        <f t="shared" si="11"/>
        <v>0.9152954086</v>
      </c>
      <c r="N82" s="406">
        <f t="shared" si="11"/>
        <v>0.9152954086</v>
      </c>
      <c r="O82" s="406">
        <f t="shared" si="11"/>
        <v>0.9152954086</v>
      </c>
      <c r="P82" s="406">
        <f t="shared" si="11"/>
        <v>0.9152954086</v>
      </c>
      <c r="Q82" s="16"/>
    </row>
    <row r="83">
      <c r="A83" s="122"/>
      <c r="B83" s="123"/>
      <c r="C83" s="168"/>
      <c r="D83" s="168"/>
      <c r="E83" s="216" t="s">
        <v>368</v>
      </c>
      <c r="F83" s="217" t="s">
        <v>69</v>
      </c>
      <c r="G83" s="217" t="s">
        <v>143</v>
      </c>
      <c r="H83" s="383" t="s">
        <v>144</v>
      </c>
      <c r="I83" s="407">
        <f t="shared" ref="I83:P83" si="12">IF(I75&lt;&gt;"-",$H67*(1+I75),$H67)</f>
        <v>0.7156622757</v>
      </c>
      <c r="J83" s="407">
        <f t="shared" si="12"/>
        <v>0.6004596144</v>
      </c>
      <c r="K83" s="407">
        <f t="shared" si="12"/>
        <v>0.7156622757</v>
      </c>
      <c r="L83" s="407">
        <f t="shared" si="12"/>
        <v>0.7156622757</v>
      </c>
      <c r="M83" s="407">
        <f t="shared" si="12"/>
        <v>0.7156622757</v>
      </c>
      <c r="N83" s="407">
        <f t="shared" si="12"/>
        <v>0.7156622757</v>
      </c>
      <c r="O83" s="407">
        <f t="shared" si="12"/>
        <v>0.7156622757</v>
      </c>
      <c r="P83" s="407">
        <f t="shared" si="12"/>
        <v>0.7156622757</v>
      </c>
      <c r="Q83" s="20"/>
    </row>
    <row r="84">
      <c r="A84" s="122"/>
      <c r="B84" s="123"/>
      <c r="C84" s="168"/>
      <c r="D84" s="168"/>
      <c r="E84" s="216" t="s">
        <v>369</v>
      </c>
      <c r="F84" s="217" t="s">
        <v>69</v>
      </c>
      <c r="G84" s="217" t="s">
        <v>143</v>
      </c>
      <c r="H84" s="383" t="s">
        <v>144</v>
      </c>
      <c r="I84" s="407">
        <f t="shared" ref="I84:P84" si="13">IF(I76&lt;&gt;"-",$H68*(1+I76),$H68)</f>
        <v>0.4810232518</v>
      </c>
      <c r="J84" s="407">
        <f t="shared" si="13"/>
        <v>0.3248545315</v>
      </c>
      <c r="K84" s="407">
        <f t="shared" si="13"/>
        <v>0.4810232518</v>
      </c>
      <c r="L84" s="407">
        <f t="shared" si="13"/>
        <v>0.4810232518</v>
      </c>
      <c r="M84" s="407">
        <f t="shared" si="13"/>
        <v>0.4810232518</v>
      </c>
      <c r="N84" s="407">
        <f t="shared" si="13"/>
        <v>0.4810232518</v>
      </c>
      <c r="O84" s="407">
        <f t="shared" si="13"/>
        <v>0.4810232518</v>
      </c>
      <c r="P84" s="407">
        <f t="shared" si="13"/>
        <v>0.4810232518</v>
      </c>
      <c r="Q84" s="20"/>
    </row>
    <row r="85">
      <c r="A85" s="122"/>
      <c r="B85" s="123"/>
      <c r="C85" s="168"/>
      <c r="D85" s="168"/>
      <c r="E85" s="216" t="s">
        <v>370</v>
      </c>
      <c r="F85" s="217" t="s">
        <v>69</v>
      </c>
      <c r="G85" s="217" t="s">
        <v>143</v>
      </c>
      <c r="H85" s="383" t="s">
        <v>144</v>
      </c>
      <c r="I85" s="407">
        <f t="shared" ref="I85:P85" si="14">IF(I77&lt;&gt;"-",$H69*(1+I77),$H69)</f>
        <v>0.2032872753</v>
      </c>
      <c r="J85" s="407">
        <f t="shared" si="14"/>
        <v>0.07017694182</v>
      </c>
      <c r="K85" s="407">
        <f t="shared" si="14"/>
        <v>0.2032872753</v>
      </c>
      <c r="L85" s="407">
        <f t="shared" si="14"/>
        <v>0.2032872753</v>
      </c>
      <c r="M85" s="407">
        <f t="shared" si="14"/>
        <v>0.2032872753</v>
      </c>
      <c r="N85" s="407">
        <f t="shared" si="14"/>
        <v>0.2032872753</v>
      </c>
      <c r="O85" s="407">
        <f t="shared" si="14"/>
        <v>0.2032872753</v>
      </c>
      <c r="P85" s="407">
        <f t="shared" si="14"/>
        <v>0.2032872753</v>
      </c>
      <c r="Q85" s="20"/>
    </row>
    <row r="86">
      <c r="A86" s="122"/>
      <c r="B86" s="123"/>
      <c r="C86" s="168"/>
      <c r="D86" s="168"/>
      <c r="E86" s="216" t="s">
        <v>371</v>
      </c>
      <c r="F86" s="217" t="s">
        <v>69</v>
      </c>
      <c r="G86" s="217" t="s">
        <v>143</v>
      </c>
      <c r="H86" s="383" t="s">
        <v>144</v>
      </c>
      <c r="I86" s="407">
        <f t="shared" ref="I86:P86" si="15">IF(I78&lt;&gt;"-",$H70*(1+I78),$H70)</f>
        <v>0.06133062378</v>
      </c>
      <c r="J86" s="407">
        <f t="shared" si="15"/>
        <v>0</v>
      </c>
      <c r="K86" s="407">
        <f t="shared" si="15"/>
        <v>0.06133062378</v>
      </c>
      <c r="L86" s="407">
        <f t="shared" si="15"/>
        <v>0.06133062378</v>
      </c>
      <c r="M86" s="407">
        <f t="shared" si="15"/>
        <v>0.06133062378</v>
      </c>
      <c r="N86" s="407">
        <f t="shared" si="15"/>
        <v>0.06133062378</v>
      </c>
      <c r="O86" s="407">
        <f t="shared" si="15"/>
        <v>0.06133062378</v>
      </c>
      <c r="P86" s="407">
        <f t="shared" si="15"/>
        <v>0.06133062378</v>
      </c>
      <c r="Q86" s="20"/>
    </row>
    <row r="87">
      <c r="A87" s="122"/>
      <c r="B87" s="123"/>
      <c r="C87" s="168"/>
      <c r="D87" s="168"/>
      <c r="E87" s="181" t="s">
        <v>372</v>
      </c>
      <c r="F87" s="221" t="s">
        <v>69</v>
      </c>
      <c r="G87" s="221" t="s">
        <v>143</v>
      </c>
      <c r="H87" s="385" t="s">
        <v>144</v>
      </c>
      <c r="I87" s="408">
        <f t="shared" ref="I87:P87" si="16">IF(I79&lt;&gt;"-",$H71*(1+I79),$H71)</f>
        <v>0.0102216156</v>
      </c>
      <c r="J87" s="408">
        <f t="shared" si="16"/>
        <v>0</v>
      </c>
      <c r="K87" s="408">
        <f t="shared" si="16"/>
        <v>0.0102216156</v>
      </c>
      <c r="L87" s="408">
        <f t="shared" si="16"/>
        <v>0.0102216156</v>
      </c>
      <c r="M87" s="408">
        <f t="shared" si="16"/>
        <v>0.0102216156</v>
      </c>
      <c r="N87" s="408">
        <f t="shared" si="16"/>
        <v>0.0102216156</v>
      </c>
      <c r="O87" s="408">
        <f t="shared" si="16"/>
        <v>0.0102216156</v>
      </c>
      <c r="P87" s="408">
        <f t="shared" si="16"/>
        <v>0.0102216156</v>
      </c>
      <c r="Q87" s="47"/>
    </row>
    <row r="88">
      <c r="A88" s="122"/>
      <c r="B88" s="123"/>
      <c r="C88" s="168"/>
      <c r="D88" s="168"/>
      <c r="E88" s="139"/>
      <c r="F88" s="140"/>
      <c r="G88" s="140"/>
      <c r="H88" s="330"/>
      <c r="I88" s="132"/>
      <c r="J88" s="132"/>
      <c r="K88" s="132"/>
      <c r="L88" s="132"/>
      <c r="M88" s="132"/>
      <c r="N88" s="132"/>
      <c r="O88" s="132"/>
      <c r="P88" s="132"/>
      <c r="Q88" s="11"/>
    </row>
    <row r="89">
      <c r="A89" s="118" t="s">
        <v>373</v>
      </c>
      <c r="B89" s="6"/>
      <c r="C89" s="6"/>
      <c r="D89" s="6"/>
      <c r="E89" s="6"/>
      <c r="F89" s="6"/>
      <c r="G89" s="6"/>
      <c r="H89" s="119"/>
      <c r="I89" s="295"/>
      <c r="J89" s="295"/>
      <c r="K89" s="295"/>
      <c r="L89" s="295"/>
      <c r="M89" s="295"/>
      <c r="N89" s="295"/>
      <c r="O89" s="295"/>
      <c r="P89" s="295"/>
      <c r="Q89" s="395"/>
    </row>
    <row r="90">
      <c r="A90" s="122"/>
      <c r="B90" s="123"/>
      <c r="C90" s="168"/>
      <c r="D90" s="168"/>
      <c r="E90" s="139"/>
      <c r="F90" s="140"/>
      <c r="G90" s="140"/>
      <c r="H90" s="330"/>
      <c r="I90" s="132"/>
      <c r="J90" s="132"/>
      <c r="K90" s="132"/>
      <c r="L90" s="132"/>
      <c r="M90" s="132"/>
      <c r="N90" s="132"/>
      <c r="O90" s="132"/>
      <c r="P90" s="132"/>
      <c r="Q90" s="11"/>
    </row>
    <row r="91">
      <c r="A91" s="122"/>
      <c r="B91" s="123"/>
      <c r="C91" s="168" t="s">
        <v>374</v>
      </c>
      <c r="F91" s="140"/>
      <c r="G91" s="140"/>
      <c r="H91" s="330"/>
      <c r="I91" s="132"/>
      <c r="J91" s="132"/>
      <c r="K91" s="132"/>
      <c r="L91" s="132"/>
      <c r="M91" s="132"/>
      <c r="N91" s="132"/>
      <c r="O91" s="132"/>
      <c r="P91" s="132"/>
      <c r="Q91" s="11"/>
    </row>
    <row r="92">
      <c r="A92" s="122"/>
      <c r="B92" s="123"/>
      <c r="C92" s="168"/>
      <c r="D92" s="168"/>
      <c r="E92" s="198" t="s">
        <v>375</v>
      </c>
      <c r="F92" s="188" t="str">
        <f>Inputs!F73</f>
        <v>#</v>
      </c>
      <c r="G92" s="188" t="str">
        <f>Inputs!G73</f>
        <v>input</v>
      </c>
      <c r="H92" s="306">
        <f>Inputs!H73</f>
        <v>36</v>
      </c>
      <c r="I92" s="377" t="str">
        <f>Inputs!I73</f>
        <v>-</v>
      </c>
      <c r="J92" s="377" t="str">
        <f>Inputs!J73</f>
        <v>-</v>
      </c>
      <c r="K92" s="377" t="str">
        <f>Inputs!K73</f>
        <v>-</v>
      </c>
      <c r="L92" s="377" t="str">
        <f>Inputs!L73</f>
        <v>-</v>
      </c>
      <c r="M92" s="377" t="str">
        <f>Inputs!M73</f>
        <v>-</v>
      </c>
      <c r="N92" s="377" t="str">
        <f>Inputs!N73</f>
        <v>-</v>
      </c>
      <c r="O92" s="377" t="str">
        <f>Inputs!O73</f>
        <v>-</v>
      </c>
      <c r="P92" s="377" t="str">
        <f>Inputs!P73</f>
        <v>-</v>
      </c>
      <c r="Q92" s="16"/>
    </row>
    <row r="93">
      <c r="A93" s="122"/>
      <c r="B93" s="123"/>
      <c r="C93" s="168"/>
      <c r="D93" s="168"/>
      <c r="E93" s="216" t="s">
        <v>376</v>
      </c>
      <c r="F93" s="217" t="str">
        <f>Inputs!F74</f>
        <v>#</v>
      </c>
      <c r="G93" s="217" t="str">
        <f>Inputs!G74</f>
        <v>input</v>
      </c>
      <c r="H93" s="409" t="str">
        <f>Inputs!H74</f>
        <v>-</v>
      </c>
      <c r="I93" s="305" t="str">
        <f>Inputs!I74</f>
        <v>-</v>
      </c>
      <c r="J93" s="305">
        <f>Inputs!J74</f>
        <v>42</v>
      </c>
      <c r="K93" s="305" t="str">
        <f>Inputs!K74</f>
        <v>-</v>
      </c>
      <c r="L93" s="305" t="str">
        <f>Inputs!L74</f>
        <v>-</v>
      </c>
      <c r="M93" s="305">
        <f>Inputs!M74</f>
        <v>45</v>
      </c>
      <c r="N93" s="305">
        <f>Inputs!N74</f>
        <v>45</v>
      </c>
      <c r="O93" s="305" t="str">
        <f>Inputs!O74</f>
        <v>-</v>
      </c>
      <c r="P93" s="305" t="str">
        <f>Inputs!P74</f>
        <v>-</v>
      </c>
      <c r="Q93" s="20"/>
    </row>
    <row r="94">
      <c r="A94" s="122"/>
      <c r="B94" s="123"/>
      <c r="C94" s="168"/>
      <c r="D94" s="168"/>
      <c r="E94" s="216" t="s">
        <v>377</v>
      </c>
      <c r="F94" s="217" t="str">
        <f>Inputs!F75</f>
        <v>#</v>
      </c>
      <c r="G94" s="217" t="str">
        <f>Inputs!G75</f>
        <v>input</v>
      </c>
      <c r="H94" s="409" t="str">
        <f>Inputs!H75</f>
        <v>-</v>
      </c>
      <c r="I94" s="305" t="str">
        <f>Inputs!I75</f>
        <v>-</v>
      </c>
      <c r="J94" s="305">
        <f>Inputs!J75</f>
        <v>33</v>
      </c>
      <c r="K94" s="305" t="str">
        <f>Inputs!K75</f>
        <v>-</v>
      </c>
      <c r="L94" s="305" t="str">
        <f>Inputs!L75</f>
        <v>-</v>
      </c>
      <c r="M94" s="305">
        <f>Inputs!M75</f>
        <v>36</v>
      </c>
      <c r="N94" s="305">
        <f>Inputs!N75</f>
        <v>35</v>
      </c>
      <c r="O94" s="305" t="str">
        <f>Inputs!O75</f>
        <v>-</v>
      </c>
      <c r="P94" s="305" t="str">
        <f>Inputs!P75</f>
        <v>-</v>
      </c>
      <c r="Q94" s="20"/>
    </row>
    <row r="95">
      <c r="A95" s="122"/>
      <c r="B95" s="123"/>
      <c r="C95" s="168"/>
      <c r="D95" s="168"/>
      <c r="E95" s="181" t="s">
        <v>378</v>
      </c>
      <c r="F95" s="221" t="s">
        <v>69</v>
      </c>
      <c r="G95" s="221" t="s">
        <v>143</v>
      </c>
      <c r="H95" s="184" t="s">
        <v>144</v>
      </c>
      <c r="I95" s="262" t="str">
        <f t="shared" ref="I95:P95" si="17">IF(I93&lt;&gt;"-",I93-I94,"-")</f>
        <v>-</v>
      </c>
      <c r="J95" s="262">
        <f t="shared" si="17"/>
        <v>9</v>
      </c>
      <c r="K95" s="410" t="str">
        <f t="shared" si="17"/>
        <v>-</v>
      </c>
      <c r="L95" s="410" t="str">
        <f t="shared" si="17"/>
        <v>-</v>
      </c>
      <c r="M95" s="262">
        <f t="shared" si="17"/>
        <v>9</v>
      </c>
      <c r="N95" s="262">
        <f t="shared" si="17"/>
        <v>10</v>
      </c>
      <c r="O95" s="410" t="str">
        <f t="shared" si="17"/>
        <v>-</v>
      </c>
      <c r="P95" s="410" t="str">
        <f t="shared" si="17"/>
        <v>-</v>
      </c>
      <c r="Q95" s="47"/>
    </row>
    <row r="96">
      <c r="A96" s="122"/>
      <c r="B96" s="123"/>
      <c r="C96" s="168"/>
      <c r="D96" s="168"/>
      <c r="E96" s="139"/>
      <c r="F96" s="140"/>
      <c r="G96" s="140"/>
      <c r="H96" s="330"/>
      <c r="I96" s="132"/>
      <c r="J96" s="132"/>
      <c r="K96" s="132"/>
      <c r="L96" s="132"/>
      <c r="M96" s="132"/>
      <c r="N96" s="132"/>
      <c r="O96" s="132"/>
      <c r="P96" s="132"/>
      <c r="Q96" s="11"/>
    </row>
    <row r="97">
      <c r="A97" s="122"/>
      <c r="B97" s="123"/>
      <c r="C97" s="168" t="s">
        <v>379</v>
      </c>
      <c r="F97" s="140"/>
      <c r="G97" s="140"/>
      <c r="H97" s="330"/>
      <c r="I97" s="132"/>
      <c r="J97" s="132"/>
      <c r="K97" s="132"/>
      <c r="L97" s="132"/>
      <c r="M97" s="132"/>
      <c r="N97" s="132"/>
      <c r="O97" s="132"/>
      <c r="P97" s="132"/>
      <c r="Q97" s="11"/>
    </row>
    <row r="98">
      <c r="A98" s="122"/>
      <c r="B98" s="123"/>
      <c r="C98" s="168"/>
      <c r="D98" s="168"/>
      <c r="E98" s="198" t="s">
        <v>153</v>
      </c>
      <c r="F98" s="188" t="str">
        <f>IF(F93&lt;&gt;"-",Inputs!F16,"-")</f>
        <v>$</v>
      </c>
      <c r="G98" s="188" t="str">
        <f>IF(G93&lt;&gt;"-",Inputs!G16,"-")</f>
        <v>input</v>
      </c>
      <c r="H98" s="172" t="str">
        <f>IF(H93&lt;&gt;"-",Inputs!H16,"-")</f>
        <v>-</v>
      </c>
      <c r="I98" s="200" t="str">
        <f>IF(I93&lt;&gt;"-",Inputs!I16,"-")</f>
        <v>-</v>
      </c>
      <c r="J98" s="200">
        <f>IF(J93&lt;&gt;"-",Inputs!J16,"-")</f>
        <v>5.85033</v>
      </c>
      <c r="K98" s="244" t="str">
        <f>IF(K93&lt;&gt;"-",Inputs!K16,"-")</f>
        <v>-</v>
      </c>
      <c r="L98" s="244" t="str">
        <f>IF(L93&lt;&gt;"-",Inputs!L16,"-")</f>
        <v>-</v>
      </c>
      <c r="M98" s="200">
        <f>IF(M93&lt;&gt;"-",Inputs!M16,"-")</f>
        <v>4.34117</v>
      </c>
      <c r="N98" s="200">
        <f>IF(N93&lt;&gt;"-",Inputs!N16,"-")</f>
        <v>5.32824</v>
      </c>
      <c r="O98" s="244" t="str">
        <f>IF(O93&lt;&gt;"-",Inputs!O16,"-")</f>
        <v>-</v>
      </c>
      <c r="P98" s="244" t="str">
        <f>IF(P93&lt;&gt;"-",Inputs!P16,"-")</f>
        <v>-</v>
      </c>
      <c r="Q98" s="16"/>
    </row>
    <row r="99">
      <c r="A99" s="122"/>
      <c r="B99" s="123"/>
      <c r="C99" s="168"/>
      <c r="D99" s="168"/>
      <c r="E99" s="216" t="s">
        <v>380</v>
      </c>
      <c r="F99" s="217" t="s">
        <v>75</v>
      </c>
      <c r="G99" s="217" t="s">
        <v>143</v>
      </c>
      <c r="H99" s="178" t="s">
        <v>144</v>
      </c>
      <c r="I99" s="411" t="str">
        <f t="shared" ref="I99:P99" si="18">IF(I93&lt;&gt;"-",I98/($H92/12),"-")</f>
        <v>-</v>
      </c>
      <c r="J99" s="411">
        <f t="shared" si="18"/>
        <v>1.95011</v>
      </c>
      <c r="K99" s="285" t="str">
        <f t="shared" si="18"/>
        <v>-</v>
      </c>
      <c r="L99" s="285" t="str">
        <f t="shared" si="18"/>
        <v>-</v>
      </c>
      <c r="M99" s="411">
        <f t="shared" si="18"/>
        <v>1.447056667</v>
      </c>
      <c r="N99" s="411">
        <f t="shared" si="18"/>
        <v>1.77608</v>
      </c>
      <c r="O99" s="285" t="str">
        <f t="shared" si="18"/>
        <v>-</v>
      </c>
      <c r="P99" s="285" t="str">
        <f t="shared" si="18"/>
        <v>-</v>
      </c>
      <c r="Q99" s="20"/>
    </row>
    <row r="100">
      <c r="A100" s="122"/>
      <c r="B100" s="123"/>
      <c r="C100" s="168"/>
      <c r="D100" s="168"/>
      <c r="E100" s="216" t="s">
        <v>381</v>
      </c>
      <c r="F100" s="217" t="s">
        <v>75</v>
      </c>
      <c r="G100" s="217" t="s">
        <v>143</v>
      </c>
      <c r="H100" s="178" t="s">
        <v>144</v>
      </c>
      <c r="I100" s="411" t="str">
        <f t="shared" ref="I100:P100" si="19">IF(I93&lt;&gt;"-",I98/(I93/12),"-")</f>
        <v>-</v>
      </c>
      <c r="J100" s="411">
        <f t="shared" si="19"/>
        <v>1.671522857</v>
      </c>
      <c r="K100" s="285" t="str">
        <f t="shared" si="19"/>
        <v>-</v>
      </c>
      <c r="L100" s="285" t="str">
        <f t="shared" si="19"/>
        <v>-</v>
      </c>
      <c r="M100" s="412">
        <f t="shared" si="19"/>
        <v>1.157645333</v>
      </c>
      <c r="N100" s="412">
        <f t="shared" si="19"/>
        <v>1.420864</v>
      </c>
      <c r="O100" s="285" t="str">
        <f t="shared" si="19"/>
        <v>-</v>
      </c>
      <c r="P100" s="285" t="str">
        <f t="shared" si="19"/>
        <v>-</v>
      </c>
      <c r="Q100" s="20"/>
    </row>
    <row r="101">
      <c r="A101" s="122"/>
      <c r="B101" s="123"/>
      <c r="C101" s="168"/>
      <c r="D101" s="168"/>
      <c r="E101" s="216" t="s">
        <v>382</v>
      </c>
      <c r="F101" s="217" t="s">
        <v>75</v>
      </c>
      <c r="G101" s="217" t="s">
        <v>143</v>
      </c>
      <c r="H101" s="178" t="s">
        <v>144</v>
      </c>
      <c r="I101" s="411" t="str">
        <f t="shared" ref="I101:P101" si="20">IF(I93&lt;&gt;"-",I98/(I94/12),"-")</f>
        <v>-</v>
      </c>
      <c r="J101" s="411">
        <f t="shared" si="20"/>
        <v>2.127392727</v>
      </c>
      <c r="K101" s="285" t="str">
        <f t="shared" si="20"/>
        <v>-</v>
      </c>
      <c r="L101" s="285" t="str">
        <f t="shared" si="20"/>
        <v>-</v>
      </c>
      <c r="M101" s="412">
        <f t="shared" si="20"/>
        <v>1.447056667</v>
      </c>
      <c r="N101" s="412">
        <f t="shared" si="20"/>
        <v>1.826825143</v>
      </c>
      <c r="O101" s="285" t="str">
        <f t="shared" si="20"/>
        <v>-</v>
      </c>
      <c r="P101" s="285" t="str">
        <f t="shared" si="20"/>
        <v>-</v>
      </c>
      <c r="Q101" s="20"/>
    </row>
    <row r="102">
      <c r="A102" s="122"/>
      <c r="B102" s="123"/>
      <c r="C102" s="168"/>
      <c r="D102" s="168"/>
      <c r="E102" s="181" t="s">
        <v>383</v>
      </c>
      <c r="F102" s="221" t="s">
        <v>75</v>
      </c>
      <c r="G102" s="221" t="s">
        <v>143</v>
      </c>
      <c r="H102" s="184" t="s">
        <v>144</v>
      </c>
      <c r="I102" s="413" t="str">
        <f t="shared" ref="I102:P102" si="21">IF(I93&lt;&gt;"-",I101-I100,"-")</f>
        <v>-</v>
      </c>
      <c r="J102" s="413">
        <f t="shared" si="21"/>
        <v>0.4558698701</v>
      </c>
      <c r="K102" s="311" t="str">
        <f t="shared" si="21"/>
        <v>-</v>
      </c>
      <c r="L102" s="311" t="str">
        <f t="shared" si="21"/>
        <v>-</v>
      </c>
      <c r="M102" s="413">
        <f t="shared" si="21"/>
        <v>0.2894113333</v>
      </c>
      <c r="N102" s="413">
        <f t="shared" si="21"/>
        <v>0.4059611429</v>
      </c>
      <c r="O102" s="311" t="str">
        <f t="shared" si="21"/>
        <v>-</v>
      </c>
      <c r="P102" s="311" t="str">
        <f t="shared" si="21"/>
        <v>-</v>
      </c>
      <c r="Q102" s="47"/>
    </row>
    <row r="103">
      <c r="A103" s="122"/>
      <c r="B103" s="123"/>
      <c r="C103" s="168"/>
      <c r="D103" s="168"/>
      <c r="E103" s="139"/>
      <c r="F103" s="140"/>
      <c r="G103" s="140"/>
      <c r="H103" s="330"/>
      <c r="I103" s="132"/>
      <c r="J103" s="132"/>
      <c r="K103" s="414"/>
      <c r="L103" s="414"/>
      <c r="M103" s="132"/>
      <c r="N103" s="132"/>
      <c r="O103" s="414"/>
      <c r="P103" s="414"/>
      <c r="Q103" s="11"/>
    </row>
    <row r="104">
      <c r="A104" s="122"/>
      <c r="B104" s="123"/>
      <c r="C104" s="168" t="s">
        <v>384</v>
      </c>
      <c r="F104" s="140"/>
      <c r="G104" s="140"/>
      <c r="H104" s="330"/>
      <c r="I104" s="132"/>
      <c r="J104" s="132"/>
      <c r="K104" s="414"/>
      <c r="L104" s="414"/>
      <c r="M104" s="132"/>
      <c r="N104" s="132"/>
      <c r="O104" s="414"/>
      <c r="P104" s="414"/>
      <c r="Q104" s="11"/>
    </row>
    <row r="105">
      <c r="A105" s="122"/>
      <c r="B105" s="123"/>
      <c r="C105" s="168"/>
      <c r="D105" s="168"/>
      <c r="E105" s="198" t="s">
        <v>385</v>
      </c>
      <c r="F105" s="188" t="s">
        <v>69</v>
      </c>
      <c r="G105" s="188" t="s">
        <v>166</v>
      </c>
      <c r="H105" s="172" t="s">
        <v>144</v>
      </c>
      <c r="I105" s="415" t="str">
        <f t="array" ref="I105">IF(I93&lt;&gt;"-",INDEX('Net decay model'!$I$17:$I$71,MATCH($H92,'Net decay model'!$G$17:$G$71)),"-")</f>
        <v>-</v>
      </c>
      <c r="J105" s="415">
        <f t="array" ref="J105">IF(J93&lt;&gt;"-",INDEX('Net decay model'!$D$17:$D$71,MATCH($H92,'Net decay model'!$B$17:$B$71)),"-")</f>
        <v>0.5837393909</v>
      </c>
      <c r="K105" s="416" t="str">
        <f t="array" ref="K105">IF(K93&lt;&gt;"-",INDEX('Net decay model'!$I$17:$I$71,MATCH($H92,'Net decay model'!$G$17:$G$71)),"-")</f>
        <v>-</v>
      </c>
      <c r="L105" s="416" t="str">
        <f t="array" ref="L105">IF(L93&lt;&gt;"-",INDEX('Net decay model'!$I$17:$I$71,MATCH($H92,'Net decay model'!$G$17:$G$71)),"-")</f>
        <v>-</v>
      </c>
      <c r="M105" s="417">
        <f t="array" ref="M105">IF(M93&lt;&gt;"-",INDEX('Net decay model'!$I$17:$I$71,MATCH($H92,'Net decay model'!$G$17:$G$71)),"-")</f>
        <v>0.6987123966</v>
      </c>
      <c r="N105" s="417">
        <f t="array" ref="N105">IF(N93&lt;&gt;"-",INDEX('Net decay model'!$I$17:$I$71,MATCH($H92,'Net decay model'!$G$17:$G$71)),"-")</f>
        <v>0.6987123966</v>
      </c>
      <c r="O105" s="416" t="str">
        <f t="array" ref="O105">IF(O93&lt;&gt;"-",INDEX('Net decay model'!$I$17:$I$71,MATCH($H92,'Net decay model'!$G$17:$G$71)),"-")</f>
        <v>-</v>
      </c>
      <c r="P105" s="416" t="str">
        <f t="array" ref="P105">IF(P93&lt;&gt;"-",INDEX('Net decay model'!$I$17:$I$71,MATCH($H92,'Net decay model'!$G$17:$G$71)),"-")</f>
        <v>-</v>
      </c>
      <c r="Q105" s="16"/>
    </row>
    <row r="106">
      <c r="A106" s="122"/>
      <c r="B106" s="123"/>
      <c r="C106" s="168"/>
      <c r="D106" s="168"/>
      <c r="E106" s="216" t="s">
        <v>386</v>
      </c>
      <c r="F106" s="217" t="s">
        <v>69</v>
      </c>
      <c r="G106" s="217" t="s">
        <v>166</v>
      </c>
      <c r="H106" s="178" t="s">
        <v>144</v>
      </c>
      <c r="I106" s="418" t="str">
        <f t="array" ref="I106">IF(I93&lt;&gt;"-",INDEX('Net decay model'!$I$17:$I$71,MATCH(I93,'Net decay model'!$G$17:$G$71)),"-")</f>
        <v>-</v>
      </c>
      <c r="J106" s="418">
        <f t="array" ref="J106">IF(J93&lt;&gt;"-",INDEX('Net decay model'!$D$17:$D$71,MATCH(J93,'Net decay model'!$B$17:$B$71)),"-")</f>
        <v>0.5194829326</v>
      </c>
      <c r="K106" s="285" t="str">
        <f t="array" ref="K106">IF(K93&lt;&gt;"-",INDEX('Net decay model'!$I$17:$I$71,MATCH(K93,'Net decay model'!$G$17:$G$71)),"-")</f>
        <v>-</v>
      </c>
      <c r="L106" s="285" t="str">
        <f t="array" ref="L106">IF(L93&lt;&gt;"-",INDEX('Net decay model'!$I$17:$I$71,MATCH(L93,'Net decay model'!$G$17:$G$71)),"-")</f>
        <v>-</v>
      </c>
      <c r="M106" s="282">
        <f t="array" ref="M106">IF(M93&lt;&gt;"-",INDEX('Net decay model'!$I$17:$I$71,MATCH(M93,'Net decay model'!$G$17:$G$71)),"-")</f>
        <v>0.6077855608</v>
      </c>
      <c r="N106" s="282">
        <f t="array" ref="N106">IF(N93&lt;&gt;"-",INDEX('Net decay model'!$I$17:$I$71,MATCH(N93,'Net decay model'!$G$17:$G$71)),"-")</f>
        <v>0.6077855608</v>
      </c>
      <c r="O106" s="285" t="str">
        <f t="array" ref="O106">IF(O93&lt;&gt;"-",INDEX('Net decay model'!$I$17:$I$71,MATCH(O93,'Net decay model'!$G$17:$G$71)),"-")</f>
        <v>-</v>
      </c>
      <c r="P106" s="285" t="str">
        <f t="array" ref="P106">IF(P93&lt;&gt;"-",INDEX('Net decay model'!$I$17:$I$71,MATCH(P93,'Net decay model'!$G$17:$G$71)),"-")</f>
        <v>-</v>
      </c>
      <c r="Q106" s="20"/>
    </row>
    <row r="107">
      <c r="A107" s="122"/>
      <c r="B107" s="123"/>
      <c r="C107" s="168"/>
      <c r="D107" s="168"/>
      <c r="E107" s="216" t="s">
        <v>387</v>
      </c>
      <c r="F107" s="217" t="s">
        <v>69</v>
      </c>
      <c r="G107" s="217" t="s">
        <v>166</v>
      </c>
      <c r="H107" s="178" t="s">
        <v>144</v>
      </c>
      <c r="I107" s="418" t="str">
        <f t="array" ref="I107">IF(I94&lt;&gt;"-",INDEX('Net decay model'!$I$17:$I$71,MATCH(I94,'Net decay model'!$G$17:$G$71)),"-")</f>
        <v>-</v>
      </c>
      <c r="J107" s="418">
        <f t="array" ref="J107">IF(J94&lt;&gt;"-",INDEX('Net decay model'!$D$17:$D$71,MATCH(J94,'Net decay model'!$B$17:$B$71)),"-")</f>
        <v>0.6159453193</v>
      </c>
      <c r="K107" s="285" t="str">
        <f t="array" ref="K107">IF(K94&lt;&gt;"-",INDEX('Net decay model'!$I$17:$I$71,MATCH(K94,'Net decay model'!$G$17:$G$71)),"-")</f>
        <v>-</v>
      </c>
      <c r="L107" s="285" t="str">
        <f t="array" ref="L107">IF(L94&lt;&gt;"-",INDEX('Net decay model'!$I$17:$I$71,MATCH(L94,'Net decay model'!$G$17:$G$71)),"-")</f>
        <v>-</v>
      </c>
      <c r="M107" s="418">
        <f t="array" ref="M107">INDEX('Net decay model'!$I$17:$I$71,MATCH(M94,'Net decay model'!$G$17:$G$71))</f>
        <v>0.6987123966</v>
      </c>
      <c r="N107" s="418">
        <f t="array" ref="N107">INDEX('Net decay model'!$I$17:$I$71,MATCH(N94,'Net decay model'!$G$17:$G$71))</f>
        <v>0.7086167614</v>
      </c>
      <c r="O107" s="285" t="str">
        <f t="array" ref="O107">IF(O94&lt;&gt;"-",INDEX('Net decay model'!$I$17:$I$71,MATCH(O94,'Net decay model'!$G$17:$G$71)),"-")</f>
        <v>-</v>
      </c>
      <c r="P107" s="285" t="str">
        <f t="array" ref="P107">IF(P94&lt;&gt;"-",INDEX('Net decay model'!$I$17:$I$71,MATCH(P94,'Net decay model'!$G$17:$G$71)),"-")</f>
        <v>-</v>
      </c>
      <c r="Q107" s="20"/>
    </row>
    <row r="108">
      <c r="A108" s="122"/>
      <c r="B108" s="123"/>
      <c r="C108" s="168"/>
      <c r="D108" s="168"/>
      <c r="E108" s="181" t="s">
        <v>388</v>
      </c>
      <c r="F108" s="221" t="s">
        <v>69</v>
      </c>
      <c r="G108" s="221" t="s">
        <v>143</v>
      </c>
      <c r="H108" s="184" t="s">
        <v>144</v>
      </c>
      <c r="I108" s="419" t="str">
        <f t="shared" ref="I108:P108" si="22">IF(I93&lt;&gt;"-",I107-I106,"-")</f>
        <v>-</v>
      </c>
      <c r="J108" s="419">
        <f t="shared" si="22"/>
        <v>0.09646238671</v>
      </c>
      <c r="K108" s="410" t="str">
        <f t="shared" si="22"/>
        <v>-</v>
      </c>
      <c r="L108" s="410" t="str">
        <f t="shared" si="22"/>
        <v>-</v>
      </c>
      <c r="M108" s="419">
        <f t="shared" si="22"/>
        <v>0.0909268358</v>
      </c>
      <c r="N108" s="419">
        <f t="shared" si="22"/>
        <v>0.1008312006</v>
      </c>
      <c r="O108" s="410" t="str">
        <f t="shared" si="22"/>
        <v>-</v>
      </c>
      <c r="P108" s="410" t="str">
        <f t="shared" si="22"/>
        <v>-</v>
      </c>
      <c r="Q108" s="47"/>
    </row>
    <row r="109">
      <c r="A109" s="122"/>
      <c r="B109" s="123"/>
      <c r="C109" s="168"/>
      <c r="D109" s="168"/>
      <c r="E109" s="139"/>
      <c r="F109" s="140"/>
      <c r="G109" s="140"/>
      <c r="H109" s="330"/>
      <c r="I109" s="299"/>
      <c r="J109" s="299"/>
      <c r="K109" s="299"/>
      <c r="L109" s="299"/>
      <c r="M109" s="299"/>
      <c r="N109" s="299"/>
      <c r="O109" s="299"/>
      <c r="P109" s="299"/>
      <c r="Q109" s="11"/>
    </row>
    <row r="110">
      <c r="A110" s="122"/>
      <c r="B110" s="123"/>
      <c r="C110" s="168" t="s">
        <v>389</v>
      </c>
      <c r="F110" s="140"/>
      <c r="G110" s="140"/>
      <c r="H110" s="330"/>
      <c r="I110" s="207"/>
      <c r="J110" s="207"/>
      <c r="K110" s="207"/>
      <c r="L110" s="207"/>
      <c r="M110" s="207"/>
      <c r="N110" s="207"/>
      <c r="O110" s="132"/>
      <c r="P110" s="132"/>
      <c r="Q110" s="11"/>
    </row>
    <row r="111">
      <c r="A111" s="122"/>
      <c r="B111" s="123"/>
      <c r="C111" s="168"/>
      <c r="D111" s="168"/>
      <c r="E111" s="198" t="s">
        <v>390</v>
      </c>
      <c r="F111" s="188" t="s">
        <v>75</v>
      </c>
      <c r="G111" s="188" t="s">
        <v>143</v>
      </c>
      <c r="H111" s="172" t="s">
        <v>144</v>
      </c>
      <c r="I111" s="420" t="str">
        <f t="shared" ref="I111:P111" si="23">IF(I93&lt;&gt;"-",I99/I105,"-")</f>
        <v>-</v>
      </c>
      <c r="J111" s="420">
        <f t="shared" si="23"/>
        <v>3.340720243</v>
      </c>
      <c r="K111" s="420" t="str">
        <f t="shared" si="23"/>
        <v>-</v>
      </c>
      <c r="L111" s="420" t="str">
        <f t="shared" si="23"/>
        <v>-</v>
      </c>
      <c r="M111" s="420">
        <f t="shared" si="23"/>
        <v>2.071033337</v>
      </c>
      <c r="N111" s="420">
        <f t="shared" si="23"/>
        <v>2.541932859</v>
      </c>
      <c r="O111" s="420" t="str">
        <f t="shared" si="23"/>
        <v>-</v>
      </c>
      <c r="P111" s="420" t="str">
        <f t="shared" si="23"/>
        <v>-</v>
      </c>
      <c r="Q111" s="16"/>
    </row>
    <row r="112">
      <c r="A112" s="122"/>
      <c r="B112" s="123"/>
      <c r="C112" s="168"/>
      <c r="D112" s="168"/>
      <c r="E112" s="216" t="s">
        <v>391</v>
      </c>
      <c r="F112" s="217" t="s">
        <v>75</v>
      </c>
      <c r="G112" s="217" t="s">
        <v>143</v>
      </c>
      <c r="H112" s="178" t="s">
        <v>144</v>
      </c>
      <c r="I112" s="421" t="str">
        <f t="shared" ref="I112:P112" si="24">IF(I93&lt;&gt;"-",I102/I108,"-")</f>
        <v>-</v>
      </c>
      <c r="J112" s="421">
        <f t="shared" si="24"/>
        <v>4.725882136</v>
      </c>
      <c r="K112" s="421" t="str">
        <f t="shared" si="24"/>
        <v>-</v>
      </c>
      <c r="L112" s="421" t="str">
        <f t="shared" si="24"/>
        <v>-</v>
      </c>
      <c r="M112" s="421">
        <f t="shared" si="24"/>
        <v>3.182903384</v>
      </c>
      <c r="N112" s="421">
        <f t="shared" si="24"/>
        <v>4.026146078</v>
      </c>
      <c r="O112" s="421" t="str">
        <f t="shared" si="24"/>
        <v>-</v>
      </c>
      <c r="P112" s="421" t="str">
        <f t="shared" si="24"/>
        <v>-</v>
      </c>
      <c r="Q112" s="20"/>
    </row>
    <row r="113">
      <c r="A113" s="122"/>
      <c r="B113" s="123"/>
      <c r="C113" s="168"/>
      <c r="D113" s="168"/>
      <c r="E113" s="216" t="s">
        <v>392</v>
      </c>
      <c r="F113" s="217" t="s">
        <v>79</v>
      </c>
      <c r="G113" s="217" t="s">
        <v>143</v>
      </c>
      <c r="H113" s="178" t="s">
        <v>144</v>
      </c>
      <c r="I113" s="154" t="str">
        <f t="shared" ref="I113:P113" si="25">IF(I93&lt;&gt;"-",I111/I112,"-")</f>
        <v>-</v>
      </c>
      <c r="J113" s="154">
        <f t="shared" si="25"/>
        <v>0.7068987645</v>
      </c>
      <c r="K113" s="154" t="str">
        <f t="shared" si="25"/>
        <v>-</v>
      </c>
      <c r="L113" s="154" t="str">
        <f t="shared" si="25"/>
        <v>-</v>
      </c>
      <c r="M113" s="154">
        <f t="shared" si="25"/>
        <v>0.6506742706</v>
      </c>
      <c r="N113" s="154">
        <f t="shared" si="25"/>
        <v>0.6313563418</v>
      </c>
      <c r="O113" s="154" t="str">
        <f t="shared" si="25"/>
        <v>-</v>
      </c>
      <c r="P113" s="154" t="str">
        <f t="shared" si="25"/>
        <v>-</v>
      </c>
      <c r="Q113" s="20"/>
    </row>
    <row r="114">
      <c r="A114" s="122"/>
      <c r="B114" s="123"/>
      <c r="C114" s="168"/>
      <c r="D114" s="168"/>
      <c r="E114" s="181" t="s">
        <v>393</v>
      </c>
      <c r="F114" s="221" t="s">
        <v>79</v>
      </c>
      <c r="G114" s="221" t="s">
        <v>143</v>
      </c>
      <c r="H114" s="184" t="s">
        <v>144</v>
      </c>
      <c r="I114" s="160">
        <f t="shared" ref="I114:P114" si="26">IF(I93&lt;&gt;"-",I113-1,0)</f>
        <v>0</v>
      </c>
      <c r="J114" s="160">
        <f t="shared" si="26"/>
        <v>-0.2931012355</v>
      </c>
      <c r="K114" s="160">
        <f t="shared" si="26"/>
        <v>0</v>
      </c>
      <c r="L114" s="160">
        <f t="shared" si="26"/>
        <v>0</v>
      </c>
      <c r="M114" s="160">
        <f t="shared" si="26"/>
        <v>-0.3493257294</v>
      </c>
      <c r="N114" s="160">
        <f t="shared" si="26"/>
        <v>-0.3686436582</v>
      </c>
      <c r="O114" s="160">
        <f t="shared" si="26"/>
        <v>0</v>
      </c>
      <c r="P114" s="160">
        <f t="shared" si="26"/>
        <v>0</v>
      </c>
      <c r="Q114" s="47"/>
    </row>
    <row r="115">
      <c r="A115" s="122"/>
      <c r="B115" s="123"/>
      <c r="C115" s="168"/>
      <c r="D115" s="168"/>
      <c r="E115" s="139"/>
      <c r="F115" s="140"/>
      <c r="G115" s="140"/>
      <c r="H115" s="330"/>
      <c r="I115" s="132"/>
      <c r="J115" s="132"/>
      <c r="K115" s="132"/>
      <c r="L115" s="132"/>
      <c r="M115" s="132"/>
      <c r="N115" s="132"/>
      <c r="O115" s="132"/>
      <c r="P115" s="132"/>
      <c r="Q115" s="11"/>
    </row>
    <row r="116">
      <c r="A116" s="118" t="s">
        <v>394</v>
      </c>
      <c r="B116" s="6"/>
      <c r="C116" s="6"/>
      <c r="D116" s="6"/>
      <c r="E116" s="6"/>
      <c r="F116" s="6"/>
      <c r="G116" s="6"/>
      <c r="H116" s="203"/>
      <c r="I116" s="204"/>
      <c r="J116" s="204"/>
      <c r="K116" s="204"/>
      <c r="L116" s="204"/>
      <c r="M116" s="204"/>
      <c r="N116" s="204"/>
      <c r="O116" s="204"/>
      <c r="P116" s="204"/>
      <c r="Q116" s="422"/>
    </row>
    <row r="117">
      <c r="A117" s="122"/>
      <c r="B117" s="123"/>
      <c r="C117" s="242"/>
      <c r="D117" s="123"/>
      <c r="E117" s="124"/>
      <c r="F117" s="125"/>
      <c r="G117" s="125"/>
      <c r="H117" s="127"/>
      <c r="I117" s="132"/>
      <c r="J117" s="132"/>
      <c r="K117" s="132"/>
      <c r="L117" s="132"/>
      <c r="M117" s="132"/>
      <c r="N117" s="132"/>
      <c r="O117" s="132"/>
      <c r="P117" s="132"/>
      <c r="Q117" s="11"/>
    </row>
    <row r="118">
      <c r="A118" s="122"/>
      <c r="B118" s="123"/>
      <c r="C118" s="168" t="s">
        <v>374</v>
      </c>
      <c r="F118" s="140"/>
      <c r="G118" s="140"/>
      <c r="H118" s="330"/>
      <c r="I118" s="132"/>
      <c r="J118" s="132"/>
      <c r="K118" s="132"/>
      <c r="L118" s="132"/>
      <c r="M118" s="132"/>
      <c r="N118" s="132"/>
      <c r="O118" s="132"/>
      <c r="P118" s="132"/>
      <c r="Q118" s="11"/>
    </row>
    <row r="119">
      <c r="A119" s="122"/>
      <c r="B119" s="123"/>
      <c r="C119" s="168"/>
      <c r="D119" s="168"/>
      <c r="E119" s="198" t="s">
        <v>375</v>
      </c>
      <c r="F119" s="188" t="str">
        <f t="shared" ref="F119:F121" si="28">F92</f>
        <v>#</v>
      </c>
      <c r="G119" s="188" t="s">
        <v>236</v>
      </c>
      <c r="H119" s="306">
        <f t="shared" ref="H119:P119" si="27">H92</f>
        <v>36</v>
      </c>
      <c r="I119" s="377" t="str">
        <f t="shared" si="27"/>
        <v>-</v>
      </c>
      <c r="J119" s="377" t="str">
        <f t="shared" si="27"/>
        <v>-</v>
      </c>
      <c r="K119" s="377" t="str">
        <f t="shared" si="27"/>
        <v>-</v>
      </c>
      <c r="L119" s="377" t="str">
        <f t="shared" si="27"/>
        <v>-</v>
      </c>
      <c r="M119" s="377" t="str">
        <f t="shared" si="27"/>
        <v>-</v>
      </c>
      <c r="N119" s="377" t="str">
        <f t="shared" si="27"/>
        <v>-</v>
      </c>
      <c r="O119" s="377" t="str">
        <f t="shared" si="27"/>
        <v>-</v>
      </c>
      <c r="P119" s="377" t="str">
        <f t="shared" si="27"/>
        <v>-</v>
      </c>
      <c r="Q119" s="16"/>
    </row>
    <row r="120">
      <c r="A120" s="122"/>
      <c r="B120" s="123"/>
      <c r="C120" s="168"/>
      <c r="D120" s="168"/>
      <c r="E120" s="216" t="s">
        <v>376</v>
      </c>
      <c r="F120" s="217" t="str">
        <f t="shared" si="28"/>
        <v>#</v>
      </c>
      <c r="G120" s="217" t="s">
        <v>236</v>
      </c>
      <c r="H120" s="409" t="str">
        <f t="shared" ref="H120:P120" si="29">H93</f>
        <v>-</v>
      </c>
      <c r="I120" s="305" t="str">
        <f t="shared" si="29"/>
        <v>-</v>
      </c>
      <c r="J120" s="305">
        <f t="shared" si="29"/>
        <v>42</v>
      </c>
      <c r="K120" s="305" t="str">
        <f t="shared" si="29"/>
        <v>-</v>
      </c>
      <c r="L120" s="305" t="str">
        <f t="shared" si="29"/>
        <v>-</v>
      </c>
      <c r="M120" s="305">
        <f t="shared" si="29"/>
        <v>45</v>
      </c>
      <c r="N120" s="305">
        <f t="shared" si="29"/>
        <v>45</v>
      </c>
      <c r="O120" s="305" t="str">
        <f t="shared" si="29"/>
        <v>-</v>
      </c>
      <c r="P120" s="305" t="str">
        <f t="shared" si="29"/>
        <v>-</v>
      </c>
      <c r="Q120" s="20"/>
    </row>
    <row r="121">
      <c r="A121" s="122"/>
      <c r="B121" s="123"/>
      <c r="C121" s="168"/>
      <c r="D121" s="168"/>
      <c r="E121" s="181" t="s">
        <v>377</v>
      </c>
      <c r="F121" s="221" t="str">
        <f t="shared" si="28"/>
        <v>#</v>
      </c>
      <c r="G121" s="221" t="s">
        <v>236</v>
      </c>
      <c r="H121" s="297" t="str">
        <f t="shared" ref="H121:P121" si="30">H94</f>
        <v>-</v>
      </c>
      <c r="I121" s="262" t="str">
        <f t="shared" si="30"/>
        <v>-</v>
      </c>
      <c r="J121" s="262">
        <f t="shared" si="30"/>
        <v>33</v>
      </c>
      <c r="K121" s="262" t="str">
        <f t="shared" si="30"/>
        <v>-</v>
      </c>
      <c r="L121" s="262" t="str">
        <f t="shared" si="30"/>
        <v>-</v>
      </c>
      <c r="M121" s="262">
        <f t="shared" si="30"/>
        <v>36</v>
      </c>
      <c r="N121" s="262">
        <f t="shared" si="30"/>
        <v>35</v>
      </c>
      <c r="O121" s="262" t="str">
        <f t="shared" si="30"/>
        <v>-</v>
      </c>
      <c r="P121" s="262" t="str">
        <f t="shared" si="30"/>
        <v>-</v>
      </c>
      <c r="Q121" s="47"/>
    </row>
    <row r="122">
      <c r="A122" s="122"/>
      <c r="B122" s="123"/>
      <c r="C122" s="168"/>
      <c r="D122" s="168"/>
      <c r="E122" s="139"/>
      <c r="F122" s="140"/>
      <c r="G122" s="140"/>
      <c r="H122" s="330"/>
      <c r="I122" s="132"/>
      <c r="J122" s="132"/>
      <c r="K122" s="132"/>
      <c r="L122" s="132"/>
      <c r="M122" s="132"/>
      <c r="N122" s="132"/>
      <c r="O122" s="132"/>
      <c r="P122" s="132"/>
      <c r="Q122" s="11"/>
    </row>
    <row r="123">
      <c r="A123" s="122"/>
      <c r="B123" s="123"/>
      <c r="C123" s="168" t="s">
        <v>395</v>
      </c>
      <c r="D123" s="168"/>
      <c r="E123" s="423"/>
      <c r="F123" s="125"/>
      <c r="G123" s="363"/>
      <c r="H123" s="424"/>
      <c r="I123" s="132"/>
      <c r="J123" s="132"/>
      <c r="K123" s="132"/>
      <c r="L123" s="132"/>
      <c r="M123" s="132"/>
      <c r="N123" s="132"/>
      <c r="O123" s="132"/>
      <c r="P123" s="132"/>
      <c r="Q123" s="11"/>
    </row>
    <row r="124">
      <c r="A124" s="122"/>
      <c r="B124" s="123"/>
      <c r="C124" s="168"/>
      <c r="D124" s="168"/>
      <c r="E124" s="425" t="s">
        <v>396</v>
      </c>
      <c r="F124" s="188" t="s">
        <v>69</v>
      </c>
      <c r="G124" s="366" t="s">
        <v>143</v>
      </c>
      <c r="H124" s="426" t="s">
        <v>144</v>
      </c>
      <c r="I124" s="415">
        <f t="array" ref="I124">INDEX('Net decay model'!$J$17:$J$89,MATCH($H119,'Net decay model'!$G$17:$G$89,0))</f>
        <v>0.2927446385</v>
      </c>
      <c r="J124" s="415">
        <f t="array" ref="J124">INDEX('Net decay model'!$E$17:$E$89,MATCH($H119,'Net decay model'!$B$17:$B$89,0))</f>
        <v>0.09378181817</v>
      </c>
      <c r="K124" s="415">
        <f t="array" ref="K124">INDEX('Net decay model'!$J$17:$J$89,MATCH($H119,'Net decay model'!$G$17:$G$89,0))</f>
        <v>0.2927446385</v>
      </c>
      <c r="L124" s="415">
        <f t="array" ref="L124">INDEX('Net decay model'!$J$17:$J$89,MATCH($H119,'Net decay model'!$G$17:$G$89,0))</f>
        <v>0.2927446385</v>
      </c>
      <c r="M124" s="415">
        <f t="array" ref="M124">INDEX('Net decay model'!$J$17:$J$89,MATCH($H119,'Net decay model'!$G$17:$G$89,0))</f>
        <v>0.2927446385</v>
      </c>
      <c r="N124" s="415">
        <f t="array" ref="N124">INDEX('Net decay model'!$J$17:$J$89,MATCH($H119,'Net decay model'!$G$17:$G$89,0))</f>
        <v>0.2927446385</v>
      </c>
      <c r="O124" s="415">
        <f t="array" ref="O124">INDEX('Net decay model'!$J$17:$J$89,MATCH($H119,'Net decay model'!$G$17:$G$89,0))</f>
        <v>0.2927446385</v>
      </c>
      <c r="P124" s="415">
        <f t="array" ref="P124">INDEX('Net decay model'!$J$17:$J$89,MATCH($H119,'Net decay model'!$G$17:$G$89,0))</f>
        <v>0.2927446385</v>
      </c>
      <c r="Q124" s="16"/>
    </row>
    <row r="125">
      <c r="A125" s="122"/>
      <c r="B125" s="123"/>
      <c r="C125" s="168"/>
      <c r="D125" s="168"/>
      <c r="E125" s="427" t="s">
        <v>397</v>
      </c>
      <c r="F125" s="217" t="s">
        <v>69</v>
      </c>
      <c r="G125" s="370" t="s">
        <v>143</v>
      </c>
      <c r="H125" s="428" t="s">
        <v>144</v>
      </c>
      <c r="I125" s="260" t="str">
        <f t="array" ref="I125">IFERROR(INDEX('Net decay model'!$J$17:$J$89,MATCH(I120,'Net decay model'!$G$17:$G$89,0)),"-")</f>
        <v>-</v>
      </c>
      <c r="J125" s="260">
        <f t="array" ref="J125">IFERROR(INDEX('Net decay model'!$E$17:$E$89,MATCH(J120,'Net decay model'!$B$17:$B$89,0)),"-")</f>
        <v>0.03216443167</v>
      </c>
      <c r="K125" s="260" t="str">
        <f t="array" ref="K125">IFERROR(INDEX('Net decay model'!$J$17:$J$89,MATCH(K120,'Net decay model'!$G$17:$G$89,0)),"-")</f>
        <v>-</v>
      </c>
      <c r="L125" s="260" t="str">
        <f t="array" ref="L125">IFERROR(INDEX('Net decay model'!$J$17:$J$89,MATCH(L120,'Net decay model'!$G$17:$G$89,0)),"-")</f>
        <v>-</v>
      </c>
      <c r="M125" s="260">
        <f t="array" ref="M125">IFERROR(INDEX('Net decay model'!$J$17:$J$89,MATCH(M120,'Net decay model'!$G$17:$G$89,0)),"-")</f>
        <v>0.1172632117</v>
      </c>
      <c r="N125" s="260">
        <f t="array" ref="N125">IFERROR(INDEX('Net decay model'!$J$17:$J$89,MATCH(N120,'Net decay model'!$G$17:$G$89,0)),"-")</f>
        <v>0.1172632117</v>
      </c>
      <c r="O125" s="260" t="str">
        <f t="array" ref="O125">IFERROR(INDEX('Net decay model'!$J$17:$J$89,MATCH(O120,'Net decay model'!$G$17:$G$89,0)),"-")</f>
        <v>-</v>
      </c>
      <c r="P125" s="260" t="str">
        <f t="array" ref="P125">IFERROR(INDEX('Net decay model'!$J$17:$J$89,MATCH(P120,'Net decay model'!$G$17:$G$89,0)),"-")</f>
        <v>-</v>
      </c>
      <c r="Q125" s="20"/>
    </row>
    <row r="126">
      <c r="A126" s="122"/>
      <c r="B126" s="123"/>
      <c r="C126" s="168"/>
      <c r="D126" s="168"/>
      <c r="E126" s="429" t="s">
        <v>398</v>
      </c>
      <c r="F126" s="221" t="s">
        <v>69</v>
      </c>
      <c r="G126" s="374" t="s">
        <v>143</v>
      </c>
      <c r="H126" s="430" t="s">
        <v>144</v>
      </c>
      <c r="I126" s="394" t="str">
        <f t="array" ref="I126">IFERROR(INDEX('Net decay model'!$J$17:$J$89,MATCH(I121,'Net decay model'!$G$17:$G$89,0)),"-")</f>
        <v>-</v>
      </c>
      <c r="J126" s="394">
        <f t="array" ref="J126">IFERROR(INDEX('Net decay model'!$E$17:$E$89,MATCH(J121,'Net decay model'!$B$17:$B$89,0)),"-")</f>
        <v>0.1484665354</v>
      </c>
      <c r="K126" s="394" t="str">
        <f t="array" ref="K126">IFERROR(INDEX('Net decay model'!$J$17:$J$89,MATCH(K121,'Net decay model'!$G$17:$G$89,0)),"-")</f>
        <v>-</v>
      </c>
      <c r="L126" s="394" t="str">
        <f t="array" ref="L126">IFERROR(INDEX('Net decay model'!$J$17:$J$89,MATCH(L121,'Net decay model'!$G$17:$G$89,0)),"-")</f>
        <v>-</v>
      </c>
      <c r="M126" s="394">
        <f t="array" ref="M126">IFERROR(INDEX('Net decay model'!$J$17:$J$89,MATCH(M121,'Net decay model'!$G$17:$G$89,0)),"-")</f>
        <v>0.2927446385</v>
      </c>
      <c r="N126" s="394">
        <f t="array" ref="N126">IFERROR(INDEX('Net decay model'!$J$17:$J$89,MATCH(N121,'Net decay model'!$G$17:$G$89,0)),"-")</f>
        <v>0.3212575772</v>
      </c>
      <c r="O126" s="394" t="str">
        <f t="array" ref="O126">IFERROR(INDEX('Net decay model'!$J$17:$J$89,MATCH(O121,'Net decay model'!$G$17:$G$89,0)),"-")</f>
        <v>-</v>
      </c>
      <c r="P126" s="394" t="str">
        <f t="array" ref="P126">IFERROR(INDEX('Net decay model'!$J$17:$J$89,MATCH(P121,'Net decay model'!$G$17:$G$89,0)),"-")</f>
        <v>-</v>
      </c>
      <c r="Q126" s="47"/>
    </row>
    <row r="127">
      <c r="A127" s="122"/>
      <c r="B127" s="123"/>
      <c r="C127" s="168"/>
      <c r="D127" s="168"/>
      <c r="E127" s="423"/>
      <c r="F127" s="125"/>
      <c r="G127" s="363"/>
      <c r="H127" s="424"/>
      <c r="I127" s="132"/>
      <c r="J127" s="132"/>
      <c r="K127" s="132"/>
      <c r="L127" s="132"/>
      <c r="M127" s="132"/>
      <c r="N127" s="132"/>
      <c r="O127" s="132"/>
      <c r="P127" s="132"/>
      <c r="Q127" s="11"/>
    </row>
    <row r="128">
      <c r="A128" s="122"/>
      <c r="B128" s="123"/>
      <c r="C128" s="162" t="s">
        <v>399</v>
      </c>
      <c r="F128" s="125"/>
      <c r="G128" s="363"/>
      <c r="H128" s="424"/>
      <c r="I128" s="132"/>
      <c r="J128" s="132"/>
      <c r="K128" s="132"/>
      <c r="L128" s="132"/>
      <c r="M128" s="132"/>
      <c r="N128" s="132"/>
      <c r="O128" s="132"/>
      <c r="P128" s="132"/>
      <c r="Q128" s="11"/>
    </row>
    <row r="129">
      <c r="A129" s="122"/>
      <c r="B129" s="123"/>
      <c r="C129" s="162"/>
      <c r="D129" s="431"/>
      <c r="E129" s="187" t="s">
        <v>400</v>
      </c>
      <c r="F129" s="188" t="str">
        <f>Inputs!F78</f>
        <v>%</v>
      </c>
      <c r="G129" s="366" t="str">
        <f>Inputs!G78</f>
        <v>input</v>
      </c>
      <c r="H129" s="432">
        <f>Inputs!H78</f>
        <v>0.5</v>
      </c>
      <c r="I129" s="377" t="str">
        <f>Inputs!I78</f>
        <v>-</v>
      </c>
      <c r="J129" s="377" t="str">
        <f>Inputs!J78</f>
        <v>-</v>
      </c>
      <c r="K129" s="377" t="str">
        <f>Inputs!K78</f>
        <v>-</v>
      </c>
      <c r="L129" s="377" t="str">
        <f>Inputs!L78</f>
        <v>-</v>
      </c>
      <c r="M129" s="377" t="str">
        <f>Inputs!M78</f>
        <v>-</v>
      </c>
      <c r="N129" s="377" t="str">
        <f>Inputs!N78</f>
        <v>-</v>
      </c>
      <c r="O129" s="377" t="str">
        <f>Inputs!O78</f>
        <v>-</v>
      </c>
      <c r="P129" s="377" t="str">
        <f>Inputs!P78</f>
        <v>-</v>
      </c>
      <c r="Q129" s="16"/>
    </row>
    <row r="130">
      <c r="A130" s="122"/>
      <c r="B130" s="123"/>
      <c r="C130" s="162"/>
      <c r="D130" s="431"/>
      <c r="E130" s="367" t="s">
        <v>401</v>
      </c>
      <c r="F130" s="217" t="str">
        <f>Inputs!F79</f>
        <v>%</v>
      </c>
      <c r="G130" s="370" t="str">
        <f>Inputs!G79</f>
        <v>input</v>
      </c>
      <c r="H130" s="433">
        <f>Inputs!H79</f>
        <v>0.5</v>
      </c>
      <c r="I130" s="305" t="str">
        <f>Inputs!I79</f>
        <v>-</v>
      </c>
      <c r="J130" s="305" t="str">
        <f>Inputs!J79</f>
        <v>-</v>
      </c>
      <c r="K130" s="305" t="str">
        <f>Inputs!K79</f>
        <v>-</v>
      </c>
      <c r="L130" s="305" t="str">
        <f>Inputs!L79</f>
        <v>-</v>
      </c>
      <c r="M130" s="305" t="str">
        <f>Inputs!M79</f>
        <v>-</v>
      </c>
      <c r="N130" s="305" t="str">
        <f>Inputs!N79</f>
        <v>-</v>
      </c>
      <c r="O130" s="305" t="str">
        <f>Inputs!O79</f>
        <v>-</v>
      </c>
      <c r="P130" s="305" t="str">
        <f>Inputs!P79</f>
        <v>-</v>
      </c>
      <c r="Q130" s="20"/>
    </row>
    <row r="131">
      <c r="A131" s="122"/>
      <c r="B131" s="123"/>
      <c r="C131" s="162"/>
      <c r="D131" s="431"/>
      <c r="E131" s="371" t="s">
        <v>402</v>
      </c>
      <c r="F131" s="221" t="str">
        <f>Inputs!F80</f>
        <v>%</v>
      </c>
      <c r="G131" s="374" t="str">
        <f>Inputs!G80</f>
        <v>input</v>
      </c>
      <c r="H131" s="434">
        <f>Inputs!H80</f>
        <v>0.5</v>
      </c>
      <c r="I131" s="262" t="str">
        <f>Inputs!I80</f>
        <v>-</v>
      </c>
      <c r="J131" s="262" t="str">
        <f>Inputs!J80</f>
        <v>-</v>
      </c>
      <c r="K131" s="262" t="str">
        <f>Inputs!K80</f>
        <v>-</v>
      </c>
      <c r="L131" s="262" t="str">
        <f>Inputs!L80</f>
        <v>-</v>
      </c>
      <c r="M131" s="262" t="str">
        <f>Inputs!M80</f>
        <v>-</v>
      </c>
      <c r="N131" s="262" t="str">
        <f>Inputs!N80</f>
        <v>-</v>
      </c>
      <c r="O131" s="262" t="str">
        <f>Inputs!O80</f>
        <v>-</v>
      </c>
      <c r="P131" s="262" t="str">
        <f>Inputs!P80</f>
        <v>-</v>
      </c>
      <c r="Q131" s="47"/>
    </row>
    <row r="132">
      <c r="A132" s="122"/>
      <c r="B132" s="123"/>
      <c r="C132" s="168"/>
      <c r="D132" s="168"/>
      <c r="E132" s="423"/>
      <c r="F132" s="125"/>
      <c r="G132" s="363"/>
      <c r="H132" s="424"/>
      <c r="I132" s="132"/>
      <c r="J132" s="132"/>
      <c r="K132" s="132"/>
      <c r="L132" s="132"/>
      <c r="M132" s="132"/>
      <c r="N132" s="132"/>
      <c r="O132" s="132"/>
      <c r="P132" s="132"/>
      <c r="Q132" s="11"/>
    </row>
    <row r="133">
      <c r="A133" s="122"/>
      <c r="B133" s="123"/>
      <c r="C133" s="168" t="s">
        <v>403</v>
      </c>
      <c r="F133" s="125"/>
      <c r="G133" s="363"/>
      <c r="H133" s="424"/>
      <c r="I133" s="132"/>
      <c r="J133" s="132"/>
      <c r="K133" s="132"/>
      <c r="L133" s="132"/>
      <c r="M133" s="132"/>
      <c r="N133" s="132"/>
      <c r="O133" s="132"/>
      <c r="P133" s="132"/>
      <c r="Q133" s="11"/>
    </row>
    <row r="134">
      <c r="A134" s="122"/>
      <c r="B134" s="123"/>
      <c r="C134" s="168"/>
      <c r="D134" s="168"/>
      <c r="E134" s="425" t="s">
        <v>404</v>
      </c>
      <c r="F134" s="188" t="s">
        <v>69</v>
      </c>
      <c r="G134" s="366" t="s">
        <v>143</v>
      </c>
      <c r="H134" s="426" t="s">
        <v>144</v>
      </c>
      <c r="I134" s="435">
        <f t="shared" ref="I134:P134" si="31">I124*$H130</f>
        <v>0.1463723193</v>
      </c>
      <c r="J134" s="435">
        <f t="shared" si="31"/>
        <v>0.04689090908</v>
      </c>
      <c r="K134" s="435">
        <f t="shared" si="31"/>
        <v>0.1463723193</v>
      </c>
      <c r="L134" s="435">
        <f t="shared" si="31"/>
        <v>0.1463723193</v>
      </c>
      <c r="M134" s="435">
        <f t="shared" si="31"/>
        <v>0.1463723193</v>
      </c>
      <c r="N134" s="435">
        <f t="shared" si="31"/>
        <v>0.1463723193</v>
      </c>
      <c r="O134" s="435">
        <f t="shared" si="31"/>
        <v>0.1463723193</v>
      </c>
      <c r="P134" s="435">
        <f t="shared" si="31"/>
        <v>0.1463723193</v>
      </c>
      <c r="Q134" s="16"/>
    </row>
    <row r="135">
      <c r="A135" s="122"/>
      <c r="B135" s="123"/>
      <c r="C135" s="168"/>
      <c r="D135" s="168"/>
      <c r="E135" s="427" t="s">
        <v>405</v>
      </c>
      <c r="F135" s="217" t="s">
        <v>69</v>
      </c>
      <c r="G135" s="370" t="s">
        <v>143</v>
      </c>
      <c r="H135" s="428" t="s">
        <v>144</v>
      </c>
      <c r="I135" s="260" t="str">
        <f t="shared" ref="I135:P135" si="32">IFERROR(I125*$H130,"-")</f>
        <v>-</v>
      </c>
      <c r="J135" s="260">
        <f t="shared" si="32"/>
        <v>0.01608221583</v>
      </c>
      <c r="K135" s="260" t="str">
        <f t="shared" si="32"/>
        <v>-</v>
      </c>
      <c r="L135" s="260" t="str">
        <f t="shared" si="32"/>
        <v>-</v>
      </c>
      <c r="M135" s="260">
        <f t="shared" si="32"/>
        <v>0.05863160583</v>
      </c>
      <c r="N135" s="260">
        <f t="shared" si="32"/>
        <v>0.05863160583</v>
      </c>
      <c r="O135" s="260" t="str">
        <f t="shared" si="32"/>
        <v>-</v>
      </c>
      <c r="P135" s="260" t="str">
        <f t="shared" si="32"/>
        <v>-</v>
      </c>
      <c r="Q135" s="20"/>
    </row>
    <row r="136">
      <c r="A136" s="122"/>
      <c r="B136" s="123"/>
      <c r="C136" s="168"/>
      <c r="D136" s="168"/>
      <c r="E136" s="427" t="s">
        <v>406</v>
      </c>
      <c r="F136" s="217" t="s">
        <v>69</v>
      </c>
      <c r="G136" s="370" t="s">
        <v>143</v>
      </c>
      <c r="H136" s="428" t="s">
        <v>144</v>
      </c>
      <c r="I136" s="260" t="str">
        <f t="shared" ref="I136:P136" si="33">IFERROR(I126*$H130,"-")</f>
        <v>-</v>
      </c>
      <c r="J136" s="260">
        <f t="shared" si="33"/>
        <v>0.07423326772</v>
      </c>
      <c r="K136" s="260" t="str">
        <f t="shared" si="33"/>
        <v>-</v>
      </c>
      <c r="L136" s="260" t="str">
        <f t="shared" si="33"/>
        <v>-</v>
      </c>
      <c r="M136" s="260">
        <f t="shared" si="33"/>
        <v>0.1463723193</v>
      </c>
      <c r="N136" s="260">
        <f t="shared" si="33"/>
        <v>0.1606287886</v>
      </c>
      <c r="O136" s="260" t="str">
        <f t="shared" si="33"/>
        <v>-</v>
      </c>
      <c r="P136" s="260" t="str">
        <f t="shared" si="33"/>
        <v>-</v>
      </c>
      <c r="Q136" s="20"/>
    </row>
    <row r="137">
      <c r="A137" s="122"/>
      <c r="B137" s="123"/>
      <c r="C137" s="168"/>
      <c r="D137" s="168"/>
      <c r="E137" s="423"/>
      <c r="F137" s="125"/>
      <c r="G137" s="363"/>
      <c r="H137" s="424"/>
      <c r="I137" s="436"/>
      <c r="J137" s="436"/>
      <c r="K137" s="436"/>
      <c r="L137" s="436"/>
      <c r="M137" s="436"/>
      <c r="N137" s="436"/>
      <c r="O137" s="436"/>
      <c r="P137" s="436"/>
      <c r="Q137" s="11"/>
    </row>
    <row r="138">
      <c r="A138" s="122"/>
      <c r="B138" s="123"/>
      <c r="C138" s="168" t="s">
        <v>407</v>
      </c>
      <c r="F138" s="125"/>
      <c r="G138" s="363"/>
      <c r="H138" s="424"/>
      <c r="I138" s="132"/>
      <c r="J138" s="132"/>
      <c r="K138" s="132"/>
      <c r="L138" s="132"/>
      <c r="M138" s="132"/>
      <c r="N138" s="132"/>
      <c r="O138" s="132"/>
      <c r="P138" s="132"/>
      <c r="Q138" s="11"/>
    </row>
    <row r="139">
      <c r="A139" s="122"/>
      <c r="B139" s="123"/>
      <c r="C139" s="168"/>
      <c r="D139" s="168"/>
      <c r="E139" s="425" t="s">
        <v>408</v>
      </c>
      <c r="F139" s="188" t="s">
        <v>69</v>
      </c>
      <c r="G139" s="366" t="s">
        <v>143</v>
      </c>
      <c r="H139" s="426" t="s">
        <v>144</v>
      </c>
      <c r="I139" s="435">
        <f t="shared" ref="I139:P139" si="34">IFERROR(I135-I136,-I134)</f>
        <v>-0.1463723193</v>
      </c>
      <c r="J139" s="435">
        <f t="shared" si="34"/>
        <v>-0.05815105189</v>
      </c>
      <c r="K139" s="435">
        <f t="shared" si="34"/>
        <v>-0.1463723193</v>
      </c>
      <c r="L139" s="435">
        <f t="shared" si="34"/>
        <v>-0.1463723193</v>
      </c>
      <c r="M139" s="435">
        <f t="shared" si="34"/>
        <v>-0.08774071344</v>
      </c>
      <c r="N139" s="435">
        <f t="shared" si="34"/>
        <v>-0.1019971828</v>
      </c>
      <c r="O139" s="435">
        <f t="shared" si="34"/>
        <v>-0.1463723193</v>
      </c>
      <c r="P139" s="435">
        <f t="shared" si="34"/>
        <v>-0.1463723193</v>
      </c>
      <c r="Q139" s="16"/>
    </row>
    <row r="140">
      <c r="A140" s="122"/>
      <c r="B140" s="123"/>
      <c r="C140" s="168"/>
      <c r="D140" s="168"/>
      <c r="E140" s="429" t="s">
        <v>407</v>
      </c>
      <c r="F140" s="221" t="s">
        <v>79</v>
      </c>
      <c r="G140" s="374" t="s">
        <v>143</v>
      </c>
      <c r="H140" s="430" t="s">
        <v>144</v>
      </c>
      <c r="I140" s="160">
        <f t="shared" ref="I140:P140" si="35">I139/I52</f>
        <v>-0.069305701</v>
      </c>
      <c r="J140" s="160">
        <f t="shared" si="35"/>
        <v>-0.03332208295</v>
      </c>
      <c r="K140" s="160">
        <f t="shared" si="35"/>
        <v>-0.069305701</v>
      </c>
      <c r="L140" s="160">
        <f t="shared" si="35"/>
        <v>-0.069305701</v>
      </c>
      <c r="M140" s="160">
        <f t="shared" si="35"/>
        <v>-0.04154427341</v>
      </c>
      <c r="N140" s="160">
        <f t="shared" si="35"/>
        <v>-0.04829455655</v>
      </c>
      <c r="O140" s="160">
        <f t="shared" si="35"/>
        <v>-0.069305701</v>
      </c>
      <c r="P140" s="160">
        <f t="shared" si="35"/>
        <v>-0.069305701</v>
      </c>
      <c r="Q140" s="47"/>
    </row>
    <row r="141">
      <c r="A141" s="122"/>
      <c r="B141" s="123"/>
      <c r="C141" s="168"/>
      <c r="D141" s="168"/>
      <c r="E141" s="423"/>
      <c r="F141" s="125"/>
      <c r="G141" s="363"/>
      <c r="H141" s="424"/>
      <c r="I141" s="208"/>
      <c r="J141" s="208"/>
      <c r="K141" s="208"/>
      <c r="L141" s="208"/>
      <c r="M141" s="208"/>
      <c r="N141" s="208"/>
      <c r="O141" s="208"/>
      <c r="P141" s="208"/>
      <c r="Q141" s="11"/>
    </row>
    <row r="142">
      <c r="A142" s="118" t="s">
        <v>409</v>
      </c>
      <c r="B142" s="6"/>
      <c r="C142" s="6"/>
      <c r="D142" s="6"/>
      <c r="E142" s="6"/>
      <c r="F142" s="6"/>
      <c r="G142" s="6"/>
      <c r="H142" s="119"/>
      <c r="I142" s="295"/>
      <c r="J142" s="295"/>
      <c r="K142" s="295"/>
      <c r="L142" s="295"/>
      <c r="M142" s="295"/>
      <c r="N142" s="295"/>
      <c r="O142" s="295"/>
      <c r="P142" s="295"/>
      <c r="Q142" s="395"/>
    </row>
    <row r="143">
      <c r="A143" s="122"/>
      <c r="B143" s="123"/>
      <c r="C143" s="168"/>
      <c r="D143" s="168"/>
      <c r="E143" s="139"/>
      <c r="F143" s="125"/>
      <c r="G143" s="125"/>
      <c r="H143" s="127"/>
      <c r="I143" s="132"/>
      <c r="J143" s="132"/>
      <c r="K143" s="132"/>
      <c r="L143" s="132"/>
      <c r="M143" s="132"/>
      <c r="N143" s="132"/>
      <c r="O143" s="132"/>
      <c r="P143" s="132"/>
      <c r="Q143" s="11"/>
    </row>
    <row r="144">
      <c r="A144" s="122"/>
      <c r="B144" s="123"/>
      <c r="C144" s="168" t="s">
        <v>410</v>
      </c>
      <c r="F144" s="125"/>
      <c r="G144" s="125"/>
      <c r="H144" s="127"/>
      <c r="I144" s="132"/>
      <c r="J144" s="132"/>
      <c r="K144" s="132"/>
      <c r="L144" s="132"/>
      <c r="M144" s="132"/>
      <c r="N144" s="132"/>
      <c r="O144" s="132"/>
      <c r="P144" s="132"/>
      <c r="Q144" s="11"/>
    </row>
    <row r="145">
      <c r="A145" s="122"/>
      <c r="B145" s="123"/>
      <c r="C145" s="168"/>
      <c r="D145" s="168"/>
      <c r="E145" s="164" t="s">
        <v>165</v>
      </c>
      <c r="F145" s="134" t="s">
        <v>69</v>
      </c>
      <c r="G145" s="134" t="s">
        <v>143</v>
      </c>
      <c r="H145" s="166" t="s">
        <v>144</v>
      </c>
      <c r="I145" s="437">
        <f t="shared" ref="I145:P145" si="36">I52*(1+I114)*(1+I140)</f>
        <v>1.965608617</v>
      </c>
      <c r="J145" s="437">
        <f t="shared" si="36"/>
        <v>1.192516657</v>
      </c>
      <c r="K145" s="437">
        <f t="shared" si="36"/>
        <v>1.965608617</v>
      </c>
      <c r="L145" s="437">
        <f t="shared" si="36"/>
        <v>1.965608617</v>
      </c>
      <c r="M145" s="437">
        <f t="shared" si="36"/>
        <v>1.31712103</v>
      </c>
      <c r="N145" s="437">
        <f t="shared" si="36"/>
        <v>1.26901599</v>
      </c>
      <c r="O145" s="437">
        <f t="shared" si="36"/>
        <v>1.965608617</v>
      </c>
      <c r="P145" s="437">
        <f t="shared" si="36"/>
        <v>1.965608617</v>
      </c>
      <c r="Q145" s="56"/>
    </row>
    <row r="146">
      <c r="A146" s="352"/>
      <c r="B146" s="353"/>
      <c r="C146" s="353"/>
      <c r="D146" s="353"/>
      <c r="E146" s="354"/>
      <c r="F146" s="355"/>
      <c r="G146" s="355"/>
      <c r="H146" s="333"/>
      <c r="I146" s="438"/>
      <c r="J146" s="438"/>
      <c r="K146" s="438"/>
      <c r="L146" s="438"/>
      <c r="M146" s="438"/>
      <c r="N146" s="438"/>
      <c r="O146" s="438"/>
      <c r="P146" s="438"/>
      <c r="Q146" s="56"/>
    </row>
  </sheetData>
  <mergeCells count="29">
    <mergeCell ref="I1:P1"/>
    <mergeCell ref="A3:E3"/>
    <mergeCell ref="A5:G5"/>
    <mergeCell ref="C7:E7"/>
    <mergeCell ref="C13:E13"/>
    <mergeCell ref="C22:E22"/>
    <mergeCell ref="C26:E26"/>
    <mergeCell ref="C32:E32"/>
    <mergeCell ref="C39:E39"/>
    <mergeCell ref="C44:E44"/>
    <mergeCell ref="C47:E47"/>
    <mergeCell ref="C50:E50"/>
    <mergeCell ref="A54:G54"/>
    <mergeCell ref="C56:E56"/>
    <mergeCell ref="C110:E110"/>
    <mergeCell ref="A116:G116"/>
    <mergeCell ref="C118:E118"/>
    <mergeCell ref="C128:E128"/>
    <mergeCell ref="C133:E133"/>
    <mergeCell ref="C138:E138"/>
    <mergeCell ref="A142:G142"/>
    <mergeCell ref="C144:E144"/>
    <mergeCell ref="C64:E64"/>
    <mergeCell ref="C73:E73"/>
    <mergeCell ref="C81:E81"/>
    <mergeCell ref="A89:G89"/>
    <mergeCell ref="C91:E91"/>
    <mergeCell ref="C97:E97"/>
    <mergeCell ref="C104:E104"/>
  </mergeCells>
  <hyperlinks>
    <hyperlink display="Percentage of nets remaining in use two years after the CTN distributions in trials from the Pryce et al. 2018 meta-analysis" location="Inputs!E35" ref="E8"/>
    <hyperlink display="Average percentage of nets remaining in use during the 1st year after an ITN distribution" location="Inputs!E36" ref="E9"/>
    <hyperlink display="Average percentage of nets remaining in use during the 2nd year after an ITN distribution" location="Inputs!E37" ref="E10"/>
    <hyperlink display="Percentage of remaining nets lost due to physical damage at the midpoint of the 1st year after an ITN distribution" location="Inputs!E41" ref="E14"/>
    <hyperlink display="Percentage of remaining nets lost due to physical damage at the midpoint of the 2nd year after an ITN distribution" location="Inputs!E42" ref="E15"/>
    <hyperlink display="Percentage of remaining nets lost due to physical damage at the midpoint of the 3rd year after an ITN distribution" location="Inputs!E43" ref="E16"/>
    <hyperlink display="Ratio of physical net decay in trials of CTN distributions from the Pryce et al. 2018 meta-analysis compared to physical net decay from grantee ITN distributions" location="Inputs!E44" ref="E17"/>
    <hyperlink display="Proportion of net coverage lost due to insecticide decay for CTNs distributed in trials from the Pryce et al. 2018 meta-analysis" location="Inputs!E47" ref="E23"/>
    <hyperlink display="Proportion of net coverage lost due to insecticide decay for ITNs distributed in grantee distributions" location="Inputs!E48" ref="E24"/>
    <hyperlink display="Effective net coverage years provided by a CTN distributed in a trial from the Pryce et al. 2018 meta-analysis (reference value)" location="Inputs!E51" ref="E33"/>
    <hyperlink display="Adjustment for reduced net coverage provided by generic ITNs" location="Inputs!E54" ref="E41"/>
    <hyperlink display="Expected proportion of ITNs purchased that are generic ITNs" location="Inputs!E57" ref="E45"/>
    <hyperlink display="Adjustment for lower net durability in DRC than in other countries" location="Inputs!E60" ref="E51"/>
    <hyperlink display="Effective coverage years provided per net in the 1st year after a grantee ITN distribution" location="'Effective coverage'!E34" ref="E57"/>
    <hyperlink display="Effective coverage years provided per net in the 2nd year after a grantee ITN distribution" location="'Effective coverage'!E35" ref="E58"/>
    <hyperlink display="Effective coverage years provided per net in the 3rd year after a grantee ITN distribution" location="'Effective coverage'!E36" ref="E59"/>
    <hyperlink display="Effective coverage years provided per net in the 4th year after a grantee ITN distribution" location="Inputs!E63" ref="E60"/>
    <hyperlink display="Effective coverage years provided per net in the 5th year after a grantee ITN distribution" location="Inputs!E64" ref="E61"/>
    <hyperlink display="Effective coverage years provided per net in the 6th year after a grantee ITN distribution" location="Inputs!E65" ref="E62"/>
    <hyperlink display="Adjustment for lower effective coverage years provided in the 1st year after a grantee ITN distribution in DRC" location="Inputs!E68" ref="E74"/>
    <hyperlink display="Adjustment for lower effective coverage years provided in the 2nd year after a grantee ITN distribution in DRC" location="Inputs!E69" ref="E75"/>
    <hyperlink display="Adjustment for lower effective coverage years provided in the 3rd year after a grantee ITN distribution in DRC" location="Inputs!E70" ref="E76"/>
    <hyperlink display="Standard number of months between ITN distributions as modeled in this CEA" location="Inputs!E73" ref="E92"/>
    <hyperlink display="Expected number of months between the previous net distribution and the upcoming distribution in the absence of a grant" location="Inputs!E74" ref="E93"/>
    <hyperlink display="Expected number of months between the previous net distribution and the upcoming distribution if a grant is made" location="Inputs!E75" ref="E94"/>
    <hyperlink display="Total cost per insecticide-treated net (ITN) distributed" location="Inputs!E16" ref="E98"/>
    <hyperlink display="Average coverage years provided per net per year over the length of the distribution interval in the absence of a grant" location="'Net decay model'!A1" ref="E106"/>
    <hyperlink display="Average coverage years provided per net per year over the distribution interval if a grant is made" location="'Net decay model'!A1" ref="E107"/>
    <hyperlink display="Standard number of months between ITN distributions as modeled in this CEA" location="'Effective coverage'!E92" ref="E119"/>
    <hyperlink display="Expected number of months between the previous net distribution and the upcoming distribution in the absence of a grant" location="'Effective coverage'!E93" ref="E120"/>
    <hyperlink display="Expected number of months between the previous net distribution and the upcoming distribution if a grant is made" location="'Effective coverage'!E94" ref="E121"/>
    <hyperlink display="Proportion of residual nets that is retained at start of a new distribution" location="Inputs!E78" ref="E129"/>
    <hyperlink display="Proportion of residual nets that is discarded at start of a new distribution" location="Inputs!E79" ref="E130"/>
    <hyperlink display="Proportion of net durability studies that capture contributions from residual nets" location="Inputs!E80" ref="E13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411</v>
      </c>
      <c r="B3" s="54"/>
      <c r="C3" s="54"/>
      <c r="D3" s="54"/>
      <c r="E3" s="54"/>
      <c r="F3" s="105" t="s">
        <v>126</v>
      </c>
      <c r="G3" s="105" t="s">
        <v>127</v>
      </c>
      <c r="H3" s="107" t="s">
        <v>128</v>
      </c>
      <c r="I3" s="108"/>
      <c r="J3" s="108"/>
      <c r="K3" s="108"/>
      <c r="L3" s="108" t="s">
        <v>129</v>
      </c>
      <c r="M3" s="108" t="s">
        <v>130</v>
      </c>
      <c r="N3" s="108"/>
      <c r="O3" s="108"/>
      <c r="P3" s="109"/>
      <c r="Q3" s="360"/>
    </row>
    <row r="4">
      <c r="A4" s="112"/>
      <c r="B4" s="112"/>
      <c r="C4" s="112"/>
      <c r="D4" s="112"/>
      <c r="E4" s="113" t="s">
        <v>307</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1" t="s">
        <v>412</v>
      </c>
      <c r="B5" s="54"/>
      <c r="C5" s="54"/>
      <c r="D5" s="54"/>
      <c r="E5" s="54"/>
      <c r="F5" s="54"/>
      <c r="G5" s="54"/>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413</v>
      </c>
      <c r="F7" s="125"/>
      <c r="G7" s="363"/>
      <c r="H7" s="127"/>
      <c r="I7" s="132"/>
      <c r="J7" s="132"/>
      <c r="K7" s="132"/>
      <c r="L7" s="132"/>
      <c r="M7" s="132"/>
      <c r="N7" s="132"/>
      <c r="O7" s="132"/>
      <c r="P7" s="132"/>
      <c r="Q7" s="11"/>
    </row>
    <row r="8">
      <c r="A8" s="122"/>
      <c r="B8" s="123"/>
      <c r="C8" s="162"/>
      <c r="D8" s="123"/>
      <c r="E8" s="198" t="s">
        <v>414</v>
      </c>
      <c r="F8" s="188" t="str">
        <f>Inputs!F85</f>
        <v>#</v>
      </c>
      <c r="G8" s="366" t="str">
        <f>Inputs!G85</f>
        <v>input</v>
      </c>
      <c r="H8" s="296" t="str">
        <f>Inputs!H85</f>
        <v>-</v>
      </c>
      <c r="I8" s="258">
        <f>Inputs!I85</f>
        <v>679765.5845</v>
      </c>
      <c r="J8" s="258">
        <f>Inputs!J85</f>
        <v>2588275.621</v>
      </c>
      <c r="K8" s="258">
        <f>Inputs!K85</f>
        <v>418381.7553</v>
      </c>
      <c r="L8" s="258">
        <f>Inputs!L85</f>
        <v>3254748</v>
      </c>
      <c r="M8" s="258">
        <f>Inputs!M85</f>
        <v>1982320</v>
      </c>
      <c r="N8" s="258">
        <f>Inputs!N85</f>
        <v>312473.8751</v>
      </c>
      <c r="O8" s="258">
        <f>Inputs!O85</f>
        <v>209954.9274</v>
      </c>
      <c r="P8" s="258">
        <f>Inputs!P85</f>
        <v>1389726.819</v>
      </c>
      <c r="Q8" s="16"/>
    </row>
    <row r="9">
      <c r="A9" s="122"/>
      <c r="B9" s="123"/>
      <c r="C9" s="162"/>
      <c r="D9" s="123"/>
      <c r="E9" s="181" t="s">
        <v>415</v>
      </c>
      <c r="F9" s="221" t="str">
        <f>Inputs!F86</f>
        <v>#</v>
      </c>
      <c r="G9" s="374" t="str">
        <f>Inputs!G86</f>
        <v>input</v>
      </c>
      <c r="H9" s="439" t="str">
        <f>Inputs!H86</f>
        <v>-</v>
      </c>
      <c r="I9" s="275">
        <f>Inputs!I86</f>
        <v>2593740.178</v>
      </c>
      <c r="J9" s="275">
        <f>Inputs!J86</f>
        <v>10821148.61</v>
      </c>
      <c r="K9" s="275">
        <f>Inputs!K86</f>
        <v>1689051.292</v>
      </c>
      <c r="L9" s="275">
        <f>Inputs!L86</f>
        <v>12757890</v>
      </c>
      <c r="M9" s="275">
        <f>Inputs!M86</f>
        <v>7939853</v>
      </c>
      <c r="N9" s="275">
        <f>Inputs!N86</f>
        <v>1176806.224</v>
      </c>
      <c r="O9" s="275">
        <f>Inputs!O86</f>
        <v>887125.4327</v>
      </c>
      <c r="P9" s="275">
        <f>Inputs!P86</f>
        <v>5581405.246</v>
      </c>
      <c r="Q9" s="47"/>
    </row>
    <row r="10">
      <c r="A10" s="122"/>
      <c r="B10" s="123"/>
      <c r="C10" s="162"/>
      <c r="D10" s="162"/>
      <c r="E10" s="139"/>
      <c r="F10" s="125"/>
      <c r="G10" s="363"/>
      <c r="H10" s="127"/>
      <c r="I10" s="132"/>
      <c r="J10" s="132"/>
      <c r="K10" s="132"/>
      <c r="L10" s="132"/>
      <c r="M10" s="132"/>
      <c r="N10" s="132"/>
      <c r="O10" s="132"/>
      <c r="P10" s="132"/>
      <c r="Q10" s="11"/>
    </row>
    <row r="11">
      <c r="A11" s="122"/>
      <c r="B11" s="123"/>
      <c r="C11" s="162" t="s">
        <v>416</v>
      </c>
      <c r="F11" s="140"/>
      <c r="G11" s="379"/>
      <c r="H11" s="209"/>
      <c r="I11" s="326"/>
      <c r="J11" s="326"/>
      <c r="K11" s="326"/>
      <c r="L11" s="326"/>
      <c r="M11" s="326"/>
      <c r="N11" s="326"/>
      <c r="O11" s="326"/>
      <c r="P11" s="326"/>
      <c r="Q11" s="11"/>
    </row>
    <row r="12">
      <c r="A12" s="122"/>
      <c r="B12" s="123"/>
      <c r="C12" s="123"/>
      <c r="D12" s="211"/>
      <c r="E12" s="198" t="s">
        <v>417</v>
      </c>
      <c r="F12" s="188" t="str">
        <f>Inputs!F89</f>
        <v>per 100k</v>
      </c>
      <c r="G12" s="380" t="str">
        <f>Inputs!G89</f>
        <v>input</v>
      </c>
      <c r="H12" s="235" t="str">
        <f>Inputs!H89</f>
        <v>-</v>
      </c>
      <c r="I12" s="213">
        <f>Inputs!I89</f>
        <v>206.3169556</v>
      </c>
      <c r="J12" s="213">
        <f>Inputs!J89</f>
        <v>676.6709689</v>
      </c>
      <c r="K12" s="213">
        <f>Inputs!K89</f>
        <v>597.0245755</v>
      </c>
      <c r="L12" s="213">
        <f>Inputs!L89</f>
        <v>279.38</v>
      </c>
      <c r="M12" s="213">
        <f>Inputs!M89</f>
        <v>339.26</v>
      </c>
      <c r="N12" s="213">
        <f>Inputs!N89</f>
        <v>633.5822854</v>
      </c>
      <c r="O12" s="213">
        <f>Inputs!O89</f>
        <v>273.9085238</v>
      </c>
      <c r="P12" s="213">
        <f>Inputs!P89</f>
        <v>535.9722374</v>
      </c>
      <c r="Q12" s="16"/>
    </row>
    <row r="13">
      <c r="A13" s="122"/>
      <c r="B13" s="123"/>
      <c r="C13" s="123"/>
      <c r="D13" s="123"/>
      <c r="E13" s="216" t="s">
        <v>418</v>
      </c>
      <c r="F13" s="217" t="str">
        <f>Inputs!F90</f>
        <v>per 100k</v>
      </c>
      <c r="G13" s="382" t="str">
        <f>Inputs!G90</f>
        <v>input</v>
      </c>
      <c r="H13" s="308" t="str">
        <f>Inputs!H90</f>
        <v>-</v>
      </c>
      <c r="I13" s="231">
        <f>Inputs!I90</f>
        <v>112.3965653</v>
      </c>
      <c r="J13" s="231">
        <f>Inputs!J90</f>
        <v>216.900166</v>
      </c>
      <c r="K13" s="231">
        <f>Inputs!K90</f>
        <v>310.5104231</v>
      </c>
      <c r="L13" s="231">
        <f>Inputs!L90</f>
        <v>268.21</v>
      </c>
      <c r="M13" s="231">
        <f>Inputs!M90</f>
        <v>278.52</v>
      </c>
      <c r="N13" s="231">
        <f>Inputs!N90</f>
        <v>150.1960967</v>
      </c>
      <c r="O13" s="231">
        <f>Inputs!O90</f>
        <v>137.8812522</v>
      </c>
      <c r="P13" s="231">
        <f>Inputs!P90</f>
        <v>160.1204666</v>
      </c>
      <c r="Q13" s="20"/>
    </row>
    <row r="14">
      <c r="A14" s="122"/>
      <c r="B14" s="123"/>
      <c r="C14" s="123"/>
      <c r="D14" s="123"/>
      <c r="E14" s="216" t="s">
        <v>419</v>
      </c>
      <c r="F14" s="217" t="s">
        <v>69</v>
      </c>
      <c r="G14" s="382" t="s">
        <v>143</v>
      </c>
      <c r="H14" s="308" t="s">
        <v>144</v>
      </c>
      <c r="I14" s="231">
        <f t="shared" ref="I14:P14" si="1">(I12*I8+I13*I9)/100000</f>
        <v>4317.746532</v>
      </c>
      <c r="J14" s="231">
        <f t="shared" si="1"/>
        <v>40985.19902</v>
      </c>
      <c r="K14" s="231">
        <f t="shared" si="1"/>
        <v>7742.522212</v>
      </c>
      <c r="L14" s="231">
        <f t="shared" si="1"/>
        <v>43311.05173</v>
      </c>
      <c r="M14" s="231">
        <f t="shared" si="1"/>
        <v>28839.29741</v>
      </c>
      <c r="N14" s="231">
        <f t="shared" si="1"/>
        <v>3747.296133</v>
      </c>
      <c r="O14" s="231">
        <f t="shared" si="1"/>
        <v>1798.264097</v>
      </c>
      <c r="P14" s="231">
        <f t="shared" si="1"/>
        <v>16385.52205</v>
      </c>
      <c r="Q14" s="20"/>
    </row>
    <row r="15">
      <c r="A15" s="122"/>
      <c r="B15" s="123"/>
      <c r="C15" s="168"/>
      <c r="D15" s="168"/>
      <c r="E15" s="181" t="s">
        <v>189</v>
      </c>
      <c r="F15" s="221" t="s">
        <v>79</v>
      </c>
      <c r="G15" s="374" t="s">
        <v>143</v>
      </c>
      <c r="H15" s="440" t="s">
        <v>144</v>
      </c>
      <c r="I15" s="441">
        <f t="shared" ref="I15:P15" si="2">I14/SUM(I8:I9)</f>
        <v>0.001318997688</v>
      </c>
      <c r="J15" s="441">
        <f t="shared" si="2"/>
        <v>0.00305644734</v>
      </c>
      <c r="K15" s="441">
        <f t="shared" si="2"/>
        <v>0.003673911359</v>
      </c>
      <c r="L15" s="441">
        <f t="shared" si="2"/>
        <v>0.002704804276</v>
      </c>
      <c r="M15" s="441">
        <f t="shared" si="2"/>
        <v>0.002906550552</v>
      </c>
      <c r="N15" s="441">
        <f t="shared" si="2"/>
        <v>0.002516179553</v>
      </c>
      <c r="O15" s="441">
        <f t="shared" si="2"/>
        <v>0.001639136168</v>
      </c>
      <c r="P15" s="441">
        <f t="shared" si="2"/>
        <v>0.002350482231</v>
      </c>
      <c r="Q15" s="47"/>
    </row>
    <row r="16">
      <c r="A16" s="122"/>
      <c r="B16" s="123"/>
      <c r="C16" s="168"/>
      <c r="D16" s="168"/>
      <c r="E16" s="139"/>
      <c r="F16" s="442"/>
      <c r="G16" s="443"/>
      <c r="H16" s="224"/>
      <c r="I16" s="387"/>
      <c r="J16" s="387"/>
      <c r="K16" s="387"/>
      <c r="L16" s="387"/>
      <c r="M16" s="387"/>
      <c r="N16" s="387"/>
      <c r="O16" s="387"/>
      <c r="P16" s="387"/>
      <c r="Q16" s="11"/>
    </row>
    <row r="17">
      <c r="A17" s="122"/>
      <c r="B17" s="123"/>
      <c r="C17" s="168" t="s">
        <v>420</v>
      </c>
      <c r="G17" s="443"/>
      <c r="H17" s="224"/>
      <c r="I17" s="387"/>
      <c r="J17" s="387"/>
      <c r="K17" s="387"/>
      <c r="L17" s="387"/>
      <c r="M17" s="387"/>
      <c r="N17" s="387"/>
      <c r="O17" s="387"/>
      <c r="P17" s="387"/>
      <c r="Q17" s="11"/>
    </row>
    <row r="18">
      <c r="A18" s="122"/>
      <c r="B18" s="123"/>
      <c r="C18" s="168"/>
      <c r="D18" s="168"/>
      <c r="E18" s="198" t="s">
        <v>421</v>
      </c>
      <c r="F18" s="170" t="str">
        <f>Inputs!F93</f>
        <v>#</v>
      </c>
      <c r="G18" s="444" t="str">
        <f>Inputs!G93</f>
        <v>input</v>
      </c>
      <c r="H18" s="227" t="str">
        <f>Inputs!H93</f>
        <v>-</v>
      </c>
      <c r="I18" s="228" t="str">
        <f>Inputs!I93</f>
        <v>-</v>
      </c>
      <c r="J18" s="228" t="str">
        <f>Inputs!J93</f>
        <v>-</v>
      </c>
      <c r="K18" s="228" t="str">
        <f>Inputs!K93</f>
        <v>-</v>
      </c>
      <c r="L18" s="213">
        <f>Inputs!L93</f>
        <v>6450000</v>
      </c>
      <c r="M18" s="213">
        <f>Inputs!M93</f>
        <v>8960943</v>
      </c>
      <c r="N18" s="213" t="str">
        <f>Inputs!N93</f>
        <v>-</v>
      </c>
      <c r="O18" s="213">
        <f>Inputs!O93</f>
        <v>490000</v>
      </c>
      <c r="P18" s="228" t="str">
        <f>Inputs!P93</f>
        <v>-</v>
      </c>
      <c r="Q18" s="16"/>
    </row>
    <row r="19">
      <c r="A19" s="122"/>
      <c r="B19" s="123"/>
      <c r="C19" s="168"/>
      <c r="D19" s="168"/>
      <c r="E19" s="216" t="s">
        <v>422</v>
      </c>
      <c r="F19" s="176" t="s">
        <v>69</v>
      </c>
      <c r="G19" s="445" t="s">
        <v>143</v>
      </c>
      <c r="H19" s="230" t="s">
        <v>144</v>
      </c>
      <c r="I19" s="231" t="s">
        <v>144</v>
      </c>
      <c r="J19" s="231" t="s">
        <v>144</v>
      </c>
      <c r="K19" s="231" t="s">
        <v>144</v>
      </c>
      <c r="L19" s="231">
        <f t="shared" ref="L19:O19" si="3">SUM(L8:L9)</f>
        <v>16012638</v>
      </c>
      <c r="M19" s="231">
        <f t="shared" si="3"/>
        <v>9922173</v>
      </c>
      <c r="N19" s="231">
        <f t="shared" si="3"/>
        <v>1489280.099</v>
      </c>
      <c r="O19" s="231">
        <f t="shared" si="3"/>
        <v>1097080.36</v>
      </c>
      <c r="P19" s="231" t="s">
        <v>144</v>
      </c>
      <c r="Q19" s="20"/>
    </row>
    <row r="20">
      <c r="A20" s="122"/>
      <c r="B20" s="123"/>
      <c r="C20" s="168"/>
      <c r="D20" s="168"/>
      <c r="E20" s="216" t="s">
        <v>423</v>
      </c>
      <c r="F20" s="176" t="s">
        <v>79</v>
      </c>
      <c r="G20" s="445" t="s">
        <v>143</v>
      </c>
      <c r="H20" s="230" t="str">
        <f t="shared" ref="H20:P20" si="4">IF(H18="-","-",H18/H19)</f>
        <v>-</v>
      </c>
      <c r="I20" s="232" t="str">
        <f t="shared" si="4"/>
        <v>-</v>
      </c>
      <c r="J20" s="232" t="str">
        <f t="shared" si="4"/>
        <v>-</v>
      </c>
      <c r="K20" s="232" t="str">
        <f t="shared" si="4"/>
        <v>-</v>
      </c>
      <c r="L20" s="239">
        <f t="shared" si="4"/>
        <v>0.402806833</v>
      </c>
      <c r="M20" s="239">
        <f t="shared" si="4"/>
        <v>0.9031230356</v>
      </c>
      <c r="N20" s="239" t="str">
        <f t="shared" si="4"/>
        <v>-</v>
      </c>
      <c r="O20" s="239">
        <f t="shared" si="4"/>
        <v>0.4466400255</v>
      </c>
      <c r="P20" s="232" t="str">
        <f t="shared" si="4"/>
        <v>-</v>
      </c>
      <c r="Q20" s="20"/>
    </row>
    <row r="21">
      <c r="A21" s="122"/>
      <c r="B21" s="123"/>
      <c r="C21" s="168"/>
      <c r="D21" s="168"/>
      <c r="E21" s="216" t="s">
        <v>424</v>
      </c>
      <c r="F21" s="176" t="str">
        <f>Inputs!F94</f>
        <v>%</v>
      </c>
      <c r="G21" s="445" t="str">
        <f>Inputs!G94</f>
        <v>input</v>
      </c>
      <c r="H21" s="230" t="str">
        <f>Inputs!H94</f>
        <v>-</v>
      </c>
      <c r="I21" s="232" t="str">
        <f>Inputs!I94</f>
        <v>-</v>
      </c>
      <c r="J21" s="232" t="str">
        <f>Inputs!J94</f>
        <v>-</v>
      </c>
      <c r="K21" s="232" t="str">
        <f>Inputs!K94</f>
        <v>-</v>
      </c>
      <c r="L21" s="239" t="str">
        <f>Inputs!L94</f>
        <v>-</v>
      </c>
      <c r="M21" s="239" t="str">
        <f>Inputs!M94</f>
        <v>-</v>
      </c>
      <c r="N21" s="239">
        <f>Inputs!N94</f>
        <v>0.3</v>
      </c>
      <c r="O21" s="239" t="str">
        <f>Inputs!O94</f>
        <v>-</v>
      </c>
      <c r="P21" s="232" t="str">
        <f>Inputs!P94</f>
        <v>-</v>
      </c>
      <c r="Q21" s="446" t="str">
        <f>Inputs!Q94</f>
        <v/>
      </c>
    </row>
    <row r="22">
      <c r="A22" s="122"/>
      <c r="B22" s="123"/>
      <c r="C22" s="168"/>
      <c r="D22" s="168"/>
      <c r="E22" s="216" t="s">
        <v>425</v>
      </c>
      <c r="F22" s="176" t="str">
        <f>Inputs!F95</f>
        <v>%</v>
      </c>
      <c r="G22" s="445" t="str">
        <f>Inputs!G95</f>
        <v>input</v>
      </c>
      <c r="H22" s="230" t="str">
        <f>Inputs!H95</f>
        <v>-</v>
      </c>
      <c r="I22" s="232" t="str">
        <f>Inputs!I95</f>
        <v>-</v>
      </c>
      <c r="J22" s="232" t="str">
        <f>Inputs!J95</f>
        <v>-</v>
      </c>
      <c r="K22" s="232" t="str">
        <f>Inputs!K95</f>
        <v>-</v>
      </c>
      <c r="L22" s="232" t="str">
        <f>Inputs!L95</f>
        <v>-</v>
      </c>
      <c r="M22" s="232" t="str">
        <f>Inputs!M95</f>
        <v>-</v>
      </c>
      <c r="N22" s="232" t="s">
        <v>144</v>
      </c>
      <c r="O22" s="239">
        <f>Inputs!O95</f>
        <v>0.7</v>
      </c>
      <c r="P22" s="232" t="str">
        <f>Inputs!P95</f>
        <v>-</v>
      </c>
      <c r="Q22" s="20"/>
    </row>
    <row r="23">
      <c r="A23" s="122"/>
      <c r="B23" s="123"/>
      <c r="C23" s="168"/>
      <c r="D23" s="168"/>
      <c r="E23" s="216" t="s">
        <v>426</v>
      </c>
      <c r="F23" s="176" t="str">
        <f>Inputs!F96</f>
        <v>%</v>
      </c>
      <c r="G23" s="445" t="str">
        <f>Inputs!G96</f>
        <v>input</v>
      </c>
      <c r="H23" s="230" t="str">
        <f>Inputs!H96</f>
        <v>-</v>
      </c>
      <c r="I23" s="232" t="str">
        <f>Inputs!I96</f>
        <v>-</v>
      </c>
      <c r="J23" s="232" t="str">
        <f>Inputs!J96</f>
        <v>-</v>
      </c>
      <c r="K23" s="232" t="str">
        <f>Inputs!K96</f>
        <v>-</v>
      </c>
      <c r="L23" s="232" t="str">
        <f>Inputs!L96</f>
        <v>-</v>
      </c>
      <c r="M23" s="232" t="str">
        <f>Inputs!M96</f>
        <v>-</v>
      </c>
      <c r="N23" s="232" t="s">
        <v>144</v>
      </c>
      <c r="O23" s="239">
        <f>Inputs!O96</f>
        <v>0.3</v>
      </c>
      <c r="P23" s="232" t="str">
        <f>Inputs!P96</f>
        <v>-</v>
      </c>
      <c r="Q23" s="20"/>
    </row>
    <row r="24">
      <c r="A24" s="122"/>
      <c r="B24" s="123"/>
      <c r="C24" s="168"/>
      <c r="D24" s="168"/>
      <c r="E24" s="216" t="s">
        <v>427</v>
      </c>
      <c r="F24" s="176" t="s">
        <v>79</v>
      </c>
      <c r="G24" s="445" t="s">
        <v>143</v>
      </c>
      <c r="H24" s="230" t="s">
        <v>144</v>
      </c>
      <c r="I24" s="239">
        <v>1.0</v>
      </c>
      <c r="J24" s="239" t="str">
        <f t="shared" ref="J24:P24" si="5">IF(J22="-",IF(J20="-",IF(J21="-","-",J21),J20),(J20*J22)+J23)</f>
        <v>-</v>
      </c>
      <c r="K24" s="239" t="str">
        <f t="shared" si="5"/>
        <v>-</v>
      </c>
      <c r="L24" s="239">
        <f t="shared" si="5"/>
        <v>0.402806833</v>
      </c>
      <c r="M24" s="239">
        <f t="shared" si="5"/>
        <v>0.9031230356</v>
      </c>
      <c r="N24" s="239">
        <f t="shared" si="5"/>
        <v>0.3</v>
      </c>
      <c r="O24" s="239">
        <f t="shared" si="5"/>
        <v>0.6126480178</v>
      </c>
      <c r="P24" s="239" t="str">
        <f t="shared" si="5"/>
        <v>-</v>
      </c>
      <c r="Q24" s="447"/>
    </row>
    <row r="25">
      <c r="A25" s="122"/>
      <c r="B25" s="123"/>
      <c r="C25" s="168"/>
      <c r="D25" s="168"/>
      <c r="E25" s="216" t="s">
        <v>428</v>
      </c>
      <c r="F25" s="176" t="str">
        <f>Inputs!F97</f>
        <v>per 1k</v>
      </c>
      <c r="G25" s="445" t="str">
        <f>Inputs!G97</f>
        <v>input</v>
      </c>
      <c r="H25" s="230" t="str">
        <f>Inputs!H97</f>
        <v>-</v>
      </c>
      <c r="I25" s="232">
        <f>Inputs!I97</f>
        <v>0.91339</v>
      </c>
      <c r="J25" s="232">
        <f>Inputs!J97</f>
        <v>0</v>
      </c>
      <c r="K25" s="232">
        <f>Inputs!K97</f>
        <v>0</v>
      </c>
      <c r="L25" s="232">
        <f>Inputs!L97</f>
        <v>1.57538</v>
      </c>
      <c r="M25" s="232">
        <f>Inputs!M97</f>
        <v>1.57538</v>
      </c>
      <c r="N25" s="232">
        <f>Inputs!N97</f>
        <v>1.44814</v>
      </c>
      <c r="O25" s="232">
        <f>Inputs!O97</f>
        <v>1.15931</v>
      </c>
      <c r="P25" s="232">
        <f>Inputs!P97</f>
        <v>0</v>
      </c>
      <c r="Q25" s="20"/>
    </row>
    <row r="26">
      <c r="A26" s="122"/>
      <c r="B26" s="123"/>
      <c r="C26" s="168"/>
      <c r="D26" s="168"/>
      <c r="E26" s="181" t="s">
        <v>192</v>
      </c>
      <c r="F26" s="221" t="s">
        <v>81</v>
      </c>
      <c r="G26" s="384" t="s">
        <v>143</v>
      </c>
      <c r="H26" s="440" t="s">
        <v>144</v>
      </c>
      <c r="I26" s="441">
        <f t="shared" ref="I26:P26" si="6">IF(I24="-",0,(I24*I25/1000))</f>
        <v>0.00091339</v>
      </c>
      <c r="J26" s="441">
        <f t="shared" si="6"/>
        <v>0</v>
      </c>
      <c r="K26" s="441">
        <f t="shared" si="6"/>
        <v>0</v>
      </c>
      <c r="L26" s="441">
        <f t="shared" si="6"/>
        <v>0.0006345738285</v>
      </c>
      <c r="M26" s="441">
        <f t="shared" si="6"/>
        <v>0.001422761968</v>
      </c>
      <c r="N26" s="441">
        <f t="shared" si="6"/>
        <v>0.000434442</v>
      </c>
      <c r="O26" s="441">
        <f t="shared" si="6"/>
        <v>0.0007102489736</v>
      </c>
      <c r="P26" s="441">
        <f t="shared" si="6"/>
        <v>0</v>
      </c>
      <c r="Q26" s="47"/>
    </row>
    <row r="27">
      <c r="A27" s="122"/>
      <c r="B27" s="123"/>
      <c r="C27" s="168"/>
      <c r="D27" s="168"/>
      <c r="E27" s="139"/>
      <c r="F27" s="140"/>
      <c r="G27" s="379"/>
      <c r="H27" s="224"/>
      <c r="I27" s="448"/>
      <c r="J27" s="448"/>
      <c r="K27" s="448"/>
      <c r="L27" s="448"/>
      <c r="M27" s="448"/>
      <c r="N27" s="448"/>
      <c r="O27" s="387"/>
      <c r="P27" s="387"/>
      <c r="Q27" s="11"/>
    </row>
    <row r="28">
      <c r="A28" s="118" t="s">
        <v>429</v>
      </c>
      <c r="B28" s="6"/>
      <c r="C28" s="6"/>
      <c r="D28" s="6"/>
      <c r="E28" s="6"/>
      <c r="F28" s="6"/>
      <c r="G28" s="6"/>
      <c r="H28" s="203"/>
      <c r="I28" s="204"/>
      <c r="J28" s="204"/>
      <c r="K28" s="204"/>
      <c r="L28" s="204"/>
      <c r="M28" s="204"/>
      <c r="N28" s="204"/>
      <c r="O28" s="204"/>
      <c r="P28" s="204"/>
      <c r="Q28" s="422"/>
    </row>
    <row r="29">
      <c r="A29" s="122"/>
      <c r="B29" s="123"/>
      <c r="C29" s="242"/>
      <c r="D29" s="123"/>
      <c r="E29" s="124"/>
      <c r="F29" s="125"/>
      <c r="G29" s="125"/>
      <c r="H29" s="127"/>
      <c r="I29" s="208"/>
      <c r="J29" s="208"/>
      <c r="K29" s="208"/>
      <c r="L29" s="208"/>
      <c r="M29" s="208"/>
      <c r="N29" s="208"/>
      <c r="O29" s="132"/>
      <c r="P29" s="132"/>
      <c r="Q29" s="11"/>
    </row>
    <row r="30">
      <c r="A30" s="122"/>
      <c r="B30" s="123"/>
      <c r="C30" s="168" t="s">
        <v>430</v>
      </c>
      <c r="F30" s="125"/>
      <c r="G30" s="363"/>
      <c r="H30" s="424"/>
      <c r="I30" s="132"/>
      <c r="J30" s="132"/>
      <c r="K30" s="132"/>
      <c r="L30" s="132"/>
      <c r="M30" s="132"/>
      <c r="N30" s="132"/>
      <c r="O30" s="132"/>
      <c r="P30" s="132"/>
      <c r="Q30" s="11"/>
    </row>
    <row r="31">
      <c r="A31" s="122"/>
      <c r="B31" s="123"/>
      <c r="C31" s="123"/>
      <c r="D31" s="123"/>
      <c r="E31" s="198" t="s">
        <v>431</v>
      </c>
      <c r="F31" s="188" t="str">
        <f>Inputs!F100</f>
        <v>per 100k</v>
      </c>
      <c r="G31" s="199" t="str">
        <f>Inputs!G100</f>
        <v>input</v>
      </c>
      <c r="H31" s="250" t="str">
        <f>Inputs!H100</f>
        <v>-</v>
      </c>
      <c r="I31" s="258">
        <f>Inputs!I100</f>
        <v>22099.69987</v>
      </c>
      <c r="J31" s="258">
        <f>Inputs!J100</f>
        <v>87914.33967</v>
      </c>
      <c r="K31" s="258">
        <f>Inputs!K100</f>
        <v>71510.2768</v>
      </c>
      <c r="L31" s="258">
        <f>Inputs!L100</f>
        <v>61766.0557</v>
      </c>
      <c r="M31" s="258">
        <f>Inputs!M100</f>
        <v>75404.46357</v>
      </c>
      <c r="N31" s="258">
        <f>Inputs!N100</f>
        <v>58925.09826</v>
      </c>
      <c r="O31" s="258">
        <f>Inputs!O100</f>
        <v>73532.86785</v>
      </c>
      <c r="P31" s="258">
        <f>Inputs!P100</f>
        <v>65525.52366</v>
      </c>
      <c r="Q31" s="16"/>
    </row>
    <row r="32">
      <c r="A32" s="122"/>
      <c r="B32" s="123"/>
      <c r="C32" s="123"/>
      <c r="D32" s="123"/>
      <c r="E32" s="216" t="s">
        <v>432</v>
      </c>
      <c r="F32" s="217" t="str">
        <f>Inputs!F101</f>
        <v>per 100k</v>
      </c>
      <c r="G32" s="218" t="str">
        <f>Inputs!G101</f>
        <v>input</v>
      </c>
      <c r="H32" s="261" t="str">
        <f>Inputs!H101</f>
        <v>-</v>
      </c>
      <c r="I32" s="259">
        <f>Inputs!I101</f>
        <v>22099.69987</v>
      </c>
      <c r="J32" s="259">
        <f>Inputs!J101</f>
        <v>35845.96564</v>
      </c>
      <c r="K32" s="259">
        <f>Inputs!K101</f>
        <v>29839.07359</v>
      </c>
      <c r="L32" s="259">
        <f>Inputs!L101</f>
        <v>26873.55512</v>
      </c>
      <c r="M32" s="259">
        <f>Inputs!M101</f>
        <v>32080.31149</v>
      </c>
      <c r="N32" s="259">
        <f>Inputs!N101</f>
        <v>24977.74508</v>
      </c>
      <c r="O32" s="259">
        <f>Inputs!O101</f>
        <v>30845.0741</v>
      </c>
      <c r="P32" s="259">
        <f>Inputs!P101</f>
        <v>27394.99883</v>
      </c>
      <c r="Q32" s="20"/>
    </row>
    <row r="33">
      <c r="A33" s="122"/>
      <c r="B33" s="123"/>
      <c r="C33" s="243"/>
      <c r="D33" s="123"/>
      <c r="E33" s="216" t="s">
        <v>186</v>
      </c>
      <c r="F33" s="217" t="str">
        <f>'Main CEA'!F67</f>
        <v>%</v>
      </c>
      <c r="G33" s="218" t="s">
        <v>132</v>
      </c>
      <c r="H33" s="153" t="str">
        <f>'Main CEA'!H67</f>
        <v>-</v>
      </c>
      <c r="I33" s="154">
        <f>'Main CEA'!I67</f>
        <v>0.2402078397</v>
      </c>
      <c r="J33" s="154">
        <f>'Main CEA'!J67</f>
        <v>0.558318464</v>
      </c>
      <c r="K33" s="154">
        <f>'Main CEA'!K67</f>
        <v>0.4600684292</v>
      </c>
      <c r="L33" s="154">
        <f>'Main CEA'!L67</f>
        <v>0.5016739686</v>
      </c>
      <c r="M33" s="154">
        <f>'Main CEA'!M67</f>
        <v>0.5016739686</v>
      </c>
      <c r="N33" s="154">
        <f>'Main CEA'!N67</f>
        <v>0.4018858601</v>
      </c>
      <c r="O33" s="154">
        <f>'Main CEA'!O67</f>
        <v>0.3892651892</v>
      </c>
      <c r="P33" s="154">
        <f>'Main CEA'!P67</f>
        <v>0.513467417</v>
      </c>
      <c r="Q33" s="20"/>
    </row>
    <row r="34">
      <c r="A34" s="122"/>
      <c r="B34" s="123"/>
      <c r="C34" s="243"/>
      <c r="D34" s="123"/>
      <c r="E34" s="216" t="s">
        <v>194</v>
      </c>
      <c r="F34" s="217" t="str">
        <f>Inputs!F137</f>
        <v>%</v>
      </c>
      <c r="G34" s="449" t="str">
        <f>Inputs!G137</f>
        <v>input</v>
      </c>
      <c r="H34" s="172" t="str">
        <f>Inputs!H137</f>
        <v>-</v>
      </c>
      <c r="I34" s="148">
        <f>Inputs!I137</f>
        <v>0.313</v>
      </c>
      <c r="J34" s="148">
        <f>Inputs!J137</f>
        <v>0.591</v>
      </c>
      <c r="K34" s="148">
        <f>Inputs!K137</f>
        <v>0.586</v>
      </c>
      <c r="L34" s="148">
        <f>Inputs!L137</f>
        <v>0.51</v>
      </c>
      <c r="M34" s="148">
        <f>Inputs!M137</f>
        <v>0.471</v>
      </c>
      <c r="N34" s="148">
        <f>Inputs!N137</f>
        <v>0.494</v>
      </c>
      <c r="O34" s="148">
        <f>Inputs!O137</f>
        <v>0.795</v>
      </c>
      <c r="P34" s="148">
        <f>Inputs!P137</f>
        <v>0.704</v>
      </c>
      <c r="Q34" s="20"/>
    </row>
    <row r="35">
      <c r="A35" s="122"/>
      <c r="B35" s="123"/>
      <c r="C35" s="243"/>
      <c r="D35" s="123"/>
      <c r="E35" s="216" t="s">
        <v>433</v>
      </c>
      <c r="F35" s="217" t="s">
        <v>79</v>
      </c>
      <c r="G35" s="218" t="s">
        <v>143</v>
      </c>
      <c r="H35" s="178" t="s">
        <v>144</v>
      </c>
      <c r="I35" s="154">
        <f t="shared" ref="I35:P35" si="7">1/((1-I33)*I34+(1-I34))-1</f>
        <v>0.08129740348</v>
      </c>
      <c r="J35" s="154">
        <f t="shared" si="7"/>
        <v>0.4924620493</v>
      </c>
      <c r="K35" s="154">
        <f t="shared" si="7"/>
        <v>0.3691130014</v>
      </c>
      <c r="L35" s="154">
        <f t="shared" si="7"/>
        <v>0.343821816</v>
      </c>
      <c r="M35" s="154">
        <f t="shared" si="7"/>
        <v>0.3093948702</v>
      </c>
      <c r="N35" s="154">
        <f t="shared" si="7"/>
        <v>0.2477098518</v>
      </c>
      <c r="O35" s="154">
        <f t="shared" si="7"/>
        <v>0.4481542504</v>
      </c>
      <c r="P35" s="154">
        <f t="shared" si="7"/>
        <v>0.56612426</v>
      </c>
      <c r="Q35" s="20"/>
    </row>
    <row r="36">
      <c r="A36" s="122"/>
      <c r="B36" s="123"/>
      <c r="C36" s="215"/>
      <c r="D36" s="123"/>
      <c r="E36" s="216" t="s">
        <v>205</v>
      </c>
      <c r="F36" s="217" t="s">
        <v>79</v>
      </c>
      <c r="G36" s="217" t="s">
        <v>143</v>
      </c>
      <c r="H36" s="178" t="s">
        <v>144</v>
      </c>
      <c r="I36" s="154">
        <f t="shared" ref="I36:P36" si="8">I31*(1+I$35)/100000</f>
        <v>0.2389634809</v>
      </c>
      <c r="J36" s="154">
        <f t="shared" si="8"/>
        <v>1.312088155</v>
      </c>
      <c r="K36" s="154">
        <f t="shared" si="8"/>
        <v>0.979056497</v>
      </c>
      <c r="L36" s="154">
        <f t="shared" si="8"/>
        <v>0.8300257314</v>
      </c>
      <c r="M36" s="154">
        <f t="shared" si="8"/>
        <v>0.9873421779</v>
      </c>
      <c r="N36" s="154">
        <f t="shared" si="8"/>
        <v>0.7352142562</v>
      </c>
      <c r="O36" s="154">
        <f t="shared" si="8"/>
        <v>1.064869351</v>
      </c>
      <c r="P36" s="154">
        <f t="shared" si="8"/>
        <v>1.026211123</v>
      </c>
      <c r="Q36" s="20"/>
    </row>
    <row r="37">
      <c r="A37" s="122"/>
      <c r="B37" s="123"/>
      <c r="C37" s="243"/>
      <c r="D37" s="243"/>
      <c r="E37" s="450" t="s">
        <v>206</v>
      </c>
      <c r="F37" s="221" t="s">
        <v>79</v>
      </c>
      <c r="G37" s="221" t="s">
        <v>143</v>
      </c>
      <c r="H37" s="184" t="s">
        <v>144</v>
      </c>
      <c r="I37" s="160">
        <f t="shared" ref="I37:P37" si="9">I32*(1+I$35)/100000</f>
        <v>0.2389634809</v>
      </c>
      <c r="J37" s="160">
        <f t="shared" si="9"/>
        <v>0.5349874334</v>
      </c>
      <c r="K37" s="160">
        <f t="shared" si="9"/>
        <v>0.408530636</v>
      </c>
      <c r="L37" s="160">
        <f t="shared" si="9"/>
        <v>0.3611326964</v>
      </c>
      <c r="M37" s="160">
        <f t="shared" si="9"/>
        <v>0.420057953</v>
      </c>
      <c r="N37" s="160">
        <f t="shared" si="9"/>
        <v>0.3116497861</v>
      </c>
      <c r="O37" s="160">
        <f t="shared" si="9"/>
        <v>0.4466842516</v>
      </c>
      <c r="P37" s="160">
        <f t="shared" si="9"/>
        <v>0.4290397227</v>
      </c>
      <c r="Q37" s="47"/>
    </row>
    <row r="38">
      <c r="A38" s="86"/>
      <c r="B38" s="55"/>
      <c r="C38" s="55"/>
      <c r="D38" s="55"/>
      <c r="E38" s="451"/>
      <c r="F38" s="55"/>
      <c r="G38" s="55"/>
      <c r="H38" s="333"/>
      <c r="I38" s="438"/>
      <c r="J38" s="438"/>
      <c r="K38" s="438"/>
      <c r="L38" s="438"/>
      <c r="M38" s="438"/>
      <c r="N38" s="438"/>
      <c r="O38" s="438"/>
      <c r="P38" s="438"/>
      <c r="Q38" s="56"/>
    </row>
  </sheetData>
  <mergeCells count="8">
    <mergeCell ref="I1:P1"/>
    <mergeCell ref="A3:E3"/>
    <mergeCell ref="A5:G5"/>
    <mergeCell ref="C7:E7"/>
    <mergeCell ref="C11:E11"/>
    <mergeCell ref="C17:F17"/>
    <mergeCell ref="A28:G28"/>
    <mergeCell ref="C30:E30"/>
  </mergeCells>
  <hyperlinks>
    <hyperlink display="Population age 1-11 months (2019)" location="Inputs!E85" ref="E8"/>
    <hyperlink display="Population age 12-59 months (2019)" location="Inputs!E86" ref="E9"/>
    <hyperlink display="Annual malaria mortality rate among 1-11-month-olds (2019)" location="Inputs!E89" ref="E12"/>
    <hyperlink display="Annual malaria mortality rate among 12-59-month-olds (2019)" location="Inputs!E90" ref="E13"/>
    <hyperlink display="Target population of 3-59 month-olds for seasonal malaria chemoprevention programs (SMC)" location="Inputs!E93" ref="E18"/>
    <hyperlink display="Proportion of total population age 1-59 months living in areas where SMC is implemented" location="Inputs!E94" ref="E21"/>
    <hyperlink display="Probability that available bed nets would be targeted across the country evenly in the absence of grantee support" location="Inputs!E95" ref="E22"/>
    <hyperlink display="Probability that available bed nets would be targeted at non-SMC areas in the absence of grantee support" location="Inputs!E96" ref="E23"/>
    <hyperlink display="Malaria-attributable deaths averted by SMC per year among 1-59-month-olds living in areas where SMC is implemented" location="Inputs!E97" ref="E25"/>
    <hyperlink display="Malaria incidence among people under age 5" location="Inputs!E100" ref="E31"/>
    <hyperlink display="Malaria incidence among people age 5 to 14" location="Inputs!E101" ref="E32"/>
    <hyperlink display="Expected reduction in malaria incidence among people under age 5 sleeping under nets" location="'Main CEA'!E67" ref="E33"/>
    <hyperlink display="Baseline proportion of 1-59-month-old children sleeping under nets" location="Inputs!E137" ref="E34"/>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434</v>
      </c>
      <c r="B3" s="54"/>
      <c r="C3" s="54"/>
      <c r="D3" s="54"/>
      <c r="E3" s="54"/>
      <c r="F3" s="105" t="s">
        <v>126</v>
      </c>
      <c r="G3" s="105" t="s">
        <v>127</v>
      </c>
      <c r="H3" s="107" t="s">
        <v>128</v>
      </c>
      <c r="I3" s="108"/>
      <c r="J3" s="108"/>
      <c r="K3" s="108"/>
      <c r="L3" s="108" t="s">
        <v>129</v>
      </c>
      <c r="M3" s="108" t="s">
        <v>130</v>
      </c>
      <c r="N3" s="108"/>
      <c r="O3" s="108"/>
      <c r="P3" s="109"/>
      <c r="Q3" s="360"/>
    </row>
    <row r="4">
      <c r="A4" s="112"/>
      <c r="B4" s="112"/>
      <c r="C4" s="112"/>
      <c r="D4" s="112"/>
      <c r="E4" s="113" t="s">
        <v>307</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435</v>
      </c>
      <c r="B5" s="6"/>
      <c r="C5" s="6"/>
      <c r="D5" s="6"/>
      <c r="E5" s="6"/>
      <c r="F5" s="6"/>
      <c r="G5" s="6"/>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436</v>
      </c>
      <c r="F7" s="125"/>
      <c r="G7" s="363"/>
      <c r="H7" s="127"/>
      <c r="I7" s="132"/>
      <c r="J7" s="132"/>
      <c r="K7" s="132"/>
      <c r="L7" s="132"/>
      <c r="M7" s="132"/>
      <c r="N7" s="132"/>
      <c r="O7" s="132"/>
      <c r="P7" s="132"/>
      <c r="Q7" s="11"/>
    </row>
    <row r="8">
      <c r="A8" s="122"/>
      <c r="B8" s="123"/>
      <c r="C8" s="123"/>
      <c r="D8" s="123"/>
      <c r="E8" s="198" t="s">
        <v>437</v>
      </c>
      <c r="F8" s="188" t="str">
        <f>Inputs!F106</f>
        <v>%</v>
      </c>
      <c r="G8" s="380" t="str">
        <f>Inputs!G106</f>
        <v>input</v>
      </c>
      <c r="H8" s="214" t="str">
        <f>Inputs!H106</f>
        <v>-</v>
      </c>
      <c r="I8" s="307">
        <f>Inputs!I106</f>
        <v>0.2369133</v>
      </c>
      <c r="J8" s="307">
        <f>Inputs!J106</f>
        <v>0.5206558</v>
      </c>
      <c r="K8" s="307">
        <f>Inputs!K106</f>
        <v>0.7017647</v>
      </c>
      <c r="L8" s="307">
        <f>Inputs!L106</f>
        <v>0.7498112</v>
      </c>
      <c r="M8" s="307">
        <f>Inputs!M106</f>
        <v>0.7498112</v>
      </c>
      <c r="N8" s="307">
        <f>Inputs!N106</f>
        <v>0.517</v>
      </c>
      <c r="O8" s="307">
        <f>Inputs!O106</f>
        <v>0.2285474</v>
      </c>
      <c r="P8" s="307">
        <f>Inputs!P106</f>
        <v>0.4379605</v>
      </c>
      <c r="Q8" s="16"/>
    </row>
    <row r="9">
      <c r="A9" s="122"/>
      <c r="B9" s="123"/>
      <c r="C9" s="162"/>
      <c r="D9" s="123"/>
      <c r="E9" s="216" t="s">
        <v>438</v>
      </c>
      <c r="F9" s="217" t="str">
        <f>Inputs!F107</f>
        <v>year</v>
      </c>
      <c r="G9" s="370" t="str">
        <f>Inputs!G107</f>
        <v>input</v>
      </c>
      <c r="H9" s="452" t="str">
        <f>Inputs!H107</f>
        <v>-</v>
      </c>
      <c r="I9" s="305">
        <f>Inputs!I107</f>
        <v>2014.93</v>
      </c>
      <c r="J9" s="305">
        <f>Inputs!J107</f>
        <v>2016.56</v>
      </c>
      <c r="K9" s="305">
        <f>Inputs!K107</f>
        <v>2016.97</v>
      </c>
      <c r="L9" s="305">
        <f>Inputs!L107</f>
        <v>2017.41</v>
      </c>
      <c r="M9" s="305">
        <f>Inputs!M107</f>
        <v>2017.41</v>
      </c>
      <c r="N9" s="305">
        <f>Inputs!N107</f>
        <v>2020</v>
      </c>
      <c r="O9" s="305">
        <f>Inputs!O107</f>
        <v>2015.47</v>
      </c>
      <c r="P9" s="305">
        <f>Inputs!P107</f>
        <v>2016.11</v>
      </c>
      <c r="Q9" s="20"/>
    </row>
    <row r="10">
      <c r="A10" s="122"/>
      <c r="B10" s="123"/>
      <c r="C10" s="162"/>
      <c r="D10" s="123"/>
      <c r="E10" s="216" t="s">
        <v>439</v>
      </c>
      <c r="F10" s="217" t="str">
        <f>Inputs!F108</f>
        <v>year</v>
      </c>
      <c r="G10" s="370" t="str">
        <f>Inputs!G108</f>
        <v>input</v>
      </c>
      <c r="H10" s="452" t="str">
        <f>Inputs!H108</f>
        <v>-</v>
      </c>
      <c r="I10" s="305">
        <f>Inputs!I108</f>
        <v>2026</v>
      </c>
      <c r="J10" s="305">
        <f>Inputs!J108</f>
        <v>2024</v>
      </c>
      <c r="K10" s="305">
        <f>Inputs!K108</f>
        <v>2025</v>
      </c>
      <c r="L10" s="305">
        <f>Inputs!L108</f>
        <v>2023</v>
      </c>
      <c r="M10" s="305">
        <f>Inputs!M108</f>
        <v>2023</v>
      </c>
      <c r="N10" s="305">
        <f>Inputs!N108</f>
        <v>2023</v>
      </c>
      <c r="O10" s="305">
        <f>Inputs!O108</f>
        <v>2023</v>
      </c>
      <c r="P10" s="305">
        <f>Inputs!P108</f>
        <v>2023</v>
      </c>
      <c r="Q10" s="20"/>
    </row>
    <row r="11">
      <c r="A11" s="122"/>
      <c r="B11" s="123"/>
      <c r="C11" s="123"/>
      <c r="D11" s="123"/>
      <c r="E11" s="216" t="s">
        <v>440</v>
      </c>
      <c r="F11" s="217" t="s">
        <v>69</v>
      </c>
      <c r="G11" s="370" t="s">
        <v>143</v>
      </c>
      <c r="H11" s="178" t="s">
        <v>144</v>
      </c>
      <c r="I11" s="305">
        <f t="shared" ref="I11:P11" si="1">I10-I9</f>
        <v>11.07</v>
      </c>
      <c r="J11" s="305">
        <f t="shared" si="1"/>
        <v>7.44</v>
      </c>
      <c r="K11" s="305">
        <f t="shared" si="1"/>
        <v>8.03</v>
      </c>
      <c r="L11" s="305">
        <f t="shared" si="1"/>
        <v>5.59</v>
      </c>
      <c r="M11" s="305">
        <f t="shared" si="1"/>
        <v>5.59</v>
      </c>
      <c r="N11" s="305">
        <f t="shared" si="1"/>
        <v>3</v>
      </c>
      <c r="O11" s="305">
        <f t="shared" si="1"/>
        <v>7.53</v>
      </c>
      <c r="P11" s="305">
        <f t="shared" si="1"/>
        <v>6.89</v>
      </c>
      <c r="Q11" s="20"/>
    </row>
    <row r="12">
      <c r="A12" s="122"/>
      <c r="B12" s="123"/>
      <c r="C12" s="123"/>
      <c r="D12" s="123"/>
      <c r="E12" s="216" t="s">
        <v>441</v>
      </c>
      <c r="F12" s="217" t="str">
        <f>Inputs!F109</f>
        <v>ppt</v>
      </c>
      <c r="G12" s="370" t="str">
        <f>Inputs!G109</f>
        <v>input</v>
      </c>
      <c r="H12" s="284">
        <f>Inputs!H109</f>
        <v>-0.008333333333</v>
      </c>
      <c r="I12" s="179" t="str">
        <f>Inputs!I109</f>
        <v>-</v>
      </c>
      <c r="J12" s="179" t="str">
        <f>Inputs!J109</f>
        <v>-</v>
      </c>
      <c r="K12" s="179" t="str">
        <f>Inputs!K109</f>
        <v>-</v>
      </c>
      <c r="L12" s="179" t="str">
        <f>Inputs!L109</f>
        <v>-</v>
      </c>
      <c r="M12" s="179" t="str">
        <f>Inputs!M109</f>
        <v>-</v>
      </c>
      <c r="N12" s="179" t="str">
        <f>Inputs!N109</f>
        <v>-</v>
      </c>
      <c r="O12" s="179" t="str">
        <f>Inputs!O109</f>
        <v>-</v>
      </c>
      <c r="P12" s="179" t="str">
        <f>Inputs!P109</f>
        <v>-</v>
      </c>
      <c r="Q12" s="20"/>
    </row>
    <row r="13">
      <c r="A13" s="122"/>
      <c r="B13" s="123"/>
      <c r="C13" s="130"/>
      <c r="D13" s="211"/>
      <c r="E13" s="216" t="s">
        <v>442</v>
      </c>
      <c r="F13" s="217" t="s">
        <v>79</v>
      </c>
      <c r="G13" s="382" t="s">
        <v>143</v>
      </c>
      <c r="H13" s="237" t="s">
        <v>144</v>
      </c>
      <c r="I13" s="239">
        <f t="shared" ref="I13:P13" si="2">$H12*I11</f>
        <v>-0.09225</v>
      </c>
      <c r="J13" s="239">
        <f t="shared" si="2"/>
        <v>-0.062</v>
      </c>
      <c r="K13" s="239">
        <f t="shared" si="2"/>
        <v>-0.06691666667</v>
      </c>
      <c r="L13" s="239">
        <f t="shared" si="2"/>
        <v>-0.04658333333</v>
      </c>
      <c r="M13" s="239">
        <f t="shared" si="2"/>
        <v>-0.04658333333</v>
      </c>
      <c r="N13" s="239">
        <f t="shared" si="2"/>
        <v>-0.025</v>
      </c>
      <c r="O13" s="239">
        <f t="shared" si="2"/>
        <v>-0.06275</v>
      </c>
      <c r="P13" s="239">
        <f t="shared" si="2"/>
        <v>-0.05741666667</v>
      </c>
      <c r="Q13" s="20"/>
    </row>
    <row r="14">
      <c r="A14" s="122"/>
      <c r="B14" s="123"/>
      <c r="C14" s="123"/>
      <c r="D14" s="211"/>
      <c r="E14" s="181" t="s">
        <v>443</v>
      </c>
      <c r="F14" s="221" t="s">
        <v>79</v>
      </c>
      <c r="G14" s="384" t="s">
        <v>143</v>
      </c>
      <c r="H14" s="234" t="s">
        <v>144</v>
      </c>
      <c r="I14" s="240">
        <f t="shared" ref="I14:P14" si="3">MAX(I8+I13,0)</f>
        <v>0.1446633</v>
      </c>
      <c r="J14" s="240">
        <f t="shared" si="3"/>
        <v>0.4586558</v>
      </c>
      <c r="K14" s="240">
        <f t="shared" si="3"/>
        <v>0.6348480333</v>
      </c>
      <c r="L14" s="240">
        <f t="shared" si="3"/>
        <v>0.7032278667</v>
      </c>
      <c r="M14" s="240">
        <f t="shared" si="3"/>
        <v>0.7032278667</v>
      </c>
      <c r="N14" s="240">
        <f t="shared" si="3"/>
        <v>0.492</v>
      </c>
      <c r="O14" s="240">
        <f t="shared" si="3"/>
        <v>0.1657974</v>
      </c>
      <c r="P14" s="240">
        <f t="shared" si="3"/>
        <v>0.3805438333</v>
      </c>
      <c r="Q14" s="47"/>
    </row>
    <row r="15">
      <c r="A15" s="122"/>
      <c r="B15" s="123"/>
      <c r="C15" s="123"/>
      <c r="D15" s="123"/>
      <c r="E15" s="139"/>
      <c r="F15" s="140"/>
      <c r="G15" s="379"/>
      <c r="H15" s="386"/>
      <c r="I15" s="225"/>
      <c r="J15" s="225"/>
      <c r="K15" s="225"/>
      <c r="L15" s="225"/>
      <c r="M15" s="225"/>
      <c r="N15" s="225"/>
      <c r="O15" s="225"/>
      <c r="P15" s="225"/>
      <c r="Q15" s="11"/>
    </row>
    <row r="16">
      <c r="A16" s="122"/>
      <c r="B16" s="123"/>
      <c r="C16" s="168" t="s">
        <v>444</v>
      </c>
      <c r="F16" s="125"/>
      <c r="G16" s="363"/>
      <c r="H16" s="224"/>
      <c r="I16" s="387"/>
      <c r="J16" s="387"/>
      <c r="K16" s="387"/>
      <c r="L16" s="387"/>
      <c r="M16" s="387"/>
      <c r="N16" s="387"/>
      <c r="O16" s="387"/>
      <c r="P16" s="387"/>
      <c r="Q16" s="11"/>
    </row>
    <row r="17">
      <c r="A17" s="122"/>
      <c r="B17" s="123"/>
      <c r="C17" s="123"/>
      <c r="D17" s="123"/>
      <c r="E17" s="198" t="s">
        <v>445</v>
      </c>
      <c r="F17" s="188" t="str">
        <f>Inputs!F112</f>
        <v>%</v>
      </c>
      <c r="G17" s="366" t="str">
        <f>Inputs!G112</f>
        <v>input</v>
      </c>
      <c r="H17" s="214">
        <f>Inputs!H112</f>
        <v>0.2702179</v>
      </c>
      <c r="I17" s="307" t="str">
        <f>Inputs!I112</f>
        <v>-</v>
      </c>
      <c r="J17" s="307" t="str">
        <f>Inputs!J112</f>
        <v>-</v>
      </c>
      <c r="K17" s="307" t="str">
        <f>Inputs!K112</f>
        <v>-</v>
      </c>
      <c r="L17" s="307" t="str">
        <f>Inputs!L112</f>
        <v>-</v>
      </c>
      <c r="M17" s="307" t="str">
        <f>Inputs!M112</f>
        <v>-</v>
      </c>
      <c r="N17" s="307" t="str">
        <f>Inputs!N112</f>
        <v>-</v>
      </c>
      <c r="O17" s="307" t="str">
        <f>Inputs!O112</f>
        <v>-</v>
      </c>
      <c r="P17" s="307" t="str">
        <f>Inputs!P112</f>
        <v>-</v>
      </c>
      <c r="Q17" s="16"/>
    </row>
    <row r="18">
      <c r="A18" s="122"/>
      <c r="B18" s="123"/>
      <c r="C18" s="168"/>
      <c r="D18" s="123"/>
      <c r="E18" s="181" t="s">
        <v>446</v>
      </c>
      <c r="F18" s="221" t="s">
        <v>79</v>
      </c>
      <c r="G18" s="384" t="s">
        <v>143</v>
      </c>
      <c r="H18" s="453">
        <f>1-H17</f>
        <v>0.7297821</v>
      </c>
      <c r="I18" s="311" t="s">
        <v>144</v>
      </c>
      <c r="J18" s="311" t="s">
        <v>144</v>
      </c>
      <c r="K18" s="311" t="s">
        <v>144</v>
      </c>
      <c r="L18" s="311" t="s">
        <v>144</v>
      </c>
      <c r="M18" s="311" t="s">
        <v>144</v>
      </c>
      <c r="N18" s="311" t="s">
        <v>144</v>
      </c>
      <c r="O18" s="311" t="s">
        <v>144</v>
      </c>
      <c r="P18" s="311" t="s">
        <v>144</v>
      </c>
      <c r="Q18" s="47"/>
    </row>
    <row r="19">
      <c r="A19" s="122"/>
      <c r="B19" s="123"/>
      <c r="C19" s="168"/>
      <c r="D19" s="123"/>
      <c r="E19" s="139"/>
      <c r="F19" s="140"/>
      <c r="G19" s="379"/>
      <c r="H19" s="224"/>
      <c r="I19" s="387"/>
      <c r="J19" s="387"/>
      <c r="K19" s="387"/>
      <c r="L19" s="387"/>
      <c r="M19" s="387"/>
      <c r="N19" s="387"/>
      <c r="O19" s="387"/>
      <c r="P19" s="387"/>
      <c r="Q19" s="11"/>
    </row>
    <row r="20">
      <c r="A20" s="122"/>
      <c r="B20" s="123"/>
      <c r="C20" s="168" t="s">
        <v>447</v>
      </c>
      <c r="F20" s="140"/>
      <c r="G20" s="379"/>
      <c r="H20" s="224"/>
      <c r="I20" s="387"/>
      <c r="J20" s="387"/>
      <c r="K20" s="387"/>
      <c r="L20" s="387"/>
      <c r="M20" s="387"/>
      <c r="N20" s="387"/>
      <c r="O20" s="387"/>
      <c r="P20" s="387"/>
      <c r="Q20" s="11"/>
    </row>
    <row r="21">
      <c r="A21" s="122"/>
      <c r="B21" s="123"/>
      <c r="C21" s="123"/>
      <c r="D21" s="123"/>
      <c r="E21" s="198" t="s">
        <v>448</v>
      </c>
      <c r="F21" s="188" t="s">
        <v>79</v>
      </c>
      <c r="G21" s="380" t="s">
        <v>143</v>
      </c>
      <c r="H21" s="235" t="s">
        <v>144</v>
      </c>
      <c r="I21" s="307">
        <f t="shared" ref="I21:P21" si="4">$H17+(I14*$H18)</f>
        <v>0.3757905869</v>
      </c>
      <c r="J21" s="307">
        <f t="shared" si="4"/>
        <v>0.6049366929</v>
      </c>
      <c r="K21" s="307">
        <f t="shared" si="4"/>
        <v>0.7335186309</v>
      </c>
      <c r="L21" s="307">
        <f t="shared" si="4"/>
        <v>0.7834210093</v>
      </c>
      <c r="M21" s="307">
        <f t="shared" si="4"/>
        <v>0.7834210093</v>
      </c>
      <c r="N21" s="307">
        <f t="shared" si="4"/>
        <v>0.6292706932</v>
      </c>
      <c r="O21" s="307">
        <f t="shared" si="4"/>
        <v>0.3912138747</v>
      </c>
      <c r="P21" s="307">
        <f t="shared" si="4"/>
        <v>0.5479319778</v>
      </c>
      <c r="Q21" s="16"/>
    </row>
    <row r="22">
      <c r="A22" s="122"/>
      <c r="B22" s="123"/>
      <c r="C22" s="123"/>
      <c r="D22" s="123"/>
      <c r="E22" s="181" t="s">
        <v>449</v>
      </c>
      <c r="F22" s="221" t="s">
        <v>79</v>
      </c>
      <c r="G22" s="384" t="s">
        <v>143</v>
      </c>
      <c r="H22" s="234" t="s">
        <v>144</v>
      </c>
      <c r="I22" s="240">
        <f t="shared" ref="I22:P22" si="5">1-I21</f>
        <v>0.6242094131</v>
      </c>
      <c r="J22" s="240">
        <f t="shared" si="5"/>
        <v>0.3950633071</v>
      </c>
      <c r="K22" s="240">
        <f t="shared" si="5"/>
        <v>0.2664813691</v>
      </c>
      <c r="L22" s="240">
        <f t="shared" si="5"/>
        <v>0.2165789907</v>
      </c>
      <c r="M22" s="240">
        <f t="shared" si="5"/>
        <v>0.2165789907</v>
      </c>
      <c r="N22" s="240">
        <f t="shared" si="5"/>
        <v>0.3707293068</v>
      </c>
      <c r="O22" s="240">
        <f t="shared" si="5"/>
        <v>0.6087861253</v>
      </c>
      <c r="P22" s="240">
        <f t="shared" si="5"/>
        <v>0.4520680222</v>
      </c>
      <c r="Q22" s="47"/>
    </row>
    <row r="23">
      <c r="A23" s="122"/>
      <c r="B23" s="123"/>
      <c r="C23" s="123"/>
      <c r="D23" s="123"/>
      <c r="E23" s="124"/>
      <c r="F23" s="125"/>
      <c r="G23" s="363"/>
      <c r="H23" s="127"/>
      <c r="I23" s="132"/>
      <c r="J23" s="132"/>
      <c r="K23" s="132"/>
      <c r="L23" s="132"/>
      <c r="M23" s="132"/>
      <c r="N23" s="132"/>
      <c r="O23" s="132"/>
      <c r="P23" s="132"/>
      <c r="Q23" s="11"/>
    </row>
    <row r="24">
      <c r="A24" s="118" t="s">
        <v>450</v>
      </c>
      <c r="B24" s="6"/>
      <c r="C24" s="6"/>
      <c r="D24" s="6"/>
      <c r="E24" s="6"/>
      <c r="F24" s="6"/>
      <c r="G24" s="6"/>
      <c r="H24" s="203"/>
      <c r="I24" s="204"/>
      <c r="J24" s="204"/>
      <c r="K24" s="204"/>
      <c r="L24" s="204"/>
      <c r="M24" s="204"/>
      <c r="N24" s="204"/>
      <c r="O24" s="204"/>
      <c r="P24" s="204"/>
      <c r="Q24" s="422"/>
    </row>
    <row r="25">
      <c r="A25" s="122"/>
      <c r="B25" s="123"/>
      <c r="C25" s="242"/>
      <c r="D25" s="123"/>
      <c r="E25" s="124"/>
      <c r="F25" s="125"/>
      <c r="G25" s="125"/>
      <c r="H25" s="127"/>
      <c r="I25" s="132"/>
      <c r="J25" s="132"/>
      <c r="K25" s="132"/>
      <c r="L25" s="132"/>
      <c r="M25" s="132"/>
      <c r="N25" s="132"/>
      <c r="O25" s="132"/>
      <c r="P25" s="132"/>
      <c r="Q25" s="11"/>
    </row>
    <row r="26">
      <c r="A26" s="122"/>
      <c r="B26" s="123"/>
      <c r="C26" s="168" t="s">
        <v>451</v>
      </c>
      <c r="F26" s="125"/>
      <c r="G26" s="363"/>
      <c r="H26" s="424"/>
      <c r="I26" s="132"/>
      <c r="J26" s="132"/>
      <c r="K26" s="132"/>
      <c r="L26" s="132"/>
      <c r="M26" s="132"/>
      <c r="N26" s="132"/>
      <c r="O26" s="132"/>
      <c r="P26" s="132"/>
      <c r="Q26" s="11"/>
    </row>
    <row r="27">
      <c r="A27" s="122"/>
      <c r="B27" s="123"/>
      <c r="C27" s="123"/>
      <c r="D27" s="123"/>
      <c r="E27" s="198" t="s">
        <v>452</v>
      </c>
      <c r="F27" s="188" t="str">
        <f>Inputs!F115</f>
        <v>%</v>
      </c>
      <c r="G27" s="366" t="str">
        <f>Inputs!G115</f>
        <v>input</v>
      </c>
      <c r="H27" s="250" t="str">
        <f>Inputs!H115</f>
        <v>-</v>
      </c>
      <c r="I27" s="148">
        <f>Inputs!I115</f>
        <v>0.54575</v>
      </c>
      <c r="J27" s="148">
        <f>Inputs!J115</f>
        <v>0.9597</v>
      </c>
      <c r="K27" s="148">
        <f>Inputs!K115</f>
        <v>0.8975</v>
      </c>
      <c r="L27" s="148">
        <f>Inputs!L115</f>
        <v>0.9255039</v>
      </c>
      <c r="M27" s="148">
        <f>Inputs!M115</f>
        <v>0.9255039</v>
      </c>
      <c r="N27" s="148">
        <f>Inputs!N115</f>
        <v>0.9563198</v>
      </c>
      <c r="O27" s="148">
        <f>Inputs!O115</f>
        <v>0.928</v>
      </c>
      <c r="P27" s="148">
        <f>Inputs!P115</f>
        <v>0.9541395</v>
      </c>
      <c r="Q27" s="16"/>
    </row>
    <row r="28">
      <c r="A28" s="122"/>
      <c r="B28" s="123"/>
      <c r="C28" s="123"/>
      <c r="D28" s="123"/>
      <c r="E28" s="216" t="s">
        <v>453</v>
      </c>
      <c r="F28" s="217" t="str">
        <f>Inputs!F116</f>
        <v>%</v>
      </c>
      <c r="G28" s="370" t="str">
        <f>Inputs!G116</f>
        <v>input</v>
      </c>
      <c r="H28" s="261" t="str">
        <f>Inputs!H116</f>
        <v>-</v>
      </c>
      <c r="I28" s="154">
        <f>Inputs!I116</f>
        <v>0.4292125</v>
      </c>
      <c r="J28" s="154">
        <f>Inputs!J116</f>
        <v>0.5559</v>
      </c>
      <c r="K28" s="154">
        <f>Inputs!K116</f>
        <v>0.6</v>
      </c>
      <c r="L28" s="154">
        <f>Inputs!L116</f>
        <v>0.691197</v>
      </c>
      <c r="M28" s="154">
        <f>Inputs!M116</f>
        <v>0.691197</v>
      </c>
      <c r="N28" s="154">
        <f>Inputs!N116</f>
        <v>0.5614558</v>
      </c>
      <c r="O28" s="154">
        <f>Inputs!O116</f>
        <v>0.1115</v>
      </c>
      <c r="P28" s="154">
        <f>Inputs!P116</f>
        <v>0.5084116</v>
      </c>
      <c r="Q28" s="20"/>
    </row>
    <row r="29">
      <c r="A29" s="122"/>
      <c r="B29" s="123"/>
      <c r="C29" s="243"/>
      <c r="D29" s="123"/>
      <c r="E29" s="216" t="s">
        <v>454</v>
      </c>
      <c r="F29" s="217" t="s">
        <v>79</v>
      </c>
      <c r="G29" s="217" t="s">
        <v>143</v>
      </c>
      <c r="H29" s="178" t="s">
        <v>144</v>
      </c>
      <c r="I29" s="154">
        <f t="shared" ref="I29:P29" si="6">(1-I27)/(1-I28)</f>
        <v>0.7958303221</v>
      </c>
      <c r="J29" s="154">
        <f t="shared" si="6"/>
        <v>0.09074532763</v>
      </c>
      <c r="K29" s="154">
        <f t="shared" si="6"/>
        <v>0.25625</v>
      </c>
      <c r="L29" s="154">
        <f t="shared" si="6"/>
        <v>0.2412415035</v>
      </c>
      <c r="M29" s="154">
        <f t="shared" si="6"/>
        <v>0.2412415035</v>
      </c>
      <c r="N29" s="154">
        <f t="shared" si="6"/>
        <v>0.09960273104</v>
      </c>
      <c r="O29" s="154">
        <f t="shared" si="6"/>
        <v>0.08103545301</v>
      </c>
      <c r="P29" s="154">
        <f t="shared" si="6"/>
        <v>0.09329044379</v>
      </c>
      <c r="Q29" s="20"/>
    </row>
    <row r="30">
      <c r="A30" s="122"/>
      <c r="B30" s="123"/>
      <c r="C30" s="123"/>
      <c r="D30" s="123"/>
      <c r="E30" s="164" t="s">
        <v>455</v>
      </c>
      <c r="F30" s="134" t="s">
        <v>79</v>
      </c>
      <c r="G30" s="134" t="s">
        <v>143</v>
      </c>
      <c r="H30" s="166" t="s">
        <v>144</v>
      </c>
      <c r="I30" s="331">
        <f t="shared" ref="I30:P30" si="7">I22*I29</f>
        <v>0.4967647783</v>
      </c>
      <c r="J30" s="331">
        <f t="shared" si="7"/>
        <v>0.03585014924</v>
      </c>
      <c r="K30" s="331">
        <f t="shared" si="7"/>
        <v>0.06828585082</v>
      </c>
      <c r="L30" s="331">
        <f t="shared" si="7"/>
        <v>0.05224784134</v>
      </c>
      <c r="M30" s="331">
        <f t="shared" si="7"/>
        <v>0.05224784134</v>
      </c>
      <c r="N30" s="331">
        <f t="shared" si="7"/>
        <v>0.03692565143</v>
      </c>
      <c r="O30" s="331">
        <f t="shared" si="7"/>
        <v>0.04933325945</v>
      </c>
      <c r="P30" s="331">
        <f t="shared" si="7"/>
        <v>0.04217362641</v>
      </c>
      <c r="Q30" s="56"/>
    </row>
    <row r="31">
      <c r="A31" s="122"/>
      <c r="B31" s="123"/>
      <c r="C31" s="215"/>
      <c r="D31" s="123"/>
      <c r="E31" s="139"/>
      <c r="F31" s="140"/>
      <c r="G31" s="140"/>
      <c r="H31" s="127"/>
      <c r="I31" s="132"/>
      <c r="J31" s="132"/>
      <c r="K31" s="132"/>
      <c r="L31" s="132"/>
      <c r="M31" s="132"/>
      <c r="N31" s="132"/>
      <c r="O31" s="132"/>
      <c r="P31" s="132"/>
      <c r="Q31" s="11"/>
    </row>
    <row r="32">
      <c r="A32" s="122"/>
      <c r="B32" s="123"/>
      <c r="C32" s="243" t="s">
        <v>456</v>
      </c>
      <c r="F32" s="140"/>
      <c r="G32" s="140"/>
      <c r="H32" s="127"/>
      <c r="I32" s="132"/>
      <c r="J32" s="132"/>
      <c r="K32" s="132"/>
      <c r="L32" s="132"/>
      <c r="M32" s="132"/>
      <c r="N32" s="132"/>
      <c r="O32" s="132"/>
      <c r="P32" s="132"/>
      <c r="Q32" s="11"/>
    </row>
    <row r="33">
      <c r="A33" s="122"/>
      <c r="B33" s="123"/>
      <c r="C33" s="215"/>
      <c r="D33" s="123"/>
      <c r="E33" s="198" t="s">
        <v>457</v>
      </c>
      <c r="F33" s="188" t="str">
        <f>Inputs!F117</f>
        <v>%</v>
      </c>
      <c r="G33" s="366" t="str">
        <f>Inputs!G117</f>
        <v>input</v>
      </c>
      <c r="H33" s="296" t="str">
        <f>Inputs!H117</f>
        <v>-</v>
      </c>
      <c r="I33" s="148">
        <f>Inputs!I117</f>
        <v>1</v>
      </c>
      <c r="J33" s="148">
        <f>Inputs!J117</f>
        <v>0.8051948</v>
      </c>
      <c r="K33" s="148">
        <f>Inputs!K117</f>
        <v>0.7647059</v>
      </c>
      <c r="L33" s="148">
        <f>Inputs!L117</f>
        <v>0.6246787</v>
      </c>
      <c r="M33" s="148">
        <f>Inputs!M117</f>
        <v>0.6246787</v>
      </c>
      <c r="N33" s="148">
        <f>Inputs!N117</f>
        <v>0.8873604</v>
      </c>
      <c r="O33" s="148">
        <f>Inputs!O117</f>
        <v>1</v>
      </c>
      <c r="P33" s="148">
        <f>Inputs!P117</f>
        <v>0.9868421</v>
      </c>
      <c r="Q33" s="16"/>
    </row>
    <row r="34">
      <c r="A34" s="122"/>
      <c r="B34" s="123"/>
      <c r="C34" s="215"/>
      <c r="D34" s="123"/>
      <c r="E34" s="216" t="s">
        <v>458</v>
      </c>
      <c r="F34" s="217" t="str">
        <f>Inputs!F118</f>
        <v>%</v>
      </c>
      <c r="G34" s="370" t="str">
        <f>Inputs!G118</f>
        <v>input</v>
      </c>
      <c r="H34" s="452" t="str">
        <f>Inputs!H118</f>
        <v>-</v>
      </c>
      <c r="I34" s="154">
        <f>Inputs!I118</f>
        <v>0.7142857</v>
      </c>
      <c r="J34" s="154">
        <f>Inputs!J118</f>
        <v>1</v>
      </c>
      <c r="K34" s="154">
        <f>Inputs!K118</f>
        <v>0.7916667</v>
      </c>
      <c r="L34" s="154">
        <f>Inputs!L118</f>
        <v>0.7916667</v>
      </c>
      <c r="M34" s="154">
        <f>Inputs!M118</f>
        <v>0.7916667</v>
      </c>
      <c r="N34" s="154">
        <f>Inputs!N118</f>
        <v>0.9166667</v>
      </c>
      <c r="O34" s="154">
        <f>Inputs!O118</f>
        <v>0.7916667</v>
      </c>
      <c r="P34" s="154">
        <f>Inputs!P118</f>
        <v>0.8333333</v>
      </c>
      <c r="Q34" s="20"/>
    </row>
    <row r="35">
      <c r="A35" s="122"/>
      <c r="B35" s="123"/>
      <c r="C35" s="123"/>
      <c r="D35" s="123"/>
      <c r="E35" s="181" t="s">
        <v>459</v>
      </c>
      <c r="F35" s="221" t="s">
        <v>79</v>
      </c>
      <c r="G35" s="374" t="s">
        <v>143</v>
      </c>
      <c r="H35" s="310" t="s">
        <v>144</v>
      </c>
      <c r="I35" s="160">
        <f t="shared" ref="I35:P35" si="8">I33*I34</f>
        <v>0.7142857</v>
      </c>
      <c r="J35" s="160">
        <f t="shared" si="8"/>
        <v>0.8051948</v>
      </c>
      <c r="K35" s="160">
        <f t="shared" si="8"/>
        <v>0.6053921963</v>
      </c>
      <c r="L35" s="160">
        <f t="shared" si="8"/>
        <v>0.494537325</v>
      </c>
      <c r="M35" s="160">
        <f t="shared" si="8"/>
        <v>0.494537325</v>
      </c>
      <c r="N35" s="160">
        <f t="shared" si="8"/>
        <v>0.8134137296</v>
      </c>
      <c r="O35" s="160">
        <f t="shared" si="8"/>
        <v>0.7916667</v>
      </c>
      <c r="P35" s="160">
        <f t="shared" si="8"/>
        <v>0.8223683838</v>
      </c>
      <c r="Q35" s="47"/>
    </row>
    <row r="36">
      <c r="A36" s="70"/>
      <c r="B36" s="10"/>
      <c r="C36" s="10"/>
      <c r="D36" s="10"/>
      <c r="E36" s="293"/>
      <c r="F36" s="10"/>
      <c r="G36" s="10"/>
      <c r="H36" s="127"/>
      <c r="I36" s="132"/>
      <c r="J36" s="132"/>
      <c r="K36" s="132"/>
      <c r="L36" s="132"/>
      <c r="M36" s="132"/>
      <c r="N36" s="132"/>
      <c r="O36" s="132"/>
      <c r="P36" s="132"/>
      <c r="Q36" s="11"/>
    </row>
    <row r="37">
      <c r="A37" s="118" t="s">
        <v>460</v>
      </c>
      <c r="B37" s="6"/>
      <c r="C37" s="6"/>
      <c r="D37" s="6"/>
      <c r="E37" s="6"/>
      <c r="F37" s="6"/>
      <c r="G37" s="6"/>
      <c r="H37" s="203"/>
      <c r="I37" s="204"/>
      <c r="J37" s="204"/>
      <c r="K37" s="204"/>
      <c r="L37" s="204"/>
      <c r="M37" s="204"/>
      <c r="N37" s="204"/>
      <c r="O37" s="204"/>
      <c r="P37" s="204"/>
      <c r="Q37" s="422"/>
    </row>
    <row r="38">
      <c r="A38" s="70"/>
      <c r="B38" s="10"/>
      <c r="C38" s="10"/>
      <c r="D38" s="10"/>
      <c r="E38" s="293"/>
      <c r="F38" s="10"/>
      <c r="G38" s="10"/>
      <c r="H38" s="127"/>
      <c r="I38" s="132"/>
      <c r="J38" s="132"/>
      <c r="K38" s="132"/>
      <c r="L38" s="132"/>
      <c r="M38" s="132"/>
      <c r="N38" s="132"/>
      <c r="O38" s="132"/>
      <c r="P38" s="132"/>
      <c r="Q38" s="11"/>
    </row>
    <row r="39">
      <c r="A39" s="70"/>
      <c r="B39" s="10"/>
      <c r="C39" s="168" t="s">
        <v>461</v>
      </c>
      <c r="F39" s="10"/>
      <c r="G39" s="10"/>
      <c r="H39" s="127"/>
      <c r="I39" s="132"/>
      <c r="J39" s="132"/>
      <c r="K39" s="132"/>
      <c r="L39" s="132"/>
      <c r="M39" s="132"/>
      <c r="N39" s="132"/>
      <c r="O39" s="132"/>
      <c r="P39" s="132"/>
      <c r="Q39" s="11"/>
    </row>
    <row r="40">
      <c r="A40" s="70"/>
      <c r="B40" s="10"/>
      <c r="C40" s="10"/>
      <c r="D40" s="10"/>
      <c r="E40" s="454" t="s">
        <v>462</v>
      </c>
      <c r="F40" s="145" t="str">
        <f>Inputs!F121</f>
        <v>%</v>
      </c>
      <c r="G40" s="455" t="str">
        <f>Inputs!G121</f>
        <v>input</v>
      </c>
      <c r="H40" s="214">
        <f>Inputs!H121</f>
        <v>0</v>
      </c>
      <c r="I40" s="377" t="str">
        <f>Inputs!I121</f>
        <v>-</v>
      </c>
      <c r="J40" s="377" t="str">
        <f>Inputs!J121</f>
        <v>-</v>
      </c>
      <c r="K40" s="377" t="str">
        <f>Inputs!K121</f>
        <v>-</v>
      </c>
      <c r="L40" s="377" t="str">
        <f>Inputs!L121</f>
        <v>-</v>
      </c>
      <c r="M40" s="377" t="str">
        <f>Inputs!M121</f>
        <v>-</v>
      </c>
      <c r="N40" s="377" t="str">
        <f>Inputs!N121</f>
        <v>-</v>
      </c>
      <c r="O40" s="377" t="str">
        <f>Inputs!O121</f>
        <v>-</v>
      </c>
      <c r="P40" s="377" t="str">
        <f>Inputs!P121</f>
        <v>-</v>
      </c>
      <c r="Q40" s="16"/>
    </row>
    <row r="41">
      <c r="A41" s="70"/>
      <c r="B41" s="10"/>
      <c r="C41" s="10"/>
      <c r="D41" s="10"/>
      <c r="E41" s="456" t="s">
        <v>463</v>
      </c>
      <c r="F41" s="157" t="s">
        <v>79</v>
      </c>
      <c r="G41" s="157" t="s">
        <v>143</v>
      </c>
      <c r="H41" s="234" t="str">
        <f t="shared" ref="H41:P41" si="9">H22</f>
        <v>-</v>
      </c>
      <c r="I41" s="160">
        <f t="shared" si="9"/>
        <v>0.6242094131</v>
      </c>
      <c r="J41" s="160">
        <f t="shared" si="9"/>
        <v>0.3950633071</v>
      </c>
      <c r="K41" s="160">
        <f t="shared" si="9"/>
        <v>0.2664813691</v>
      </c>
      <c r="L41" s="160">
        <f t="shared" si="9"/>
        <v>0.2165789907</v>
      </c>
      <c r="M41" s="160">
        <f t="shared" si="9"/>
        <v>0.2165789907</v>
      </c>
      <c r="N41" s="160">
        <f t="shared" si="9"/>
        <v>0.3707293068</v>
      </c>
      <c r="O41" s="160">
        <f t="shared" si="9"/>
        <v>0.6087861253</v>
      </c>
      <c r="P41" s="160">
        <f t="shared" si="9"/>
        <v>0.4520680222</v>
      </c>
      <c r="Q41" s="47"/>
    </row>
    <row r="42">
      <c r="A42" s="70"/>
      <c r="B42" s="10"/>
      <c r="C42" s="10"/>
      <c r="D42" s="10"/>
      <c r="E42" s="293"/>
      <c r="F42" s="10"/>
      <c r="G42" s="10"/>
      <c r="H42" s="127"/>
      <c r="I42" s="132"/>
      <c r="J42" s="132"/>
      <c r="K42" s="132"/>
      <c r="L42" s="132"/>
      <c r="M42" s="132"/>
      <c r="N42" s="132"/>
      <c r="O42" s="132"/>
      <c r="P42" s="132"/>
      <c r="Q42" s="11"/>
    </row>
    <row r="43">
      <c r="A43" s="118" t="s">
        <v>464</v>
      </c>
      <c r="B43" s="6"/>
      <c r="C43" s="6"/>
      <c r="D43" s="6"/>
      <c r="E43" s="6"/>
      <c r="F43" s="6"/>
      <c r="G43" s="6"/>
      <c r="H43" s="119"/>
      <c r="I43" s="295"/>
      <c r="J43" s="295"/>
      <c r="K43" s="295"/>
      <c r="L43" s="295"/>
      <c r="M43" s="295"/>
      <c r="N43" s="295"/>
      <c r="O43" s="295"/>
      <c r="P43" s="295"/>
      <c r="Q43" s="395"/>
    </row>
    <row r="44">
      <c r="A44" s="122"/>
      <c r="B44" s="123"/>
      <c r="C44" s="123"/>
      <c r="D44" s="123"/>
      <c r="E44" s="124"/>
      <c r="F44" s="125"/>
      <c r="G44" s="125"/>
      <c r="H44" s="127"/>
      <c r="I44" s="132"/>
      <c r="J44" s="132"/>
      <c r="K44" s="132"/>
      <c r="L44" s="132"/>
      <c r="M44" s="132"/>
      <c r="N44" s="132"/>
      <c r="O44" s="132"/>
      <c r="P44" s="132"/>
      <c r="Q44" s="11"/>
    </row>
    <row r="45">
      <c r="A45" s="122"/>
      <c r="B45" s="123"/>
      <c r="C45" s="168" t="s">
        <v>465</v>
      </c>
      <c r="F45" s="125"/>
      <c r="G45" s="125"/>
      <c r="H45" s="127"/>
      <c r="I45" s="132"/>
      <c r="J45" s="132"/>
      <c r="K45" s="132"/>
      <c r="L45" s="132"/>
      <c r="M45" s="132"/>
      <c r="N45" s="132"/>
      <c r="O45" s="132"/>
      <c r="P45" s="132"/>
      <c r="Q45" s="11"/>
    </row>
    <row r="46">
      <c r="A46" s="122"/>
      <c r="B46" s="123"/>
      <c r="C46" s="168"/>
      <c r="D46" s="168"/>
      <c r="E46" s="266" t="s">
        <v>466</v>
      </c>
      <c r="F46" s="188" t="str">
        <f>Inputs!F127</f>
        <v>%</v>
      </c>
      <c r="G46" s="366" t="str">
        <f>Inputs!G127</f>
        <v>input</v>
      </c>
      <c r="H46" s="296" t="str">
        <f>Inputs!H127</f>
        <v>-</v>
      </c>
      <c r="I46" s="148">
        <f>Inputs!I127</f>
        <v>0.7</v>
      </c>
      <c r="J46" s="148">
        <f>Inputs!J127</f>
        <v>0</v>
      </c>
      <c r="K46" s="148">
        <f>Inputs!K127</f>
        <v>0.7</v>
      </c>
      <c r="L46" s="148">
        <f>Inputs!L127</f>
        <v>0</v>
      </c>
      <c r="M46" s="148">
        <f>Inputs!M127</f>
        <v>0</v>
      </c>
      <c r="N46" s="148">
        <f>Inputs!N127</f>
        <v>0.81</v>
      </c>
      <c r="O46" s="148">
        <f>Inputs!O127</f>
        <v>0.5</v>
      </c>
      <c r="P46" s="148">
        <f>Inputs!P127</f>
        <v>0</v>
      </c>
      <c r="Q46" s="16"/>
    </row>
    <row r="47">
      <c r="A47" s="122"/>
      <c r="B47" s="123"/>
      <c r="C47" s="168"/>
      <c r="D47" s="168"/>
      <c r="E47" s="457" t="s">
        <v>467</v>
      </c>
      <c r="F47" s="217" t="str">
        <f>Inputs!F124</f>
        <v>%</v>
      </c>
      <c r="G47" s="370" t="str">
        <f>Inputs!G124</f>
        <v>input</v>
      </c>
      <c r="H47" s="452" t="str">
        <f>Inputs!H124</f>
        <v>-</v>
      </c>
      <c r="I47" s="154">
        <f>Inputs!I124</f>
        <v>0.3</v>
      </c>
      <c r="J47" s="154">
        <f>Inputs!J124</f>
        <v>0.5</v>
      </c>
      <c r="K47" s="154">
        <f>Inputs!K124</f>
        <v>0.3</v>
      </c>
      <c r="L47" s="154">
        <f>Inputs!L124</f>
        <v>1</v>
      </c>
      <c r="M47" s="154">
        <f>Inputs!M124</f>
        <v>1</v>
      </c>
      <c r="N47" s="154">
        <f>Inputs!N124</f>
        <v>0.19</v>
      </c>
      <c r="O47" s="154">
        <f>Inputs!O124</f>
        <v>0.5</v>
      </c>
      <c r="P47" s="154">
        <f>Inputs!P124</f>
        <v>1</v>
      </c>
      <c r="Q47" s="20"/>
    </row>
    <row r="48">
      <c r="A48" s="122"/>
      <c r="B48" s="123"/>
      <c r="C48" s="168"/>
      <c r="D48" s="168"/>
      <c r="E48" s="457" t="s">
        <v>468</v>
      </c>
      <c r="F48" s="217" t="str">
        <f>Inputs!F125</f>
        <v>%</v>
      </c>
      <c r="G48" s="370" t="str">
        <f>Inputs!G125</f>
        <v>input</v>
      </c>
      <c r="H48" s="452" t="str">
        <f>Inputs!H125</f>
        <v>-</v>
      </c>
      <c r="I48" s="154">
        <f>Inputs!I125</f>
        <v>0</v>
      </c>
      <c r="J48" s="154">
        <f>Inputs!J125</f>
        <v>0.45</v>
      </c>
      <c r="K48" s="154">
        <f>Inputs!K125</f>
        <v>0</v>
      </c>
      <c r="L48" s="154">
        <f>Inputs!L125</f>
        <v>0</v>
      </c>
      <c r="M48" s="154">
        <f>Inputs!M125</f>
        <v>0</v>
      </c>
      <c r="N48" s="154">
        <f>Inputs!N125</f>
        <v>0</v>
      </c>
      <c r="O48" s="154">
        <f>Inputs!O125</f>
        <v>0</v>
      </c>
      <c r="P48" s="154">
        <f>Inputs!P125</f>
        <v>0</v>
      </c>
      <c r="Q48" s="20"/>
    </row>
    <row r="49">
      <c r="A49" s="122"/>
      <c r="B49" s="123"/>
      <c r="C49" s="168"/>
      <c r="D49" s="168"/>
      <c r="E49" s="450" t="s">
        <v>469</v>
      </c>
      <c r="F49" s="221" t="str">
        <f>Inputs!F126</f>
        <v>%</v>
      </c>
      <c r="G49" s="374" t="str">
        <f>Inputs!G126</f>
        <v>input</v>
      </c>
      <c r="H49" s="439" t="str">
        <f>Inputs!H126</f>
        <v>-</v>
      </c>
      <c r="I49" s="160">
        <f>Inputs!I126</f>
        <v>0</v>
      </c>
      <c r="J49" s="160">
        <f>Inputs!J126</f>
        <v>0.05</v>
      </c>
      <c r="K49" s="160">
        <f>Inputs!K126</f>
        <v>0</v>
      </c>
      <c r="L49" s="160">
        <f>Inputs!L126</f>
        <v>0</v>
      </c>
      <c r="M49" s="160">
        <f>Inputs!M126</f>
        <v>0</v>
      </c>
      <c r="N49" s="160">
        <f>Inputs!N126</f>
        <v>0</v>
      </c>
      <c r="O49" s="160">
        <f>Inputs!O126</f>
        <v>0</v>
      </c>
      <c r="P49" s="160">
        <f>Inputs!P126</f>
        <v>0</v>
      </c>
      <c r="Q49" s="47"/>
    </row>
    <row r="50">
      <c r="A50" s="122"/>
      <c r="B50" s="123"/>
      <c r="C50" s="168"/>
      <c r="D50" s="168"/>
      <c r="E50" s="325"/>
      <c r="F50" s="125"/>
      <c r="G50" s="125"/>
      <c r="H50" s="127"/>
      <c r="I50" s="132"/>
      <c r="J50" s="132"/>
      <c r="K50" s="132"/>
      <c r="L50" s="132"/>
      <c r="M50" s="132"/>
      <c r="N50" s="132"/>
      <c r="O50" s="132"/>
      <c r="P50" s="132"/>
      <c r="Q50" s="11"/>
    </row>
    <row r="51">
      <c r="A51" s="122"/>
      <c r="B51" s="123"/>
      <c r="C51" s="168" t="s">
        <v>470</v>
      </c>
      <c r="F51" s="125"/>
      <c r="G51" s="125"/>
      <c r="H51" s="127"/>
      <c r="I51" s="132"/>
      <c r="J51" s="132"/>
      <c r="K51" s="132"/>
      <c r="L51" s="132"/>
      <c r="M51" s="132"/>
      <c r="N51" s="132"/>
      <c r="O51" s="132"/>
      <c r="P51" s="132"/>
      <c r="Q51" s="11"/>
    </row>
    <row r="52">
      <c r="A52" s="122"/>
      <c r="B52" s="123"/>
      <c r="C52" s="168"/>
      <c r="D52" s="168"/>
      <c r="E52" s="266" t="s">
        <v>471</v>
      </c>
      <c r="F52" s="188" t="s">
        <v>79</v>
      </c>
      <c r="G52" s="188" t="s">
        <v>143</v>
      </c>
      <c r="H52" s="172" t="s">
        <v>144</v>
      </c>
      <c r="I52" s="458">
        <f t="shared" ref="I52:P52" si="10">I46</f>
        <v>0.7</v>
      </c>
      <c r="J52" s="458">
        <f t="shared" si="10"/>
        <v>0</v>
      </c>
      <c r="K52" s="458">
        <f t="shared" si="10"/>
        <v>0.7</v>
      </c>
      <c r="L52" s="458">
        <f t="shared" si="10"/>
        <v>0</v>
      </c>
      <c r="M52" s="458">
        <f t="shared" si="10"/>
        <v>0</v>
      </c>
      <c r="N52" s="458">
        <f t="shared" si="10"/>
        <v>0.81</v>
      </c>
      <c r="O52" s="458">
        <f t="shared" si="10"/>
        <v>0.5</v>
      </c>
      <c r="P52" s="458">
        <f t="shared" si="10"/>
        <v>0</v>
      </c>
      <c r="Q52" s="16"/>
    </row>
    <row r="53">
      <c r="A53" s="122"/>
      <c r="B53" s="123"/>
      <c r="C53" s="168"/>
      <c r="D53" s="168"/>
      <c r="E53" s="457" t="s">
        <v>472</v>
      </c>
      <c r="F53" s="217" t="s">
        <v>79</v>
      </c>
      <c r="G53" s="217" t="s">
        <v>143</v>
      </c>
      <c r="H53" s="178" t="s">
        <v>144</v>
      </c>
      <c r="I53" s="459">
        <f t="shared" ref="I53:P53" si="11">MIN(I35,I47)</f>
        <v>0.3</v>
      </c>
      <c r="J53" s="459">
        <f t="shared" si="11"/>
        <v>0.5</v>
      </c>
      <c r="K53" s="459">
        <f t="shared" si="11"/>
        <v>0.3</v>
      </c>
      <c r="L53" s="459">
        <f t="shared" si="11"/>
        <v>0.494537325</v>
      </c>
      <c r="M53" s="459">
        <f t="shared" si="11"/>
        <v>0.494537325</v>
      </c>
      <c r="N53" s="459">
        <f t="shared" si="11"/>
        <v>0.19</v>
      </c>
      <c r="O53" s="459">
        <f t="shared" si="11"/>
        <v>0.5</v>
      </c>
      <c r="P53" s="459">
        <f t="shared" si="11"/>
        <v>0.8223683838</v>
      </c>
      <c r="Q53" s="20"/>
    </row>
    <row r="54">
      <c r="A54" s="122"/>
      <c r="B54" s="123"/>
      <c r="C54" s="168"/>
      <c r="D54" s="168"/>
      <c r="E54" s="457" t="s">
        <v>473</v>
      </c>
      <c r="F54" s="217" t="s">
        <v>79</v>
      </c>
      <c r="G54" s="217" t="s">
        <v>143</v>
      </c>
      <c r="H54" s="178" t="s">
        <v>144</v>
      </c>
      <c r="I54" s="154">
        <f t="shared" ref="I54:P54" si="12">I47-I53</f>
        <v>0</v>
      </c>
      <c r="J54" s="154">
        <f t="shared" si="12"/>
        <v>0</v>
      </c>
      <c r="K54" s="154">
        <f t="shared" si="12"/>
        <v>0</v>
      </c>
      <c r="L54" s="154">
        <f t="shared" si="12"/>
        <v>0.505462675</v>
      </c>
      <c r="M54" s="154">
        <f t="shared" si="12"/>
        <v>0.505462675</v>
      </c>
      <c r="N54" s="154">
        <f t="shared" si="12"/>
        <v>0</v>
      </c>
      <c r="O54" s="154">
        <f t="shared" si="12"/>
        <v>0</v>
      </c>
      <c r="P54" s="154">
        <f t="shared" si="12"/>
        <v>0.1776316162</v>
      </c>
      <c r="Q54" s="20"/>
    </row>
    <row r="55">
      <c r="A55" s="122"/>
      <c r="B55" s="123"/>
      <c r="C55" s="168"/>
      <c r="D55" s="168"/>
      <c r="E55" s="457" t="s">
        <v>474</v>
      </c>
      <c r="F55" s="217" t="s">
        <v>79</v>
      </c>
      <c r="G55" s="217" t="s">
        <v>143</v>
      </c>
      <c r="H55" s="178" t="s">
        <v>144</v>
      </c>
      <c r="I55" s="154">
        <f t="shared" ref="I55:P55" si="13">I48</f>
        <v>0</v>
      </c>
      <c r="J55" s="154">
        <f t="shared" si="13"/>
        <v>0.45</v>
      </c>
      <c r="K55" s="154">
        <f t="shared" si="13"/>
        <v>0</v>
      </c>
      <c r="L55" s="154">
        <f t="shared" si="13"/>
        <v>0</v>
      </c>
      <c r="M55" s="154">
        <f t="shared" si="13"/>
        <v>0</v>
      </c>
      <c r="N55" s="154">
        <f t="shared" si="13"/>
        <v>0</v>
      </c>
      <c r="O55" s="154">
        <f t="shared" si="13"/>
        <v>0</v>
      </c>
      <c r="P55" s="154">
        <f t="shared" si="13"/>
        <v>0</v>
      </c>
      <c r="Q55" s="20"/>
    </row>
    <row r="56">
      <c r="A56" s="122"/>
      <c r="B56" s="123"/>
      <c r="C56" s="168"/>
      <c r="D56" s="168"/>
      <c r="E56" s="450" t="s">
        <v>475</v>
      </c>
      <c r="F56" s="221" t="s">
        <v>79</v>
      </c>
      <c r="G56" s="221" t="s">
        <v>143</v>
      </c>
      <c r="H56" s="184" t="s">
        <v>144</v>
      </c>
      <c r="I56" s="160">
        <f t="shared" ref="I56:P56" si="14">I49</f>
        <v>0</v>
      </c>
      <c r="J56" s="160">
        <f t="shared" si="14"/>
        <v>0.05</v>
      </c>
      <c r="K56" s="160">
        <f t="shared" si="14"/>
        <v>0</v>
      </c>
      <c r="L56" s="160">
        <f t="shared" si="14"/>
        <v>0</v>
      </c>
      <c r="M56" s="160">
        <f t="shared" si="14"/>
        <v>0</v>
      </c>
      <c r="N56" s="160">
        <f t="shared" si="14"/>
        <v>0</v>
      </c>
      <c r="O56" s="160">
        <f t="shared" si="14"/>
        <v>0</v>
      </c>
      <c r="P56" s="160">
        <f t="shared" si="14"/>
        <v>0</v>
      </c>
      <c r="Q56" s="47"/>
    </row>
    <row r="57">
      <c r="A57" s="122"/>
      <c r="B57" s="123"/>
      <c r="C57" s="168"/>
      <c r="D57" s="168"/>
      <c r="E57" s="325"/>
      <c r="F57" s="125"/>
      <c r="G57" s="125"/>
      <c r="H57" s="127"/>
      <c r="I57" s="132"/>
      <c r="J57" s="132"/>
      <c r="K57" s="132"/>
      <c r="L57" s="132"/>
      <c r="M57" s="132"/>
      <c r="N57" s="132"/>
      <c r="O57" s="132"/>
      <c r="P57" s="132"/>
      <c r="Q57" s="11"/>
    </row>
    <row r="58">
      <c r="A58" s="122"/>
      <c r="B58" s="123"/>
      <c r="C58" s="168" t="s">
        <v>476</v>
      </c>
      <c r="F58" s="125"/>
      <c r="G58" s="125"/>
      <c r="H58" s="127"/>
      <c r="I58" s="132"/>
      <c r="J58" s="132"/>
      <c r="K58" s="132"/>
      <c r="L58" s="132"/>
      <c r="M58" s="132"/>
      <c r="N58" s="132"/>
      <c r="O58" s="132"/>
      <c r="P58" s="132"/>
      <c r="Q58" s="11"/>
    </row>
    <row r="59">
      <c r="A59" s="122"/>
      <c r="B59" s="123"/>
      <c r="C59" s="168"/>
      <c r="D59" s="168"/>
      <c r="E59" s="266" t="s">
        <v>477</v>
      </c>
      <c r="F59" s="188" t="s">
        <v>79</v>
      </c>
      <c r="G59" s="188" t="s">
        <v>143</v>
      </c>
      <c r="H59" s="172" t="s">
        <v>144</v>
      </c>
      <c r="I59" s="148">
        <f t="shared" ref="I59:P59" si="15">-I22</f>
        <v>-0.6242094131</v>
      </c>
      <c r="J59" s="148">
        <f t="shared" si="15"/>
        <v>-0.3950633071</v>
      </c>
      <c r="K59" s="148">
        <f t="shared" si="15"/>
        <v>-0.2664813691</v>
      </c>
      <c r="L59" s="148">
        <f t="shared" si="15"/>
        <v>-0.2165789907</v>
      </c>
      <c r="M59" s="148">
        <f t="shared" si="15"/>
        <v>-0.2165789907</v>
      </c>
      <c r="N59" s="148">
        <f t="shared" si="15"/>
        <v>-0.3707293068</v>
      </c>
      <c r="O59" s="148">
        <f t="shared" si="15"/>
        <v>-0.6087861253</v>
      </c>
      <c r="P59" s="148">
        <f t="shared" si="15"/>
        <v>-0.4520680222</v>
      </c>
      <c r="Q59" s="16"/>
    </row>
    <row r="60">
      <c r="A60" s="122"/>
      <c r="B60" s="123"/>
      <c r="C60" s="168"/>
      <c r="D60" s="168"/>
      <c r="E60" s="457" t="s">
        <v>478</v>
      </c>
      <c r="F60" s="217" t="s">
        <v>79</v>
      </c>
      <c r="G60" s="217" t="s">
        <v>143</v>
      </c>
      <c r="H60" s="178" t="s">
        <v>144</v>
      </c>
      <c r="I60" s="154">
        <f t="shared" ref="I60:P60" si="16">-I30</f>
        <v>-0.4967647783</v>
      </c>
      <c r="J60" s="154">
        <f t="shared" si="16"/>
        <v>-0.03585014924</v>
      </c>
      <c r="K60" s="154">
        <f t="shared" si="16"/>
        <v>-0.06828585082</v>
      </c>
      <c r="L60" s="154">
        <f t="shared" si="16"/>
        <v>-0.05224784134</v>
      </c>
      <c r="M60" s="154">
        <f t="shared" si="16"/>
        <v>-0.05224784134</v>
      </c>
      <c r="N60" s="154">
        <f t="shared" si="16"/>
        <v>-0.03692565143</v>
      </c>
      <c r="O60" s="154">
        <f t="shared" si="16"/>
        <v>-0.04933325945</v>
      </c>
      <c r="P60" s="154">
        <f t="shared" si="16"/>
        <v>-0.04217362641</v>
      </c>
      <c r="Q60" s="20"/>
    </row>
    <row r="61">
      <c r="A61" s="122"/>
      <c r="B61" s="123"/>
      <c r="C61" s="168"/>
      <c r="D61" s="168"/>
      <c r="E61" s="457" t="s">
        <v>479</v>
      </c>
      <c r="F61" s="217" t="s">
        <v>79</v>
      </c>
      <c r="G61" s="217" t="s">
        <v>143</v>
      </c>
      <c r="H61" s="178" t="s">
        <v>144</v>
      </c>
      <c r="I61" s="154">
        <f t="shared" ref="I61:P61" si="17">-I22</f>
        <v>-0.6242094131</v>
      </c>
      <c r="J61" s="154">
        <f t="shared" si="17"/>
        <v>-0.3950633071</v>
      </c>
      <c r="K61" s="154">
        <f t="shared" si="17"/>
        <v>-0.2664813691</v>
      </c>
      <c r="L61" s="154">
        <f t="shared" si="17"/>
        <v>-0.2165789907</v>
      </c>
      <c r="M61" s="154">
        <f t="shared" si="17"/>
        <v>-0.2165789907</v>
      </c>
      <c r="N61" s="154">
        <f t="shared" si="17"/>
        <v>-0.3707293068</v>
      </c>
      <c r="O61" s="154">
        <f t="shared" si="17"/>
        <v>-0.6087861253</v>
      </c>
      <c r="P61" s="154">
        <f t="shared" si="17"/>
        <v>-0.4520680222</v>
      </c>
      <c r="Q61" s="20"/>
    </row>
    <row r="62">
      <c r="A62" s="122"/>
      <c r="B62" s="123"/>
      <c r="C62" s="168"/>
      <c r="D62" s="168"/>
      <c r="E62" s="457" t="s">
        <v>480</v>
      </c>
      <c r="F62" s="217" t="s">
        <v>79</v>
      </c>
      <c r="G62" s="217" t="s">
        <v>143</v>
      </c>
      <c r="H62" s="178" t="s">
        <v>144</v>
      </c>
      <c r="I62" s="154">
        <f t="shared" ref="I62:P62" si="18">-$H40</f>
        <v>0</v>
      </c>
      <c r="J62" s="154">
        <f t="shared" si="18"/>
        <v>0</v>
      </c>
      <c r="K62" s="154">
        <f t="shared" si="18"/>
        <v>0</v>
      </c>
      <c r="L62" s="154">
        <f t="shared" si="18"/>
        <v>0</v>
      </c>
      <c r="M62" s="154">
        <f t="shared" si="18"/>
        <v>0</v>
      </c>
      <c r="N62" s="154">
        <f t="shared" si="18"/>
        <v>0</v>
      </c>
      <c r="O62" s="154">
        <f t="shared" si="18"/>
        <v>0</v>
      </c>
      <c r="P62" s="154">
        <f t="shared" si="18"/>
        <v>0</v>
      </c>
      <c r="Q62" s="20"/>
    </row>
    <row r="63">
      <c r="A63" s="122"/>
      <c r="B63" s="123"/>
      <c r="C63" s="168"/>
      <c r="D63" s="168"/>
      <c r="E63" s="450" t="s">
        <v>481</v>
      </c>
      <c r="F63" s="221" t="s">
        <v>79</v>
      </c>
      <c r="G63" s="221" t="s">
        <v>143</v>
      </c>
      <c r="H63" s="184" t="s">
        <v>144</v>
      </c>
      <c r="I63" s="160">
        <f t="shared" ref="I63:P63" si="19">-I41</f>
        <v>-0.6242094131</v>
      </c>
      <c r="J63" s="160">
        <f t="shared" si="19"/>
        <v>-0.3950633071</v>
      </c>
      <c r="K63" s="160">
        <f t="shared" si="19"/>
        <v>-0.2664813691</v>
      </c>
      <c r="L63" s="160">
        <f t="shared" si="19"/>
        <v>-0.2165789907</v>
      </c>
      <c r="M63" s="160">
        <f t="shared" si="19"/>
        <v>-0.2165789907</v>
      </c>
      <c r="N63" s="160">
        <f t="shared" si="19"/>
        <v>-0.3707293068</v>
      </c>
      <c r="O63" s="160">
        <f t="shared" si="19"/>
        <v>-0.6087861253</v>
      </c>
      <c r="P63" s="160">
        <f t="shared" si="19"/>
        <v>-0.4520680222</v>
      </c>
      <c r="Q63" s="47"/>
    </row>
    <row r="64">
      <c r="A64" s="122"/>
      <c r="B64" s="123"/>
      <c r="C64" s="168"/>
      <c r="D64" s="168"/>
      <c r="E64" s="325"/>
      <c r="F64" s="125"/>
      <c r="G64" s="125"/>
      <c r="H64" s="127"/>
      <c r="I64" s="132"/>
      <c r="J64" s="132"/>
      <c r="K64" s="132"/>
      <c r="L64" s="132"/>
      <c r="M64" s="132"/>
      <c r="N64" s="132"/>
      <c r="O64" s="132"/>
      <c r="P64" s="132"/>
      <c r="Q64" s="11"/>
    </row>
    <row r="65">
      <c r="A65" s="122"/>
      <c r="B65" s="123"/>
      <c r="C65" s="168" t="s">
        <v>482</v>
      </c>
      <c r="F65" s="125"/>
      <c r="G65" s="125"/>
      <c r="H65" s="127"/>
      <c r="I65" s="132"/>
      <c r="J65" s="132"/>
      <c r="K65" s="132"/>
      <c r="L65" s="132"/>
      <c r="M65" s="132"/>
      <c r="N65" s="132"/>
      <c r="O65" s="132"/>
      <c r="P65" s="132"/>
      <c r="Q65" s="11"/>
    </row>
    <row r="66">
      <c r="A66" s="122"/>
      <c r="B66" s="123"/>
      <c r="C66" s="123"/>
      <c r="D66" s="123"/>
      <c r="E66" s="164" t="s">
        <v>185</v>
      </c>
      <c r="F66" s="134" t="s">
        <v>79</v>
      </c>
      <c r="G66" s="134" t="s">
        <v>143</v>
      </c>
      <c r="H66" s="460" t="s">
        <v>144</v>
      </c>
      <c r="I66" s="331">
        <f t="shared" ref="I66:P66" si="20">SUMPRODUCT(I52:I56,I59:I63)</f>
        <v>-0.5859760227</v>
      </c>
      <c r="J66" s="331">
        <f t="shared" si="20"/>
        <v>-0.03767823997</v>
      </c>
      <c r="K66" s="331">
        <f t="shared" si="20"/>
        <v>-0.2070227136</v>
      </c>
      <c r="L66" s="331">
        <f t="shared" si="20"/>
        <v>-0.1353111037</v>
      </c>
      <c r="M66" s="331">
        <f t="shared" si="20"/>
        <v>-0.1353111037</v>
      </c>
      <c r="N66" s="331">
        <f t="shared" si="20"/>
        <v>-0.3073066123</v>
      </c>
      <c r="O66" s="331">
        <f t="shared" si="20"/>
        <v>-0.3290596923</v>
      </c>
      <c r="P66" s="331">
        <f t="shared" si="20"/>
        <v>-0.1149838304</v>
      </c>
      <c r="Q66" s="56"/>
    </row>
    <row r="67">
      <c r="A67" s="352"/>
      <c r="B67" s="353"/>
      <c r="C67" s="353"/>
      <c r="D67" s="353"/>
      <c r="E67" s="354"/>
      <c r="F67" s="355"/>
      <c r="G67" s="355"/>
      <c r="H67" s="333"/>
      <c r="I67" s="438"/>
      <c r="J67" s="438"/>
      <c r="K67" s="438"/>
      <c r="L67" s="438"/>
      <c r="M67" s="438"/>
      <c r="N67" s="438"/>
      <c r="O67" s="438"/>
      <c r="P67" s="438"/>
      <c r="Q67" s="56"/>
    </row>
  </sheetData>
  <mergeCells count="16">
    <mergeCell ref="I1:P1"/>
    <mergeCell ref="A3:E3"/>
    <mergeCell ref="A5:G5"/>
    <mergeCell ref="C7:E7"/>
    <mergeCell ref="C16:E16"/>
    <mergeCell ref="C20:E20"/>
    <mergeCell ref="A24:G24"/>
    <mergeCell ref="C58:E58"/>
    <mergeCell ref="C65:E65"/>
    <mergeCell ref="C26:E26"/>
    <mergeCell ref="C32:E32"/>
    <mergeCell ref="A37:G37"/>
    <mergeCell ref="C39:E39"/>
    <mergeCell ref="A43:G43"/>
    <mergeCell ref="C45:E45"/>
    <mergeCell ref="C51:E51"/>
  </mergeCells>
  <hyperlinks>
    <hyperlink display="Average mosquito mortality rate found in pyrethroid bioassays (2015-2019)" location="Inputs!E106" ref="E8"/>
    <hyperlink display="Average year pyrethroid bioassays were conducted" location="Inputs!E107" ref="E9"/>
    <hyperlink display="Expected year of ITN distribution" location="Inputs!E108" ref="E10"/>
    <hyperlink display="Expected annual change in mosquito mortality rates over time" location="Inputs!E109" ref="E12"/>
    <hyperlink display="Proportion of the protective effect of ITNs that is due to the physical barrier of the net" location="Inputs!E112" ref="E17"/>
    <hyperlink display="Average mosquito mortality rate found in bioassays of pyrethroid plus PBO (2015-2019)" location="Inputs!E115" ref="E27"/>
    <hyperlink display="Average mosquito mortality rate found in the same bioassays of pyrethroid only" location="Inputs!E116" ref="E28"/>
    <hyperlink display="Proportion of bioassay test sites with confirmed pyrethroid insecticide resistance (2015-2019)" location="Inputs!E117" ref="E33"/>
    <hyperlink display="Proportion of test sites detected to have relevant resistance mechanism (2015-2019)" location="Inputs!E118" ref="E34"/>
    <hyperlink display="Reduction in effectiveness due to insecticide resistance with chlorfenapyr nets" location="Inputs!E121" ref="E40"/>
    <hyperlink display="Expected proportion of standard ITNs purchased for distributions" location="Inputs!E127" ref="E46"/>
    <hyperlink display="Expected proportion of PBO nets purchased for distributions" location="Inputs!E124" ref="E47"/>
    <hyperlink display="Expected proportion of chlorfenapyr nets purchased for distributions" location="Inputs!E125" ref="E48"/>
    <hyperlink display="Expected proportion of other Dual AI nets purchased for distributions" location="Inputs!E126" ref="E49"/>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461"/>
      <c r="F1" s="90"/>
      <c r="G1" s="91"/>
      <c r="H1" s="356"/>
      <c r="I1" s="92" t="s">
        <v>117</v>
      </c>
      <c r="J1" s="6"/>
      <c r="K1" s="6"/>
      <c r="L1" s="6"/>
      <c r="M1" s="6"/>
      <c r="N1" s="6"/>
      <c r="O1" s="6"/>
      <c r="P1" s="93"/>
      <c r="Q1" s="357"/>
    </row>
    <row r="2">
      <c r="A2" s="95"/>
      <c r="B2" s="96"/>
      <c r="C2" s="96"/>
      <c r="D2" s="96"/>
      <c r="E2" s="462"/>
      <c r="F2" s="98"/>
      <c r="G2" s="99"/>
      <c r="H2" s="358"/>
      <c r="I2" s="101" t="s">
        <v>118</v>
      </c>
      <c r="J2" s="101" t="s">
        <v>119</v>
      </c>
      <c r="K2" s="101" t="s">
        <v>120</v>
      </c>
      <c r="L2" s="101" t="s">
        <v>121</v>
      </c>
      <c r="M2" s="101" t="s">
        <v>121</v>
      </c>
      <c r="N2" s="101" t="s">
        <v>122</v>
      </c>
      <c r="O2" s="101" t="s">
        <v>123</v>
      </c>
      <c r="P2" s="102" t="s">
        <v>124</v>
      </c>
      <c r="Q2" s="359"/>
    </row>
    <row r="3">
      <c r="A3" s="104" t="s">
        <v>483</v>
      </c>
      <c r="B3" s="54"/>
      <c r="C3" s="54"/>
      <c r="D3" s="54"/>
      <c r="E3" s="54"/>
      <c r="F3" s="105" t="s">
        <v>126</v>
      </c>
      <c r="G3" s="106" t="s">
        <v>127</v>
      </c>
      <c r="H3" s="107" t="s">
        <v>128</v>
      </c>
      <c r="I3" s="108"/>
      <c r="J3" s="108"/>
      <c r="K3" s="108"/>
      <c r="L3" s="108" t="s">
        <v>129</v>
      </c>
      <c r="M3" s="108" t="s">
        <v>130</v>
      </c>
      <c r="N3" s="108"/>
      <c r="O3" s="108"/>
      <c r="P3" s="109"/>
      <c r="Q3" s="360"/>
    </row>
    <row r="4">
      <c r="A4" s="111"/>
      <c r="B4" s="112"/>
      <c r="C4" s="112"/>
      <c r="D4" s="112"/>
      <c r="E4" s="463" t="s">
        <v>307</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133</v>
      </c>
      <c r="B5" s="6"/>
      <c r="C5" s="6"/>
      <c r="D5" s="6"/>
      <c r="E5" s="6"/>
      <c r="F5" s="6"/>
      <c r="G5" s="93"/>
      <c r="H5" s="119"/>
      <c r="I5" s="295"/>
      <c r="J5" s="295"/>
      <c r="K5" s="295"/>
      <c r="L5" s="295"/>
      <c r="M5" s="295"/>
      <c r="N5" s="295"/>
      <c r="O5" s="295"/>
      <c r="P5" s="295"/>
      <c r="Q5" s="362"/>
    </row>
    <row r="6">
      <c r="A6" s="122"/>
      <c r="B6" s="123"/>
      <c r="C6" s="123"/>
      <c r="D6" s="123"/>
      <c r="E6" s="464"/>
      <c r="F6" s="125"/>
      <c r="G6" s="126"/>
      <c r="H6" s="127"/>
      <c r="I6" s="132"/>
      <c r="J6" s="132"/>
      <c r="K6" s="132"/>
      <c r="L6" s="132"/>
      <c r="M6" s="132"/>
      <c r="N6" s="132"/>
      <c r="O6" s="132"/>
      <c r="P6" s="132"/>
      <c r="Q6" s="11"/>
    </row>
    <row r="7">
      <c r="A7" s="122"/>
      <c r="B7" s="123"/>
      <c r="C7" s="130" t="s">
        <v>134</v>
      </c>
      <c r="F7" s="125"/>
      <c r="G7" s="131"/>
      <c r="H7" s="127"/>
      <c r="I7" s="132"/>
      <c r="J7" s="132"/>
      <c r="K7" s="132"/>
      <c r="L7" s="132"/>
      <c r="M7" s="132"/>
      <c r="N7" s="132"/>
      <c r="O7" s="132"/>
      <c r="P7" s="132"/>
      <c r="Q7" s="11"/>
    </row>
    <row r="8">
      <c r="A8" s="122"/>
      <c r="B8" s="123"/>
      <c r="C8" s="123"/>
      <c r="D8" s="123"/>
      <c r="E8" s="164" t="s">
        <v>135</v>
      </c>
      <c r="F8" s="134" t="str">
        <f>Inputs!F8</f>
        <v>$</v>
      </c>
      <c r="G8" s="135" t="str">
        <f>Inputs!G8</f>
        <v>input</v>
      </c>
      <c r="H8" s="465">
        <f>Inputs!H8</f>
        <v>1000000</v>
      </c>
      <c r="I8" s="167" t="str">
        <f>Inputs!I8</f>
        <v>-</v>
      </c>
      <c r="J8" s="167" t="str">
        <f>Inputs!J8</f>
        <v>-</v>
      </c>
      <c r="K8" s="167" t="str">
        <f>Inputs!K8</f>
        <v>-</v>
      </c>
      <c r="L8" s="167" t="str">
        <f>Inputs!L8</f>
        <v>-</v>
      </c>
      <c r="M8" s="167" t="str">
        <f>Inputs!M8</f>
        <v>-</v>
      </c>
      <c r="N8" s="167" t="str">
        <f>Inputs!N8</f>
        <v>-</v>
      </c>
      <c r="O8" s="167" t="str">
        <f>Inputs!O8</f>
        <v>-</v>
      </c>
      <c r="P8" s="167" t="str">
        <f>Inputs!P8</f>
        <v>-</v>
      </c>
      <c r="Q8" s="56"/>
    </row>
    <row r="9">
      <c r="A9" s="122"/>
      <c r="B9" s="123"/>
      <c r="C9" s="57"/>
      <c r="D9" s="57"/>
      <c r="E9" s="466"/>
      <c r="F9" s="142"/>
      <c r="G9" s="143"/>
      <c r="H9" s="127"/>
      <c r="I9" s="132"/>
      <c r="J9" s="132"/>
      <c r="K9" s="132"/>
      <c r="L9" s="132"/>
      <c r="M9" s="132"/>
      <c r="N9" s="132"/>
      <c r="O9" s="132"/>
      <c r="P9" s="132"/>
      <c r="Q9" s="11"/>
    </row>
    <row r="10">
      <c r="A10" s="122"/>
      <c r="B10" s="123"/>
      <c r="C10" s="57" t="s">
        <v>137</v>
      </c>
      <c r="F10" s="142"/>
      <c r="G10" s="143"/>
      <c r="H10" s="127"/>
      <c r="I10" s="132"/>
      <c r="J10" s="132"/>
      <c r="K10" s="132"/>
      <c r="L10" s="132"/>
      <c r="M10" s="132"/>
      <c r="N10" s="132"/>
      <c r="O10" s="132"/>
      <c r="P10" s="132"/>
      <c r="Q10" s="11"/>
    </row>
    <row r="11">
      <c r="A11" s="122"/>
      <c r="B11" s="123"/>
      <c r="C11" s="10"/>
      <c r="D11" s="10"/>
      <c r="E11" s="467" t="s">
        <v>138</v>
      </c>
      <c r="F11" s="145" t="str">
        <f>Inputs!F11</f>
        <v>%</v>
      </c>
      <c r="G11" s="146" t="str">
        <f>Inputs!G11</f>
        <v>input</v>
      </c>
      <c r="H11" s="172" t="str">
        <f>Inputs!H11</f>
        <v>-</v>
      </c>
      <c r="I11" s="307">
        <f>Inputs!I11</f>
        <v>0.9562847</v>
      </c>
      <c r="J11" s="307">
        <f>Inputs!J11</f>
        <v>0.9449092</v>
      </c>
      <c r="K11" s="307">
        <f>Inputs!K11</f>
        <v>0.9562847</v>
      </c>
      <c r="L11" s="307">
        <f>Inputs!L11</f>
        <v>0.9613383</v>
      </c>
      <c r="M11" s="307">
        <f>Inputs!M11</f>
        <v>0.9613383</v>
      </c>
      <c r="N11" s="307">
        <f>Inputs!N11</f>
        <v>0.936798</v>
      </c>
      <c r="O11" s="307">
        <f>Inputs!O11</f>
        <v>0.9595745</v>
      </c>
      <c r="P11" s="307">
        <f>Inputs!P11</f>
        <v>0.9553321</v>
      </c>
      <c r="Q11" s="16"/>
    </row>
    <row r="12">
      <c r="A12" s="122"/>
      <c r="B12" s="123"/>
      <c r="C12" s="10"/>
      <c r="D12" s="10"/>
      <c r="E12" s="468" t="s">
        <v>139</v>
      </c>
      <c r="F12" s="151" t="str">
        <f>Inputs!F12</f>
        <v>%</v>
      </c>
      <c r="G12" s="152" t="str">
        <f>Inputs!G12</f>
        <v>input</v>
      </c>
      <c r="H12" s="172" t="str">
        <f>Inputs!H12</f>
        <v>-</v>
      </c>
      <c r="I12" s="154">
        <f>Inputs!I12</f>
        <v>0</v>
      </c>
      <c r="J12" s="154">
        <f>Inputs!J12</f>
        <v>0</v>
      </c>
      <c r="K12" s="154">
        <f>Inputs!K12</f>
        <v>0</v>
      </c>
      <c r="L12" s="154">
        <f>Inputs!L12</f>
        <v>0</v>
      </c>
      <c r="M12" s="154">
        <f>Inputs!M12</f>
        <v>0</v>
      </c>
      <c r="N12" s="154">
        <f>Inputs!N12</f>
        <v>0</v>
      </c>
      <c r="O12" s="154">
        <f>Inputs!O12</f>
        <v>0</v>
      </c>
      <c r="P12" s="154">
        <f>Inputs!P12</f>
        <v>0</v>
      </c>
      <c r="Q12" s="20"/>
    </row>
    <row r="13">
      <c r="A13" s="122"/>
      <c r="B13" s="123"/>
      <c r="C13" s="10"/>
      <c r="D13" s="10"/>
      <c r="E13" s="469" t="s">
        <v>140</v>
      </c>
      <c r="F13" s="157" t="str">
        <f>Inputs!F13</f>
        <v>%</v>
      </c>
      <c r="G13" s="158" t="str">
        <f>Inputs!G13</f>
        <v>input</v>
      </c>
      <c r="H13" s="166" t="str">
        <f>Inputs!H13</f>
        <v>-</v>
      </c>
      <c r="I13" s="160">
        <f>Inputs!I13</f>
        <v>0.0437153</v>
      </c>
      <c r="J13" s="160">
        <f>Inputs!J13</f>
        <v>0.0550908</v>
      </c>
      <c r="K13" s="160">
        <f>Inputs!K13</f>
        <v>0.0437153</v>
      </c>
      <c r="L13" s="160">
        <f>Inputs!L13</f>
        <v>0.0386617</v>
      </c>
      <c r="M13" s="160">
        <f>Inputs!M13</f>
        <v>0.0386617</v>
      </c>
      <c r="N13" s="160">
        <f>Inputs!N13</f>
        <v>0.0632021</v>
      </c>
      <c r="O13" s="160">
        <f>Inputs!O13</f>
        <v>0.0404255</v>
      </c>
      <c r="P13" s="160">
        <f>Inputs!P13</f>
        <v>0.0446679</v>
      </c>
      <c r="Q13" s="47"/>
    </row>
    <row r="14">
      <c r="A14" s="122"/>
      <c r="B14" s="123"/>
      <c r="C14" s="123"/>
      <c r="D14" s="123"/>
      <c r="E14" s="470"/>
      <c r="F14" s="140"/>
      <c r="G14" s="186"/>
      <c r="H14" s="386"/>
      <c r="I14" s="225"/>
      <c r="J14" s="225"/>
      <c r="K14" s="225"/>
      <c r="L14" s="225"/>
      <c r="M14" s="225"/>
      <c r="N14" s="225"/>
      <c r="O14" s="225"/>
      <c r="P14" s="225"/>
      <c r="Q14" s="11"/>
    </row>
    <row r="15">
      <c r="A15" s="122"/>
      <c r="B15" s="123"/>
      <c r="C15" s="162" t="s">
        <v>141</v>
      </c>
      <c r="F15" s="140"/>
      <c r="G15" s="163"/>
      <c r="H15" s="224"/>
      <c r="I15" s="387"/>
      <c r="J15" s="387"/>
      <c r="K15" s="387"/>
      <c r="L15" s="387"/>
      <c r="M15" s="387"/>
      <c r="N15" s="387"/>
      <c r="O15" s="387"/>
      <c r="P15" s="387"/>
      <c r="Q15" s="11"/>
    </row>
    <row r="16">
      <c r="A16" s="122"/>
      <c r="B16" s="123"/>
      <c r="C16" s="162"/>
      <c r="D16" s="123"/>
      <c r="E16" s="191" t="s">
        <v>142</v>
      </c>
      <c r="F16" s="134" t="str">
        <f>'Main CEA'!F16</f>
        <v>$</v>
      </c>
      <c r="G16" s="165" t="s">
        <v>132</v>
      </c>
      <c r="H16" s="471" t="str">
        <f>'Main CEA'!H16</f>
        <v>-</v>
      </c>
      <c r="I16" s="167">
        <f>'Main CEA'!I16</f>
        <v>1045713.688</v>
      </c>
      <c r="J16" s="167">
        <f>'Main CEA'!J16</f>
        <v>1058302.745</v>
      </c>
      <c r="K16" s="167">
        <f>'Main CEA'!K16</f>
        <v>1045713.688</v>
      </c>
      <c r="L16" s="167">
        <f>'Main CEA'!L16</f>
        <v>1040216.54</v>
      </c>
      <c r="M16" s="167">
        <f>'Main CEA'!M16</f>
        <v>1040216.54</v>
      </c>
      <c r="N16" s="167">
        <f>'Main CEA'!N16</f>
        <v>1067465.985</v>
      </c>
      <c r="O16" s="167">
        <f>'Main CEA'!O16</f>
        <v>1042128.568</v>
      </c>
      <c r="P16" s="167">
        <f>'Main CEA'!P16</f>
        <v>1046756.411</v>
      </c>
      <c r="Q16" s="56"/>
    </row>
    <row r="17">
      <c r="A17" s="122"/>
      <c r="B17" s="123"/>
      <c r="C17" s="168"/>
      <c r="D17" s="168"/>
      <c r="E17" s="470"/>
      <c r="F17" s="125"/>
      <c r="G17" s="131"/>
      <c r="H17" s="224"/>
      <c r="I17" s="387"/>
      <c r="J17" s="387"/>
      <c r="K17" s="387"/>
      <c r="L17" s="387"/>
      <c r="M17" s="387"/>
      <c r="N17" s="387"/>
      <c r="O17" s="387"/>
      <c r="P17" s="387"/>
      <c r="Q17" s="11"/>
    </row>
    <row r="18">
      <c r="A18" s="122"/>
      <c r="B18" s="123"/>
      <c r="C18" s="168" t="s">
        <v>145</v>
      </c>
      <c r="F18" s="125"/>
      <c r="G18" s="131"/>
      <c r="H18" s="224"/>
      <c r="I18" s="387"/>
      <c r="J18" s="387"/>
      <c r="K18" s="387"/>
      <c r="L18" s="387"/>
      <c r="M18" s="387"/>
      <c r="N18" s="387"/>
      <c r="O18" s="387"/>
      <c r="P18" s="387"/>
      <c r="Q18" s="11"/>
    </row>
    <row r="19">
      <c r="A19" s="122"/>
      <c r="B19" s="123"/>
      <c r="C19" s="123"/>
      <c r="D19" s="123"/>
      <c r="E19" s="187" t="s">
        <v>146</v>
      </c>
      <c r="F19" s="188" t="str">
        <f>'Main CEA'!F19</f>
        <v>$</v>
      </c>
      <c r="G19" s="199" t="s">
        <v>132</v>
      </c>
      <c r="H19" s="172" t="str">
        <f>'Main CEA'!H19</f>
        <v>-</v>
      </c>
      <c r="I19" s="173">
        <f>'Main CEA'!I19</f>
        <v>1000000</v>
      </c>
      <c r="J19" s="173">
        <f>'Main CEA'!J19</f>
        <v>1000000</v>
      </c>
      <c r="K19" s="173">
        <f>'Main CEA'!K19</f>
        <v>1000000</v>
      </c>
      <c r="L19" s="173">
        <f>'Main CEA'!L19</f>
        <v>1000000</v>
      </c>
      <c r="M19" s="173">
        <f>'Main CEA'!M19</f>
        <v>1000000</v>
      </c>
      <c r="N19" s="173">
        <f>'Main CEA'!N19</f>
        <v>1000000</v>
      </c>
      <c r="O19" s="173">
        <f>'Main CEA'!O19</f>
        <v>1000000</v>
      </c>
      <c r="P19" s="173">
        <f>'Main CEA'!P19</f>
        <v>1000000</v>
      </c>
      <c r="Q19" s="16"/>
    </row>
    <row r="20">
      <c r="A20" s="122"/>
      <c r="B20" s="123"/>
      <c r="C20" s="168"/>
      <c r="D20" s="123"/>
      <c r="E20" s="367" t="s">
        <v>147</v>
      </c>
      <c r="F20" s="217" t="str">
        <f>'Main CEA'!F20</f>
        <v>$</v>
      </c>
      <c r="G20" s="472" t="s">
        <v>132</v>
      </c>
      <c r="H20" s="178" t="str">
        <f>'Main CEA'!H20</f>
        <v>-</v>
      </c>
      <c r="I20" s="473">
        <f>'Main CEA'!I20</f>
        <v>0</v>
      </c>
      <c r="J20" s="473">
        <f>'Main CEA'!J20</f>
        <v>0</v>
      </c>
      <c r="K20" s="473">
        <f>'Main CEA'!K20</f>
        <v>0</v>
      </c>
      <c r="L20" s="473">
        <f>'Main CEA'!L20</f>
        <v>0</v>
      </c>
      <c r="M20" s="473">
        <f>'Main CEA'!M20</f>
        <v>0</v>
      </c>
      <c r="N20" s="473">
        <f>'Main CEA'!N20</f>
        <v>0</v>
      </c>
      <c r="O20" s="473">
        <f>'Main CEA'!O20</f>
        <v>0</v>
      </c>
      <c r="P20" s="473">
        <f>'Main CEA'!P20</f>
        <v>0</v>
      </c>
      <c r="Q20" s="20"/>
    </row>
    <row r="21">
      <c r="A21" s="122"/>
      <c r="B21" s="123"/>
      <c r="C21" s="168"/>
      <c r="D21" s="123"/>
      <c r="E21" s="371" t="s">
        <v>148</v>
      </c>
      <c r="F21" s="221" t="str">
        <f>'Main CEA'!F21</f>
        <v>$</v>
      </c>
      <c r="G21" s="474" t="s">
        <v>132</v>
      </c>
      <c r="H21" s="440" t="str">
        <f>'Main CEA'!H21</f>
        <v>-</v>
      </c>
      <c r="I21" s="475">
        <f>'Main CEA'!I21</f>
        <v>45713.68757</v>
      </c>
      <c r="J21" s="475">
        <f>'Main CEA'!J21</f>
        <v>58302.74486</v>
      </c>
      <c r="K21" s="475">
        <f>'Main CEA'!K21</f>
        <v>45713.68757</v>
      </c>
      <c r="L21" s="475">
        <f>'Main CEA'!L21</f>
        <v>40216.5398</v>
      </c>
      <c r="M21" s="475">
        <f>'Main CEA'!M21</f>
        <v>40216.5398</v>
      </c>
      <c r="N21" s="475">
        <f>'Main CEA'!N21</f>
        <v>67466.09194</v>
      </c>
      <c r="O21" s="475">
        <f>'Main CEA'!O21</f>
        <v>42128.56844</v>
      </c>
      <c r="P21" s="475">
        <f>'Main CEA'!P21</f>
        <v>46756.41068</v>
      </c>
      <c r="Q21" s="47"/>
    </row>
    <row r="22">
      <c r="A22" s="122"/>
      <c r="B22" s="123"/>
      <c r="C22" s="168"/>
      <c r="D22" s="168"/>
      <c r="E22" s="470"/>
      <c r="F22" s="140"/>
      <c r="G22" s="186"/>
      <c r="H22" s="224"/>
      <c r="I22" s="387"/>
      <c r="J22" s="387"/>
      <c r="K22" s="387"/>
      <c r="L22" s="387"/>
      <c r="M22" s="387"/>
      <c r="N22" s="387"/>
      <c r="O22" s="387"/>
      <c r="P22" s="387"/>
      <c r="Q22" s="11"/>
    </row>
    <row r="23">
      <c r="A23" s="122"/>
      <c r="B23" s="123"/>
      <c r="C23" s="168" t="s">
        <v>149</v>
      </c>
      <c r="F23" s="140"/>
      <c r="G23" s="186"/>
      <c r="H23" s="209"/>
      <c r="I23" s="326"/>
      <c r="J23" s="326"/>
      <c r="K23" s="326"/>
      <c r="L23" s="326"/>
      <c r="M23" s="326"/>
      <c r="N23" s="326"/>
      <c r="O23" s="326"/>
      <c r="P23" s="326"/>
      <c r="Q23" s="11"/>
    </row>
    <row r="24">
      <c r="A24" s="122"/>
      <c r="B24" s="123"/>
      <c r="C24" s="123"/>
      <c r="D24" s="123"/>
      <c r="E24" s="187" t="s">
        <v>150</v>
      </c>
      <c r="F24" s="188" t="str">
        <f>'Main CEA'!F24</f>
        <v>$</v>
      </c>
      <c r="G24" s="476" t="s">
        <v>132</v>
      </c>
      <c r="H24" s="235" t="str">
        <f>'Main CEA'!H24</f>
        <v>-</v>
      </c>
      <c r="I24" s="173">
        <f>'Main CEA'!I24</f>
        <v>1000000</v>
      </c>
      <c r="J24" s="173">
        <f>'Main CEA'!J24</f>
        <v>1000000</v>
      </c>
      <c r="K24" s="173">
        <f>'Main CEA'!K24</f>
        <v>1000000</v>
      </c>
      <c r="L24" s="173">
        <f>'Main CEA'!L24</f>
        <v>1000000</v>
      </c>
      <c r="M24" s="173">
        <f>'Main CEA'!M24</f>
        <v>1000000</v>
      </c>
      <c r="N24" s="173">
        <f>'Main CEA'!N24</f>
        <v>1000000</v>
      </c>
      <c r="O24" s="173">
        <f>'Main CEA'!O24</f>
        <v>1000000</v>
      </c>
      <c r="P24" s="173">
        <f>'Main CEA'!P24</f>
        <v>1000000</v>
      </c>
      <c r="Q24" s="16"/>
    </row>
    <row r="25">
      <c r="A25" s="122"/>
      <c r="B25" s="123"/>
      <c r="C25" s="123"/>
      <c r="D25" s="123"/>
      <c r="E25" s="191" t="s">
        <v>151</v>
      </c>
      <c r="F25" s="134" t="str">
        <f>'Main CEA'!F25</f>
        <v>$</v>
      </c>
      <c r="G25" s="477" t="s">
        <v>132</v>
      </c>
      <c r="H25" s="136" t="str">
        <f>'Main CEA'!H25</f>
        <v>-</v>
      </c>
      <c r="I25" s="137">
        <f>'Main CEA'!I25</f>
        <v>45713.68757</v>
      </c>
      <c r="J25" s="137">
        <f>'Main CEA'!J25</f>
        <v>58302.74486</v>
      </c>
      <c r="K25" s="137">
        <f>'Main CEA'!K25</f>
        <v>45713.68757</v>
      </c>
      <c r="L25" s="137">
        <f>'Main CEA'!L25</f>
        <v>40216.5398</v>
      </c>
      <c r="M25" s="137">
        <f>'Main CEA'!M25</f>
        <v>40216.5398</v>
      </c>
      <c r="N25" s="137">
        <f>'Main CEA'!N25</f>
        <v>67466.09194</v>
      </c>
      <c r="O25" s="137">
        <f>'Main CEA'!O25</f>
        <v>42128.56844</v>
      </c>
      <c r="P25" s="137">
        <f>'Main CEA'!P25</f>
        <v>46756.41068</v>
      </c>
      <c r="Q25" s="56"/>
    </row>
    <row r="26">
      <c r="A26" s="122"/>
      <c r="B26" s="123"/>
      <c r="C26" s="123"/>
      <c r="D26" s="123"/>
      <c r="E26" s="470"/>
      <c r="F26" s="140"/>
      <c r="G26" s="186"/>
      <c r="H26" s="209"/>
      <c r="I26" s="326"/>
      <c r="J26" s="326"/>
      <c r="K26" s="326"/>
      <c r="L26" s="326"/>
      <c r="M26" s="326"/>
      <c r="N26" s="326"/>
      <c r="O26" s="326"/>
      <c r="P26" s="326"/>
      <c r="Q26" s="11"/>
    </row>
    <row r="27">
      <c r="A27" s="118" t="s">
        <v>484</v>
      </c>
      <c r="B27" s="6"/>
      <c r="C27" s="6"/>
      <c r="D27" s="6"/>
      <c r="E27" s="6"/>
      <c r="F27" s="6"/>
      <c r="G27" s="93"/>
      <c r="H27" s="203"/>
      <c r="I27" s="204"/>
      <c r="J27" s="204"/>
      <c r="K27" s="204"/>
      <c r="L27" s="204"/>
      <c r="M27" s="204"/>
      <c r="N27" s="204"/>
      <c r="O27" s="204"/>
      <c r="P27" s="204"/>
      <c r="Q27" s="422"/>
    </row>
    <row r="28">
      <c r="A28" s="122"/>
      <c r="B28" s="123"/>
      <c r="C28" s="242"/>
      <c r="D28" s="123"/>
      <c r="E28" s="464"/>
      <c r="F28" s="125"/>
      <c r="G28" s="126"/>
      <c r="H28" s="127"/>
      <c r="I28" s="132"/>
      <c r="J28" s="132"/>
      <c r="K28" s="132"/>
      <c r="L28" s="132"/>
      <c r="M28" s="132"/>
      <c r="N28" s="132"/>
      <c r="O28" s="132"/>
      <c r="P28" s="132"/>
      <c r="Q28" s="11"/>
    </row>
    <row r="29">
      <c r="A29" s="122"/>
      <c r="B29" s="123"/>
      <c r="C29" s="168" t="s">
        <v>485</v>
      </c>
      <c r="F29" s="125"/>
      <c r="G29" s="131"/>
      <c r="H29" s="424"/>
      <c r="I29" s="132"/>
      <c r="J29" s="132"/>
      <c r="K29" s="132"/>
      <c r="L29" s="132"/>
      <c r="M29" s="132"/>
      <c r="N29" s="132"/>
      <c r="O29" s="132"/>
      <c r="P29" s="132"/>
      <c r="Q29" s="11"/>
    </row>
    <row r="30">
      <c r="A30" s="122"/>
      <c r="B30" s="123"/>
      <c r="C30" s="123"/>
      <c r="D30" s="123"/>
      <c r="E30" s="187" t="s">
        <v>486</v>
      </c>
      <c r="F30" s="188" t="str">
        <f>Inputs!F195</f>
        <v>%</v>
      </c>
      <c r="G30" s="254" t="str">
        <f>Inputs!G195</f>
        <v>input</v>
      </c>
      <c r="H30" s="250" t="str">
        <f>Inputs!H195</f>
        <v>-</v>
      </c>
      <c r="I30" s="148">
        <f>Inputs!I195</f>
        <v>0</v>
      </c>
      <c r="J30" s="148">
        <f>Inputs!J195</f>
        <v>0</v>
      </c>
      <c r="K30" s="148">
        <f>Inputs!K195</f>
        <v>0</v>
      </c>
      <c r="L30" s="148">
        <f>Inputs!L195</f>
        <v>0</v>
      </c>
      <c r="M30" s="148">
        <f>Inputs!M195</f>
        <v>0</v>
      </c>
      <c r="N30" s="148">
        <f>Inputs!N195</f>
        <v>0</v>
      </c>
      <c r="O30" s="148">
        <f>Inputs!O195</f>
        <v>0</v>
      </c>
      <c r="P30" s="148">
        <f>Inputs!P195</f>
        <v>0</v>
      </c>
      <c r="Q30" s="16"/>
    </row>
    <row r="31">
      <c r="A31" s="122"/>
      <c r="B31" s="123"/>
      <c r="C31" s="123"/>
      <c r="D31" s="123"/>
      <c r="E31" s="187" t="s">
        <v>487</v>
      </c>
      <c r="F31" s="188" t="str">
        <f>Inputs!F196</f>
        <v>%</v>
      </c>
      <c r="G31" s="254" t="str">
        <f>Inputs!G196</f>
        <v>input</v>
      </c>
      <c r="H31" s="250" t="str">
        <f>Inputs!H196</f>
        <v>-</v>
      </c>
      <c r="I31" s="148">
        <f>Inputs!I196</f>
        <v>0.4</v>
      </c>
      <c r="J31" s="148">
        <f>Inputs!J196</f>
        <v>0.2</v>
      </c>
      <c r="K31" s="148">
        <f>Inputs!K196</f>
        <v>0.35</v>
      </c>
      <c r="L31" s="148">
        <f>Inputs!L196</f>
        <v>0.35</v>
      </c>
      <c r="M31" s="148">
        <f>Inputs!M196</f>
        <v>0.2</v>
      </c>
      <c r="N31" s="148">
        <f>Inputs!N196</f>
        <v>0.15</v>
      </c>
      <c r="O31" s="148">
        <f>Inputs!O196</f>
        <v>0.6</v>
      </c>
      <c r="P31" s="148">
        <f>Inputs!P196</f>
        <v>0.4</v>
      </c>
      <c r="Q31" s="16"/>
    </row>
    <row r="32">
      <c r="A32" s="122"/>
      <c r="B32" s="123"/>
      <c r="C32" s="123"/>
      <c r="D32" s="123"/>
      <c r="E32" s="367" t="s">
        <v>488</v>
      </c>
      <c r="F32" s="217" t="str">
        <f>Inputs!F197</f>
        <v>%</v>
      </c>
      <c r="G32" s="449" t="str">
        <f>Inputs!G197</f>
        <v>input</v>
      </c>
      <c r="H32" s="261" t="str">
        <f>Inputs!H197</f>
        <v>-</v>
      </c>
      <c r="I32" s="154">
        <f>Inputs!I197</f>
        <v>0</v>
      </c>
      <c r="J32" s="154">
        <f>Inputs!J197</f>
        <v>0</v>
      </c>
      <c r="K32" s="154">
        <f>Inputs!K197</f>
        <v>0</v>
      </c>
      <c r="L32" s="154">
        <f>Inputs!L197</f>
        <v>0</v>
      </c>
      <c r="M32" s="154">
        <f>Inputs!M197</f>
        <v>0</v>
      </c>
      <c r="N32" s="154">
        <f>Inputs!N197</f>
        <v>0</v>
      </c>
      <c r="O32" s="154">
        <f>Inputs!O197</f>
        <v>0</v>
      </c>
      <c r="P32" s="154">
        <f>Inputs!P197</f>
        <v>0</v>
      </c>
      <c r="Q32" s="20"/>
    </row>
    <row r="33">
      <c r="A33" s="122"/>
      <c r="B33" s="123"/>
      <c r="C33" s="243"/>
      <c r="D33" s="123"/>
      <c r="E33" s="371" t="s">
        <v>489</v>
      </c>
      <c r="F33" s="221" t="s">
        <v>79</v>
      </c>
      <c r="G33" s="222" t="s">
        <v>143</v>
      </c>
      <c r="H33" s="184" t="s">
        <v>144</v>
      </c>
      <c r="I33" s="160">
        <f t="shared" ref="I33:P33" si="1">1-SUM(I30:I32)</f>
        <v>0.6</v>
      </c>
      <c r="J33" s="160">
        <f t="shared" si="1"/>
        <v>0.8</v>
      </c>
      <c r="K33" s="160">
        <f t="shared" si="1"/>
        <v>0.65</v>
      </c>
      <c r="L33" s="160">
        <f t="shared" si="1"/>
        <v>0.65</v>
      </c>
      <c r="M33" s="160">
        <f t="shared" si="1"/>
        <v>0.8</v>
      </c>
      <c r="N33" s="160">
        <f t="shared" si="1"/>
        <v>0.85</v>
      </c>
      <c r="O33" s="160">
        <f t="shared" si="1"/>
        <v>0.4</v>
      </c>
      <c r="P33" s="160">
        <f t="shared" si="1"/>
        <v>0.6</v>
      </c>
      <c r="Q33" s="47"/>
    </row>
    <row r="34">
      <c r="A34" s="70"/>
      <c r="B34" s="10"/>
      <c r="C34" s="10"/>
      <c r="D34" s="10"/>
      <c r="E34" s="478"/>
      <c r="F34" s="10"/>
      <c r="G34" s="11"/>
      <c r="H34" s="127"/>
      <c r="I34" s="132"/>
      <c r="J34" s="132"/>
      <c r="K34" s="132"/>
      <c r="L34" s="132"/>
      <c r="M34" s="132"/>
      <c r="N34" s="132"/>
      <c r="O34" s="132"/>
      <c r="P34" s="132"/>
      <c r="Q34" s="11"/>
    </row>
    <row r="35">
      <c r="A35" s="70"/>
      <c r="B35" s="10"/>
      <c r="C35" s="57" t="s">
        <v>490</v>
      </c>
      <c r="F35" s="10"/>
      <c r="G35" s="11"/>
      <c r="H35" s="127"/>
      <c r="I35" s="132"/>
      <c r="J35" s="132"/>
      <c r="K35" s="132"/>
      <c r="L35" s="132"/>
      <c r="M35" s="132"/>
      <c r="N35" s="132"/>
      <c r="O35" s="132"/>
      <c r="P35" s="132"/>
      <c r="Q35" s="11"/>
    </row>
    <row r="36">
      <c r="A36" s="70"/>
      <c r="B36" s="10"/>
      <c r="C36" s="10"/>
      <c r="D36" s="10"/>
      <c r="E36" s="467" t="s">
        <v>486</v>
      </c>
      <c r="F36" s="479" t="str">
        <f>Inputs!F200</f>
        <v>%</v>
      </c>
      <c r="G36" s="146" t="str">
        <f>Inputs!G200</f>
        <v>input</v>
      </c>
      <c r="H36" s="250">
        <f>Inputs!H200</f>
        <v>1</v>
      </c>
      <c r="I36" s="244" t="str">
        <f>Inputs!I200</f>
        <v>-</v>
      </c>
      <c r="J36" s="244" t="str">
        <f>Inputs!J200</f>
        <v>-</v>
      </c>
      <c r="K36" s="244" t="str">
        <f>Inputs!K200</f>
        <v>-</v>
      </c>
      <c r="L36" s="244" t="str">
        <f>Inputs!L200</f>
        <v>-</v>
      </c>
      <c r="M36" s="244" t="str">
        <f>Inputs!M200</f>
        <v>-</v>
      </c>
      <c r="N36" s="244" t="str">
        <f>Inputs!N200</f>
        <v>-</v>
      </c>
      <c r="O36" s="244" t="str">
        <f>Inputs!O200</f>
        <v>-</v>
      </c>
      <c r="P36" s="244" t="str">
        <f>Inputs!P200</f>
        <v>-</v>
      </c>
      <c r="Q36" s="16"/>
    </row>
    <row r="37">
      <c r="A37" s="70"/>
      <c r="B37" s="10"/>
      <c r="C37" s="10"/>
      <c r="D37" s="10"/>
      <c r="E37" s="480" t="s">
        <v>487</v>
      </c>
      <c r="F37" s="283" t="str">
        <f>Inputs!F201</f>
        <v>%</v>
      </c>
      <c r="G37" s="152" t="str">
        <f>Inputs!G201</f>
        <v>input</v>
      </c>
      <c r="H37" s="261">
        <f>Inputs!H201</f>
        <v>1</v>
      </c>
      <c r="I37" s="220" t="str">
        <f>Inputs!I201</f>
        <v>-</v>
      </c>
      <c r="J37" s="220" t="str">
        <f>Inputs!J201</f>
        <v>-</v>
      </c>
      <c r="K37" s="220" t="str">
        <f>Inputs!K201</f>
        <v>-</v>
      </c>
      <c r="L37" s="220" t="str">
        <f>Inputs!L201</f>
        <v>-</v>
      </c>
      <c r="M37" s="220" t="str">
        <f>Inputs!M201</f>
        <v>-</v>
      </c>
      <c r="N37" s="220" t="str">
        <f>Inputs!N201</f>
        <v>-</v>
      </c>
      <c r="O37" s="220" t="str">
        <f>Inputs!O201</f>
        <v>-</v>
      </c>
      <c r="P37" s="220" t="str">
        <f>Inputs!P201</f>
        <v>-</v>
      </c>
      <c r="Q37" s="20"/>
    </row>
    <row r="38">
      <c r="A38" s="70"/>
      <c r="B38" s="10"/>
      <c r="C38" s="10"/>
      <c r="D38" s="10"/>
      <c r="E38" s="468" t="s">
        <v>488</v>
      </c>
      <c r="F38" s="283" t="s">
        <v>79</v>
      </c>
      <c r="G38" s="280" t="s">
        <v>143</v>
      </c>
      <c r="H38" s="178" t="s">
        <v>144</v>
      </c>
      <c r="I38" s="154">
        <f t="shared" ref="I38:P38" si="2">I20/I24</f>
        <v>0</v>
      </c>
      <c r="J38" s="154">
        <f t="shared" si="2"/>
        <v>0</v>
      </c>
      <c r="K38" s="154">
        <f t="shared" si="2"/>
        <v>0</v>
      </c>
      <c r="L38" s="154">
        <f t="shared" si="2"/>
        <v>0</v>
      </c>
      <c r="M38" s="154">
        <f t="shared" si="2"/>
        <v>0</v>
      </c>
      <c r="N38" s="154">
        <f t="shared" si="2"/>
        <v>0</v>
      </c>
      <c r="O38" s="154">
        <f t="shared" si="2"/>
        <v>0</v>
      </c>
      <c r="P38" s="154">
        <f t="shared" si="2"/>
        <v>0</v>
      </c>
      <c r="Q38" s="20"/>
    </row>
    <row r="39">
      <c r="A39" s="70"/>
      <c r="B39" s="10"/>
      <c r="C39" s="10"/>
      <c r="D39" s="10"/>
      <c r="E39" s="481" t="s">
        <v>489</v>
      </c>
      <c r="F39" s="482" t="str">
        <f>Inputs!F202</f>
        <v>%</v>
      </c>
      <c r="G39" s="158" t="str">
        <f>Inputs!G202</f>
        <v>input</v>
      </c>
      <c r="H39" s="378">
        <f>Inputs!H202</f>
        <v>0</v>
      </c>
      <c r="I39" s="410" t="str">
        <f>Inputs!I202</f>
        <v>-</v>
      </c>
      <c r="J39" s="410" t="str">
        <f>Inputs!J202</f>
        <v>-</v>
      </c>
      <c r="K39" s="410" t="str">
        <f>Inputs!K202</f>
        <v>-</v>
      </c>
      <c r="L39" s="410" t="str">
        <f>Inputs!L202</f>
        <v>-</v>
      </c>
      <c r="M39" s="410" t="str">
        <f>Inputs!M202</f>
        <v>-</v>
      </c>
      <c r="N39" s="410" t="str">
        <f>Inputs!N202</f>
        <v>-</v>
      </c>
      <c r="O39" s="410" t="str">
        <f>Inputs!O202</f>
        <v>-</v>
      </c>
      <c r="P39" s="410" t="str">
        <f>Inputs!P202</f>
        <v>-</v>
      </c>
      <c r="Q39" s="47"/>
    </row>
    <row r="40">
      <c r="A40" s="70"/>
      <c r="B40" s="10"/>
      <c r="C40" s="10"/>
      <c r="D40" s="10"/>
      <c r="E40" s="478"/>
      <c r="F40" s="294"/>
      <c r="G40" s="143"/>
      <c r="H40" s="127"/>
      <c r="I40" s="132"/>
      <c r="J40" s="132"/>
      <c r="K40" s="132"/>
      <c r="L40" s="132"/>
      <c r="M40" s="132"/>
      <c r="N40" s="132"/>
      <c r="O40" s="132"/>
      <c r="P40" s="132"/>
      <c r="Q40" s="11"/>
    </row>
    <row r="41">
      <c r="A41" s="118" t="s">
        <v>491</v>
      </c>
      <c r="B41" s="6"/>
      <c r="C41" s="6"/>
      <c r="D41" s="6"/>
      <c r="E41" s="6"/>
      <c r="F41" s="6"/>
      <c r="G41" s="93"/>
      <c r="H41" s="119"/>
      <c r="I41" s="295"/>
      <c r="J41" s="295"/>
      <c r="K41" s="295"/>
      <c r="L41" s="295"/>
      <c r="M41" s="295"/>
      <c r="N41" s="295"/>
      <c r="O41" s="295"/>
      <c r="P41" s="295"/>
      <c r="Q41" s="395"/>
    </row>
    <row r="42">
      <c r="A42" s="483"/>
      <c r="B42" s="123"/>
      <c r="C42" s="123"/>
      <c r="D42" s="123"/>
      <c r="E42" s="464"/>
      <c r="F42" s="125"/>
      <c r="G42" s="126"/>
      <c r="H42" s="484"/>
      <c r="I42" s="485"/>
      <c r="J42" s="485"/>
      <c r="K42" s="485"/>
      <c r="L42" s="485"/>
      <c r="M42" s="485"/>
      <c r="N42" s="485"/>
      <c r="O42" s="485"/>
      <c r="P42" s="485"/>
      <c r="Q42" s="126"/>
    </row>
    <row r="43">
      <c r="A43" s="483"/>
      <c r="B43" s="123"/>
      <c r="C43" s="168" t="s">
        <v>492</v>
      </c>
      <c r="F43" s="140"/>
      <c r="G43" s="126"/>
      <c r="H43" s="484"/>
      <c r="I43" s="485"/>
      <c r="J43" s="485"/>
      <c r="K43" s="485"/>
      <c r="L43" s="485"/>
      <c r="M43" s="485"/>
      <c r="N43" s="485"/>
      <c r="O43" s="485"/>
      <c r="P43" s="485"/>
      <c r="Q43" s="126"/>
    </row>
    <row r="44">
      <c r="A44" s="483"/>
      <c r="B44" s="123"/>
      <c r="C44" s="168"/>
      <c r="D44" s="123"/>
      <c r="E44" s="187" t="s">
        <v>246</v>
      </c>
      <c r="F44" s="188" t="str">
        <f>'Main CEA'!F143</f>
        <v>UoV</v>
      </c>
      <c r="G44" s="199" t="s">
        <v>132</v>
      </c>
      <c r="H44" s="486" t="str">
        <f>'Main CEA'!H143</f>
        <v>-</v>
      </c>
      <c r="I44" s="487">
        <f>'Main CEA'!I143</f>
        <v>0.01137397069</v>
      </c>
      <c r="J44" s="487">
        <f>'Main CEA'!J143</f>
        <v>0.04037772188</v>
      </c>
      <c r="K44" s="487">
        <f>'Main CEA'!K143</f>
        <v>0.08210013811</v>
      </c>
      <c r="L44" s="487">
        <f>'Main CEA'!L143</f>
        <v>0.05483156623</v>
      </c>
      <c r="M44" s="487">
        <f>'Main CEA'!M143</f>
        <v>0.03627171058</v>
      </c>
      <c r="N44" s="487">
        <f>'Main CEA'!N143</f>
        <v>0.01939797332</v>
      </c>
      <c r="O44" s="487">
        <f>'Main CEA'!O143</f>
        <v>0.03805208417</v>
      </c>
      <c r="P44" s="487">
        <f>'Main CEA'!P143</f>
        <v>0.05782016751</v>
      </c>
      <c r="Q44" s="321"/>
    </row>
    <row r="45">
      <c r="A45" s="483"/>
      <c r="B45" s="123"/>
      <c r="C45" s="168"/>
      <c r="D45" s="123"/>
      <c r="E45" s="367" t="s">
        <v>268</v>
      </c>
      <c r="F45" s="217" t="str">
        <f>'Main CEA'!F172</f>
        <v>%</v>
      </c>
      <c r="G45" s="218" t="s">
        <v>132</v>
      </c>
      <c r="H45" s="488">
        <f>'Main CEA'!H172</f>
        <v>-0.04</v>
      </c>
      <c r="I45" s="489" t="str">
        <f>'Main CEA'!I172</f>
        <v>-</v>
      </c>
      <c r="J45" s="489" t="str">
        <f>'Main CEA'!J172</f>
        <v>-</v>
      </c>
      <c r="K45" s="489" t="str">
        <f>'Main CEA'!K172</f>
        <v>-</v>
      </c>
      <c r="L45" s="489" t="str">
        <f>'Main CEA'!L172</f>
        <v>-</v>
      </c>
      <c r="M45" s="489" t="str">
        <f>'Main CEA'!M172</f>
        <v>-</v>
      </c>
      <c r="N45" s="489" t="str">
        <f>'Main CEA'!N172</f>
        <v>-</v>
      </c>
      <c r="O45" s="489" t="str">
        <f>'Main CEA'!O172</f>
        <v>-</v>
      </c>
      <c r="P45" s="489" t="str">
        <f>'Main CEA'!P172</f>
        <v>-</v>
      </c>
      <c r="Q45" s="324"/>
    </row>
    <row r="46">
      <c r="A46" s="483"/>
      <c r="B46" s="123"/>
      <c r="C46" s="168"/>
      <c r="D46" s="123"/>
      <c r="E46" s="367" t="s">
        <v>283</v>
      </c>
      <c r="F46" s="217" t="str">
        <f>'Main CEA'!F189</f>
        <v>%</v>
      </c>
      <c r="G46" s="218" t="s">
        <v>132</v>
      </c>
      <c r="H46" s="490" t="str">
        <f>'Main CEA'!H189</f>
        <v>-</v>
      </c>
      <c r="I46" s="491">
        <f>'Main CEA'!I189</f>
        <v>0.529</v>
      </c>
      <c r="J46" s="491">
        <f>'Main CEA'!J189</f>
        <v>0.479</v>
      </c>
      <c r="K46" s="491">
        <f>'Main CEA'!K189</f>
        <v>0.379</v>
      </c>
      <c r="L46" s="491">
        <f>'Main CEA'!L189</f>
        <v>0.479</v>
      </c>
      <c r="M46" s="491">
        <f>'Main CEA'!M189</f>
        <v>0.479</v>
      </c>
      <c r="N46" s="491">
        <f>'Main CEA'!N189</f>
        <v>0.379</v>
      </c>
      <c r="O46" s="491">
        <f>'Main CEA'!O189</f>
        <v>0.379</v>
      </c>
      <c r="P46" s="491">
        <f>'Main CEA'!P189</f>
        <v>0.379</v>
      </c>
      <c r="Q46" s="324"/>
    </row>
    <row r="47">
      <c r="A47" s="483"/>
      <c r="B47" s="123"/>
      <c r="C47" s="168"/>
      <c r="D47" s="123"/>
      <c r="E47" s="371" t="s">
        <v>493</v>
      </c>
      <c r="F47" s="221" t="s">
        <v>83</v>
      </c>
      <c r="G47" s="222" t="s">
        <v>143</v>
      </c>
      <c r="H47" s="492" t="s">
        <v>144</v>
      </c>
      <c r="I47" s="493">
        <f t="shared" ref="I47:P47" si="3">I44*(1+$H45)*(1+I46)</f>
        <v>0.01669516913</v>
      </c>
      <c r="J47" s="493">
        <f t="shared" si="3"/>
        <v>0.05732990464</v>
      </c>
      <c r="K47" s="493">
        <f t="shared" si="3"/>
        <v>0.1086874468</v>
      </c>
      <c r="L47" s="493">
        <f t="shared" si="3"/>
        <v>0.077852051</v>
      </c>
      <c r="M47" s="493">
        <f t="shared" si="3"/>
        <v>0.05150002555</v>
      </c>
      <c r="N47" s="493">
        <f t="shared" si="3"/>
        <v>0.025679813</v>
      </c>
      <c r="O47" s="493">
        <f t="shared" si="3"/>
        <v>0.0503748711</v>
      </c>
      <c r="P47" s="493">
        <f t="shared" si="3"/>
        <v>0.07654465056</v>
      </c>
      <c r="Q47" s="494"/>
    </row>
    <row r="48">
      <c r="A48" s="483"/>
      <c r="B48" s="123"/>
      <c r="C48" s="168"/>
      <c r="D48" s="123"/>
      <c r="E48" s="464"/>
      <c r="F48" s="140"/>
      <c r="G48" s="126"/>
      <c r="H48" s="495"/>
      <c r="I48" s="485"/>
      <c r="J48" s="485"/>
      <c r="K48" s="485"/>
      <c r="L48" s="485"/>
      <c r="M48" s="485"/>
      <c r="N48" s="485"/>
      <c r="O48" s="485"/>
      <c r="P48" s="485"/>
      <c r="Q48" s="126"/>
    </row>
    <row r="49">
      <c r="A49" s="483"/>
      <c r="B49" s="123"/>
      <c r="C49" s="168" t="s">
        <v>494</v>
      </c>
      <c r="F49" s="140"/>
      <c r="G49" s="126"/>
      <c r="H49" s="495"/>
      <c r="I49" s="485"/>
      <c r="J49" s="485"/>
      <c r="K49" s="485"/>
      <c r="L49" s="485"/>
      <c r="M49" s="485"/>
      <c r="N49" s="485"/>
      <c r="O49" s="485"/>
      <c r="P49" s="485"/>
      <c r="Q49" s="126"/>
    </row>
    <row r="50">
      <c r="A50" s="483"/>
      <c r="B50" s="123"/>
      <c r="C50" s="168"/>
      <c r="D50" s="123"/>
      <c r="E50" s="496" t="s">
        <v>254</v>
      </c>
      <c r="F50" s="188" t="str">
        <f>'Main CEA'!F154</f>
        <v>#</v>
      </c>
      <c r="G50" s="199" t="s">
        <v>132</v>
      </c>
      <c r="H50" s="497" t="str">
        <f>'Main CEA'!H154</f>
        <v>-</v>
      </c>
      <c r="I50" s="498">
        <f>'Main CEA'!I154</f>
        <v>69.00106118</v>
      </c>
      <c r="J50" s="498">
        <f>'Main CEA'!J154</f>
        <v>250.6642689</v>
      </c>
      <c r="K50" s="498">
        <f>'Main CEA'!K154</f>
        <v>588.1916968</v>
      </c>
      <c r="L50" s="498">
        <f>'Main CEA'!L154</f>
        <v>392.1708146</v>
      </c>
      <c r="M50" s="498">
        <f>'Main CEA'!M154</f>
        <v>243.7834478</v>
      </c>
      <c r="N50" s="498">
        <f>'Main CEA'!N154</f>
        <v>122.935095</v>
      </c>
      <c r="O50" s="498">
        <f>'Main CEA'!O154</f>
        <v>260.7354418</v>
      </c>
      <c r="P50" s="498">
        <f>'Main CEA'!P154</f>
        <v>363.81499</v>
      </c>
      <c r="Q50" s="321"/>
    </row>
    <row r="51">
      <c r="A51" s="483"/>
      <c r="B51" s="123"/>
      <c r="C51" s="168"/>
      <c r="D51" s="123"/>
      <c r="E51" s="499" t="s">
        <v>268</v>
      </c>
      <c r="F51" s="217" t="str">
        <f>'Main CEA'!F172</f>
        <v>%</v>
      </c>
      <c r="G51" s="218" t="s">
        <v>132</v>
      </c>
      <c r="H51" s="500">
        <f>'Main CEA'!H172</f>
        <v>-0.04</v>
      </c>
      <c r="I51" s="491" t="str">
        <f>'Main CEA'!I172</f>
        <v>-</v>
      </c>
      <c r="J51" s="491" t="str">
        <f>'Main CEA'!J172</f>
        <v>-</v>
      </c>
      <c r="K51" s="491" t="str">
        <f>'Main CEA'!K172</f>
        <v>-</v>
      </c>
      <c r="L51" s="491" t="str">
        <f>'Main CEA'!L172</f>
        <v>-</v>
      </c>
      <c r="M51" s="491" t="str">
        <f>'Main CEA'!M172</f>
        <v>-</v>
      </c>
      <c r="N51" s="491" t="str">
        <f>'Main CEA'!N172</f>
        <v>-</v>
      </c>
      <c r="O51" s="491" t="str">
        <f>'Main CEA'!O172</f>
        <v>-</v>
      </c>
      <c r="P51" s="491" t="str">
        <f>'Main CEA'!P172</f>
        <v>-</v>
      </c>
      <c r="Q51" s="324"/>
    </row>
    <row r="52">
      <c r="A52" s="483"/>
      <c r="B52" s="123"/>
      <c r="C52" s="168"/>
      <c r="D52" s="123"/>
      <c r="E52" s="499" t="s">
        <v>297</v>
      </c>
      <c r="F52" s="217" t="str">
        <f>'Main CEA'!F214</f>
        <v>%</v>
      </c>
      <c r="G52" s="218" t="s">
        <v>132</v>
      </c>
      <c r="H52" s="501" t="str">
        <f>'Main CEA'!H214</f>
        <v>-</v>
      </c>
      <c r="I52" s="491">
        <f>'Main CEA'!I214</f>
        <v>0.014</v>
      </c>
      <c r="J52" s="491">
        <f>'Main CEA'!J214</f>
        <v>-0.036</v>
      </c>
      <c r="K52" s="491">
        <f>'Main CEA'!K214</f>
        <v>-0.136</v>
      </c>
      <c r="L52" s="491">
        <f>'Main CEA'!L214</f>
        <v>-0.036</v>
      </c>
      <c r="M52" s="491">
        <f>'Main CEA'!M214</f>
        <v>-0.036</v>
      </c>
      <c r="N52" s="491">
        <f>'Main CEA'!N214</f>
        <v>-0.136</v>
      </c>
      <c r="O52" s="491">
        <f>'Main CEA'!O214</f>
        <v>-0.136</v>
      </c>
      <c r="P52" s="491">
        <f>'Main CEA'!P214</f>
        <v>-0.136</v>
      </c>
      <c r="Q52" s="324"/>
    </row>
    <row r="53">
      <c r="A53" s="483"/>
      <c r="B53" s="123"/>
      <c r="C53" s="168"/>
      <c r="D53" s="123"/>
      <c r="E53" s="371" t="s">
        <v>495</v>
      </c>
      <c r="F53" s="221" t="s">
        <v>69</v>
      </c>
      <c r="G53" s="222" t="s">
        <v>143</v>
      </c>
      <c r="H53" s="502" t="s">
        <v>144</v>
      </c>
      <c r="I53" s="503">
        <f t="shared" ref="I53:P53" si="4">I50*(1+$H51)*(1+I52)</f>
        <v>67.168393</v>
      </c>
      <c r="J53" s="503">
        <f t="shared" si="4"/>
        <v>231.9747411</v>
      </c>
      <c r="K53" s="503">
        <f t="shared" si="4"/>
        <v>487.869721</v>
      </c>
      <c r="L53" s="503">
        <f t="shared" si="4"/>
        <v>362.9305587</v>
      </c>
      <c r="M53" s="503">
        <f t="shared" si="4"/>
        <v>225.6069539</v>
      </c>
      <c r="N53" s="503">
        <f t="shared" si="4"/>
        <v>101.9672852</v>
      </c>
      <c r="O53" s="503">
        <f t="shared" si="4"/>
        <v>216.2644048</v>
      </c>
      <c r="P53" s="503">
        <f t="shared" si="4"/>
        <v>301.7627053</v>
      </c>
      <c r="Q53" s="494"/>
    </row>
    <row r="54">
      <c r="A54" s="483"/>
      <c r="B54" s="123"/>
      <c r="C54" s="168"/>
      <c r="D54" s="123"/>
      <c r="E54" s="464"/>
      <c r="F54" s="140"/>
      <c r="G54" s="126"/>
      <c r="H54" s="495"/>
      <c r="I54" s="485"/>
      <c r="J54" s="485"/>
      <c r="K54" s="485"/>
      <c r="L54" s="485"/>
      <c r="M54" s="485"/>
      <c r="N54" s="485"/>
      <c r="O54" s="485"/>
      <c r="P54" s="485"/>
      <c r="Q54" s="126"/>
    </row>
    <row r="55">
      <c r="A55" s="483"/>
      <c r="B55" s="123"/>
      <c r="C55" s="168" t="s">
        <v>496</v>
      </c>
      <c r="F55" s="140"/>
      <c r="G55" s="126"/>
      <c r="H55" s="495"/>
      <c r="I55" s="485"/>
      <c r="J55" s="485"/>
      <c r="K55" s="485"/>
      <c r="L55" s="485"/>
      <c r="M55" s="485"/>
      <c r="N55" s="485"/>
      <c r="O55" s="485"/>
      <c r="P55" s="485"/>
      <c r="Q55" s="126"/>
    </row>
    <row r="56">
      <c r="A56" s="483"/>
      <c r="B56" s="123"/>
      <c r="C56" s="123"/>
      <c r="D56" s="123"/>
      <c r="E56" s="187" t="s">
        <v>497</v>
      </c>
      <c r="F56" s="188" t="str">
        <f>Inputs!F205</f>
        <v>UoV</v>
      </c>
      <c r="G56" s="199" t="str">
        <f>Inputs!G205</f>
        <v>input</v>
      </c>
      <c r="H56" s="504">
        <f>Inputs!H205</f>
        <v>0.005057</v>
      </c>
      <c r="I56" s="505" t="str">
        <f>Inputs!I205</f>
        <v>-</v>
      </c>
      <c r="J56" s="505" t="str">
        <f>Inputs!J205</f>
        <v>-</v>
      </c>
      <c r="K56" s="505" t="str">
        <f>Inputs!K205</f>
        <v>-</v>
      </c>
      <c r="L56" s="505" t="str">
        <f>Inputs!L205</f>
        <v>-</v>
      </c>
      <c r="M56" s="505" t="str">
        <f>Inputs!M205</f>
        <v>-</v>
      </c>
      <c r="N56" s="505" t="str">
        <f>Inputs!N205</f>
        <v>-</v>
      </c>
      <c r="O56" s="505" t="str">
        <f>Inputs!O205</f>
        <v>-</v>
      </c>
      <c r="P56" s="505" t="str">
        <f>Inputs!P205</f>
        <v>-</v>
      </c>
      <c r="Q56" s="321"/>
    </row>
    <row r="57">
      <c r="A57" s="483"/>
      <c r="B57" s="123"/>
      <c r="C57" s="123"/>
      <c r="D57" s="123"/>
      <c r="E57" s="191" t="s">
        <v>498</v>
      </c>
      <c r="F57" s="134" t="str">
        <f>Inputs!F206</f>
        <v>UoV</v>
      </c>
      <c r="G57" s="165" t="str">
        <f>Inputs!G206</f>
        <v>input</v>
      </c>
      <c r="H57" s="506">
        <f>Inputs!H206</f>
        <v>0.015433</v>
      </c>
      <c r="I57" s="507" t="str">
        <f>Inputs!I206</f>
        <v>-</v>
      </c>
      <c r="J57" s="507" t="str">
        <f>Inputs!J206</f>
        <v>-</v>
      </c>
      <c r="K57" s="507" t="str">
        <f>Inputs!K206</f>
        <v>-</v>
      </c>
      <c r="L57" s="507" t="str">
        <f>Inputs!L206</f>
        <v>-</v>
      </c>
      <c r="M57" s="507" t="str">
        <f>Inputs!M206</f>
        <v>-</v>
      </c>
      <c r="N57" s="507" t="str">
        <f>Inputs!N206</f>
        <v>-</v>
      </c>
      <c r="O57" s="507" t="str">
        <f>Inputs!O206</f>
        <v>-</v>
      </c>
      <c r="P57" s="507" t="str">
        <f>Inputs!P206</f>
        <v>-</v>
      </c>
      <c r="Q57" s="508"/>
    </row>
    <row r="58">
      <c r="A58" s="483"/>
      <c r="B58" s="123"/>
      <c r="C58" s="123"/>
      <c r="D58" s="123"/>
      <c r="E58" s="464"/>
      <c r="F58" s="125"/>
      <c r="G58" s="126"/>
      <c r="H58" s="484"/>
      <c r="I58" s="485"/>
      <c r="J58" s="485"/>
      <c r="K58" s="485"/>
      <c r="L58" s="485"/>
      <c r="M58" s="485"/>
      <c r="N58" s="485"/>
      <c r="O58" s="485"/>
      <c r="P58" s="485"/>
      <c r="Q58" s="126"/>
    </row>
    <row r="59">
      <c r="A59" s="118" t="s">
        <v>499</v>
      </c>
      <c r="B59" s="6"/>
      <c r="C59" s="6"/>
      <c r="D59" s="6"/>
      <c r="E59" s="6"/>
      <c r="F59" s="6"/>
      <c r="G59" s="93"/>
      <c r="H59" s="119"/>
      <c r="I59" s="295"/>
      <c r="J59" s="295"/>
      <c r="K59" s="295"/>
      <c r="L59" s="295"/>
      <c r="M59" s="295"/>
      <c r="N59" s="295"/>
      <c r="O59" s="295"/>
      <c r="P59" s="295"/>
      <c r="Q59" s="395"/>
    </row>
    <row r="60">
      <c r="A60" s="509"/>
      <c r="B60" s="510"/>
      <c r="C60" s="511"/>
      <c r="D60" s="511"/>
      <c r="E60" s="470"/>
      <c r="F60" s="442"/>
      <c r="G60" s="512"/>
      <c r="H60" s="513"/>
      <c r="I60" s="514"/>
      <c r="J60" s="514"/>
      <c r="K60" s="514"/>
      <c r="L60" s="514"/>
      <c r="M60" s="514"/>
      <c r="N60" s="514"/>
      <c r="O60" s="514"/>
      <c r="P60" s="514"/>
      <c r="Q60" s="515"/>
    </row>
    <row r="61">
      <c r="A61" s="509"/>
      <c r="B61" s="510"/>
      <c r="C61" s="168" t="s">
        <v>500</v>
      </c>
      <c r="F61" s="442"/>
      <c r="G61" s="512"/>
      <c r="H61" s="513"/>
      <c r="I61" s="514"/>
      <c r="J61" s="514"/>
      <c r="K61" s="514"/>
      <c r="L61" s="514"/>
      <c r="M61" s="514"/>
      <c r="N61" s="514"/>
      <c r="O61" s="514"/>
      <c r="P61" s="514"/>
      <c r="Q61" s="515"/>
    </row>
    <row r="62">
      <c r="A62" s="509"/>
      <c r="B62" s="510"/>
      <c r="C62" s="511"/>
      <c r="D62" s="516" t="s">
        <v>501</v>
      </c>
      <c r="E62" s="37"/>
      <c r="F62" s="170"/>
      <c r="G62" s="517"/>
      <c r="H62" s="172"/>
      <c r="I62" s="190"/>
      <c r="J62" s="190"/>
      <c r="K62" s="190"/>
      <c r="L62" s="190"/>
      <c r="M62" s="190"/>
      <c r="N62" s="190"/>
      <c r="O62" s="190"/>
      <c r="P62" s="190"/>
      <c r="Q62" s="518"/>
    </row>
    <row r="63">
      <c r="A63" s="509"/>
      <c r="B63" s="510"/>
      <c r="C63" s="511"/>
      <c r="D63" s="511"/>
      <c r="E63" s="187" t="s">
        <v>502</v>
      </c>
      <c r="F63" s="170" t="s">
        <v>75</v>
      </c>
      <c r="G63" s="517" t="s">
        <v>143</v>
      </c>
      <c r="H63" s="172" t="s">
        <v>144</v>
      </c>
      <c r="I63" s="190">
        <f t="shared" ref="I63:P63" si="5">I19</f>
        <v>1000000</v>
      </c>
      <c r="J63" s="190">
        <f t="shared" si="5"/>
        <v>1000000</v>
      </c>
      <c r="K63" s="190">
        <f t="shared" si="5"/>
        <v>1000000</v>
      </c>
      <c r="L63" s="190">
        <f t="shared" si="5"/>
        <v>1000000</v>
      </c>
      <c r="M63" s="190">
        <f t="shared" si="5"/>
        <v>1000000</v>
      </c>
      <c r="N63" s="190">
        <f t="shared" si="5"/>
        <v>1000000</v>
      </c>
      <c r="O63" s="190">
        <f t="shared" si="5"/>
        <v>1000000</v>
      </c>
      <c r="P63" s="190">
        <f t="shared" si="5"/>
        <v>1000000</v>
      </c>
      <c r="Q63" s="518"/>
    </row>
    <row r="64">
      <c r="A64" s="509"/>
      <c r="B64" s="510"/>
      <c r="C64" s="511"/>
      <c r="D64" s="511"/>
      <c r="E64" s="367" t="s">
        <v>503</v>
      </c>
      <c r="F64" s="176" t="s">
        <v>83</v>
      </c>
      <c r="G64" s="519" t="s">
        <v>143</v>
      </c>
      <c r="H64" s="178" t="s">
        <v>144</v>
      </c>
      <c r="I64" s="259">
        <f t="shared" ref="I64:P64" si="6">I63*I47</f>
        <v>16695.16913</v>
      </c>
      <c r="J64" s="259">
        <f t="shared" si="6"/>
        <v>57329.90464</v>
      </c>
      <c r="K64" s="259">
        <f t="shared" si="6"/>
        <v>108687.4468</v>
      </c>
      <c r="L64" s="259">
        <f t="shared" si="6"/>
        <v>77852.051</v>
      </c>
      <c r="M64" s="259">
        <f t="shared" si="6"/>
        <v>51500.02555</v>
      </c>
      <c r="N64" s="259">
        <f t="shared" si="6"/>
        <v>25679.813</v>
      </c>
      <c r="O64" s="259">
        <f t="shared" si="6"/>
        <v>50374.8711</v>
      </c>
      <c r="P64" s="259">
        <f t="shared" si="6"/>
        <v>76544.65056</v>
      </c>
      <c r="Q64" s="520"/>
    </row>
    <row r="65">
      <c r="A65" s="509"/>
      <c r="B65" s="510"/>
      <c r="C65" s="511"/>
      <c r="D65" s="511"/>
      <c r="E65" s="367" t="s">
        <v>504</v>
      </c>
      <c r="F65" s="176" t="s">
        <v>83</v>
      </c>
      <c r="G65" s="519" t="s">
        <v>143</v>
      </c>
      <c r="H65" s="178" t="s">
        <v>144</v>
      </c>
      <c r="I65" s="259">
        <f t="shared" ref="I65:P65" si="7">I63*$H56</f>
        <v>5057</v>
      </c>
      <c r="J65" s="259">
        <f t="shared" si="7"/>
        <v>5057</v>
      </c>
      <c r="K65" s="259">
        <f t="shared" si="7"/>
        <v>5057</v>
      </c>
      <c r="L65" s="259">
        <f t="shared" si="7"/>
        <v>5057</v>
      </c>
      <c r="M65" s="259">
        <f t="shared" si="7"/>
        <v>5057</v>
      </c>
      <c r="N65" s="259">
        <f t="shared" si="7"/>
        <v>5057</v>
      </c>
      <c r="O65" s="259">
        <f t="shared" si="7"/>
        <v>5057</v>
      </c>
      <c r="P65" s="259">
        <f t="shared" si="7"/>
        <v>5057</v>
      </c>
      <c r="Q65" s="520"/>
    </row>
    <row r="66">
      <c r="A66" s="509"/>
      <c r="B66" s="510"/>
      <c r="C66" s="511"/>
      <c r="D66" s="511"/>
      <c r="E66" s="367" t="s">
        <v>505</v>
      </c>
      <c r="F66" s="176" t="s">
        <v>83</v>
      </c>
      <c r="G66" s="519" t="s">
        <v>143</v>
      </c>
      <c r="H66" s="178" t="s">
        <v>144</v>
      </c>
      <c r="I66" s="259">
        <f t="shared" ref="I66:P66" si="8">I64-I65</f>
        <v>11638.16913</v>
      </c>
      <c r="J66" s="259">
        <f t="shared" si="8"/>
        <v>52272.90464</v>
      </c>
      <c r="K66" s="259">
        <f t="shared" si="8"/>
        <v>103630.4468</v>
      </c>
      <c r="L66" s="259">
        <f t="shared" si="8"/>
        <v>72795.051</v>
      </c>
      <c r="M66" s="259">
        <f t="shared" si="8"/>
        <v>46443.02555</v>
      </c>
      <c r="N66" s="259">
        <f t="shared" si="8"/>
        <v>20622.813</v>
      </c>
      <c r="O66" s="259">
        <f t="shared" si="8"/>
        <v>45317.8711</v>
      </c>
      <c r="P66" s="259">
        <f t="shared" si="8"/>
        <v>71487.65056</v>
      </c>
      <c r="Q66" s="520"/>
    </row>
    <row r="67">
      <c r="A67" s="509"/>
      <c r="B67" s="510"/>
      <c r="C67" s="511"/>
      <c r="D67" s="511"/>
      <c r="E67" s="367" t="s">
        <v>506</v>
      </c>
      <c r="F67" s="176" t="s">
        <v>83</v>
      </c>
      <c r="G67" s="519" t="s">
        <v>143</v>
      </c>
      <c r="H67" s="178" t="s">
        <v>144</v>
      </c>
      <c r="I67" s="259">
        <f t="shared" ref="I67:P67" si="9">-I66</f>
        <v>-11638.16913</v>
      </c>
      <c r="J67" s="259">
        <f t="shared" si="9"/>
        <v>-52272.90464</v>
      </c>
      <c r="K67" s="259">
        <f t="shared" si="9"/>
        <v>-103630.4468</v>
      </c>
      <c r="L67" s="259">
        <f t="shared" si="9"/>
        <v>-72795.051</v>
      </c>
      <c r="M67" s="259">
        <f t="shared" si="9"/>
        <v>-46443.02555</v>
      </c>
      <c r="N67" s="259">
        <f t="shared" si="9"/>
        <v>-20622.813</v>
      </c>
      <c r="O67" s="259">
        <f t="shared" si="9"/>
        <v>-45317.8711</v>
      </c>
      <c r="P67" s="259">
        <f t="shared" si="9"/>
        <v>-71487.65056</v>
      </c>
      <c r="Q67" s="520"/>
    </row>
    <row r="68">
      <c r="A68" s="509"/>
      <c r="B68" s="510"/>
      <c r="C68" s="511"/>
      <c r="D68" s="511"/>
      <c r="E68" s="367" t="s">
        <v>507</v>
      </c>
      <c r="F68" s="176" t="str">
        <f>F30</f>
        <v>%</v>
      </c>
      <c r="G68" s="519" t="s">
        <v>236</v>
      </c>
      <c r="H68" s="219" t="str">
        <f t="shared" ref="H68:P68" si="10">H30</f>
        <v>-</v>
      </c>
      <c r="I68" s="154">
        <f t="shared" si="10"/>
        <v>0</v>
      </c>
      <c r="J68" s="154">
        <f t="shared" si="10"/>
        <v>0</v>
      </c>
      <c r="K68" s="154">
        <f t="shared" si="10"/>
        <v>0</v>
      </c>
      <c r="L68" s="154">
        <f t="shared" si="10"/>
        <v>0</v>
      </c>
      <c r="M68" s="154">
        <f t="shared" si="10"/>
        <v>0</v>
      </c>
      <c r="N68" s="154">
        <f t="shared" si="10"/>
        <v>0</v>
      </c>
      <c r="O68" s="154">
        <f t="shared" si="10"/>
        <v>0</v>
      </c>
      <c r="P68" s="154">
        <f t="shared" si="10"/>
        <v>0</v>
      </c>
      <c r="Q68" s="520"/>
    </row>
    <row r="69">
      <c r="A69" s="509"/>
      <c r="B69" s="510"/>
      <c r="C69" s="511"/>
      <c r="D69" s="511"/>
      <c r="E69" s="371" t="s">
        <v>508</v>
      </c>
      <c r="F69" s="182" t="s">
        <v>83</v>
      </c>
      <c r="G69" s="521" t="s">
        <v>143</v>
      </c>
      <c r="H69" s="184" t="s">
        <v>144</v>
      </c>
      <c r="I69" s="275">
        <f t="shared" ref="I69:P69" si="11">I67*I68</f>
        <v>0</v>
      </c>
      <c r="J69" s="275">
        <f t="shared" si="11"/>
        <v>0</v>
      </c>
      <c r="K69" s="275">
        <f t="shared" si="11"/>
        <v>0</v>
      </c>
      <c r="L69" s="275">
        <f t="shared" si="11"/>
        <v>0</v>
      </c>
      <c r="M69" s="275">
        <f t="shared" si="11"/>
        <v>0</v>
      </c>
      <c r="N69" s="275">
        <f t="shared" si="11"/>
        <v>0</v>
      </c>
      <c r="O69" s="275">
        <f t="shared" si="11"/>
        <v>0</v>
      </c>
      <c r="P69" s="275">
        <f t="shared" si="11"/>
        <v>0</v>
      </c>
      <c r="Q69" s="522"/>
    </row>
    <row r="70">
      <c r="A70" s="509"/>
      <c r="B70" s="510"/>
      <c r="C70" s="511"/>
      <c r="D70" s="511"/>
      <c r="E70" s="470"/>
      <c r="F70" s="442"/>
      <c r="G70" s="512"/>
      <c r="H70" s="513"/>
      <c r="I70" s="514"/>
      <c r="J70" s="514"/>
      <c r="K70" s="514"/>
      <c r="L70" s="514"/>
      <c r="M70" s="514"/>
      <c r="N70" s="514"/>
      <c r="O70" s="514"/>
      <c r="P70" s="514"/>
      <c r="Q70" s="515"/>
    </row>
    <row r="71">
      <c r="A71" s="509"/>
      <c r="B71" s="510"/>
      <c r="C71" s="168" t="s">
        <v>509</v>
      </c>
      <c r="F71" s="442"/>
      <c r="G71" s="512"/>
      <c r="H71" s="513"/>
      <c r="I71" s="514"/>
      <c r="J71" s="514"/>
      <c r="K71" s="514"/>
      <c r="L71" s="514"/>
      <c r="M71" s="514"/>
      <c r="N71" s="514"/>
      <c r="O71" s="514"/>
      <c r="P71" s="514"/>
      <c r="Q71" s="515"/>
    </row>
    <row r="72">
      <c r="A72" s="509"/>
      <c r="B72" s="510"/>
      <c r="C72" s="511"/>
      <c r="D72" s="516" t="s">
        <v>510</v>
      </c>
      <c r="E72" s="37"/>
      <c r="F72" s="170"/>
      <c r="G72" s="517"/>
      <c r="H72" s="172"/>
      <c r="I72" s="190"/>
      <c r="J72" s="190"/>
      <c r="K72" s="190"/>
      <c r="L72" s="190"/>
      <c r="M72" s="190"/>
      <c r="N72" s="190"/>
      <c r="O72" s="190"/>
      <c r="P72" s="190"/>
      <c r="Q72" s="518"/>
    </row>
    <row r="73">
      <c r="A73" s="509"/>
      <c r="B73" s="510"/>
      <c r="C73" s="511"/>
      <c r="D73" s="511"/>
      <c r="E73" s="187" t="s">
        <v>511</v>
      </c>
      <c r="F73" s="170" t="s">
        <v>75</v>
      </c>
      <c r="G73" s="517" t="s">
        <v>143</v>
      </c>
      <c r="H73" s="172" t="s">
        <v>144</v>
      </c>
      <c r="I73" s="190">
        <f t="shared" ref="I73:P73" si="12">I19</f>
        <v>1000000</v>
      </c>
      <c r="J73" s="190">
        <f t="shared" si="12"/>
        <v>1000000</v>
      </c>
      <c r="K73" s="190">
        <f t="shared" si="12"/>
        <v>1000000</v>
      </c>
      <c r="L73" s="190">
        <f t="shared" si="12"/>
        <v>1000000</v>
      </c>
      <c r="M73" s="190">
        <f t="shared" si="12"/>
        <v>1000000</v>
      </c>
      <c r="N73" s="190">
        <f t="shared" si="12"/>
        <v>1000000</v>
      </c>
      <c r="O73" s="190">
        <f t="shared" si="12"/>
        <v>1000000</v>
      </c>
      <c r="P73" s="190">
        <f t="shared" si="12"/>
        <v>1000000</v>
      </c>
      <c r="Q73" s="518"/>
    </row>
    <row r="74">
      <c r="A74" s="509"/>
      <c r="B74" s="510"/>
      <c r="C74" s="511"/>
      <c r="D74" s="511"/>
      <c r="E74" s="367" t="s">
        <v>512</v>
      </c>
      <c r="F74" s="176" t="s">
        <v>83</v>
      </c>
      <c r="G74" s="519" t="s">
        <v>143</v>
      </c>
      <c r="H74" s="178" t="s">
        <v>144</v>
      </c>
      <c r="I74" s="259">
        <f t="shared" ref="I74:P74" si="13">I73*I47</f>
        <v>16695.16913</v>
      </c>
      <c r="J74" s="259">
        <f t="shared" si="13"/>
        <v>57329.90464</v>
      </c>
      <c r="K74" s="259">
        <f t="shared" si="13"/>
        <v>108687.4468</v>
      </c>
      <c r="L74" s="259">
        <f t="shared" si="13"/>
        <v>77852.051</v>
      </c>
      <c r="M74" s="259">
        <f t="shared" si="13"/>
        <v>51500.02555</v>
      </c>
      <c r="N74" s="259">
        <f t="shared" si="13"/>
        <v>25679.813</v>
      </c>
      <c r="O74" s="259">
        <f t="shared" si="13"/>
        <v>50374.8711</v>
      </c>
      <c r="P74" s="259">
        <f t="shared" si="13"/>
        <v>76544.65056</v>
      </c>
      <c r="Q74" s="520"/>
    </row>
    <row r="75">
      <c r="A75" s="509"/>
      <c r="B75" s="510"/>
      <c r="C75" s="511"/>
      <c r="D75" s="511"/>
      <c r="E75" s="367" t="s">
        <v>513</v>
      </c>
      <c r="F75" s="176" t="s">
        <v>83</v>
      </c>
      <c r="G75" s="519" t="s">
        <v>143</v>
      </c>
      <c r="H75" s="178" t="s">
        <v>144</v>
      </c>
      <c r="I75" s="259">
        <f t="shared" ref="I75:P75" si="14">I73*$H57</f>
        <v>15433</v>
      </c>
      <c r="J75" s="259">
        <f t="shared" si="14"/>
        <v>15433</v>
      </c>
      <c r="K75" s="259">
        <f t="shared" si="14"/>
        <v>15433</v>
      </c>
      <c r="L75" s="259">
        <f t="shared" si="14"/>
        <v>15433</v>
      </c>
      <c r="M75" s="259">
        <f t="shared" si="14"/>
        <v>15433</v>
      </c>
      <c r="N75" s="259">
        <f t="shared" si="14"/>
        <v>15433</v>
      </c>
      <c r="O75" s="259">
        <f t="shared" si="14"/>
        <v>15433</v>
      </c>
      <c r="P75" s="259">
        <f t="shared" si="14"/>
        <v>15433</v>
      </c>
      <c r="Q75" s="520"/>
    </row>
    <row r="76">
      <c r="A76" s="509"/>
      <c r="B76" s="510"/>
      <c r="C76" s="511"/>
      <c r="D76" s="511"/>
      <c r="E76" s="367" t="s">
        <v>514</v>
      </c>
      <c r="F76" s="176" t="s">
        <v>83</v>
      </c>
      <c r="G76" s="519" t="s">
        <v>143</v>
      </c>
      <c r="H76" s="178" t="s">
        <v>144</v>
      </c>
      <c r="I76" s="259">
        <f t="shared" ref="I76:P76" si="15">I74-I75</f>
        <v>1262.169131</v>
      </c>
      <c r="J76" s="259">
        <f t="shared" si="15"/>
        <v>41896.90464</v>
      </c>
      <c r="K76" s="259">
        <f t="shared" si="15"/>
        <v>93254.44684</v>
      </c>
      <c r="L76" s="259">
        <f t="shared" si="15"/>
        <v>62419.051</v>
      </c>
      <c r="M76" s="259">
        <f t="shared" si="15"/>
        <v>36067.02555</v>
      </c>
      <c r="N76" s="259">
        <f t="shared" si="15"/>
        <v>10246.813</v>
      </c>
      <c r="O76" s="259">
        <f t="shared" si="15"/>
        <v>34941.8711</v>
      </c>
      <c r="P76" s="259">
        <f t="shared" si="15"/>
        <v>61111.65056</v>
      </c>
      <c r="Q76" s="520"/>
    </row>
    <row r="77">
      <c r="A77" s="509"/>
      <c r="B77" s="510"/>
      <c r="C77" s="511"/>
      <c r="D77" s="511"/>
      <c r="E77" s="367" t="s">
        <v>506</v>
      </c>
      <c r="F77" s="176" t="s">
        <v>83</v>
      </c>
      <c r="G77" s="519" t="s">
        <v>143</v>
      </c>
      <c r="H77" s="178" t="s">
        <v>144</v>
      </c>
      <c r="I77" s="259">
        <f t="shared" ref="I77:P77" si="16">-I76</f>
        <v>-1262.169131</v>
      </c>
      <c r="J77" s="259">
        <f t="shared" si="16"/>
        <v>-41896.90464</v>
      </c>
      <c r="K77" s="259">
        <f t="shared" si="16"/>
        <v>-93254.44684</v>
      </c>
      <c r="L77" s="259">
        <f t="shared" si="16"/>
        <v>-62419.051</v>
      </c>
      <c r="M77" s="259">
        <f t="shared" si="16"/>
        <v>-36067.02555</v>
      </c>
      <c r="N77" s="259">
        <f t="shared" si="16"/>
        <v>-10246.813</v>
      </c>
      <c r="O77" s="259">
        <f t="shared" si="16"/>
        <v>-34941.8711</v>
      </c>
      <c r="P77" s="259">
        <f t="shared" si="16"/>
        <v>-61111.65056</v>
      </c>
      <c r="Q77" s="520"/>
    </row>
    <row r="78">
      <c r="A78" s="509"/>
      <c r="B78" s="510"/>
      <c r="C78" s="511"/>
      <c r="D78" s="511"/>
      <c r="E78" s="367" t="s">
        <v>507</v>
      </c>
      <c r="F78" s="176" t="str">
        <f>F31</f>
        <v>%</v>
      </c>
      <c r="G78" s="519" t="s">
        <v>236</v>
      </c>
      <c r="H78" s="219" t="str">
        <f t="shared" ref="H78:P78" si="17">H31</f>
        <v>-</v>
      </c>
      <c r="I78" s="154">
        <f t="shared" si="17"/>
        <v>0.4</v>
      </c>
      <c r="J78" s="154">
        <f t="shared" si="17"/>
        <v>0.2</v>
      </c>
      <c r="K78" s="154">
        <f t="shared" si="17"/>
        <v>0.35</v>
      </c>
      <c r="L78" s="154">
        <f t="shared" si="17"/>
        <v>0.35</v>
      </c>
      <c r="M78" s="154">
        <f t="shared" si="17"/>
        <v>0.2</v>
      </c>
      <c r="N78" s="154">
        <f t="shared" si="17"/>
        <v>0.15</v>
      </c>
      <c r="O78" s="154">
        <f t="shared" si="17"/>
        <v>0.6</v>
      </c>
      <c r="P78" s="154">
        <f t="shared" si="17"/>
        <v>0.4</v>
      </c>
      <c r="Q78" s="520"/>
    </row>
    <row r="79">
      <c r="A79" s="509"/>
      <c r="B79" s="510"/>
      <c r="C79" s="511"/>
      <c r="D79" s="511"/>
      <c r="E79" s="371" t="s">
        <v>508</v>
      </c>
      <c r="F79" s="182" t="s">
        <v>83</v>
      </c>
      <c r="G79" s="521" t="s">
        <v>143</v>
      </c>
      <c r="H79" s="184" t="s">
        <v>144</v>
      </c>
      <c r="I79" s="275">
        <f t="shared" ref="I79:P79" si="18">I77*I78</f>
        <v>-504.8676526</v>
      </c>
      <c r="J79" s="275">
        <f t="shared" si="18"/>
        <v>-8379.380928</v>
      </c>
      <c r="K79" s="275">
        <f t="shared" si="18"/>
        <v>-32639.05639</v>
      </c>
      <c r="L79" s="275">
        <f t="shared" si="18"/>
        <v>-21846.66785</v>
      </c>
      <c r="M79" s="275">
        <f t="shared" si="18"/>
        <v>-7213.405111</v>
      </c>
      <c r="N79" s="275">
        <f t="shared" si="18"/>
        <v>-1537.021949</v>
      </c>
      <c r="O79" s="275">
        <f t="shared" si="18"/>
        <v>-20965.12266</v>
      </c>
      <c r="P79" s="275">
        <f t="shared" si="18"/>
        <v>-24444.66022</v>
      </c>
      <c r="Q79" s="522"/>
    </row>
    <row r="80">
      <c r="A80" s="509"/>
      <c r="B80" s="510"/>
      <c r="C80" s="511"/>
      <c r="D80" s="511"/>
      <c r="E80" s="470"/>
      <c r="F80" s="442"/>
      <c r="G80" s="512"/>
      <c r="H80" s="513"/>
      <c r="I80" s="514"/>
      <c r="J80" s="514"/>
      <c r="K80" s="514"/>
      <c r="L80" s="514"/>
      <c r="M80" s="514"/>
      <c r="N80" s="514"/>
      <c r="O80" s="514"/>
      <c r="P80" s="514"/>
      <c r="Q80" s="515"/>
    </row>
    <row r="81">
      <c r="A81" s="509"/>
      <c r="B81" s="510"/>
      <c r="C81" s="168" t="s">
        <v>515</v>
      </c>
      <c r="F81" s="442"/>
      <c r="G81" s="512"/>
      <c r="H81" s="513"/>
      <c r="I81" s="514"/>
      <c r="J81" s="514"/>
      <c r="K81" s="514"/>
      <c r="L81" s="514"/>
      <c r="M81" s="514"/>
      <c r="N81" s="514"/>
      <c r="O81" s="514"/>
      <c r="P81" s="514"/>
      <c r="Q81" s="515"/>
    </row>
    <row r="82">
      <c r="A82" s="509"/>
      <c r="B82" s="510"/>
      <c r="C82" s="511"/>
      <c r="D82" s="516" t="s">
        <v>501</v>
      </c>
      <c r="E82" s="37"/>
      <c r="F82" s="170"/>
      <c r="G82" s="517"/>
      <c r="H82" s="172"/>
      <c r="I82" s="190"/>
      <c r="J82" s="190"/>
      <c r="K82" s="190"/>
      <c r="L82" s="190"/>
      <c r="M82" s="190"/>
      <c r="N82" s="190"/>
      <c r="O82" s="190"/>
      <c r="P82" s="190"/>
      <c r="Q82" s="518"/>
    </row>
    <row r="83">
      <c r="A83" s="509"/>
      <c r="B83" s="510"/>
      <c r="C83" s="511"/>
      <c r="D83" s="511"/>
      <c r="E83" s="187" t="s">
        <v>516</v>
      </c>
      <c r="F83" s="170" t="s">
        <v>75</v>
      </c>
      <c r="G83" s="517" t="s">
        <v>143</v>
      </c>
      <c r="H83" s="172" t="s">
        <v>144</v>
      </c>
      <c r="I83" s="190">
        <f t="shared" ref="I83:P83" si="19">I21*(1-I38)</f>
        <v>45713.68757</v>
      </c>
      <c r="J83" s="190">
        <f t="shared" si="19"/>
        <v>58302.74486</v>
      </c>
      <c r="K83" s="190">
        <f t="shared" si="19"/>
        <v>45713.68757</v>
      </c>
      <c r="L83" s="190">
        <f t="shared" si="19"/>
        <v>40216.5398</v>
      </c>
      <c r="M83" s="190">
        <f t="shared" si="19"/>
        <v>40216.5398</v>
      </c>
      <c r="N83" s="190">
        <f t="shared" si="19"/>
        <v>67466.09194</v>
      </c>
      <c r="O83" s="190">
        <f t="shared" si="19"/>
        <v>42128.56844</v>
      </c>
      <c r="P83" s="190">
        <f t="shared" si="19"/>
        <v>46756.41068</v>
      </c>
      <c r="Q83" s="518"/>
    </row>
    <row r="84">
      <c r="A84" s="509"/>
      <c r="B84" s="510"/>
      <c r="C84" s="511"/>
      <c r="D84" s="511"/>
      <c r="E84" s="367" t="s">
        <v>517</v>
      </c>
      <c r="F84" s="176" t="s">
        <v>83</v>
      </c>
      <c r="G84" s="519" t="s">
        <v>143</v>
      </c>
      <c r="H84" s="178" t="s">
        <v>144</v>
      </c>
      <c r="I84" s="259">
        <f t="shared" ref="I84:P84" si="20">I83*$H56</f>
        <v>231.174118</v>
      </c>
      <c r="J84" s="259">
        <f t="shared" si="20"/>
        <v>294.8369807</v>
      </c>
      <c r="K84" s="259">
        <f t="shared" si="20"/>
        <v>231.174118</v>
      </c>
      <c r="L84" s="259">
        <f t="shared" si="20"/>
        <v>203.3750418</v>
      </c>
      <c r="M84" s="259">
        <f t="shared" si="20"/>
        <v>203.3750418</v>
      </c>
      <c r="N84" s="259">
        <f t="shared" si="20"/>
        <v>341.176027</v>
      </c>
      <c r="O84" s="259">
        <f t="shared" si="20"/>
        <v>213.0441706</v>
      </c>
      <c r="P84" s="259">
        <f t="shared" si="20"/>
        <v>236.4471688</v>
      </c>
      <c r="Q84" s="520"/>
    </row>
    <row r="85">
      <c r="A85" s="509"/>
      <c r="B85" s="510"/>
      <c r="C85" s="511"/>
      <c r="D85" s="511"/>
      <c r="E85" s="367" t="s">
        <v>518</v>
      </c>
      <c r="F85" s="176" t="s">
        <v>83</v>
      </c>
      <c r="G85" s="519" t="s">
        <v>143</v>
      </c>
      <c r="H85" s="178" t="s">
        <v>144</v>
      </c>
      <c r="I85" s="231">
        <v>0.0</v>
      </c>
      <c r="J85" s="231">
        <v>0.0</v>
      </c>
      <c r="K85" s="231">
        <v>0.0</v>
      </c>
      <c r="L85" s="231">
        <v>0.0</v>
      </c>
      <c r="M85" s="231">
        <v>0.0</v>
      </c>
      <c r="N85" s="231">
        <v>0.0</v>
      </c>
      <c r="O85" s="231">
        <v>0.0</v>
      </c>
      <c r="P85" s="231">
        <v>0.0</v>
      </c>
      <c r="Q85" s="520"/>
    </row>
    <row r="86">
      <c r="A86" s="509"/>
      <c r="B86" s="510"/>
      <c r="C86" s="511"/>
      <c r="D86" s="511"/>
      <c r="E86" s="367" t="s">
        <v>519</v>
      </c>
      <c r="F86" s="176" t="s">
        <v>83</v>
      </c>
      <c r="G86" s="519" t="s">
        <v>143</v>
      </c>
      <c r="H86" s="178" t="s">
        <v>144</v>
      </c>
      <c r="I86" s="259">
        <f t="shared" ref="I86:P86" si="21">I84-I85</f>
        <v>231.174118</v>
      </c>
      <c r="J86" s="259">
        <f t="shared" si="21"/>
        <v>294.8369807</v>
      </c>
      <c r="K86" s="259">
        <f t="shared" si="21"/>
        <v>231.174118</v>
      </c>
      <c r="L86" s="259">
        <f t="shared" si="21"/>
        <v>203.3750418</v>
      </c>
      <c r="M86" s="259">
        <f t="shared" si="21"/>
        <v>203.3750418</v>
      </c>
      <c r="N86" s="259">
        <f t="shared" si="21"/>
        <v>341.176027</v>
      </c>
      <c r="O86" s="259">
        <f t="shared" si="21"/>
        <v>213.0441706</v>
      </c>
      <c r="P86" s="259">
        <f t="shared" si="21"/>
        <v>236.4471688</v>
      </c>
      <c r="Q86" s="520"/>
    </row>
    <row r="87">
      <c r="A87" s="509"/>
      <c r="B87" s="510"/>
      <c r="C87" s="511"/>
      <c r="D87" s="511"/>
      <c r="E87" s="367" t="s">
        <v>506</v>
      </c>
      <c r="F87" s="176" t="s">
        <v>83</v>
      </c>
      <c r="G87" s="519" t="s">
        <v>143</v>
      </c>
      <c r="H87" s="178" t="s">
        <v>144</v>
      </c>
      <c r="I87" s="259">
        <f t="shared" ref="I87:P87" si="22">-I86</f>
        <v>-231.174118</v>
      </c>
      <c r="J87" s="259">
        <f t="shared" si="22"/>
        <v>-294.8369807</v>
      </c>
      <c r="K87" s="259">
        <f t="shared" si="22"/>
        <v>-231.174118</v>
      </c>
      <c r="L87" s="259">
        <f t="shared" si="22"/>
        <v>-203.3750418</v>
      </c>
      <c r="M87" s="259">
        <f t="shared" si="22"/>
        <v>-203.3750418</v>
      </c>
      <c r="N87" s="259">
        <f t="shared" si="22"/>
        <v>-341.176027</v>
      </c>
      <c r="O87" s="259">
        <f t="shared" si="22"/>
        <v>-213.0441706</v>
      </c>
      <c r="P87" s="259">
        <f t="shared" si="22"/>
        <v>-236.4471688</v>
      </c>
      <c r="Q87" s="520"/>
    </row>
    <row r="88">
      <c r="A88" s="509"/>
      <c r="B88" s="510"/>
      <c r="C88" s="511"/>
      <c r="D88" s="511"/>
      <c r="E88" s="367" t="s">
        <v>507</v>
      </c>
      <c r="F88" s="176" t="str">
        <f>F32</f>
        <v>%</v>
      </c>
      <c r="G88" s="519" t="s">
        <v>236</v>
      </c>
      <c r="H88" s="219" t="str">
        <f t="shared" ref="H88:P88" si="23">H32</f>
        <v>-</v>
      </c>
      <c r="I88" s="154">
        <f t="shared" si="23"/>
        <v>0</v>
      </c>
      <c r="J88" s="154">
        <f t="shared" si="23"/>
        <v>0</v>
      </c>
      <c r="K88" s="154">
        <f t="shared" si="23"/>
        <v>0</v>
      </c>
      <c r="L88" s="154">
        <f t="shared" si="23"/>
        <v>0</v>
      </c>
      <c r="M88" s="154">
        <f t="shared" si="23"/>
        <v>0</v>
      </c>
      <c r="N88" s="154">
        <f t="shared" si="23"/>
        <v>0</v>
      </c>
      <c r="O88" s="154">
        <f t="shared" si="23"/>
        <v>0</v>
      </c>
      <c r="P88" s="154">
        <f t="shared" si="23"/>
        <v>0</v>
      </c>
      <c r="Q88" s="520"/>
    </row>
    <row r="89">
      <c r="A89" s="509"/>
      <c r="B89" s="510"/>
      <c r="C89" s="511"/>
      <c r="D89" s="511"/>
      <c r="E89" s="371" t="s">
        <v>520</v>
      </c>
      <c r="F89" s="182" t="s">
        <v>83</v>
      </c>
      <c r="G89" s="521" t="s">
        <v>143</v>
      </c>
      <c r="H89" s="184" t="s">
        <v>144</v>
      </c>
      <c r="I89" s="275">
        <f t="shared" ref="I89:P89" si="24">I87*I88</f>
        <v>0</v>
      </c>
      <c r="J89" s="275">
        <f t="shared" si="24"/>
        <v>0</v>
      </c>
      <c r="K89" s="275">
        <f t="shared" si="24"/>
        <v>0</v>
      </c>
      <c r="L89" s="275">
        <f t="shared" si="24"/>
        <v>0</v>
      </c>
      <c r="M89" s="275">
        <f t="shared" si="24"/>
        <v>0</v>
      </c>
      <c r="N89" s="275">
        <f t="shared" si="24"/>
        <v>0</v>
      </c>
      <c r="O89" s="275">
        <f t="shared" si="24"/>
        <v>0</v>
      </c>
      <c r="P89" s="275">
        <f t="shared" si="24"/>
        <v>0</v>
      </c>
      <c r="Q89" s="522"/>
    </row>
    <row r="90">
      <c r="A90" s="509"/>
      <c r="B90" s="510"/>
      <c r="C90" s="511"/>
      <c r="D90" s="511"/>
      <c r="E90" s="470"/>
      <c r="F90" s="442"/>
      <c r="G90" s="512"/>
      <c r="H90" s="513"/>
      <c r="I90" s="514"/>
      <c r="J90" s="514"/>
      <c r="K90" s="514"/>
      <c r="L90" s="514"/>
      <c r="M90" s="514"/>
      <c r="N90" s="514"/>
      <c r="O90" s="514"/>
      <c r="P90" s="514"/>
      <c r="Q90" s="515"/>
    </row>
    <row r="91">
      <c r="A91" s="509"/>
      <c r="B91" s="510"/>
      <c r="C91" s="168" t="s">
        <v>521</v>
      </c>
      <c r="F91" s="442"/>
      <c r="G91" s="512"/>
      <c r="H91" s="513"/>
      <c r="I91" s="514"/>
      <c r="J91" s="514"/>
      <c r="K91" s="514"/>
      <c r="L91" s="514"/>
      <c r="M91" s="514"/>
      <c r="N91" s="514"/>
      <c r="O91" s="514"/>
      <c r="P91" s="514"/>
      <c r="Q91" s="515"/>
    </row>
    <row r="92">
      <c r="A92" s="509"/>
      <c r="B92" s="510"/>
      <c r="C92" s="511"/>
      <c r="D92" s="516" t="s">
        <v>501</v>
      </c>
      <c r="E92" s="37"/>
      <c r="F92" s="170"/>
      <c r="G92" s="517"/>
      <c r="H92" s="172"/>
      <c r="I92" s="190"/>
      <c r="J92" s="190"/>
      <c r="K92" s="190"/>
      <c r="L92" s="190"/>
      <c r="M92" s="190"/>
      <c r="N92" s="190"/>
      <c r="O92" s="190"/>
      <c r="P92" s="190"/>
      <c r="Q92" s="518"/>
    </row>
    <row r="93">
      <c r="A93" s="509"/>
      <c r="B93" s="510"/>
      <c r="C93" s="511"/>
      <c r="D93" s="511"/>
      <c r="E93" s="187" t="s">
        <v>516</v>
      </c>
      <c r="F93" s="170" t="s">
        <v>75</v>
      </c>
      <c r="G93" s="517" t="s">
        <v>143</v>
      </c>
      <c r="H93" s="172" t="s">
        <v>144</v>
      </c>
      <c r="I93" s="190">
        <f t="shared" ref="I93:P93" si="25">I21</f>
        <v>45713.68757</v>
      </c>
      <c r="J93" s="190">
        <f t="shared" si="25"/>
        <v>58302.74486</v>
      </c>
      <c r="K93" s="190">
        <f t="shared" si="25"/>
        <v>45713.68757</v>
      </c>
      <c r="L93" s="190">
        <f t="shared" si="25"/>
        <v>40216.5398</v>
      </c>
      <c r="M93" s="190">
        <f t="shared" si="25"/>
        <v>40216.5398</v>
      </c>
      <c r="N93" s="190">
        <f t="shared" si="25"/>
        <v>67466.09194</v>
      </c>
      <c r="O93" s="190">
        <f t="shared" si="25"/>
        <v>42128.56844</v>
      </c>
      <c r="P93" s="190">
        <f t="shared" si="25"/>
        <v>46756.41068</v>
      </c>
      <c r="Q93" s="518"/>
    </row>
    <row r="94">
      <c r="A94" s="509"/>
      <c r="B94" s="510"/>
      <c r="C94" s="511"/>
      <c r="D94" s="511"/>
      <c r="E94" s="367" t="s">
        <v>522</v>
      </c>
      <c r="F94" s="176" t="s">
        <v>83</v>
      </c>
      <c r="G94" s="519" t="s">
        <v>143</v>
      </c>
      <c r="H94" s="178" t="s">
        <v>144</v>
      </c>
      <c r="I94" s="259">
        <f t="shared" ref="I94:P94" si="26">I93*$H56</f>
        <v>231.174118</v>
      </c>
      <c r="J94" s="259">
        <f t="shared" si="26"/>
        <v>294.8369807</v>
      </c>
      <c r="K94" s="259">
        <f t="shared" si="26"/>
        <v>231.174118</v>
      </c>
      <c r="L94" s="259">
        <f t="shared" si="26"/>
        <v>203.3750418</v>
      </c>
      <c r="M94" s="259">
        <f t="shared" si="26"/>
        <v>203.3750418</v>
      </c>
      <c r="N94" s="259">
        <f t="shared" si="26"/>
        <v>341.176027</v>
      </c>
      <c r="O94" s="259">
        <f t="shared" si="26"/>
        <v>213.0441706</v>
      </c>
      <c r="P94" s="259">
        <f t="shared" si="26"/>
        <v>236.4471688</v>
      </c>
      <c r="Q94" s="520"/>
    </row>
    <row r="95">
      <c r="A95" s="509"/>
      <c r="B95" s="510"/>
      <c r="C95" s="511"/>
      <c r="D95" s="511"/>
      <c r="E95" s="367" t="s">
        <v>518</v>
      </c>
      <c r="F95" s="176" t="s">
        <v>83</v>
      </c>
      <c r="G95" s="519" t="s">
        <v>143</v>
      </c>
      <c r="H95" s="178" t="s">
        <v>144</v>
      </c>
      <c r="I95" s="231">
        <v>0.0</v>
      </c>
      <c r="J95" s="231">
        <v>0.0</v>
      </c>
      <c r="K95" s="231">
        <v>0.0</v>
      </c>
      <c r="L95" s="231">
        <v>0.0</v>
      </c>
      <c r="M95" s="231">
        <v>0.0</v>
      </c>
      <c r="N95" s="231">
        <v>0.0</v>
      </c>
      <c r="O95" s="231">
        <v>0.0</v>
      </c>
      <c r="P95" s="231">
        <v>0.0</v>
      </c>
      <c r="Q95" s="520"/>
    </row>
    <row r="96">
      <c r="A96" s="509"/>
      <c r="B96" s="510"/>
      <c r="C96" s="511"/>
      <c r="D96" s="511"/>
      <c r="E96" s="367" t="s">
        <v>519</v>
      </c>
      <c r="F96" s="176" t="s">
        <v>83</v>
      </c>
      <c r="G96" s="519" t="s">
        <v>143</v>
      </c>
      <c r="H96" s="178" t="s">
        <v>144</v>
      </c>
      <c r="I96" s="259">
        <f t="shared" ref="I96:P96" si="27">I94-I95</f>
        <v>231.174118</v>
      </c>
      <c r="J96" s="259">
        <f t="shared" si="27"/>
        <v>294.8369807</v>
      </c>
      <c r="K96" s="259">
        <f t="shared" si="27"/>
        <v>231.174118</v>
      </c>
      <c r="L96" s="259">
        <f t="shared" si="27"/>
        <v>203.3750418</v>
      </c>
      <c r="M96" s="259">
        <f t="shared" si="27"/>
        <v>203.3750418</v>
      </c>
      <c r="N96" s="259">
        <f t="shared" si="27"/>
        <v>341.176027</v>
      </c>
      <c r="O96" s="259">
        <f t="shared" si="27"/>
        <v>213.0441706</v>
      </c>
      <c r="P96" s="259">
        <f t="shared" si="27"/>
        <v>236.4471688</v>
      </c>
      <c r="Q96" s="520"/>
    </row>
    <row r="97">
      <c r="A97" s="509"/>
      <c r="B97" s="510"/>
      <c r="C97" s="511"/>
      <c r="D97" s="511"/>
      <c r="E97" s="367" t="s">
        <v>506</v>
      </c>
      <c r="F97" s="176" t="s">
        <v>83</v>
      </c>
      <c r="G97" s="519" t="s">
        <v>143</v>
      </c>
      <c r="H97" s="178" t="s">
        <v>144</v>
      </c>
      <c r="I97" s="259">
        <f t="shared" ref="I97:P97" si="28">-I96</f>
        <v>-231.174118</v>
      </c>
      <c r="J97" s="259">
        <f t="shared" si="28"/>
        <v>-294.8369807</v>
      </c>
      <c r="K97" s="259">
        <f t="shared" si="28"/>
        <v>-231.174118</v>
      </c>
      <c r="L97" s="259">
        <f t="shared" si="28"/>
        <v>-203.3750418</v>
      </c>
      <c r="M97" s="259">
        <f t="shared" si="28"/>
        <v>-203.3750418</v>
      </c>
      <c r="N97" s="259">
        <f t="shared" si="28"/>
        <v>-341.176027</v>
      </c>
      <c r="O97" s="259">
        <f t="shared" si="28"/>
        <v>-213.0441706</v>
      </c>
      <c r="P97" s="259">
        <f t="shared" si="28"/>
        <v>-236.4471688</v>
      </c>
      <c r="Q97" s="520"/>
    </row>
    <row r="98">
      <c r="A98" s="509"/>
      <c r="B98" s="510"/>
      <c r="C98" s="511"/>
      <c r="D98" s="511"/>
      <c r="E98" s="367" t="s">
        <v>507</v>
      </c>
      <c r="F98" s="176" t="str">
        <f>F33</f>
        <v>%</v>
      </c>
      <c r="G98" s="519" t="s">
        <v>236</v>
      </c>
      <c r="H98" s="523" t="str">
        <f t="shared" ref="H98:P98" si="29">H33</f>
        <v>-</v>
      </c>
      <c r="I98" s="154">
        <f t="shared" si="29"/>
        <v>0.6</v>
      </c>
      <c r="J98" s="154">
        <f t="shared" si="29"/>
        <v>0.8</v>
      </c>
      <c r="K98" s="154">
        <f t="shared" si="29"/>
        <v>0.65</v>
      </c>
      <c r="L98" s="154">
        <f t="shared" si="29"/>
        <v>0.65</v>
      </c>
      <c r="M98" s="154">
        <f t="shared" si="29"/>
        <v>0.8</v>
      </c>
      <c r="N98" s="154">
        <f t="shared" si="29"/>
        <v>0.85</v>
      </c>
      <c r="O98" s="154">
        <f t="shared" si="29"/>
        <v>0.4</v>
      </c>
      <c r="P98" s="154">
        <f t="shared" si="29"/>
        <v>0.6</v>
      </c>
      <c r="Q98" s="520"/>
    </row>
    <row r="99">
      <c r="A99" s="509"/>
      <c r="B99" s="510"/>
      <c r="C99" s="511"/>
      <c r="D99" s="511"/>
      <c r="E99" s="371" t="s">
        <v>520</v>
      </c>
      <c r="F99" s="182" t="s">
        <v>83</v>
      </c>
      <c r="G99" s="521" t="s">
        <v>143</v>
      </c>
      <c r="H99" s="184" t="s">
        <v>144</v>
      </c>
      <c r="I99" s="275">
        <f t="shared" ref="I99:P99" si="30">I97*I98</f>
        <v>-138.7044708</v>
      </c>
      <c r="J99" s="275">
        <f t="shared" si="30"/>
        <v>-235.8695846</v>
      </c>
      <c r="K99" s="275">
        <f t="shared" si="30"/>
        <v>-150.2631767</v>
      </c>
      <c r="L99" s="275">
        <f t="shared" si="30"/>
        <v>-132.1937771</v>
      </c>
      <c r="M99" s="275">
        <f t="shared" si="30"/>
        <v>-162.7000334</v>
      </c>
      <c r="N99" s="275">
        <f t="shared" si="30"/>
        <v>-289.9996229</v>
      </c>
      <c r="O99" s="275">
        <f t="shared" si="30"/>
        <v>-85.21766825</v>
      </c>
      <c r="P99" s="275">
        <f t="shared" si="30"/>
        <v>-141.8683013</v>
      </c>
      <c r="Q99" s="522"/>
    </row>
    <row r="100">
      <c r="A100" s="509"/>
      <c r="B100" s="510"/>
      <c r="C100" s="511"/>
      <c r="D100" s="511"/>
      <c r="E100" s="470"/>
      <c r="F100" s="442"/>
      <c r="G100" s="512"/>
      <c r="H100" s="513"/>
      <c r="I100" s="514"/>
      <c r="J100" s="514"/>
      <c r="K100" s="514"/>
      <c r="L100" s="514"/>
      <c r="M100" s="514"/>
      <c r="N100" s="514"/>
      <c r="O100" s="514"/>
      <c r="P100" s="514"/>
      <c r="Q100" s="515"/>
    </row>
    <row r="101">
      <c r="A101" s="524" t="s">
        <v>523</v>
      </c>
      <c r="B101" s="6"/>
      <c r="C101" s="6"/>
      <c r="D101" s="6"/>
      <c r="E101" s="6"/>
      <c r="F101" s="6"/>
      <c r="G101" s="93"/>
      <c r="H101" s="525"/>
      <c r="I101" s="526"/>
      <c r="J101" s="526"/>
      <c r="K101" s="526"/>
      <c r="L101" s="526"/>
      <c r="M101" s="526"/>
      <c r="N101" s="526"/>
      <c r="O101" s="526"/>
      <c r="P101" s="526"/>
      <c r="Q101" s="527"/>
    </row>
    <row r="102">
      <c r="A102" s="509"/>
      <c r="B102" s="510"/>
      <c r="C102" s="168"/>
      <c r="D102" s="511"/>
      <c r="E102" s="470"/>
      <c r="F102" s="442"/>
      <c r="G102" s="512"/>
      <c r="H102" s="513"/>
      <c r="I102" s="436"/>
      <c r="J102" s="436"/>
      <c r="K102" s="514"/>
      <c r="L102" s="514"/>
      <c r="M102" s="514"/>
      <c r="N102" s="514"/>
      <c r="O102" s="514"/>
      <c r="P102" s="514"/>
      <c r="Q102" s="515"/>
    </row>
    <row r="103">
      <c r="A103" s="509"/>
      <c r="B103" s="510"/>
      <c r="C103" s="168" t="s">
        <v>524</v>
      </c>
      <c r="F103" s="442"/>
      <c r="G103" s="512"/>
      <c r="H103" s="513"/>
      <c r="I103" s="514"/>
      <c r="J103" s="514"/>
      <c r="K103" s="514"/>
      <c r="L103" s="514"/>
      <c r="M103" s="514"/>
      <c r="N103" s="514"/>
      <c r="O103" s="514"/>
      <c r="P103" s="514"/>
      <c r="Q103" s="515"/>
    </row>
    <row r="104">
      <c r="A104" s="509"/>
      <c r="B104" s="510"/>
      <c r="C104" s="511"/>
      <c r="D104" s="511"/>
      <c r="E104" s="187" t="s">
        <v>525</v>
      </c>
      <c r="F104" s="170" t="s">
        <v>83</v>
      </c>
      <c r="G104" s="517" t="s">
        <v>143</v>
      </c>
      <c r="H104" s="172" t="s">
        <v>144</v>
      </c>
      <c r="I104" s="258">
        <f t="shared" ref="I104:P104" si="31">I19*I47</f>
        <v>16695.16913</v>
      </c>
      <c r="J104" s="258">
        <f t="shared" si="31"/>
        <v>57329.90464</v>
      </c>
      <c r="K104" s="258">
        <f t="shared" si="31"/>
        <v>108687.4468</v>
      </c>
      <c r="L104" s="258">
        <f t="shared" si="31"/>
        <v>77852.051</v>
      </c>
      <c r="M104" s="258">
        <f t="shared" si="31"/>
        <v>51500.02555</v>
      </c>
      <c r="N104" s="258">
        <f t="shared" si="31"/>
        <v>25679.813</v>
      </c>
      <c r="O104" s="258">
        <f t="shared" si="31"/>
        <v>50374.8711</v>
      </c>
      <c r="P104" s="258">
        <f t="shared" si="31"/>
        <v>76544.65056</v>
      </c>
      <c r="Q104" s="518"/>
    </row>
    <row r="105">
      <c r="A105" s="509"/>
      <c r="B105" s="510"/>
      <c r="C105" s="511"/>
      <c r="D105" s="511"/>
      <c r="E105" s="187" t="s">
        <v>526</v>
      </c>
      <c r="F105" s="170" t="s">
        <v>83</v>
      </c>
      <c r="G105" s="517" t="s">
        <v>143</v>
      </c>
      <c r="H105" s="172" t="s">
        <v>144</v>
      </c>
      <c r="I105" s="258">
        <f t="shared" ref="I105:P105" si="32">SUM(I89,I99)</f>
        <v>-138.7044708</v>
      </c>
      <c r="J105" s="258">
        <f t="shared" si="32"/>
        <v>-235.8695846</v>
      </c>
      <c r="K105" s="258">
        <f t="shared" si="32"/>
        <v>-150.2631767</v>
      </c>
      <c r="L105" s="258">
        <f t="shared" si="32"/>
        <v>-132.1937771</v>
      </c>
      <c r="M105" s="258">
        <f t="shared" si="32"/>
        <v>-162.7000334</v>
      </c>
      <c r="N105" s="258">
        <f t="shared" si="32"/>
        <v>-289.9996229</v>
      </c>
      <c r="O105" s="258">
        <f t="shared" si="32"/>
        <v>-85.21766825</v>
      </c>
      <c r="P105" s="258">
        <f t="shared" si="32"/>
        <v>-141.8683013</v>
      </c>
      <c r="Q105" s="518"/>
    </row>
    <row r="106">
      <c r="A106" s="509"/>
      <c r="B106" s="510"/>
      <c r="C106" s="511"/>
      <c r="D106" s="511"/>
      <c r="E106" s="187" t="s">
        <v>527</v>
      </c>
      <c r="F106" s="170" t="s">
        <v>83</v>
      </c>
      <c r="G106" s="517" t="s">
        <v>143</v>
      </c>
      <c r="H106" s="172" t="s">
        <v>144</v>
      </c>
      <c r="I106" s="258">
        <f t="shared" ref="I106:P106" si="33">SUM(I69,I79)</f>
        <v>-504.8676526</v>
      </c>
      <c r="J106" s="258">
        <f t="shared" si="33"/>
        <v>-8379.380928</v>
      </c>
      <c r="K106" s="258">
        <f t="shared" si="33"/>
        <v>-32639.05639</v>
      </c>
      <c r="L106" s="258">
        <f t="shared" si="33"/>
        <v>-21846.66785</v>
      </c>
      <c r="M106" s="258">
        <f t="shared" si="33"/>
        <v>-7213.405111</v>
      </c>
      <c r="N106" s="258">
        <f t="shared" si="33"/>
        <v>-1537.021949</v>
      </c>
      <c r="O106" s="258">
        <f t="shared" si="33"/>
        <v>-20965.12266</v>
      </c>
      <c r="P106" s="258">
        <f t="shared" si="33"/>
        <v>-24444.66022</v>
      </c>
      <c r="Q106" s="518"/>
    </row>
    <row r="107">
      <c r="A107" s="509"/>
      <c r="B107" s="510"/>
      <c r="C107" s="511"/>
      <c r="D107" s="511"/>
      <c r="E107" s="367" t="s">
        <v>528</v>
      </c>
      <c r="F107" s="176" t="s">
        <v>83</v>
      </c>
      <c r="G107" s="519" t="s">
        <v>143</v>
      </c>
      <c r="H107" s="178" t="s">
        <v>144</v>
      </c>
      <c r="I107" s="259">
        <f t="shared" ref="I107:P107" si="34">SUM(I69,I79,I89,I99)</f>
        <v>-643.5721234</v>
      </c>
      <c r="J107" s="259">
        <f t="shared" si="34"/>
        <v>-8615.250513</v>
      </c>
      <c r="K107" s="259">
        <f t="shared" si="34"/>
        <v>-32789.31957</v>
      </c>
      <c r="L107" s="259">
        <f t="shared" si="34"/>
        <v>-21978.86163</v>
      </c>
      <c r="M107" s="259">
        <f t="shared" si="34"/>
        <v>-7376.105144</v>
      </c>
      <c r="N107" s="259">
        <f t="shared" si="34"/>
        <v>-1827.021572</v>
      </c>
      <c r="O107" s="259">
        <f t="shared" si="34"/>
        <v>-21050.34033</v>
      </c>
      <c r="P107" s="259">
        <f t="shared" si="34"/>
        <v>-24586.52852</v>
      </c>
      <c r="Q107" s="520"/>
    </row>
    <row r="108">
      <c r="A108" s="509"/>
      <c r="B108" s="510"/>
      <c r="C108" s="511"/>
      <c r="D108" s="511"/>
      <c r="E108" s="191" t="s">
        <v>290</v>
      </c>
      <c r="F108" s="528" t="s">
        <v>529</v>
      </c>
      <c r="G108" s="528" t="s">
        <v>143</v>
      </c>
      <c r="H108" s="166" t="s">
        <v>144</v>
      </c>
      <c r="I108" s="256">
        <f t="shared" ref="I108:P108" si="35">SUM(I104,I107)</f>
        <v>16051.59701</v>
      </c>
      <c r="J108" s="256">
        <f t="shared" si="35"/>
        <v>48714.65413</v>
      </c>
      <c r="K108" s="256">
        <f t="shared" si="35"/>
        <v>75898.12727</v>
      </c>
      <c r="L108" s="256">
        <f t="shared" si="35"/>
        <v>55873.18937</v>
      </c>
      <c r="M108" s="256">
        <f t="shared" si="35"/>
        <v>44123.92041</v>
      </c>
      <c r="N108" s="256">
        <f t="shared" si="35"/>
        <v>23852.79142</v>
      </c>
      <c r="O108" s="256">
        <f t="shared" si="35"/>
        <v>29324.53077</v>
      </c>
      <c r="P108" s="256">
        <f t="shared" si="35"/>
        <v>51958.12203</v>
      </c>
      <c r="Q108" s="529"/>
    </row>
    <row r="109">
      <c r="A109" s="509"/>
      <c r="B109" s="510"/>
      <c r="C109" s="511"/>
      <c r="D109" s="511"/>
      <c r="E109" s="470"/>
      <c r="F109" s="442"/>
      <c r="G109" s="442"/>
      <c r="H109" s="330"/>
      <c r="I109" s="208"/>
      <c r="J109" s="208"/>
      <c r="K109" s="208"/>
      <c r="L109" s="208"/>
      <c r="M109" s="208"/>
      <c r="N109" s="208"/>
      <c r="O109" s="208"/>
      <c r="P109" s="208"/>
      <c r="Q109" s="515"/>
    </row>
    <row r="110">
      <c r="A110" s="509"/>
      <c r="B110" s="510"/>
      <c r="C110" s="168" t="s">
        <v>523</v>
      </c>
      <c r="F110" s="442"/>
      <c r="G110" s="442"/>
      <c r="H110" s="330"/>
      <c r="Q110" s="530"/>
    </row>
    <row r="111">
      <c r="A111" s="509"/>
      <c r="B111" s="510"/>
      <c r="C111" s="511"/>
      <c r="D111" s="511"/>
      <c r="E111" s="187" t="s">
        <v>285</v>
      </c>
      <c r="F111" s="170" t="s">
        <v>79</v>
      </c>
      <c r="G111" s="517" t="s">
        <v>143</v>
      </c>
      <c r="H111" s="172" t="s">
        <v>144</v>
      </c>
      <c r="I111" s="148">
        <f t="shared" ref="I111:P111" si="36">I105/I104</f>
        <v>-0.008308060237</v>
      </c>
      <c r="J111" s="148">
        <f t="shared" si="36"/>
        <v>-0.004114250426</v>
      </c>
      <c r="K111" s="148">
        <f t="shared" si="36"/>
        <v>-0.001382525591</v>
      </c>
      <c r="L111" s="148">
        <f t="shared" si="36"/>
        <v>-0.001698012775</v>
      </c>
      <c r="M111" s="148">
        <f t="shared" si="36"/>
        <v>-0.003159222382</v>
      </c>
      <c r="N111" s="148">
        <f t="shared" si="36"/>
        <v>-0.01129290244</v>
      </c>
      <c r="O111" s="148">
        <f t="shared" si="36"/>
        <v>-0.001691670199</v>
      </c>
      <c r="P111" s="253">
        <f t="shared" si="36"/>
        <v>-0.001853405826</v>
      </c>
      <c r="Q111" s="518"/>
    </row>
    <row r="112">
      <c r="A112" s="509"/>
      <c r="B112" s="510"/>
      <c r="C112" s="511"/>
      <c r="D112" s="511"/>
      <c r="E112" s="187" t="s">
        <v>286</v>
      </c>
      <c r="F112" s="170" t="s">
        <v>79</v>
      </c>
      <c r="G112" s="517" t="s">
        <v>143</v>
      </c>
      <c r="H112" s="172" t="s">
        <v>144</v>
      </c>
      <c r="I112" s="208">
        <f t="shared" ref="I112:P112" si="37">I106/I104</f>
        <v>-0.0302403437</v>
      </c>
      <c r="J112" s="208">
        <f t="shared" si="37"/>
        <v>-0.1461607338</v>
      </c>
      <c r="K112" s="208">
        <f t="shared" si="37"/>
        <v>-0.3003019883</v>
      </c>
      <c r="L112" s="208">
        <f t="shared" si="37"/>
        <v>-0.280617756</v>
      </c>
      <c r="M112" s="208">
        <f t="shared" si="37"/>
        <v>-0.1400660492</v>
      </c>
      <c r="N112" s="208">
        <f t="shared" si="37"/>
        <v>-0.05985331551</v>
      </c>
      <c r="O112" s="208">
        <f t="shared" si="37"/>
        <v>-0.4161821599</v>
      </c>
      <c r="P112" s="208">
        <f t="shared" si="37"/>
        <v>-0.319351647</v>
      </c>
      <c r="Q112" s="515"/>
    </row>
    <row r="113">
      <c r="A113" s="509"/>
      <c r="B113" s="510"/>
      <c r="C113" s="511"/>
      <c r="D113" s="511"/>
      <c r="E113" s="371" t="s">
        <v>530</v>
      </c>
      <c r="F113" s="182" t="s">
        <v>79</v>
      </c>
      <c r="G113" s="521" t="s">
        <v>143</v>
      </c>
      <c r="H113" s="184" t="s">
        <v>144</v>
      </c>
      <c r="I113" s="160">
        <f t="shared" ref="I113:P113" si="38">I107/I104</f>
        <v>-0.03854840393</v>
      </c>
      <c r="J113" s="160">
        <f t="shared" si="38"/>
        <v>-0.1502749842</v>
      </c>
      <c r="K113" s="160">
        <f t="shared" si="38"/>
        <v>-0.3016845139</v>
      </c>
      <c r="L113" s="160">
        <f t="shared" si="38"/>
        <v>-0.2823157688</v>
      </c>
      <c r="M113" s="160">
        <f t="shared" si="38"/>
        <v>-0.1432252715</v>
      </c>
      <c r="N113" s="160">
        <f t="shared" si="38"/>
        <v>-0.07114621795</v>
      </c>
      <c r="O113" s="160">
        <f t="shared" si="38"/>
        <v>-0.4178738301</v>
      </c>
      <c r="P113" s="160">
        <f t="shared" si="38"/>
        <v>-0.3212050528</v>
      </c>
      <c r="Q113" s="522"/>
    </row>
    <row r="114">
      <c r="A114" s="509"/>
      <c r="B114" s="510"/>
      <c r="C114" s="511"/>
      <c r="D114" s="511"/>
      <c r="E114" s="470"/>
      <c r="F114" s="442"/>
      <c r="G114" s="512"/>
      <c r="H114" s="513"/>
      <c r="I114" s="208"/>
      <c r="J114" s="208"/>
      <c r="K114" s="208"/>
      <c r="L114" s="208"/>
      <c r="M114" s="208"/>
      <c r="N114" s="208"/>
      <c r="O114" s="208"/>
      <c r="P114" s="208"/>
      <c r="Q114" s="515"/>
    </row>
    <row r="115">
      <c r="A115" s="524" t="s">
        <v>531</v>
      </c>
      <c r="B115" s="6"/>
      <c r="C115" s="6"/>
      <c r="D115" s="6"/>
      <c r="E115" s="6"/>
      <c r="F115" s="6"/>
      <c r="G115" s="93"/>
      <c r="H115" s="525"/>
      <c r="I115" s="526"/>
      <c r="J115" s="526"/>
      <c r="K115" s="526"/>
      <c r="L115" s="526"/>
      <c r="M115" s="526"/>
      <c r="N115" s="526"/>
      <c r="O115" s="526"/>
      <c r="P115" s="526"/>
      <c r="Q115" s="527"/>
    </row>
    <row r="116">
      <c r="A116" s="509"/>
      <c r="B116" s="510"/>
      <c r="C116" s="168"/>
      <c r="D116" s="168"/>
      <c r="E116" s="531"/>
      <c r="F116" s="442"/>
      <c r="G116" s="442"/>
      <c r="H116" s="513"/>
      <c r="I116" s="208"/>
      <c r="J116" s="208"/>
      <c r="K116" s="208"/>
      <c r="L116" s="208"/>
      <c r="M116" s="208"/>
      <c r="N116" s="208"/>
      <c r="O116" s="208"/>
      <c r="P116" s="208"/>
      <c r="Q116" s="515"/>
    </row>
    <row r="117">
      <c r="A117" s="509"/>
      <c r="B117" s="510"/>
      <c r="C117" s="168" t="s">
        <v>294</v>
      </c>
      <c r="F117" s="442"/>
      <c r="G117" s="442"/>
      <c r="H117" s="513"/>
      <c r="I117" s="208"/>
      <c r="J117" s="208"/>
      <c r="K117" s="208"/>
      <c r="L117" s="208"/>
      <c r="M117" s="208"/>
      <c r="N117" s="208"/>
      <c r="O117" s="208"/>
      <c r="P117" s="208"/>
      <c r="Q117" s="515"/>
    </row>
    <row r="118">
      <c r="A118" s="509"/>
      <c r="B118" s="510"/>
      <c r="C118" s="511"/>
      <c r="D118" s="511"/>
      <c r="E118" s="191" t="s">
        <v>294</v>
      </c>
      <c r="F118" s="528" t="s">
        <v>79</v>
      </c>
      <c r="G118" s="528" t="s">
        <v>143</v>
      </c>
      <c r="H118" s="166" t="s">
        <v>144</v>
      </c>
      <c r="I118" s="331">
        <f t="shared" ref="I118:P118" si="39">((MIN(I67,0)*I68)+(MIN(I77,0)*I78)+I105)/I104</f>
        <v>-0.03854840393</v>
      </c>
      <c r="J118" s="331">
        <f t="shared" si="39"/>
        <v>-0.1502749842</v>
      </c>
      <c r="K118" s="331">
        <f t="shared" si="39"/>
        <v>-0.3016845139</v>
      </c>
      <c r="L118" s="331">
        <f t="shared" si="39"/>
        <v>-0.2823157688</v>
      </c>
      <c r="M118" s="331">
        <f t="shared" si="39"/>
        <v>-0.1432252715</v>
      </c>
      <c r="N118" s="331">
        <f t="shared" si="39"/>
        <v>-0.07114621795</v>
      </c>
      <c r="O118" s="331">
        <f t="shared" si="39"/>
        <v>-0.4178738301</v>
      </c>
      <c r="P118" s="331">
        <f t="shared" si="39"/>
        <v>-0.3212050528</v>
      </c>
      <c r="Q118" s="529"/>
    </row>
    <row r="119">
      <c r="A119" s="509"/>
      <c r="B119" s="510"/>
      <c r="C119" s="168"/>
      <c r="D119" s="168"/>
      <c r="E119" s="531"/>
      <c r="F119" s="442"/>
      <c r="G119" s="442"/>
      <c r="H119" s="513"/>
      <c r="I119" s="208"/>
      <c r="J119" s="208"/>
      <c r="K119" s="208"/>
      <c r="L119" s="208"/>
      <c r="M119" s="208"/>
      <c r="N119" s="208"/>
      <c r="O119" s="208"/>
      <c r="P119" s="208"/>
      <c r="Q119" s="515"/>
    </row>
    <row r="120">
      <c r="A120" s="509"/>
      <c r="B120" s="510"/>
      <c r="C120" s="168" t="s">
        <v>532</v>
      </c>
      <c r="F120" s="442"/>
      <c r="G120" s="442"/>
      <c r="H120" s="513"/>
      <c r="I120" s="208"/>
      <c r="J120" s="208"/>
      <c r="K120" s="208"/>
      <c r="L120" s="208"/>
      <c r="M120" s="208"/>
      <c r="N120" s="208"/>
      <c r="O120" s="208"/>
      <c r="P120" s="208"/>
      <c r="Q120" s="515"/>
    </row>
    <row r="121">
      <c r="A121" s="509"/>
      <c r="B121" s="510"/>
      <c r="C121" s="168"/>
      <c r="D121" s="168"/>
      <c r="E121" s="187" t="s">
        <v>226</v>
      </c>
      <c r="F121" s="170" t="str">
        <f>Inputs!F154</f>
        <v>UoV</v>
      </c>
      <c r="G121" s="170" t="str">
        <f>Inputs!G154</f>
        <v>input</v>
      </c>
      <c r="H121" s="306">
        <f>Inputs!H154</f>
        <v>116.25262</v>
      </c>
      <c r="I121" s="258" t="str">
        <f>Inputs!I154</f>
        <v>-</v>
      </c>
      <c r="J121" s="258" t="str">
        <f>Inputs!J154</f>
        <v>-</v>
      </c>
      <c r="K121" s="258" t="str">
        <f>Inputs!K154</f>
        <v>-</v>
      </c>
      <c r="L121" s="258" t="str">
        <f>Inputs!L154</f>
        <v>-</v>
      </c>
      <c r="M121" s="258" t="str">
        <f>Inputs!M154</f>
        <v>-</v>
      </c>
      <c r="N121" s="258" t="str">
        <f>Inputs!N154</f>
        <v>-</v>
      </c>
      <c r="O121" s="258" t="str">
        <f>Inputs!O154</f>
        <v>-</v>
      </c>
      <c r="P121" s="258" t="str">
        <f>Inputs!P154</f>
        <v>-</v>
      </c>
      <c r="Q121" s="518"/>
    </row>
    <row r="122">
      <c r="A122" s="509"/>
      <c r="B122" s="510"/>
      <c r="C122" s="168"/>
      <c r="D122" s="168"/>
      <c r="E122" s="427" t="s">
        <v>533</v>
      </c>
      <c r="F122" s="176" t="s">
        <v>69</v>
      </c>
      <c r="G122" s="176" t="s">
        <v>143</v>
      </c>
      <c r="H122" s="178" t="s">
        <v>144</v>
      </c>
      <c r="I122" s="259">
        <f t="shared" ref="I122:P122" si="40">-(I105/$H121)</f>
        <v>1.193129848</v>
      </c>
      <c r="J122" s="259">
        <f t="shared" si="40"/>
        <v>2.028939946</v>
      </c>
      <c r="K122" s="259">
        <f t="shared" si="40"/>
        <v>1.292557335</v>
      </c>
      <c r="L122" s="259">
        <f t="shared" si="40"/>
        <v>1.137125143</v>
      </c>
      <c r="M122" s="259">
        <f t="shared" si="40"/>
        <v>1.399538638</v>
      </c>
      <c r="N122" s="259">
        <f t="shared" si="40"/>
        <v>2.494564191</v>
      </c>
      <c r="O122" s="259">
        <f t="shared" si="40"/>
        <v>0.7330386898</v>
      </c>
      <c r="P122" s="259">
        <f t="shared" si="40"/>
        <v>1.22034498</v>
      </c>
      <c r="Q122" s="520"/>
    </row>
    <row r="123">
      <c r="A123" s="509"/>
      <c r="B123" s="510"/>
      <c r="C123" s="168"/>
      <c r="D123" s="168"/>
      <c r="E123" s="367" t="s">
        <v>495</v>
      </c>
      <c r="F123" s="176" t="str">
        <f>F53</f>
        <v>#</v>
      </c>
      <c r="G123" s="176" t="s">
        <v>236</v>
      </c>
      <c r="H123" s="532" t="str">
        <f t="shared" ref="H123:P123" si="41">H53</f>
        <v>-</v>
      </c>
      <c r="I123" s="259">
        <f t="shared" si="41"/>
        <v>67.168393</v>
      </c>
      <c r="J123" s="259">
        <f t="shared" si="41"/>
        <v>231.9747411</v>
      </c>
      <c r="K123" s="259">
        <f t="shared" si="41"/>
        <v>487.869721</v>
      </c>
      <c r="L123" s="259">
        <f t="shared" si="41"/>
        <v>362.9305587</v>
      </c>
      <c r="M123" s="259">
        <f t="shared" si="41"/>
        <v>225.6069539</v>
      </c>
      <c r="N123" s="259">
        <f t="shared" si="41"/>
        <v>101.9672852</v>
      </c>
      <c r="O123" s="259">
        <f t="shared" si="41"/>
        <v>216.2644048</v>
      </c>
      <c r="P123" s="259">
        <f t="shared" si="41"/>
        <v>301.7627053</v>
      </c>
      <c r="Q123" s="520"/>
    </row>
    <row r="124">
      <c r="A124" s="509"/>
      <c r="B124" s="510"/>
      <c r="C124" s="168"/>
      <c r="D124" s="168"/>
      <c r="E124" s="427" t="s">
        <v>534</v>
      </c>
      <c r="F124" s="176" t="s">
        <v>79</v>
      </c>
      <c r="G124" s="176" t="s">
        <v>143</v>
      </c>
      <c r="H124" s="178" t="s">
        <v>144</v>
      </c>
      <c r="I124" s="154">
        <f t="shared" ref="I124:P124" si="42">((I123-I122)/I123)-1</f>
        <v>-0.01776326326</v>
      </c>
      <c r="J124" s="154">
        <f t="shared" si="42"/>
        <v>-0.008746383064</v>
      </c>
      <c r="K124" s="154">
        <f t="shared" si="42"/>
        <v>-0.002649390359</v>
      </c>
      <c r="L124" s="154">
        <f t="shared" si="42"/>
        <v>-0.003133175523</v>
      </c>
      <c r="M124" s="154">
        <f t="shared" si="42"/>
        <v>-0.006203437498</v>
      </c>
      <c r="N124" s="154">
        <f t="shared" si="42"/>
        <v>-0.02446435821</v>
      </c>
      <c r="O124" s="154">
        <f t="shared" si="42"/>
        <v>-0.003389548504</v>
      </c>
      <c r="P124" s="154">
        <f t="shared" si="42"/>
        <v>-0.004044055011</v>
      </c>
      <c r="Q124" s="520"/>
    </row>
    <row r="125">
      <c r="A125" s="509"/>
      <c r="B125" s="510"/>
      <c r="C125" s="168"/>
      <c r="D125" s="168"/>
      <c r="E125" s="427" t="s">
        <v>535</v>
      </c>
      <c r="F125" s="176" t="str">
        <f>F118</f>
        <v>%</v>
      </c>
      <c r="G125" s="176" t="s">
        <v>236</v>
      </c>
      <c r="H125" s="178" t="str">
        <f>H118</f>
        <v>-</v>
      </c>
      <c r="I125" s="154">
        <f t="shared" ref="I125:P125" si="43">((MIN(I67,0)*I68)+(MIN(I77,0)*I78))/I104</f>
        <v>-0.0302403437</v>
      </c>
      <c r="J125" s="154">
        <f t="shared" si="43"/>
        <v>-0.1461607338</v>
      </c>
      <c r="K125" s="154">
        <f t="shared" si="43"/>
        <v>-0.3003019883</v>
      </c>
      <c r="L125" s="154">
        <f t="shared" si="43"/>
        <v>-0.280617756</v>
      </c>
      <c r="M125" s="154">
        <f t="shared" si="43"/>
        <v>-0.1400660492</v>
      </c>
      <c r="N125" s="154">
        <f t="shared" si="43"/>
        <v>-0.05985331551</v>
      </c>
      <c r="O125" s="154">
        <f t="shared" si="43"/>
        <v>-0.4161821599</v>
      </c>
      <c r="P125" s="154">
        <f t="shared" si="43"/>
        <v>-0.319351647</v>
      </c>
      <c r="Q125" s="520"/>
    </row>
    <row r="126">
      <c r="A126" s="509"/>
      <c r="B126" s="510"/>
      <c r="C126" s="168"/>
      <c r="D126" s="168"/>
      <c r="E126" s="371" t="s">
        <v>536</v>
      </c>
      <c r="F126" s="182" t="s">
        <v>79</v>
      </c>
      <c r="G126" s="182" t="s">
        <v>143</v>
      </c>
      <c r="H126" s="184" t="s">
        <v>144</v>
      </c>
      <c r="I126" s="160">
        <f t="shared" ref="I126:P126" si="44">SUM(I124:I125)</f>
        <v>-0.04800360696</v>
      </c>
      <c r="J126" s="160">
        <f t="shared" si="44"/>
        <v>-0.1549071168</v>
      </c>
      <c r="K126" s="160">
        <f t="shared" si="44"/>
        <v>-0.3029513787</v>
      </c>
      <c r="L126" s="160">
        <f t="shared" si="44"/>
        <v>-0.2837509315</v>
      </c>
      <c r="M126" s="160">
        <f t="shared" si="44"/>
        <v>-0.1462694867</v>
      </c>
      <c r="N126" s="160">
        <f t="shared" si="44"/>
        <v>-0.08431767372</v>
      </c>
      <c r="O126" s="160">
        <f t="shared" si="44"/>
        <v>-0.4195717084</v>
      </c>
      <c r="P126" s="160">
        <f t="shared" si="44"/>
        <v>-0.323395702</v>
      </c>
      <c r="Q126" s="522"/>
    </row>
    <row r="127">
      <c r="A127" s="533"/>
      <c r="B127" s="534"/>
      <c r="C127" s="535"/>
      <c r="D127" s="535"/>
      <c r="E127" s="191"/>
      <c r="F127" s="528"/>
      <c r="G127" s="528"/>
      <c r="H127" s="536"/>
      <c r="I127" s="256"/>
      <c r="J127" s="256"/>
      <c r="K127" s="256"/>
      <c r="L127" s="256"/>
      <c r="M127" s="256"/>
      <c r="N127" s="256"/>
      <c r="O127" s="256"/>
      <c r="P127" s="256"/>
      <c r="Q127" s="529"/>
    </row>
  </sheetData>
  <mergeCells count="30">
    <mergeCell ref="I1:P1"/>
    <mergeCell ref="A3:E3"/>
    <mergeCell ref="A5:G5"/>
    <mergeCell ref="C7:E7"/>
    <mergeCell ref="C10:E10"/>
    <mergeCell ref="C15:E15"/>
    <mergeCell ref="C18:E18"/>
    <mergeCell ref="C23:E23"/>
    <mergeCell ref="A27:G27"/>
    <mergeCell ref="C29:E29"/>
    <mergeCell ref="C35:E35"/>
    <mergeCell ref="A41:G41"/>
    <mergeCell ref="C43:E43"/>
    <mergeCell ref="C49:E49"/>
    <mergeCell ref="C55:E55"/>
    <mergeCell ref="A59:G59"/>
    <mergeCell ref="C61:E61"/>
    <mergeCell ref="D62:E62"/>
    <mergeCell ref="C71:E71"/>
    <mergeCell ref="D72:E72"/>
    <mergeCell ref="C81:E81"/>
    <mergeCell ref="C117:E117"/>
    <mergeCell ref="C120:E120"/>
    <mergeCell ref="D82:E82"/>
    <mergeCell ref="C91:E91"/>
    <mergeCell ref="D92:E92"/>
    <mergeCell ref="A101:G101"/>
    <mergeCell ref="C103:E103"/>
    <mergeCell ref="C110:E110"/>
    <mergeCell ref="A115:G115"/>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philanthropic costs" location="Inputs!E195" ref="E30"/>
    <hyperlink display="Scenario 2: Global Fund and/or PMI would replace philanthropic costs" location="Inputs!E196" ref="E31"/>
    <hyperlink display="Scenario 3: Other upstream costs would stay the same (downstream costs would shrink in proportion to the total size of the program)" location="Inputs!E197" ref="E32"/>
    <hyperlink display="Scenario 1: Domestic governments would replace philanthropic costs" location="Inputs!E200" ref="E36"/>
    <hyperlink display="Scenario 2: Global Fund and/or PMI would replace philanthropic costs" location="Inputs!E201" ref="E37"/>
    <hyperlink display="Scenario 4: Distributions would go unfunded" location="Inputs!E202" ref="E39"/>
    <hyperlink display="Units of value generated per dollar spent (before final adjustments)" location="'Main CEA'!E143" ref="E44"/>
    <hyperlink display="Total supplemental grantee-level adjustment" location="'Main CEA'!D172" ref="E45"/>
    <hyperlink display="Total supplemental intervention-level adjustment" location="'Main CEA'!D189" ref="E46"/>
    <hyperlink display="Total lives saved (before final adjustments)" location="'Main CEA'!E154" ref="E50"/>
    <hyperlink display="Total supplemental grantee-level adjustment" location="'Main CEA'!D172" ref="E51"/>
    <hyperlink display="Total supplemental intervention-level adjustment affecting lives saved" location="'Main CEA'!E214" ref="E52"/>
    <hyperlink display="Counterfactual value per dollar spent by domestic governments" location="Inputs!E205" ref="E56"/>
    <hyperlink display="Counterfactual value per dollar spent by the Global Fund or PMI" location="Inputs!E206" ref="E57"/>
    <hyperlink display="Value assigned to averting a malaria-attributable death of a person under age 5" location="Inputs!E154" ref="E121"/>
    <hyperlink display="Total lives saved (after supplemental adjustments)" location="LeverageFunging!E53" ref="E123"/>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 customWidth="1" min="18" max="18" width="17.38"/>
    <col customWidth="1" min="19" max="19" width="48.25"/>
  </cols>
  <sheetData>
    <row r="1">
      <c r="A1" s="87"/>
      <c r="B1" s="88"/>
      <c r="C1" s="88"/>
      <c r="D1" s="88"/>
      <c r="E1" s="537"/>
      <c r="F1" s="90"/>
      <c r="G1" s="90"/>
      <c r="H1" s="356"/>
      <c r="I1" s="92" t="s">
        <v>117</v>
      </c>
      <c r="J1" s="6"/>
      <c r="K1" s="6"/>
      <c r="L1" s="6"/>
      <c r="M1" s="6"/>
      <c r="N1" s="6"/>
      <c r="O1" s="6"/>
      <c r="P1" s="93"/>
      <c r="Q1" s="538"/>
      <c r="R1" s="539"/>
      <c r="S1" s="540"/>
    </row>
    <row r="2">
      <c r="A2" s="95"/>
      <c r="B2" s="96"/>
      <c r="C2" s="96"/>
      <c r="D2" s="96"/>
      <c r="E2" s="541"/>
      <c r="F2" s="98"/>
      <c r="G2" s="98"/>
      <c r="H2" s="358"/>
      <c r="I2" s="101" t="s">
        <v>118</v>
      </c>
      <c r="J2" s="101" t="s">
        <v>119</v>
      </c>
      <c r="K2" s="101" t="s">
        <v>120</v>
      </c>
      <c r="L2" s="101" t="s">
        <v>121</v>
      </c>
      <c r="M2" s="101" t="s">
        <v>121</v>
      </c>
      <c r="N2" s="101" t="s">
        <v>122</v>
      </c>
      <c r="O2" s="101" t="s">
        <v>123</v>
      </c>
      <c r="P2" s="102" t="s">
        <v>124</v>
      </c>
      <c r="Q2" s="542"/>
      <c r="R2" s="543"/>
      <c r="S2" s="544"/>
    </row>
    <row r="3">
      <c r="A3" s="104" t="s">
        <v>12</v>
      </c>
      <c r="B3" s="54"/>
      <c r="C3" s="54"/>
      <c r="D3" s="54"/>
      <c r="E3" s="54"/>
      <c r="F3" s="105" t="s">
        <v>126</v>
      </c>
      <c r="G3" s="105" t="s">
        <v>127</v>
      </c>
      <c r="H3" s="107" t="s">
        <v>128</v>
      </c>
      <c r="I3" s="108"/>
      <c r="J3" s="108"/>
      <c r="K3" s="108"/>
      <c r="L3" s="108" t="s">
        <v>129</v>
      </c>
      <c r="M3" s="108" t="s">
        <v>130</v>
      </c>
      <c r="N3" s="108"/>
      <c r="O3" s="108"/>
      <c r="P3" s="109"/>
      <c r="Q3" s="545"/>
      <c r="R3" s="546" t="s">
        <v>537</v>
      </c>
      <c r="S3" s="547" t="s">
        <v>538</v>
      </c>
    </row>
    <row r="4">
      <c r="A4" s="111"/>
      <c r="B4" s="112"/>
      <c r="C4" s="112"/>
      <c r="D4" s="112"/>
      <c r="E4" s="548" t="s">
        <v>307</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549">
        <f>'Main CEA'!P203</f>
        <v>15.60303965</v>
      </c>
      <c r="Q4" s="550"/>
      <c r="R4" s="551"/>
      <c r="S4" s="552"/>
    </row>
    <row r="5">
      <c r="A5" s="118" t="s">
        <v>133</v>
      </c>
      <c r="B5" s="6"/>
      <c r="C5" s="6"/>
      <c r="D5" s="6"/>
      <c r="E5" s="6"/>
      <c r="F5" s="6"/>
      <c r="G5" s="93"/>
      <c r="H5" s="553"/>
      <c r="I5" s="554"/>
      <c r="J5" s="554"/>
      <c r="K5" s="554"/>
      <c r="L5" s="554"/>
      <c r="M5" s="554"/>
      <c r="N5" s="554"/>
      <c r="O5" s="554"/>
      <c r="P5" s="555"/>
      <c r="Q5" s="556"/>
      <c r="R5" s="551"/>
      <c r="S5" s="557"/>
    </row>
    <row r="6">
      <c r="A6" s="122"/>
      <c r="B6" s="123"/>
      <c r="C6" s="123"/>
      <c r="D6" s="123"/>
      <c r="E6" s="558"/>
      <c r="F6" s="125"/>
      <c r="G6" s="126"/>
      <c r="H6" s="559"/>
      <c r="I6" s="560"/>
      <c r="J6" s="560"/>
      <c r="K6" s="560"/>
      <c r="L6" s="560"/>
      <c r="M6" s="560"/>
      <c r="N6" s="560"/>
      <c r="O6" s="560"/>
      <c r="P6" s="560"/>
      <c r="Q6" s="70"/>
      <c r="R6" s="561"/>
      <c r="S6" s="562"/>
    </row>
    <row r="7">
      <c r="A7" s="122"/>
      <c r="B7" s="123"/>
      <c r="C7" s="130" t="s">
        <v>134</v>
      </c>
      <c r="F7" s="125"/>
      <c r="G7" s="131"/>
      <c r="H7" s="559"/>
      <c r="I7" s="294"/>
      <c r="J7" s="294"/>
      <c r="K7" s="294"/>
      <c r="L7" s="294"/>
      <c r="M7" s="294"/>
      <c r="N7" s="294"/>
      <c r="O7" s="294"/>
      <c r="P7" s="143"/>
      <c r="Q7" s="70"/>
      <c r="R7" s="561"/>
      <c r="S7" s="562"/>
    </row>
    <row r="8">
      <c r="A8" s="122"/>
      <c r="B8" s="123"/>
      <c r="C8" s="123"/>
      <c r="D8" s="123"/>
      <c r="E8" s="164" t="s">
        <v>135</v>
      </c>
      <c r="F8" s="134" t="s">
        <v>75</v>
      </c>
      <c r="G8" s="135" t="s">
        <v>136</v>
      </c>
      <c r="H8" s="563">
        <v>1000000.0</v>
      </c>
      <c r="I8" s="564" t="s">
        <v>144</v>
      </c>
      <c r="J8" s="564" t="s">
        <v>144</v>
      </c>
      <c r="K8" s="564" t="s">
        <v>144</v>
      </c>
      <c r="L8" s="564" t="s">
        <v>144</v>
      </c>
      <c r="M8" s="564" t="s">
        <v>144</v>
      </c>
      <c r="N8" s="564" t="s">
        <v>144</v>
      </c>
      <c r="O8" s="564" t="s">
        <v>144</v>
      </c>
      <c r="P8" s="565" t="s">
        <v>144</v>
      </c>
      <c r="Q8" s="86"/>
      <c r="R8" s="566" t="s">
        <v>539</v>
      </c>
      <c r="S8" s="567"/>
    </row>
    <row r="9">
      <c r="A9" s="122"/>
      <c r="B9" s="123"/>
      <c r="C9" s="10"/>
      <c r="D9" s="10"/>
      <c r="E9" s="568"/>
      <c r="F9" s="142"/>
      <c r="G9" s="143"/>
      <c r="H9" s="569"/>
      <c r="I9" s="294"/>
      <c r="J9" s="294"/>
      <c r="K9" s="294"/>
      <c r="L9" s="294"/>
      <c r="M9" s="294"/>
      <c r="N9" s="294"/>
      <c r="O9" s="294"/>
      <c r="P9" s="294"/>
      <c r="Q9" s="70"/>
      <c r="R9" s="561"/>
      <c r="S9" s="562"/>
    </row>
    <row r="10">
      <c r="A10" s="122"/>
      <c r="B10" s="123"/>
      <c r="C10" s="57" t="s">
        <v>137</v>
      </c>
      <c r="F10" s="142"/>
      <c r="G10" s="143"/>
      <c r="H10" s="569"/>
      <c r="I10" s="294"/>
      <c r="J10" s="294"/>
      <c r="K10" s="294"/>
      <c r="L10" s="294"/>
      <c r="M10" s="294"/>
      <c r="N10" s="294"/>
      <c r="O10" s="294"/>
      <c r="P10" s="143"/>
      <c r="Q10" s="70"/>
      <c r="R10" s="561"/>
      <c r="S10" s="562"/>
    </row>
    <row r="11">
      <c r="A11" s="122"/>
      <c r="B11" s="123"/>
      <c r="C11" s="10"/>
      <c r="D11" s="10"/>
      <c r="E11" s="570" t="s">
        <v>138</v>
      </c>
      <c r="F11" s="145" t="s">
        <v>79</v>
      </c>
      <c r="G11" s="146" t="s">
        <v>136</v>
      </c>
      <c r="H11" s="571" t="s">
        <v>144</v>
      </c>
      <c r="I11" s="572">
        <v>0.9562846999999999</v>
      </c>
      <c r="J11" s="572">
        <v>0.9449092</v>
      </c>
      <c r="K11" s="572">
        <v>0.9562846999999999</v>
      </c>
      <c r="L11" s="572">
        <v>0.9613383</v>
      </c>
      <c r="M11" s="572">
        <v>0.9613383</v>
      </c>
      <c r="N11" s="572">
        <v>0.936798</v>
      </c>
      <c r="O11" s="572">
        <v>0.9595745</v>
      </c>
      <c r="P11" s="573">
        <v>0.9553320999999999</v>
      </c>
      <c r="Q11" s="574"/>
      <c r="R11" s="575" t="s">
        <v>540</v>
      </c>
      <c r="S11" s="576" t="s">
        <v>541</v>
      </c>
    </row>
    <row r="12">
      <c r="A12" s="122"/>
      <c r="B12" s="123"/>
      <c r="C12" s="10"/>
      <c r="D12" s="10"/>
      <c r="E12" s="577" t="s">
        <v>139</v>
      </c>
      <c r="F12" s="151" t="s">
        <v>79</v>
      </c>
      <c r="G12" s="152" t="s">
        <v>136</v>
      </c>
      <c r="H12" s="578" t="s">
        <v>144</v>
      </c>
      <c r="I12" s="579">
        <f t="shared" ref="I12:I13" si="1">K12</f>
        <v>0</v>
      </c>
      <c r="J12" s="579">
        <v>0.0</v>
      </c>
      <c r="K12" s="579">
        <v>0.0</v>
      </c>
      <c r="L12" s="579">
        <v>0.0</v>
      </c>
      <c r="M12" s="579">
        <v>0.0</v>
      </c>
      <c r="N12" s="579">
        <v>0.0</v>
      </c>
      <c r="O12" s="579">
        <v>0.0</v>
      </c>
      <c r="P12" s="580">
        <v>0.0</v>
      </c>
      <c r="Q12" s="581"/>
      <c r="R12" s="582" t="s">
        <v>540</v>
      </c>
      <c r="S12" s="583" t="s">
        <v>541</v>
      </c>
    </row>
    <row r="13">
      <c r="A13" s="122"/>
      <c r="B13" s="123"/>
      <c r="C13" s="10"/>
      <c r="D13" s="10"/>
      <c r="E13" s="584" t="s">
        <v>140</v>
      </c>
      <c r="F13" s="157" t="s">
        <v>79</v>
      </c>
      <c r="G13" s="158" t="s">
        <v>136</v>
      </c>
      <c r="H13" s="585" t="s">
        <v>144</v>
      </c>
      <c r="I13" s="586">
        <f t="shared" si="1"/>
        <v>0.0437153</v>
      </c>
      <c r="J13" s="586">
        <v>0.0550908</v>
      </c>
      <c r="K13" s="586">
        <v>0.0437153</v>
      </c>
      <c r="L13" s="586">
        <v>0.0386617</v>
      </c>
      <c r="M13" s="586">
        <v>0.0386617</v>
      </c>
      <c r="N13" s="586">
        <v>0.0632021</v>
      </c>
      <c r="O13" s="586">
        <v>0.0404255</v>
      </c>
      <c r="P13" s="587">
        <v>0.0446679</v>
      </c>
      <c r="Q13" s="588"/>
      <c r="R13" s="589" t="s">
        <v>540</v>
      </c>
      <c r="S13" s="590" t="s">
        <v>541</v>
      </c>
    </row>
    <row r="14">
      <c r="A14" s="122"/>
      <c r="B14" s="123"/>
      <c r="C14" s="10"/>
      <c r="D14" s="10"/>
      <c r="E14" s="568"/>
      <c r="F14" s="294"/>
      <c r="G14" s="143"/>
      <c r="H14" s="559"/>
      <c r="I14" s="294"/>
      <c r="J14" s="294"/>
      <c r="K14" s="294"/>
      <c r="L14" s="294"/>
      <c r="M14" s="294"/>
      <c r="N14" s="294"/>
      <c r="O14" s="294"/>
      <c r="P14" s="143"/>
      <c r="Q14" s="70"/>
      <c r="R14" s="561"/>
      <c r="S14" s="562"/>
    </row>
    <row r="15">
      <c r="A15" s="122"/>
      <c r="B15" s="123"/>
      <c r="C15" s="162" t="s">
        <v>152</v>
      </c>
      <c r="F15" s="125"/>
      <c r="G15" s="126"/>
      <c r="H15" s="559"/>
      <c r="I15" s="294"/>
      <c r="J15" s="294"/>
      <c r="K15" s="294"/>
      <c r="L15" s="294"/>
      <c r="M15" s="294"/>
      <c r="N15" s="294"/>
      <c r="O15" s="294"/>
      <c r="P15" s="143"/>
      <c r="Q15" s="70"/>
      <c r="R15" s="561"/>
      <c r="S15" s="562"/>
    </row>
    <row r="16">
      <c r="A16" s="122"/>
      <c r="B16" s="123"/>
      <c r="C16" s="123"/>
      <c r="D16" s="591"/>
      <c r="E16" s="592" t="s">
        <v>153</v>
      </c>
      <c r="F16" s="134" t="s">
        <v>75</v>
      </c>
      <c r="G16" s="165" t="s">
        <v>136</v>
      </c>
      <c r="H16" s="593" t="s">
        <v>144</v>
      </c>
      <c r="I16" s="594">
        <f>K16</f>
        <v>3.93785</v>
      </c>
      <c r="J16" s="594">
        <v>5.85033</v>
      </c>
      <c r="K16" s="594">
        <v>3.93785</v>
      </c>
      <c r="L16" s="594">
        <v>4.34117</v>
      </c>
      <c r="M16" s="594">
        <v>4.34117</v>
      </c>
      <c r="N16" s="594">
        <v>5.32824</v>
      </c>
      <c r="O16" s="594">
        <v>3.66624</v>
      </c>
      <c r="P16" s="595">
        <v>4.44504</v>
      </c>
      <c r="Q16" s="86"/>
      <c r="R16" s="566" t="s">
        <v>540</v>
      </c>
      <c r="S16" s="596" t="s">
        <v>541</v>
      </c>
    </row>
    <row r="17">
      <c r="A17" s="122"/>
      <c r="B17" s="123"/>
      <c r="C17" s="10"/>
      <c r="D17" s="10"/>
      <c r="E17" s="568"/>
      <c r="F17" s="294"/>
      <c r="G17" s="143"/>
      <c r="H17" s="559"/>
      <c r="I17" s="294"/>
      <c r="J17" s="294"/>
      <c r="K17" s="294"/>
      <c r="L17" s="294"/>
      <c r="M17" s="294"/>
      <c r="N17" s="294"/>
      <c r="O17" s="294"/>
      <c r="P17" s="143"/>
      <c r="Q17" s="70"/>
      <c r="R17" s="561"/>
      <c r="S17" s="562"/>
    </row>
    <row r="18">
      <c r="A18" s="118" t="s">
        <v>155</v>
      </c>
      <c r="B18" s="6"/>
      <c r="C18" s="6"/>
      <c r="D18" s="6"/>
      <c r="E18" s="6"/>
      <c r="F18" s="6"/>
      <c r="G18" s="93"/>
      <c r="H18" s="597"/>
      <c r="I18" s="598"/>
      <c r="J18" s="598"/>
      <c r="K18" s="598"/>
      <c r="L18" s="598"/>
      <c r="M18" s="598"/>
      <c r="N18" s="598"/>
      <c r="O18" s="598"/>
      <c r="P18" s="422"/>
      <c r="Q18" s="599"/>
      <c r="R18" s="600"/>
      <c r="S18" s="601"/>
    </row>
    <row r="19">
      <c r="A19" s="122"/>
      <c r="B19" s="123"/>
      <c r="C19" s="123"/>
      <c r="D19" s="123"/>
      <c r="E19" s="558"/>
      <c r="F19" s="125"/>
      <c r="G19" s="206"/>
      <c r="H19" s="559"/>
      <c r="I19" s="294"/>
      <c r="J19" s="294"/>
      <c r="K19" s="294"/>
      <c r="L19" s="294"/>
      <c r="M19" s="294"/>
      <c r="N19" s="294"/>
      <c r="O19" s="294"/>
      <c r="P19" s="143"/>
      <c r="Q19" s="70"/>
      <c r="R19" s="561"/>
      <c r="S19" s="562"/>
    </row>
    <row r="20">
      <c r="A20" s="122"/>
      <c r="B20" s="123"/>
      <c r="C20" s="130" t="s">
        <v>156</v>
      </c>
      <c r="F20" s="125"/>
      <c r="G20" s="131"/>
      <c r="H20" s="559"/>
      <c r="I20" s="294"/>
      <c r="J20" s="294"/>
      <c r="K20" s="294"/>
      <c r="L20" s="294"/>
      <c r="M20" s="294"/>
      <c r="N20" s="294"/>
      <c r="O20" s="294"/>
      <c r="P20" s="143"/>
      <c r="Q20" s="70"/>
      <c r="R20" s="561"/>
      <c r="S20" s="562"/>
    </row>
    <row r="21">
      <c r="A21" s="122"/>
      <c r="B21" s="123"/>
      <c r="C21" s="123"/>
      <c r="D21" s="123"/>
      <c r="E21" s="602" t="s">
        <v>158</v>
      </c>
      <c r="F21" s="188" t="s">
        <v>79</v>
      </c>
      <c r="G21" s="189" t="s">
        <v>136</v>
      </c>
      <c r="H21" s="603">
        <v>0.7</v>
      </c>
      <c r="I21" s="604" t="s">
        <v>144</v>
      </c>
      <c r="J21" s="604" t="s">
        <v>144</v>
      </c>
      <c r="K21" s="604" t="s">
        <v>144</v>
      </c>
      <c r="L21" s="604" t="s">
        <v>144</v>
      </c>
      <c r="M21" s="604" t="s">
        <v>144</v>
      </c>
      <c r="N21" s="604" t="s">
        <v>144</v>
      </c>
      <c r="O21" s="604" t="s">
        <v>144</v>
      </c>
      <c r="P21" s="605" t="s">
        <v>144</v>
      </c>
      <c r="Q21" s="574"/>
      <c r="R21" s="606" t="s">
        <v>540</v>
      </c>
      <c r="S21" s="71" t="s">
        <v>104</v>
      </c>
    </row>
    <row r="22">
      <c r="A22" s="122"/>
      <c r="B22" s="123"/>
      <c r="C22" s="168"/>
      <c r="D22" s="123"/>
      <c r="E22" s="607" t="s">
        <v>159</v>
      </c>
      <c r="F22" s="221" t="s">
        <v>79</v>
      </c>
      <c r="G22" s="222" t="s">
        <v>136</v>
      </c>
      <c r="H22" s="608">
        <v>-0.1</v>
      </c>
      <c r="I22" s="609" t="s">
        <v>144</v>
      </c>
      <c r="J22" s="609" t="s">
        <v>144</v>
      </c>
      <c r="K22" s="609" t="s">
        <v>144</v>
      </c>
      <c r="L22" s="609" t="s">
        <v>144</v>
      </c>
      <c r="M22" s="609" t="s">
        <v>144</v>
      </c>
      <c r="N22" s="609" t="s">
        <v>144</v>
      </c>
      <c r="O22" s="609" t="s">
        <v>144</v>
      </c>
      <c r="P22" s="610" t="s">
        <v>144</v>
      </c>
      <c r="Q22" s="588"/>
      <c r="R22" s="589" t="s">
        <v>542</v>
      </c>
      <c r="S22" s="611"/>
    </row>
    <row r="23">
      <c r="A23" s="122"/>
      <c r="B23" s="123"/>
      <c r="C23" s="123"/>
      <c r="D23" s="123"/>
      <c r="E23" s="49"/>
      <c r="F23" s="140"/>
      <c r="G23" s="379"/>
      <c r="H23" s="612"/>
      <c r="I23" s="387"/>
      <c r="J23" s="387"/>
      <c r="K23" s="387"/>
      <c r="L23" s="387"/>
      <c r="M23" s="387"/>
      <c r="N23" s="387"/>
      <c r="O23" s="387"/>
      <c r="P23" s="613"/>
      <c r="Q23" s="70"/>
      <c r="R23" s="614"/>
      <c r="S23" s="615"/>
    </row>
    <row r="24">
      <c r="A24" s="122"/>
      <c r="B24" s="123"/>
      <c r="C24" s="130" t="s">
        <v>162</v>
      </c>
      <c r="F24" s="140"/>
      <c r="G24" s="379"/>
      <c r="H24" s="612"/>
      <c r="I24" s="387"/>
      <c r="J24" s="387"/>
      <c r="K24" s="387"/>
      <c r="L24" s="387"/>
      <c r="M24" s="387"/>
      <c r="N24" s="387"/>
      <c r="O24" s="387"/>
      <c r="P24" s="613"/>
      <c r="Q24" s="70"/>
      <c r="R24" s="614"/>
      <c r="S24" s="615"/>
    </row>
    <row r="25">
      <c r="A25" s="122"/>
      <c r="B25" s="123"/>
      <c r="C25" s="123"/>
      <c r="D25" s="123"/>
      <c r="E25" s="592" t="s">
        <v>163</v>
      </c>
      <c r="F25" s="134" t="s">
        <v>69</v>
      </c>
      <c r="G25" s="192" t="s">
        <v>136</v>
      </c>
      <c r="H25" s="616" t="s">
        <v>144</v>
      </c>
      <c r="I25" s="390">
        <v>1.93645</v>
      </c>
      <c r="J25" s="390">
        <v>2.15114</v>
      </c>
      <c r="K25" s="390">
        <v>1.99095</v>
      </c>
      <c r="L25" s="390">
        <v>1.93645</v>
      </c>
      <c r="M25" s="390">
        <v>1.93645</v>
      </c>
      <c r="N25" s="390">
        <v>1.93645</v>
      </c>
      <c r="O25" s="390">
        <v>1.72163</v>
      </c>
      <c r="P25" s="617">
        <v>1.76505</v>
      </c>
      <c r="Q25" s="86"/>
      <c r="R25" s="566" t="s">
        <v>540</v>
      </c>
      <c r="S25" s="618" t="s">
        <v>105</v>
      </c>
    </row>
    <row r="26">
      <c r="A26" s="122"/>
      <c r="B26" s="123"/>
      <c r="C26" s="123"/>
      <c r="D26" s="123"/>
      <c r="E26" s="49"/>
      <c r="F26" s="140"/>
      <c r="G26" s="186"/>
      <c r="H26" s="569"/>
      <c r="I26" s="142"/>
      <c r="J26" s="142"/>
      <c r="K26" s="142"/>
      <c r="L26" s="142"/>
      <c r="M26" s="142"/>
      <c r="N26" s="142"/>
      <c r="O26" s="142"/>
      <c r="P26" s="619"/>
      <c r="Q26" s="70"/>
      <c r="R26" s="614"/>
      <c r="S26" s="615"/>
    </row>
    <row r="27">
      <c r="A27" s="122"/>
      <c r="B27" s="123"/>
      <c r="C27" s="168" t="s">
        <v>168</v>
      </c>
      <c r="F27" s="140"/>
      <c r="G27" s="186"/>
      <c r="H27" s="569"/>
      <c r="I27" s="142"/>
      <c r="J27" s="142"/>
      <c r="K27" s="142"/>
      <c r="L27" s="142"/>
      <c r="M27" s="142"/>
      <c r="N27" s="142"/>
      <c r="O27" s="142"/>
      <c r="P27" s="619"/>
      <c r="Q27" s="70"/>
      <c r="R27" s="614"/>
      <c r="S27" s="615"/>
    </row>
    <row r="28">
      <c r="A28" s="122"/>
      <c r="B28" s="123"/>
      <c r="C28" s="123"/>
      <c r="D28" s="123"/>
      <c r="E28" s="602" t="s">
        <v>169</v>
      </c>
      <c r="F28" s="188" t="s">
        <v>69</v>
      </c>
      <c r="G28" s="189" t="s">
        <v>136</v>
      </c>
      <c r="H28" s="571" t="s">
        <v>144</v>
      </c>
      <c r="I28" s="620">
        <f>IFERROR(__xludf.DUMMYFUNCTION("FILTER('GBD estimates'!$H$4:$H$2400,'GBD estimates'!$B$4:$B$2400=I$2,'GBD estimates'!$D$4:$D$2400=""All Ages"")"),1.639885974E7)</f>
        <v>16398859.74</v>
      </c>
      <c r="J28" s="620">
        <f>IFERROR(__xludf.DUMMYFUNCTION("FILTER('GBD estimates'!$H$4:$H$2400,'GBD estimates'!$B$4:$B$2400=J$2,'GBD estimates'!$D$4:$D$2400=""All Ages"")"),8.767044378E7)</f>
        <v>87670443.78</v>
      </c>
      <c r="K28" s="620">
        <f>IFERROR(__xludf.DUMMYFUNCTION("FILTER('GBD estimates'!$H$4:$H$2400,'GBD estimates'!$B$4:$B$2400=K$2,'GBD estimates'!$D$4:$D$2400=""All Ages"")"),1.264314893E7)</f>
        <v>12643148.93</v>
      </c>
      <c r="L28" s="620">
        <f>IFERROR(__xludf.DUMMYFUNCTION("FILTER('GBD estimates'!$H$4:$H$2400,'GBD estimates'!$B$4:$B$2400=L$2,'GBD estimates'!$D$4:$D$2400=""All Ages"")"),2.148237857E8)</f>
        <v>214823785.7</v>
      </c>
      <c r="M28" s="620">
        <f>IFERROR(__xludf.DUMMYFUNCTION("FILTER('GBD estimates'!$H$4:$H$2400,'GBD estimates'!$B$4:$B$2400=M$2,'GBD estimates'!$D$4:$D$2400=""All Ages"")"),2.148237857E8)</f>
        <v>214823785.7</v>
      </c>
      <c r="N28" s="620">
        <f>IFERROR(__xludf.DUMMYFUNCTION("FILTER('GBD estimates'!$H$4:$H$2400,'GBD estimates'!$B$4:$B$2400=N$2,'GBD estimates'!$D$4:$D$2400=""All Ages"")"),9282963.047)</f>
        <v>9282963.047</v>
      </c>
      <c r="O28" s="620">
        <f>IFERROR(__xludf.DUMMYFUNCTION("FILTER('GBD estimates'!$H$4:$H$2400,'GBD estimates'!$B$4:$B$2400=O$2,'GBD estimates'!$D$4:$D$2400=""All Ages"")"),7921526.585)</f>
        <v>7921526.585</v>
      </c>
      <c r="P28" s="621">
        <f>IFERROR(__xludf.DUMMYFUNCTION("FILTER('GBD estimates'!$H$4:$H$2400,'GBD estimates'!$B$4:$B$2400=P$2,'GBD estimates'!$D$4:$D$2400=""All Ages"")"),4.111785624E7)</f>
        <v>41117856.24</v>
      </c>
      <c r="Q28" s="574"/>
      <c r="R28" s="622" t="s">
        <v>543</v>
      </c>
      <c r="S28" s="623"/>
    </row>
    <row r="29">
      <c r="A29" s="122"/>
      <c r="B29" s="123"/>
      <c r="C29" s="123"/>
      <c r="D29" s="123"/>
      <c r="E29" s="602" t="s">
        <v>170</v>
      </c>
      <c r="F29" s="188" t="s">
        <v>69</v>
      </c>
      <c r="G29" s="189" t="s">
        <v>136</v>
      </c>
      <c r="H29" s="571" t="s">
        <v>144</v>
      </c>
      <c r="I29" s="620">
        <f>IFERROR(__xludf.DUMMYFUNCTION("FILTER('GBD estimates'!$H$4:$H$2400,'GBD estimates'!$B$4:$B$2400=I$2,'GBD estimates'!$D$4:$D$2400=""Under 5"")"),3332666.562)</f>
        <v>3332666.562</v>
      </c>
      <c r="J29" s="620">
        <f>IFERROR(__xludf.DUMMYFUNCTION("FILTER('GBD estimates'!$H$4:$H$2400,'GBD estimates'!$B$4:$B$2400=J$2,'GBD estimates'!$D$4:$D$2400=""Under 5"")"),1.362946515E7)</f>
        <v>13629465.15</v>
      </c>
      <c r="K29" s="620">
        <f>IFERROR(__xludf.DUMMYFUNCTION("FILTER('GBD estimates'!$H$4:$H$2400,'GBD estimates'!$B$4:$B$2400=K$2,'GBD estimates'!$D$4:$D$2400=""Under 5"")"),2143394.877)</f>
        <v>2143394.877</v>
      </c>
      <c r="L29" s="620">
        <f>IFERROR(__xludf.DUMMYFUNCTION("FILTER('GBD estimates'!$H$4:$H$2400,'GBD estimates'!$B$4:$B$2400=L$2,'GBD estimates'!$D$4:$D$2400=""Under 5"")"),3.352163783E7)</f>
        <v>33521637.83</v>
      </c>
      <c r="M29" s="620">
        <f>IFERROR(__xludf.DUMMYFUNCTION("FILTER('GBD estimates'!$H$4:$H$2400,'GBD estimates'!$B$4:$B$2400=M$2,'GBD estimates'!$D$4:$D$2400=""Under 5"")"),3.352163783E7)</f>
        <v>33521637.83</v>
      </c>
      <c r="N29" s="620">
        <f>IFERROR(__xludf.DUMMYFUNCTION("FILTER('GBD estimates'!$H$4:$H$2400,'GBD estimates'!$B$4:$B$2400=N$2,'GBD estimates'!$D$4:$D$2400=""Under 5"")"),1516375.155)</f>
        <v>1516375.155</v>
      </c>
      <c r="O29" s="620">
        <f>IFERROR(__xludf.DUMMYFUNCTION("FILTER('GBD estimates'!$H$4:$H$2400,'GBD estimates'!$B$4:$B$2400=O$2,'GBD estimates'!$D$4:$D$2400=""Under 5"")"),1114855.207)</f>
        <v>1114855.207</v>
      </c>
      <c r="P29" s="621">
        <f>IFERROR(__xludf.DUMMYFUNCTION("FILTER('GBD estimates'!$H$4:$H$2400,'GBD estimates'!$B$4:$B$2400=P$2,'GBD estimates'!$D$4:$D$2400=""Under 5"")"),7089749.816)</f>
        <v>7089749.816</v>
      </c>
      <c r="Q29" s="574"/>
      <c r="R29" s="622" t="s">
        <v>543</v>
      </c>
      <c r="S29" s="623"/>
    </row>
    <row r="30">
      <c r="A30" s="122"/>
      <c r="B30" s="123"/>
      <c r="C30" s="123"/>
      <c r="D30" s="123"/>
      <c r="E30" s="592" t="s">
        <v>171</v>
      </c>
      <c r="F30" s="134" t="s">
        <v>69</v>
      </c>
      <c r="G30" s="192" t="s">
        <v>136</v>
      </c>
      <c r="H30" s="593" t="s">
        <v>144</v>
      </c>
      <c r="I30" s="624">
        <f>IFERROR(__xludf.DUMMYFUNCTION("FILTER('GBD estimates'!$H$4:$H$2400,'GBD estimates'!$B$4:$B$2400=I$2,'GBD estimates'!$D$4:$D$2400=""5-14 years"")"),4977421.002)</f>
        <v>4977421.002</v>
      </c>
      <c r="J30" s="624">
        <f>IFERROR(__xludf.DUMMYFUNCTION("FILTER('GBD estimates'!$H$4:$H$2400,'GBD estimates'!$B$4:$B$2400=J$2,'GBD estimates'!$D$4:$D$2400=""5-14 years"")"),2.406568016E7)</f>
        <v>24065680.16</v>
      </c>
      <c r="K30" s="624">
        <f>IFERROR(__xludf.DUMMYFUNCTION("FILTER('GBD estimates'!$H$4:$H$2400,'GBD estimates'!$B$4:$B$2400=K$2,'GBD estimates'!$D$4:$D$2400=""5-14 years"")"),3569794.5)</f>
        <v>3569794.5</v>
      </c>
      <c r="L30" s="624">
        <f>IFERROR(__xludf.DUMMYFUNCTION("FILTER('GBD estimates'!$H$4:$H$2400,'GBD estimates'!$B$4:$B$2400=L$2,'GBD estimates'!$D$4:$D$2400=""5-14 years"")"),6.022643653E7)</f>
        <v>60226436.53</v>
      </c>
      <c r="M30" s="624">
        <f>IFERROR(__xludf.DUMMYFUNCTION("FILTER('GBD estimates'!$H$4:$H$2400,'GBD estimates'!$B$4:$B$2400=M$2,'GBD estimates'!$D$4:$D$2400=""5-14 years"")"),6.022643653E7)</f>
        <v>60226436.53</v>
      </c>
      <c r="N30" s="624">
        <f>IFERROR(__xludf.DUMMYFUNCTION("FILTER('GBD estimates'!$H$4:$H$2400,'GBD estimates'!$B$4:$B$2400=N$2,'GBD estimates'!$D$4:$D$2400=""5-14 years"")"),2652127.884)</f>
        <v>2652127.884</v>
      </c>
      <c r="O30" s="624">
        <f>IFERROR(__xludf.DUMMYFUNCTION("FILTER('GBD estimates'!$H$4:$H$2400,'GBD estimates'!$B$4:$B$2400=O$2,'GBD estimates'!$D$4:$D$2400=""5-14 years"")"),2032780.787)</f>
        <v>2032780.787</v>
      </c>
      <c r="P30" s="625">
        <f>IFERROR(__xludf.DUMMYFUNCTION("FILTER('GBD estimates'!$H$4:$H$2400,'GBD estimates'!$B$4:$B$2400=P$2,'GBD estimates'!$D$4:$D$2400=""5-14 years"")"),1.198772212E7)</f>
        <v>11987722.12</v>
      </c>
      <c r="Q30" s="86"/>
      <c r="R30" s="626" t="s">
        <v>543</v>
      </c>
      <c r="S30" s="627"/>
    </row>
    <row r="31">
      <c r="A31" s="122"/>
      <c r="B31" s="123"/>
      <c r="C31" s="123"/>
      <c r="D31" s="123"/>
      <c r="E31" s="558"/>
      <c r="F31" s="125"/>
      <c r="G31" s="628"/>
      <c r="H31" s="559"/>
      <c r="I31" s="294"/>
      <c r="J31" s="294"/>
      <c r="K31" s="294"/>
      <c r="L31" s="294"/>
      <c r="M31" s="294"/>
      <c r="N31" s="294"/>
      <c r="O31" s="294"/>
      <c r="P31" s="143"/>
      <c r="Q31" s="70"/>
      <c r="R31" s="561"/>
      <c r="S31" s="562"/>
    </row>
    <row r="32">
      <c r="A32" s="118" t="s">
        <v>165</v>
      </c>
      <c r="B32" s="6"/>
      <c r="C32" s="6"/>
      <c r="D32" s="6"/>
      <c r="E32" s="6"/>
      <c r="F32" s="6"/>
      <c r="G32" s="6"/>
      <c r="H32" s="597"/>
      <c r="I32" s="598"/>
      <c r="J32" s="598"/>
      <c r="K32" s="598"/>
      <c r="L32" s="598"/>
      <c r="M32" s="598"/>
      <c r="N32" s="598"/>
      <c r="O32" s="598"/>
      <c r="P32" s="422"/>
      <c r="Q32" s="599"/>
      <c r="R32" s="600"/>
      <c r="S32" s="601"/>
    </row>
    <row r="33">
      <c r="A33" s="483"/>
      <c r="B33" s="431"/>
      <c r="C33" s="431"/>
      <c r="D33" s="431"/>
      <c r="E33" s="49"/>
      <c r="F33" s="629"/>
      <c r="G33" s="629"/>
      <c r="H33" s="424"/>
      <c r="I33" s="363"/>
      <c r="J33" s="363"/>
      <c r="K33" s="363"/>
      <c r="L33" s="363"/>
      <c r="M33" s="363"/>
      <c r="N33" s="363"/>
      <c r="O33" s="363"/>
      <c r="P33" s="131"/>
      <c r="Q33" s="630"/>
      <c r="R33" s="631"/>
      <c r="S33" s="632"/>
    </row>
    <row r="34">
      <c r="A34" s="483"/>
      <c r="B34" s="431"/>
      <c r="C34" s="162" t="s">
        <v>309</v>
      </c>
      <c r="F34" s="629"/>
      <c r="G34" s="629"/>
      <c r="H34" s="424"/>
      <c r="I34" s="363"/>
      <c r="J34" s="363"/>
      <c r="K34" s="363"/>
      <c r="L34" s="363"/>
      <c r="M34" s="363"/>
      <c r="N34" s="363"/>
      <c r="O34" s="363"/>
      <c r="P34" s="131"/>
      <c r="Q34" s="630"/>
      <c r="R34" s="631"/>
      <c r="S34" s="632"/>
    </row>
    <row r="35">
      <c r="A35" s="483"/>
      <c r="B35" s="431"/>
      <c r="C35" s="162"/>
      <c r="D35" s="431"/>
      <c r="E35" s="602" t="s">
        <v>310</v>
      </c>
      <c r="F35" s="364" t="s">
        <v>79</v>
      </c>
      <c r="G35" s="364" t="s">
        <v>136</v>
      </c>
      <c r="H35" s="365">
        <v>1.0</v>
      </c>
      <c r="I35" s="366" t="s">
        <v>144</v>
      </c>
      <c r="J35" s="366" t="s">
        <v>144</v>
      </c>
      <c r="K35" s="366" t="s">
        <v>144</v>
      </c>
      <c r="L35" s="366" t="s">
        <v>144</v>
      </c>
      <c r="M35" s="366" t="s">
        <v>144</v>
      </c>
      <c r="N35" s="366" t="s">
        <v>144</v>
      </c>
      <c r="O35" s="366" t="s">
        <v>144</v>
      </c>
      <c r="P35" s="254" t="s">
        <v>144</v>
      </c>
      <c r="Q35" s="633"/>
      <c r="R35" s="634" t="s">
        <v>540</v>
      </c>
      <c r="S35" s="71" t="s">
        <v>544</v>
      </c>
    </row>
    <row r="36">
      <c r="A36" s="483"/>
      <c r="B36" s="431"/>
      <c r="C36" s="162"/>
      <c r="D36" s="431"/>
      <c r="E36" s="635" t="s">
        <v>311</v>
      </c>
      <c r="F36" s="368" t="s">
        <v>79</v>
      </c>
      <c r="G36" s="368" t="s">
        <v>136</v>
      </c>
      <c r="H36" s="369">
        <v>0.9539455</v>
      </c>
      <c r="I36" s="370" t="s">
        <v>144</v>
      </c>
      <c r="J36" s="370" t="s">
        <v>144</v>
      </c>
      <c r="K36" s="370" t="s">
        <v>144</v>
      </c>
      <c r="L36" s="370" t="s">
        <v>144</v>
      </c>
      <c r="M36" s="370" t="s">
        <v>144</v>
      </c>
      <c r="N36" s="370" t="s">
        <v>144</v>
      </c>
      <c r="O36" s="370" t="s">
        <v>144</v>
      </c>
      <c r="P36" s="449" t="s">
        <v>144</v>
      </c>
      <c r="Q36" s="636"/>
      <c r="R36" s="637" t="s">
        <v>540</v>
      </c>
      <c r="S36" s="638" t="s">
        <v>544</v>
      </c>
    </row>
    <row r="37">
      <c r="A37" s="483"/>
      <c r="B37" s="431"/>
      <c r="C37" s="162"/>
      <c r="D37" s="431"/>
      <c r="E37" s="635" t="s">
        <v>312</v>
      </c>
      <c r="F37" s="368" t="s">
        <v>79</v>
      </c>
      <c r="G37" s="368" t="s">
        <v>136</v>
      </c>
      <c r="H37" s="369">
        <v>0.8345774</v>
      </c>
      <c r="I37" s="370" t="s">
        <v>144</v>
      </c>
      <c r="J37" s="370" t="s">
        <v>144</v>
      </c>
      <c r="K37" s="370" t="s">
        <v>144</v>
      </c>
      <c r="L37" s="370" t="s">
        <v>144</v>
      </c>
      <c r="M37" s="370" t="s">
        <v>144</v>
      </c>
      <c r="N37" s="370" t="s">
        <v>144</v>
      </c>
      <c r="O37" s="370" t="s">
        <v>144</v>
      </c>
      <c r="P37" s="449" t="s">
        <v>144</v>
      </c>
      <c r="Q37" s="636"/>
      <c r="R37" s="637" t="s">
        <v>540</v>
      </c>
      <c r="S37" s="638" t="s">
        <v>544</v>
      </c>
    </row>
    <row r="38">
      <c r="A38" s="483"/>
      <c r="B38" s="431"/>
      <c r="C38" s="162"/>
      <c r="D38" s="431"/>
      <c r="E38" s="607" t="s">
        <v>545</v>
      </c>
      <c r="F38" s="372" t="s">
        <v>79</v>
      </c>
      <c r="G38" s="372" t="s">
        <v>136</v>
      </c>
      <c r="H38" s="373">
        <v>0.6935533</v>
      </c>
      <c r="I38" s="374" t="s">
        <v>144</v>
      </c>
      <c r="J38" s="374" t="s">
        <v>144</v>
      </c>
      <c r="K38" s="374" t="s">
        <v>144</v>
      </c>
      <c r="L38" s="374" t="s">
        <v>144</v>
      </c>
      <c r="M38" s="374" t="s">
        <v>144</v>
      </c>
      <c r="N38" s="374" t="s">
        <v>144</v>
      </c>
      <c r="O38" s="374" t="s">
        <v>144</v>
      </c>
      <c r="P38" s="639" t="s">
        <v>144</v>
      </c>
      <c r="Q38" s="640"/>
      <c r="R38" s="641" t="s">
        <v>540</v>
      </c>
      <c r="S38" s="642" t="s">
        <v>544</v>
      </c>
    </row>
    <row r="39">
      <c r="A39" s="483"/>
      <c r="B39" s="431"/>
      <c r="C39" s="162"/>
      <c r="D39" s="431"/>
      <c r="E39" s="49"/>
      <c r="F39" s="629"/>
      <c r="G39" s="629"/>
      <c r="H39" s="424"/>
      <c r="I39" s="363"/>
      <c r="J39" s="363"/>
      <c r="K39" s="363"/>
      <c r="L39" s="363"/>
      <c r="M39" s="363"/>
      <c r="N39" s="363"/>
      <c r="O39" s="363"/>
      <c r="P39" s="131"/>
      <c r="Q39" s="630"/>
      <c r="R39" s="631"/>
      <c r="S39" s="632"/>
    </row>
    <row r="40">
      <c r="A40" s="483"/>
      <c r="B40" s="431"/>
      <c r="C40" s="162" t="s">
        <v>313</v>
      </c>
      <c r="F40" s="629"/>
      <c r="G40" s="629"/>
      <c r="H40" s="424"/>
      <c r="I40" s="363"/>
      <c r="J40" s="363"/>
      <c r="K40" s="363"/>
      <c r="L40" s="363"/>
      <c r="M40" s="363"/>
      <c r="N40" s="363"/>
      <c r="O40" s="363"/>
      <c r="P40" s="131"/>
      <c r="Q40" s="630"/>
      <c r="R40" s="631"/>
      <c r="S40" s="632"/>
    </row>
    <row r="41">
      <c r="A41" s="483"/>
      <c r="B41" s="431"/>
      <c r="C41" s="162"/>
      <c r="D41" s="431"/>
      <c r="E41" s="602" t="s">
        <v>314</v>
      </c>
      <c r="F41" s="364" t="s">
        <v>79</v>
      </c>
      <c r="G41" s="364" t="s">
        <v>136</v>
      </c>
      <c r="H41" s="365">
        <v>0.0346098</v>
      </c>
      <c r="I41" s="366" t="s">
        <v>144</v>
      </c>
      <c r="J41" s="366" t="s">
        <v>144</v>
      </c>
      <c r="K41" s="366" t="s">
        <v>144</v>
      </c>
      <c r="L41" s="366" t="s">
        <v>144</v>
      </c>
      <c r="M41" s="366" t="s">
        <v>144</v>
      </c>
      <c r="N41" s="366" t="s">
        <v>144</v>
      </c>
      <c r="O41" s="366" t="s">
        <v>144</v>
      </c>
      <c r="P41" s="254" t="s">
        <v>144</v>
      </c>
      <c r="Q41" s="633"/>
      <c r="R41" s="634" t="s">
        <v>540</v>
      </c>
      <c r="S41" s="71" t="s">
        <v>544</v>
      </c>
    </row>
    <row r="42">
      <c r="A42" s="483"/>
      <c r="B42" s="431"/>
      <c r="C42" s="162"/>
      <c r="D42" s="431"/>
      <c r="E42" s="635" t="s">
        <v>315</v>
      </c>
      <c r="F42" s="368" t="s">
        <v>79</v>
      </c>
      <c r="G42" s="368" t="s">
        <v>136</v>
      </c>
      <c r="H42" s="369">
        <v>0.1536925</v>
      </c>
      <c r="I42" s="370" t="s">
        <v>144</v>
      </c>
      <c r="J42" s="370" t="s">
        <v>144</v>
      </c>
      <c r="K42" s="370" t="s">
        <v>144</v>
      </c>
      <c r="L42" s="370" t="s">
        <v>144</v>
      </c>
      <c r="M42" s="370" t="s">
        <v>144</v>
      </c>
      <c r="N42" s="370" t="s">
        <v>144</v>
      </c>
      <c r="O42" s="370" t="s">
        <v>144</v>
      </c>
      <c r="P42" s="449" t="s">
        <v>144</v>
      </c>
      <c r="Q42" s="636"/>
      <c r="R42" s="637" t="s">
        <v>540</v>
      </c>
      <c r="S42" s="638" t="s">
        <v>544</v>
      </c>
    </row>
    <row r="43">
      <c r="A43" s="483"/>
      <c r="B43" s="431"/>
      <c r="C43" s="162"/>
      <c r="D43" s="431"/>
      <c r="E43" s="635" t="s">
        <v>316</v>
      </c>
      <c r="F43" s="368" t="s">
        <v>79</v>
      </c>
      <c r="G43" s="368" t="s">
        <v>136</v>
      </c>
      <c r="H43" s="369">
        <v>0.3453212</v>
      </c>
      <c r="I43" s="370" t="s">
        <v>144</v>
      </c>
      <c r="J43" s="370" t="s">
        <v>144</v>
      </c>
      <c r="K43" s="370" t="s">
        <v>144</v>
      </c>
      <c r="L43" s="370" t="s">
        <v>144</v>
      </c>
      <c r="M43" s="370" t="s">
        <v>144</v>
      </c>
      <c r="N43" s="370" t="s">
        <v>144</v>
      </c>
      <c r="O43" s="370" t="s">
        <v>144</v>
      </c>
      <c r="P43" s="449" t="s">
        <v>144</v>
      </c>
      <c r="Q43" s="636"/>
      <c r="R43" s="637" t="s">
        <v>540</v>
      </c>
      <c r="S43" s="638" t="s">
        <v>544</v>
      </c>
    </row>
    <row r="44">
      <c r="A44" s="483"/>
      <c r="B44" s="431"/>
      <c r="C44" s="162"/>
      <c r="D44" s="431"/>
      <c r="E44" s="607" t="s">
        <v>317</v>
      </c>
      <c r="F44" s="372" t="s">
        <v>79</v>
      </c>
      <c r="G44" s="372" t="s">
        <v>136</v>
      </c>
      <c r="H44" s="373">
        <v>0.33</v>
      </c>
      <c r="I44" s="374" t="s">
        <v>144</v>
      </c>
      <c r="J44" s="374" t="s">
        <v>144</v>
      </c>
      <c r="K44" s="374" t="s">
        <v>144</v>
      </c>
      <c r="L44" s="374" t="s">
        <v>144</v>
      </c>
      <c r="M44" s="374" t="s">
        <v>144</v>
      </c>
      <c r="N44" s="374" t="s">
        <v>144</v>
      </c>
      <c r="O44" s="374" t="s">
        <v>144</v>
      </c>
      <c r="P44" s="639" t="s">
        <v>144</v>
      </c>
      <c r="Q44" s="640"/>
      <c r="R44" s="641" t="s">
        <v>540</v>
      </c>
      <c r="S44" s="642" t="s">
        <v>544</v>
      </c>
    </row>
    <row r="45">
      <c r="A45" s="483"/>
      <c r="B45" s="431"/>
      <c r="C45" s="162"/>
      <c r="D45" s="431"/>
      <c r="E45" s="49"/>
      <c r="F45" s="629"/>
      <c r="G45" s="629"/>
      <c r="H45" s="424"/>
      <c r="I45" s="363"/>
      <c r="J45" s="363"/>
      <c r="K45" s="363"/>
      <c r="L45" s="363"/>
      <c r="M45" s="363"/>
      <c r="N45" s="363"/>
      <c r="O45" s="363"/>
      <c r="P45" s="131"/>
      <c r="Q45" s="630"/>
      <c r="R45" s="631"/>
      <c r="S45" s="632"/>
    </row>
    <row r="46">
      <c r="A46" s="483"/>
      <c r="B46" s="431"/>
      <c r="C46" s="162" t="s">
        <v>321</v>
      </c>
      <c r="F46" s="629"/>
      <c r="G46" s="629"/>
      <c r="H46" s="424"/>
      <c r="I46" s="363"/>
      <c r="J46" s="363"/>
      <c r="K46" s="363"/>
      <c r="L46" s="363"/>
      <c r="M46" s="363"/>
      <c r="N46" s="363"/>
      <c r="O46" s="363"/>
      <c r="P46" s="131"/>
      <c r="Q46" s="630"/>
      <c r="R46" s="631"/>
      <c r="S46" s="632"/>
    </row>
    <row r="47">
      <c r="A47" s="483"/>
      <c r="B47" s="431"/>
      <c r="C47" s="162"/>
      <c r="D47" s="431"/>
      <c r="E47" s="602" t="s">
        <v>322</v>
      </c>
      <c r="F47" s="364" t="s">
        <v>79</v>
      </c>
      <c r="G47" s="364" t="s">
        <v>136</v>
      </c>
      <c r="H47" s="365">
        <v>0.0</v>
      </c>
      <c r="I47" s="366" t="s">
        <v>144</v>
      </c>
      <c r="J47" s="366" t="s">
        <v>144</v>
      </c>
      <c r="K47" s="366" t="s">
        <v>144</v>
      </c>
      <c r="L47" s="366" t="s">
        <v>144</v>
      </c>
      <c r="M47" s="366" t="s">
        <v>144</v>
      </c>
      <c r="N47" s="366" t="s">
        <v>144</v>
      </c>
      <c r="O47" s="366" t="s">
        <v>144</v>
      </c>
      <c r="P47" s="254" t="s">
        <v>144</v>
      </c>
      <c r="Q47" s="633"/>
      <c r="R47" s="634" t="s">
        <v>540</v>
      </c>
      <c r="S47" s="71" t="s">
        <v>544</v>
      </c>
    </row>
    <row r="48">
      <c r="A48" s="483"/>
      <c r="B48" s="431"/>
      <c r="C48" s="162"/>
      <c r="D48" s="431"/>
      <c r="E48" s="607" t="s">
        <v>323</v>
      </c>
      <c r="F48" s="372" t="s">
        <v>79</v>
      </c>
      <c r="G48" s="372" t="s">
        <v>136</v>
      </c>
      <c r="H48" s="373">
        <v>0.0</v>
      </c>
      <c r="I48" s="374" t="s">
        <v>144</v>
      </c>
      <c r="J48" s="374" t="s">
        <v>144</v>
      </c>
      <c r="K48" s="374" t="s">
        <v>144</v>
      </c>
      <c r="L48" s="374" t="s">
        <v>144</v>
      </c>
      <c r="M48" s="374" t="s">
        <v>144</v>
      </c>
      <c r="N48" s="374" t="s">
        <v>144</v>
      </c>
      <c r="O48" s="374" t="s">
        <v>144</v>
      </c>
      <c r="P48" s="639" t="s">
        <v>144</v>
      </c>
      <c r="Q48" s="640"/>
      <c r="R48" s="641" t="s">
        <v>540</v>
      </c>
      <c r="S48" s="642" t="s">
        <v>544</v>
      </c>
    </row>
    <row r="49">
      <c r="A49" s="483"/>
      <c r="B49" s="431"/>
      <c r="C49" s="162"/>
      <c r="D49" s="431"/>
      <c r="E49" s="49"/>
      <c r="F49" s="629"/>
      <c r="G49" s="629"/>
      <c r="H49" s="424"/>
      <c r="I49" s="363"/>
      <c r="J49" s="363"/>
      <c r="K49" s="363"/>
      <c r="L49" s="363"/>
      <c r="M49" s="363"/>
      <c r="N49" s="363"/>
      <c r="O49" s="363"/>
      <c r="P49" s="131"/>
      <c r="Q49" s="630"/>
      <c r="R49" s="631"/>
      <c r="S49" s="632"/>
    </row>
    <row r="50">
      <c r="A50" s="483"/>
      <c r="B50" s="431"/>
      <c r="C50" s="162" t="s">
        <v>329</v>
      </c>
      <c r="F50" s="629"/>
      <c r="G50" s="629"/>
      <c r="H50" s="424"/>
      <c r="I50" s="363"/>
      <c r="J50" s="363"/>
      <c r="K50" s="363"/>
      <c r="L50" s="363"/>
      <c r="M50" s="363"/>
      <c r="N50" s="363"/>
      <c r="O50" s="363"/>
      <c r="P50" s="131"/>
      <c r="Q50" s="630"/>
      <c r="R50" s="631"/>
      <c r="S50" s="632"/>
    </row>
    <row r="51">
      <c r="A51" s="483"/>
      <c r="B51" s="431"/>
      <c r="C51" s="162"/>
      <c r="D51" s="431"/>
      <c r="E51" s="592" t="s">
        <v>330</v>
      </c>
      <c r="F51" s="643" t="s">
        <v>69</v>
      </c>
      <c r="G51" s="643" t="s">
        <v>136</v>
      </c>
      <c r="H51" s="644">
        <v>1.0</v>
      </c>
      <c r="I51" s="645" t="s">
        <v>144</v>
      </c>
      <c r="J51" s="645" t="s">
        <v>144</v>
      </c>
      <c r="K51" s="645" t="s">
        <v>144</v>
      </c>
      <c r="L51" s="645" t="s">
        <v>144</v>
      </c>
      <c r="M51" s="645" t="s">
        <v>144</v>
      </c>
      <c r="N51" s="645" t="s">
        <v>144</v>
      </c>
      <c r="O51" s="645" t="s">
        <v>144</v>
      </c>
      <c r="P51" s="646" t="s">
        <v>144</v>
      </c>
      <c r="Q51" s="647"/>
      <c r="R51" s="648" t="s">
        <v>539</v>
      </c>
      <c r="S51" s="649"/>
    </row>
    <row r="52">
      <c r="A52" s="483"/>
      <c r="B52" s="431"/>
      <c r="C52" s="162"/>
      <c r="D52" s="431"/>
      <c r="E52" s="49"/>
      <c r="F52" s="629"/>
      <c r="G52" s="629"/>
      <c r="H52" s="424"/>
      <c r="I52" s="363"/>
      <c r="J52" s="363"/>
      <c r="K52" s="363"/>
      <c r="L52" s="363"/>
      <c r="M52" s="363"/>
      <c r="N52" s="363"/>
      <c r="O52" s="363"/>
      <c r="P52" s="131"/>
      <c r="Q52" s="630"/>
      <c r="R52" s="631"/>
      <c r="S52" s="632"/>
    </row>
    <row r="53">
      <c r="A53" s="483"/>
      <c r="B53" s="431"/>
      <c r="C53" s="162" t="s">
        <v>335</v>
      </c>
      <c r="F53" s="629"/>
      <c r="G53" s="629"/>
      <c r="H53" s="424"/>
      <c r="I53" s="363"/>
      <c r="J53" s="363"/>
      <c r="K53" s="363"/>
      <c r="L53" s="363"/>
      <c r="M53" s="363"/>
      <c r="N53" s="363"/>
      <c r="O53" s="363"/>
      <c r="P53" s="131"/>
      <c r="Q53" s="630"/>
      <c r="R53" s="631"/>
      <c r="S53" s="632"/>
    </row>
    <row r="54">
      <c r="A54" s="483"/>
      <c r="B54" s="431"/>
      <c r="C54" s="162"/>
      <c r="D54" s="431"/>
      <c r="E54" s="592" t="s">
        <v>337</v>
      </c>
      <c r="F54" s="643" t="s">
        <v>79</v>
      </c>
      <c r="G54" s="643" t="s">
        <v>136</v>
      </c>
      <c r="H54" s="650">
        <v>-0.15</v>
      </c>
      <c r="I54" s="645" t="s">
        <v>144</v>
      </c>
      <c r="J54" s="645" t="s">
        <v>144</v>
      </c>
      <c r="K54" s="645" t="s">
        <v>144</v>
      </c>
      <c r="L54" s="645" t="s">
        <v>144</v>
      </c>
      <c r="M54" s="645" t="s">
        <v>144</v>
      </c>
      <c r="N54" s="645" t="s">
        <v>144</v>
      </c>
      <c r="O54" s="645" t="s">
        <v>144</v>
      </c>
      <c r="P54" s="646" t="s">
        <v>144</v>
      </c>
      <c r="Q54" s="647"/>
      <c r="R54" s="648" t="s">
        <v>542</v>
      </c>
      <c r="S54" s="649"/>
    </row>
    <row r="55">
      <c r="A55" s="483"/>
      <c r="B55" s="431"/>
      <c r="C55" s="162"/>
      <c r="D55" s="431"/>
      <c r="E55" s="49"/>
      <c r="F55" s="629"/>
      <c r="G55" s="629"/>
      <c r="H55" s="651"/>
      <c r="I55" s="375"/>
      <c r="J55" s="375"/>
      <c r="K55" s="375"/>
      <c r="L55" s="375"/>
      <c r="M55" s="375"/>
      <c r="N55" s="375"/>
      <c r="O55" s="375"/>
      <c r="P55" s="141"/>
      <c r="Q55" s="630"/>
      <c r="R55" s="652"/>
      <c r="S55" s="653"/>
    </row>
    <row r="56">
      <c r="A56" s="483"/>
      <c r="B56" s="431"/>
      <c r="C56" s="168" t="s">
        <v>339</v>
      </c>
      <c r="F56" s="629"/>
      <c r="G56" s="629"/>
      <c r="H56" s="651"/>
      <c r="I56" s="375"/>
      <c r="J56" s="375"/>
      <c r="K56" s="375"/>
      <c r="L56" s="375"/>
      <c r="M56" s="375"/>
      <c r="N56" s="375"/>
      <c r="O56" s="375"/>
      <c r="P56" s="141"/>
      <c r="Q56" s="630"/>
      <c r="R56" s="652"/>
      <c r="S56" s="653"/>
    </row>
    <row r="57">
      <c r="A57" s="483"/>
      <c r="B57" s="431"/>
      <c r="C57" s="162"/>
      <c r="D57" s="431"/>
      <c r="E57" s="592" t="s">
        <v>340</v>
      </c>
      <c r="F57" s="643" t="s">
        <v>79</v>
      </c>
      <c r="G57" s="643" t="s">
        <v>136</v>
      </c>
      <c r="H57" s="650">
        <v>0.465547</v>
      </c>
      <c r="I57" s="645" t="s">
        <v>144</v>
      </c>
      <c r="J57" s="645" t="s">
        <v>144</v>
      </c>
      <c r="K57" s="645" t="s">
        <v>144</v>
      </c>
      <c r="L57" s="645" t="s">
        <v>144</v>
      </c>
      <c r="M57" s="645" t="s">
        <v>144</v>
      </c>
      <c r="N57" s="645" t="s">
        <v>144</v>
      </c>
      <c r="O57" s="645" t="s">
        <v>144</v>
      </c>
      <c r="P57" s="646" t="s">
        <v>144</v>
      </c>
      <c r="Q57" s="647"/>
      <c r="R57" s="648" t="s">
        <v>540</v>
      </c>
      <c r="S57" s="654" t="s">
        <v>106</v>
      </c>
    </row>
    <row r="58">
      <c r="A58" s="483"/>
      <c r="B58" s="431"/>
      <c r="C58" s="162"/>
      <c r="D58" s="431"/>
      <c r="E58" s="49"/>
      <c r="F58" s="629"/>
      <c r="G58" s="629"/>
      <c r="H58" s="424"/>
      <c r="I58" s="363"/>
      <c r="J58" s="363"/>
      <c r="K58" s="363"/>
      <c r="L58" s="363"/>
      <c r="M58" s="363"/>
      <c r="N58" s="363"/>
      <c r="O58" s="363"/>
      <c r="P58" s="131"/>
      <c r="Q58" s="630"/>
      <c r="R58" s="631"/>
      <c r="S58" s="632"/>
    </row>
    <row r="59">
      <c r="A59" s="483"/>
      <c r="B59" s="431"/>
      <c r="C59" s="168" t="s">
        <v>343</v>
      </c>
      <c r="F59" s="629"/>
      <c r="G59" s="629"/>
      <c r="H59" s="424"/>
      <c r="I59" s="363"/>
      <c r="J59" s="363"/>
      <c r="K59" s="363"/>
      <c r="L59" s="363"/>
      <c r="M59" s="363"/>
      <c r="N59" s="363"/>
      <c r="O59" s="363"/>
      <c r="P59" s="131"/>
      <c r="Q59" s="630"/>
      <c r="R59" s="631"/>
      <c r="S59" s="632"/>
    </row>
    <row r="60">
      <c r="A60" s="483"/>
      <c r="B60" s="431"/>
      <c r="C60" s="162"/>
      <c r="D60" s="431"/>
      <c r="E60" s="592" t="s">
        <v>344</v>
      </c>
      <c r="F60" s="643" t="s">
        <v>79</v>
      </c>
      <c r="G60" s="643" t="s">
        <v>136</v>
      </c>
      <c r="H60" s="655" t="s">
        <v>144</v>
      </c>
      <c r="I60" s="656" t="s">
        <v>144</v>
      </c>
      <c r="J60" s="656">
        <v>-0.1737044</v>
      </c>
      <c r="K60" s="645" t="s">
        <v>144</v>
      </c>
      <c r="L60" s="645" t="s">
        <v>144</v>
      </c>
      <c r="M60" s="645" t="s">
        <v>144</v>
      </c>
      <c r="N60" s="645" t="s">
        <v>144</v>
      </c>
      <c r="O60" s="645" t="s">
        <v>144</v>
      </c>
      <c r="P60" s="646" t="s">
        <v>144</v>
      </c>
      <c r="Q60" s="647"/>
      <c r="R60" s="648" t="s">
        <v>540</v>
      </c>
      <c r="S60" s="654" t="s">
        <v>108</v>
      </c>
    </row>
    <row r="61">
      <c r="A61" s="483"/>
      <c r="B61" s="431"/>
      <c r="C61" s="162"/>
      <c r="D61" s="431"/>
      <c r="E61" s="49"/>
      <c r="F61" s="629"/>
      <c r="G61" s="629"/>
      <c r="H61" s="424"/>
      <c r="I61" s="363"/>
      <c r="J61" s="363"/>
      <c r="K61" s="363"/>
      <c r="L61" s="363"/>
      <c r="M61" s="363"/>
      <c r="N61" s="363"/>
      <c r="O61" s="363"/>
      <c r="P61" s="131"/>
      <c r="Q61" s="630"/>
      <c r="R61" s="631"/>
      <c r="S61" s="632"/>
    </row>
    <row r="62">
      <c r="A62" s="483"/>
      <c r="B62" s="431"/>
      <c r="C62" s="168" t="s">
        <v>347</v>
      </c>
      <c r="F62" s="629"/>
      <c r="G62" s="629"/>
      <c r="H62" s="424"/>
      <c r="I62" s="363"/>
      <c r="J62" s="363"/>
      <c r="K62" s="363"/>
      <c r="L62" s="363"/>
      <c r="M62" s="363"/>
      <c r="N62" s="363"/>
      <c r="O62" s="363"/>
      <c r="P62" s="131"/>
      <c r="Q62" s="630"/>
      <c r="R62" s="631"/>
      <c r="S62" s="632"/>
    </row>
    <row r="63">
      <c r="A63" s="483"/>
      <c r="B63" s="431"/>
      <c r="C63" s="168"/>
      <c r="D63" s="168"/>
      <c r="E63" s="516" t="s">
        <v>348</v>
      </c>
      <c r="F63" s="364" t="s">
        <v>69</v>
      </c>
      <c r="G63" s="364" t="s">
        <v>136</v>
      </c>
      <c r="H63" s="657">
        <v>0.218549</v>
      </c>
      <c r="I63" s="366" t="s">
        <v>144</v>
      </c>
      <c r="J63" s="366" t="s">
        <v>144</v>
      </c>
      <c r="K63" s="366" t="s">
        <v>144</v>
      </c>
      <c r="L63" s="366" t="s">
        <v>144</v>
      </c>
      <c r="M63" s="366" t="s">
        <v>144</v>
      </c>
      <c r="N63" s="366" t="s">
        <v>144</v>
      </c>
      <c r="O63" s="366" t="s">
        <v>144</v>
      </c>
      <c r="P63" s="254" t="s">
        <v>144</v>
      </c>
      <c r="Q63" s="633"/>
      <c r="R63" s="634" t="s">
        <v>540</v>
      </c>
      <c r="S63" s="71" t="s">
        <v>544</v>
      </c>
    </row>
    <row r="64">
      <c r="A64" s="483"/>
      <c r="B64" s="431"/>
      <c r="C64" s="168"/>
      <c r="D64" s="168"/>
      <c r="E64" s="658" t="s">
        <v>349</v>
      </c>
      <c r="F64" s="368" t="s">
        <v>69</v>
      </c>
      <c r="G64" s="368" t="s">
        <v>136</v>
      </c>
      <c r="H64" s="659">
        <v>0.065935</v>
      </c>
      <c r="I64" s="370" t="s">
        <v>144</v>
      </c>
      <c r="J64" s="370" t="s">
        <v>144</v>
      </c>
      <c r="K64" s="370" t="s">
        <v>144</v>
      </c>
      <c r="L64" s="370" t="s">
        <v>144</v>
      </c>
      <c r="M64" s="370" t="s">
        <v>144</v>
      </c>
      <c r="N64" s="370" t="s">
        <v>144</v>
      </c>
      <c r="O64" s="370" t="s">
        <v>144</v>
      </c>
      <c r="P64" s="449" t="s">
        <v>144</v>
      </c>
      <c r="Q64" s="636"/>
      <c r="R64" s="637" t="s">
        <v>540</v>
      </c>
      <c r="S64" s="638" t="s">
        <v>544</v>
      </c>
    </row>
    <row r="65">
      <c r="A65" s="483"/>
      <c r="B65" s="431"/>
      <c r="C65" s="168"/>
      <c r="D65" s="168"/>
      <c r="E65" s="660" t="s">
        <v>350</v>
      </c>
      <c r="F65" s="372" t="s">
        <v>69</v>
      </c>
      <c r="G65" s="372" t="s">
        <v>136</v>
      </c>
      <c r="H65" s="661">
        <v>0.010989</v>
      </c>
      <c r="I65" s="374" t="s">
        <v>144</v>
      </c>
      <c r="J65" s="374" t="s">
        <v>144</v>
      </c>
      <c r="K65" s="374" t="s">
        <v>144</v>
      </c>
      <c r="L65" s="374" t="s">
        <v>144</v>
      </c>
      <c r="M65" s="374" t="s">
        <v>144</v>
      </c>
      <c r="N65" s="374" t="s">
        <v>144</v>
      </c>
      <c r="O65" s="374" t="s">
        <v>144</v>
      </c>
      <c r="P65" s="639" t="s">
        <v>144</v>
      </c>
      <c r="Q65" s="640"/>
      <c r="R65" s="641" t="s">
        <v>540</v>
      </c>
      <c r="S65" s="642" t="s">
        <v>544</v>
      </c>
    </row>
    <row r="66">
      <c r="A66" s="483"/>
      <c r="B66" s="431"/>
      <c r="C66" s="168"/>
      <c r="D66" s="168"/>
      <c r="E66" s="168"/>
      <c r="F66" s="629"/>
      <c r="G66" s="629"/>
      <c r="H66" s="424"/>
      <c r="I66" s="363"/>
      <c r="J66" s="363"/>
      <c r="K66" s="363"/>
      <c r="L66" s="363"/>
      <c r="M66" s="363"/>
      <c r="N66" s="363"/>
      <c r="O66" s="363"/>
      <c r="P66" s="131"/>
      <c r="Q66" s="630"/>
      <c r="R66" s="631"/>
      <c r="S66" s="632"/>
    </row>
    <row r="67">
      <c r="A67" s="483"/>
      <c r="B67" s="431"/>
      <c r="C67" s="168" t="s">
        <v>359</v>
      </c>
      <c r="F67" s="629"/>
      <c r="G67" s="629"/>
      <c r="H67" s="424"/>
      <c r="I67" s="363"/>
      <c r="J67" s="363"/>
      <c r="K67" s="363"/>
      <c r="L67" s="363"/>
      <c r="M67" s="363"/>
      <c r="N67" s="363"/>
      <c r="O67" s="363"/>
      <c r="P67" s="131"/>
      <c r="Q67" s="630"/>
      <c r="R67" s="631"/>
      <c r="S67" s="632"/>
    </row>
    <row r="68">
      <c r="A68" s="483"/>
      <c r="B68" s="431"/>
      <c r="C68" s="162"/>
      <c r="D68" s="431"/>
      <c r="E68" s="602" t="s">
        <v>360</v>
      </c>
      <c r="F68" s="364" t="s">
        <v>79</v>
      </c>
      <c r="G68" s="364" t="s">
        <v>136</v>
      </c>
      <c r="H68" s="662" t="s">
        <v>144</v>
      </c>
      <c r="I68" s="663" t="s">
        <v>144</v>
      </c>
      <c r="J68" s="663">
        <v>-0.1165152</v>
      </c>
      <c r="K68" s="366" t="s">
        <v>144</v>
      </c>
      <c r="L68" s="366" t="s">
        <v>144</v>
      </c>
      <c r="M68" s="366" t="s">
        <v>144</v>
      </c>
      <c r="N68" s="366" t="s">
        <v>144</v>
      </c>
      <c r="O68" s="366" t="s">
        <v>144</v>
      </c>
      <c r="P68" s="254" t="s">
        <v>144</v>
      </c>
      <c r="Q68" s="633"/>
      <c r="R68" s="634" t="s">
        <v>540</v>
      </c>
      <c r="S68" s="664" t="s">
        <v>108</v>
      </c>
    </row>
    <row r="69">
      <c r="A69" s="483"/>
      <c r="B69" s="431"/>
      <c r="C69" s="162"/>
      <c r="D69" s="431"/>
      <c r="E69" s="635" t="s">
        <v>361</v>
      </c>
      <c r="F69" s="368" t="s">
        <v>79</v>
      </c>
      <c r="G69" s="368" t="s">
        <v>136</v>
      </c>
      <c r="H69" s="665" t="s">
        <v>144</v>
      </c>
      <c r="I69" s="666" t="s">
        <v>144</v>
      </c>
      <c r="J69" s="666">
        <v>-0.1609735</v>
      </c>
      <c r="K69" s="370" t="s">
        <v>144</v>
      </c>
      <c r="L69" s="370" t="s">
        <v>144</v>
      </c>
      <c r="M69" s="370" t="s">
        <v>144</v>
      </c>
      <c r="N69" s="370" t="s">
        <v>144</v>
      </c>
      <c r="O69" s="370" t="s">
        <v>144</v>
      </c>
      <c r="P69" s="449" t="s">
        <v>144</v>
      </c>
      <c r="Q69" s="636"/>
      <c r="R69" s="637" t="s">
        <v>540</v>
      </c>
      <c r="S69" s="664" t="s">
        <v>108</v>
      </c>
    </row>
    <row r="70">
      <c r="A70" s="483"/>
      <c r="B70" s="431"/>
      <c r="C70" s="162"/>
      <c r="D70" s="431"/>
      <c r="E70" s="607" t="s">
        <v>362</v>
      </c>
      <c r="F70" s="372" t="s">
        <v>79</v>
      </c>
      <c r="G70" s="372" t="s">
        <v>136</v>
      </c>
      <c r="H70" s="667" t="s">
        <v>144</v>
      </c>
      <c r="I70" s="668" t="s">
        <v>144</v>
      </c>
      <c r="J70" s="668">
        <v>-0.3246594</v>
      </c>
      <c r="K70" s="374" t="s">
        <v>144</v>
      </c>
      <c r="L70" s="374" t="s">
        <v>144</v>
      </c>
      <c r="M70" s="374" t="s">
        <v>144</v>
      </c>
      <c r="N70" s="374" t="s">
        <v>144</v>
      </c>
      <c r="O70" s="374" t="s">
        <v>144</v>
      </c>
      <c r="P70" s="639" t="s">
        <v>144</v>
      </c>
      <c r="Q70" s="640"/>
      <c r="R70" s="641" t="s">
        <v>540</v>
      </c>
      <c r="S70" s="654" t="s">
        <v>108</v>
      </c>
    </row>
    <row r="71">
      <c r="A71" s="483"/>
      <c r="B71" s="431"/>
      <c r="C71" s="162"/>
      <c r="D71" s="431"/>
      <c r="E71" s="49"/>
      <c r="F71" s="629"/>
      <c r="G71" s="629"/>
      <c r="H71" s="424"/>
      <c r="I71" s="363"/>
      <c r="J71" s="363"/>
      <c r="K71" s="363"/>
      <c r="L71" s="363"/>
      <c r="M71" s="363"/>
      <c r="N71" s="363"/>
      <c r="O71" s="363"/>
      <c r="P71" s="131"/>
      <c r="Q71" s="630"/>
      <c r="R71" s="631"/>
      <c r="S71" s="632"/>
    </row>
    <row r="72">
      <c r="A72" s="483"/>
      <c r="B72" s="431"/>
      <c r="C72" s="162" t="s">
        <v>373</v>
      </c>
      <c r="F72" s="629"/>
      <c r="G72" s="629"/>
      <c r="H72" s="424"/>
      <c r="I72" s="363"/>
      <c r="J72" s="363"/>
      <c r="K72" s="363"/>
      <c r="L72" s="363"/>
      <c r="M72" s="363"/>
      <c r="N72" s="363"/>
      <c r="O72" s="363"/>
      <c r="P72" s="131"/>
      <c r="Q72" s="630"/>
      <c r="R72" s="631"/>
      <c r="S72" s="632"/>
    </row>
    <row r="73">
      <c r="A73" s="483"/>
      <c r="B73" s="431"/>
      <c r="C73" s="162"/>
      <c r="D73" s="431"/>
      <c r="E73" s="602" t="s">
        <v>375</v>
      </c>
      <c r="F73" s="364" t="s">
        <v>69</v>
      </c>
      <c r="G73" s="364" t="s">
        <v>136</v>
      </c>
      <c r="H73" s="426">
        <v>36.0</v>
      </c>
      <c r="I73" s="366" t="s">
        <v>144</v>
      </c>
      <c r="J73" s="366" t="s">
        <v>144</v>
      </c>
      <c r="K73" s="366" t="s">
        <v>144</v>
      </c>
      <c r="L73" s="366" t="s">
        <v>144</v>
      </c>
      <c r="M73" s="366" t="s">
        <v>144</v>
      </c>
      <c r="N73" s="366" t="s">
        <v>144</v>
      </c>
      <c r="O73" s="366" t="s">
        <v>144</v>
      </c>
      <c r="P73" s="254" t="s">
        <v>144</v>
      </c>
      <c r="Q73" s="633"/>
      <c r="R73" s="669"/>
      <c r="S73" s="670"/>
    </row>
    <row r="74">
      <c r="A74" s="483"/>
      <c r="B74" s="431"/>
      <c r="C74" s="162"/>
      <c r="D74" s="431"/>
      <c r="E74" s="635" t="s">
        <v>376</v>
      </c>
      <c r="F74" s="368" t="s">
        <v>69</v>
      </c>
      <c r="G74" s="368" t="s">
        <v>136</v>
      </c>
      <c r="H74" s="428" t="s">
        <v>144</v>
      </c>
      <c r="I74" s="370" t="s">
        <v>144</v>
      </c>
      <c r="J74" s="370">
        <v>42.0</v>
      </c>
      <c r="K74" s="370" t="s">
        <v>144</v>
      </c>
      <c r="L74" s="370" t="s">
        <v>144</v>
      </c>
      <c r="M74" s="370">
        <v>45.0</v>
      </c>
      <c r="N74" s="370">
        <v>45.0</v>
      </c>
      <c r="O74" s="370" t="s">
        <v>144</v>
      </c>
      <c r="P74" s="449" t="s">
        <v>144</v>
      </c>
      <c r="Q74" s="636"/>
      <c r="R74" s="637" t="s">
        <v>540</v>
      </c>
      <c r="S74" s="671"/>
    </row>
    <row r="75">
      <c r="A75" s="483"/>
      <c r="B75" s="431"/>
      <c r="C75" s="162"/>
      <c r="D75" s="431"/>
      <c r="E75" s="607" t="s">
        <v>377</v>
      </c>
      <c r="F75" s="372" t="s">
        <v>69</v>
      </c>
      <c r="G75" s="372" t="s">
        <v>136</v>
      </c>
      <c r="H75" s="430" t="s">
        <v>144</v>
      </c>
      <c r="I75" s="374" t="s">
        <v>144</v>
      </c>
      <c r="J75" s="374">
        <v>33.0</v>
      </c>
      <c r="K75" s="374" t="s">
        <v>144</v>
      </c>
      <c r="L75" s="374" t="s">
        <v>144</v>
      </c>
      <c r="M75" s="374">
        <v>36.0</v>
      </c>
      <c r="N75" s="374">
        <v>35.0</v>
      </c>
      <c r="O75" s="374" t="s">
        <v>144</v>
      </c>
      <c r="P75" s="639" t="s">
        <v>144</v>
      </c>
      <c r="Q75" s="640"/>
      <c r="R75" s="641" t="s">
        <v>540</v>
      </c>
      <c r="S75" s="672"/>
    </row>
    <row r="76">
      <c r="A76" s="483"/>
      <c r="B76" s="431"/>
      <c r="C76" s="162"/>
      <c r="D76" s="431"/>
      <c r="E76" s="49"/>
      <c r="F76" s="629"/>
      <c r="G76" s="629"/>
      <c r="H76" s="424"/>
      <c r="I76" s="363"/>
      <c r="J76" s="363"/>
      <c r="K76" s="363"/>
      <c r="L76" s="363"/>
      <c r="M76" s="363"/>
      <c r="N76" s="363"/>
      <c r="O76" s="363"/>
      <c r="P76" s="131"/>
      <c r="Q76" s="630"/>
      <c r="R76" s="631"/>
      <c r="S76" s="632"/>
    </row>
    <row r="77">
      <c r="A77" s="483"/>
      <c r="B77" s="431"/>
      <c r="C77" s="162" t="s">
        <v>399</v>
      </c>
      <c r="F77" s="629"/>
      <c r="G77" s="629"/>
      <c r="H77" s="424"/>
      <c r="I77" s="363"/>
      <c r="J77" s="363"/>
      <c r="K77" s="363"/>
      <c r="L77" s="363"/>
      <c r="M77" s="363"/>
      <c r="N77" s="363"/>
      <c r="O77" s="363"/>
      <c r="P77" s="131"/>
      <c r="Q77" s="630"/>
      <c r="R77" s="631"/>
      <c r="S77" s="632"/>
    </row>
    <row r="78">
      <c r="A78" s="483"/>
      <c r="B78" s="431"/>
      <c r="C78" s="162"/>
      <c r="D78" s="431"/>
      <c r="E78" s="602" t="s">
        <v>400</v>
      </c>
      <c r="F78" s="364" t="s">
        <v>79</v>
      </c>
      <c r="G78" s="364" t="s">
        <v>136</v>
      </c>
      <c r="H78" s="365">
        <v>0.5</v>
      </c>
      <c r="I78" s="673" t="s">
        <v>144</v>
      </c>
      <c r="J78" s="673" t="s">
        <v>144</v>
      </c>
      <c r="K78" s="673" t="s">
        <v>144</v>
      </c>
      <c r="L78" s="673" t="s">
        <v>144</v>
      </c>
      <c r="M78" s="673" t="s">
        <v>144</v>
      </c>
      <c r="N78" s="673" t="s">
        <v>144</v>
      </c>
      <c r="O78" s="673" t="s">
        <v>144</v>
      </c>
      <c r="P78" s="674" t="s">
        <v>144</v>
      </c>
      <c r="Q78" s="633"/>
      <c r="R78" s="634" t="s">
        <v>542</v>
      </c>
      <c r="S78" s="670"/>
    </row>
    <row r="79">
      <c r="A79" s="483"/>
      <c r="B79" s="431"/>
      <c r="C79" s="162"/>
      <c r="D79" s="431"/>
      <c r="E79" s="635" t="s">
        <v>401</v>
      </c>
      <c r="F79" s="368" t="s">
        <v>79</v>
      </c>
      <c r="G79" s="368" t="s">
        <v>136</v>
      </c>
      <c r="H79" s="369">
        <v>0.5</v>
      </c>
      <c r="I79" s="675" t="s">
        <v>144</v>
      </c>
      <c r="J79" s="675" t="s">
        <v>144</v>
      </c>
      <c r="K79" s="675" t="s">
        <v>144</v>
      </c>
      <c r="L79" s="675" t="s">
        <v>144</v>
      </c>
      <c r="M79" s="675" t="s">
        <v>144</v>
      </c>
      <c r="N79" s="675" t="s">
        <v>144</v>
      </c>
      <c r="O79" s="675" t="s">
        <v>144</v>
      </c>
      <c r="P79" s="676" t="s">
        <v>144</v>
      </c>
      <c r="Q79" s="636"/>
      <c r="R79" s="637" t="s">
        <v>542</v>
      </c>
      <c r="S79" s="671"/>
    </row>
    <row r="80">
      <c r="A80" s="483"/>
      <c r="B80" s="431"/>
      <c r="C80" s="162"/>
      <c r="D80" s="431"/>
      <c r="E80" s="607" t="s">
        <v>402</v>
      </c>
      <c r="F80" s="372" t="s">
        <v>79</v>
      </c>
      <c r="G80" s="372" t="s">
        <v>136</v>
      </c>
      <c r="H80" s="373">
        <v>0.5</v>
      </c>
      <c r="I80" s="677" t="s">
        <v>144</v>
      </c>
      <c r="J80" s="677" t="s">
        <v>144</v>
      </c>
      <c r="K80" s="677" t="s">
        <v>144</v>
      </c>
      <c r="L80" s="677" t="s">
        <v>144</v>
      </c>
      <c r="M80" s="677" t="s">
        <v>144</v>
      </c>
      <c r="N80" s="677" t="s">
        <v>144</v>
      </c>
      <c r="O80" s="677" t="s">
        <v>144</v>
      </c>
      <c r="P80" s="678" t="s">
        <v>144</v>
      </c>
      <c r="Q80" s="640"/>
      <c r="R80" s="641" t="s">
        <v>542</v>
      </c>
      <c r="S80" s="672"/>
    </row>
    <row r="81">
      <c r="A81" s="483"/>
      <c r="B81" s="431"/>
      <c r="C81" s="431"/>
      <c r="D81" s="431"/>
      <c r="E81" s="49"/>
      <c r="F81" s="629"/>
      <c r="G81" s="629"/>
      <c r="H81" s="424"/>
      <c r="I81" s="363"/>
      <c r="J81" s="363"/>
      <c r="K81" s="363"/>
      <c r="L81" s="363"/>
      <c r="M81" s="363"/>
      <c r="N81" s="363"/>
      <c r="O81" s="363"/>
      <c r="P81" s="131"/>
      <c r="Q81" s="630"/>
      <c r="R81" s="631"/>
      <c r="S81" s="632"/>
    </row>
    <row r="82">
      <c r="A82" s="118" t="s">
        <v>546</v>
      </c>
      <c r="B82" s="6"/>
      <c r="C82" s="6"/>
      <c r="D82" s="6"/>
      <c r="E82" s="6"/>
      <c r="F82" s="6"/>
      <c r="G82" s="6"/>
      <c r="H82" s="597"/>
      <c r="I82" s="598"/>
      <c r="J82" s="598"/>
      <c r="K82" s="598"/>
      <c r="L82" s="598"/>
      <c r="M82" s="598"/>
      <c r="N82" s="598"/>
      <c r="O82" s="598"/>
      <c r="P82" s="422"/>
      <c r="Q82" s="599"/>
      <c r="R82" s="600"/>
      <c r="S82" s="601"/>
    </row>
    <row r="83">
      <c r="A83" s="483"/>
      <c r="B83" s="123"/>
      <c r="C83" s="123"/>
      <c r="D83" s="123"/>
      <c r="E83" s="558"/>
      <c r="F83" s="125"/>
      <c r="G83" s="131"/>
      <c r="H83" s="424"/>
      <c r="I83" s="363"/>
      <c r="J83" s="363"/>
      <c r="K83" s="363"/>
      <c r="L83" s="363"/>
      <c r="M83" s="363"/>
      <c r="N83" s="363"/>
      <c r="O83" s="363"/>
      <c r="P83" s="131"/>
      <c r="Q83" s="630"/>
      <c r="R83" s="631"/>
      <c r="S83" s="632"/>
    </row>
    <row r="84">
      <c r="A84" s="483"/>
      <c r="B84" s="123"/>
      <c r="C84" s="162" t="s">
        <v>413</v>
      </c>
      <c r="F84" s="125"/>
      <c r="G84" s="131"/>
      <c r="H84" s="424"/>
      <c r="I84" s="363"/>
      <c r="J84" s="363"/>
      <c r="K84" s="363"/>
      <c r="L84" s="363"/>
      <c r="M84" s="363"/>
      <c r="N84" s="363"/>
      <c r="O84" s="363"/>
      <c r="P84" s="131"/>
      <c r="Q84" s="630"/>
      <c r="R84" s="631"/>
      <c r="S84" s="632"/>
    </row>
    <row r="85">
      <c r="A85" s="483"/>
      <c r="B85" s="123"/>
      <c r="C85" s="123"/>
      <c r="D85" s="123"/>
      <c r="E85" s="602" t="s">
        <v>414</v>
      </c>
      <c r="F85" s="188" t="s">
        <v>69</v>
      </c>
      <c r="G85" s="254" t="s">
        <v>136</v>
      </c>
      <c r="H85" s="426" t="s">
        <v>144</v>
      </c>
      <c r="I85" s="620">
        <f>IFERROR(__xludf.DUMMYFUNCTION("FILTER('GBD estimates'!$H$4:$H$2400,'GBD estimates'!$B$4:$B$2400=I$2,'GBD estimates'!$D$4:$D$2400=""Post neonatal"")"),679765.5845)</f>
        <v>679765.5845</v>
      </c>
      <c r="J85" s="620">
        <f>IFERROR(__xludf.DUMMYFUNCTION("FILTER('GBD estimates'!$H$4:$H$2400,'GBD estimates'!$B$4:$B$2400=J$2,'GBD estimates'!$D$4:$D$2400=""Post neonatal"")"),2588275.621)</f>
        <v>2588275.621</v>
      </c>
      <c r="K85" s="620">
        <f>IFERROR(__xludf.DUMMYFUNCTION("FILTER('GBD estimates'!$H$4:$H$2400,'GBD estimates'!$B$4:$B$2400=K$2,'GBD estimates'!$D$4:$D$2400=""Post neonatal"")"),418381.7553)</f>
        <v>418381.7553</v>
      </c>
      <c r="L85" s="679">
        <v>3254748.0</v>
      </c>
      <c r="M85" s="679">
        <v>1982320.0</v>
      </c>
      <c r="N85" s="620">
        <f>IFERROR(__xludf.DUMMYFUNCTION("FILTER('GBD estimates'!$H$4:$H$2400,'GBD estimates'!$B$4:$B$2400=N$2,'GBD estimates'!$D$4:$D$2400=""Post neonatal"")"),312473.8751)</f>
        <v>312473.8751</v>
      </c>
      <c r="O85" s="620">
        <f>IFERROR(__xludf.DUMMYFUNCTION("FILTER('GBD estimates'!$H$4:$H$2400,'GBD estimates'!$B$4:$B$2400=O$2,'GBD estimates'!$D$4:$D$2400=""Post neonatal"")"),209954.9274)</f>
        <v>209954.9274</v>
      </c>
      <c r="P85" s="621">
        <f>IFERROR(__xludf.DUMMYFUNCTION("FILTER('GBD estimates'!$H$4:$H$2400,'GBD estimates'!$B$4:$B$2400=P$2,'GBD estimates'!$D$4:$D$2400=""Post neonatal"")"),1389726.819)</f>
        <v>1389726.819</v>
      </c>
      <c r="Q85" s="633"/>
      <c r="R85" s="634" t="s">
        <v>543</v>
      </c>
      <c r="S85" s="680"/>
    </row>
    <row r="86">
      <c r="A86" s="483"/>
      <c r="B86" s="123"/>
      <c r="C86" s="123"/>
      <c r="D86" s="123"/>
      <c r="E86" s="607" t="s">
        <v>415</v>
      </c>
      <c r="F86" s="221" t="s">
        <v>69</v>
      </c>
      <c r="G86" s="639" t="s">
        <v>136</v>
      </c>
      <c r="H86" s="430" t="s">
        <v>144</v>
      </c>
      <c r="I86" s="624">
        <f>IFERROR(__xludf.DUMMYFUNCTION("FILTER('GBD estimates'!$H$4:$H$2400,'GBD estimates'!$B$4:$B$2400=I$2,'GBD estimates'!$D$4:$D$2400=""1 to 4"")"),2593740.178)</f>
        <v>2593740.178</v>
      </c>
      <c r="J86" s="624">
        <f>IFERROR(__xludf.DUMMYFUNCTION("FILTER('GBD estimates'!$H$4:$H$2400,'GBD estimates'!$B$4:$B$2400=J$2,'GBD estimates'!$D$4:$D$2400=""1 to 4"")"),1.082114861E7)</f>
        <v>10821148.61</v>
      </c>
      <c r="K86" s="624">
        <f>IFERROR(__xludf.DUMMYFUNCTION("FILTER('GBD estimates'!$H$4:$H$2400,'GBD estimates'!$B$4:$B$2400=K$2,'GBD estimates'!$D$4:$D$2400=""1 to 4"")"),1689051.292)</f>
        <v>1689051.292</v>
      </c>
      <c r="L86" s="681">
        <v>1.275789E7</v>
      </c>
      <c r="M86" s="681">
        <v>7939853.0</v>
      </c>
      <c r="N86" s="624">
        <f>IFERROR(__xludf.DUMMYFUNCTION("FILTER('GBD estimates'!$H$4:$H$2400,'GBD estimates'!$B$4:$B$2400=N$2,'GBD estimates'!$D$4:$D$2400=""1 to 4"")"),1176806.224)</f>
        <v>1176806.224</v>
      </c>
      <c r="O86" s="624">
        <f>IFERROR(__xludf.DUMMYFUNCTION("FILTER('GBD estimates'!$H$4:$H$2400,'GBD estimates'!$B$4:$B$2400=O$2,'GBD estimates'!$D$4:$D$2400=""1 to 4"")"),887125.4327)</f>
        <v>887125.4327</v>
      </c>
      <c r="P86" s="625">
        <f>IFERROR(__xludf.DUMMYFUNCTION("FILTER('GBD estimates'!$H$4:$H$2400,'GBD estimates'!$B$4:$B$2400=P$2,'GBD estimates'!$D$4:$D$2400=""1 to 4"")"),5581405.246)</f>
        <v>5581405.246</v>
      </c>
      <c r="Q86" s="640"/>
      <c r="R86" s="641" t="s">
        <v>543</v>
      </c>
      <c r="S86" s="682"/>
    </row>
    <row r="87">
      <c r="A87" s="483"/>
      <c r="B87" s="123"/>
      <c r="C87" s="123"/>
      <c r="D87" s="123"/>
      <c r="E87" s="558"/>
      <c r="F87" s="125"/>
      <c r="G87" s="131"/>
      <c r="H87" s="424"/>
      <c r="I87" s="683"/>
      <c r="J87" s="683"/>
      <c r="K87" s="683"/>
      <c r="L87" s="683"/>
      <c r="M87" s="683"/>
      <c r="N87" s="683"/>
      <c r="O87" s="683"/>
      <c r="P87" s="276"/>
      <c r="Q87" s="630"/>
      <c r="R87" s="631"/>
      <c r="S87" s="632"/>
    </row>
    <row r="88">
      <c r="A88" s="483"/>
      <c r="B88" s="123"/>
      <c r="C88" s="162" t="s">
        <v>416</v>
      </c>
      <c r="F88" s="125"/>
      <c r="G88" s="131"/>
      <c r="H88" s="424"/>
      <c r="I88" s="683"/>
      <c r="J88" s="683"/>
      <c r="K88" s="683"/>
      <c r="L88" s="683"/>
      <c r="M88" s="683"/>
      <c r="N88" s="683"/>
      <c r="O88" s="683"/>
      <c r="P88" s="276"/>
      <c r="Q88" s="630"/>
      <c r="R88" s="631"/>
      <c r="S88" s="632"/>
    </row>
    <row r="89">
      <c r="A89" s="483"/>
      <c r="B89" s="123"/>
      <c r="C89" s="123"/>
      <c r="D89" s="123"/>
      <c r="E89" s="602" t="s">
        <v>417</v>
      </c>
      <c r="F89" s="251" t="s">
        <v>73</v>
      </c>
      <c r="G89" s="254" t="s">
        <v>136</v>
      </c>
      <c r="H89" s="426" t="s">
        <v>144</v>
      </c>
      <c r="I89" s="620">
        <f>IFERROR(__xludf.DUMMYFUNCTION("FILTER('GBD estimates'!$AY$4:$AY$2400,'GBD estimates'!$AS$4:$AS$2400=I$2,'GBD estimates'!$AU$4:$AU$2400=""28-364 days"")"),206.3169556)</f>
        <v>206.3169556</v>
      </c>
      <c r="J89" s="620">
        <f>IFERROR(__xludf.DUMMYFUNCTION("FILTER('GBD estimates'!$AY$4:$AY$2400,'GBD estimates'!$AS$4:$AS$2400=J$2,'GBD estimates'!$AU$4:$AU$2400=""28-364 days"")"),676.6709689)</f>
        <v>676.6709689</v>
      </c>
      <c r="K89" s="620">
        <f>IFERROR(__xludf.DUMMYFUNCTION("FILTER('GBD estimates'!$AY$4:$AY$2400,'GBD estimates'!$AS$4:$AS$2400=K$2,'GBD estimates'!$AU$4:$AU$2400=""28-364 days"")"),597.0245755)</f>
        <v>597.0245755</v>
      </c>
      <c r="L89" s="679">
        <v>279.38</v>
      </c>
      <c r="M89" s="679">
        <v>339.26</v>
      </c>
      <c r="N89" s="620">
        <f>IFERROR(__xludf.DUMMYFUNCTION("FILTER('GBD estimates'!$AY$4:$AY$2400,'GBD estimates'!$AS$4:$AS$2400=N$2,'GBD estimates'!$AU$4:$AU$2400=""28-364 days"")"),633.5822854)</f>
        <v>633.5822854</v>
      </c>
      <c r="O89" s="620">
        <f>IFERROR(__xludf.DUMMYFUNCTION("FILTER('GBD estimates'!$AY$4:$AY$2400,'GBD estimates'!$AS$4:$AS$2400=O$2,'GBD estimates'!$AU$4:$AU$2400=""28-364 days"")"),273.9085238)</f>
        <v>273.9085238</v>
      </c>
      <c r="P89" s="621">
        <f>IFERROR(__xludf.DUMMYFUNCTION("FILTER('GBD estimates'!$AY$4:$AY$2400,'GBD estimates'!$AS$4:$AS$2400=P$2,'GBD estimates'!$AU$4:$AU$2400=""28-364 days"")"),535.9722374)</f>
        <v>535.9722374</v>
      </c>
      <c r="Q89" s="633"/>
      <c r="R89" s="634" t="s">
        <v>543</v>
      </c>
      <c r="S89" s="680"/>
    </row>
    <row r="90">
      <c r="A90" s="483"/>
      <c r="B90" s="123"/>
      <c r="C90" s="123"/>
      <c r="D90" s="123"/>
      <c r="E90" s="607" t="s">
        <v>418</v>
      </c>
      <c r="F90" s="684" t="s">
        <v>73</v>
      </c>
      <c r="G90" s="639" t="s">
        <v>136</v>
      </c>
      <c r="H90" s="430" t="s">
        <v>144</v>
      </c>
      <c r="I90" s="681">
        <f>IFERROR(__xludf.DUMMYFUNCTION("FILTER('GBD estimates'!$AY$4:$AY$2400,'GBD estimates'!$AS$4:$AS$2400=I$2,'GBD estimates'!$AU$4:$AU$2400=""1-4 YEARS"")"),112.3965653)</f>
        <v>112.3965653</v>
      </c>
      <c r="J90" s="681">
        <f>IFERROR(__xludf.DUMMYFUNCTION("FILTER('GBD estimates'!$AY$4:$AY$2400,'GBD estimates'!$AS$4:$AS$2400=J$2,'GBD estimates'!$AU$4:$AU$2400=""1-4 YEARS"")"),216.900166)</f>
        <v>216.900166</v>
      </c>
      <c r="K90" s="681">
        <f>IFERROR(__xludf.DUMMYFUNCTION("FILTER('GBD estimates'!$AY$4:$AY$2400,'GBD estimates'!$AS$4:$AS$2400=K$2,'GBD estimates'!$AU$4:$AU$2400=""1-4 YEARS"")"),310.5104231)</f>
        <v>310.5104231</v>
      </c>
      <c r="L90" s="681">
        <v>268.21</v>
      </c>
      <c r="M90" s="681">
        <v>278.52</v>
      </c>
      <c r="N90" s="681">
        <f>IFERROR(__xludf.DUMMYFUNCTION("FILTER('GBD estimates'!$AY$4:$AY$2400,'GBD estimates'!$AS$4:$AS$2400=N$2,'GBD estimates'!$AU$4:$AU$2400=""1-4 YEARS"")"),150.1960967)</f>
        <v>150.1960967</v>
      </c>
      <c r="O90" s="681">
        <f>IFERROR(__xludf.DUMMYFUNCTION("FILTER('GBD estimates'!$AY$4:$AY$2400,'GBD estimates'!$AS$4:$AS$2400=O$2,'GBD estimates'!$AU$4:$AU$2400=""1-4 YEARS"")"),137.8812522)</f>
        <v>137.8812522</v>
      </c>
      <c r="P90" s="274">
        <f>IFERROR(__xludf.DUMMYFUNCTION("FILTER('GBD estimates'!$AY$4:$AY$2400,'GBD estimates'!$AS$4:$AS$2400=P$2,'GBD estimates'!$AU$4:$AU$2400=""1-4 YEARS"")"),160.1204666)</f>
        <v>160.1204666</v>
      </c>
      <c r="Q90" s="640"/>
      <c r="R90" s="641" t="s">
        <v>543</v>
      </c>
      <c r="S90" s="682"/>
    </row>
    <row r="91">
      <c r="A91" s="483"/>
      <c r="B91" s="123"/>
      <c r="C91" s="123"/>
      <c r="D91" s="123"/>
      <c r="E91" s="558"/>
      <c r="F91" s="125"/>
      <c r="G91" s="131"/>
      <c r="H91" s="424"/>
      <c r="I91" s="363"/>
      <c r="J91" s="363"/>
      <c r="K91" s="363"/>
      <c r="L91" s="363"/>
      <c r="M91" s="363"/>
      <c r="N91" s="363"/>
      <c r="O91" s="363"/>
      <c r="P91" s="131"/>
      <c r="Q91" s="630"/>
      <c r="R91" s="631"/>
      <c r="S91" s="632"/>
    </row>
    <row r="92">
      <c r="A92" s="483"/>
      <c r="B92" s="123"/>
      <c r="C92" s="168" t="s">
        <v>420</v>
      </c>
      <c r="F92" s="140"/>
      <c r="G92" s="141"/>
      <c r="H92" s="685"/>
      <c r="I92" s="686"/>
      <c r="J92" s="686"/>
      <c r="K92" s="686"/>
      <c r="L92" s="686"/>
      <c r="M92" s="686"/>
      <c r="N92" s="686"/>
      <c r="O92" s="686"/>
      <c r="P92" s="335"/>
      <c r="Q92" s="630"/>
      <c r="R92" s="652"/>
      <c r="S92" s="632"/>
    </row>
    <row r="93">
      <c r="A93" s="483"/>
      <c r="B93" s="123"/>
      <c r="C93" s="123"/>
      <c r="D93" s="123"/>
      <c r="E93" s="602" t="s">
        <v>421</v>
      </c>
      <c r="F93" s="188" t="s">
        <v>69</v>
      </c>
      <c r="G93" s="254" t="s">
        <v>136</v>
      </c>
      <c r="H93" s="662" t="s">
        <v>144</v>
      </c>
      <c r="I93" s="687" t="s">
        <v>144</v>
      </c>
      <c r="J93" s="687" t="s">
        <v>144</v>
      </c>
      <c r="K93" s="687" t="s">
        <v>144</v>
      </c>
      <c r="L93" s="679">
        <v>6450000.0</v>
      </c>
      <c r="M93" s="679">
        <v>8960943.0</v>
      </c>
      <c r="N93" s="679" t="s">
        <v>144</v>
      </c>
      <c r="O93" s="679">
        <v>490000.0</v>
      </c>
      <c r="P93" s="336" t="s">
        <v>144</v>
      </c>
      <c r="Q93" s="633"/>
      <c r="R93" s="688" t="s">
        <v>547</v>
      </c>
      <c r="S93" s="75" t="s">
        <v>107</v>
      </c>
    </row>
    <row r="94">
      <c r="A94" s="483"/>
      <c r="B94" s="123"/>
      <c r="C94" s="123"/>
      <c r="D94" s="123"/>
      <c r="E94" s="602" t="s">
        <v>424</v>
      </c>
      <c r="F94" s="188" t="s">
        <v>79</v>
      </c>
      <c r="G94" s="254" t="s">
        <v>136</v>
      </c>
      <c r="H94" s="662" t="s">
        <v>144</v>
      </c>
      <c r="I94" s="687" t="s">
        <v>144</v>
      </c>
      <c r="J94" s="687" t="s">
        <v>144</v>
      </c>
      <c r="K94" s="687" t="s">
        <v>144</v>
      </c>
      <c r="L94" s="679" t="s">
        <v>144</v>
      </c>
      <c r="M94" s="679" t="s">
        <v>144</v>
      </c>
      <c r="N94" s="663">
        <v>0.3</v>
      </c>
      <c r="O94" s="188" t="s">
        <v>144</v>
      </c>
      <c r="P94" s="336" t="s">
        <v>144</v>
      </c>
      <c r="Q94" s="633"/>
      <c r="R94" s="634" t="s">
        <v>542</v>
      </c>
      <c r="S94" s="670"/>
    </row>
    <row r="95">
      <c r="A95" s="483"/>
      <c r="B95" s="123"/>
      <c r="C95" s="123"/>
      <c r="D95" s="123"/>
      <c r="E95" s="635" t="s">
        <v>425</v>
      </c>
      <c r="F95" s="217" t="s">
        <v>79</v>
      </c>
      <c r="G95" s="449" t="s">
        <v>136</v>
      </c>
      <c r="H95" s="665" t="s">
        <v>144</v>
      </c>
      <c r="I95" s="689" t="s">
        <v>144</v>
      </c>
      <c r="J95" s="689" t="s">
        <v>144</v>
      </c>
      <c r="K95" s="689" t="s">
        <v>144</v>
      </c>
      <c r="L95" s="690" t="s">
        <v>144</v>
      </c>
      <c r="M95" s="690" t="s">
        <v>144</v>
      </c>
      <c r="N95" s="690" t="s">
        <v>144</v>
      </c>
      <c r="O95" s="666">
        <v>0.7</v>
      </c>
      <c r="P95" s="691" t="s">
        <v>144</v>
      </c>
      <c r="Q95" s="636"/>
      <c r="R95" s="637" t="s">
        <v>542</v>
      </c>
      <c r="S95" s="671"/>
    </row>
    <row r="96">
      <c r="A96" s="483"/>
      <c r="B96" s="123"/>
      <c r="C96" s="123"/>
      <c r="D96" s="123"/>
      <c r="E96" s="635" t="s">
        <v>426</v>
      </c>
      <c r="F96" s="217" t="s">
        <v>79</v>
      </c>
      <c r="G96" s="449" t="s">
        <v>136</v>
      </c>
      <c r="H96" s="665" t="s">
        <v>144</v>
      </c>
      <c r="I96" s="689" t="s">
        <v>144</v>
      </c>
      <c r="J96" s="689" t="s">
        <v>144</v>
      </c>
      <c r="K96" s="689" t="s">
        <v>144</v>
      </c>
      <c r="L96" s="690" t="s">
        <v>144</v>
      </c>
      <c r="M96" s="690" t="s">
        <v>144</v>
      </c>
      <c r="N96" s="690" t="s">
        <v>144</v>
      </c>
      <c r="O96" s="666">
        <v>0.3</v>
      </c>
      <c r="P96" s="691" t="s">
        <v>144</v>
      </c>
      <c r="Q96" s="636"/>
      <c r="R96" s="637" t="s">
        <v>542</v>
      </c>
      <c r="S96" s="671"/>
    </row>
    <row r="97">
      <c r="A97" s="483"/>
      <c r="B97" s="123"/>
      <c r="C97" s="123"/>
      <c r="D97" s="123"/>
      <c r="E97" s="607" t="s">
        <v>428</v>
      </c>
      <c r="F97" s="221" t="s">
        <v>71</v>
      </c>
      <c r="G97" s="639" t="s">
        <v>136</v>
      </c>
      <c r="H97" s="667" t="s">
        <v>144</v>
      </c>
      <c r="I97" s="692">
        <v>0.91339</v>
      </c>
      <c r="J97" s="692">
        <v>0.0</v>
      </c>
      <c r="K97" s="692">
        <v>0.0</v>
      </c>
      <c r="L97" s="692">
        <v>1.57538</v>
      </c>
      <c r="M97" s="692">
        <v>1.57538</v>
      </c>
      <c r="N97" s="692">
        <v>1.44814</v>
      </c>
      <c r="O97" s="692">
        <v>1.15931</v>
      </c>
      <c r="P97" s="693">
        <v>0.0</v>
      </c>
      <c r="Q97" s="640"/>
      <c r="R97" s="641" t="s">
        <v>540</v>
      </c>
      <c r="S97" s="694"/>
    </row>
    <row r="98">
      <c r="A98" s="483"/>
      <c r="B98" s="123"/>
      <c r="C98" s="123"/>
      <c r="D98" s="123"/>
      <c r="E98" s="558"/>
      <c r="F98" s="125"/>
      <c r="G98" s="131"/>
      <c r="H98" s="424"/>
      <c r="I98" s="363"/>
      <c r="J98" s="363"/>
      <c r="K98" s="363"/>
      <c r="L98" s="363"/>
      <c r="M98" s="363"/>
      <c r="N98" s="363"/>
      <c r="O98" s="363"/>
      <c r="P98" s="131"/>
      <c r="Q98" s="630"/>
      <c r="R98" s="631"/>
      <c r="S98" s="632"/>
    </row>
    <row r="99">
      <c r="A99" s="122"/>
      <c r="B99" s="123"/>
      <c r="C99" s="168" t="s">
        <v>430</v>
      </c>
      <c r="F99" s="125"/>
      <c r="G99" s="126"/>
      <c r="H99" s="559"/>
      <c r="I99" s="294"/>
      <c r="J99" s="294"/>
      <c r="K99" s="294"/>
      <c r="L99" s="294"/>
      <c r="M99" s="294"/>
      <c r="N99" s="294"/>
      <c r="O99" s="294"/>
      <c r="P99" s="143"/>
      <c r="Q99" s="70"/>
      <c r="R99" s="561"/>
      <c r="S99" s="562"/>
    </row>
    <row r="100">
      <c r="A100" s="122"/>
      <c r="B100" s="123"/>
      <c r="C100" s="215"/>
      <c r="D100" s="123"/>
      <c r="E100" s="602" t="s">
        <v>431</v>
      </c>
      <c r="F100" s="188" t="s">
        <v>73</v>
      </c>
      <c r="G100" s="199" t="s">
        <v>136</v>
      </c>
      <c r="H100" s="695" t="s">
        <v>144</v>
      </c>
      <c r="I100" s="696">
        <v>22099.69987</v>
      </c>
      <c r="J100" s="696">
        <f>IFERROR(__xludf.DUMMYFUNCTION("FILTER('GBD estimates'!$BU$4:$BU$2400,'GBD estimates'!$BO$4:$BO$2400=J$2,'GBD estimates'!$BQ$4:$BQ$2400=""&lt;5 years"")"),87914.33967)</f>
        <v>87914.33967</v>
      </c>
      <c r="K100" s="696">
        <f>IFERROR(__xludf.DUMMYFUNCTION("FILTER('GBD estimates'!$BU$4:$BU$2400,'GBD estimates'!$BO$4:$BO$2400=K$2,'GBD estimates'!$BQ$4:$BQ$2400=""&lt;5 years"")"),71510.2768)</f>
        <v>71510.2768</v>
      </c>
      <c r="L100" s="696">
        <v>61766.0557</v>
      </c>
      <c r="M100" s="696">
        <v>75404.46357</v>
      </c>
      <c r="N100" s="696">
        <f>IFERROR(__xludf.DUMMYFUNCTION("FILTER('GBD estimates'!$BU$4:$BU$2400,'GBD estimates'!$BO$4:$BO$2400=N$2,'GBD estimates'!$BQ$4:$BQ$2400=""&lt;5 years"")"),58925.09826)</f>
        <v>58925.09826</v>
      </c>
      <c r="O100" s="696">
        <f>IFERROR(__xludf.DUMMYFUNCTION("FILTER('GBD estimates'!$BU$4:$BU$2400,'GBD estimates'!$BO$4:$BO$2400=O$2,'GBD estimates'!$BQ$4:$BQ$2400=""&lt;5 years"")"),73532.86785)</f>
        <v>73532.86785</v>
      </c>
      <c r="P100" s="697">
        <f>IFERROR(__xludf.DUMMYFUNCTION("FILTER('GBD estimates'!$BU$4:$BU$2400,'GBD estimates'!$BO$4:$BO$2400=P$2,'GBD estimates'!$BQ$4:$BQ$2400=""&lt;5 years"")"),65525.52366)</f>
        <v>65525.52366</v>
      </c>
      <c r="Q100" s="574"/>
      <c r="R100" s="575" t="s">
        <v>543</v>
      </c>
      <c r="S100" s="623"/>
    </row>
    <row r="101">
      <c r="A101" s="122"/>
      <c r="B101" s="123"/>
      <c r="C101" s="215"/>
      <c r="D101" s="123"/>
      <c r="E101" s="607" t="s">
        <v>432</v>
      </c>
      <c r="F101" s="221" t="s">
        <v>73</v>
      </c>
      <c r="G101" s="222" t="s">
        <v>136</v>
      </c>
      <c r="H101" s="585" t="s">
        <v>144</v>
      </c>
      <c r="I101" s="698">
        <v>22099.69987</v>
      </c>
      <c r="J101" s="698">
        <f>IFERROR(__xludf.DUMMYFUNCTION("FILTER('GBD estimates'!$BU$4:$BU$2400,'GBD estimates'!$BO$4:$BO$2400=J$2,'GBD estimates'!$BQ$4:$BQ$2400=""5-14 years"")"),35845.96564)</f>
        <v>35845.96564</v>
      </c>
      <c r="K101" s="698">
        <f>IFERROR(__xludf.DUMMYFUNCTION("FILTER('GBD estimates'!$BU$4:$BU$2400,'GBD estimates'!$BO$4:$BO$2400=K$2,'GBD estimates'!$BQ$4:$BQ$2400=""5-14 years"")"),29839.07359)</f>
        <v>29839.07359</v>
      </c>
      <c r="L101" s="698">
        <v>26873.55512</v>
      </c>
      <c r="M101" s="698">
        <v>32080.31149</v>
      </c>
      <c r="N101" s="698">
        <f>IFERROR(__xludf.DUMMYFUNCTION("FILTER('GBD estimates'!$BU$4:$BU$2400,'GBD estimates'!$BO$4:$BO$2400=N$2,'GBD estimates'!$BQ$4:$BQ$2400=""5-14 years"")"),24977.74508)</f>
        <v>24977.74508</v>
      </c>
      <c r="O101" s="698">
        <f>IFERROR(__xludf.DUMMYFUNCTION("FILTER('GBD estimates'!$BU$4:$BU$2400,'GBD estimates'!$BO$4:$BO$2400=O$2,'GBD estimates'!$BQ$4:$BQ$2400=""5-14 years"")"),30845.0741)</f>
        <v>30845.0741</v>
      </c>
      <c r="P101" s="699">
        <f>IFERROR(__xludf.DUMMYFUNCTION("FILTER('GBD estimates'!$BU$4:$BU$2400,'GBD estimates'!$BO$4:$BO$2400=P$2,'GBD estimates'!$BQ$4:$BQ$2400=""5-14 years"")"),27394.99883)</f>
        <v>27394.99883</v>
      </c>
      <c r="Q101" s="588"/>
      <c r="R101" s="589" t="s">
        <v>543</v>
      </c>
      <c r="S101" s="700"/>
    </row>
    <row r="102">
      <c r="A102" s="483"/>
      <c r="B102" s="123"/>
      <c r="C102" s="123"/>
      <c r="D102" s="123"/>
      <c r="E102" s="558"/>
      <c r="F102" s="125"/>
      <c r="G102" s="131"/>
      <c r="H102" s="424"/>
      <c r="I102" s="363"/>
      <c r="J102" s="363"/>
      <c r="K102" s="363"/>
      <c r="L102" s="363"/>
      <c r="M102" s="363"/>
      <c r="N102" s="363"/>
      <c r="O102" s="363"/>
      <c r="P102" s="131"/>
      <c r="Q102" s="630"/>
      <c r="R102" s="631"/>
      <c r="S102" s="632"/>
    </row>
    <row r="103">
      <c r="A103" s="118" t="s">
        <v>464</v>
      </c>
      <c r="B103" s="6"/>
      <c r="C103" s="6"/>
      <c r="D103" s="6"/>
      <c r="E103" s="6"/>
      <c r="F103" s="6"/>
      <c r="G103" s="6"/>
      <c r="H103" s="597"/>
      <c r="I103" s="598"/>
      <c r="J103" s="598"/>
      <c r="K103" s="598"/>
      <c r="L103" s="598"/>
      <c r="M103" s="598"/>
      <c r="N103" s="598"/>
      <c r="O103" s="598"/>
      <c r="P103" s="422"/>
      <c r="Q103" s="599"/>
      <c r="R103" s="600"/>
      <c r="S103" s="601"/>
    </row>
    <row r="104">
      <c r="A104" s="483"/>
      <c r="B104" s="123"/>
      <c r="C104" s="123"/>
      <c r="D104" s="123"/>
      <c r="E104" s="558"/>
      <c r="F104" s="125"/>
      <c r="G104" s="131"/>
      <c r="H104" s="424"/>
      <c r="I104" s="363"/>
      <c r="J104" s="363"/>
      <c r="K104" s="363"/>
      <c r="L104" s="363"/>
      <c r="M104" s="363"/>
      <c r="N104" s="363"/>
      <c r="O104" s="363"/>
      <c r="P104" s="131"/>
      <c r="Q104" s="630"/>
      <c r="R104" s="631"/>
      <c r="S104" s="632"/>
    </row>
    <row r="105">
      <c r="A105" s="483"/>
      <c r="B105" s="123"/>
      <c r="C105" s="162" t="s">
        <v>436</v>
      </c>
      <c r="F105" s="125"/>
      <c r="G105" s="131"/>
      <c r="H105" s="424"/>
      <c r="I105" s="363"/>
      <c r="J105" s="363"/>
      <c r="K105" s="363"/>
      <c r="L105" s="363"/>
      <c r="M105" s="363"/>
      <c r="N105" s="363"/>
      <c r="O105" s="363"/>
      <c r="P105" s="131"/>
      <c r="Q105" s="630"/>
      <c r="R105" s="631"/>
      <c r="S105" s="632"/>
    </row>
    <row r="106">
      <c r="A106" s="483"/>
      <c r="B106" s="123"/>
      <c r="C106" s="123"/>
      <c r="D106" s="123"/>
      <c r="E106" s="602" t="s">
        <v>437</v>
      </c>
      <c r="F106" s="188" t="s">
        <v>79</v>
      </c>
      <c r="G106" s="189" t="s">
        <v>136</v>
      </c>
      <c r="H106" s="426" t="s">
        <v>144</v>
      </c>
      <c r="I106" s="663">
        <v>0.2369133</v>
      </c>
      <c r="J106" s="663">
        <v>0.5206558</v>
      </c>
      <c r="K106" s="663">
        <v>0.7017647</v>
      </c>
      <c r="L106" s="663">
        <v>0.7498112</v>
      </c>
      <c r="M106" s="663">
        <v>0.7498112</v>
      </c>
      <c r="N106" s="663">
        <v>0.517</v>
      </c>
      <c r="O106" s="663">
        <v>0.2285474</v>
      </c>
      <c r="P106" s="701">
        <v>0.4379605</v>
      </c>
      <c r="Q106" s="633"/>
      <c r="R106" s="634" t="s">
        <v>540</v>
      </c>
      <c r="S106" s="702" t="s">
        <v>101</v>
      </c>
    </row>
    <row r="107">
      <c r="A107" s="483"/>
      <c r="B107" s="123"/>
      <c r="C107" s="123"/>
      <c r="D107" s="123"/>
      <c r="E107" s="635" t="s">
        <v>438</v>
      </c>
      <c r="F107" s="217" t="s">
        <v>548</v>
      </c>
      <c r="G107" s="449" t="s">
        <v>136</v>
      </c>
      <c r="H107" s="428" t="s">
        <v>144</v>
      </c>
      <c r="I107" s="370">
        <v>2014.93</v>
      </c>
      <c r="J107" s="370">
        <v>2016.56</v>
      </c>
      <c r="K107" s="370">
        <v>2016.97</v>
      </c>
      <c r="L107" s="370">
        <v>2017.41</v>
      </c>
      <c r="M107" s="370">
        <v>2017.41</v>
      </c>
      <c r="N107" s="370">
        <v>2020.0</v>
      </c>
      <c r="O107" s="370">
        <v>2015.47</v>
      </c>
      <c r="P107" s="449">
        <v>2016.11</v>
      </c>
      <c r="Q107" s="636"/>
      <c r="R107" s="637" t="s">
        <v>540</v>
      </c>
      <c r="S107" s="702" t="s">
        <v>101</v>
      </c>
    </row>
    <row r="108">
      <c r="A108" s="483"/>
      <c r="B108" s="123"/>
      <c r="C108" s="123"/>
      <c r="D108" s="123"/>
      <c r="E108" s="635" t="s">
        <v>439</v>
      </c>
      <c r="F108" s="217" t="s">
        <v>548</v>
      </c>
      <c r="G108" s="449" t="s">
        <v>136</v>
      </c>
      <c r="H108" s="428" t="s">
        <v>144</v>
      </c>
      <c r="I108" s="370">
        <v>2026.0</v>
      </c>
      <c r="J108" s="370">
        <v>2024.0</v>
      </c>
      <c r="K108" s="370">
        <v>2025.0</v>
      </c>
      <c r="L108" s="370">
        <v>2023.0</v>
      </c>
      <c r="M108" s="370">
        <v>2023.0</v>
      </c>
      <c r="N108" s="370">
        <v>2023.0</v>
      </c>
      <c r="O108" s="370">
        <v>2023.0</v>
      </c>
      <c r="P108" s="449">
        <v>2023.0</v>
      </c>
      <c r="Q108" s="636"/>
      <c r="R108" s="637" t="s">
        <v>117</v>
      </c>
      <c r="S108" s="671"/>
    </row>
    <row r="109">
      <c r="A109" s="483"/>
      <c r="B109" s="123"/>
      <c r="C109" s="123"/>
      <c r="D109" s="123"/>
      <c r="E109" s="607" t="s">
        <v>441</v>
      </c>
      <c r="F109" s="221" t="s">
        <v>81</v>
      </c>
      <c r="G109" s="639" t="s">
        <v>136</v>
      </c>
      <c r="H109" s="703">
        <f>-0.05/6</f>
        <v>-0.008333333333</v>
      </c>
      <c r="I109" s="609" t="s">
        <v>144</v>
      </c>
      <c r="J109" s="609" t="s">
        <v>144</v>
      </c>
      <c r="K109" s="609" t="s">
        <v>144</v>
      </c>
      <c r="L109" s="609" t="s">
        <v>144</v>
      </c>
      <c r="M109" s="609" t="s">
        <v>144</v>
      </c>
      <c r="N109" s="609" t="s">
        <v>144</v>
      </c>
      <c r="O109" s="609" t="s">
        <v>144</v>
      </c>
      <c r="P109" s="610" t="s">
        <v>144</v>
      </c>
      <c r="Q109" s="640"/>
      <c r="R109" s="704" t="s">
        <v>549</v>
      </c>
      <c r="S109" s="672"/>
    </row>
    <row r="110">
      <c r="A110" s="483"/>
      <c r="B110" s="123"/>
      <c r="C110" s="123"/>
      <c r="D110" s="123"/>
      <c r="E110" s="558"/>
      <c r="F110" s="125"/>
      <c r="G110" s="131"/>
      <c r="H110" s="424"/>
      <c r="I110" s="363"/>
      <c r="J110" s="363"/>
      <c r="K110" s="363"/>
      <c r="L110" s="363"/>
      <c r="M110" s="363"/>
      <c r="N110" s="363"/>
      <c r="O110" s="363"/>
      <c r="P110" s="131"/>
      <c r="Q110" s="630"/>
      <c r="R110" s="631"/>
      <c r="S110" s="632"/>
    </row>
    <row r="111">
      <c r="A111" s="483"/>
      <c r="B111" s="123"/>
      <c r="C111" s="168" t="s">
        <v>444</v>
      </c>
      <c r="F111" s="125"/>
      <c r="G111" s="131"/>
      <c r="H111" s="424"/>
      <c r="I111" s="363"/>
      <c r="J111" s="363"/>
      <c r="K111" s="363"/>
      <c r="L111" s="363"/>
      <c r="M111" s="363"/>
      <c r="N111" s="363"/>
      <c r="O111" s="363"/>
      <c r="P111" s="131"/>
      <c r="Q111" s="630"/>
      <c r="R111" s="631"/>
      <c r="S111" s="632"/>
    </row>
    <row r="112">
      <c r="A112" s="483"/>
      <c r="B112" s="123"/>
      <c r="C112" s="123"/>
      <c r="D112" s="123"/>
      <c r="E112" s="592" t="s">
        <v>445</v>
      </c>
      <c r="F112" s="134" t="s">
        <v>79</v>
      </c>
      <c r="G112" s="646" t="s">
        <v>136</v>
      </c>
      <c r="H112" s="650">
        <v>0.2702179</v>
      </c>
      <c r="I112" s="564" t="s">
        <v>144</v>
      </c>
      <c r="J112" s="564" t="s">
        <v>144</v>
      </c>
      <c r="K112" s="564" t="s">
        <v>144</v>
      </c>
      <c r="L112" s="564" t="s">
        <v>144</v>
      </c>
      <c r="M112" s="564" t="s">
        <v>144</v>
      </c>
      <c r="N112" s="564" t="s">
        <v>144</v>
      </c>
      <c r="O112" s="564" t="s">
        <v>144</v>
      </c>
      <c r="P112" s="565" t="s">
        <v>144</v>
      </c>
      <c r="Q112" s="647"/>
      <c r="R112" s="648" t="s">
        <v>540</v>
      </c>
      <c r="S112" s="654" t="s">
        <v>101</v>
      </c>
    </row>
    <row r="113">
      <c r="A113" s="483"/>
      <c r="B113" s="123"/>
      <c r="C113" s="123"/>
      <c r="D113" s="123"/>
      <c r="E113" s="558"/>
      <c r="F113" s="125"/>
      <c r="G113" s="131"/>
      <c r="H113" s="424"/>
      <c r="I113" s="363"/>
      <c r="J113" s="363"/>
      <c r="K113" s="363"/>
      <c r="L113" s="363"/>
      <c r="M113" s="363"/>
      <c r="N113" s="363"/>
      <c r="O113" s="363"/>
      <c r="P113" s="131"/>
      <c r="Q113" s="630"/>
      <c r="R113" s="631"/>
      <c r="S113" s="632"/>
    </row>
    <row r="114">
      <c r="A114" s="483"/>
      <c r="B114" s="123"/>
      <c r="C114" s="168" t="s">
        <v>451</v>
      </c>
      <c r="F114" s="125"/>
      <c r="G114" s="131"/>
      <c r="H114" s="424"/>
      <c r="I114" s="363"/>
      <c r="J114" s="363"/>
      <c r="K114" s="363"/>
      <c r="L114" s="363"/>
      <c r="M114" s="363"/>
      <c r="N114" s="363"/>
      <c r="O114" s="363"/>
      <c r="P114" s="131"/>
      <c r="Q114" s="630"/>
      <c r="R114" s="631"/>
      <c r="S114" s="632"/>
    </row>
    <row r="115">
      <c r="A115" s="483"/>
      <c r="B115" s="123"/>
      <c r="C115" s="123"/>
      <c r="D115" s="123"/>
      <c r="E115" s="602" t="s">
        <v>452</v>
      </c>
      <c r="F115" s="188" t="s">
        <v>79</v>
      </c>
      <c r="G115" s="254" t="s">
        <v>136</v>
      </c>
      <c r="H115" s="426" t="s">
        <v>144</v>
      </c>
      <c r="I115" s="663">
        <v>0.54575</v>
      </c>
      <c r="J115" s="663">
        <v>0.9597</v>
      </c>
      <c r="K115" s="663">
        <v>0.8975</v>
      </c>
      <c r="L115" s="663">
        <v>0.9255039</v>
      </c>
      <c r="M115" s="663">
        <v>0.9255039</v>
      </c>
      <c r="N115" s="663">
        <v>0.9563198</v>
      </c>
      <c r="O115" s="663">
        <v>0.928</v>
      </c>
      <c r="P115" s="701">
        <v>0.9541395</v>
      </c>
      <c r="Q115" s="633"/>
      <c r="R115" s="634" t="s">
        <v>540</v>
      </c>
      <c r="S115" s="702" t="s">
        <v>101</v>
      </c>
    </row>
    <row r="116">
      <c r="A116" s="483"/>
      <c r="B116" s="123"/>
      <c r="C116" s="123"/>
      <c r="D116" s="123"/>
      <c r="E116" s="635" t="s">
        <v>453</v>
      </c>
      <c r="F116" s="217" t="s">
        <v>79</v>
      </c>
      <c r="G116" s="449" t="s">
        <v>136</v>
      </c>
      <c r="H116" s="428" t="s">
        <v>144</v>
      </c>
      <c r="I116" s="666">
        <v>0.4292125</v>
      </c>
      <c r="J116" s="666">
        <v>0.5559</v>
      </c>
      <c r="K116" s="666">
        <v>0.6</v>
      </c>
      <c r="L116" s="666">
        <v>0.691197</v>
      </c>
      <c r="M116" s="666">
        <v>0.691197</v>
      </c>
      <c r="N116" s="666">
        <v>0.5614558</v>
      </c>
      <c r="O116" s="666">
        <v>0.1115</v>
      </c>
      <c r="P116" s="705">
        <v>0.5084116</v>
      </c>
      <c r="Q116" s="636"/>
      <c r="R116" s="634" t="s">
        <v>540</v>
      </c>
      <c r="S116" s="702" t="s">
        <v>101</v>
      </c>
    </row>
    <row r="117">
      <c r="A117" s="483"/>
      <c r="B117" s="123"/>
      <c r="C117" s="123"/>
      <c r="D117" s="123"/>
      <c r="E117" s="602" t="s">
        <v>457</v>
      </c>
      <c r="F117" s="188" t="s">
        <v>79</v>
      </c>
      <c r="G117" s="254" t="s">
        <v>136</v>
      </c>
      <c r="H117" s="426" t="s">
        <v>144</v>
      </c>
      <c r="I117" s="663">
        <v>1.0</v>
      </c>
      <c r="J117" s="663">
        <v>0.8051948</v>
      </c>
      <c r="K117" s="663">
        <v>0.7647059</v>
      </c>
      <c r="L117" s="663">
        <v>0.6246787</v>
      </c>
      <c r="M117" s="663">
        <v>0.6246787</v>
      </c>
      <c r="N117" s="663">
        <v>0.8873604</v>
      </c>
      <c r="O117" s="663">
        <v>1.0</v>
      </c>
      <c r="P117" s="701">
        <v>0.9868421</v>
      </c>
      <c r="Q117" s="633"/>
      <c r="R117" s="634" t="s">
        <v>540</v>
      </c>
      <c r="S117" s="702" t="s">
        <v>101</v>
      </c>
    </row>
    <row r="118">
      <c r="A118" s="483"/>
      <c r="B118" s="123"/>
      <c r="C118" s="123"/>
      <c r="D118" s="123"/>
      <c r="E118" s="607" t="s">
        <v>458</v>
      </c>
      <c r="F118" s="221" t="s">
        <v>79</v>
      </c>
      <c r="G118" s="639" t="s">
        <v>136</v>
      </c>
      <c r="H118" s="430" t="s">
        <v>144</v>
      </c>
      <c r="I118" s="668">
        <v>0.7142857</v>
      </c>
      <c r="J118" s="668">
        <v>1.0</v>
      </c>
      <c r="K118" s="668">
        <v>0.7916667</v>
      </c>
      <c r="L118" s="668">
        <v>0.7916667</v>
      </c>
      <c r="M118" s="668">
        <v>0.7916667</v>
      </c>
      <c r="N118" s="668">
        <v>0.9166667</v>
      </c>
      <c r="O118" s="668">
        <v>0.7916667</v>
      </c>
      <c r="P118" s="706">
        <v>0.8333333</v>
      </c>
      <c r="Q118" s="640"/>
      <c r="R118" s="641" t="s">
        <v>540</v>
      </c>
      <c r="S118" s="707" t="s">
        <v>101</v>
      </c>
    </row>
    <row r="119">
      <c r="A119" s="483"/>
      <c r="B119" s="123"/>
      <c r="C119" s="123"/>
      <c r="D119" s="123"/>
      <c r="E119" s="49"/>
      <c r="F119" s="140"/>
      <c r="G119" s="141"/>
      <c r="H119" s="708"/>
      <c r="I119" s="709"/>
      <c r="J119" s="709"/>
      <c r="K119" s="709"/>
      <c r="L119" s="709"/>
      <c r="M119" s="709"/>
      <c r="N119" s="709"/>
      <c r="O119" s="709"/>
      <c r="P119" s="710"/>
      <c r="Q119" s="630"/>
      <c r="R119" s="631"/>
      <c r="S119" s="632"/>
    </row>
    <row r="120">
      <c r="A120" s="483"/>
      <c r="B120" s="123"/>
      <c r="C120" s="168" t="s">
        <v>550</v>
      </c>
      <c r="F120" s="125"/>
      <c r="G120" s="131"/>
      <c r="H120" s="424"/>
      <c r="I120" s="363"/>
      <c r="J120" s="363"/>
      <c r="K120" s="363"/>
      <c r="L120" s="363"/>
      <c r="M120" s="363"/>
      <c r="N120" s="363"/>
      <c r="O120" s="363"/>
      <c r="P120" s="131"/>
      <c r="Q120" s="630"/>
      <c r="R120" s="631"/>
      <c r="S120" s="632"/>
    </row>
    <row r="121">
      <c r="A121" s="483"/>
      <c r="B121" s="123"/>
      <c r="C121" s="123"/>
      <c r="D121" s="123"/>
      <c r="E121" s="592" t="s">
        <v>462</v>
      </c>
      <c r="F121" s="134" t="s">
        <v>79</v>
      </c>
      <c r="G121" s="646" t="s">
        <v>136</v>
      </c>
      <c r="H121" s="650">
        <v>0.0</v>
      </c>
      <c r="I121" s="645" t="s">
        <v>144</v>
      </c>
      <c r="J121" s="645" t="s">
        <v>144</v>
      </c>
      <c r="K121" s="645" t="s">
        <v>144</v>
      </c>
      <c r="L121" s="645" t="s">
        <v>144</v>
      </c>
      <c r="M121" s="645" t="s">
        <v>144</v>
      </c>
      <c r="N121" s="645" t="s">
        <v>144</v>
      </c>
      <c r="O121" s="645" t="s">
        <v>144</v>
      </c>
      <c r="P121" s="646" t="s">
        <v>144</v>
      </c>
      <c r="Q121" s="647"/>
      <c r="R121" s="648" t="s">
        <v>542</v>
      </c>
      <c r="S121" s="649"/>
    </row>
    <row r="122">
      <c r="A122" s="483"/>
      <c r="B122" s="123"/>
      <c r="C122" s="123"/>
      <c r="D122" s="123"/>
      <c r="E122" s="49"/>
      <c r="F122" s="140"/>
      <c r="G122" s="141"/>
      <c r="H122" s="424"/>
      <c r="I122" s="363"/>
      <c r="J122" s="363"/>
      <c r="K122" s="363"/>
      <c r="L122" s="363"/>
      <c r="M122" s="363"/>
      <c r="N122" s="363"/>
      <c r="O122" s="363"/>
      <c r="P122" s="131"/>
      <c r="Q122" s="630"/>
      <c r="R122" s="631"/>
      <c r="S122" s="632"/>
    </row>
    <row r="123">
      <c r="A123" s="483"/>
      <c r="B123" s="123"/>
      <c r="C123" s="168" t="s">
        <v>465</v>
      </c>
      <c r="F123" s="125"/>
      <c r="G123" s="131"/>
      <c r="H123" s="424"/>
      <c r="I123" s="363"/>
      <c r="J123" s="363"/>
      <c r="K123" s="363"/>
      <c r="L123" s="363"/>
      <c r="M123" s="363"/>
      <c r="N123" s="363"/>
      <c r="O123" s="363"/>
      <c r="P123" s="131"/>
      <c r="Q123" s="630"/>
      <c r="R123" s="631"/>
      <c r="S123" s="632"/>
    </row>
    <row r="124">
      <c r="A124" s="483"/>
      <c r="B124" s="123"/>
      <c r="C124" s="123"/>
      <c r="D124" s="123"/>
      <c r="E124" s="602" t="s">
        <v>467</v>
      </c>
      <c r="F124" s="188" t="s">
        <v>79</v>
      </c>
      <c r="G124" s="254" t="s">
        <v>136</v>
      </c>
      <c r="H124" s="426" t="s">
        <v>144</v>
      </c>
      <c r="I124" s="663">
        <v>0.3</v>
      </c>
      <c r="J124" s="663">
        <v>0.5</v>
      </c>
      <c r="K124" s="663">
        <v>0.3</v>
      </c>
      <c r="L124" s="663">
        <v>1.0</v>
      </c>
      <c r="M124" s="663">
        <v>1.0</v>
      </c>
      <c r="N124" s="663">
        <v>0.19</v>
      </c>
      <c r="O124" s="663">
        <v>0.5</v>
      </c>
      <c r="P124" s="701">
        <v>1.0</v>
      </c>
      <c r="Q124" s="633"/>
      <c r="R124" s="634" t="s">
        <v>542</v>
      </c>
      <c r="S124" s="670"/>
    </row>
    <row r="125">
      <c r="A125" s="483"/>
      <c r="B125" s="123"/>
      <c r="C125" s="123"/>
      <c r="D125" s="123"/>
      <c r="E125" s="602" t="s">
        <v>468</v>
      </c>
      <c r="F125" s="188" t="s">
        <v>79</v>
      </c>
      <c r="G125" s="254" t="s">
        <v>136</v>
      </c>
      <c r="H125" s="426" t="s">
        <v>144</v>
      </c>
      <c r="I125" s="663">
        <v>0.0</v>
      </c>
      <c r="J125" s="663">
        <v>0.45</v>
      </c>
      <c r="K125" s="663">
        <v>0.0</v>
      </c>
      <c r="L125" s="663">
        <v>0.0</v>
      </c>
      <c r="M125" s="663">
        <v>0.0</v>
      </c>
      <c r="N125" s="663">
        <v>0.0</v>
      </c>
      <c r="O125" s="663">
        <v>0.0</v>
      </c>
      <c r="P125" s="701">
        <v>0.0</v>
      </c>
      <c r="Q125" s="633"/>
      <c r="R125" s="634" t="s">
        <v>542</v>
      </c>
      <c r="S125" s="670"/>
    </row>
    <row r="126">
      <c r="A126" s="483"/>
      <c r="B126" s="123"/>
      <c r="C126" s="123"/>
      <c r="D126" s="123"/>
      <c r="E126" s="602" t="s">
        <v>469</v>
      </c>
      <c r="F126" s="188" t="s">
        <v>79</v>
      </c>
      <c r="G126" s="254" t="s">
        <v>136</v>
      </c>
      <c r="H126" s="426" t="s">
        <v>144</v>
      </c>
      <c r="I126" s="663">
        <v>0.0</v>
      </c>
      <c r="J126" s="663">
        <v>0.05</v>
      </c>
      <c r="K126" s="663">
        <v>0.0</v>
      </c>
      <c r="L126" s="663">
        <v>0.0</v>
      </c>
      <c r="M126" s="663">
        <v>0.0</v>
      </c>
      <c r="N126" s="663">
        <v>0.0</v>
      </c>
      <c r="O126" s="663">
        <v>0.0</v>
      </c>
      <c r="P126" s="701">
        <v>0.0</v>
      </c>
      <c r="Q126" s="633"/>
      <c r="R126" s="634" t="s">
        <v>542</v>
      </c>
      <c r="S126" s="670"/>
    </row>
    <row r="127">
      <c r="A127" s="483"/>
      <c r="B127" s="123"/>
      <c r="C127" s="123"/>
      <c r="D127" s="123"/>
      <c r="E127" s="592" t="s">
        <v>466</v>
      </c>
      <c r="F127" s="134" t="s">
        <v>79</v>
      </c>
      <c r="G127" s="646" t="s">
        <v>136</v>
      </c>
      <c r="H127" s="711" t="s">
        <v>144</v>
      </c>
      <c r="I127" s="656">
        <f t="shared" ref="I127:P127" si="2">1-SUM(I124:I126)</f>
        <v>0.7</v>
      </c>
      <c r="J127" s="656">
        <f t="shared" si="2"/>
        <v>0</v>
      </c>
      <c r="K127" s="656">
        <f t="shared" si="2"/>
        <v>0.7</v>
      </c>
      <c r="L127" s="656">
        <f t="shared" si="2"/>
        <v>0</v>
      </c>
      <c r="M127" s="656">
        <f t="shared" si="2"/>
        <v>0</v>
      </c>
      <c r="N127" s="656">
        <f t="shared" si="2"/>
        <v>0.81</v>
      </c>
      <c r="O127" s="656">
        <f t="shared" si="2"/>
        <v>0.5</v>
      </c>
      <c r="P127" s="712">
        <f t="shared" si="2"/>
        <v>0</v>
      </c>
      <c r="Q127" s="647"/>
      <c r="R127" s="648" t="s">
        <v>542</v>
      </c>
      <c r="S127" s="649"/>
    </row>
    <row r="128">
      <c r="A128" s="483"/>
      <c r="B128" s="123"/>
      <c r="C128" s="123"/>
      <c r="D128" s="123"/>
      <c r="E128" s="558"/>
      <c r="F128" s="125"/>
      <c r="G128" s="131"/>
      <c r="H128" s="424"/>
      <c r="I128" s="363"/>
      <c r="J128" s="363"/>
      <c r="K128" s="363"/>
      <c r="L128" s="363"/>
      <c r="M128" s="363"/>
      <c r="N128" s="363"/>
      <c r="O128" s="363"/>
      <c r="P128" s="131"/>
      <c r="Q128" s="630"/>
      <c r="R128" s="631"/>
      <c r="S128" s="632"/>
    </row>
    <row r="129">
      <c r="A129" s="118" t="s">
        <v>179</v>
      </c>
      <c r="B129" s="6"/>
      <c r="C129" s="6"/>
      <c r="D129" s="6"/>
      <c r="E129" s="6"/>
      <c r="F129" s="6"/>
      <c r="G129" s="93"/>
      <c r="H129" s="597"/>
      <c r="I129" s="598"/>
      <c r="J129" s="598"/>
      <c r="K129" s="598"/>
      <c r="L129" s="598"/>
      <c r="M129" s="598"/>
      <c r="N129" s="598"/>
      <c r="O129" s="598"/>
      <c r="P129" s="422"/>
      <c r="Q129" s="599"/>
      <c r="R129" s="600"/>
      <c r="S129" s="601"/>
    </row>
    <row r="130">
      <c r="A130" s="122"/>
      <c r="B130" s="123"/>
      <c r="C130" s="215"/>
      <c r="D130" s="123"/>
      <c r="E130" s="558"/>
      <c r="F130" s="125"/>
      <c r="G130" s="126"/>
      <c r="H130" s="559"/>
      <c r="I130" s="294"/>
      <c r="J130" s="294"/>
      <c r="K130" s="294"/>
      <c r="L130" s="294"/>
      <c r="M130" s="294"/>
      <c r="N130" s="294"/>
      <c r="O130" s="294"/>
      <c r="P130" s="143"/>
      <c r="Q130" s="70"/>
      <c r="R130" s="561"/>
      <c r="S130" s="562"/>
    </row>
    <row r="131">
      <c r="A131" s="122"/>
      <c r="B131" s="123"/>
      <c r="C131" s="243" t="s">
        <v>180</v>
      </c>
      <c r="F131" s="125"/>
      <c r="G131" s="126"/>
      <c r="H131" s="559"/>
      <c r="I131" s="294"/>
      <c r="J131" s="294"/>
      <c r="K131" s="294"/>
      <c r="L131" s="294"/>
      <c r="M131" s="294"/>
      <c r="N131" s="294"/>
      <c r="O131" s="294"/>
      <c r="P131" s="143"/>
      <c r="Q131" s="70"/>
      <c r="R131" s="561"/>
      <c r="S131" s="562"/>
    </row>
    <row r="132">
      <c r="A132" s="122"/>
      <c r="B132" s="123"/>
      <c r="C132" s="168"/>
      <c r="D132" s="123"/>
      <c r="E132" s="49" t="s">
        <v>181</v>
      </c>
      <c r="F132" s="713" t="s">
        <v>79</v>
      </c>
      <c r="G132" s="714" t="s">
        <v>136</v>
      </c>
      <c r="H132" s="715">
        <v>0.45</v>
      </c>
      <c r="I132" s="142" t="s">
        <v>144</v>
      </c>
      <c r="J132" s="142" t="s">
        <v>144</v>
      </c>
      <c r="K132" s="142" t="s">
        <v>144</v>
      </c>
      <c r="L132" s="142" t="s">
        <v>144</v>
      </c>
      <c r="M132" s="142" t="s">
        <v>144</v>
      </c>
      <c r="N132" s="142" t="s">
        <v>144</v>
      </c>
      <c r="O132" s="142" t="s">
        <v>144</v>
      </c>
      <c r="P132" s="619" t="s">
        <v>144</v>
      </c>
      <c r="Q132" s="70"/>
      <c r="R132" s="716" t="s">
        <v>551</v>
      </c>
      <c r="S132" s="562"/>
    </row>
    <row r="133">
      <c r="A133" s="122"/>
      <c r="B133" s="123"/>
      <c r="C133" s="168"/>
      <c r="D133" s="123"/>
      <c r="E133" s="717" t="s">
        <v>183</v>
      </c>
      <c r="F133" s="217" t="s">
        <v>79</v>
      </c>
      <c r="G133" s="218" t="s">
        <v>136</v>
      </c>
      <c r="H133" s="718">
        <v>-0.05</v>
      </c>
      <c r="I133" s="719" t="s">
        <v>144</v>
      </c>
      <c r="J133" s="719" t="s">
        <v>144</v>
      </c>
      <c r="K133" s="719" t="s">
        <v>144</v>
      </c>
      <c r="L133" s="719" t="s">
        <v>144</v>
      </c>
      <c r="M133" s="719" t="s">
        <v>144</v>
      </c>
      <c r="N133" s="719" t="s">
        <v>144</v>
      </c>
      <c r="O133" s="719" t="s">
        <v>144</v>
      </c>
      <c r="P133" s="720" t="s">
        <v>144</v>
      </c>
      <c r="Q133" s="581"/>
      <c r="R133" s="582" t="s">
        <v>542</v>
      </c>
      <c r="S133" s="721"/>
    </row>
    <row r="134">
      <c r="A134" s="122"/>
      <c r="B134" s="123"/>
      <c r="C134" s="168"/>
      <c r="D134" s="123"/>
      <c r="E134" s="717" t="s">
        <v>184</v>
      </c>
      <c r="F134" s="217" t="s">
        <v>79</v>
      </c>
      <c r="G134" s="218" t="s">
        <v>136</v>
      </c>
      <c r="H134" s="718">
        <v>-0.05</v>
      </c>
      <c r="I134" s="719" t="s">
        <v>144</v>
      </c>
      <c r="J134" s="719" t="s">
        <v>144</v>
      </c>
      <c r="K134" s="719" t="s">
        <v>144</v>
      </c>
      <c r="L134" s="719" t="s">
        <v>144</v>
      </c>
      <c r="M134" s="719" t="s">
        <v>144</v>
      </c>
      <c r="N134" s="719" t="s">
        <v>144</v>
      </c>
      <c r="O134" s="719" t="s">
        <v>144</v>
      </c>
      <c r="P134" s="720" t="s">
        <v>144</v>
      </c>
      <c r="Q134" s="581"/>
      <c r="R134" s="582" t="s">
        <v>542</v>
      </c>
      <c r="S134" s="721"/>
    </row>
    <row r="135">
      <c r="A135" s="122"/>
      <c r="B135" s="123"/>
      <c r="C135" s="168"/>
      <c r="D135" s="123"/>
      <c r="E135" s="602" t="s">
        <v>187</v>
      </c>
      <c r="F135" s="188" t="s">
        <v>79</v>
      </c>
      <c r="G135" s="199" t="s">
        <v>136</v>
      </c>
      <c r="H135" s="603">
        <v>1.0</v>
      </c>
      <c r="I135" s="145" t="s">
        <v>144</v>
      </c>
      <c r="J135" s="145" t="s">
        <v>144</v>
      </c>
      <c r="K135" s="145" t="s">
        <v>144</v>
      </c>
      <c r="L135" s="145" t="s">
        <v>144</v>
      </c>
      <c r="M135" s="145" t="s">
        <v>144</v>
      </c>
      <c r="N135" s="145" t="s">
        <v>144</v>
      </c>
      <c r="O135" s="145" t="s">
        <v>144</v>
      </c>
      <c r="P135" s="722" t="s">
        <v>144</v>
      </c>
      <c r="Q135" s="574"/>
      <c r="R135" s="606" t="s">
        <v>542</v>
      </c>
      <c r="S135" s="723"/>
    </row>
    <row r="136">
      <c r="A136" s="122"/>
      <c r="B136" s="123"/>
      <c r="C136" s="123"/>
      <c r="D136" s="123"/>
      <c r="E136" s="602" t="s">
        <v>190</v>
      </c>
      <c r="F136" s="188" t="s">
        <v>69</v>
      </c>
      <c r="G136" s="189" t="s">
        <v>136</v>
      </c>
      <c r="H136" s="571">
        <v>0.75</v>
      </c>
      <c r="I136" s="145" t="s">
        <v>144</v>
      </c>
      <c r="J136" s="145" t="s">
        <v>144</v>
      </c>
      <c r="K136" s="145" t="s">
        <v>144</v>
      </c>
      <c r="L136" s="145" t="s">
        <v>144</v>
      </c>
      <c r="M136" s="145" t="s">
        <v>144</v>
      </c>
      <c r="N136" s="145" t="s">
        <v>144</v>
      </c>
      <c r="O136" s="145" t="s">
        <v>144</v>
      </c>
      <c r="P136" s="722" t="s">
        <v>144</v>
      </c>
      <c r="Q136" s="574"/>
      <c r="R136" s="606" t="s">
        <v>542</v>
      </c>
      <c r="S136" s="723"/>
    </row>
    <row r="137">
      <c r="A137" s="122"/>
      <c r="B137" s="123"/>
      <c r="C137" s="123"/>
      <c r="D137" s="123"/>
      <c r="E137" s="607" t="s">
        <v>194</v>
      </c>
      <c r="F137" s="221" t="s">
        <v>79</v>
      </c>
      <c r="G137" s="233" t="s">
        <v>136</v>
      </c>
      <c r="H137" s="585" t="s">
        <v>144</v>
      </c>
      <c r="I137" s="586">
        <v>0.313</v>
      </c>
      <c r="J137" s="586">
        <v>0.591</v>
      </c>
      <c r="K137" s="586">
        <v>0.586</v>
      </c>
      <c r="L137" s="586">
        <v>0.51</v>
      </c>
      <c r="M137" s="586">
        <v>0.471</v>
      </c>
      <c r="N137" s="586">
        <v>0.494</v>
      </c>
      <c r="O137" s="586">
        <v>0.795</v>
      </c>
      <c r="P137" s="587">
        <v>0.704</v>
      </c>
      <c r="Q137" s="588"/>
      <c r="R137" s="724" t="s">
        <v>543</v>
      </c>
      <c r="S137" s="611"/>
    </row>
    <row r="138">
      <c r="A138" s="122"/>
      <c r="B138" s="123"/>
      <c r="C138" s="168"/>
      <c r="D138" s="123"/>
      <c r="E138" s="558"/>
      <c r="F138" s="125"/>
      <c r="G138" s="126"/>
      <c r="H138" s="559"/>
      <c r="I138" s="294"/>
      <c r="J138" s="294"/>
      <c r="K138" s="294"/>
      <c r="L138" s="294"/>
      <c r="M138" s="294"/>
      <c r="N138" s="294"/>
      <c r="O138" s="294"/>
      <c r="P138" s="143"/>
      <c r="Q138" s="70"/>
      <c r="R138" s="561"/>
      <c r="S138" s="562"/>
    </row>
    <row r="139">
      <c r="A139" s="122"/>
      <c r="B139" s="123"/>
      <c r="C139" s="168" t="s">
        <v>197</v>
      </c>
      <c r="F139" s="125"/>
      <c r="G139" s="126"/>
      <c r="H139" s="559"/>
      <c r="I139" s="725"/>
      <c r="J139" s="725"/>
      <c r="K139" s="725"/>
      <c r="L139" s="725"/>
      <c r="M139" s="726"/>
      <c r="N139" s="725"/>
      <c r="O139" s="725"/>
      <c r="P139" s="727"/>
      <c r="Q139" s="70"/>
      <c r="R139" s="561"/>
      <c r="S139" s="562"/>
    </row>
    <row r="140">
      <c r="A140" s="122"/>
      <c r="B140" s="123"/>
      <c r="C140" s="168"/>
      <c r="D140" s="123"/>
      <c r="E140" s="602" t="s">
        <v>198</v>
      </c>
      <c r="F140" s="188" t="s">
        <v>69</v>
      </c>
      <c r="G140" s="199" t="s">
        <v>136</v>
      </c>
      <c r="H140" s="571" t="s">
        <v>144</v>
      </c>
      <c r="I140" s="620">
        <f>IFERROR(__xludf.DUMMYFUNCTION("FILTER('GBD estimates'!$BJ$4:$BJ$2400,'GBD estimates'!$BD$4:$BD$2400=I$2,'GBD estimates'!$BF$4:$BF$2400=""&lt;5 years"")"),4525.732446)</f>
        <v>4525.732446</v>
      </c>
      <c r="J140" s="620">
        <f>IFERROR(__xludf.DUMMYFUNCTION("FILTER('GBD estimates'!$BJ$4:$BJ$2400,'GBD estimates'!$BD$4:$BD$2400=J$2,'GBD estimates'!$BF$4:$BF$2400=""&lt;5 years"")"),44077.9481)</f>
        <v>44077.9481</v>
      </c>
      <c r="K140" s="620">
        <f>IFERROR(__xludf.DUMMYFUNCTION("FILTER('GBD estimates'!$BJ$4:$BJ$2400,'GBD estimates'!$BD$4:$BD$2400=K$2,'GBD estimates'!$BF$4:$BF$2400=""&lt;5 years"")"),8181.102532)</f>
        <v>8181.102532</v>
      </c>
      <c r="L140" s="620">
        <v>44919.36</v>
      </c>
      <c r="M140" s="620">
        <v>30014.76</v>
      </c>
      <c r="N140" s="620">
        <f>IFERROR(__xludf.DUMMYFUNCTION("FILTER('GBD estimates'!$BJ$4:$BJ$2400,'GBD estimates'!$BD$4:$BD$2400=N$2,'GBD estimates'!$BF$4:$BF$2400=""&lt;5 years"")"),4010.303592)</f>
        <v>4010.303592</v>
      </c>
      <c r="O140" s="620">
        <f>IFERROR(__xludf.DUMMYFUNCTION("FILTER('GBD estimates'!$BJ$4:$BJ$2400,'GBD estimates'!$BD$4:$BD$2400=O$2,'GBD estimates'!$BF$4:$BF$2400=""&lt;5 years"")"),1880.407943)</f>
        <v>1880.407943</v>
      </c>
      <c r="P140" s="621">
        <f>IFERROR(__xludf.DUMMYFUNCTION("FILTER('GBD estimates'!$BJ$4:$BJ$2400,'GBD estimates'!$BD$4:$BD$2400=P$2,'GBD estimates'!$BF$4:$BF$2400=""&lt;5 years"")"),17385.76538)</f>
        <v>17385.76538</v>
      </c>
      <c r="Q140" s="574"/>
      <c r="R140" s="575" t="s">
        <v>543</v>
      </c>
      <c r="S140" s="723"/>
    </row>
    <row r="141">
      <c r="A141" s="122"/>
      <c r="B141" s="123"/>
      <c r="C141" s="168"/>
      <c r="D141" s="123"/>
      <c r="E141" s="635" t="s">
        <v>199</v>
      </c>
      <c r="F141" s="217" t="s">
        <v>69</v>
      </c>
      <c r="G141" s="218" t="s">
        <v>136</v>
      </c>
      <c r="H141" s="578" t="s">
        <v>144</v>
      </c>
      <c r="I141" s="620">
        <f>IFERROR(__xludf.DUMMYFUNCTION("FILTER('GBD estimates'!$BJ$4:$BJ$2400,'GBD estimates'!$BD$4:$BD$2400=I$2,'GBD estimates'!$BF$4:$BF$2400=""All ages"")"),7194.19944)</f>
        <v>7194.19944</v>
      </c>
      <c r="J141" s="620">
        <f>IFERROR(__xludf.DUMMYFUNCTION("FILTER('GBD estimates'!$BJ$4:$BJ$2400,'GBD estimates'!$BD$4:$BD$2400=J$2,'GBD estimates'!$BF$4:$BF$2400=""All ages"")"),57160.15456)</f>
        <v>57160.15456</v>
      </c>
      <c r="K141" s="620">
        <f>IFERROR(__xludf.DUMMYFUNCTION("FILTER('GBD estimates'!$BJ$4:$BJ$2400,'GBD estimates'!$BD$4:$BD$2400=K$2,'GBD estimates'!$BF$4:$BF$2400=""All ages"")"),11336.50112)</f>
        <v>11336.50112</v>
      </c>
      <c r="L141" s="620">
        <v>77647.61</v>
      </c>
      <c r="M141" s="620">
        <v>55752.71</v>
      </c>
      <c r="N141" s="620">
        <f>IFERROR(__xludf.DUMMYFUNCTION("FILTER('GBD estimates'!$BJ$4:$BJ$2400,'GBD estimates'!$BD$4:$BD$2400=N$2,'GBD estimates'!$BF$4:$BF$2400=""All ages"")"),5109.313152)</f>
        <v>5109.313152</v>
      </c>
      <c r="O141" s="620">
        <f>IFERROR(__xludf.DUMMYFUNCTION("FILTER('GBD estimates'!$BJ$4:$BJ$2400,'GBD estimates'!$BD$4:$BD$2400=O$2,'GBD estimates'!$BF$4:$BF$2400=""All ages"")"),5436.187861)</f>
        <v>5436.187861</v>
      </c>
      <c r="P141" s="621">
        <f>IFERROR(__xludf.DUMMYFUNCTION("FILTER('GBD estimates'!$BJ$4:$BJ$2400,'GBD estimates'!$BD$4:$BD$2400=P$2,'GBD estimates'!$BF$4:$BF$2400=""All ages"")"),22586.59252)</f>
        <v>22586.59252</v>
      </c>
      <c r="Q141" s="581"/>
      <c r="R141" s="582" t="s">
        <v>543</v>
      </c>
      <c r="S141" s="721"/>
    </row>
    <row r="142">
      <c r="A142" s="122"/>
      <c r="B142" s="123"/>
      <c r="C142" s="168"/>
      <c r="D142" s="123"/>
      <c r="E142" s="607" t="s">
        <v>202</v>
      </c>
      <c r="F142" s="221" t="s">
        <v>79</v>
      </c>
      <c r="G142" s="222" t="s">
        <v>136</v>
      </c>
      <c r="H142" s="608">
        <v>0.8</v>
      </c>
      <c r="I142" s="157" t="s">
        <v>144</v>
      </c>
      <c r="J142" s="157" t="s">
        <v>144</v>
      </c>
      <c r="K142" s="157" t="s">
        <v>144</v>
      </c>
      <c r="L142" s="157" t="s">
        <v>144</v>
      </c>
      <c r="M142" s="157" t="s">
        <v>144</v>
      </c>
      <c r="N142" s="157" t="s">
        <v>144</v>
      </c>
      <c r="O142" s="157" t="s">
        <v>144</v>
      </c>
      <c r="P142" s="728" t="s">
        <v>144</v>
      </c>
      <c r="Q142" s="588"/>
      <c r="R142" s="729" t="s">
        <v>542</v>
      </c>
      <c r="S142" s="611"/>
    </row>
    <row r="143">
      <c r="A143" s="122"/>
      <c r="B143" s="123"/>
      <c r="C143" s="168"/>
      <c r="D143" s="123"/>
      <c r="E143" s="558"/>
      <c r="F143" s="125"/>
      <c r="G143" s="126"/>
      <c r="H143" s="559"/>
      <c r="I143" s="294"/>
      <c r="J143" s="730"/>
      <c r="K143" s="294"/>
      <c r="L143" s="294"/>
      <c r="M143" s="294"/>
      <c r="N143" s="294"/>
      <c r="O143" s="294"/>
      <c r="P143" s="143"/>
      <c r="Q143" s="70"/>
      <c r="R143" s="561"/>
      <c r="S143" s="562"/>
    </row>
    <row r="144">
      <c r="A144" s="70"/>
      <c r="B144" s="10"/>
      <c r="C144" s="130" t="s">
        <v>211</v>
      </c>
      <c r="F144" s="10"/>
      <c r="G144" s="11"/>
      <c r="H144" s="731"/>
      <c r="I144" s="10"/>
      <c r="J144" s="10"/>
      <c r="K144" s="10"/>
      <c r="L144" s="10"/>
      <c r="M144" s="10"/>
      <c r="N144" s="10"/>
      <c r="O144" s="10"/>
      <c r="P144" s="11"/>
      <c r="Q144" s="70"/>
      <c r="R144" s="10"/>
      <c r="S144" s="11"/>
    </row>
    <row r="145">
      <c r="A145" s="70"/>
      <c r="B145" s="10"/>
      <c r="C145" s="10"/>
      <c r="D145" s="10"/>
      <c r="E145" s="570" t="s">
        <v>212</v>
      </c>
      <c r="F145" s="145" t="s">
        <v>79</v>
      </c>
      <c r="G145" s="722" t="s">
        <v>136</v>
      </c>
      <c r="H145" s="732">
        <v>0.0058088</v>
      </c>
      <c r="I145" s="479" t="s">
        <v>144</v>
      </c>
      <c r="J145" s="479" t="s">
        <v>144</v>
      </c>
      <c r="K145" s="479" t="s">
        <v>144</v>
      </c>
      <c r="L145" s="479" t="s">
        <v>144</v>
      </c>
      <c r="M145" s="479" t="s">
        <v>144</v>
      </c>
      <c r="N145" s="479" t="s">
        <v>144</v>
      </c>
      <c r="O145" s="479" t="s">
        <v>144</v>
      </c>
      <c r="P145" s="146" t="s">
        <v>144</v>
      </c>
      <c r="Q145" s="733"/>
      <c r="R145" s="734" t="s">
        <v>542</v>
      </c>
      <c r="S145" s="735" t="s">
        <v>552</v>
      </c>
    </row>
    <row r="146">
      <c r="A146" s="122"/>
      <c r="B146" s="123"/>
      <c r="C146" s="123"/>
      <c r="D146" s="123"/>
      <c r="E146" s="736" t="s">
        <v>214</v>
      </c>
      <c r="F146" s="217" t="s">
        <v>69</v>
      </c>
      <c r="G146" s="218" t="s">
        <v>136</v>
      </c>
      <c r="H146" s="578">
        <v>10.0</v>
      </c>
      <c r="I146" s="283" t="s">
        <v>144</v>
      </c>
      <c r="J146" s="283" t="s">
        <v>144</v>
      </c>
      <c r="K146" s="283" t="s">
        <v>144</v>
      </c>
      <c r="L146" s="283" t="s">
        <v>144</v>
      </c>
      <c r="M146" s="283" t="s">
        <v>144</v>
      </c>
      <c r="N146" s="283" t="s">
        <v>144</v>
      </c>
      <c r="O146" s="283" t="s">
        <v>144</v>
      </c>
      <c r="P146" s="152" t="s">
        <v>144</v>
      </c>
      <c r="Q146" s="737"/>
      <c r="R146" s="738" t="s">
        <v>542</v>
      </c>
      <c r="S146" s="739"/>
    </row>
    <row r="147">
      <c r="A147" s="122"/>
      <c r="B147" s="123"/>
      <c r="C147" s="215"/>
      <c r="D147" s="123"/>
      <c r="E147" s="635" t="s">
        <v>215</v>
      </c>
      <c r="F147" s="217" t="s">
        <v>79</v>
      </c>
      <c r="G147" s="218" t="s">
        <v>136</v>
      </c>
      <c r="H147" s="740">
        <v>0.04</v>
      </c>
      <c r="I147" s="283" t="s">
        <v>144</v>
      </c>
      <c r="J147" s="283" t="s">
        <v>144</v>
      </c>
      <c r="K147" s="283" t="s">
        <v>144</v>
      </c>
      <c r="L147" s="283" t="s">
        <v>144</v>
      </c>
      <c r="M147" s="283" t="s">
        <v>144</v>
      </c>
      <c r="N147" s="283" t="s">
        <v>144</v>
      </c>
      <c r="O147" s="283" t="s">
        <v>144</v>
      </c>
      <c r="P147" s="152" t="s">
        <v>144</v>
      </c>
      <c r="Q147" s="581"/>
      <c r="R147" s="738" t="s">
        <v>540</v>
      </c>
      <c r="S147" s="741" t="s">
        <v>111</v>
      </c>
    </row>
    <row r="148">
      <c r="A148" s="122"/>
      <c r="B148" s="123"/>
      <c r="C148" s="215"/>
      <c r="D148" s="123"/>
      <c r="E148" s="635" t="s">
        <v>217</v>
      </c>
      <c r="F148" s="217" t="s">
        <v>69</v>
      </c>
      <c r="G148" s="218" t="s">
        <v>136</v>
      </c>
      <c r="H148" s="578">
        <v>40.0</v>
      </c>
      <c r="I148" s="283" t="s">
        <v>144</v>
      </c>
      <c r="J148" s="283" t="s">
        <v>144</v>
      </c>
      <c r="K148" s="283" t="s">
        <v>144</v>
      </c>
      <c r="L148" s="283" t="s">
        <v>144</v>
      </c>
      <c r="M148" s="283" t="s">
        <v>144</v>
      </c>
      <c r="N148" s="283" t="s">
        <v>144</v>
      </c>
      <c r="O148" s="283" t="s">
        <v>144</v>
      </c>
      <c r="P148" s="152" t="s">
        <v>144</v>
      </c>
      <c r="Q148" s="581"/>
      <c r="R148" s="738" t="s">
        <v>542</v>
      </c>
      <c r="S148" s="721"/>
    </row>
    <row r="149">
      <c r="A149" s="122"/>
      <c r="B149" s="123"/>
      <c r="C149" s="168"/>
      <c r="D149" s="123"/>
      <c r="E149" s="607" t="s">
        <v>219</v>
      </c>
      <c r="F149" s="221" t="s">
        <v>69</v>
      </c>
      <c r="G149" s="222" t="s">
        <v>136</v>
      </c>
      <c r="H149" s="585">
        <v>2.0</v>
      </c>
      <c r="I149" s="482" t="s">
        <v>144</v>
      </c>
      <c r="J149" s="482" t="s">
        <v>144</v>
      </c>
      <c r="K149" s="482" t="s">
        <v>144</v>
      </c>
      <c r="L149" s="482" t="s">
        <v>144</v>
      </c>
      <c r="M149" s="482" t="s">
        <v>144</v>
      </c>
      <c r="N149" s="482" t="s">
        <v>144</v>
      </c>
      <c r="O149" s="482" t="s">
        <v>144</v>
      </c>
      <c r="P149" s="158" t="s">
        <v>144</v>
      </c>
      <c r="Q149" s="588"/>
      <c r="R149" s="729" t="s">
        <v>540</v>
      </c>
      <c r="S149" s="642" t="s">
        <v>112</v>
      </c>
    </row>
    <row r="150">
      <c r="A150" s="122"/>
      <c r="B150" s="123"/>
      <c r="C150" s="215"/>
      <c r="D150" s="123"/>
      <c r="E150" s="558"/>
      <c r="F150" s="125"/>
      <c r="G150" s="126"/>
      <c r="H150" s="559"/>
      <c r="I150" s="294"/>
      <c r="J150" s="294"/>
      <c r="K150" s="294"/>
      <c r="L150" s="294"/>
      <c r="M150" s="294"/>
      <c r="N150" s="294"/>
      <c r="O150" s="294"/>
      <c r="P150" s="143"/>
      <c r="Q150" s="70"/>
      <c r="R150" s="561"/>
      <c r="S150" s="562"/>
    </row>
    <row r="151">
      <c r="A151" s="118" t="s">
        <v>224</v>
      </c>
      <c r="B151" s="6"/>
      <c r="C151" s="6"/>
      <c r="D151" s="6"/>
      <c r="E151" s="6"/>
      <c r="F151" s="6"/>
      <c r="G151" s="93"/>
      <c r="H151" s="553"/>
      <c r="I151" s="742"/>
      <c r="J151" s="742"/>
      <c r="K151" s="742"/>
      <c r="L151" s="742"/>
      <c r="M151" s="742"/>
      <c r="N151" s="742"/>
      <c r="O151" s="742"/>
      <c r="P151" s="395"/>
      <c r="Q151" s="743"/>
      <c r="R151" s="744"/>
      <c r="S151" s="557"/>
    </row>
    <row r="152">
      <c r="A152" s="122"/>
      <c r="B152" s="123"/>
      <c r="C152" s="123"/>
      <c r="D152" s="123"/>
      <c r="E152" s="558"/>
      <c r="F152" s="125"/>
      <c r="G152" s="126"/>
      <c r="H152" s="559"/>
      <c r="I152" s="294"/>
      <c r="J152" s="294"/>
      <c r="K152" s="294"/>
      <c r="L152" s="294"/>
      <c r="M152" s="294"/>
      <c r="N152" s="294"/>
      <c r="O152" s="294"/>
      <c r="P152" s="143"/>
      <c r="Q152" s="70"/>
      <c r="R152" s="561"/>
      <c r="S152" s="562"/>
    </row>
    <row r="153">
      <c r="A153" s="122"/>
      <c r="B153" s="123"/>
      <c r="C153" s="168" t="s">
        <v>224</v>
      </c>
      <c r="F153" s="125"/>
      <c r="G153" s="126"/>
      <c r="H153" s="559"/>
      <c r="I153" s="294"/>
      <c r="J153" s="294"/>
      <c r="K153" s="294"/>
      <c r="L153" s="294"/>
      <c r="M153" s="294"/>
      <c r="N153" s="294"/>
      <c r="O153" s="294"/>
      <c r="P153" s="143"/>
      <c r="Q153" s="70"/>
      <c r="R153" s="561"/>
      <c r="S153" s="562"/>
    </row>
    <row r="154">
      <c r="A154" s="122"/>
      <c r="B154" s="123"/>
      <c r="C154" s="123"/>
      <c r="D154" s="123"/>
      <c r="E154" s="602" t="s">
        <v>226</v>
      </c>
      <c r="F154" s="188" t="s">
        <v>83</v>
      </c>
      <c r="G154" s="199" t="s">
        <v>136</v>
      </c>
      <c r="H154" s="745">
        <v>116.25262</v>
      </c>
      <c r="I154" s="746" t="s">
        <v>144</v>
      </c>
      <c r="J154" s="746" t="s">
        <v>144</v>
      </c>
      <c r="K154" s="746" t="s">
        <v>144</v>
      </c>
      <c r="L154" s="746" t="s">
        <v>144</v>
      </c>
      <c r="M154" s="746" t="s">
        <v>144</v>
      </c>
      <c r="N154" s="746" t="s">
        <v>144</v>
      </c>
      <c r="O154" s="746" t="s">
        <v>144</v>
      </c>
      <c r="P154" s="747" t="s">
        <v>144</v>
      </c>
      <c r="Q154" s="748"/>
      <c r="R154" s="606" t="s">
        <v>553</v>
      </c>
      <c r="S154" s="749" t="s">
        <v>111</v>
      </c>
    </row>
    <row r="155">
      <c r="A155" s="122"/>
      <c r="B155" s="123"/>
      <c r="C155" s="123"/>
      <c r="D155" s="123"/>
      <c r="E155" s="635" t="s">
        <v>229</v>
      </c>
      <c r="F155" s="217" t="s">
        <v>83</v>
      </c>
      <c r="G155" s="218" t="s">
        <v>136</v>
      </c>
      <c r="H155" s="745">
        <v>73.1914</v>
      </c>
      <c r="I155" s="746" t="s">
        <v>144</v>
      </c>
      <c r="J155" s="746" t="s">
        <v>144</v>
      </c>
      <c r="K155" s="746" t="s">
        <v>144</v>
      </c>
      <c r="L155" s="746" t="s">
        <v>144</v>
      </c>
      <c r="M155" s="746" t="s">
        <v>144</v>
      </c>
      <c r="N155" s="746" t="s">
        <v>144</v>
      </c>
      <c r="O155" s="746" t="s">
        <v>144</v>
      </c>
      <c r="P155" s="747" t="s">
        <v>144</v>
      </c>
      <c r="Q155" s="748"/>
      <c r="R155" s="606" t="s">
        <v>553</v>
      </c>
      <c r="S155" s="749" t="s">
        <v>111</v>
      </c>
    </row>
    <row r="156">
      <c r="A156" s="122"/>
      <c r="B156" s="123"/>
      <c r="C156" s="123"/>
      <c r="D156" s="123"/>
      <c r="E156" s="635" t="s">
        <v>554</v>
      </c>
      <c r="F156" s="217" t="s">
        <v>83</v>
      </c>
      <c r="G156" s="218" t="s">
        <v>136</v>
      </c>
      <c r="H156" s="750">
        <v>1.0</v>
      </c>
      <c r="I156" s="746" t="s">
        <v>144</v>
      </c>
      <c r="J156" s="746" t="s">
        <v>144</v>
      </c>
      <c r="K156" s="746" t="s">
        <v>144</v>
      </c>
      <c r="L156" s="746" t="s">
        <v>144</v>
      </c>
      <c r="M156" s="746" t="s">
        <v>144</v>
      </c>
      <c r="N156" s="746" t="s">
        <v>144</v>
      </c>
      <c r="O156" s="746" t="s">
        <v>144</v>
      </c>
      <c r="P156" s="747" t="s">
        <v>144</v>
      </c>
      <c r="Q156" s="748"/>
      <c r="R156" s="606" t="s">
        <v>553</v>
      </c>
      <c r="S156" s="749" t="s">
        <v>111</v>
      </c>
    </row>
    <row r="157">
      <c r="A157" s="122"/>
      <c r="B157" s="123"/>
      <c r="C157" s="123"/>
      <c r="D157" s="123"/>
      <c r="E157" s="607" t="s">
        <v>232</v>
      </c>
      <c r="F157" s="221" t="s">
        <v>83</v>
      </c>
      <c r="G157" s="222" t="s">
        <v>136</v>
      </c>
      <c r="H157" s="751">
        <f>H156/ln(2)</f>
        <v>1.442695041</v>
      </c>
      <c r="I157" s="752" t="s">
        <v>144</v>
      </c>
      <c r="J157" s="752" t="s">
        <v>144</v>
      </c>
      <c r="K157" s="752" t="s">
        <v>144</v>
      </c>
      <c r="L157" s="752" t="s">
        <v>144</v>
      </c>
      <c r="M157" s="752" t="s">
        <v>144</v>
      </c>
      <c r="N157" s="752" t="s">
        <v>144</v>
      </c>
      <c r="O157" s="752" t="s">
        <v>144</v>
      </c>
      <c r="P157" s="753" t="s">
        <v>144</v>
      </c>
      <c r="Q157" s="588"/>
      <c r="R157" s="729" t="s">
        <v>553</v>
      </c>
      <c r="S157" s="754" t="s">
        <v>111</v>
      </c>
    </row>
    <row r="158">
      <c r="A158" s="122"/>
      <c r="B158" s="123"/>
      <c r="C158" s="123"/>
      <c r="D158" s="123"/>
      <c r="E158" s="49"/>
      <c r="F158" s="140"/>
      <c r="G158" s="163"/>
      <c r="H158" s="755"/>
      <c r="I158" s="756"/>
      <c r="J158" s="756"/>
      <c r="K158" s="756"/>
      <c r="L158" s="756"/>
      <c r="M158" s="756"/>
      <c r="N158" s="756"/>
      <c r="O158" s="756"/>
      <c r="P158" s="757"/>
      <c r="Q158" s="70"/>
      <c r="R158" s="614"/>
      <c r="S158" s="758"/>
    </row>
    <row r="159">
      <c r="A159" s="118" t="s">
        <v>234</v>
      </c>
      <c r="B159" s="6"/>
      <c r="C159" s="6"/>
      <c r="D159" s="6"/>
      <c r="E159" s="6"/>
      <c r="F159" s="6"/>
      <c r="G159" s="93"/>
      <c r="H159" s="553"/>
      <c r="I159" s="742"/>
      <c r="J159" s="742"/>
      <c r="K159" s="742"/>
      <c r="L159" s="742"/>
      <c r="M159" s="742"/>
      <c r="N159" s="742"/>
      <c r="O159" s="742"/>
      <c r="P159" s="395"/>
      <c r="Q159" s="743"/>
      <c r="R159" s="744"/>
      <c r="S159" s="557"/>
    </row>
    <row r="160">
      <c r="A160" s="122"/>
      <c r="B160" s="123"/>
      <c r="C160" s="257"/>
      <c r="D160" s="123"/>
      <c r="E160" s="49"/>
      <c r="F160" s="140"/>
      <c r="G160" s="163"/>
      <c r="H160" s="755"/>
      <c r="I160" s="756"/>
      <c r="J160" s="756"/>
      <c r="K160" s="756"/>
      <c r="L160" s="756"/>
      <c r="M160" s="756"/>
      <c r="N160" s="756"/>
      <c r="O160" s="756"/>
      <c r="P160" s="757"/>
      <c r="Q160" s="70"/>
      <c r="R160" s="614"/>
      <c r="S160" s="758"/>
    </row>
    <row r="161">
      <c r="A161" s="122"/>
      <c r="B161" s="123"/>
      <c r="C161" s="759" t="s">
        <v>555</v>
      </c>
      <c r="D161" s="22"/>
      <c r="E161" s="22"/>
      <c r="F161" s="140"/>
      <c r="G161" s="163"/>
      <c r="H161" s="755"/>
      <c r="I161" s="756"/>
      <c r="J161" s="756"/>
      <c r="K161" s="756"/>
      <c r="L161" s="756"/>
      <c r="M161" s="756"/>
      <c r="N161" s="756"/>
      <c r="O161" s="756"/>
      <c r="P161" s="757"/>
      <c r="Q161" s="70"/>
      <c r="R161" s="614"/>
      <c r="S161" s="758"/>
    </row>
    <row r="162">
      <c r="A162" s="122"/>
      <c r="B162" s="123"/>
      <c r="C162" s="50"/>
      <c r="D162" s="50"/>
      <c r="E162" s="760" t="s">
        <v>247</v>
      </c>
      <c r="F162" s="134" t="s">
        <v>83</v>
      </c>
      <c r="G162" s="165" t="s">
        <v>136</v>
      </c>
      <c r="H162" s="761">
        <v>0.00333</v>
      </c>
      <c r="I162" s="762" t="s">
        <v>144</v>
      </c>
      <c r="J162" s="762" t="s">
        <v>144</v>
      </c>
      <c r="K162" s="762" t="s">
        <v>144</v>
      </c>
      <c r="L162" s="762" t="s">
        <v>144</v>
      </c>
      <c r="M162" s="762" t="s">
        <v>144</v>
      </c>
      <c r="N162" s="762" t="s">
        <v>144</v>
      </c>
      <c r="O162" s="762" t="s">
        <v>144</v>
      </c>
      <c r="P162" s="763" t="s">
        <v>144</v>
      </c>
      <c r="Q162" s="86"/>
      <c r="R162" s="566" t="s">
        <v>540</v>
      </c>
      <c r="S162" s="13" t="s">
        <v>114</v>
      </c>
    </row>
    <row r="163">
      <c r="A163" s="122"/>
      <c r="B163" s="123"/>
      <c r="C163" s="123"/>
      <c r="D163" s="123"/>
      <c r="E163" s="558"/>
      <c r="F163" s="125"/>
      <c r="G163" s="126"/>
      <c r="H163" s="559"/>
      <c r="I163" s="294"/>
      <c r="J163" s="294"/>
      <c r="K163" s="294"/>
      <c r="L163" s="294"/>
      <c r="M163" s="294"/>
      <c r="N163" s="294"/>
      <c r="O163" s="294"/>
      <c r="P163" s="143"/>
      <c r="Q163" s="70"/>
      <c r="R163" s="561"/>
      <c r="S163" s="562"/>
    </row>
    <row r="164">
      <c r="A164" s="118" t="s">
        <v>255</v>
      </c>
      <c r="B164" s="6"/>
      <c r="C164" s="6"/>
      <c r="D164" s="6"/>
      <c r="E164" s="6"/>
      <c r="F164" s="6"/>
      <c r="G164" s="93"/>
      <c r="H164" s="553"/>
      <c r="I164" s="742"/>
      <c r="J164" s="742"/>
      <c r="K164" s="742"/>
      <c r="L164" s="742"/>
      <c r="M164" s="742"/>
      <c r="N164" s="742"/>
      <c r="O164" s="742"/>
      <c r="P164" s="395"/>
      <c r="Q164" s="743"/>
      <c r="R164" s="744"/>
      <c r="S164" s="557"/>
    </row>
    <row r="165">
      <c r="A165" s="122"/>
      <c r="B165" s="123"/>
      <c r="C165" s="123"/>
      <c r="D165" s="123"/>
      <c r="E165" s="558"/>
      <c r="F165" s="125"/>
      <c r="G165" s="126"/>
      <c r="H165" s="559"/>
      <c r="I165" s="294"/>
      <c r="J165" s="294"/>
      <c r="K165" s="294"/>
      <c r="L165" s="294"/>
      <c r="M165" s="294"/>
      <c r="N165" s="294"/>
      <c r="O165" s="294"/>
      <c r="P165" s="143"/>
      <c r="Q165" s="70"/>
      <c r="R165" s="561"/>
      <c r="S165" s="562"/>
    </row>
    <row r="166">
      <c r="A166" s="122"/>
      <c r="B166" s="123"/>
      <c r="C166" s="168" t="s">
        <v>256</v>
      </c>
      <c r="F166" s="125"/>
      <c r="G166" s="126"/>
      <c r="H166" s="559"/>
      <c r="I166" s="294"/>
      <c r="J166" s="294"/>
      <c r="K166" s="294"/>
      <c r="L166" s="294"/>
      <c r="M166" s="294"/>
      <c r="N166" s="294"/>
      <c r="O166" s="294"/>
      <c r="P166" s="143"/>
      <c r="Q166" s="70"/>
      <c r="R166" s="561"/>
      <c r="S166" s="562"/>
    </row>
    <row r="167">
      <c r="A167" s="122"/>
      <c r="B167" s="123"/>
      <c r="C167" s="123"/>
      <c r="D167" s="319" t="s">
        <v>257</v>
      </c>
      <c r="E167" s="37"/>
      <c r="F167" s="320"/>
      <c r="G167" s="321"/>
      <c r="H167" s="603"/>
      <c r="I167" s="746"/>
      <c r="J167" s="746"/>
      <c r="K167" s="746"/>
      <c r="L167" s="746"/>
      <c r="M167" s="746"/>
      <c r="N167" s="746"/>
      <c r="O167" s="746"/>
      <c r="P167" s="747"/>
      <c r="Q167" s="574"/>
      <c r="R167" s="764"/>
      <c r="S167" s="723"/>
    </row>
    <row r="168">
      <c r="A168" s="122"/>
      <c r="B168" s="123"/>
      <c r="C168" s="123"/>
      <c r="D168" s="123"/>
      <c r="E168" s="602" t="s">
        <v>258</v>
      </c>
      <c r="F168" s="188" t="s">
        <v>79</v>
      </c>
      <c r="G168" s="199" t="s">
        <v>136</v>
      </c>
      <c r="H168" s="603">
        <v>0.0</v>
      </c>
      <c r="I168" s="746" t="s">
        <v>144</v>
      </c>
      <c r="J168" s="746" t="s">
        <v>144</v>
      </c>
      <c r="K168" s="746" t="s">
        <v>144</v>
      </c>
      <c r="L168" s="746" t="s">
        <v>144</v>
      </c>
      <c r="M168" s="746" t="s">
        <v>144</v>
      </c>
      <c r="N168" s="746" t="s">
        <v>144</v>
      </c>
      <c r="O168" s="746" t="s">
        <v>144</v>
      </c>
      <c r="P168" s="747" t="s">
        <v>144</v>
      </c>
      <c r="Q168" s="574"/>
      <c r="R168" s="606" t="s">
        <v>542</v>
      </c>
      <c r="S168" s="765"/>
    </row>
    <row r="169">
      <c r="A169" s="122"/>
      <c r="B169" s="123"/>
      <c r="C169" s="123"/>
      <c r="D169" s="123"/>
      <c r="E169" s="635" t="s">
        <v>259</v>
      </c>
      <c r="F169" s="217" t="s">
        <v>79</v>
      </c>
      <c r="G169" s="199" t="s">
        <v>136</v>
      </c>
      <c r="H169" s="718">
        <v>0.0</v>
      </c>
      <c r="I169" s="579" t="s">
        <v>144</v>
      </c>
      <c r="J169" s="579" t="s">
        <v>144</v>
      </c>
      <c r="K169" s="579" t="s">
        <v>144</v>
      </c>
      <c r="L169" s="579" t="s">
        <v>144</v>
      </c>
      <c r="M169" s="579" t="s">
        <v>144</v>
      </c>
      <c r="N169" s="579" t="s">
        <v>144</v>
      </c>
      <c r="O169" s="579" t="s">
        <v>144</v>
      </c>
      <c r="P169" s="580" t="s">
        <v>144</v>
      </c>
      <c r="Q169" s="581"/>
      <c r="R169" s="606" t="s">
        <v>542</v>
      </c>
      <c r="S169" s="766"/>
    </row>
    <row r="170">
      <c r="A170" s="122"/>
      <c r="B170" s="123"/>
      <c r="C170" s="123"/>
      <c r="D170" s="123"/>
      <c r="E170" s="635" t="s">
        <v>260</v>
      </c>
      <c r="F170" s="217" t="s">
        <v>79</v>
      </c>
      <c r="G170" s="199" t="s">
        <v>136</v>
      </c>
      <c r="H170" s="718">
        <v>0.0</v>
      </c>
      <c r="I170" s="579" t="s">
        <v>144</v>
      </c>
      <c r="J170" s="579" t="s">
        <v>144</v>
      </c>
      <c r="K170" s="579" t="s">
        <v>144</v>
      </c>
      <c r="L170" s="579" t="s">
        <v>144</v>
      </c>
      <c r="M170" s="579" t="s">
        <v>144</v>
      </c>
      <c r="N170" s="579" t="s">
        <v>144</v>
      </c>
      <c r="O170" s="579" t="s">
        <v>144</v>
      </c>
      <c r="P170" s="580" t="s">
        <v>144</v>
      </c>
      <c r="Q170" s="581"/>
      <c r="R170" s="606" t="s">
        <v>542</v>
      </c>
      <c r="S170" s="766"/>
    </row>
    <row r="171">
      <c r="A171" s="122"/>
      <c r="B171" s="123"/>
      <c r="C171" s="123"/>
      <c r="D171" s="319" t="s">
        <v>261</v>
      </c>
      <c r="E171" s="37"/>
      <c r="F171" s="188"/>
      <c r="G171" s="321"/>
      <c r="H171" s="767"/>
      <c r="I171" s="768"/>
      <c r="J171" s="768"/>
      <c r="K171" s="768"/>
      <c r="L171" s="768"/>
      <c r="M171" s="768"/>
      <c r="N171" s="768"/>
      <c r="O171" s="768"/>
      <c r="P171" s="769"/>
      <c r="Q171" s="581"/>
      <c r="R171" s="770"/>
      <c r="S171" s="721"/>
    </row>
    <row r="172">
      <c r="A172" s="122"/>
      <c r="B172" s="123"/>
      <c r="C172" s="123"/>
      <c r="D172" s="123"/>
      <c r="E172" s="602" t="s">
        <v>262</v>
      </c>
      <c r="F172" s="188" t="s">
        <v>79</v>
      </c>
      <c r="G172" s="199" t="s">
        <v>136</v>
      </c>
      <c r="H172" s="718">
        <v>-0.02</v>
      </c>
      <c r="I172" s="579" t="s">
        <v>144</v>
      </c>
      <c r="J172" s="579" t="s">
        <v>144</v>
      </c>
      <c r="K172" s="579" t="s">
        <v>144</v>
      </c>
      <c r="L172" s="579" t="s">
        <v>144</v>
      </c>
      <c r="M172" s="579" t="s">
        <v>144</v>
      </c>
      <c r="N172" s="579" t="s">
        <v>144</v>
      </c>
      <c r="O172" s="579" t="s">
        <v>144</v>
      </c>
      <c r="P172" s="580" t="s">
        <v>144</v>
      </c>
      <c r="Q172" s="581"/>
      <c r="R172" s="606" t="s">
        <v>542</v>
      </c>
      <c r="S172" s="766"/>
    </row>
    <row r="173">
      <c r="A173" s="122"/>
      <c r="B173" s="123"/>
      <c r="C173" s="123"/>
      <c r="D173" s="123"/>
      <c r="E173" s="635" t="s">
        <v>263</v>
      </c>
      <c r="F173" s="217" t="s">
        <v>79</v>
      </c>
      <c r="G173" s="199" t="s">
        <v>136</v>
      </c>
      <c r="H173" s="718">
        <v>-0.02</v>
      </c>
      <c r="I173" s="579" t="s">
        <v>144</v>
      </c>
      <c r="J173" s="579" t="s">
        <v>144</v>
      </c>
      <c r="K173" s="579" t="s">
        <v>144</v>
      </c>
      <c r="L173" s="579" t="s">
        <v>144</v>
      </c>
      <c r="M173" s="579" t="s">
        <v>144</v>
      </c>
      <c r="N173" s="579" t="s">
        <v>144</v>
      </c>
      <c r="O173" s="579" t="s">
        <v>144</v>
      </c>
      <c r="P173" s="580" t="s">
        <v>144</v>
      </c>
      <c r="Q173" s="581"/>
      <c r="R173" s="606" t="s">
        <v>542</v>
      </c>
      <c r="S173" s="766"/>
    </row>
    <row r="174">
      <c r="A174" s="122"/>
      <c r="B174" s="123"/>
      <c r="C174" s="123"/>
      <c r="D174" s="319" t="s">
        <v>264</v>
      </c>
      <c r="E174" s="37"/>
      <c r="F174" s="188"/>
      <c r="G174" s="321"/>
      <c r="H174" s="767"/>
      <c r="I174" s="768"/>
      <c r="J174" s="768"/>
      <c r="K174" s="768"/>
      <c r="L174" s="768"/>
      <c r="M174" s="768"/>
      <c r="N174" s="768"/>
      <c r="O174" s="768"/>
      <c r="P174" s="769"/>
      <c r="Q174" s="581"/>
      <c r="R174" s="606"/>
      <c r="S174" s="721"/>
    </row>
    <row r="175">
      <c r="A175" s="122"/>
      <c r="B175" s="123"/>
      <c r="C175" s="123"/>
      <c r="D175" s="123"/>
      <c r="E175" s="602" t="s">
        <v>265</v>
      </c>
      <c r="F175" s="188" t="s">
        <v>79</v>
      </c>
      <c r="G175" s="199" t="s">
        <v>136</v>
      </c>
      <c r="H175" s="718">
        <v>0.0</v>
      </c>
      <c r="I175" s="579" t="s">
        <v>144</v>
      </c>
      <c r="J175" s="579" t="s">
        <v>144</v>
      </c>
      <c r="K175" s="579" t="s">
        <v>144</v>
      </c>
      <c r="L175" s="579" t="s">
        <v>144</v>
      </c>
      <c r="M175" s="579" t="s">
        <v>144</v>
      </c>
      <c r="N175" s="579" t="s">
        <v>144</v>
      </c>
      <c r="O175" s="579" t="s">
        <v>144</v>
      </c>
      <c r="P175" s="580" t="s">
        <v>144</v>
      </c>
      <c r="Q175" s="581"/>
      <c r="R175" s="606" t="s">
        <v>542</v>
      </c>
      <c r="S175" s="766"/>
    </row>
    <row r="176">
      <c r="A176" s="122"/>
      <c r="B176" s="123"/>
      <c r="C176" s="123"/>
      <c r="D176" s="123"/>
      <c r="E176" s="635" t="s">
        <v>266</v>
      </c>
      <c r="F176" s="217" t="s">
        <v>79</v>
      </c>
      <c r="G176" s="199" t="s">
        <v>136</v>
      </c>
      <c r="H176" s="718">
        <v>0.0</v>
      </c>
      <c r="I176" s="579" t="s">
        <v>144</v>
      </c>
      <c r="J176" s="579" t="s">
        <v>144</v>
      </c>
      <c r="K176" s="579" t="s">
        <v>144</v>
      </c>
      <c r="L176" s="579" t="s">
        <v>144</v>
      </c>
      <c r="M176" s="579" t="s">
        <v>144</v>
      </c>
      <c r="N176" s="579" t="s">
        <v>144</v>
      </c>
      <c r="O176" s="579" t="s">
        <v>144</v>
      </c>
      <c r="P176" s="580" t="s">
        <v>144</v>
      </c>
      <c r="Q176" s="581"/>
      <c r="R176" s="606" t="s">
        <v>542</v>
      </c>
      <c r="S176" s="766"/>
    </row>
    <row r="177">
      <c r="A177" s="122"/>
      <c r="B177" s="123"/>
      <c r="C177" s="123"/>
      <c r="D177" s="123"/>
      <c r="E177" s="607" t="s">
        <v>267</v>
      </c>
      <c r="F177" s="221" t="s">
        <v>79</v>
      </c>
      <c r="G177" s="222" t="s">
        <v>136</v>
      </c>
      <c r="H177" s="608">
        <v>0.0</v>
      </c>
      <c r="I177" s="586" t="s">
        <v>144</v>
      </c>
      <c r="J177" s="586" t="s">
        <v>144</v>
      </c>
      <c r="K177" s="586" t="s">
        <v>144</v>
      </c>
      <c r="L177" s="586" t="s">
        <v>144</v>
      </c>
      <c r="M177" s="586" t="s">
        <v>144</v>
      </c>
      <c r="N177" s="586" t="s">
        <v>144</v>
      </c>
      <c r="O177" s="586" t="s">
        <v>144</v>
      </c>
      <c r="P177" s="587" t="s">
        <v>144</v>
      </c>
      <c r="Q177" s="588"/>
      <c r="R177" s="729" t="s">
        <v>542</v>
      </c>
      <c r="S177" s="771"/>
    </row>
    <row r="178">
      <c r="A178" s="122"/>
      <c r="B178" s="123"/>
      <c r="C178" s="162"/>
      <c r="D178" s="123"/>
      <c r="E178" s="558"/>
      <c r="F178" s="125"/>
      <c r="G178" s="126"/>
      <c r="H178" s="559"/>
      <c r="I178" s="294"/>
      <c r="J178" s="294"/>
      <c r="K178" s="294"/>
      <c r="L178" s="294"/>
      <c r="M178" s="294"/>
      <c r="N178" s="294"/>
      <c r="O178" s="294"/>
      <c r="P178" s="143"/>
      <c r="Q178" s="70"/>
      <c r="R178" s="561"/>
      <c r="S178" s="562"/>
    </row>
    <row r="179">
      <c r="A179" s="122"/>
      <c r="B179" s="123"/>
      <c r="C179" s="162" t="s">
        <v>269</v>
      </c>
      <c r="F179" s="125"/>
      <c r="G179" s="126"/>
      <c r="H179" s="559"/>
      <c r="I179" s="294"/>
      <c r="J179" s="294"/>
      <c r="K179" s="294"/>
      <c r="L179" s="294"/>
      <c r="M179" s="294"/>
      <c r="N179" s="294"/>
      <c r="O179" s="294"/>
      <c r="P179" s="143"/>
      <c r="Q179" s="70"/>
      <c r="R179" s="561"/>
      <c r="S179" s="562"/>
    </row>
    <row r="180">
      <c r="A180" s="122"/>
      <c r="B180" s="123"/>
      <c r="C180" s="123"/>
      <c r="D180" s="264"/>
      <c r="E180" s="602" t="s">
        <v>271</v>
      </c>
      <c r="F180" s="188" t="s">
        <v>79</v>
      </c>
      <c r="G180" s="199" t="s">
        <v>136</v>
      </c>
      <c r="H180" s="603">
        <v>0.09</v>
      </c>
      <c r="I180" s="746" t="s">
        <v>144</v>
      </c>
      <c r="J180" s="746" t="s">
        <v>144</v>
      </c>
      <c r="K180" s="746" t="s">
        <v>144</v>
      </c>
      <c r="L180" s="746" t="s">
        <v>144</v>
      </c>
      <c r="M180" s="746" t="s">
        <v>144</v>
      </c>
      <c r="N180" s="746" t="s">
        <v>144</v>
      </c>
      <c r="O180" s="746" t="s">
        <v>144</v>
      </c>
      <c r="P180" s="747" t="s">
        <v>144</v>
      </c>
      <c r="Q180" s="574"/>
      <c r="R180" s="606" t="s">
        <v>542</v>
      </c>
      <c r="S180" s="71" t="s">
        <v>113</v>
      </c>
    </row>
    <row r="181">
      <c r="A181" s="122"/>
      <c r="B181" s="123"/>
      <c r="C181" s="123"/>
      <c r="D181" s="123"/>
      <c r="E181" s="602" t="s">
        <v>272</v>
      </c>
      <c r="F181" s="188" t="s">
        <v>79</v>
      </c>
      <c r="G181" s="199" t="s">
        <v>136</v>
      </c>
      <c r="H181" s="603">
        <v>0.09</v>
      </c>
      <c r="I181" s="746" t="s">
        <v>144</v>
      </c>
      <c r="J181" s="746" t="s">
        <v>144</v>
      </c>
      <c r="K181" s="746" t="s">
        <v>144</v>
      </c>
      <c r="L181" s="746" t="s">
        <v>144</v>
      </c>
      <c r="M181" s="746" t="s">
        <v>144</v>
      </c>
      <c r="N181" s="746" t="s">
        <v>144</v>
      </c>
      <c r="O181" s="746" t="s">
        <v>144</v>
      </c>
      <c r="P181" s="747" t="s">
        <v>144</v>
      </c>
      <c r="Q181" s="574"/>
      <c r="R181" s="606" t="s">
        <v>542</v>
      </c>
      <c r="S181" s="71" t="s">
        <v>113</v>
      </c>
    </row>
    <row r="182">
      <c r="A182" s="122"/>
      <c r="B182" s="123"/>
      <c r="C182" s="123"/>
      <c r="D182" s="123"/>
      <c r="E182" s="602" t="s">
        <v>273</v>
      </c>
      <c r="F182" s="188" t="s">
        <v>79</v>
      </c>
      <c r="G182" s="199" t="s">
        <v>136</v>
      </c>
      <c r="H182" s="603">
        <v>0.02</v>
      </c>
      <c r="I182" s="746" t="s">
        <v>144</v>
      </c>
      <c r="J182" s="746" t="s">
        <v>144</v>
      </c>
      <c r="K182" s="746" t="s">
        <v>144</v>
      </c>
      <c r="L182" s="746" t="s">
        <v>144</v>
      </c>
      <c r="M182" s="746" t="s">
        <v>144</v>
      </c>
      <c r="N182" s="746" t="s">
        <v>144</v>
      </c>
      <c r="O182" s="746" t="s">
        <v>144</v>
      </c>
      <c r="P182" s="747" t="s">
        <v>144</v>
      </c>
      <c r="Q182" s="574"/>
      <c r="R182" s="606" t="s">
        <v>542</v>
      </c>
      <c r="S182" s="71" t="s">
        <v>113</v>
      </c>
    </row>
    <row r="183">
      <c r="A183" s="122"/>
      <c r="B183" s="123"/>
      <c r="C183" s="123"/>
      <c r="D183" s="123"/>
      <c r="E183" s="602" t="s">
        <v>274</v>
      </c>
      <c r="F183" s="188" t="s">
        <v>79</v>
      </c>
      <c r="G183" s="199" t="s">
        <v>136</v>
      </c>
      <c r="H183" s="603">
        <v>0.09</v>
      </c>
      <c r="I183" s="746" t="s">
        <v>144</v>
      </c>
      <c r="J183" s="746" t="s">
        <v>144</v>
      </c>
      <c r="K183" s="746" t="s">
        <v>144</v>
      </c>
      <c r="L183" s="746" t="s">
        <v>144</v>
      </c>
      <c r="M183" s="746" t="s">
        <v>144</v>
      </c>
      <c r="N183" s="746" t="s">
        <v>144</v>
      </c>
      <c r="O183" s="746" t="s">
        <v>144</v>
      </c>
      <c r="P183" s="747" t="s">
        <v>144</v>
      </c>
      <c r="Q183" s="574"/>
      <c r="R183" s="606" t="s">
        <v>542</v>
      </c>
      <c r="S183" s="71" t="s">
        <v>113</v>
      </c>
    </row>
    <row r="184">
      <c r="A184" s="122"/>
      <c r="B184" s="123"/>
      <c r="C184" s="123"/>
      <c r="D184" s="123"/>
      <c r="E184" s="602" t="s">
        <v>275</v>
      </c>
      <c r="F184" s="188" t="s">
        <v>79</v>
      </c>
      <c r="G184" s="199" t="s">
        <v>136</v>
      </c>
      <c r="H184" s="603">
        <v>0.025</v>
      </c>
      <c r="I184" s="746" t="s">
        <v>144</v>
      </c>
      <c r="J184" s="746" t="s">
        <v>144</v>
      </c>
      <c r="K184" s="746" t="s">
        <v>144</v>
      </c>
      <c r="L184" s="746" t="s">
        <v>144</v>
      </c>
      <c r="M184" s="746" t="s">
        <v>144</v>
      </c>
      <c r="N184" s="746" t="s">
        <v>144</v>
      </c>
      <c r="O184" s="746" t="s">
        <v>144</v>
      </c>
      <c r="P184" s="747" t="s">
        <v>144</v>
      </c>
      <c r="Q184" s="574"/>
      <c r="R184" s="606" t="s">
        <v>542</v>
      </c>
      <c r="S184" s="71" t="s">
        <v>113</v>
      </c>
    </row>
    <row r="185">
      <c r="A185" s="122"/>
      <c r="B185" s="123"/>
      <c r="C185" s="123"/>
      <c r="D185" s="123"/>
      <c r="E185" s="602" t="s">
        <v>276</v>
      </c>
      <c r="F185" s="188" t="s">
        <v>79</v>
      </c>
      <c r="G185" s="199" t="s">
        <v>136</v>
      </c>
      <c r="H185" s="603">
        <v>0.2</v>
      </c>
      <c r="I185" s="746" t="s">
        <v>144</v>
      </c>
      <c r="J185" s="746" t="s">
        <v>144</v>
      </c>
      <c r="K185" s="746" t="s">
        <v>144</v>
      </c>
      <c r="L185" s="746" t="s">
        <v>144</v>
      </c>
      <c r="M185" s="746" t="s">
        <v>144</v>
      </c>
      <c r="N185" s="746" t="s">
        <v>144</v>
      </c>
      <c r="O185" s="746" t="s">
        <v>144</v>
      </c>
      <c r="P185" s="747" t="s">
        <v>144</v>
      </c>
      <c r="Q185" s="574"/>
      <c r="R185" s="606" t="s">
        <v>542</v>
      </c>
      <c r="S185" s="71" t="s">
        <v>113</v>
      </c>
    </row>
    <row r="186">
      <c r="A186" s="122"/>
      <c r="B186" s="123"/>
      <c r="C186" s="123"/>
      <c r="D186" s="123"/>
      <c r="E186" s="602" t="s">
        <v>278</v>
      </c>
      <c r="F186" s="188" t="s">
        <v>79</v>
      </c>
      <c r="G186" s="199" t="s">
        <v>136</v>
      </c>
      <c r="H186" s="603">
        <v>-0.04</v>
      </c>
      <c r="I186" s="746" t="s">
        <v>144</v>
      </c>
      <c r="J186" s="746" t="s">
        <v>144</v>
      </c>
      <c r="K186" s="746" t="s">
        <v>144</v>
      </c>
      <c r="L186" s="746" t="s">
        <v>144</v>
      </c>
      <c r="M186" s="746" t="s">
        <v>144</v>
      </c>
      <c r="N186" s="746" t="s">
        <v>144</v>
      </c>
      <c r="O186" s="746" t="s">
        <v>144</v>
      </c>
      <c r="P186" s="747" t="s">
        <v>144</v>
      </c>
      <c r="Q186" s="574"/>
      <c r="R186" s="606" t="s">
        <v>542</v>
      </c>
      <c r="S186" s="71" t="s">
        <v>113</v>
      </c>
    </row>
    <row r="187">
      <c r="A187" s="122"/>
      <c r="B187" s="123"/>
      <c r="C187" s="123"/>
      <c r="D187" s="123"/>
      <c r="E187" s="602" t="s">
        <v>279</v>
      </c>
      <c r="F187" s="188" t="s">
        <v>79</v>
      </c>
      <c r="G187" s="199" t="s">
        <v>136</v>
      </c>
      <c r="H187" s="603">
        <v>0.024</v>
      </c>
      <c r="I187" s="746" t="s">
        <v>144</v>
      </c>
      <c r="J187" s="746" t="s">
        <v>144</v>
      </c>
      <c r="K187" s="746" t="s">
        <v>144</v>
      </c>
      <c r="L187" s="746" t="s">
        <v>144</v>
      </c>
      <c r="M187" s="746" t="s">
        <v>144</v>
      </c>
      <c r="N187" s="746" t="s">
        <v>144</v>
      </c>
      <c r="O187" s="746" t="s">
        <v>144</v>
      </c>
      <c r="P187" s="747" t="s">
        <v>144</v>
      </c>
      <c r="Q187" s="574"/>
      <c r="R187" s="606" t="s">
        <v>542</v>
      </c>
      <c r="S187" s="71" t="s">
        <v>113</v>
      </c>
    </row>
    <row r="188">
      <c r="A188" s="122"/>
      <c r="B188" s="123"/>
      <c r="C188" s="123"/>
      <c r="D188" s="123"/>
      <c r="E188" s="602" t="s">
        <v>280</v>
      </c>
      <c r="F188" s="188" t="s">
        <v>79</v>
      </c>
      <c r="G188" s="199" t="s">
        <v>136</v>
      </c>
      <c r="H188" s="571" t="s">
        <v>144</v>
      </c>
      <c r="I188" s="746">
        <v>0.0</v>
      </c>
      <c r="J188" s="746">
        <v>-0.05</v>
      </c>
      <c r="K188" s="746">
        <v>-0.15</v>
      </c>
      <c r="L188" s="746">
        <v>-0.05</v>
      </c>
      <c r="M188" s="746">
        <v>-0.05</v>
      </c>
      <c r="N188" s="746">
        <v>-0.15</v>
      </c>
      <c r="O188" s="746">
        <v>-0.15</v>
      </c>
      <c r="P188" s="747">
        <v>-0.15</v>
      </c>
      <c r="Q188" s="574"/>
      <c r="R188" s="606" t="s">
        <v>542</v>
      </c>
      <c r="S188" s="71" t="s">
        <v>113</v>
      </c>
    </row>
    <row r="189">
      <c r="A189" s="122"/>
      <c r="B189" s="123"/>
      <c r="C189" s="123"/>
      <c r="D189" s="123"/>
      <c r="E189" s="635" t="s">
        <v>281</v>
      </c>
      <c r="F189" s="217" t="s">
        <v>79</v>
      </c>
      <c r="G189" s="199" t="s">
        <v>136</v>
      </c>
      <c r="H189" s="718">
        <v>0.05</v>
      </c>
      <c r="I189" s="579" t="s">
        <v>144</v>
      </c>
      <c r="J189" s="579" t="s">
        <v>144</v>
      </c>
      <c r="K189" s="579" t="s">
        <v>144</v>
      </c>
      <c r="L189" s="579" t="s">
        <v>144</v>
      </c>
      <c r="M189" s="579" t="s">
        <v>144</v>
      </c>
      <c r="N189" s="579" t="s">
        <v>144</v>
      </c>
      <c r="O189" s="579" t="s">
        <v>144</v>
      </c>
      <c r="P189" s="580" t="s">
        <v>144</v>
      </c>
      <c r="Q189" s="581"/>
      <c r="R189" s="606" t="s">
        <v>542</v>
      </c>
      <c r="S189" s="71" t="s">
        <v>113</v>
      </c>
    </row>
    <row r="190">
      <c r="A190" s="122"/>
      <c r="B190" s="123"/>
      <c r="C190" s="123"/>
      <c r="D190" s="123"/>
      <c r="E190" s="607" t="s">
        <v>282</v>
      </c>
      <c r="F190" s="221" t="s">
        <v>79</v>
      </c>
      <c r="G190" s="165" t="s">
        <v>136</v>
      </c>
      <c r="H190" s="608">
        <v>-0.02</v>
      </c>
      <c r="I190" s="586" t="s">
        <v>144</v>
      </c>
      <c r="J190" s="586" t="s">
        <v>144</v>
      </c>
      <c r="K190" s="586" t="s">
        <v>144</v>
      </c>
      <c r="L190" s="586" t="s">
        <v>144</v>
      </c>
      <c r="M190" s="586" t="s">
        <v>144</v>
      </c>
      <c r="N190" s="586" t="s">
        <v>144</v>
      </c>
      <c r="O190" s="586" t="s">
        <v>144</v>
      </c>
      <c r="P190" s="587" t="s">
        <v>144</v>
      </c>
      <c r="Q190" s="588"/>
      <c r="R190" s="566" t="s">
        <v>542</v>
      </c>
      <c r="S190" s="618" t="s">
        <v>113</v>
      </c>
    </row>
    <row r="191">
      <c r="A191" s="772"/>
      <c r="E191" s="773"/>
      <c r="H191" s="774"/>
      <c r="P191" s="530"/>
      <c r="Q191" s="772"/>
      <c r="S191" s="530"/>
    </row>
    <row r="192">
      <c r="A192" s="118" t="s">
        <v>284</v>
      </c>
      <c r="B192" s="6"/>
      <c r="C192" s="6"/>
      <c r="D192" s="6"/>
      <c r="E192" s="6"/>
      <c r="F192" s="6"/>
      <c r="G192" s="93"/>
      <c r="H192" s="553"/>
      <c r="I192" s="742"/>
      <c r="J192" s="742"/>
      <c r="K192" s="742"/>
      <c r="L192" s="742"/>
      <c r="M192" s="742"/>
      <c r="N192" s="742"/>
      <c r="O192" s="742"/>
      <c r="P192" s="395"/>
      <c r="Q192" s="743"/>
      <c r="R192" s="744"/>
      <c r="S192" s="557"/>
    </row>
    <row r="193">
      <c r="A193" s="122"/>
      <c r="B193" s="123"/>
      <c r="C193" s="123"/>
      <c r="D193" s="123"/>
      <c r="E193" s="558"/>
      <c r="F193" s="125"/>
      <c r="G193" s="126"/>
      <c r="H193" s="559"/>
      <c r="I193" s="294"/>
      <c r="J193" s="294"/>
      <c r="K193" s="294"/>
      <c r="L193" s="294"/>
      <c r="M193" s="294"/>
      <c r="N193" s="294"/>
      <c r="O193" s="294"/>
      <c r="P193" s="143"/>
      <c r="Q193" s="70"/>
      <c r="R193" s="561"/>
      <c r="S193" s="562"/>
    </row>
    <row r="194">
      <c r="A194" s="122"/>
      <c r="B194" s="123"/>
      <c r="C194" s="168" t="s">
        <v>485</v>
      </c>
      <c r="F194" s="125"/>
      <c r="G194" s="126"/>
      <c r="H194" s="559"/>
      <c r="I194" s="294"/>
      <c r="J194" s="294"/>
      <c r="K194" s="294"/>
      <c r="L194" s="294"/>
      <c r="M194" s="294"/>
      <c r="N194" s="294"/>
      <c r="O194" s="294"/>
      <c r="P194" s="143"/>
      <c r="Q194" s="70"/>
      <c r="R194" s="561"/>
      <c r="S194" s="562"/>
    </row>
    <row r="195">
      <c r="A195" s="122"/>
      <c r="B195" s="123"/>
      <c r="C195" s="123"/>
      <c r="D195" s="123"/>
      <c r="E195" s="602" t="s">
        <v>486</v>
      </c>
      <c r="F195" s="188" t="s">
        <v>79</v>
      </c>
      <c r="G195" s="199" t="s">
        <v>136</v>
      </c>
      <c r="H195" s="571" t="s">
        <v>144</v>
      </c>
      <c r="I195" s="746">
        <v>0.0</v>
      </c>
      <c r="J195" s="746">
        <v>0.0</v>
      </c>
      <c r="K195" s="746">
        <v>0.0</v>
      </c>
      <c r="L195" s="746">
        <v>0.0</v>
      </c>
      <c r="M195" s="746">
        <v>0.0</v>
      </c>
      <c r="N195" s="746">
        <v>0.0</v>
      </c>
      <c r="O195" s="746">
        <v>0.0</v>
      </c>
      <c r="P195" s="747">
        <v>0.0</v>
      </c>
      <c r="Q195" s="574"/>
      <c r="R195" s="606" t="s">
        <v>540</v>
      </c>
      <c r="S195" s="723"/>
    </row>
    <row r="196">
      <c r="A196" s="122"/>
      <c r="B196" s="123"/>
      <c r="C196" s="123"/>
      <c r="D196" s="123"/>
      <c r="E196" s="635" t="s">
        <v>487</v>
      </c>
      <c r="F196" s="217" t="s">
        <v>79</v>
      </c>
      <c r="G196" s="218" t="s">
        <v>136</v>
      </c>
      <c r="H196" s="578" t="s">
        <v>144</v>
      </c>
      <c r="I196" s="579">
        <v>0.4</v>
      </c>
      <c r="J196" s="579">
        <v>0.2</v>
      </c>
      <c r="K196" s="579">
        <v>0.35</v>
      </c>
      <c r="L196" s="579">
        <v>0.35</v>
      </c>
      <c r="M196" s="579">
        <v>0.2</v>
      </c>
      <c r="N196" s="579">
        <v>0.15</v>
      </c>
      <c r="O196" s="579">
        <v>0.6</v>
      </c>
      <c r="P196" s="580">
        <v>0.4</v>
      </c>
      <c r="Q196" s="581"/>
      <c r="R196" s="738" t="s">
        <v>540</v>
      </c>
      <c r="S196" s="721"/>
    </row>
    <row r="197">
      <c r="A197" s="122"/>
      <c r="B197" s="123"/>
      <c r="C197" s="123"/>
      <c r="D197" s="123"/>
      <c r="E197" s="607" t="s">
        <v>488</v>
      </c>
      <c r="F197" s="221" t="s">
        <v>79</v>
      </c>
      <c r="G197" s="222" t="s">
        <v>136</v>
      </c>
      <c r="H197" s="585" t="s">
        <v>144</v>
      </c>
      <c r="I197" s="586">
        <v>0.0</v>
      </c>
      <c r="J197" s="586">
        <v>0.0</v>
      </c>
      <c r="K197" s="586">
        <v>0.0</v>
      </c>
      <c r="L197" s="586">
        <v>0.0</v>
      </c>
      <c r="M197" s="586">
        <v>0.0</v>
      </c>
      <c r="N197" s="586">
        <v>0.0</v>
      </c>
      <c r="O197" s="586">
        <v>0.0</v>
      </c>
      <c r="P197" s="586">
        <v>0.0</v>
      </c>
      <c r="Q197" s="588"/>
      <c r="R197" s="729" t="s">
        <v>540</v>
      </c>
      <c r="S197" s="611"/>
    </row>
    <row r="198">
      <c r="A198" s="122"/>
      <c r="B198" s="123"/>
      <c r="C198" s="123"/>
      <c r="D198" s="123"/>
      <c r="E198" s="558"/>
      <c r="F198" s="125"/>
      <c r="G198" s="126"/>
      <c r="H198" s="559"/>
      <c r="I198" s="294"/>
      <c r="J198" s="294"/>
      <c r="K198" s="294"/>
      <c r="L198" s="294"/>
      <c r="M198" s="294"/>
      <c r="N198" s="294"/>
      <c r="O198" s="294"/>
      <c r="P198" s="143"/>
      <c r="Q198" s="70"/>
      <c r="R198" s="561"/>
      <c r="S198" s="562"/>
    </row>
    <row r="199">
      <c r="A199" s="122"/>
      <c r="B199" s="123"/>
      <c r="C199" s="57" t="s">
        <v>490</v>
      </c>
      <c r="F199" s="10"/>
      <c r="G199" s="11"/>
      <c r="H199" s="559"/>
      <c r="I199" s="294"/>
      <c r="J199" s="294"/>
      <c r="K199" s="294"/>
      <c r="L199" s="294"/>
      <c r="M199" s="294"/>
      <c r="N199" s="294"/>
      <c r="O199" s="294"/>
      <c r="P199" s="143"/>
      <c r="Q199" s="70"/>
      <c r="R199" s="561"/>
      <c r="S199" s="562"/>
    </row>
    <row r="200">
      <c r="A200" s="122"/>
      <c r="B200" s="123"/>
      <c r="C200" s="10"/>
      <c r="D200" s="10"/>
      <c r="E200" s="570" t="s">
        <v>486</v>
      </c>
      <c r="F200" s="479" t="s">
        <v>79</v>
      </c>
      <c r="G200" s="146" t="s">
        <v>136</v>
      </c>
      <c r="H200" s="603">
        <v>1.0</v>
      </c>
      <c r="I200" s="145" t="s">
        <v>144</v>
      </c>
      <c r="J200" s="145" t="s">
        <v>144</v>
      </c>
      <c r="K200" s="145" t="s">
        <v>144</v>
      </c>
      <c r="L200" s="145" t="s">
        <v>144</v>
      </c>
      <c r="M200" s="145" t="s">
        <v>144</v>
      </c>
      <c r="N200" s="145" t="s">
        <v>144</v>
      </c>
      <c r="O200" s="145" t="s">
        <v>144</v>
      </c>
      <c r="P200" s="722" t="s">
        <v>144</v>
      </c>
      <c r="Q200" s="574"/>
      <c r="R200" s="575" t="s">
        <v>540</v>
      </c>
      <c r="S200" s="723"/>
    </row>
    <row r="201">
      <c r="A201" s="122"/>
      <c r="B201" s="123"/>
      <c r="C201" s="10"/>
      <c r="D201" s="10"/>
      <c r="E201" s="775" t="s">
        <v>487</v>
      </c>
      <c r="F201" s="283" t="s">
        <v>79</v>
      </c>
      <c r="G201" s="152" t="s">
        <v>136</v>
      </c>
      <c r="H201" s="718">
        <v>1.0</v>
      </c>
      <c r="I201" s="151" t="s">
        <v>144</v>
      </c>
      <c r="J201" s="151" t="s">
        <v>144</v>
      </c>
      <c r="K201" s="151" t="s">
        <v>144</v>
      </c>
      <c r="L201" s="151" t="s">
        <v>144</v>
      </c>
      <c r="M201" s="151" t="s">
        <v>144</v>
      </c>
      <c r="N201" s="151" t="s">
        <v>144</v>
      </c>
      <c r="O201" s="151" t="s">
        <v>144</v>
      </c>
      <c r="P201" s="280" t="s">
        <v>144</v>
      </c>
      <c r="Q201" s="581"/>
      <c r="R201" s="582" t="s">
        <v>540</v>
      </c>
      <c r="S201" s="721"/>
    </row>
    <row r="202">
      <c r="A202" s="122"/>
      <c r="B202" s="123"/>
      <c r="C202" s="10"/>
      <c r="D202" s="10"/>
      <c r="E202" s="776" t="s">
        <v>489</v>
      </c>
      <c r="F202" s="482" t="s">
        <v>79</v>
      </c>
      <c r="G202" s="158" t="s">
        <v>136</v>
      </c>
      <c r="H202" s="608">
        <v>0.0</v>
      </c>
      <c r="I202" s="157" t="s">
        <v>144</v>
      </c>
      <c r="J202" s="157" t="s">
        <v>144</v>
      </c>
      <c r="K202" s="157" t="s">
        <v>144</v>
      </c>
      <c r="L202" s="157" t="s">
        <v>144</v>
      </c>
      <c r="M202" s="157" t="s">
        <v>144</v>
      </c>
      <c r="N202" s="157" t="s">
        <v>144</v>
      </c>
      <c r="O202" s="157" t="s">
        <v>144</v>
      </c>
      <c r="P202" s="728" t="s">
        <v>144</v>
      </c>
      <c r="Q202" s="588"/>
      <c r="R202" s="729" t="s">
        <v>540</v>
      </c>
      <c r="S202" s="611"/>
    </row>
    <row r="203">
      <c r="A203" s="122"/>
      <c r="B203" s="123"/>
      <c r="C203" s="123"/>
      <c r="D203" s="123"/>
      <c r="E203" s="558"/>
      <c r="F203" s="125"/>
      <c r="G203" s="126"/>
      <c r="H203" s="559"/>
      <c r="I203" s="294"/>
      <c r="J203" s="294"/>
      <c r="K203" s="294"/>
      <c r="L203" s="294"/>
      <c r="M203" s="294"/>
      <c r="N203" s="294"/>
      <c r="O203" s="294"/>
      <c r="P203" s="143"/>
      <c r="Q203" s="70"/>
      <c r="R203" s="561"/>
      <c r="S203" s="562"/>
    </row>
    <row r="204">
      <c r="A204" s="122"/>
      <c r="B204" s="123"/>
      <c r="C204" s="168" t="s">
        <v>496</v>
      </c>
      <c r="F204" s="140"/>
      <c r="G204" s="126"/>
      <c r="H204" s="559"/>
      <c r="I204" s="294"/>
      <c r="J204" s="294"/>
      <c r="K204" s="294"/>
      <c r="L204" s="294"/>
      <c r="M204" s="294"/>
      <c r="N204" s="294"/>
      <c r="O204" s="294"/>
      <c r="P204" s="143"/>
      <c r="Q204" s="70"/>
      <c r="R204" s="561"/>
      <c r="S204" s="562"/>
    </row>
    <row r="205">
      <c r="A205" s="122"/>
      <c r="B205" s="123"/>
      <c r="C205" s="123"/>
      <c r="D205" s="123"/>
      <c r="E205" s="602" t="s">
        <v>497</v>
      </c>
      <c r="F205" s="188" t="s">
        <v>83</v>
      </c>
      <c r="G205" s="199" t="s">
        <v>136</v>
      </c>
      <c r="H205" s="777">
        <v>0.005057</v>
      </c>
      <c r="I205" s="479" t="s">
        <v>144</v>
      </c>
      <c r="J205" s="479" t="s">
        <v>144</v>
      </c>
      <c r="K205" s="479" t="s">
        <v>144</v>
      </c>
      <c r="L205" s="479" t="s">
        <v>144</v>
      </c>
      <c r="M205" s="479" t="s">
        <v>144</v>
      </c>
      <c r="N205" s="479" t="s">
        <v>144</v>
      </c>
      <c r="O205" s="479" t="s">
        <v>144</v>
      </c>
      <c r="P205" s="146" t="s">
        <v>144</v>
      </c>
      <c r="Q205" s="574"/>
      <c r="R205" s="606" t="s">
        <v>540</v>
      </c>
      <c r="S205" s="778" t="s">
        <v>115</v>
      </c>
    </row>
    <row r="206">
      <c r="A206" s="122"/>
      <c r="B206" s="123"/>
      <c r="C206" s="123"/>
      <c r="D206" s="123"/>
      <c r="E206" s="592" t="s">
        <v>498</v>
      </c>
      <c r="F206" s="134" t="s">
        <v>83</v>
      </c>
      <c r="G206" s="165" t="s">
        <v>136</v>
      </c>
      <c r="H206" s="761">
        <v>0.015433</v>
      </c>
      <c r="I206" s="779" t="s">
        <v>144</v>
      </c>
      <c r="J206" s="779" t="s">
        <v>144</v>
      </c>
      <c r="K206" s="779" t="s">
        <v>144</v>
      </c>
      <c r="L206" s="779" t="s">
        <v>144</v>
      </c>
      <c r="M206" s="779" t="s">
        <v>144</v>
      </c>
      <c r="N206" s="779" t="s">
        <v>144</v>
      </c>
      <c r="O206" s="779" t="s">
        <v>144</v>
      </c>
      <c r="P206" s="780" t="s">
        <v>144</v>
      </c>
      <c r="Q206" s="86"/>
      <c r="R206" s="566" t="s">
        <v>540</v>
      </c>
      <c r="S206" s="618" t="s">
        <v>116</v>
      </c>
    </row>
    <row r="207">
      <c r="A207" s="352"/>
      <c r="B207" s="353"/>
      <c r="C207" s="353"/>
      <c r="D207" s="353"/>
      <c r="E207" s="781"/>
      <c r="F207" s="355"/>
      <c r="G207" s="508"/>
      <c r="H207" s="782"/>
      <c r="I207" s="783"/>
      <c r="J207" s="783"/>
      <c r="K207" s="783"/>
      <c r="L207" s="783"/>
      <c r="M207" s="783"/>
      <c r="N207" s="783"/>
      <c r="O207" s="783"/>
      <c r="P207" s="784"/>
      <c r="Q207" s="86"/>
      <c r="R207" s="785"/>
      <c r="S207" s="786"/>
    </row>
  </sheetData>
  <mergeCells count="50">
    <mergeCell ref="I1:P1"/>
    <mergeCell ref="A3:E3"/>
    <mergeCell ref="A5:G5"/>
    <mergeCell ref="C7:E7"/>
    <mergeCell ref="C10:E10"/>
    <mergeCell ref="C15:E15"/>
    <mergeCell ref="A18:G18"/>
    <mergeCell ref="C20:E20"/>
    <mergeCell ref="C24:E24"/>
    <mergeCell ref="C27:E27"/>
    <mergeCell ref="A32:G32"/>
    <mergeCell ref="C34:E34"/>
    <mergeCell ref="C40:E40"/>
    <mergeCell ref="C46:E46"/>
    <mergeCell ref="C50:E50"/>
    <mergeCell ref="C53:E53"/>
    <mergeCell ref="C56:E56"/>
    <mergeCell ref="C59:E59"/>
    <mergeCell ref="C62:E62"/>
    <mergeCell ref="C67:E67"/>
    <mergeCell ref="C72:E72"/>
    <mergeCell ref="C77:E77"/>
    <mergeCell ref="A82:G82"/>
    <mergeCell ref="C84:E84"/>
    <mergeCell ref="C88:E88"/>
    <mergeCell ref="C92:E92"/>
    <mergeCell ref="C99:E99"/>
    <mergeCell ref="A103:G103"/>
    <mergeCell ref="C105:E105"/>
    <mergeCell ref="C111:E111"/>
    <mergeCell ref="C114:E114"/>
    <mergeCell ref="C120:E120"/>
    <mergeCell ref="C123:E123"/>
    <mergeCell ref="A129:G129"/>
    <mergeCell ref="C131:E131"/>
    <mergeCell ref="D167:E167"/>
    <mergeCell ref="D171:E171"/>
    <mergeCell ref="D174:E174"/>
    <mergeCell ref="C179:E179"/>
    <mergeCell ref="A192:G192"/>
    <mergeCell ref="C194:E194"/>
    <mergeCell ref="C199:E199"/>
    <mergeCell ref="C204:E204"/>
    <mergeCell ref="C139:E139"/>
    <mergeCell ref="C144:E144"/>
    <mergeCell ref="A151:G151"/>
    <mergeCell ref="C153:E153"/>
    <mergeCell ref="A159:G159"/>
    <mergeCell ref="A164:G164"/>
    <mergeCell ref="C166:E166"/>
  </mergeCells>
  <hyperlinks>
    <hyperlink r:id="rId2" location="gid=1430231703" ref="S21"/>
    <hyperlink r:id="rId3" ref="S25"/>
    <hyperlink r:id="rId4" ref="S35"/>
    <hyperlink r:id="rId5" ref="S36"/>
    <hyperlink r:id="rId6" ref="S37"/>
    <hyperlink r:id="rId7" ref="S38"/>
    <hyperlink r:id="rId8" ref="S41"/>
    <hyperlink r:id="rId9" ref="S42"/>
    <hyperlink r:id="rId10" ref="S43"/>
    <hyperlink r:id="rId11" ref="S44"/>
    <hyperlink r:id="rId12" ref="S47"/>
    <hyperlink r:id="rId13" ref="S48"/>
    <hyperlink r:id="rId14" location="gid=1825648241&amp;range=J25" ref="S57"/>
    <hyperlink r:id="rId15" ref="S60"/>
    <hyperlink r:id="rId16" location="gid=175902001&amp;range=A62:B64" ref="S63"/>
    <hyperlink r:id="rId17" location="gid=175902001&amp;range=A62:B64" ref="S64"/>
    <hyperlink r:id="rId18" location="gid=175902001&amp;range=A62:B64" ref="S65"/>
    <hyperlink r:id="rId19" location="gid=389573169&amp;range=B13" ref="S68"/>
    <hyperlink r:id="rId20" location="gid=389573169&amp;range=B20" ref="S69"/>
    <hyperlink r:id="rId21" location="gid=389573169&amp;range=B21" ref="S70"/>
    <hyperlink r:id="rId22" ref="S93"/>
    <hyperlink r:id="rId23" ref="S106"/>
    <hyperlink r:id="rId24" ref="S107"/>
    <hyperlink r:id="rId25" ref="R109"/>
    <hyperlink r:id="rId26" location="gid=1634160031&amp;range=E31:F31" ref="S112"/>
    <hyperlink r:id="rId27" ref="S115"/>
    <hyperlink r:id="rId28" ref="S116"/>
    <hyperlink r:id="rId29" ref="S117"/>
    <hyperlink r:id="rId30" ref="S118"/>
    <hyperlink r:id="rId31" ref="R132"/>
    <hyperlink r:id="rId32" ref="S145"/>
    <hyperlink r:id="rId33" location="gid=1087538420" ref="S147"/>
    <hyperlink r:id="rId34" location="gid=0" ref="S149"/>
    <hyperlink r:id="rId35" location="gid=1087538420" ref="S154"/>
    <hyperlink r:id="rId36" location="gid=1087538420" ref="S155"/>
    <hyperlink r:id="rId37" location="gid=1087538420" ref="S156"/>
    <hyperlink r:id="rId38" location="gid=1087538420" ref="S157"/>
    <hyperlink r:id="rId39" location="gid=1110574950" ref="S162"/>
    <hyperlink r:id="rId40" ref="S180"/>
    <hyperlink r:id="rId41" ref="S181"/>
    <hyperlink r:id="rId42" ref="S182"/>
    <hyperlink r:id="rId43" ref="S183"/>
    <hyperlink r:id="rId44" ref="S184"/>
    <hyperlink r:id="rId45" ref="S185"/>
    <hyperlink r:id="rId46" ref="S186"/>
    <hyperlink r:id="rId47" ref="S187"/>
    <hyperlink r:id="rId48" ref="S188"/>
    <hyperlink r:id="rId49" ref="S189"/>
    <hyperlink r:id="rId50" ref="S190"/>
    <hyperlink r:id="rId51" ref="S205"/>
    <hyperlink r:id="rId52" ref="S206"/>
  </hyperlinks>
  <drawing r:id="rId53"/>
  <legacy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
    <col customWidth="1" min="2" max="5" width="13.38"/>
    <col customWidth="1" min="6" max="6" width="2.88"/>
    <col customWidth="1" min="7" max="10" width="13.38"/>
    <col customWidth="1" min="11" max="11" width="2.88"/>
  </cols>
  <sheetData>
    <row r="1">
      <c r="A1" s="787" t="s">
        <v>556</v>
      </c>
      <c r="B1" s="6"/>
      <c r="C1" s="6"/>
      <c r="D1" s="6"/>
      <c r="E1" s="6"/>
      <c r="F1" s="6"/>
      <c r="G1" s="6"/>
      <c r="H1" s="6"/>
      <c r="I1" s="6"/>
      <c r="J1" s="6"/>
      <c r="K1" s="6"/>
      <c r="L1" s="6"/>
      <c r="M1" s="6"/>
      <c r="N1" s="6"/>
      <c r="O1" s="6"/>
      <c r="P1" s="6"/>
      <c r="Q1" s="6"/>
      <c r="R1" s="6"/>
      <c r="S1" s="6"/>
      <c r="T1" s="6"/>
      <c r="U1" s="6"/>
      <c r="V1" s="6"/>
      <c r="W1" s="6"/>
      <c r="X1" s="6"/>
      <c r="Y1" s="6"/>
      <c r="Z1" s="6"/>
      <c r="AA1" s="93"/>
    </row>
    <row r="2">
      <c r="A2" s="773"/>
    </row>
    <row r="3">
      <c r="A3" s="788"/>
      <c r="B3" s="789" t="s">
        <v>557</v>
      </c>
      <c r="C3" s="790"/>
      <c r="D3" s="791"/>
      <c r="E3" s="791"/>
      <c r="F3" s="791"/>
      <c r="G3" s="790"/>
      <c r="H3" s="790"/>
      <c r="I3" s="791"/>
      <c r="J3" s="791"/>
      <c r="K3" s="791"/>
      <c r="L3" s="773"/>
      <c r="M3" s="773"/>
      <c r="N3" s="773"/>
      <c r="O3" s="773"/>
      <c r="P3" s="773"/>
      <c r="Q3" s="773"/>
      <c r="R3" s="773"/>
      <c r="S3" s="773"/>
      <c r="T3" s="773"/>
      <c r="U3" s="773"/>
      <c r="V3" s="773"/>
      <c r="W3" s="773"/>
      <c r="X3" s="773"/>
      <c r="Y3" s="773"/>
      <c r="Z3" s="773"/>
      <c r="AA3" s="773"/>
    </row>
    <row r="4">
      <c r="A4" s="788"/>
      <c r="B4" s="790"/>
      <c r="C4" s="790"/>
      <c r="D4" s="791"/>
      <c r="E4" s="791"/>
      <c r="F4" s="791"/>
      <c r="G4" s="790"/>
      <c r="H4" s="790"/>
      <c r="I4" s="791"/>
      <c r="J4" s="791"/>
      <c r="K4" s="791"/>
      <c r="L4" s="773"/>
      <c r="M4" s="773"/>
      <c r="N4" s="773"/>
      <c r="O4" s="773"/>
      <c r="P4" s="773"/>
      <c r="Q4" s="773"/>
      <c r="R4" s="773"/>
      <c r="S4" s="773"/>
      <c r="T4" s="773"/>
      <c r="U4" s="773"/>
      <c r="V4" s="773"/>
      <c r="W4" s="773"/>
      <c r="X4" s="773"/>
      <c r="Y4" s="773"/>
      <c r="Z4" s="773"/>
      <c r="AA4" s="773"/>
    </row>
    <row r="5">
      <c r="A5" s="788"/>
      <c r="B5" s="792" t="s">
        <v>558</v>
      </c>
      <c r="C5" s="793"/>
      <c r="D5" s="791"/>
      <c r="E5" s="791"/>
      <c r="F5" s="791"/>
      <c r="G5" s="792" t="s">
        <v>559</v>
      </c>
      <c r="H5" s="793"/>
      <c r="I5" s="791"/>
      <c r="J5" s="791"/>
      <c r="K5" s="791"/>
      <c r="L5" s="773"/>
      <c r="M5" s="773"/>
      <c r="N5" s="773"/>
      <c r="O5" s="773"/>
      <c r="P5" s="773"/>
      <c r="Q5" s="773"/>
      <c r="R5" s="773"/>
      <c r="S5" s="773"/>
      <c r="T5" s="773"/>
      <c r="U5" s="773"/>
      <c r="V5" s="773"/>
      <c r="W5" s="773"/>
      <c r="X5" s="773"/>
      <c r="Y5" s="773"/>
      <c r="Z5" s="773"/>
      <c r="AA5" s="773"/>
    </row>
    <row r="6">
      <c r="A6" s="788"/>
      <c r="B6" s="794" t="s">
        <v>560</v>
      </c>
      <c r="C6" s="795" t="s">
        <v>561</v>
      </c>
      <c r="D6" s="791"/>
      <c r="E6" s="791"/>
      <c r="F6" s="791"/>
      <c r="G6" s="796" t="s">
        <v>560</v>
      </c>
      <c r="H6" s="797" t="s">
        <v>561</v>
      </c>
      <c r="I6" s="791"/>
      <c r="J6" s="791"/>
      <c r="K6" s="791"/>
      <c r="L6" s="773"/>
      <c r="M6" s="773"/>
      <c r="N6" s="773"/>
      <c r="O6" s="773"/>
      <c r="P6" s="773"/>
      <c r="Q6" s="773"/>
      <c r="R6" s="773"/>
      <c r="S6" s="773"/>
      <c r="T6" s="773"/>
      <c r="U6" s="773"/>
      <c r="V6" s="773"/>
      <c r="W6" s="773"/>
      <c r="X6" s="773"/>
      <c r="Y6" s="773"/>
      <c r="Z6" s="773"/>
      <c r="AA6" s="773"/>
    </row>
    <row r="7">
      <c r="A7" s="788"/>
      <c r="B7" s="798">
        <v>0.0</v>
      </c>
      <c r="C7" s="799">
        <v>1.0</v>
      </c>
      <c r="D7" s="800"/>
      <c r="E7" s="800"/>
      <c r="F7" s="800"/>
      <c r="G7" s="798">
        <v>0.0</v>
      </c>
      <c r="H7" s="799">
        <v>1.0</v>
      </c>
      <c r="I7" s="800"/>
      <c r="J7" s="800"/>
      <c r="K7" s="800"/>
    </row>
    <row r="8">
      <c r="A8" s="788"/>
      <c r="B8" s="798">
        <v>1.0</v>
      </c>
      <c r="C8" s="801">
        <f>'Effective coverage'!J82</f>
        <v>0.808649581</v>
      </c>
      <c r="D8" s="800"/>
      <c r="E8" s="800"/>
      <c r="F8" s="800"/>
      <c r="G8" s="798">
        <v>1.0</v>
      </c>
      <c r="H8" s="801">
        <f>'Effective coverage'!I82</f>
        <v>0.9152954086</v>
      </c>
      <c r="I8" s="800"/>
      <c r="J8" s="800"/>
      <c r="K8" s="800"/>
    </row>
    <row r="9">
      <c r="A9" s="788"/>
      <c r="B9" s="798">
        <v>2.0</v>
      </c>
      <c r="C9" s="801">
        <f>'Effective coverage'!J83</f>
        <v>0.6004596144</v>
      </c>
      <c r="D9" s="800"/>
      <c r="E9" s="800"/>
      <c r="F9" s="800"/>
      <c r="G9" s="798">
        <v>2.0</v>
      </c>
      <c r="H9" s="801">
        <f>'Effective coverage'!I83</f>
        <v>0.7156622757</v>
      </c>
      <c r="I9" s="800"/>
      <c r="J9" s="800"/>
      <c r="K9" s="800"/>
    </row>
    <row r="10">
      <c r="A10" s="788"/>
      <c r="B10" s="798">
        <v>3.0</v>
      </c>
      <c r="C10" s="801">
        <f>'Effective coverage'!J84</f>
        <v>0.3248545315</v>
      </c>
      <c r="D10" s="800"/>
      <c r="E10" s="800"/>
      <c r="F10" s="800"/>
      <c r="G10" s="798">
        <v>3.0</v>
      </c>
      <c r="H10" s="801">
        <f>'Effective coverage'!I84</f>
        <v>0.4810232518</v>
      </c>
      <c r="I10" s="800"/>
      <c r="J10" s="800"/>
      <c r="K10" s="800"/>
    </row>
    <row r="11">
      <c r="A11" s="788"/>
      <c r="B11" s="798">
        <v>4.0</v>
      </c>
      <c r="C11" s="801">
        <f>'Effective coverage'!J85</f>
        <v>0.07017694182</v>
      </c>
      <c r="D11" s="800"/>
      <c r="E11" s="800"/>
      <c r="F11" s="800"/>
      <c r="G11" s="798">
        <v>4.0</v>
      </c>
      <c r="H11" s="801">
        <f>'Effective coverage'!I85</f>
        <v>0.2032872753</v>
      </c>
      <c r="I11" s="800"/>
      <c r="J11" s="800"/>
      <c r="K11" s="800"/>
    </row>
    <row r="12">
      <c r="A12" s="788"/>
      <c r="B12" s="798">
        <v>5.0</v>
      </c>
      <c r="C12" s="801">
        <f>'Effective coverage'!J86</f>
        <v>0</v>
      </c>
      <c r="D12" s="800"/>
      <c r="E12" s="800"/>
      <c r="F12" s="800"/>
      <c r="G12" s="798">
        <v>5.0</v>
      </c>
      <c r="H12" s="801">
        <f>'Effective coverage'!I86</f>
        <v>0.06133062378</v>
      </c>
      <c r="I12" s="800"/>
      <c r="J12" s="800"/>
      <c r="K12" s="800"/>
    </row>
    <row r="13">
      <c r="A13" s="788"/>
      <c r="B13" s="802">
        <v>6.0</v>
      </c>
      <c r="C13" s="803">
        <f>'Effective coverage'!J87</f>
        <v>0</v>
      </c>
      <c r="D13" s="800"/>
      <c r="E13" s="800"/>
      <c r="F13" s="800"/>
      <c r="G13" s="802">
        <v>6.0</v>
      </c>
      <c r="H13" s="803">
        <f>'Effective coverage'!I87</f>
        <v>0.0102216156</v>
      </c>
      <c r="I13" s="800"/>
      <c r="J13" s="800"/>
      <c r="K13" s="800"/>
    </row>
    <row r="14">
      <c r="A14" s="788"/>
      <c r="B14" s="800"/>
      <c r="C14" s="800"/>
      <c r="D14" s="800"/>
      <c r="E14" s="800"/>
      <c r="F14" s="800"/>
      <c r="G14" s="800"/>
      <c r="H14" s="800"/>
      <c r="I14" s="800"/>
      <c r="J14" s="800"/>
      <c r="K14" s="800"/>
    </row>
    <row r="15">
      <c r="A15" s="788"/>
      <c r="B15" s="804" t="s">
        <v>562</v>
      </c>
      <c r="C15" s="805"/>
      <c r="D15" s="805"/>
      <c r="E15" s="806"/>
      <c r="F15" s="800"/>
      <c r="G15" s="804" t="s">
        <v>563</v>
      </c>
      <c r="H15" s="805"/>
      <c r="I15" s="805"/>
      <c r="J15" s="806"/>
      <c r="K15" s="800"/>
    </row>
    <row r="16">
      <c r="A16" s="788"/>
      <c r="B16" s="807" t="s">
        <v>564</v>
      </c>
      <c r="C16" s="808" t="s">
        <v>565</v>
      </c>
      <c r="D16" s="809" t="s">
        <v>566</v>
      </c>
      <c r="E16" s="810" t="s">
        <v>567</v>
      </c>
      <c r="F16" s="788"/>
      <c r="G16" s="807" t="s">
        <v>564</v>
      </c>
      <c r="H16" s="808" t="s">
        <v>565</v>
      </c>
      <c r="I16" s="811" t="s">
        <v>566</v>
      </c>
      <c r="J16" s="812" t="s">
        <v>567</v>
      </c>
      <c r="K16" s="788"/>
    </row>
    <row r="17">
      <c r="A17" s="788"/>
      <c r="B17" s="813">
        <v>0.0</v>
      </c>
      <c r="C17" s="814">
        <f>C7</f>
        <v>1</v>
      </c>
      <c r="D17" s="815">
        <f t="shared" ref="D17:D89" si="1">AVERAGE(C$17:C17)</f>
        <v>1</v>
      </c>
      <c r="E17" s="816">
        <f t="shared" ref="E17:E89" si="2">SUM(C18:C89)/12</f>
        <v>1.810311607</v>
      </c>
      <c r="F17" s="817"/>
      <c r="G17" s="813">
        <v>0.0</v>
      </c>
      <c r="H17" s="814">
        <f>H7</f>
        <v>1</v>
      </c>
      <c r="I17" s="815">
        <f t="shared" ref="I17:I89" si="3">AVERAGE(H$17:H17)</f>
        <v>1</v>
      </c>
      <c r="J17" s="816">
        <f t="shared" ref="J17:J89" si="4">SUM(H18:H89)/12</f>
        <v>2.363774528</v>
      </c>
      <c r="K17" s="817"/>
      <c r="L17" s="818"/>
      <c r="M17" s="818"/>
    </row>
    <row r="18">
      <c r="A18" s="819"/>
      <c r="B18" s="813">
        <v>1.0</v>
      </c>
      <c r="C18" s="814">
        <f>C17-((C17-C20)/3)</f>
        <v>0.9681082635</v>
      </c>
      <c r="D18" s="815">
        <f t="shared" si="1"/>
        <v>0.9840541318</v>
      </c>
      <c r="E18" s="816">
        <f t="shared" si="2"/>
        <v>1.729635918</v>
      </c>
      <c r="F18" s="817"/>
      <c r="G18" s="813">
        <v>1.0</v>
      </c>
      <c r="H18" s="814">
        <f>H17-((H17-H20)/3)</f>
        <v>0.9858825681</v>
      </c>
      <c r="I18" s="815">
        <f t="shared" si="3"/>
        <v>0.9929412841</v>
      </c>
      <c r="J18" s="816">
        <f t="shared" si="4"/>
        <v>2.281617647</v>
      </c>
      <c r="K18" s="817"/>
      <c r="L18" s="818"/>
    </row>
    <row r="19">
      <c r="A19" s="773"/>
      <c r="B19" s="813">
        <v>2.0</v>
      </c>
      <c r="C19" s="814">
        <f>C18-((C17-C20)/3)</f>
        <v>0.936216527</v>
      </c>
      <c r="D19" s="815">
        <f t="shared" si="1"/>
        <v>0.9681082635</v>
      </c>
      <c r="E19" s="816">
        <f t="shared" si="2"/>
        <v>1.651617874</v>
      </c>
      <c r="F19" s="817"/>
      <c r="G19" s="813">
        <v>2.0</v>
      </c>
      <c r="H19" s="814">
        <f>H18-((H17-H20)/3)</f>
        <v>0.9717651362</v>
      </c>
      <c r="I19" s="815">
        <f t="shared" si="3"/>
        <v>0.9858825681</v>
      </c>
      <c r="J19" s="816">
        <f t="shared" si="4"/>
        <v>2.200637219</v>
      </c>
      <c r="K19" s="817"/>
    </row>
    <row r="20">
      <c r="A20" s="773"/>
      <c r="B20" s="813">
        <v>3.0</v>
      </c>
      <c r="C20" s="814">
        <f>average(C17,C23)</f>
        <v>0.9043247905</v>
      </c>
      <c r="D20" s="815">
        <f t="shared" si="1"/>
        <v>0.9521623953</v>
      </c>
      <c r="E20" s="816">
        <f t="shared" si="2"/>
        <v>1.576257475</v>
      </c>
      <c r="F20" s="817"/>
      <c r="G20" s="813">
        <v>3.0</v>
      </c>
      <c r="H20" s="814">
        <f>average(H17,H23)</f>
        <v>0.9576477043</v>
      </c>
      <c r="I20" s="815">
        <f t="shared" si="3"/>
        <v>0.9788238522</v>
      </c>
      <c r="J20" s="816">
        <f t="shared" si="4"/>
        <v>2.120833244</v>
      </c>
      <c r="K20" s="817"/>
    </row>
    <row r="21">
      <c r="A21" s="773"/>
      <c r="B21" s="813">
        <v>4.0</v>
      </c>
      <c r="C21" s="814">
        <f>C20-((C20-C23)/3)</f>
        <v>0.872433054</v>
      </c>
      <c r="D21" s="815">
        <f t="shared" si="1"/>
        <v>0.936216527</v>
      </c>
      <c r="E21" s="816">
        <f t="shared" si="2"/>
        <v>1.503554721</v>
      </c>
      <c r="F21" s="817"/>
      <c r="G21" s="813">
        <v>4.0</v>
      </c>
      <c r="H21" s="814">
        <f>H20-((H20-H23)/3)</f>
        <v>0.9435302724</v>
      </c>
      <c r="I21" s="815">
        <f t="shared" si="3"/>
        <v>0.9717651362</v>
      </c>
      <c r="J21" s="816">
        <f t="shared" si="4"/>
        <v>2.042205721</v>
      </c>
      <c r="K21" s="817"/>
    </row>
    <row r="22">
      <c r="A22" s="773"/>
      <c r="B22" s="813">
        <v>5.0</v>
      </c>
      <c r="C22" s="814">
        <f>C21-((C20-C23)/3)</f>
        <v>0.8405413175</v>
      </c>
      <c r="D22" s="815">
        <f t="shared" si="1"/>
        <v>0.9202706588</v>
      </c>
      <c r="E22" s="816">
        <f t="shared" si="2"/>
        <v>1.433509611</v>
      </c>
      <c r="F22" s="817"/>
      <c r="G22" s="813">
        <v>5.0</v>
      </c>
      <c r="H22" s="814">
        <f>H21-((H20-H23)/3)</f>
        <v>0.9294128405</v>
      </c>
      <c r="I22" s="815">
        <f t="shared" si="3"/>
        <v>0.9647064203</v>
      </c>
      <c r="J22" s="816">
        <f t="shared" si="4"/>
        <v>1.964754651</v>
      </c>
      <c r="K22" s="817"/>
    </row>
    <row r="23">
      <c r="A23" s="773"/>
      <c r="B23" s="813">
        <v>6.0</v>
      </c>
      <c r="C23" s="814">
        <f>C8</f>
        <v>0.808649581</v>
      </c>
      <c r="D23" s="815">
        <f t="shared" si="1"/>
        <v>0.9043247905</v>
      </c>
      <c r="E23" s="816">
        <f t="shared" si="2"/>
        <v>1.366122146</v>
      </c>
      <c r="F23" s="817"/>
      <c r="G23" s="813">
        <v>6.0</v>
      </c>
      <c r="H23" s="814">
        <f>H8</f>
        <v>0.9152954086</v>
      </c>
      <c r="I23" s="815">
        <f t="shared" si="3"/>
        <v>0.9576477043</v>
      </c>
      <c r="J23" s="816">
        <f t="shared" si="4"/>
        <v>1.888480034</v>
      </c>
      <c r="K23" s="817"/>
    </row>
    <row r="24">
      <c r="A24" s="773"/>
      <c r="B24" s="813">
        <v>7.0</v>
      </c>
      <c r="C24" s="814">
        <f>C23-((C23-C26)/3)</f>
        <v>0.7913004172</v>
      </c>
      <c r="D24" s="815">
        <f t="shared" si="1"/>
        <v>0.8901967439</v>
      </c>
      <c r="E24" s="816">
        <f t="shared" si="2"/>
        <v>1.300180444</v>
      </c>
      <c r="F24" s="817"/>
      <c r="G24" s="813">
        <v>7.0</v>
      </c>
      <c r="H24" s="814">
        <f>H23-((H23-H26)/3)</f>
        <v>0.8986593142</v>
      </c>
      <c r="I24" s="815">
        <f t="shared" si="3"/>
        <v>0.9502741556</v>
      </c>
      <c r="J24" s="816">
        <f t="shared" si="4"/>
        <v>1.813591758</v>
      </c>
      <c r="K24" s="817"/>
    </row>
    <row r="25">
      <c r="A25" s="773"/>
      <c r="B25" s="813">
        <v>8.0</v>
      </c>
      <c r="C25" s="814">
        <f>C24-((C23-C26)/3)</f>
        <v>0.7739512533</v>
      </c>
      <c r="D25" s="815">
        <f t="shared" si="1"/>
        <v>0.8772805782</v>
      </c>
      <c r="E25" s="816">
        <f t="shared" si="2"/>
        <v>1.235684506</v>
      </c>
      <c r="F25" s="817"/>
      <c r="G25" s="813">
        <v>8.0</v>
      </c>
      <c r="H25" s="814">
        <f>H24-((H23-H26)/3)</f>
        <v>0.8820232198</v>
      </c>
      <c r="I25" s="815">
        <f t="shared" si="3"/>
        <v>0.9426907183</v>
      </c>
      <c r="J25" s="816">
        <f t="shared" si="4"/>
        <v>1.740089823</v>
      </c>
      <c r="K25" s="817"/>
    </row>
    <row r="26">
      <c r="A26" s="773"/>
      <c r="B26" s="813">
        <v>9.0</v>
      </c>
      <c r="C26" s="814">
        <f>average(C23,C29)</f>
        <v>0.7566020894</v>
      </c>
      <c r="D26" s="815">
        <f t="shared" si="1"/>
        <v>0.8652127293</v>
      </c>
      <c r="E26" s="816">
        <f t="shared" si="2"/>
        <v>1.172634332</v>
      </c>
      <c r="F26" s="817"/>
      <c r="G26" s="813">
        <v>9.0</v>
      </c>
      <c r="H26" s="814">
        <f>average(H23,H29)</f>
        <v>0.8653871254</v>
      </c>
      <c r="I26" s="815">
        <f t="shared" si="3"/>
        <v>0.934960359</v>
      </c>
      <c r="J26" s="816">
        <f t="shared" si="4"/>
        <v>1.667974229</v>
      </c>
      <c r="K26" s="817"/>
    </row>
    <row r="27">
      <c r="A27" s="773"/>
      <c r="B27" s="813">
        <v>10.0</v>
      </c>
      <c r="C27" s="814">
        <f>C26-((C26-C29)/3)</f>
        <v>0.7392529255</v>
      </c>
      <c r="D27" s="815">
        <f t="shared" si="1"/>
        <v>0.8537618381</v>
      </c>
      <c r="E27" s="816">
        <f t="shared" si="2"/>
        <v>1.111029922</v>
      </c>
      <c r="F27" s="817"/>
      <c r="G27" s="813">
        <v>10.0</v>
      </c>
      <c r="H27" s="814">
        <f>H26-((H26-H29)/3)</f>
        <v>0.848751031</v>
      </c>
      <c r="I27" s="815">
        <f t="shared" si="3"/>
        <v>0.9271231473</v>
      </c>
      <c r="J27" s="816">
        <f t="shared" si="4"/>
        <v>1.597244976</v>
      </c>
      <c r="K27" s="817"/>
    </row>
    <row r="28">
      <c r="A28" s="773"/>
      <c r="B28" s="813">
        <v>11.0</v>
      </c>
      <c r="C28" s="814">
        <f>C27-((C26-C29)/3)</f>
        <v>0.7219037616</v>
      </c>
      <c r="D28" s="815">
        <f t="shared" si="1"/>
        <v>0.842773665</v>
      </c>
      <c r="E28" s="816">
        <f t="shared" si="2"/>
        <v>1.050871275</v>
      </c>
      <c r="F28" s="817"/>
      <c r="G28" s="813">
        <v>11.0</v>
      </c>
      <c r="H28" s="814">
        <f>H27-((H26-H29)/3)</f>
        <v>0.8321149366</v>
      </c>
      <c r="I28" s="815">
        <f t="shared" si="3"/>
        <v>0.9192057964</v>
      </c>
      <c r="J28" s="816">
        <f t="shared" si="4"/>
        <v>1.527902065</v>
      </c>
      <c r="K28" s="817"/>
    </row>
    <row r="29">
      <c r="A29" s="773"/>
      <c r="B29" s="813">
        <v>12.0</v>
      </c>
      <c r="C29" s="814">
        <f>average(C23,C35)</f>
        <v>0.7045545977</v>
      </c>
      <c r="D29" s="815">
        <f t="shared" si="1"/>
        <v>0.8321414291</v>
      </c>
      <c r="E29" s="816">
        <f t="shared" si="2"/>
        <v>0.9921583919</v>
      </c>
      <c r="F29" s="817"/>
      <c r="G29" s="813">
        <v>12.0</v>
      </c>
      <c r="H29" s="814">
        <f>average(H23,H35)</f>
        <v>0.8154788422</v>
      </c>
      <c r="I29" s="815">
        <f t="shared" si="3"/>
        <v>0.9112268</v>
      </c>
      <c r="J29" s="816">
        <f t="shared" si="4"/>
        <v>1.459945495</v>
      </c>
      <c r="K29" s="817"/>
    </row>
    <row r="30">
      <c r="A30" s="773"/>
      <c r="B30" s="813">
        <v>13.0</v>
      </c>
      <c r="C30" s="814">
        <f>C29-((C29-C32)/3)</f>
        <v>0.6872054338</v>
      </c>
      <c r="D30" s="815">
        <f t="shared" si="1"/>
        <v>0.821788858</v>
      </c>
      <c r="E30" s="816">
        <f t="shared" si="2"/>
        <v>0.9348912724</v>
      </c>
      <c r="F30" s="817"/>
      <c r="G30" s="813">
        <v>13.0</v>
      </c>
      <c r="H30" s="814">
        <f>H29-((H29-H32)/3)</f>
        <v>0.7988427478</v>
      </c>
      <c r="I30" s="815">
        <f t="shared" si="3"/>
        <v>0.9031993677</v>
      </c>
      <c r="J30" s="816">
        <f t="shared" si="4"/>
        <v>1.393375266</v>
      </c>
      <c r="K30" s="817"/>
    </row>
    <row r="31">
      <c r="A31" s="773"/>
      <c r="B31" s="813">
        <v>14.0</v>
      </c>
      <c r="C31" s="814">
        <f>C30-((C29-C32)/3)</f>
        <v>0.6698562699</v>
      </c>
      <c r="D31" s="815">
        <f t="shared" si="1"/>
        <v>0.8116600188</v>
      </c>
      <c r="E31" s="816">
        <f t="shared" si="2"/>
        <v>0.8790699166</v>
      </c>
      <c r="F31" s="817"/>
      <c r="G31" s="813">
        <v>14.0</v>
      </c>
      <c r="H31" s="814">
        <f>H30-((H29-H32)/3)</f>
        <v>0.7822066534</v>
      </c>
      <c r="I31" s="815">
        <f t="shared" si="3"/>
        <v>0.8951331867</v>
      </c>
      <c r="J31" s="816">
        <f t="shared" si="4"/>
        <v>1.328191378</v>
      </c>
      <c r="K31" s="817"/>
    </row>
    <row r="32">
      <c r="A32" s="773"/>
      <c r="B32" s="813">
        <v>15.0</v>
      </c>
      <c r="C32" s="814">
        <f>average(C29,C35)</f>
        <v>0.652507106</v>
      </c>
      <c r="D32" s="815">
        <f t="shared" si="1"/>
        <v>0.8017129618</v>
      </c>
      <c r="E32" s="816">
        <f t="shared" si="2"/>
        <v>0.8246943244</v>
      </c>
      <c r="F32" s="817"/>
      <c r="G32" s="813">
        <v>15.0</v>
      </c>
      <c r="H32" s="814">
        <f>average(H29,H35)</f>
        <v>0.765570559</v>
      </c>
      <c r="I32" s="815">
        <f t="shared" si="3"/>
        <v>0.8870355225</v>
      </c>
      <c r="J32" s="816">
        <f t="shared" si="4"/>
        <v>1.264393831</v>
      </c>
      <c r="K32" s="817"/>
    </row>
    <row r="33">
      <c r="A33" s="773"/>
      <c r="B33" s="813">
        <v>16.0</v>
      </c>
      <c r="C33" s="814">
        <f>C32-((C32-C35)/3)</f>
        <v>0.6351579422</v>
      </c>
      <c r="D33" s="815">
        <f t="shared" si="1"/>
        <v>0.7919156077</v>
      </c>
      <c r="E33" s="816">
        <f t="shared" si="2"/>
        <v>0.7717644959</v>
      </c>
      <c r="F33" s="817"/>
      <c r="G33" s="813">
        <v>16.0</v>
      </c>
      <c r="H33" s="814">
        <f>H32-((H32-H35)/3)</f>
        <v>0.7489344645</v>
      </c>
      <c r="I33" s="815">
        <f t="shared" si="3"/>
        <v>0.8789119308</v>
      </c>
      <c r="J33" s="816">
        <f t="shared" si="4"/>
        <v>1.201982626</v>
      </c>
      <c r="K33" s="817"/>
    </row>
    <row r="34">
      <c r="A34" s="773"/>
      <c r="B34" s="813">
        <v>17.0</v>
      </c>
      <c r="C34" s="814">
        <f>C33-((C32-C35)/3)</f>
        <v>0.6178087783</v>
      </c>
      <c r="D34" s="815">
        <f t="shared" si="1"/>
        <v>0.782243006</v>
      </c>
      <c r="E34" s="816">
        <f t="shared" si="2"/>
        <v>0.7202804311</v>
      </c>
      <c r="F34" s="817"/>
      <c r="G34" s="813">
        <v>17.0</v>
      </c>
      <c r="H34" s="814">
        <f>H33-((H32-H35)/3)</f>
        <v>0.7322983701</v>
      </c>
      <c r="I34" s="815">
        <f t="shared" si="3"/>
        <v>0.870766733</v>
      </c>
      <c r="J34" s="816">
        <f t="shared" si="4"/>
        <v>1.140957762</v>
      </c>
      <c r="K34" s="817"/>
    </row>
    <row r="35">
      <c r="A35" s="773"/>
      <c r="B35" s="813">
        <v>18.0</v>
      </c>
      <c r="C35" s="814">
        <f>C9</f>
        <v>0.6004596144</v>
      </c>
      <c r="D35" s="815">
        <f t="shared" si="1"/>
        <v>0.7726754591</v>
      </c>
      <c r="E35" s="816">
        <f t="shared" si="2"/>
        <v>0.6702421299</v>
      </c>
      <c r="F35" s="817"/>
      <c r="G35" s="813">
        <v>18.0</v>
      </c>
      <c r="H35" s="814">
        <f>H9</f>
        <v>0.7156622757</v>
      </c>
      <c r="I35" s="815">
        <f t="shared" si="3"/>
        <v>0.8626033405</v>
      </c>
      <c r="J35" s="816">
        <f t="shared" si="4"/>
        <v>1.081319239</v>
      </c>
      <c r="K35" s="817"/>
    </row>
    <row r="36">
      <c r="A36" s="773"/>
      <c r="B36" s="813">
        <v>19.0</v>
      </c>
      <c r="C36" s="814">
        <f>C35-((C35-C38)/3)</f>
        <v>0.5774925241</v>
      </c>
      <c r="D36" s="815">
        <f t="shared" si="1"/>
        <v>0.7629163124</v>
      </c>
      <c r="E36" s="816">
        <f t="shared" si="2"/>
        <v>0.6221177529</v>
      </c>
      <c r="F36" s="817"/>
      <c r="G36" s="813">
        <v>19.0</v>
      </c>
      <c r="H36" s="814">
        <f>H35-((H35-H38)/3)</f>
        <v>0.6961090237</v>
      </c>
      <c r="I36" s="815">
        <f t="shared" si="3"/>
        <v>0.8542786247</v>
      </c>
      <c r="J36" s="816">
        <f t="shared" si="4"/>
        <v>1.023310154</v>
      </c>
      <c r="K36" s="817"/>
    </row>
    <row r="37">
      <c r="A37" s="773"/>
      <c r="B37" s="813">
        <v>20.0</v>
      </c>
      <c r="C37" s="814">
        <f>C36-((C35-C38)/3)</f>
        <v>0.5545254339</v>
      </c>
      <c r="D37" s="815">
        <f t="shared" si="1"/>
        <v>0.7529929372</v>
      </c>
      <c r="E37" s="816">
        <f t="shared" si="2"/>
        <v>0.5759073</v>
      </c>
      <c r="F37" s="817"/>
      <c r="G37" s="813">
        <v>20.0</v>
      </c>
      <c r="H37" s="814">
        <f>H36-((H35-H38)/3)</f>
        <v>0.6765557717</v>
      </c>
      <c r="I37" s="815">
        <f t="shared" si="3"/>
        <v>0.8458156317</v>
      </c>
      <c r="J37" s="816">
        <f t="shared" si="4"/>
        <v>0.966930506</v>
      </c>
      <c r="K37" s="817"/>
    </row>
    <row r="38">
      <c r="A38" s="773"/>
      <c r="B38" s="813">
        <v>21.0</v>
      </c>
      <c r="C38" s="814">
        <f>average(C35,C41)</f>
        <v>0.5315583437</v>
      </c>
      <c r="D38" s="815">
        <f t="shared" si="1"/>
        <v>0.7429277284</v>
      </c>
      <c r="E38" s="816">
        <f t="shared" si="2"/>
        <v>0.5316107714</v>
      </c>
      <c r="F38" s="817"/>
      <c r="G38" s="813">
        <v>21.0</v>
      </c>
      <c r="H38" s="814">
        <f>average(H35,H41)</f>
        <v>0.6570025197</v>
      </c>
      <c r="I38" s="815">
        <f t="shared" si="3"/>
        <v>0.8372332175</v>
      </c>
      <c r="J38" s="816">
        <f t="shared" si="4"/>
        <v>0.912180296</v>
      </c>
      <c r="K38" s="817"/>
    </row>
    <row r="39">
      <c r="A39" s="773"/>
      <c r="B39" s="813">
        <v>22.0</v>
      </c>
      <c r="C39" s="814">
        <f>C38-((C38-C41)/3)</f>
        <v>0.5085912534</v>
      </c>
      <c r="D39" s="815">
        <f t="shared" si="1"/>
        <v>0.732739186</v>
      </c>
      <c r="E39" s="816">
        <f t="shared" si="2"/>
        <v>0.489228167</v>
      </c>
      <c r="F39" s="817"/>
      <c r="G39" s="813">
        <v>22.0</v>
      </c>
      <c r="H39" s="814">
        <f>H38-((H38-H41)/3)</f>
        <v>0.6374492677</v>
      </c>
      <c r="I39" s="815">
        <f t="shared" si="3"/>
        <v>0.8285469588</v>
      </c>
      <c r="J39" s="816">
        <f t="shared" si="4"/>
        <v>0.8590595237</v>
      </c>
      <c r="K39" s="817"/>
    </row>
    <row r="40">
      <c r="A40" s="773"/>
      <c r="B40" s="813">
        <v>23.0</v>
      </c>
      <c r="C40" s="814">
        <f>C39-((C38-C41)/3)</f>
        <v>0.4856241632</v>
      </c>
      <c r="D40" s="815">
        <f t="shared" si="1"/>
        <v>0.7224427267</v>
      </c>
      <c r="E40" s="816">
        <f t="shared" si="2"/>
        <v>0.4487594867</v>
      </c>
      <c r="F40" s="817"/>
      <c r="G40" s="813">
        <v>23.0</v>
      </c>
      <c r="H40" s="814">
        <f>H39-((H38-H41)/3)</f>
        <v>0.6178960157</v>
      </c>
      <c r="I40" s="815">
        <f t="shared" si="3"/>
        <v>0.8197698362</v>
      </c>
      <c r="J40" s="816">
        <f t="shared" si="4"/>
        <v>0.807568189</v>
      </c>
      <c r="K40" s="817"/>
    </row>
    <row r="41">
      <c r="A41" s="773"/>
      <c r="B41" s="813">
        <v>24.0</v>
      </c>
      <c r="C41" s="814">
        <f>average(C35,C47)</f>
        <v>0.4626570729</v>
      </c>
      <c r="D41" s="815">
        <f t="shared" si="1"/>
        <v>0.7120513006</v>
      </c>
      <c r="E41" s="816">
        <f t="shared" si="2"/>
        <v>0.4102047306</v>
      </c>
      <c r="F41" s="817"/>
      <c r="G41" s="813">
        <v>24.0</v>
      </c>
      <c r="H41" s="814">
        <f>average(H35,H47)</f>
        <v>0.5983427637</v>
      </c>
      <c r="I41" s="815">
        <f t="shared" si="3"/>
        <v>0.8109127533</v>
      </c>
      <c r="J41" s="816">
        <f t="shared" si="4"/>
        <v>0.7577062921</v>
      </c>
      <c r="K41" s="817"/>
    </row>
    <row r="42">
      <c r="A42" s="773"/>
      <c r="B42" s="813">
        <v>25.0</v>
      </c>
      <c r="C42" s="814">
        <f>C41-((C41-C44)/3)</f>
        <v>0.4396899827</v>
      </c>
      <c r="D42" s="815">
        <f t="shared" si="1"/>
        <v>0.7015758653</v>
      </c>
      <c r="E42" s="816">
        <f t="shared" si="2"/>
        <v>0.3735638987</v>
      </c>
      <c r="F42" s="817"/>
      <c r="G42" s="813">
        <v>25.0</v>
      </c>
      <c r="H42" s="814">
        <f>H41-((H41-H44)/3)</f>
        <v>0.5787895118</v>
      </c>
      <c r="I42" s="815">
        <f t="shared" si="3"/>
        <v>0.8019849363</v>
      </c>
      <c r="J42" s="816">
        <f t="shared" si="4"/>
        <v>0.7094738328</v>
      </c>
      <c r="K42" s="817"/>
    </row>
    <row r="43">
      <c r="A43" s="773"/>
      <c r="B43" s="813">
        <v>26.0</v>
      </c>
      <c r="C43" s="814">
        <f>C42-((C41-C44)/3)</f>
        <v>0.4167228924</v>
      </c>
      <c r="D43" s="815">
        <f t="shared" si="1"/>
        <v>0.6910257552</v>
      </c>
      <c r="E43" s="816">
        <f t="shared" si="2"/>
        <v>0.338836991</v>
      </c>
      <c r="F43" s="817"/>
      <c r="G43" s="813">
        <v>26.0</v>
      </c>
      <c r="H43" s="814">
        <f>H42-((H41-H44)/3)</f>
        <v>0.5592362598</v>
      </c>
      <c r="I43" s="815">
        <f t="shared" si="3"/>
        <v>0.7929942446</v>
      </c>
      <c r="J43" s="816">
        <f t="shared" si="4"/>
        <v>0.6628708111</v>
      </c>
      <c r="K43" s="817"/>
    </row>
    <row r="44">
      <c r="A44" s="773"/>
      <c r="B44" s="813">
        <v>27.0</v>
      </c>
      <c r="C44" s="814">
        <f>average(C41,C47)</f>
        <v>0.3937558022</v>
      </c>
      <c r="D44" s="815">
        <f t="shared" si="1"/>
        <v>0.6804089711</v>
      </c>
      <c r="E44" s="816">
        <f t="shared" si="2"/>
        <v>0.3060240075</v>
      </c>
      <c r="F44" s="817"/>
      <c r="G44" s="813">
        <v>27.0</v>
      </c>
      <c r="H44" s="814">
        <f>average(H41,H47)</f>
        <v>0.5396830078</v>
      </c>
      <c r="I44" s="815">
        <f t="shared" si="3"/>
        <v>0.7839474147</v>
      </c>
      <c r="J44" s="816">
        <f t="shared" si="4"/>
        <v>0.6178972271</v>
      </c>
      <c r="K44" s="817"/>
    </row>
    <row r="45">
      <c r="A45" s="773"/>
      <c r="B45" s="813">
        <v>28.0</v>
      </c>
      <c r="C45" s="814">
        <f>C44-((C44-C47)/3)</f>
        <v>0.370788712</v>
      </c>
      <c r="D45" s="815">
        <f t="shared" si="1"/>
        <v>0.6697324105</v>
      </c>
      <c r="E45" s="816">
        <f t="shared" si="2"/>
        <v>0.2751249482</v>
      </c>
      <c r="F45" s="817"/>
      <c r="G45" s="813">
        <v>28.0</v>
      </c>
      <c r="H45" s="814">
        <f>H44-((H44-H47)/3)</f>
        <v>0.5201297558</v>
      </c>
      <c r="I45" s="815">
        <f t="shared" si="3"/>
        <v>0.774850254</v>
      </c>
      <c r="J45" s="816">
        <f t="shared" si="4"/>
        <v>0.5745530808</v>
      </c>
      <c r="K45" s="817"/>
    </row>
    <row r="46">
      <c r="A46" s="773"/>
      <c r="B46" s="813">
        <v>29.0</v>
      </c>
      <c r="C46" s="814">
        <f>C45-((C44-C47)/3)</f>
        <v>0.3478216217</v>
      </c>
      <c r="D46" s="815">
        <f t="shared" si="1"/>
        <v>0.6590020508</v>
      </c>
      <c r="E46" s="816">
        <f t="shared" si="2"/>
        <v>0.246139813</v>
      </c>
      <c r="F46" s="817"/>
      <c r="G46" s="813">
        <v>29.0</v>
      </c>
      <c r="H46" s="814">
        <f>H45-((H44-H47)/3)</f>
        <v>0.5005765038</v>
      </c>
      <c r="I46" s="815">
        <f t="shared" si="3"/>
        <v>0.7657077957</v>
      </c>
      <c r="J46" s="816">
        <f t="shared" si="4"/>
        <v>0.5328383722</v>
      </c>
      <c r="K46" s="817"/>
    </row>
    <row r="47">
      <c r="A47" s="773"/>
      <c r="B47" s="813">
        <v>30.0</v>
      </c>
      <c r="C47" s="814">
        <f>C10</f>
        <v>0.3248545315</v>
      </c>
      <c r="D47" s="815">
        <f t="shared" si="1"/>
        <v>0.6482230986</v>
      </c>
      <c r="E47" s="816">
        <f t="shared" si="2"/>
        <v>0.2190686021</v>
      </c>
      <c r="F47" s="817"/>
      <c r="G47" s="813">
        <v>30.0</v>
      </c>
      <c r="H47" s="814">
        <f>H10</f>
        <v>0.4810232518</v>
      </c>
      <c r="I47" s="815">
        <f t="shared" si="3"/>
        <v>0.7565244233</v>
      </c>
      <c r="J47" s="816">
        <f t="shared" si="4"/>
        <v>0.4927531012</v>
      </c>
      <c r="K47" s="817"/>
    </row>
    <row r="48">
      <c r="A48" s="773"/>
      <c r="B48" s="813">
        <v>31.0</v>
      </c>
      <c r="C48" s="814">
        <f>C47-((C47-C50)/3)</f>
        <v>0.303631399</v>
      </c>
      <c r="D48" s="815">
        <f t="shared" si="1"/>
        <v>0.637454608</v>
      </c>
      <c r="E48" s="816">
        <f t="shared" si="2"/>
        <v>0.1937659855</v>
      </c>
      <c r="F48" s="817"/>
      <c r="G48" s="813">
        <v>31.0</v>
      </c>
      <c r="H48" s="814">
        <f>H47-((H47-H50)/3)</f>
        <v>0.4578785871</v>
      </c>
      <c r="I48" s="815">
        <f t="shared" si="3"/>
        <v>0.7471917409</v>
      </c>
      <c r="J48" s="816">
        <f t="shared" si="4"/>
        <v>0.4545965523</v>
      </c>
      <c r="K48" s="817"/>
    </row>
    <row r="49">
      <c r="A49" s="773"/>
      <c r="B49" s="813">
        <v>32.0</v>
      </c>
      <c r="C49" s="814">
        <f>C48-((C47-C50)/3)</f>
        <v>0.2824082665</v>
      </c>
      <c r="D49" s="815">
        <f t="shared" si="1"/>
        <v>0.6266956279</v>
      </c>
      <c r="E49" s="816">
        <f t="shared" si="2"/>
        <v>0.1702319633</v>
      </c>
      <c r="F49" s="817"/>
      <c r="G49" s="813">
        <v>32.0</v>
      </c>
      <c r="H49" s="814">
        <f>H48-((H47-H50)/3)</f>
        <v>0.4347339224</v>
      </c>
      <c r="I49" s="815">
        <f t="shared" si="3"/>
        <v>0.7377233222</v>
      </c>
      <c r="J49" s="816">
        <f t="shared" si="4"/>
        <v>0.4183687254</v>
      </c>
      <c r="K49" s="817"/>
    </row>
    <row r="50">
      <c r="A50" s="773"/>
      <c r="B50" s="813">
        <v>33.0</v>
      </c>
      <c r="C50" s="814">
        <f>average(C47,C53)</f>
        <v>0.2611851341</v>
      </c>
      <c r="D50" s="815">
        <f t="shared" si="1"/>
        <v>0.6159453193</v>
      </c>
      <c r="E50" s="816">
        <f t="shared" si="2"/>
        <v>0.1484665354</v>
      </c>
      <c r="F50" s="817"/>
      <c r="G50" s="813">
        <v>33.0</v>
      </c>
      <c r="H50" s="814">
        <f>average(H47,H53)</f>
        <v>0.4115892577</v>
      </c>
      <c r="I50" s="815">
        <f t="shared" si="3"/>
        <v>0.7281311438</v>
      </c>
      <c r="J50" s="816">
        <f t="shared" si="4"/>
        <v>0.3840696206</v>
      </c>
      <c r="K50" s="817"/>
    </row>
    <row r="51">
      <c r="A51" s="773"/>
      <c r="B51" s="813">
        <v>34.0</v>
      </c>
      <c r="C51" s="814">
        <f>C50-((C50-C53)/3)</f>
        <v>0.2399620016</v>
      </c>
      <c r="D51" s="815">
        <f t="shared" si="1"/>
        <v>0.6052029388</v>
      </c>
      <c r="E51" s="816">
        <f t="shared" si="2"/>
        <v>0.128469702</v>
      </c>
      <c r="F51" s="817"/>
      <c r="G51" s="813">
        <v>34.0</v>
      </c>
      <c r="H51" s="814">
        <f>H50-((H50-H53)/3)</f>
        <v>0.3884445929</v>
      </c>
      <c r="I51" s="815">
        <f t="shared" si="3"/>
        <v>0.7184258138</v>
      </c>
      <c r="J51" s="816">
        <f t="shared" si="4"/>
        <v>0.3516992378</v>
      </c>
      <c r="K51" s="817"/>
    </row>
    <row r="52">
      <c r="A52" s="773"/>
      <c r="B52" s="813">
        <v>35.0</v>
      </c>
      <c r="C52" s="814">
        <f>C51-((C50-C53)/3)</f>
        <v>0.2187388691</v>
      </c>
      <c r="D52" s="815">
        <f t="shared" si="1"/>
        <v>0.5944678257</v>
      </c>
      <c r="E52" s="816">
        <f t="shared" si="2"/>
        <v>0.1102414629</v>
      </c>
      <c r="F52" s="817"/>
      <c r="G52" s="813">
        <v>35.0</v>
      </c>
      <c r="H52" s="814">
        <f>H51-((H50-H53)/3)</f>
        <v>0.3652999282</v>
      </c>
      <c r="I52" s="815">
        <f t="shared" si="3"/>
        <v>0.7086167614</v>
      </c>
      <c r="J52" s="816">
        <f t="shared" si="4"/>
        <v>0.3212575772</v>
      </c>
      <c r="K52" s="817"/>
    </row>
    <row r="53">
      <c r="A53" s="773"/>
      <c r="B53" s="813">
        <v>36.0</v>
      </c>
      <c r="C53" s="814">
        <f>average(C47,C59)</f>
        <v>0.1975157366</v>
      </c>
      <c r="D53" s="815">
        <f t="shared" si="1"/>
        <v>0.5837393909</v>
      </c>
      <c r="E53" s="816">
        <f t="shared" si="2"/>
        <v>0.09378181817</v>
      </c>
      <c r="F53" s="817"/>
      <c r="G53" s="813">
        <v>36.0</v>
      </c>
      <c r="H53" s="814">
        <f>average(H47,H59)</f>
        <v>0.3421552635</v>
      </c>
      <c r="I53" s="815">
        <f t="shared" si="3"/>
        <v>0.6987123966</v>
      </c>
      <c r="J53" s="816">
        <f t="shared" si="4"/>
        <v>0.2927446385</v>
      </c>
      <c r="K53" s="817"/>
      <c r="L53" s="820"/>
    </row>
    <row r="54">
      <c r="A54" s="773"/>
      <c r="B54" s="813">
        <v>37.0</v>
      </c>
      <c r="C54" s="814">
        <f>C53-((C53-C56)/3)</f>
        <v>0.1762926042</v>
      </c>
      <c r="D54" s="815">
        <f t="shared" si="1"/>
        <v>0.573017107</v>
      </c>
      <c r="E54" s="816">
        <f t="shared" si="2"/>
        <v>0.07909076782</v>
      </c>
      <c r="F54" s="817"/>
      <c r="G54" s="813">
        <v>37.0</v>
      </c>
      <c r="H54" s="814">
        <f>H53-((H53-H56)/3)</f>
        <v>0.3190105988</v>
      </c>
      <c r="I54" s="815">
        <f t="shared" si="3"/>
        <v>0.688720244</v>
      </c>
      <c r="J54" s="816">
        <f t="shared" si="4"/>
        <v>0.266160422</v>
      </c>
      <c r="K54" s="817"/>
      <c r="N54" s="818"/>
    </row>
    <row r="55">
      <c r="A55" s="773"/>
      <c r="B55" s="813">
        <v>38.0</v>
      </c>
      <c r="C55" s="814">
        <f>C54-((C53-C56)/3)</f>
        <v>0.1550694717</v>
      </c>
      <c r="D55" s="815">
        <f t="shared" si="1"/>
        <v>0.562300501</v>
      </c>
      <c r="E55" s="816">
        <f t="shared" si="2"/>
        <v>0.06616831184</v>
      </c>
      <c r="F55" s="817"/>
      <c r="G55" s="813">
        <v>38.0</v>
      </c>
      <c r="H55" s="814">
        <f>H54-((H53-H56)/3)</f>
        <v>0.2958659341</v>
      </c>
      <c r="I55" s="815">
        <f t="shared" si="3"/>
        <v>0.6786470566</v>
      </c>
      <c r="J55" s="816">
        <f t="shared" si="4"/>
        <v>0.2415049275</v>
      </c>
      <c r="K55" s="817"/>
      <c r="N55" s="818"/>
    </row>
    <row r="56">
      <c r="A56" s="773"/>
      <c r="B56" s="813">
        <v>39.0</v>
      </c>
      <c r="C56" s="814">
        <f>average(C53,C59)</f>
        <v>0.1338463392</v>
      </c>
      <c r="D56" s="815">
        <f t="shared" si="1"/>
        <v>0.551589147</v>
      </c>
      <c r="E56" s="816">
        <f t="shared" si="2"/>
        <v>0.05501445024</v>
      </c>
      <c r="F56" s="817"/>
      <c r="G56" s="813">
        <v>39.0</v>
      </c>
      <c r="H56" s="814">
        <f>average(H53,H59)</f>
        <v>0.2727212694</v>
      </c>
      <c r="I56" s="815">
        <f t="shared" si="3"/>
        <v>0.6684989119</v>
      </c>
      <c r="J56" s="816">
        <f t="shared" si="4"/>
        <v>0.218778155</v>
      </c>
      <c r="K56" s="817"/>
      <c r="N56" s="818"/>
    </row>
    <row r="57">
      <c r="A57" s="773"/>
      <c r="B57" s="813">
        <v>40.0</v>
      </c>
      <c r="C57" s="814">
        <f>C56-((C56-C59)/3)</f>
        <v>0.1126232068</v>
      </c>
      <c r="D57" s="815">
        <f t="shared" si="1"/>
        <v>0.5408826606</v>
      </c>
      <c r="E57" s="816">
        <f t="shared" si="2"/>
        <v>0.04562918301</v>
      </c>
      <c r="F57" s="817"/>
      <c r="G57" s="813">
        <v>40.0</v>
      </c>
      <c r="H57" s="814">
        <f>H56-((H56-H59)/3)</f>
        <v>0.2495766047</v>
      </c>
      <c r="I57" s="815">
        <f t="shared" si="3"/>
        <v>0.6582812947</v>
      </c>
      <c r="J57" s="816">
        <f t="shared" si="4"/>
        <v>0.1979801046</v>
      </c>
      <c r="K57" s="817"/>
      <c r="N57" s="818"/>
    </row>
    <row r="58">
      <c r="A58" s="773"/>
      <c r="B58" s="813">
        <v>41.0</v>
      </c>
      <c r="C58" s="814">
        <f>C57-((C56-C59)/3)</f>
        <v>0.09140007429</v>
      </c>
      <c r="D58" s="815">
        <f t="shared" si="1"/>
        <v>0.5301806943</v>
      </c>
      <c r="E58" s="816">
        <f t="shared" si="2"/>
        <v>0.03801251015</v>
      </c>
      <c r="F58" s="817"/>
      <c r="G58" s="813">
        <v>41.0</v>
      </c>
      <c r="H58" s="814">
        <f>H57-((H56-H59)/3)</f>
        <v>0.22643194</v>
      </c>
      <c r="I58" s="815">
        <f t="shared" si="3"/>
        <v>0.6479991672</v>
      </c>
      <c r="J58" s="816">
        <f t="shared" si="4"/>
        <v>0.1791107763</v>
      </c>
      <c r="K58" s="817"/>
      <c r="L58" s="821"/>
      <c r="N58" s="818"/>
    </row>
    <row r="59">
      <c r="A59" s="773"/>
      <c r="B59" s="813">
        <v>42.0</v>
      </c>
      <c r="C59" s="814">
        <f>C11</f>
        <v>0.07017694182</v>
      </c>
      <c r="D59" s="815">
        <f t="shared" si="1"/>
        <v>0.5194829326</v>
      </c>
      <c r="E59" s="816">
        <f t="shared" si="2"/>
        <v>0.03216443167</v>
      </c>
      <c r="F59" s="817"/>
      <c r="G59" s="813">
        <v>42.0</v>
      </c>
      <c r="H59" s="814">
        <f>H11</f>
        <v>0.2032872753</v>
      </c>
      <c r="I59" s="815">
        <f t="shared" si="3"/>
        <v>0.6376570302</v>
      </c>
      <c r="J59" s="816">
        <f t="shared" si="4"/>
        <v>0.16217017</v>
      </c>
      <c r="K59" s="817"/>
      <c r="L59" s="821"/>
      <c r="N59" s="818"/>
    </row>
    <row r="60">
      <c r="A60" s="773"/>
      <c r="B60" s="813">
        <v>43.0</v>
      </c>
      <c r="C60" s="814">
        <f>C59-((C59-C62)/3)</f>
        <v>0.06432886333</v>
      </c>
      <c r="D60" s="815">
        <f t="shared" si="1"/>
        <v>0.5091385219</v>
      </c>
      <c r="E60" s="816">
        <f t="shared" si="2"/>
        <v>0.02680369306</v>
      </c>
      <c r="F60" s="817"/>
      <c r="G60" s="813">
        <v>43.0</v>
      </c>
      <c r="H60" s="814">
        <f>H59-((H59-H62)/3)</f>
        <v>0.1914575543</v>
      </c>
      <c r="I60" s="815">
        <f t="shared" si="3"/>
        <v>0.627516133</v>
      </c>
      <c r="J60" s="816">
        <f t="shared" si="4"/>
        <v>0.1462153738</v>
      </c>
      <c r="K60" s="817"/>
      <c r="L60" s="818"/>
    </row>
    <row r="61">
      <c r="A61" s="773"/>
      <c r="B61" s="813">
        <v>44.0</v>
      </c>
      <c r="C61" s="814">
        <f>C60-((C59-C62)/3)</f>
        <v>0.05848078485</v>
      </c>
      <c r="D61" s="815">
        <f t="shared" si="1"/>
        <v>0.4991239055</v>
      </c>
      <c r="E61" s="816">
        <f t="shared" si="2"/>
        <v>0.02193029432</v>
      </c>
      <c r="F61" s="817"/>
      <c r="G61" s="813">
        <v>44.0</v>
      </c>
      <c r="H61" s="814">
        <f>H60-((H59-H62)/3)</f>
        <v>0.1796278334</v>
      </c>
      <c r="I61" s="815">
        <f t="shared" si="3"/>
        <v>0.6175630597</v>
      </c>
      <c r="J61" s="816">
        <f t="shared" si="4"/>
        <v>0.1312463877</v>
      </c>
      <c r="K61" s="817"/>
    </row>
    <row r="62">
      <c r="A62" s="773"/>
      <c r="B62" s="813">
        <v>45.0</v>
      </c>
      <c r="C62" s="814">
        <f>average(C59,C65)</f>
        <v>0.05263270636</v>
      </c>
      <c r="D62" s="815">
        <f t="shared" si="1"/>
        <v>0.4894175751</v>
      </c>
      <c r="E62" s="816">
        <f t="shared" si="2"/>
        <v>0.01754423545</v>
      </c>
      <c r="F62" s="817"/>
      <c r="G62" s="813">
        <v>45.0</v>
      </c>
      <c r="H62" s="814">
        <f>average(H59,H65)</f>
        <v>0.1677981124</v>
      </c>
      <c r="I62" s="815">
        <f t="shared" si="3"/>
        <v>0.6077855608</v>
      </c>
      <c r="J62" s="816">
        <f t="shared" si="4"/>
        <v>0.1172632117</v>
      </c>
      <c r="K62" s="817"/>
    </row>
    <row r="63">
      <c r="A63" s="773"/>
      <c r="B63" s="813">
        <v>46.0</v>
      </c>
      <c r="C63" s="814">
        <f>C62-((C62-C65)/3)</f>
        <v>0.04678462788</v>
      </c>
      <c r="D63" s="815">
        <f t="shared" si="1"/>
        <v>0.4799998528</v>
      </c>
      <c r="E63" s="816">
        <f t="shared" si="2"/>
        <v>0.01364551646</v>
      </c>
      <c r="F63" s="817"/>
      <c r="G63" s="813">
        <v>46.0</v>
      </c>
      <c r="H63" s="814">
        <f>H62-((H62-H65)/3)</f>
        <v>0.1559683915</v>
      </c>
      <c r="I63" s="815">
        <f t="shared" si="3"/>
        <v>0.5981724295</v>
      </c>
      <c r="J63" s="816">
        <f t="shared" si="4"/>
        <v>0.1042658457</v>
      </c>
      <c r="K63" s="817"/>
    </row>
    <row r="64">
      <c r="A64" s="773"/>
      <c r="B64" s="813">
        <v>47.0</v>
      </c>
      <c r="C64" s="814">
        <f>C63-((C62-C65)/3)</f>
        <v>0.04093654939</v>
      </c>
      <c r="D64" s="815">
        <f t="shared" si="1"/>
        <v>0.4708527007</v>
      </c>
      <c r="E64" s="816">
        <f t="shared" si="2"/>
        <v>0.01023413735</v>
      </c>
      <c r="F64" s="817"/>
      <c r="G64" s="813">
        <v>47.0</v>
      </c>
      <c r="H64" s="814">
        <f>H63-((H62-H65)/3)</f>
        <v>0.1441386705</v>
      </c>
      <c r="I64" s="815">
        <f t="shared" si="3"/>
        <v>0.5887133929</v>
      </c>
      <c r="J64" s="816">
        <f t="shared" si="4"/>
        <v>0.09225428982</v>
      </c>
      <c r="K64" s="817"/>
    </row>
    <row r="65">
      <c r="A65" s="773"/>
      <c r="B65" s="813">
        <v>48.0</v>
      </c>
      <c r="C65" s="814">
        <f>average(C59,C71)</f>
        <v>0.03508847091</v>
      </c>
      <c r="D65" s="815">
        <f t="shared" si="1"/>
        <v>0.4619595531</v>
      </c>
      <c r="E65" s="816">
        <f t="shared" si="2"/>
        <v>0.007310098106</v>
      </c>
      <c r="F65" s="817"/>
      <c r="G65" s="813">
        <v>48.0</v>
      </c>
      <c r="H65" s="814">
        <f>average(H59,H71)</f>
        <v>0.1323089495</v>
      </c>
      <c r="I65" s="815">
        <f t="shared" si="3"/>
        <v>0.5793990165</v>
      </c>
      <c r="J65" s="816">
        <f t="shared" si="4"/>
        <v>0.08122854403</v>
      </c>
      <c r="K65" s="817"/>
      <c r="L65" s="818"/>
    </row>
    <row r="66">
      <c r="A66" s="773"/>
      <c r="B66" s="813">
        <v>49.0</v>
      </c>
      <c r="C66" s="814">
        <f>C65-((C65-C68)/3)</f>
        <v>0.02924039242</v>
      </c>
      <c r="D66" s="815">
        <f t="shared" si="1"/>
        <v>0.4533051699</v>
      </c>
      <c r="E66" s="816">
        <f t="shared" si="2"/>
        <v>0.004873398737</v>
      </c>
      <c r="F66" s="817"/>
      <c r="G66" s="813">
        <v>49.0</v>
      </c>
      <c r="H66" s="814">
        <f>H65-((H65-H68)/3)</f>
        <v>0.1204792286</v>
      </c>
      <c r="I66" s="815">
        <f t="shared" si="3"/>
        <v>0.5702206207</v>
      </c>
      <c r="J66" s="816">
        <f t="shared" si="4"/>
        <v>0.07118860831</v>
      </c>
      <c r="K66" s="817"/>
    </row>
    <row r="67">
      <c r="A67" s="773"/>
      <c r="B67" s="813">
        <v>50.0</v>
      </c>
      <c r="C67" s="814">
        <f>C66-((C65-C68)/3)</f>
        <v>0.02339231394</v>
      </c>
      <c r="D67" s="815">
        <f t="shared" si="1"/>
        <v>0.4448755061</v>
      </c>
      <c r="E67" s="816">
        <f t="shared" si="2"/>
        <v>0.002924039242</v>
      </c>
      <c r="F67" s="817"/>
      <c r="G67" s="813">
        <v>50.0</v>
      </c>
      <c r="H67" s="814">
        <f>H66-((H65-H68)/3)</f>
        <v>0.1086495076</v>
      </c>
      <c r="I67" s="815">
        <f t="shared" si="3"/>
        <v>0.5611702068</v>
      </c>
      <c r="J67" s="816">
        <f t="shared" si="4"/>
        <v>0.06213448268</v>
      </c>
      <c r="K67" s="817"/>
    </row>
    <row r="68">
      <c r="A68" s="773"/>
      <c r="B68" s="813">
        <v>51.0</v>
      </c>
      <c r="C68" s="814">
        <f>average(C65,C71)</f>
        <v>0.01754423545</v>
      </c>
      <c r="D68" s="815">
        <f t="shared" si="1"/>
        <v>0.436657597</v>
      </c>
      <c r="E68" s="816">
        <f t="shared" si="2"/>
        <v>0.001462019621</v>
      </c>
      <c r="F68" s="817"/>
      <c r="G68" s="813">
        <v>51.0</v>
      </c>
      <c r="H68" s="814">
        <f>average(H65,H71)</f>
        <v>0.09681978666</v>
      </c>
      <c r="I68" s="815">
        <f t="shared" si="3"/>
        <v>0.552240391</v>
      </c>
      <c r="J68" s="816">
        <f t="shared" si="4"/>
        <v>0.05406616712</v>
      </c>
      <c r="K68" s="817"/>
    </row>
    <row r="69">
      <c r="A69" s="773"/>
      <c r="B69" s="813">
        <v>52.0</v>
      </c>
      <c r="C69" s="814">
        <f>C68-((C68-C71)/3)</f>
        <v>0.01169615697</v>
      </c>
      <c r="D69" s="815">
        <f t="shared" si="1"/>
        <v>0.4286394567</v>
      </c>
      <c r="E69" s="816">
        <f t="shared" si="2"/>
        <v>0.0004873398737</v>
      </c>
      <c r="F69" s="817"/>
      <c r="G69" s="813">
        <v>52.0</v>
      </c>
      <c r="H69" s="814">
        <f>H68-((H68-H71)/3)</f>
        <v>0.0849900657</v>
      </c>
      <c r="I69" s="815">
        <f t="shared" si="3"/>
        <v>0.5434243471</v>
      </c>
      <c r="J69" s="816">
        <f t="shared" si="4"/>
        <v>0.04698366165</v>
      </c>
      <c r="K69" s="817"/>
    </row>
    <row r="70">
      <c r="A70" s="773"/>
      <c r="B70" s="813">
        <v>53.0</v>
      </c>
      <c r="C70" s="814">
        <f>C69-((C68-C71)/3)</f>
        <v>0.005848078485</v>
      </c>
      <c r="D70" s="815">
        <f t="shared" si="1"/>
        <v>0.4208099867</v>
      </c>
      <c r="E70" s="816">
        <f t="shared" si="2"/>
        <v>0</v>
      </c>
      <c r="F70" s="817"/>
      <c r="G70" s="813">
        <v>53.0</v>
      </c>
      <c r="H70" s="814">
        <f>H69-((H68-H71)/3)</f>
        <v>0.07316034474</v>
      </c>
      <c r="I70" s="815">
        <f t="shared" si="3"/>
        <v>0.5347157545</v>
      </c>
      <c r="J70" s="816">
        <f t="shared" si="4"/>
        <v>0.04088696625</v>
      </c>
      <c r="K70" s="817"/>
      <c r="L70" s="818"/>
      <c r="M70" s="818"/>
    </row>
    <row r="71">
      <c r="A71" s="773"/>
      <c r="B71" s="813">
        <v>54.0</v>
      </c>
      <c r="C71" s="818">
        <f>C12</f>
        <v>0</v>
      </c>
      <c r="D71" s="815">
        <f t="shared" si="1"/>
        <v>0.413158896</v>
      </c>
      <c r="E71" s="816">
        <f t="shared" si="2"/>
        <v>0</v>
      </c>
      <c r="F71" s="817"/>
      <c r="G71" s="822">
        <v>54.0</v>
      </c>
      <c r="H71" s="823">
        <f>H12</f>
        <v>0.06133062378</v>
      </c>
      <c r="I71" s="824">
        <f t="shared" si="3"/>
        <v>0.5261087521</v>
      </c>
      <c r="J71" s="825">
        <f t="shared" si="4"/>
        <v>0.03577608094</v>
      </c>
      <c r="K71" s="817"/>
    </row>
    <row r="72">
      <c r="A72" s="773"/>
      <c r="B72" s="813">
        <v>55.0</v>
      </c>
      <c r="C72" s="826">
        <f>C71-((C71-C74)/3)</f>
        <v>0</v>
      </c>
      <c r="D72" s="815">
        <f t="shared" si="1"/>
        <v>0.4057810586</v>
      </c>
      <c r="E72" s="816">
        <f t="shared" si="2"/>
        <v>0</v>
      </c>
      <c r="F72" s="817"/>
      <c r="G72" s="827">
        <v>55.0</v>
      </c>
      <c r="H72" s="828">
        <f>H71-((H71-H74)/3)</f>
        <v>0.05707153977</v>
      </c>
      <c r="I72" s="829">
        <f t="shared" si="3"/>
        <v>0.5177330876</v>
      </c>
      <c r="J72" s="830">
        <f t="shared" si="4"/>
        <v>0.03102011929</v>
      </c>
    </row>
    <row r="73">
      <c r="A73" s="773"/>
      <c r="B73" s="813">
        <v>56.0</v>
      </c>
      <c r="C73" s="826">
        <f>C72-((C71-C74)/3)</f>
        <v>0</v>
      </c>
      <c r="D73" s="815">
        <f t="shared" si="1"/>
        <v>0.3986620927</v>
      </c>
      <c r="E73" s="816">
        <f t="shared" si="2"/>
        <v>0</v>
      </c>
      <c r="F73" s="817"/>
      <c r="G73" s="827">
        <v>56.0</v>
      </c>
      <c r="H73" s="828">
        <f>H72-((H71-H74)/3)</f>
        <v>0.05281245575</v>
      </c>
      <c r="I73" s="829">
        <f t="shared" si="3"/>
        <v>0.5095765853</v>
      </c>
      <c r="J73" s="830">
        <f t="shared" si="4"/>
        <v>0.02661908131</v>
      </c>
    </row>
    <row r="74">
      <c r="A74" s="773"/>
      <c r="B74" s="813">
        <v>57.0</v>
      </c>
      <c r="C74" s="826">
        <f>average(C71,C77)</f>
        <v>0</v>
      </c>
      <c r="D74" s="815">
        <f t="shared" si="1"/>
        <v>0.3917886083</v>
      </c>
      <c r="E74" s="816">
        <f t="shared" si="2"/>
        <v>0</v>
      </c>
      <c r="F74" s="817"/>
      <c r="G74" s="827">
        <v>57.0</v>
      </c>
      <c r="H74" s="828">
        <f>average(H71,H77)</f>
        <v>0.04855337174</v>
      </c>
      <c r="I74" s="829">
        <f t="shared" si="3"/>
        <v>0.5016279092</v>
      </c>
      <c r="J74" s="830">
        <f t="shared" si="4"/>
        <v>0.022572967</v>
      </c>
    </row>
    <row r="75">
      <c r="A75" s="773"/>
      <c r="B75" s="813">
        <v>58.0</v>
      </c>
      <c r="C75" s="826">
        <f>C74-((C74-C77)/3)</f>
        <v>0</v>
      </c>
      <c r="D75" s="815">
        <f t="shared" si="1"/>
        <v>0.3851481234</v>
      </c>
      <c r="E75" s="816">
        <f t="shared" si="2"/>
        <v>0</v>
      </c>
      <c r="F75" s="817"/>
      <c r="G75" s="827">
        <v>58.0</v>
      </c>
      <c r="H75" s="828">
        <f>H74-((H74-H77)/3)</f>
        <v>0.04429428772</v>
      </c>
      <c r="I75" s="829">
        <f t="shared" si="3"/>
        <v>0.4938764919</v>
      </c>
      <c r="J75" s="830">
        <f t="shared" si="4"/>
        <v>0.01888177635</v>
      </c>
    </row>
    <row r="76">
      <c r="A76" s="773"/>
      <c r="B76" s="813">
        <v>59.0</v>
      </c>
      <c r="C76" s="826">
        <f>C75-((C74-C77)/3)</f>
        <v>0</v>
      </c>
      <c r="D76" s="815">
        <f t="shared" si="1"/>
        <v>0.378728988</v>
      </c>
      <c r="E76" s="816">
        <f t="shared" si="2"/>
        <v>0</v>
      </c>
      <c r="F76" s="817"/>
      <c r="G76" s="827">
        <v>59.0</v>
      </c>
      <c r="H76" s="828">
        <f>H75-((H74-H77)/3)</f>
        <v>0.04003520371</v>
      </c>
      <c r="I76" s="829">
        <f t="shared" si="3"/>
        <v>0.4863124704</v>
      </c>
      <c r="J76" s="830">
        <f t="shared" si="4"/>
        <v>0.01554550938</v>
      </c>
    </row>
    <row r="77">
      <c r="A77" s="773"/>
      <c r="B77" s="813">
        <v>60.0</v>
      </c>
      <c r="C77" s="826">
        <f>average(C71,C83)</f>
        <v>0</v>
      </c>
      <c r="D77" s="815">
        <f t="shared" si="1"/>
        <v>0.3725203161</v>
      </c>
      <c r="E77" s="816">
        <f t="shared" si="2"/>
        <v>0</v>
      </c>
      <c r="F77" s="817"/>
      <c r="G77" s="827">
        <v>60.0</v>
      </c>
      <c r="H77" s="828">
        <f>average(H71,H83)</f>
        <v>0.03577611969</v>
      </c>
      <c r="I77" s="829">
        <f t="shared" si="3"/>
        <v>0.4789266286</v>
      </c>
      <c r="J77" s="830">
        <f t="shared" si="4"/>
        <v>0.01256416607</v>
      </c>
    </row>
    <row r="78">
      <c r="A78" s="773"/>
      <c r="B78" s="813">
        <v>61.0</v>
      </c>
      <c r="C78" s="826">
        <f>C77-((C77-C80)/3)</f>
        <v>0</v>
      </c>
      <c r="D78" s="815">
        <f t="shared" si="1"/>
        <v>0.3665119239</v>
      </c>
      <c r="E78" s="816">
        <f t="shared" si="2"/>
        <v>0</v>
      </c>
      <c r="F78" s="817"/>
      <c r="G78" s="827">
        <v>61.0</v>
      </c>
      <c r="H78" s="828">
        <f>H77-((H77-H80)/3)</f>
        <v>0.03151703568</v>
      </c>
      <c r="I78" s="829">
        <f t="shared" si="3"/>
        <v>0.4717103448</v>
      </c>
      <c r="J78" s="830">
        <f t="shared" si="4"/>
        <v>0.009937746431</v>
      </c>
    </row>
    <row r="79">
      <c r="A79" s="773"/>
      <c r="B79" s="813">
        <v>62.0</v>
      </c>
      <c r="C79" s="826">
        <f>C78-((C77-C80)/3)</f>
        <v>0</v>
      </c>
      <c r="D79" s="815">
        <f t="shared" si="1"/>
        <v>0.3606942743</v>
      </c>
      <c r="E79" s="816">
        <f t="shared" si="2"/>
        <v>0</v>
      </c>
      <c r="F79" s="817"/>
      <c r="G79" s="827">
        <v>62.0</v>
      </c>
      <c r="H79" s="828">
        <f>H78-((H77-H80)/3)</f>
        <v>0.02725795166</v>
      </c>
      <c r="I79" s="829">
        <f t="shared" si="3"/>
        <v>0.4646555449</v>
      </c>
      <c r="J79" s="830">
        <f t="shared" si="4"/>
        <v>0.007666250459</v>
      </c>
    </row>
    <row r="80">
      <c r="A80" s="773"/>
      <c r="B80" s="813">
        <v>63.0</v>
      </c>
      <c r="C80" s="826">
        <f>average(C77,C83)</f>
        <v>0</v>
      </c>
      <c r="D80" s="815">
        <f t="shared" si="1"/>
        <v>0.3550584263</v>
      </c>
      <c r="E80" s="816">
        <f t="shared" si="2"/>
        <v>0</v>
      </c>
      <c r="F80" s="817"/>
      <c r="G80" s="827">
        <v>63.0</v>
      </c>
      <c r="H80" s="828">
        <f>average(H77,H83)</f>
        <v>0.02299886765</v>
      </c>
      <c r="I80" s="829">
        <f t="shared" si="3"/>
        <v>0.4577546594</v>
      </c>
      <c r="J80" s="830">
        <f t="shared" si="4"/>
        <v>0.005749678155</v>
      </c>
    </row>
    <row r="81">
      <c r="A81" s="773"/>
      <c r="B81" s="813">
        <v>64.0</v>
      </c>
      <c r="C81" s="826">
        <f>C80-((C80-C83)/3)</f>
        <v>0</v>
      </c>
      <c r="D81" s="815">
        <f t="shared" si="1"/>
        <v>0.3495959889</v>
      </c>
      <c r="E81" s="816">
        <f t="shared" si="2"/>
        <v>0</v>
      </c>
      <c r="F81" s="817"/>
      <c r="G81" s="827">
        <v>64.0</v>
      </c>
      <c r="H81" s="828">
        <f>H80-((H80-H83)/3)</f>
        <v>0.01873978363</v>
      </c>
      <c r="I81" s="829">
        <f t="shared" si="3"/>
        <v>0.4510005844</v>
      </c>
      <c r="J81" s="830">
        <f t="shared" si="4"/>
        <v>0.004188029519</v>
      </c>
    </row>
    <row r="82">
      <c r="A82" s="773"/>
      <c r="B82" s="813">
        <v>65.0</v>
      </c>
      <c r="C82" s="826">
        <f>C81-((C80-C83)/3)</f>
        <v>0</v>
      </c>
      <c r="D82" s="815">
        <f t="shared" si="1"/>
        <v>0.34429908</v>
      </c>
      <c r="E82" s="816">
        <f t="shared" si="2"/>
        <v>0</v>
      </c>
      <c r="F82" s="817"/>
      <c r="G82" s="827">
        <v>65.0</v>
      </c>
      <c r="H82" s="828">
        <f>H81-((H80-H83)/3)</f>
        <v>0.01448069962</v>
      </c>
      <c r="I82" s="829">
        <f t="shared" si="3"/>
        <v>0.4443866467</v>
      </c>
      <c r="J82" s="830">
        <f t="shared" si="4"/>
        <v>0.002981304551</v>
      </c>
    </row>
    <row r="83">
      <c r="A83" s="773"/>
      <c r="B83" s="813">
        <v>66.0</v>
      </c>
      <c r="C83" s="826">
        <f>C13</f>
        <v>0</v>
      </c>
      <c r="D83" s="815">
        <f t="shared" si="1"/>
        <v>0.3391602878</v>
      </c>
      <c r="E83" s="816">
        <f t="shared" si="2"/>
        <v>0</v>
      </c>
      <c r="F83" s="817"/>
      <c r="G83" s="827">
        <v>66.0</v>
      </c>
      <c r="H83" s="828">
        <f>H13</f>
        <v>0.0102216156</v>
      </c>
      <c r="I83" s="829">
        <f t="shared" si="3"/>
        <v>0.4379065716</v>
      </c>
      <c r="J83" s="830">
        <f t="shared" si="4"/>
        <v>0.002129503251</v>
      </c>
    </row>
    <row r="84">
      <c r="A84" s="773"/>
      <c r="B84" s="813">
        <v>67.0</v>
      </c>
      <c r="C84" s="826">
        <f>C83-((C83-C86)/3)</f>
        <v>0</v>
      </c>
      <c r="D84" s="815">
        <f t="shared" si="1"/>
        <v>0.3341726365</v>
      </c>
      <c r="E84" s="816">
        <f t="shared" si="2"/>
        <v>0</v>
      </c>
      <c r="F84" s="817"/>
      <c r="G84" s="827">
        <v>67.0</v>
      </c>
      <c r="H84" s="828">
        <f>H83-((H83-H86)/3)</f>
        <v>0.008518013002</v>
      </c>
      <c r="I84" s="829">
        <f t="shared" si="3"/>
        <v>0.431592034</v>
      </c>
      <c r="J84" s="830">
        <f t="shared" si="4"/>
        <v>0.001419668834</v>
      </c>
    </row>
    <row r="85">
      <c r="A85" s="773"/>
      <c r="B85" s="813">
        <v>68.0</v>
      </c>
      <c r="C85" s="826">
        <f>C84-((C83-C86)/3)</f>
        <v>0</v>
      </c>
      <c r="D85" s="815">
        <f t="shared" si="1"/>
        <v>0.3293295548</v>
      </c>
      <c r="E85" s="816">
        <f t="shared" si="2"/>
        <v>0</v>
      </c>
      <c r="F85" s="817"/>
      <c r="G85" s="827">
        <v>68.0</v>
      </c>
      <c r="H85" s="828">
        <f>H84-((H83-H86)/3)</f>
        <v>0.006814410402</v>
      </c>
      <c r="I85" s="829">
        <f t="shared" si="3"/>
        <v>0.4254358365</v>
      </c>
      <c r="J85" s="830">
        <f t="shared" si="4"/>
        <v>0.0008518013002</v>
      </c>
    </row>
    <row r="86">
      <c r="A86" s="773"/>
      <c r="B86" s="813">
        <v>69.0</v>
      </c>
      <c r="C86" s="826">
        <f>average(C83,C89)</f>
        <v>0</v>
      </c>
      <c r="D86" s="815">
        <f t="shared" si="1"/>
        <v>0.3246248469</v>
      </c>
      <c r="E86" s="816">
        <f t="shared" si="2"/>
        <v>0</v>
      </c>
      <c r="F86" s="817"/>
      <c r="G86" s="827">
        <v>69.0</v>
      </c>
      <c r="H86" s="828">
        <f>average(H83,H89)</f>
        <v>0.005110807801</v>
      </c>
      <c r="I86" s="829">
        <f t="shared" si="3"/>
        <v>0.4194311933</v>
      </c>
      <c r="J86" s="830">
        <f t="shared" si="4"/>
        <v>0.0004259006501</v>
      </c>
    </row>
    <row r="87">
      <c r="A87" s="773"/>
      <c r="B87" s="813">
        <v>70.0</v>
      </c>
      <c r="C87" s="826">
        <f>C86-((C86-C89)/3)</f>
        <v>0</v>
      </c>
      <c r="D87" s="815">
        <f t="shared" si="1"/>
        <v>0.3200526659</v>
      </c>
      <c r="E87" s="816">
        <f t="shared" si="2"/>
        <v>0</v>
      </c>
      <c r="F87" s="817"/>
      <c r="G87" s="827">
        <v>70.0</v>
      </c>
      <c r="H87" s="828">
        <f>H86-((H86-H89)/3)</f>
        <v>0.003407205201</v>
      </c>
      <c r="I87" s="829">
        <f t="shared" si="3"/>
        <v>0.4135717005</v>
      </c>
      <c r="J87" s="830">
        <f t="shared" si="4"/>
        <v>0.0001419668834</v>
      </c>
    </row>
    <row r="88">
      <c r="A88" s="773"/>
      <c r="B88" s="813">
        <v>71.0</v>
      </c>
      <c r="C88" s="826">
        <f>C87-((C86-C89)/3)</f>
        <v>0</v>
      </c>
      <c r="D88" s="815">
        <f t="shared" si="1"/>
        <v>0.31560749</v>
      </c>
      <c r="E88" s="816">
        <f t="shared" si="2"/>
        <v>0</v>
      </c>
      <c r="F88" s="817"/>
      <c r="G88" s="827">
        <v>71.0</v>
      </c>
      <c r="H88" s="828">
        <f>H87-((H86-H89)/3)</f>
        <v>0.0017036026</v>
      </c>
      <c r="I88" s="829">
        <f t="shared" si="3"/>
        <v>0.4078513102</v>
      </c>
      <c r="J88" s="830">
        <f t="shared" si="4"/>
        <v>0</v>
      </c>
    </row>
    <row r="89">
      <c r="A89" s="773"/>
      <c r="B89" s="831">
        <v>72.0</v>
      </c>
      <c r="C89" s="832">
        <v>0.0</v>
      </c>
      <c r="D89" s="833">
        <f t="shared" si="1"/>
        <v>0.3112840997</v>
      </c>
      <c r="E89" s="834">
        <f t="shared" si="2"/>
        <v>0</v>
      </c>
      <c r="F89" s="817"/>
      <c r="G89" s="835">
        <v>72.0</v>
      </c>
      <c r="H89" s="836">
        <v>0.0</v>
      </c>
      <c r="I89" s="837">
        <f t="shared" si="3"/>
        <v>0.402264306</v>
      </c>
      <c r="J89" s="838">
        <f t="shared" si="4"/>
        <v>0</v>
      </c>
    </row>
    <row r="90">
      <c r="A90" s="773"/>
      <c r="B90" s="817"/>
      <c r="C90" s="817"/>
      <c r="D90" s="817"/>
      <c r="E90" s="817"/>
      <c r="F90" s="817"/>
      <c r="G90" s="839"/>
      <c r="H90" s="840"/>
      <c r="I90" s="841"/>
      <c r="J90" s="841"/>
    </row>
    <row r="91">
      <c r="A91" s="773"/>
      <c r="B91" s="817"/>
      <c r="C91" s="817"/>
      <c r="D91" s="817"/>
      <c r="E91" s="817"/>
      <c r="F91" s="817"/>
      <c r="G91" s="839"/>
      <c r="H91" s="840"/>
      <c r="I91" s="841"/>
      <c r="J91" s="841"/>
    </row>
    <row r="92">
      <c r="A92" s="773"/>
      <c r="B92" s="817"/>
      <c r="C92" s="817"/>
      <c r="D92" s="817"/>
      <c r="E92" s="817"/>
      <c r="F92" s="817"/>
      <c r="G92" s="817"/>
      <c r="H92" s="817"/>
      <c r="I92" s="817"/>
      <c r="J92" s="817"/>
    </row>
    <row r="93">
      <c r="A93" s="773"/>
      <c r="B93" s="817"/>
      <c r="C93" s="817"/>
      <c r="D93" s="817"/>
      <c r="E93" s="817"/>
      <c r="F93" s="817"/>
      <c r="G93" s="817"/>
      <c r="H93" s="817"/>
      <c r="I93" s="817"/>
      <c r="J93" s="817"/>
    </row>
    <row r="94">
      <c r="A94" s="773"/>
      <c r="B94" s="817"/>
      <c r="C94" s="817"/>
      <c r="D94" s="817"/>
      <c r="E94" s="817"/>
      <c r="F94" s="817"/>
      <c r="G94" s="817"/>
      <c r="H94" s="817"/>
      <c r="I94" s="817"/>
      <c r="J94" s="817"/>
    </row>
    <row r="95">
      <c r="A95" s="773"/>
      <c r="B95" s="817"/>
      <c r="C95" s="817"/>
      <c r="D95" s="817"/>
      <c r="E95" s="817"/>
      <c r="F95" s="817"/>
      <c r="G95" s="817"/>
      <c r="H95" s="817"/>
      <c r="I95" s="817"/>
      <c r="J95" s="817"/>
    </row>
    <row r="96">
      <c r="A96" s="773"/>
      <c r="B96" s="817"/>
      <c r="C96" s="817"/>
      <c r="D96" s="817"/>
      <c r="E96" s="817"/>
      <c r="F96" s="817"/>
      <c r="G96" s="817"/>
      <c r="H96" s="817"/>
      <c r="I96" s="817"/>
      <c r="J96" s="817"/>
    </row>
    <row r="97">
      <c r="A97" s="773"/>
      <c r="B97" s="817"/>
      <c r="C97" s="817"/>
      <c r="D97" s="817"/>
      <c r="E97" s="817"/>
      <c r="F97" s="817"/>
      <c r="G97" s="817"/>
      <c r="H97" s="817"/>
      <c r="I97" s="817"/>
      <c r="J97" s="817"/>
    </row>
    <row r="98">
      <c r="A98" s="773"/>
      <c r="B98" s="817"/>
      <c r="C98" s="817"/>
      <c r="D98" s="817"/>
      <c r="E98" s="817"/>
      <c r="F98" s="817"/>
      <c r="G98" s="817"/>
      <c r="H98" s="817"/>
      <c r="I98" s="817"/>
      <c r="J98" s="817"/>
    </row>
    <row r="99">
      <c r="A99" s="773"/>
      <c r="B99" s="817"/>
      <c r="C99" s="817"/>
      <c r="D99" s="817"/>
      <c r="E99" s="817"/>
      <c r="F99" s="817"/>
      <c r="G99" s="817"/>
      <c r="H99" s="817"/>
      <c r="I99" s="817"/>
      <c r="J99" s="817"/>
    </row>
    <row r="100">
      <c r="A100" s="773"/>
      <c r="B100" s="817"/>
      <c r="C100" s="817"/>
      <c r="D100" s="817"/>
      <c r="E100" s="817"/>
      <c r="F100" s="817"/>
      <c r="G100" s="817"/>
      <c r="H100" s="817"/>
      <c r="I100" s="817"/>
      <c r="J100" s="817"/>
    </row>
    <row r="101">
      <c r="A101" s="773"/>
      <c r="B101" s="817"/>
      <c r="C101" s="817"/>
      <c r="D101" s="817"/>
      <c r="E101" s="817"/>
      <c r="F101" s="817"/>
      <c r="G101" s="817"/>
      <c r="H101" s="817"/>
      <c r="I101" s="817"/>
      <c r="J101" s="817"/>
    </row>
    <row r="102">
      <c r="A102" s="773"/>
      <c r="B102" s="817"/>
      <c r="C102" s="817"/>
      <c r="D102" s="817"/>
      <c r="E102" s="817"/>
      <c r="F102" s="817"/>
      <c r="G102" s="817"/>
      <c r="H102" s="817"/>
      <c r="I102" s="817"/>
      <c r="J102" s="817"/>
    </row>
    <row r="103">
      <c r="A103" s="773"/>
      <c r="B103" s="817"/>
      <c r="C103" s="817"/>
      <c r="D103" s="817"/>
      <c r="E103" s="817"/>
      <c r="F103" s="817"/>
      <c r="G103" s="817"/>
      <c r="H103" s="817"/>
      <c r="I103" s="817"/>
      <c r="J103" s="817"/>
    </row>
    <row r="104">
      <c r="A104" s="773"/>
      <c r="B104" s="817"/>
      <c r="C104" s="817"/>
      <c r="D104" s="817"/>
      <c r="E104" s="817"/>
      <c r="F104" s="817"/>
      <c r="G104" s="817"/>
      <c r="H104" s="817"/>
      <c r="I104" s="817"/>
      <c r="J104" s="817"/>
    </row>
    <row r="105">
      <c r="A105" s="773"/>
      <c r="B105" s="817"/>
      <c r="C105" s="817"/>
      <c r="D105" s="817"/>
      <c r="E105" s="817"/>
      <c r="F105" s="817"/>
      <c r="G105" s="817"/>
      <c r="H105" s="817"/>
      <c r="I105" s="817"/>
      <c r="J105" s="817"/>
    </row>
    <row r="106">
      <c r="A106" s="773"/>
      <c r="B106" s="817"/>
      <c r="C106" s="817"/>
      <c r="D106" s="817"/>
      <c r="E106" s="817"/>
      <c r="F106" s="817"/>
      <c r="G106" s="817"/>
      <c r="H106" s="817"/>
      <c r="I106" s="817"/>
      <c r="J106" s="817"/>
    </row>
    <row r="107">
      <c r="A107" s="773"/>
      <c r="B107" s="817"/>
      <c r="C107" s="817"/>
      <c r="D107" s="817"/>
      <c r="E107" s="817"/>
      <c r="F107" s="817"/>
      <c r="G107" s="817"/>
      <c r="H107" s="817"/>
      <c r="I107" s="817"/>
      <c r="J107" s="817"/>
    </row>
    <row r="108">
      <c r="A108" s="773"/>
    </row>
    <row r="109">
      <c r="A109" s="773"/>
    </row>
    <row r="110">
      <c r="A110" s="773"/>
    </row>
    <row r="111">
      <c r="A111" s="773"/>
    </row>
    <row r="112">
      <c r="A112" s="773"/>
    </row>
    <row r="113">
      <c r="A113" s="773"/>
    </row>
    <row r="114">
      <c r="A114" s="773"/>
    </row>
    <row r="115">
      <c r="A115" s="773"/>
    </row>
    <row r="116">
      <c r="A116" s="773"/>
    </row>
    <row r="117">
      <c r="A117" s="773"/>
    </row>
    <row r="118">
      <c r="A118" s="773"/>
    </row>
    <row r="119">
      <c r="A119" s="773"/>
    </row>
    <row r="120">
      <c r="A120" s="773"/>
    </row>
    <row r="121">
      <c r="A121" s="773"/>
    </row>
    <row r="122">
      <c r="A122" s="773"/>
    </row>
    <row r="123">
      <c r="A123" s="773"/>
    </row>
    <row r="124">
      <c r="A124" s="773"/>
    </row>
    <row r="125">
      <c r="A125" s="773"/>
    </row>
    <row r="126">
      <c r="A126" s="773"/>
    </row>
    <row r="127">
      <c r="A127" s="773"/>
    </row>
    <row r="128">
      <c r="A128" s="773"/>
    </row>
    <row r="129">
      <c r="A129" s="773"/>
    </row>
    <row r="130">
      <c r="A130" s="773"/>
    </row>
    <row r="131">
      <c r="A131" s="773"/>
    </row>
    <row r="132">
      <c r="A132" s="773"/>
    </row>
    <row r="133">
      <c r="A133" s="773"/>
    </row>
    <row r="134">
      <c r="A134" s="773"/>
    </row>
    <row r="135">
      <c r="A135" s="773"/>
    </row>
    <row r="136">
      <c r="A136" s="773"/>
    </row>
    <row r="137">
      <c r="A137" s="773"/>
    </row>
    <row r="138">
      <c r="A138" s="773"/>
    </row>
    <row r="139">
      <c r="A139" s="773"/>
    </row>
    <row r="140">
      <c r="A140" s="773"/>
    </row>
    <row r="141">
      <c r="A141" s="773"/>
    </row>
    <row r="142">
      <c r="A142" s="773"/>
    </row>
    <row r="143">
      <c r="A143" s="773"/>
    </row>
    <row r="144">
      <c r="A144" s="773"/>
    </row>
    <row r="145">
      <c r="A145" s="773"/>
    </row>
    <row r="146">
      <c r="A146" s="773"/>
    </row>
    <row r="147">
      <c r="A147" s="773"/>
    </row>
    <row r="148">
      <c r="A148" s="773"/>
    </row>
    <row r="149">
      <c r="A149" s="773"/>
    </row>
    <row r="150">
      <c r="A150" s="773"/>
    </row>
    <row r="151">
      <c r="A151" s="773"/>
    </row>
    <row r="152">
      <c r="A152" s="773"/>
    </row>
    <row r="153">
      <c r="A153" s="773"/>
    </row>
    <row r="154">
      <c r="A154" s="773"/>
    </row>
    <row r="155">
      <c r="A155" s="773"/>
    </row>
    <row r="156">
      <c r="A156" s="773"/>
    </row>
    <row r="157">
      <c r="A157" s="773"/>
    </row>
    <row r="158">
      <c r="A158" s="773"/>
    </row>
    <row r="159">
      <c r="A159" s="773"/>
    </row>
    <row r="160">
      <c r="A160" s="773"/>
    </row>
    <row r="161">
      <c r="A161" s="773"/>
    </row>
    <row r="162">
      <c r="A162" s="773"/>
    </row>
    <row r="163">
      <c r="A163" s="773"/>
    </row>
    <row r="164">
      <c r="A164" s="773"/>
    </row>
    <row r="165">
      <c r="A165" s="773"/>
    </row>
    <row r="166">
      <c r="A166" s="773"/>
    </row>
    <row r="167">
      <c r="A167" s="773"/>
    </row>
    <row r="168">
      <c r="A168" s="773"/>
    </row>
    <row r="169">
      <c r="A169" s="773"/>
    </row>
    <row r="170">
      <c r="A170" s="773"/>
    </row>
    <row r="171">
      <c r="A171" s="773"/>
    </row>
    <row r="172">
      <c r="A172" s="773"/>
    </row>
    <row r="173">
      <c r="A173" s="773"/>
    </row>
    <row r="174">
      <c r="A174" s="773"/>
    </row>
    <row r="175">
      <c r="A175" s="773"/>
    </row>
    <row r="176">
      <c r="A176" s="773"/>
    </row>
    <row r="177">
      <c r="A177" s="773"/>
    </row>
    <row r="178">
      <c r="A178" s="773"/>
    </row>
    <row r="179">
      <c r="A179" s="773"/>
    </row>
    <row r="180">
      <c r="A180" s="773"/>
    </row>
    <row r="181">
      <c r="A181" s="773"/>
    </row>
    <row r="182">
      <c r="A182" s="773"/>
    </row>
    <row r="183">
      <c r="A183" s="773"/>
    </row>
    <row r="184">
      <c r="A184" s="773"/>
    </row>
    <row r="185">
      <c r="A185" s="773"/>
    </row>
    <row r="186">
      <c r="A186" s="773"/>
    </row>
    <row r="187">
      <c r="A187" s="773"/>
    </row>
    <row r="188">
      <c r="A188" s="773"/>
    </row>
    <row r="189">
      <c r="A189" s="773"/>
    </row>
    <row r="190">
      <c r="A190" s="773"/>
    </row>
    <row r="191">
      <c r="A191" s="773"/>
    </row>
    <row r="192">
      <c r="A192" s="773"/>
    </row>
    <row r="193">
      <c r="A193" s="773"/>
    </row>
    <row r="194">
      <c r="A194" s="773"/>
    </row>
    <row r="195">
      <c r="A195" s="773"/>
    </row>
    <row r="196">
      <c r="A196" s="773"/>
    </row>
    <row r="197">
      <c r="A197" s="773"/>
    </row>
    <row r="198">
      <c r="A198" s="773"/>
    </row>
    <row r="199">
      <c r="A199" s="773"/>
    </row>
    <row r="200">
      <c r="A200" s="773"/>
    </row>
    <row r="201">
      <c r="A201" s="773"/>
    </row>
    <row r="202">
      <c r="A202" s="773"/>
    </row>
    <row r="203">
      <c r="A203" s="773"/>
    </row>
    <row r="204">
      <c r="A204" s="773"/>
    </row>
    <row r="205">
      <c r="A205" s="773"/>
    </row>
    <row r="206">
      <c r="A206" s="773"/>
    </row>
    <row r="207">
      <c r="A207" s="773"/>
    </row>
    <row r="208">
      <c r="A208" s="773"/>
    </row>
    <row r="209">
      <c r="A209" s="773"/>
    </row>
    <row r="210">
      <c r="A210" s="773"/>
    </row>
    <row r="211">
      <c r="A211" s="773"/>
    </row>
    <row r="212">
      <c r="A212" s="773"/>
    </row>
    <row r="213">
      <c r="A213" s="773"/>
    </row>
    <row r="214">
      <c r="A214" s="773"/>
    </row>
    <row r="215">
      <c r="A215" s="773"/>
    </row>
    <row r="216">
      <c r="A216" s="773"/>
    </row>
    <row r="217">
      <c r="A217" s="773"/>
    </row>
    <row r="218">
      <c r="A218" s="773"/>
    </row>
    <row r="219">
      <c r="A219" s="773"/>
    </row>
    <row r="220">
      <c r="A220" s="773"/>
    </row>
    <row r="221">
      <c r="A221" s="773"/>
    </row>
    <row r="222">
      <c r="A222" s="773"/>
    </row>
    <row r="223">
      <c r="A223" s="773"/>
    </row>
    <row r="224">
      <c r="A224" s="773"/>
    </row>
    <row r="225">
      <c r="A225" s="773"/>
    </row>
    <row r="226">
      <c r="A226" s="773"/>
    </row>
    <row r="227">
      <c r="A227" s="773"/>
    </row>
    <row r="228">
      <c r="A228" s="773"/>
    </row>
    <row r="229">
      <c r="A229" s="773"/>
    </row>
    <row r="230">
      <c r="A230" s="773"/>
    </row>
    <row r="231">
      <c r="A231" s="773"/>
    </row>
    <row r="232">
      <c r="A232" s="773"/>
    </row>
    <row r="233">
      <c r="A233" s="773"/>
    </row>
    <row r="234">
      <c r="A234" s="773"/>
    </row>
    <row r="235">
      <c r="A235" s="773"/>
    </row>
    <row r="236">
      <c r="A236" s="773"/>
    </row>
    <row r="237">
      <c r="A237" s="773"/>
    </row>
    <row r="238">
      <c r="A238" s="773"/>
    </row>
    <row r="239">
      <c r="A239" s="773"/>
    </row>
    <row r="240">
      <c r="A240" s="773"/>
    </row>
    <row r="241">
      <c r="A241" s="773"/>
    </row>
    <row r="242">
      <c r="A242" s="773"/>
    </row>
    <row r="243">
      <c r="A243" s="773"/>
    </row>
    <row r="244">
      <c r="A244" s="773"/>
    </row>
    <row r="245">
      <c r="A245" s="773"/>
    </row>
    <row r="246">
      <c r="A246" s="773"/>
    </row>
    <row r="247">
      <c r="A247" s="773"/>
    </row>
    <row r="248">
      <c r="A248" s="773"/>
    </row>
    <row r="249">
      <c r="A249" s="773"/>
    </row>
    <row r="250">
      <c r="A250" s="773"/>
    </row>
    <row r="251">
      <c r="A251" s="773"/>
    </row>
    <row r="252">
      <c r="A252" s="773"/>
    </row>
    <row r="253">
      <c r="A253" s="773"/>
    </row>
    <row r="254">
      <c r="A254" s="773"/>
    </row>
    <row r="255">
      <c r="A255" s="773"/>
    </row>
    <row r="256">
      <c r="A256" s="773"/>
    </row>
    <row r="257">
      <c r="A257" s="773"/>
    </row>
    <row r="258">
      <c r="A258" s="773"/>
    </row>
    <row r="259">
      <c r="A259" s="773"/>
    </row>
    <row r="260">
      <c r="A260" s="773"/>
    </row>
    <row r="261">
      <c r="A261" s="773"/>
    </row>
    <row r="262">
      <c r="A262" s="773"/>
    </row>
    <row r="263">
      <c r="A263" s="773"/>
    </row>
    <row r="264">
      <c r="A264" s="773"/>
    </row>
    <row r="265">
      <c r="A265" s="773"/>
    </row>
    <row r="266">
      <c r="A266" s="773"/>
    </row>
    <row r="267">
      <c r="A267" s="773"/>
    </row>
    <row r="268">
      <c r="A268" s="773"/>
    </row>
    <row r="269">
      <c r="A269" s="773"/>
    </row>
    <row r="270">
      <c r="A270" s="773"/>
    </row>
    <row r="271">
      <c r="A271" s="773"/>
    </row>
    <row r="272">
      <c r="A272" s="773"/>
    </row>
    <row r="273">
      <c r="A273" s="773"/>
    </row>
    <row r="274">
      <c r="A274" s="773"/>
    </row>
    <row r="275">
      <c r="A275" s="773"/>
    </row>
    <row r="276">
      <c r="A276" s="773"/>
    </row>
    <row r="277">
      <c r="A277" s="773"/>
    </row>
    <row r="278">
      <c r="A278" s="773"/>
    </row>
    <row r="279">
      <c r="A279" s="773"/>
    </row>
    <row r="280">
      <c r="A280" s="773"/>
    </row>
    <row r="281">
      <c r="A281" s="773"/>
    </row>
    <row r="282">
      <c r="A282" s="773"/>
    </row>
    <row r="283">
      <c r="A283" s="773"/>
    </row>
    <row r="284">
      <c r="A284" s="773"/>
    </row>
    <row r="285">
      <c r="A285" s="773"/>
    </row>
    <row r="286">
      <c r="A286" s="773"/>
    </row>
    <row r="287">
      <c r="A287" s="773"/>
    </row>
    <row r="288">
      <c r="A288" s="773"/>
    </row>
    <row r="289">
      <c r="A289" s="773"/>
    </row>
    <row r="290">
      <c r="A290" s="773"/>
    </row>
    <row r="291">
      <c r="A291" s="773"/>
    </row>
    <row r="292">
      <c r="A292" s="773"/>
    </row>
    <row r="293">
      <c r="A293" s="773"/>
    </row>
    <row r="294">
      <c r="A294" s="773"/>
    </row>
    <row r="295">
      <c r="A295" s="773"/>
    </row>
    <row r="296">
      <c r="A296" s="773"/>
    </row>
    <row r="297">
      <c r="A297" s="773"/>
    </row>
    <row r="298">
      <c r="A298" s="773"/>
    </row>
    <row r="299">
      <c r="A299" s="773"/>
    </row>
    <row r="300">
      <c r="A300" s="773"/>
    </row>
    <row r="301">
      <c r="A301" s="773"/>
    </row>
    <row r="302">
      <c r="A302" s="773"/>
    </row>
    <row r="303">
      <c r="A303" s="773"/>
    </row>
    <row r="304">
      <c r="A304" s="773"/>
    </row>
    <row r="305">
      <c r="A305" s="773"/>
    </row>
    <row r="306">
      <c r="A306" s="773"/>
    </row>
    <row r="307">
      <c r="A307" s="773"/>
    </row>
    <row r="308">
      <c r="A308" s="773"/>
    </row>
    <row r="309">
      <c r="A309" s="773"/>
    </row>
    <row r="310">
      <c r="A310" s="773"/>
    </row>
    <row r="311">
      <c r="A311" s="773"/>
    </row>
    <row r="312">
      <c r="A312" s="773"/>
    </row>
    <row r="313">
      <c r="A313" s="773"/>
    </row>
    <row r="314">
      <c r="A314" s="773"/>
    </row>
    <row r="315">
      <c r="A315" s="773"/>
    </row>
    <row r="316">
      <c r="A316" s="773"/>
    </row>
    <row r="317">
      <c r="A317" s="773"/>
    </row>
    <row r="318">
      <c r="A318" s="773"/>
    </row>
    <row r="319">
      <c r="A319" s="773"/>
    </row>
    <row r="320">
      <c r="A320" s="773"/>
    </row>
    <row r="321">
      <c r="A321" s="773"/>
    </row>
    <row r="322">
      <c r="A322" s="773"/>
    </row>
    <row r="323">
      <c r="A323" s="773"/>
    </row>
    <row r="324">
      <c r="A324" s="773"/>
    </row>
    <row r="325">
      <c r="A325" s="773"/>
    </row>
    <row r="326">
      <c r="A326" s="773"/>
    </row>
    <row r="327">
      <c r="A327" s="773"/>
    </row>
    <row r="328">
      <c r="A328" s="773"/>
    </row>
    <row r="329">
      <c r="A329" s="773"/>
    </row>
    <row r="330">
      <c r="A330" s="773"/>
    </row>
    <row r="331">
      <c r="A331" s="773"/>
    </row>
    <row r="332">
      <c r="A332" s="773"/>
    </row>
    <row r="333">
      <c r="A333" s="773"/>
    </row>
    <row r="334">
      <c r="A334" s="773"/>
    </row>
    <row r="335">
      <c r="A335" s="773"/>
    </row>
    <row r="336">
      <c r="A336" s="773"/>
    </row>
    <row r="337">
      <c r="A337" s="773"/>
    </row>
    <row r="338">
      <c r="A338" s="773"/>
    </row>
    <row r="339">
      <c r="A339" s="773"/>
    </row>
    <row r="340">
      <c r="A340" s="773"/>
    </row>
    <row r="341">
      <c r="A341" s="773"/>
    </row>
    <row r="342">
      <c r="A342" s="773"/>
    </row>
    <row r="343">
      <c r="A343" s="773"/>
    </row>
    <row r="344">
      <c r="A344" s="773"/>
    </row>
    <row r="345">
      <c r="A345" s="773"/>
    </row>
    <row r="346">
      <c r="A346" s="773"/>
    </row>
    <row r="347">
      <c r="A347" s="773"/>
    </row>
    <row r="348">
      <c r="A348" s="773"/>
    </row>
    <row r="349">
      <c r="A349" s="773"/>
    </row>
    <row r="350">
      <c r="A350" s="773"/>
    </row>
    <row r="351">
      <c r="A351" s="773"/>
    </row>
    <row r="352">
      <c r="A352" s="773"/>
    </row>
    <row r="353">
      <c r="A353" s="773"/>
    </row>
    <row r="354">
      <c r="A354" s="773"/>
    </row>
    <row r="355">
      <c r="A355" s="773"/>
    </row>
    <row r="356">
      <c r="A356" s="773"/>
    </row>
    <row r="357">
      <c r="A357" s="773"/>
    </row>
    <row r="358">
      <c r="A358" s="773"/>
    </row>
    <row r="359">
      <c r="A359" s="773"/>
    </row>
    <row r="360">
      <c r="A360" s="773"/>
    </row>
    <row r="361">
      <c r="A361" s="773"/>
    </row>
    <row r="362">
      <c r="A362" s="773"/>
    </row>
    <row r="363">
      <c r="A363" s="773"/>
    </row>
    <row r="364">
      <c r="A364" s="773"/>
    </row>
    <row r="365">
      <c r="A365" s="773"/>
    </row>
    <row r="366">
      <c r="A366" s="773"/>
    </row>
    <row r="367">
      <c r="A367" s="773"/>
    </row>
    <row r="368">
      <c r="A368" s="773"/>
    </row>
    <row r="369">
      <c r="A369" s="773"/>
    </row>
    <row r="370">
      <c r="A370" s="773"/>
    </row>
    <row r="371">
      <c r="A371" s="773"/>
    </row>
    <row r="372">
      <c r="A372" s="773"/>
    </row>
    <row r="373">
      <c r="A373" s="773"/>
    </row>
    <row r="374">
      <c r="A374" s="773"/>
    </row>
    <row r="375">
      <c r="A375" s="773"/>
    </row>
    <row r="376">
      <c r="A376" s="773"/>
    </row>
    <row r="377">
      <c r="A377" s="773"/>
    </row>
    <row r="378">
      <c r="A378" s="773"/>
    </row>
    <row r="379">
      <c r="A379" s="773"/>
    </row>
    <row r="380">
      <c r="A380" s="773"/>
    </row>
    <row r="381">
      <c r="A381" s="773"/>
    </row>
    <row r="382">
      <c r="A382" s="773"/>
    </row>
    <row r="383">
      <c r="A383" s="773"/>
    </row>
    <row r="384">
      <c r="A384" s="773"/>
    </row>
    <row r="385">
      <c r="A385" s="773"/>
    </row>
    <row r="386">
      <c r="A386" s="773"/>
    </row>
    <row r="387">
      <c r="A387" s="773"/>
    </row>
    <row r="388">
      <c r="A388" s="773"/>
    </row>
    <row r="389">
      <c r="A389" s="773"/>
    </row>
    <row r="390">
      <c r="A390" s="773"/>
    </row>
    <row r="391">
      <c r="A391" s="773"/>
    </row>
    <row r="392">
      <c r="A392" s="773"/>
    </row>
    <row r="393">
      <c r="A393" s="773"/>
    </row>
    <row r="394">
      <c r="A394" s="773"/>
    </row>
    <row r="395">
      <c r="A395" s="773"/>
    </row>
    <row r="396">
      <c r="A396" s="773"/>
    </row>
    <row r="397">
      <c r="A397" s="773"/>
    </row>
    <row r="398">
      <c r="A398" s="773"/>
    </row>
    <row r="399">
      <c r="A399" s="773"/>
    </row>
    <row r="400">
      <c r="A400" s="773"/>
    </row>
    <row r="401">
      <c r="A401" s="773"/>
    </row>
    <row r="402">
      <c r="A402" s="773"/>
    </row>
    <row r="403">
      <c r="A403" s="773"/>
    </row>
    <row r="404">
      <c r="A404" s="773"/>
    </row>
    <row r="405">
      <c r="A405" s="773"/>
    </row>
    <row r="406">
      <c r="A406" s="773"/>
    </row>
    <row r="407">
      <c r="A407" s="773"/>
    </row>
    <row r="408">
      <c r="A408" s="773"/>
    </row>
    <row r="409">
      <c r="A409" s="773"/>
    </row>
    <row r="410">
      <c r="A410" s="773"/>
    </row>
    <row r="411">
      <c r="A411" s="773"/>
    </row>
    <row r="412">
      <c r="A412" s="773"/>
    </row>
    <row r="413">
      <c r="A413" s="773"/>
    </row>
    <row r="414">
      <c r="A414" s="773"/>
    </row>
    <row r="415">
      <c r="A415" s="773"/>
    </row>
    <row r="416">
      <c r="A416" s="773"/>
    </row>
    <row r="417">
      <c r="A417" s="773"/>
    </row>
    <row r="418">
      <c r="A418" s="773"/>
    </row>
    <row r="419">
      <c r="A419" s="773"/>
    </row>
    <row r="420">
      <c r="A420" s="773"/>
    </row>
    <row r="421">
      <c r="A421" s="773"/>
    </row>
    <row r="422">
      <c r="A422" s="773"/>
    </row>
    <row r="423">
      <c r="A423" s="773"/>
    </row>
    <row r="424">
      <c r="A424" s="773"/>
    </row>
    <row r="425">
      <c r="A425" s="773"/>
    </row>
    <row r="426">
      <c r="A426" s="773"/>
    </row>
    <row r="427">
      <c r="A427" s="773"/>
    </row>
    <row r="428">
      <c r="A428" s="773"/>
    </row>
    <row r="429">
      <c r="A429" s="773"/>
    </row>
    <row r="430">
      <c r="A430" s="773"/>
    </row>
    <row r="431">
      <c r="A431" s="773"/>
    </row>
    <row r="432">
      <c r="A432" s="773"/>
    </row>
    <row r="433">
      <c r="A433" s="773"/>
    </row>
    <row r="434">
      <c r="A434" s="773"/>
    </row>
    <row r="435">
      <c r="A435" s="773"/>
    </row>
    <row r="436">
      <c r="A436" s="773"/>
    </row>
    <row r="437">
      <c r="A437" s="773"/>
    </row>
    <row r="438">
      <c r="A438" s="773"/>
    </row>
    <row r="439">
      <c r="A439" s="773"/>
    </row>
    <row r="440">
      <c r="A440" s="773"/>
    </row>
    <row r="441">
      <c r="A441" s="773"/>
    </row>
    <row r="442">
      <c r="A442" s="773"/>
    </row>
    <row r="443">
      <c r="A443" s="773"/>
    </row>
    <row r="444">
      <c r="A444" s="773"/>
    </row>
    <row r="445">
      <c r="A445" s="773"/>
    </row>
    <row r="446">
      <c r="A446" s="773"/>
    </row>
    <row r="447">
      <c r="A447" s="773"/>
    </row>
    <row r="448">
      <c r="A448" s="773"/>
    </row>
    <row r="449">
      <c r="A449" s="773"/>
    </row>
    <row r="450">
      <c r="A450" s="773"/>
    </row>
    <row r="451">
      <c r="A451" s="773"/>
    </row>
    <row r="452">
      <c r="A452" s="773"/>
    </row>
    <row r="453">
      <c r="A453" s="773"/>
    </row>
    <row r="454">
      <c r="A454" s="773"/>
    </row>
    <row r="455">
      <c r="A455" s="773"/>
    </row>
    <row r="456">
      <c r="A456" s="773"/>
    </row>
    <row r="457">
      <c r="A457" s="773"/>
    </row>
    <row r="458">
      <c r="A458" s="773"/>
    </row>
    <row r="459">
      <c r="A459" s="773"/>
    </row>
    <row r="460">
      <c r="A460" s="773"/>
    </row>
    <row r="461">
      <c r="A461" s="773"/>
    </row>
    <row r="462">
      <c r="A462" s="773"/>
    </row>
    <row r="463">
      <c r="A463" s="773"/>
    </row>
    <row r="464">
      <c r="A464" s="773"/>
    </row>
    <row r="465">
      <c r="A465" s="773"/>
    </row>
    <row r="466">
      <c r="A466" s="773"/>
    </row>
    <row r="467">
      <c r="A467" s="773"/>
    </row>
    <row r="468">
      <c r="A468" s="773"/>
    </row>
    <row r="469">
      <c r="A469" s="773"/>
    </row>
    <row r="470">
      <c r="A470" s="773"/>
    </row>
    <row r="471">
      <c r="A471" s="773"/>
    </row>
    <row r="472">
      <c r="A472" s="773"/>
    </row>
    <row r="473">
      <c r="A473" s="773"/>
    </row>
    <row r="474">
      <c r="A474" s="773"/>
    </row>
    <row r="475">
      <c r="A475" s="773"/>
    </row>
    <row r="476">
      <c r="A476" s="773"/>
    </row>
    <row r="477">
      <c r="A477" s="773"/>
    </row>
    <row r="478">
      <c r="A478" s="773"/>
    </row>
    <row r="479">
      <c r="A479" s="773"/>
    </row>
    <row r="480">
      <c r="A480" s="773"/>
    </row>
    <row r="481">
      <c r="A481" s="773"/>
    </row>
    <row r="482">
      <c r="A482" s="773"/>
    </row>
    <row r="483">
      <c r="A483" s="773"/>
    </row>
    <row r="484">
      <c r="A484" s="773"/>
    </row>
    <row r="485">
      <c r="A485" s="773"/>
    </row>
    <row r="486">
      <c r="A486" s="773"/>
    </row>
    <row r="487">
      <c r="A487" s="773"/>
    </row>
    <row r="488">
      <c r="A488" s="773"/>
    </row>
    <row r="489">
      <c r="A489" s="773"/>
    </row>
    <row r="490">
      <c r="A490" s="773"/>
    </row>
    <row r="491">
      <c r="A491" s="773"/>
    </row>
    <row r="492">
      <c r="A492" s="773"/>
    </row>
    <row r="493">
      <c r="A493" s="773"/>
    </row>
    <row r="494">
      <c r="A494" s="773"/>
    </row>
    <row r="495">
      <c r="A495" s="773"/>
    </row>
    <row r="496">
      <c r="A496" s="773"/>
    </row>
    <row r="497">
      <c r="A497" s="773"/>
    </row>
    <row r="498">
      <c r="A498" s="773"/>
    </row>
    <row r="499">
      <c r="A499" s="773"/>
    </row>
    <row r="500">
      <c r="A500" s="773"/>
    </row>
    <row r="501">
      <c r="A501" s="773"/>
    </row>
    <row r="502">
      <c r="A502" s="773"/>
    </row>
    <row r="503">
      <c r="A503" s="773"/>
    </row>
    <row r="504">
      <c r="A504" s="773"/>
    </row>
    <row r="505">
      <c r="A505" s="773"/>
    </row>
    <row r="506">
      <c r="A506" s="773"/>
    </row>
    <row r="507">
      <c r="A507" s="773"/>
    </row>
    <row r="508">
      <c r="A508" s="773"/>
    </row>
    <row r="509">
      <c r="A509" s="773"/>
    </row>
    <row r="510">
      <c r="A510" s="773"/>
    </row>
    <row r="511">
      <c r="A511" s="773"/>
    </row>
    <row r="512">
      <c r="A512" s="773"/>
    </row>
    <row r="513">
      <c r="A513" s="773"/>
    </row>
    <row r="514">
      <c r="A514" s="773"/>
    </row>
    <row r="515">
      <c r="A515" s="773"/>
    </row>
    <row r="516">
      <c r="A516" s="773"/>
    </row>
    <row r="517">
      <c r="A517" s="773"/>
    </row>
    <row r="518">
      <c r="A518" s="773"/>
    </row>
    <row r="519">
      <c r="A519" s="773"/>
    </row>
    <row r="520">
      <c r="A520" s="773"/>
    </row>
    <row r="521">
      <c r="A521" s="773"/>
    </row>
    <row r="522">
      <c r="A522" s="773"/>
    </row>
    <row r="523">
      <c r="A523" s="773"/>
    </row>
    <row r="524">
      <c r="A524" s="773"/>
    </row>
    <row r="525">
      <c r="A525" s="773"/>
    </row>
    <row r="526">
      <c r="A526" s="773"/>
    </row>
    <row r="527">
      <c r="A527" s="773"/>
    </row>
    <row r="528">
      <c r="A528" s="773"/>
    </row>
    <row r="529">
      <c r="A529" s="773"/>
    </row>
    <row r="530">
      <c r="A530" s="773"/>
    </row>
    <row r="531">
      <c r="A531" s="773"/>
    </row>
    <row r="532">
      <c r="A532" s="773"/>
    </row>
    <row r="533">
      <c r="A533" s="773"/>
    </row>
    <row r="534">
      <c r="A534" s="773"/>
    </row>
    <row r="535">
      <c r="A535" s="773"/>
    </row>
    <row r="536">
      <c r="A536" s="773"/>
    </row>
    <row r="537">
      <c r="A537" s="773"/>
    </row>
    <row r="538">
      <c r="A538" s="773"/>
    </row>
    <row r="539">
      <c r="A539" s="773"/>
    </row>
    <row r="540">
      <c r="A540" s="773"/>
    </row>
    <row r="541">
      <c r="A541" s="773"/>
    </row>
    <row r="542">
      <c r="A542" s="773"/>
    </row>
    <row r="543">
      <c r="A543" s="773"/>
    </row>
    <row r="544">
      <c r="A544" s="773"/>
    </row>
    <row r="545">
      <c r="A545" s="773"/>
    </row>
    <row r="546">
      <c r="A546" s="773"/>
    </row>
    <row r="547">
      <c r="A547" s="773"/>
    </row>
    <row r="548">
      <c r="A548" s="773"/>
    </row>
    <row r="549">
      <c r="A549" s="773"/>
    </row>
    <row r="550">
      <c r="A550" s="773"/>
    </row>
    <row r="551">
      <c r="A551" s="773"/>
    </row>
    <row r="552">
      <c r="A552" s="773"/>
    </row>
    <row r="553">
      <c r="A553" s="773"/>
    </row>
    <row r="554">
      <c r="A554" s="773"/>
    </row>
    <row r="555">
      <c r="A555" s="773"/>
    </row>
    <row r="556">
      <c r="A556" s="773"/>
    </row>
    <row r="557">
      <c r="A557" s="773"/>
    </row>
    <row r="558">
      <c r="A558" s="773"/>
    </row>
    <row r="559">
      <c r="A559" s="773"/>
    </row>
    <row r="560">
      <c r="A560" s="773"/>
    </row>
    <row r="561">
      <c r="A561" s="773"/>
    </row>
    <row r="562">
      <c r="A562" s="773"/>
    </row>
    <row r="563">
      <c r="A563" s="773"/>
    </row>
    <row r="564">
      <c r="A564" s="773"/>
    </row>
    <row r="565">
      <c r="A565" s="773"/>
    </row>
    <row r="566">
      <c r="A566" s="773"/>
    </row>
    <row r="567">
      <c r="A567" s="773"/>
    </row>
    <row r="568">
      <c r="A568" s="773"/>
    </row>
    <row r="569">
      <c r="A569" s="773"/>
    </row>
    <row r="570">
      <c r="A570" s="773"/>
    </row>
    <row r="571">
      <c r="A571" s="773"/>
    </row>
    <row r="572">
      <c r="A572" s="773"/>
    </row>
    <row r="573">
      <c r="A573" s="773"/>
    </row>
    <row r="574">
      <c r="A574" s="773"/>
    </row>
    <row r="575">
      <c r="A575" s="773"/>
    </row>
    <row r="576">
      <c r="A576" s="773"/>
    </row>
    <row r="577">
      <c r="A577" s="773"/>
    </row>
    <row r="578">
      <c r="A578" s="773"/>
    </row>
    <row r="579">
      <c r="A579" s="773"/>
    </row>
    <row r="580">
      <c r="A580" s="773"/>
    </row>
    <row r="581">
      <c r="A581" s="773"/>
    </row>
    <row r="582">
      <c r="A582" s="773"/>
    </row>
    <row r="583">
      <c r="A583" s="773"/>
    </row>
    <row r="584">
      <c r="A584" s="773"/>
    </row>
    <row r="585">
      <c r="A585" s="773"/>
    </row>
    <row r="586">
      <c r="A586" s="773"/>
    </row>
    <row r="587">
      <c r="A587" s="773"/>
    </row>
    <row r="588">
      <c r="A588" s="773"/>
    </row>
    <row r="589">
      <c r="A589" s="773"/>
    </row>
    <row r="590">
      <c r="A590" s="773"/>
    </row>
    <row r="591">
      <c r="A591" s="773"/>
    </row>
    <row r="592">
      <c r="A592" s="773"/>
    </row>
    <row r="593">
      <c r="A593" s="773"/>
    </row>
    <row r="594">
      <c r="A594" s="773"/>
    </row>
    <row r="595">
      <c r="A595" s="773"/>
    </row>
    <row r="596">
      <c r="A596" s="773"/>
    </row>
    <row r="597">
      <c r="A597" s="773"/>
    </row>
    <row r="598">
      <c r="A598" s="773"/>
    </row>
    <row r="599">
      <c r="A599" s="773"/>
    </row>
    <row r="600">
      <c r="A600" s="773"/>
    </row>
    <row r="601">
      <c r="A601" s="773"/>
    </row>
    <row r="602">
      <c r="A602" s="773"/>
    </row>
    <row r="603">
      <c r="A603" s="773"/>
    </row>
    <row r="604">
      <c r="A604" s="773"/>
    </row>
    <row r="605">
      <c r="A605" s="773"/>
    </row>
    <row r="606">
      <c r="A606" s="773"/>
    </row>
    <row r="607">
      <c r="A607" s="773"/>
    </row>
    <row r="608">
      <c r="A608" s="773"/>
    </row>
    <row r="609">
      <c r="A609" s="773"/>
    </row>
    <row r="610">
      <c r="A610" s="773"/>
    </row>
    <row r="611">
      <c r="A611" s="773"/>
    </row>
    <row r="612">
      <c r="A612" s="773"/>
    </row>
    <row r="613">
      <c r="A613" s="773"/>
    </row>
    <row r="614">
      <c r="A614" s="773"/>
    </row>
    <row r="615">
      <c r="A615" s="773"/>
    </row>
    <row r="616">
      <c r="A616" s="773"/>
    </row>
    <row r="617">
      <c r="A617" s="773"/>
    </row>
    <row r="618">
      <c r="A618" s="773"/>
    </row>
    <row r="619">
      <c r="A619" s="773"/>
    </row>
    <row r="620">
      <c r="A620" s="773"/>
    </row>
    <row r="621">
      <c r="A621" s="773"/>
    </row>
    <row r="622">
      <c r="A622" s="773"/>
    </row>
    <row r="623">
      <c r="A623" s="773"/>
    </row>
    <row r="624">
      <c r="A624" s="773"/>
    </row>
    <row r="625">
      <c r="A625" s="773"/>
    </row>
    <row r="626">
      <c r="A626" s="773"/>
    </row>
    <row r="627">
      <c r="A627" s="773"/>
    </row>
    <row r="628">
      <c r="A628" s="773"/>
    </row>
    <row r="629">
      <c r="A629" s="773"/>
    </row>
    <row r="630">
      <c r="A630" s="773"/>
    </row>
    <row r="631">
      <c r="A631" s="773"/>
    </row>
    <row r="632">
      <c r="A632" s="773"/>
    </row>
    <row r="633">
      <c r="A633" s="773"/>
    </row>
    <row r="634">
      <c r="A634" s="773"/>
    </row>
    <row r="635">
      <c r="A635" s="773"/>
    </row>
    <row r="636">
      <c r="A636" s="773"/>
    </row>
    <row r="637">
      <c r="A637" s="773"/>
    </row>
    <row r="638">
      <c r="A638" s="773"/>
    </row>
    <row r="639">
      <c r="A639" s="773"/>
    </row>
    <row r="640">
      <c r="A640" s="773"/>
    </row>
    <row r="641">
      <c r="A641" s="773"/>
    </row>
    <row r="642">
      <c r="A642" s="773"/>
    </row>
    <row r="643">
      <c r="A643" s="773"/>
    </row>
    <row r="644">
      <c r="A644" s="773"/>
    </row>
    <row r="645">
      <c r="A645" s="773"/>
    </row>
    <row r="646">
      <c r="A646" s="773"/>
    </row>
    <row r="647">
      <c r="A647" s="773"/>
    </row>
    <row r="648">
      <c r="A648" s="773"/>
    </row>
    <row r="649">
      <c r="A649" s="773"/>
    </row>
    <row r="650">
      <c r="A650" s="773"/>
    </row>
    <row r="651">
      <c r="A651" s="773"/>
    </row>
    <row r="652">
      <c r="A652" s="773"/>
    </row>
    <row r="653">
      <c r="A653" s="773"/>
    </row>
    <row r="654">
      <c r="A654" s="773"/>
    </row>
    <row r="655">
      <c r="A655" s="773"/>
    </row>
    <row r="656">
      <c r="A656" s="773"/>
    </row>
    <row r="657">
      <c r="A657" s="773"/>
    </row>
    <row r="658">
      <c r="A658" s="773"/>
    </row>
    <row r="659">
      <c r="A659" s="773"/>
    </row>
    <row r="660">
      <c r="A660" s="773"/>
    </row>
    <row r="661">
      <c r="A661" s="773"/>
    </row>
    <row r="662">
      <c r="A662" s="773"/>
    </row>
    <row r="663">
      <c r="A663" s="773"/>
    </row>
    <row r="664">
      <c r="A664" s="773"/>
    </row>
    <row r="665">
      <c r="A665" s="773"/>
    </row>
    <row r="666">
      <c r="A666" s="773"/>
    </row>
    <row r="667">
      <c r="A667" s="773"/>
    </row>
    <row r="668">
      <c r="A668" s="773"/>
    </row>
    <row r="669">
      <c r="A669" s="773"/>
    </row>
    <row r="670">
      <c r="A670" s="773"/>
    </row>
    <row r="671">
      <c r="A671" s="773"/>
    </row>
    <row r="672">
      <c r="A672" s="773"/>
    </row>
    <row r="673">
      <c r="A673" s="773"/>
    </row>
    <row r="674">
      <c r="A674" s="773"/>
    </row>
    <row r="675">
      <c r="A675" s="773"/>
    </row>
    <row r="676">
      <c r="A676" s="773"/>
    </row>
    <row r="677">
      <c r="A677" s="773"/>
    </row>
    <row r="678">
      <c r="A678" s="773"/>
    </row>
    <row r="679">
      <c r="A679" s="773"/>
    </row>
    <row r="680">
      <c r="A680" s="773"/>
    </row>
    <row r="681">
      <c r="A681" s="773"/>
    </row>
    <row r="682">
      <c r="A682" s="773"/>
    </row>
    <row r="683">
      <c r="A683" s="773"/>
    </row>
    <row r="684">
      <c r="A684" s="773"/>
    </row>
    <row r="685">
      <c r="A685" s="773"/>
    </row>
    <row r="686">
      <c r="A686" s="773"/>
    </row>
    <row r="687">
      <c r="A687" s="773"/>
    </row>
    <row r="688">
      <c r="A688" s="773"/>
    </row>
    <row r="689">
      <c r="A689" s="773"/>
    </row>
    <row r="690">
      <c r="A690" s="773"/>
    </row>
    <row r="691">
      <c r="A691" s="773"/>
    </row>
    <row r="692">
      <c r="A692" s="773"/>
    </row>
    <row r="693">
      <c r="A693" s="773"/>
    </row>
    <row r="694">
      <c r="A694" s="773"/>
    </row>
    <row r="695">
      <c r="A695" s="773"/>
    </row>
    <row r="696">
      <c r="A696" s="773"/>
    </row>
    <row r="697">
      <c r="A697" s="773"/>
    </row>
    <row r="698">
      <c r="A698" s="773"/>
    </row>
    <row r="699">
      <c r="A699" s="773"/>
    </row>
    <row r="700">
      <c r="A700" s="773"/>
    </row>
    <row r="701">
      <c r="A701" s="773"/>
    </row>
    <row r="702">
      <c r="A702" s="773"/>
    </row>
    <row r="703">
      <c r="A703" s="773"/>
    </row>
    <row r="704">
      <c r="A704" s="773"/>
    </row>
    <row r="705">
      <c r="A705" s="773"/>
    </row>
    <row r="706">
      <c r="A706" s="773"/>
    </row>
    <row r="707">
      <c r="A707" s="773"/>
    </row>
    <row r="708">
      <c r="A708" s="773"/>
    </row>
    <row r="709">
      <c r="A709" s="773"/>
    </row>
    <row r="710">
      <c r="A710" s="773"/>
    </row>
    <row r="711">
      <c r="A711" s="773"/>
    </row>
    <row r="712">
      <c r="A712" s="773"/>
    </row>
    <row r="713">
      <c r="A713" s="773"/>
    </row>
    <row r="714">
      <c r="A714" s="773"/>
    </row>
    <row r="715">
      <c r="A715" s="773"/>
    </row>
    <row r="716">
      <c r="A716" s="773"/>
    </row>
    <row r="717">
      <c r="A717" s="773"/>
    </row>
    <row r="718">
      <c r="A718" s="773"/>
    </row>
    <row r="719">
      <c r="A719" s="773"/>
    </row>
    <row r="720">
      <c r="A720" s="773"/>
    </row>
    <row r="721">
      <c r="A721" s="773"/>
    </row>
    <row r="722">
      <c r="A722" s="773"/>
    </row>
    <row r="723">
      <c r="A723" s="773"/>
    </row>
    <row r="724">
      <c r="A724" s="773"/>
    </row>
    <row r="725">
      <c r="A725" s="773"/>
    </row>
    <row r="726">
      <c r="A726" s="773"/>
    </row>
    <row r="727">
      <c r="A727" s="773"/>
    </row>
    <row r="728">
      <c r="A728" s="773"/>
    </row>
    <row r="729">
      <c r="A729" s="773"/>
    </row>
    <row r="730">
      <c r="A730" s="773"/>
    </row>
    <row r="731">
      <c r="A731" s="773"/>
    </row>
    <row r="732">
      <c r="A732" s="773"/>
    </row>
    <row r="733">
      <c r="A733" s="773"/>
    </row>
    <row r="734">
      <c r="A734" s="773"/>
    </row>
    <row r="735">
      <c r="A735" s="773"/>
    </row>
    <row r="736">
      <c r="A736" s="773"/>
    </row>
    <row r="737">
      <c r="A737" s="773"/>
    </row>
    <row r="738">
      <c r="A738" s="773"/>
    </row>
    <row r="739">
      <c r="A739" s="773"/>
    </row>
    <row r="740">
      <c r="A740" s="773"/>
    </row>
    <row r="741">
      <c r="A741" s="773"/>
    </row>
    <row r="742">
      <c r="A742" s="773"/>
    </row>
    <row r="743">
      <c r="A743" s="773"/>
    </row>
    <row r="744">
      <c r="A744" s="773"/>
    </row>
    <row r="745">
      <c r="A745" s="773"/>
    </row>
    <row r="746">
      <c r="A746" s="773"/>
    </row>
    <row r="747">
      <c r="A747" s="773"/>
    </row>
    <row r="748">
      <c r="A748" s="773"/>
    </row>
    <row r="749">
      <c r="A749" s="773"/>
    </row>
    <row r="750">
      <c r="A750" s="773"/>
    </row>
    <row r="751">
      <c r="A751" s="773"/>
    </row>
    <row r="752">
      <c r="A752" s="773"/>
    </row>
    <row r="753">
      <c r="A753" s="773"/>
    </row>
    <row r="754">
      <c r="A754" s="773"/>
    </row>
    <row r="755">
      <c r="A755" s="773"/>
    </row>
    <row r="756">
      <c r="A756" s="773"/>
    </row>
    <row r="757">
      <c r="A757" s="773"/>
    </row>
    <row r="758">
      <c r="A758" s="773"/>
    </row>
    <row r="759">
      <c r="A759" s="773"/>
    </row>
    <row r="760">
      <c r="A760" s="773"/>
    </row>
    <row r="761">
      <c r="A761" s="773"/>
    </row>
    <row r="762">
      <c r="A762" s="773"/>
    </row>
    <row r="763">
      <c r="A763" s="773"/>
    </row>
    <row r="764">
      <c r="A764" s="773"/>
    </row>
    <row r="765">
      <c r="A765" s="773"/>
    </row>
    <row r="766">
      <c r="A766" s="773"/>
    </row>
    <row r="767">
      <c r="A767" s="773"/>
    </row>
    <row r="768">
      <c r="A768" s="773"/>
    </row>
    <row r="769">
      <c r="A769" s="773"/>
    </row>
    <row r="770">
      <c r="A770" s="773"/>
    </row>
    <row r="771">
      <c r="A771" s="773"/>
    </row>
    <row r="772">
      <c r="A772" s="773"/>
    </row>
    <row r="773">
      <c r="A773" s="773"/>
    </row>
    <row r="774">
      <c r="A774" s="773"/>
    </row>
    <row r="775">
      <c r="A775" s="773"/>
    </row>
    <row r="776">
      <c r="A776" s="773"/>
    </row>
    <row r="777">
      <c r="A777" s="773"/>
    </row>
    <row r="778">
      <c r="A778" s="773"/>
    </row>
    <row r="779">
      <c r="A779" s="773"/>
    </row>
    <row r="780">
      <c r="A780" s="773"/>
    </row>
    <row r="781">
      <c r="A781" s="773"/>
    </row>
    <row r="782">
      <c r="A782" s="773"/>
    </row>
    <row r="783">
      <c r="A783" s="773"/>
    </row>
    <row r="784">
      <c r="A784" s="773"/>
    </row>
    <row r="785">
      <c r="A785" s="773"/>
    </row>
    <row r="786">
      <c r="A786" s="773"/>
    </row>
    <row r="787">
      <c r="A787" s="773"/>
    </row>
    <row r="788">
      <c r="A788" s="773"/>
    </row>
    <row r="789">
      <c r="A789" s="773"/>
    </row>
    <row r="790">
      <c r="A790" s="773"/>
    </row>
    <row r="791">
      <c r="A791" s="773"/>
    </row>
    <row r="792">
      <c r="A792" s="773"/>
    </row>
    <row r="793">
      <c r="A793" s="773"/>
    </row>
    <row r="794">
      <c r="A794" s="773"/>
    </row>
    <row r="795">
      <c r="A795" s="773"/>
    </row>
    <row r="796">
      <c r="A796" s="773"/>
    </row>
    <row r="797">
      <c r="A797" s="773"/>
    </row>
    <row r="798">
      <c r="A798" s="773"/>
    </row>
    <row r="799">
      <c r="A799" s="773"/>
    </row>
    <row r="800">
      <c r="A800" s="773"/>
    </row>
    <row r="801">
      <c r="A801" s="773"/>
    </row>
    <row r="802">
      <c r="A802" s="773"/>
    </row>
    <row r="803">
      <c r="A803" s="773"/>
    </row>
    <row r="804">
      <c r="A804" s="773"/>
    </row>
    <row r="805">
      <c r="A805" s="773"/>
    </row>
    <row r="806">
      <c r="A806" s="773"/>
    </row>
    <row r="807">
      <c r="A807" s="773"/>
    </row>
    <row r="808">
      <c r="A808" s="773"/>
    </row>
    <row r="809">
      <c r="A809" s="773"/>
    </row>
    <row r="810">
      <c r="A810" s="773"/>
    </row>
    <row r="811">
      <c r="A811" s="773"/>
    </row>
    <row r="812">
      <c r="A812" s="773"/>
    </row>
    <row r="813">
      <c r="A813" s="773"/>
    </row>
    <row r="814">
      <c r="A814" s="773"/>
    </row>
    <row r="815">
      <c r="A815" s="773"/>
    </row>
    <row r="816">
      <c r="A816" s="773"/>
    </row>
    <row r="817">
      <c r="A817" s="773"/>
    </row>
    <row r="818">
      <c r="A818" s="773"/>
    </row>
    <row r="819">
      <c r="A819" s="773"/>
    </row>
    <row r="820">
      <c r="A820" s="773"/>
    </row>
    <row r="821">
      <c r="A821" s="773"/>
    </row>
    <row r="822">
      <c r="A822" s="773"/>
    </row>
    <row r="823">
      <c r="A823" s="773"/>
    </row>
    <row r="824">
      <c r="A824" s="773"/>
    </row>
    <row r="825">
      <c r="A825" s="773"/>
    </row>
    <row r="826">
      <c r="A826" s="773"/>
    </row>
    <row r="827">
      <c r="A827" s="773"/>
    </row>
    <row r="828">
      <c r="A828" s="773"/>
    </row>
    <row r="829">
      <c r="A829" s="773"/>
    </row>
    <row r="830">
      <c r="A830" s="773"/>
    </row>
    <row r="831">
      <c r="A831" s="773"/>
    </row>
    <row r="832">
      <c r="A832" s="773"/>
    </row>
    <row r="833">
      <c r="A833" s="773"/>
    </row>
    <row r="834">
      <c r="A834" s="773"/>
    </row>
    <row r="835">
      <c r="A835" s="773"/>
    </row>
    <row r="836">
      <c r="A836" s="773"/>
    </row>
    <row r="837">
      <c r="A837" s="773"/>
    </row>
    <row r="838">
      <c r="A838" s="773"/>
    </row>
    <row r="839">
      <c r="A839" s="773"/>
    </row>
    <row r="840">
      <c r="A840" s="773"/>
    </row>
    <row r="841">
      <c r="A841" s="773"/>
    </row>
    <row r="842">
      <c r="A842" s="773"/>
    </row>
    <row r="843">
      <c r="A843" s="773"/>
    </row>
    <row r="844">
      <c r="A844" s="773"/>
    </row>
    <row r="845">
      <c r="A845" s="773"/>
    </row>
    <row r="846">
      <c r="A846" s="773"/>
    </row>
    <row r="847">
      <c r="A847" s="773"/>
    </row>
    <row r="848">
      <c r="A848" s="773"/>
    </row>
    <row r="849">
      <c r="A849" s="773"/>
    </row>
    <row r="850">
      <c r="A850" s="773"/>
    </row>
    <row r="851">
      <c r="A851" s="773"/>
    </row>
    <row r="852">
      <c r="A852" s="773"/>
    </row>
    <row r="853">
      <c r="A853" s="773"/>
    </row>
    <row r="854">
      <c r="A854" s="773"/>
    </row>
    <row r="855">
      <c r="A855" s="773"/>
    </row>
    <row r="856">
      <c r="A856" s="773"/>
    </row>
    <row r="857">
      <c r="A857" s="773"/>
    </row>
    <row r="858">
      <c r="A858" s="773"/>
    </row>
    <row r="859">
      <c r="A859" s="773"/>
    </row>
    <row r="860">
      <c r="A860" s="773"/>
    </row>
    <row r="861">
      <c r="A861" s="773"/>
    </row>
    <row r="862">
      <c r="A862" s="773"/>
    </row>
    <row r="863">
      <c r="A863" s="773"/>
    </row>
    <row r="864">
      <c r="A864" s="773"/>
    </row>
    <row r="865">
      <c r="A865" s="773"/>
    </row>
    <row r="866">
      <c r="A866" s="773"/>
    </row>
    <row r="867">
      <c r="A867" s="773"/>
    </row>
    <row r="868">
      <c r="A868" s="773"/>
    </row>
    <row r="869">
      <c r="A869" s="773"/>
    </row>
    <row r="870">
      <c r="A870" s="773"/>
    </row>
    <row r="871">
      <c r="A871" s="773"/>
    </row>
    <row r="872">
      <c r="A872" s="773"/>
    </row>
    <row r="873">
      <c r="A873" s="773"/>
    </row>
    <row r="874">
      <c r="A874" s="773"/>
    </row>
    <row r="875">
      <c r="A875" s="773"/>
    </row>
    <row r="876">
      <c r="A876" s="773"/>
    </row>
    <row r="877">
      <c r="A877" s="773"/>
    </row>
    <row r="878">
      <c r="A878" s="773"/>
    </row>
    <row r="879">
      <c r="A879" s="773"/>
    </row>
    <row r="880">
      <c r="A880" s="773"/>
    </row>
    <row r="881">
      <c r="A881" s="773"/>
    </row>
    <row r="882">
      <c r="A882" s="773"/>
    </row>
    <row r="883">
      <c r="A883" s="773"/>
    </row>
    <row r="884">
      <c r="A884" s="773"/>
    </row>
    <row r="885">
      <c r="A885" s="773"/>
    </row>
    <row r="886">
      <c r="A886" s="773"/>
    </row>
    <row r="887">
      <c r="A887" s="773"/>
    </row>
    <row r="888">
      <c r="A888" s="773"/>
    </row>
    <row r="889">
      <c r="A889" s="773"/>
    </row>
    <row r="890">
      <c r="A890" s="773"/>
    </row>
    <row r="891">
      <c r="A891" s="773"/>
    </row>
    <row r="892">
      <c r="A892" s="773"/>
    </row>
    <row r="893">
      <c r="A893" s="773"/>
    </row>
    <row r="894">
      <c r="A894" s="773"/>
    </row>
    <row r="895">
      <c r="A895" s="773"/>
    </row>
    <row r="896">
      <c r="A896" s="773"/>
    </row>
    <row r="897">
      <c r="A897" s="773"/>
    </row>
    <row r="898">
      <c r="A898" s="773"/>
    </row>
    <row r="899">
      <c r="A899" s="773"/>
    </row>
    <row r="900">
      <c r="A900" s="773"/>
    </row>
    <row r="901">
      <c r="A901" s="773"/>
    </row>
    <row r="902">
      <c r="A902" s="773"/>
    </row>
    <row r="903">
      <c r="A903" s="773"/>
    </row>
    <row r="904">
      <c r="A904" s="773"/>
    </row>
    <row r="905">
      <c r="A905" s="773"/>
    </row>
    <row r="906">
      <c r="A906" s="773"/>
    </row>
    <row r="907">
      <c r="A907" s="773"/>
    </row>
    <row r="908">
      <c r="A908" s="773"/>
    </row>
    <row r="909">
      <c r="A909" s="773"/>
    </row>
    <row r="910">
      <c r="A910" s="773"/>
    </row>
    <row r="911">
      <c r="A911" s="773"/>
    </row>
    <row r="912">
      <c r="A912" s="773"/>
    </row>
    <row r="913">
      <c r="A913" s="773"/>
    </row>
    <row r="914">
      <c r="A914" s="773"/>
    </row>
    <row r="915">
      <c r="A915" s="773"/>
    </row>
    <row r="916">
      <c r="A916" s="773"/>
    </row>
    <row r="917">
      <c r="A917" s="773"/>
    </row>
    <row r="918">
      <c r="A918" s="773"/>
    </row>
    <row r="919">
      <c r="A919" s="773"/>
    </row>
    <row r="920">
      <c r="A920" s="773"/>
    </row>
    <row r="921">
      <c r="A921" s="773"/>
    </row>
    <row r="922">
      <c r="A922" s="773"/>
    </row>
    <row r="923">
      <c r="A923" s="773"/>
    </row>
    <row r="924">
      <c r="A924" s="773"/>
    </row>
    <row r="925">
      <c r="A925" s="773"/>
    </row>
    <row r="926">
      <c r="A926" s="773"/>
    </row>
    <row r="927">
      <c r="A927" s="773"/>
    </row>
    <row r="928">
      <c r="A928" s="773"/>
    </row>
    <row r="929">
      <c r="A929" s="773"/>
    </row>
    <row r="930">
      <c r="A930" s="773"/>
    </row>
    <row r="931">
      <c r="A931" s="773"/>
    </row>
    <row r="932">
      <c r="A932" s="773"/>
    </row>
    <row r="933">
      <c r="A933" s="773"/>
    </row>
    <row r="934">
      <c r="A934" s="773"/>
    </row>
    <row r="935">
      <c r="A935" s="773"/>
    </row>
    <row r="936">
      <c r="A936" s="773"/>
    </row>
    <row r="937">
      <c r="A937" s="773"/>
    </row>
    <row r="938">
      <c r="A938" s="773"/>
    </row>
    <row r="939">
      <c r="A939" s="773"/>
    </row>
    <row r="940">
      <c r="A940" s="773"/>
    </row>
    <row r="941">
      <c r="A941" s="773"/>
    </row>
    <row r="942">
      <c r="A942" s="773"/>
    </row>
    <row r="943">
      <c r="A943" s="773"/>
    </row>
    <row r="944">
      <c r="A944" s="773"/>
    </row>
    <row r="945">
      <c r="A945" s="773"/>
    </row>
    <row r="946">
      <c r="A946" s="773"/>
    </row>
    <row r="947">
      <c r="A947" s="773"/>
    </row>
    <row r="948">
      <c r="A948" s="773"/>
    </row>
    <row r="949">
      <c r="A949" s="773"/>
    </row>
    <row r="950">
      <c r="A950" s="773"/>
    </row>
    <row r="951">
      <c r="A951" s="773"/>
    </row>
    <row r="952">
      <c r="A952" s="773"/>
    </row>
    <row r="953">
      <c r="A953" s="773"/>
    </row>
    <row r="954">
      <c r="A954" s="773"/>
    </row>
    <row r="955">
      <c r="A955" s="773"/>
    </row>
    <row r="956">
      <c r="A956" s="773"/>
    </row>
    <row r="957">
      <c r="A957" s="773"/>
    </row>
    <row r="958">
      <c r="A958" s="773"/>
    </row>
    <row r="959">
      <c r="A959" s="773"/>
    </row>
    <row r="960">
      <c r="A960" s="773"/>
    </row>
    <row r="961">
      <c r="A961" s="773"/>
    </row>
    <row r="962">
      <c r="A962" s="773"/>
    </row>
    <row r="963">
      <c r="A963" s="773"/>
    </row>
    <row r="964">
      <c r="A964" s="773"/>
    </row>
    <row r="965">
      <c r="A965" s="773"/>
    </row>
    <row r="966">
      <c r="A966" s="773"/>
    </row>
    <row r="967">
      <c r="A967" s="773"/>
    </row>
    <row r="968">
      <c r="A968" s="773"/>
    </row>
    <row r="969">
      <c r="A969" s="773"/>
    </row>
    <row r="970">
      <c r="A970" s="773"/>
    </row>
    <row r="971">
      <c r="A971" s="773"/>
    </row>
    <row r="972">
      <c r="A972" s="773"/>
    </row>
    <row r="973">
      <c r="A973" s="773"/>
    </row>
    <row r="974">
      <c r="A974" s="773"/>
    </row>
    <row r="975">
      <c r="A975" s="773"/>
    </row>
    <row r="976">
      <c r="A976" s="773"/>
    </row>
    <row r="977">
      <c r="A977" s="773"/>
    </row>
    <row r="978">
      <c r="A978" s="773"/>
    </row>
    <row r="979">
      <c r="A979" s="773"/>
    </row>
    <row r="980">
      <c r="A980" s="773"/>
    </row>
    <row r="981">
      <c r="A981" s="773"/>
    </row>
    <row r="982">
      <c r="A982" s="773"/>
    </row>
    <row r="983">
      <c r="A983" s="773"/>
    </row>
    <row r="984">
      <c r="A984" s="773"/>
    </row>
    <row r="985">
      <c r="A985" s="773"/>
    </row>
    <row r="986">
      <c r="A986" s="773"/>
    </row>
    <row r="987">
      <c r="A987" s="773"/>
    </row>
    <row r="988">
      <c r="A988" s="773"/>
    </row>
    <row r="989">
      <c r="A989" s="773"/>
    </row>
    <row r="990">
      <c r="A990" s="773"/>
    </row>
    <row r="991">
      <c r="A991" s="773"/>
    </row>
    <row r="992">
      <c r="A992" s="773"/>
    </row>
    <row r="993">
      <c r="A993" s="773"/>
    </row>
    <row r="994">
      <c r="A994" s="773"/>
    </row>
    <row r="995">
      <c r="A995" s="773"/>
    </row>
    <row r="996">
      <c r="A996" s="773"/>
    </row>
    <row r="997">
      <c r="A997" s="773"/>
    </row>
    <row r="998">
      <c r="A998" s="773"/>
    </row>
    <row r="999">
      <c r="A999" s="773"/>
    </row>
    <row r="1000">
      <c r="A1000" s="773"/>
    </row>
    <row r="1001">
      <c r="A1001" s="773"/>
    </row>
    <row r="1002">
      <c r="A1002" s="773"/>
    </row>
    <row r="1003">
      <c r="A1003" s="773"/>
    </row>
    <row r="1004">
      <c r="A1004" s="773"/>
    </row>
    <row r="1005">
      <c r="A1005" s="773"/>
    </row>
    <row r="1006">
      <c r="A1006" s="773"/>
    </row>
    <row r="1007">
      <c r="A1007" s="773"/>
    </row>
    <row r="1008">
      <c r="A1008" s="773"/>
    </row>
    <row r="1009">
      <c r="A1009" s="773"/>
    </row>
    <row r="1010">
      <c r="A1010" s="773"/>
    </row>
    <row r="1011">
      <c r="A1011" s="773"/>
    </row>
    <row r="1012">
      <c r="A1012" s="773"/>
    </row>
    <row r="1013">
      <c r="A1013" s="773"/>
    </row>
    <row r="1014">
      <c r="A1014" s="773"/>
    </row>
    <row r="1015">
      <c r="A1015" s="773"/>
    </row>
  </sheetData>
  <mergeCells count="5">
    <mergeCell ref="A1:AA1"/>
    <mergeCell ref="B5:C5"/>
    <mergeCell ref="G5:H5"/>
    <mergeCell ref="B15:E15"/>
    <mergeCell ref="G15:J15"/>
  </mergeCells>
  <hyperlinks>
    <hyperlink r:id="rId1" ref="B3"/>
  </hyperlinks>
  <drawing r:id="rId2"/>
  <tableParts count="4">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5.75"/>
    <col customWidth="1" min="4" max="4" width="12.25"/>
    <col customWidth="1" min="5" max="5" width="6.13"/>
    <col customWidth="1" min="6" max="6" width="10.13"/>
    <col customWidth="1" min="7" max="7" width="8.0"/>
    <col customWidth="1" min="8" max="10" width="10.5"/>
    <col customWidth="1" min="11" max="11" width="2.63"/>
    <col customWidth="1" min="12" max="12" width="19.25"/>
    <col customWidth="1" min="13" max="13" width="5.75"/>
    <col customWidth="1" min="14" max="14" width="12.25"/>
    <col customWidth="1" min="15" max="15" width="6.13"/>
    <col customWidth="1" min="16" max="16" width="10.13"/>
    <col customWidth="1" min="17" max="17" width="8.0"/>
    <col customWidth="1" min="18" max="20" width="10.5"/>
    <col customWidth="1" min="21" max="21" width="2.63"/>
    <col customWidth="1" min="22" max="22" width="8.38"/>
    <col customWidth="1" min="23" max="23" width="19.25"/>
    <col customWidth="1" min="24" max="24" width="5.75"/>
    <col customWidth="1" min="25" max="25" width="10.88"/>
    <col customWidth="1" min="26" max="26" width="9.5"/>
    <col customWidth="1" min="27" max="27" width="8.25"/>
    <col customWidth="1" min="28" max="28" width="6.13"/>
    <col customWidth="1" min="29" max="31" width="7.75"/>
    <col customWidth="1" min="32" max="32" width="2.63"/>
    <col customWidth="1" min="33" max="33" width="8.38"/>
    <col customWidth="1" min="34" max="34" width="19.25"/>
    <col customWidth="1" min="35" max="35" width="5.75"/>
    <col customWidth="1" min="36" max="36" width="10.88"/>
    <col customWidth="1" min="37" max="37" width="9.5"/>
    <col customWidth="1" min="38" max="38" width="6.75"/>
    <col customWidth="1" min="39" max="39" width="6.13"/>
    <col customWidth="1" min="40" max="42" width="7.25"/>
    <col customWidth="1" min="43" max="43" width="2.63"/>
    <col customWidth="1" min="44" max="44" width="8.63"/>
    <col customWidth="1" min="45" max="45" width="19.25"/>
    <col customWidth="1" min="46" max="46" width="5.75"/>
    <col customWidth="1" min="47" max="47" width="10.88"/>
    <col customWidth="1" min="48" max="48" width="8.0"/>
    <col customWidth="1" min="49" max="49" width="6.63"/>
    <col customWidth="1" min="50" max="50" width="6.13"/>
    <col customWidth="1" min="51" max="53" width="7.25"/>
    <col customWidth="1" min="54" max="54" width="2.63"/>
    <col customWidth="1" min="55" max="55" width="8.63"/>
    <col customWidth="1" min="56" max="56" width="19.25"/>
    <col customWidth="1" min="57" max="57" width="5.75"/>
    <col customWidth="1" min="59" max="59" width="8.0"/>
    <col customWidth="1" min="60" max="60" width="8.38"/>
    <col customWidth="1" min="61" max="61" width="6.13"/>
    <col customWidth="1" min="62" max="64" width="7.88"/>
    <col customWidth="1" min="65" max="65" width="2.63"/>
    <col customWidth="1" min="67" max="67" width="19.25"/>
    <col customWidth="1" min="68" max="68" width="5.75"/>
    <col customWidth="1" min="69" max="69" width="9.38"/>
    <col customWidth="1" min="70" max="70" width="7.63"/>
    <col customWidth="1" min="71" max="71" width="6.75"/>
    <col customWidth="1" min="72" max="72" width="6.13"/>
    <col customWidth="1" min="73" max="75" width="7.88"/>
    <col customWidth="1" min="76" max="76" width="2.63"/>
    <col customWidth="1" min="78" max="78" width="19.25"/>
    <col customWidth="1" min="79" max="79" width="5.75"/>
    <col customWidth="1" min="80" max="80" width="9.38"/>
    <col customWidth="1" min="81" max="81" width="9.0"/>
    <col customWidth="1" min="82" max="82" width="6.75"/>
    <col customWidth="1" min="83" max="83" width="6.13"/>
    <col customWidth="1" min="84" max="86" width="7.88"/>
    <col customWidth="1" min="87" max="87" width="2.63"/>
  </cols>
  <sheetData>
    <row r="1">
      <c r="A1" s="842"/>
      <c r="B1" s="843"/>
      <c r="C1" s="843"/>
      <c r="D1" s="843"/>
      <c r="E1" s="843"/>
      <c r="F1" s="843"/>
      <c r="G1" s="843"/>
      <c r="H1" s="844"/>
      <c r="I1" s="844"/>
      <c r="J1" s="844"/>
      <c r="K1" s="845"/>
      <c r="L1" s="843"/>
      <c r="M1" s="843"/>
      <c r="N1" s="843"/>
      <c r="O1" s="843"/>
      <c r="P1" s="843"/>
      <c r="Q1" s="843"/>
      <c r="R1" s="844"/>
      <c r="S1" s="844"/>
      <c r="T1" s="844"/>
      <c r="U1" s="846"/>
      <c r="V1" s="843"/>
      <c r="W1" s="843"/>
      <c r="X1" s="843"/>
      <c r="Y1" s="843"/>
      <c r="Z1" s="843"/>
      <c r="AA1" s="843"/>
      <c r="AB1" s="844"/>
      <c r="AC1" s="844"/>
      <c r="AD1" s="844"/>
      <c r="AE1" s="844"/>
      <c r="AF1" s="846"/>
      <c r="AG1" s="843"/>
      <c r="AH1" s="843"/>
      <c r="AI1" s="843"/>
      <c r="AJ1" s="843"/>
      <c r="AK1" s="843"/>
      <c r="AL1" s="843"/>
      <c r="AM1" s="844"/>
      <c r="AN1" s="844"/>
      <c r="AO1" s="844"/>
      <c r="AP1" s="844"/>
      <c r="AQ1" s="846"/>
      <c r="AR1" s="843"/>
      <c r="AS1" s="843"/>
      <c r="AT1" s="843"/>
      <c r="AU1" s="843"/>
      <c r="AV1" s="843"/>
      <c r="AW1" s="843"/>
      <c r="AX1" s="844"/>
      <c r="AY1" s="844"/>
      <c r="AZ1" s="844"/>
      <c r="BA1" s="844"/>
      <c r="BB1" s="846"/>
      <c r="BC1" s="843"/>
      <c r="BD1" s="843"/>
      <c r="BE1" s="843"/>
      <c r="BF1" s="843"/>
      <c r="BG1" s="843"/>
      <c r="BH1" s="843"/>
      <c r="BI1" s="844"/>
      <c r="BJ1" s="844"/>
      <c r="BK1" s="844"/>
      <c r="BL1" s="844"/>
      <c r="BM1" s="846"/>
      <c r="BN1" s="843"/>
      <c r="BO1" s="843"/>
      <c r="BP1" s="843"/>
      <c r="BQ1" s="843"/>
      <c r="BR1" s="843"/>
      <c r="BS1" s="843"/>
      <c r="BT1" s="844"/>
      <c r="BU1" s="844"/>
      <c r="BV1" s="844"/>
      <c r="BW1" s="844"/>
      <c r="BX1" s="846"/>
      <c r="BY1" s="843"/>
      <c r="BZ1" s="843"/>
      <c r="CA1" s="843"/>
      <c r="CB1" s="843"/>
      <c r="CC1" s="843"/>
      <c r="CD1" s="843"/>
      <c r="CE1" s="844"/>
      <c r="CF1" s="844"/>
      <c r="CG1" s="844"/>
      <c r="CH1" s="844"/>
      <c r="CI1" s="530"/>
    </row>
    <row r="2">
      <c r="A2" s="847"/>
      <c r="B2" s="848" t="s">
        <v>568</v>
      </c>
      <c r="C2" s="54"/>
      <c r="D2" s="54"/>
      <c r="E2" s="54"/>
      <c r="F2" s="54"/>
      <c r="G2" s="54"/>
      <c r="H2" s="54"/>
      <c r="I2" s="54"/>
      <c r="J2" s="849"/>
      <c r="K2" s="850"/>
      <c r="L2" s="851" t="s">
        <v>568</v>
      </c>
      <c r="M2" s="54"/>
      <c r="N2" s="54"/>
      <c r="O2" s="54"/>
      <c r="P2" s="54"/>
      <c r="Q2" s="54"/>
      <c r="R2" s="54"/>
      <c r="S2" s="54"/>
      <c r="T2" s="849"/>
      <c r="U2" s="852"/>
      <c r="V2" s="851" t="s">
        <v>569</v>
      </c>
      <c r="W2" s="54"/>
      <c r="X2" s="54"/>
      <c r="Y2" s="54"/>
      <c r="Z2" s="54"/>
      <c r="AA2" s="54"/>
      <c r="AB2" s="54"/>
      <c r="AC2" s="54"/>
      <c r="AD2" s="54"/>
      <c r="AE2" s="849"/>
      <c r="AF2" s="852"/>
      <c r="AG2" s="851" t="s">
        <v>570</v>
      </c>
      <c r="AH2" s="54"/>
      <c r="AI2" s="54"/>
      <c r="AJ2" s="54"/>
      <c r="AK2" s="54"/>
      <c r="AL2" s="54"/>
      <c r="AM2" s="54"/>
      <c r="AN2" s="54"/>
      <c r="AO2" s="54"/>
      <c r="AP2" s="849"/>
      <c r="AQ2" s="852"/>
      <c r="AR2" s="851" t="s">
        <v>571</v>
      </c>
      <c r="AS2" s="54"/>
      <c r="AT2" s="54"/>
      <c r="AU2" s="54"/>
      <c r="AV2" s="54"/>
      <c r="AW2" s="54"/>
      <c r="AX2" s="54"/>
      <c r="AY2" s="54"/>
      <c r="AZ2" s="54"/>
      <c r="BA2" s="849"/>
      <c r="BB2" s="852"/>
      <c r="BC2" s="851" t="s">
        <v>572</v>
      </c>
      <c r="BD2" s="54"/>
      <c r="BE2" s="54"/>
      <c r="BF2" s="54"/>
      <c r="BG2" s="54"/>
      <c r="BH2" s="54"/>
      <c r="BI2" s="54"/>
      <c r="BJ2" s="54"/>
      <c r="BK2" s="54"/>
      <c r="BL2" s="849"/>
      <c r="BM2" s="852"/>
      <c r="BN2" s="853" t="s">
        <v>573</v>
      </c>
      <c r="BO2" s="854"/>
      <c r="BP2" s="854"/>
      <c r="BQ2" s="854"/>
      <c r="BR2" s="854"/>
      <c r="BS2" s="854"/>
      <c r="BT2" s="854"/>
      <c r="BU2" s="854"/>
      <c r="BV2" s="854"/>
      <c r="BW2" s="855"/>
      <c r="BX2" s="852"/>
      <c r="BY2" s="853" t="s">
        <v>574</v>
      </c>
      <c r="BZ2" s="854"/>
      <c r="CA2" s="854"/>
      <c r="CB2" s="854"/>
      <c r="CC2" s="854"/>
      <c r="CD2" s="854"/>
      <c r="CE2" s="854"/>
      <c r="CF2" s="854"/>
      <c r="CG2" s="854"/>
      <c r="CH2" s="855"/>
      <c r="CI2" s="856"/>
    </row>
    <row r="3">
      <c r="A3" s="857"/>
      <c r="B3" s="858" t="s">
        <v>575</v>
      </c>
      <c r="C3" s="858" t="s">
        <v>576</v>
      </c>
      <c r="D3" s="858" t="s">
        <v>577</v>
      </c>
      <c r="E3" s="858" t="s">
        <v>578</v>
      </c>
      <c r="F3" s="858" t="s">
        <v>579</v>
      </c>
      <c r="G3" s="858" t="s">
        <v>580</v>
      </c>
      <c r="H3" s="859" t="s">
        <v>581</v>
      </c>
      <c r="I3" s="859" t="s">
        <v>582</v>
      </c>
      <c r="J3" s="860" t="s">
        <v>583</v>
      </c>
      <c r="K3" s="50"/>
      <c r="L3" s="861" t="s">
        <v>575</v>
      </c>
      <c r="M3" s="862" t="s">
        <v>576</v>
      </c>
      <c r="N3" s="862" t="s">
        <v>577</v>
      </c>
      <c r="O3" s="862" t="s">
        <v>578</v>
      </c>
      <c r="P3" s="862" t="s">
        <v>579</v>
      </c>
      <c r="Q3" s="862" t="s">
        <v>580</v>
      </c>
      <c r="R3" s="859" t="s">
        <v>581</v>
      </c>
      <c r="S3" s="859" t="s">
        <v>582</v>
      </c>
      <c r="T3" s="860" t="s">
        <v>583</v>
      </c>
      <c r="V3" s="863" t="s">
        <v>584</v>
      </c>
      <c r="W3" s="864" t="s">
        <v>585</v>
      </c>
      <c r="X3" s="864" t="s">
        <v>586</v>
      </c>
      <c r="Y3" s="864" t="s">
        <v>587</v>
      </c>
      <c r="Z3" s="864" t="s">
        <v>588</v>
      </c>
      <c r="AA3" s="864" t="s">
        <v>589</v>
      </c>
      <c r="AB3" s="859" t="s">
        <v>548</v>
      </c>
      <c r="AC3" s="859" t="s">
        <v>581</v>
      </c>
      <c r="AD3" s="859" t="s">
        <v>582</v>
      </c>
      <c r="AE3" s="860" t="s">
        <v>583</v>
      </c>
      <c r="AG3" s="863" t="s">
        <v>584</v>
      </c>
      <c r="AH3" s="864" t="s">
        <v>585</v>
      </c>
      <c r="AI3" s="864" t="s">
        <v>586</v>
      </c>
      <c r="AJ3" s="864" t="s">
        <v>587</v>
      </c>
      <c r="AK3" s="864" t="s">
        <v>588</v>
      </c>
      <c r="AL3" s="864" t="s">
        <v>589</v>
      </c>
      <c r="AM3" s="859" t="s">
        <v>548</v>
      </c>
      <c r="AN3" s="859" t="s">
        <v>581</v>
      </c>
      <c r="AO3" s="859" t="s">
        <v>582</v>
      </c>
      <c r="AP3" s="860" t="s">
        <v>583</v>
      </c>
      <c r="AR3" s="863" t="s">
        <v>584</v>
      </c>
      <c r="AS3" s="864" t="s">
        <v>585</v>
      </c>
      <c r="AT3" s="864" t="s">
        <v>586</v>
      </c>
      <c r="AU3" s="864" t="s">
        <v>587</v>
      </c>
      <c r="AV3" s="864" t="s">
        <v>588</v>
      </c>
      <c r="AW3" s="864" t="s">
        <v>589</v>
      </c>
      <c r="AX3" s="859" t="s">
        <v>548</v>
      </c>
      <c r="AY3" s="859" t="s">
        <v>581</v>
      </c>
      <c r="AZ3" s="859" t="s">
        <v>582</v>
      </c>
      <c r="BA3" s="860" t="s">
        <v>583</v>
      </c>
      <c r="BC3" s="863" t="s">
        <v>584</v>
      </c>
      <c r="BD3" s="864" t="s">
        <v>585</v>
      </c>
      <c r="BE3" s="864" t="s">
        <v>586</v>
      </c>
      <c r="BF3" s="864" t="s">
        <v>587</v>
      </c>
      <c r="BG3" s="864" t="s">
        <v>588</v>
      </c>
      <c r="BH3" s="864" t="s">
        <v>589</v>
      </c>
      <c r="BI3" s="859" t="s">
        <v>548</v>
      </c>
      <c r="BJ3" s="859" t="s">
        <v>581</v>
      </c>
      <c r="BK3" s="859" t="s">
        <v>582</v>
      </c>
      <c r="BL3" s="860" t="s">
        <v>583</v>
      </c>
      <c r="BN3" s="863" t="s">
        <v>584</v>
      </c>
      <c r="BO3" s="864" t="s">
        <v>585</v>
      </c>
      <c r="BP3" s="864" t="s">
        <v>586</v>
      </c>
      <c r="BQ3" s="864" t="s">
        <v>587</v>
      </c>
      <c r="BR3" s="864" t="s">
        <v>588</v>
      </c>
      <c r="BS3" s="864" t="s">
        <v>589</v>
      </c>
      <c r="BT3" s="859" t="s">
        <v>548</v>
      </c>
      <c r="BU3" s="859" t="s">
        <v>581</v>
      </c>
      <c r="BV3" s="859" t="s">
        <v>582</v>
      </c>
      <c r="BW3" s="860" t="s">
        <v>583</v>
      </c>
      <c r="BY3" s="863" t="s">
        <v>584</v>
      </c>
      <c r="BZ3" s="864" t="s">
        <v>585</v>
      </c>
      <c r="CA3" s="864" t="s">
        <v>586</v>
      </c>
      <c r="CB3" s="864" t="s">
        <v>587</v>
      </c>
      <c r="CC3" s="864" t="s">
        <v>588</v>
      </c>
      <c r="CD3" s="864" t="s">
        <v>589</v>
      </c>
      <c r="CE3" s="859" t="s">
        <v>548</v>
      </c>
      <c r="CF3" s="859" t="s">
        <v>581</v>
      </c>
      <c r="CG3" s="859" t="s">
        <v>582</v>
      </c>
      <c r="CH3" s="860" t="s">
        <v>583</v>
      </c>
      <c r="CI3" s="530"/>
    </row>
    <row r="4">
      <c r="A4" s="857"/>
      <c r="B4" s="865" t="s">
        <v>590</v>
      </c>
      <c r="C4" s="865" t="s">
        <v>591</v>
      </c>
      <c r="D4" s="865" t="s">
        <v>592</v>
      </c>
      <c r="E4" s="866">
        <v>2019.0</v>
      </c>
      <c r="F4" s="865" t="s">
        <v>593</v>
      </c>
      <c r="G4" s="865" t="s">
        <v>70</v>
      </c>
      <c r="H4" s="867">
        <v>1060897.523</v>
      </c>
      <c r="I4" s="867">
        <v>1165729.459</v>
      </c>
      <c r="J4" s="868">
        <v>952349.7177</v>
      </c>
      <c r="K4" s="50"/>
      <c r="L4" s="869" t="s">
        <v>590</v>
      </c>
      <c r="M4" s="865" t="s">
        <v>591</v>
      </c>
      <c r="N4" s="865" t="s">
        <v>592</v>
      </c>
      <c r="O4" s="866">
        <v>2004.0</v>
      </c>
      <c r="P4" s="865" t="s">
        <v>593</v>
      </c>
      <c r="Q4" s="865" t="s">
        <v>70</v>
      </c>
      <c r="R4" s="867">
        <v>766655.3945</v>
      </c>
      <c r="S4" s="867">
        <v>872713.2263</v>
      </c>
      <c r="T4" s="868">
        <v>665972.4319</v>
      </c>
      <c r="V4" s="869" t="s">
        <v>594</v>
      </c>
      <c r="W4" s="865" t="s">
        <v>590</v>
      </c>
      <c r="X4" s="865" t="s">
        <v>595</v>
      </c>
      <c r="Y4" s="865" t="s">
        <v>596</v>
      </c>
      <c r="Z4" s="865" t="s">
        <v>597</v>
      </c>
      <c r="AA4" s="865" t="s">
        <v>70</v>
      </c>
      <c r="AB4" s="866">
        <v>2004.0</v>
      </c>
      <c r="AC4" s="867">
        <v>36076.93396</v>
      </c>
      <c r="AD4" s="867">
        <v>40672.43707</v>
      </c>
      <c r="AE4" s="868">
        <v>31760.13393</v>
      </c>
      <c r="AG4" s="869" t="s">
        <v>594</v>
      </c>
      <c r="AH4" s="865" t="s">
        <v>590</v>
      </c>
      <c r="AI4" s="865" t="s">
        <v>595</v>
      </c>
      <c r="AJ4" s="865" t="s">
        <v>596</v>
      </c>
      <c r="AK4" s="865" t="s">
        <v>597</v>
      </c>
      <c r="AL4" s="865" t="s">
        <v>598</v>
      </c>
      <c r="AM4" s="866">
        <v>2019.0</v>
      </c>
      <c r="AN4" s="867">
        <v>1752.738268</v>
      </c>
      <c r="AO4" s="867">
        <v>2199.885679</v>
      </c>
      <c r="AP4" s="868">
        <v>1358.687727</v>
      </c>
      <c r="AR4" s="869" t="s">
        <v>594</v>
      </c>
      <c r="AS4" s="865" t="s">
        <v>590</v>
      </c>
      <c r="AT4" s="865" t="s">
        <v>595</v>
      </c>
      <c r="AU4" s="865" t="s">
        <v>596</v>
      </c>
      <c r="AV4" s="865" t="s">
        <v>599</v>
      </c>
      <c r="AW4" s="865" t="s">
        <v>598</v>
      </c>
      <c r="AX4" s="866">
        <v>2019.0</v>
      </c>
      <c r="AY4" s="867">
        <v>235.8951858</v>
      </c>
      <c r="AZ4" s="867">
        <v>457.7457316</v>
      </c>
      <c r="BA4" s="868">
        <v>95.0415761</v>
      </c>
      <c r="BC4" s="869" t="s">
        <v>594</v>
      </c>
      <c r="BD4" s="865" t="s">
        <v>590</v>
      </c>
      <c r="BE4" s="865" t="s">
        <v>595</v>
      </c>
      <c r="BF4" s="865" t="s">
        <v>600</v>
      </c>
      <c r="BG4" s="865" t="s">
        <v>599</v>
      </c>
      <c r="BH4" s="865" t="s">
        <v>70</v>
      </c>
      <c r="BI4" s="866">
        <v>2019.0</v>
      </c>
      <c r="BJ4" s="867">
        <v>6045.400536</v>
      </c>
      <c r="BK4" s="867">
        <v>11288.04234</v>
      </c>
      <c r="BL4" s="868">
        <v>2589.06511</v>
      </c>
      <c r="BN4" s="869" t="s">
        <v>40</v>
      </c>
      <c r="BO4" s="865" t="s">
        <v>590</v>
      </c>
      <c r="BP4" s="865" t="s">
        <v>595</v>
      </c>
      <c r="BQ4" s="865" t="s">
        <v>600</v>
      </c>
      <c r="BR4" s="865" t="s">
        <v>599</v>
      </c>
      <c r="BS4" s="865" t="s">
        <v>598</v>
      </c>
      <c r="BT4" s="866">
        <v>2019.0</v>
      </c>
      <c r="BU4" s="867">
        <v>51927.10674</v>
      </c>
      <c r="BV4" s="867">
        <v>85961.59412</v>
      </c>
      <c r="BW4" s="868">
        <v>27903.58805</v>
      </c>
      <c r="BY4" s="870" t="s">
        <v>594</v>
      </c>
      <c r="BZ4" s="871" t="s">
        <v>590</v>
      </c>
      <c r="CA4" s="871" t="s">
        <v>595</v>
      </c>
      <c r="CB4" s="871" t="s">
        <v>600</v>
      </c>
      <c r="CC4" s="871" t="s">
        <v>597</v>
      </c>
      <c r="CD4" s="871" t="s">
        <v>70</v>
      </c>
      <c r="CE4" s="872">
        <v>2019.0</v>
      </c>
      <c r="CF4" s="873">
        <v>58764.7341446388</v>
      </c>
      <c r="CG4" s="873">
        <v>70800.1835513335</v>
      </c>
      <c r="CH4" s="874">
        <v>48125.4240145816</v>
      </c>
      <c r="CI4" s="530"/>
    </row>
    <row r="5">
      <c r="A5" s="857"/>
      <c r="B5" s="865" t="s">
        <v>590</v>
      </c>
      <c r="C5" s="865" t="s">
        <v>591</v>
      </c>
      <c r="D5" s="865" t="s">
        <v>601</v>
      </c>
      <c r="E5" s="866">
        <v>2019.0</v>
      </c>
      <c r="F5" s="865" t="s">
        <v>593</v>
      </c>
      <c r="G5" s="865" t="s">
        <v>70</v>
      </c>
      <c r="H5" s="867">
        <v>1.705587011E7</v>
      </c>
      <c r="I5" s="867">
        <v>1.874123543E7</v>
      </c>
      <c r="J5" s="868">
        <v>1.53107654E7</v>
      </c>
      <c r="K5" s="50"/>
      <c r="L5" s="869" t="s">
        <v>590</v>
      </c>
      <c r="M5" s="865" t="s">
        <v>591</v>
      </c>
      <c r="N5" s="865" t="s">
        <v>601</v>
      </c>
      <c r="O5" s="866">
        <v>2004.0</v>
      </c>
      <c r="P5" s="865" t="s">
        <v>593</v>
      </c>
      <c r="Q5" s="865" t="s">
        <v>70</v>
      </c>
      <c r="R5" s="867">
        <v>9833198.85</v>
      </c>
      <c r="S5" s="867">
        <v>1.119350722E7</v>
      </c>
      <c r="T5" s="868">
        <v>8541829.091</v>
      </c>
      <c r="V5" s="869" t="s">
        <v>594</v>
      </c>
      <c r="W5" s="865" t="s">
        <v>590</v>
      </c>
      <c r="X5" s="865" t="s">
        <v>595</v>
      </c>
      <c r="Y5" s="865" t="s">
        <v>602</v>
      </c>
      <c r="Z5" s="865" t="s">
        <v>597</v>
      </c>
      <c r="AA5" s="865" t="s">
        <v>70</v>
      </c>
      <c r="AB5" s="866">
        <v>2004.0</v>
      </c>
      <c r="AC5" s="867">
        <v>46845.38315</v>
      </c>
      <c r="AD5" s="867">
        <v>52471.9588</v>
      </c>
      <c r="AE5" s="868">
        <v>41763.84251</v>
      </c>
      <c r="AG5" s="869" t="s">
        <v>594</v>
      </c>
      <c r="AH5" s="865" t="s">
        <v>590</v>
      </c>
      <c r="AI5" s="865" t="s">
        <v>595</v>
      </c>
      <c r="AJ5" s="865" t="s">
        <v>602</v>
      </c>
      <c r="AK5" s="865" t="s">
        <v>597</v>
      </c>
      <c r="AL5" s="865" t="s">
        <v>598</v>
      </c>
      <c r="AM5" s="866">
        <v>2019.0</v>
      </c>
      <c r="AN5" s="867">
        <v>432.2079919</v>
      </c>
      <c r="AO5" s="867">
        <v>516.8931491</v>
      </c>
      <c r="AP5" s="868">
        <v>355.7176047</v>
      </c>
      <c r="AR5" s="869" t="s">
        <v>594</v>
      </c>
      <c r="AS5" s="865" t="s">
        <v>590</v>
      </c>
      <c r="AT5" s="865" t="s">
        <v>595</v>
      </c>
      <c r="AU5" s="865" t="s">
        <v>602</v>
      </c>
      <c r="AV5" s="865" t="s">
        <v>599</v>
      </c>
      <c r="AW5" s="865" t="s">
        <v>598</v>
      </c>
      <c r="AX5" s="866">
        <v>2019.0</v>
      </c>
      <c r="AY5" s="867">
        <v>84.52369449</v>
      </c>
      <c r="AZ5" s="867">
        <v>153.6908344</v>
      </c>
      <c r="BA5" s="868">
        <v>37.67038447</v>
      </c>
      <c r="BC5" s="869" t="s">
        <v>594</v>
      </c>
      <c r="BD5" s="865" t="s">
        <v>590</v>
      </c>
      <c r="BE5" s="865" t="s">
        <v>595</v>
      </c>
      <c r="BF5" s="865" t="s">
        <v>603</v>
      </c>
      <c r="BG5" s="865" t="s">
        <v>599</v>
      </c>
      <c r="BH5" s="865" t="s">
        <v>70</v>
      </c>
      <c r="BI5" s="866">
        <v>2019.0</v>
      </c>
      <c r="BJ5" s="867">
        <v>10784.33784</v>
      </c>
      <c r="BK5" s="867">
        <v>21289.65724</v>
      </c>
      <c r="BL5" s="868">
        <v>4631.715185</v>
      </c>
      <c r="BN5" s="869" t="s">
        <v>40</v>
      </c>
      <c r="BO5" s="865" t="s">
        <v>590</v>
      </c>
      <c r="BP5" s="865" t="s">
        <v>595</v>
      </c>
      <c r="BQ5" s="865" t="s">
        <v>604</v>
      </c>
      <c r="BR5" s="865" t="s">
        <v>599</v>
      </c>
      <c r="BS5" s="865" t="s">
        <v>598</v>
      </c>
      <c r="BT5" s="866">
        <v>2019.0</v>
      </c>
      <c r="BU5" s="867">
        <v>22588.54896</v>
      </c>
      <c r="BV5" s="867">
        <v>38190.59826</v>
      </c>
      <c r="BW5" s="868">
        <v>12574.49805</v>
      </c>
      <c r="BY5" s="870" t="s">
        <v>594</v>
      </c>
      <c r="BZ5" s="871" t="s">
        <v>605</v>
      </c>
      <c r="CA5" s="871" t="s">
        <v>595</v>
      </c>
      <c r="CB5" s="871" t="s">
        <v>600</v>
      </c>
      <c r="CC5" s="871" t="s">
        <v>597</v>
      </c>
      <c r="CD5" s="871" t="s">
        <v>70</v>
      </c>
      <c r="CE5" s="872">
        <v>2019.0</v>
      </c>
      <c r="CF5" s="873">
        <v>77869.6031729107</v>
      </c>
      <c r="CG5" s="873">
        <v>94199.2916403002</v>
      </c>
      <c r="CH5" s="874">
        <v>63035.0821054592</v>
      </c>
      <c r="CI5" s="530"/>
    </row>
    <row r="6">
      <c r="A6" s="857"/>
      <c r="B6" s="865" t="s">
        <v>590</v>
      </c>
      <c r="C6" s="865" t="s">
        <v>591</v>
      </c>
      <c r="D6" s="865" t="s">
        <v>606</v>
      </c>
      <c r="E6" s="866">
        <v>2019.0</v>
      </c>
      <c r="F6" s="865" t="s">
        <v>593</v>
      </c>
      <c r="G6" s="865" t="s">
        <v>70</v>
      </c>
      <c r="H6" s="867">
        <v>1.398733597E7</v>
      </c>
      <c r="I6" s="867">
        <v>1.536948598E7</v>
      </c>
      <c r="J6" s="868">
        <v>1.255619434E7</v>
      </c>
      <c r="K6" s="50"/>
      <c r="L6" s="869" t="s">
        <v>590</v>
      </c>
      <c r="M6" s="865" t="s">
        <v>591</v>
      </c>
      <c r="N6" s="865" t="s">
        <v>606</v>
      </c>
      <c r="O6" s="866">
        <v>2004.0</v>
      </c>
      <c r="P6" s="865" t="s">
        <v>593</v>
      </c>
      <c r="Q6" s="865" t="s">
        <v>70</v>
      </c>
      <c r="R6" s="867">
        <v>8030779.868</v>
      </c>
      <c r="S6" s="867">
        <v>9141744.594</v>
      </c>
      <c r="T6" s="868">
        <v>6976117.35</v>
      </c>
      <c r="V6" s="869" t="s">
        <v>594</v>
      </c>
      <c r="W6" s="865" t="s">
        <v>605</v>
      </c>
      <c r="X6" s="865" t="s">
        <v>595</v>
      </c>
      <c r="Y6" s="865" t="s">
        <v>596</v>
      </c>
      <c r="Z6" s="865" t="s">
        <v>597</v>
      </c>
      <c r="AA6" s="865" t="s">
        <v>70</v>
      </c>
      <c r="AB6" s="866">
        <v>2004.0</v>
      </c>
      <c r="AC6" s="867">
        <v>58038.96524</v>
      </c>
      <c r="AD6" s="867">
        <v>65209.36953</v>
      </c>
      <c r="AE6" s="868">
        <v>51061.85915</v>
      </c>
      <c r="AG6" s="869" t="s">
        <v>594</v>
      </c>
      <c r="AH6" s="865" t="s">
        <v>605</v>
      </c>
      <c r="AI6" s="865" t="s">
        <v>595</v>
      </c>
      <c r="AJ6" s="865" t="s">
        <v>596</v>
      </c>
      <c r="AK6" s="865" t="s">
        <v>597</v>
      </c>
      <c r="AL6" s="865" t="s">
        <v>598</v>
      </c>
      <c r="AM6" s="866">
        <v>2019.0</v>
      </c>
      <c r="AN6" s="867">
        <v>569.3891224</v>
      </c>
      <c r="AO6" s="867">
        <v>756.4841122</v>
      </c>
      <c r="AP6" s="868">
        <v>417.2160323</v>
      </c>
      <c r="AR6" s="869" t="s">
        <v>594</v>
      </c>
      <c r="AS6" s="865" t="s">
        <v>605</v>
      </c>
      <c r="AT6" s="865" t="s">
        <v>595</v>
      </c>
      <c r="AU6" s="865" t="s">
        <v>596</v>
      </c>
      <c r="AV6" s="865" t="s">
        <v>599</v>
      </c>
      <c r="AW6" s="865" t="s">
        <v>598</v>
      </c>
      <c r="AX6" s="866">
        <v>2019.0</v>
      </c>
      <c r="AY6" s="867">
        <v>6.9002E-4</v>
      </c>
      <c r="AZ6" s="867">
        <v>0.004182336</v>
      </c>
      <c r="BA6" s="868">
        <v>1.45E-5</v>
      </c>
      <c r="BC6" s="869" t="s">
        <v>594</v>
      </c>
      <c r="BD6" s="865" t="s">
        <v>605</v>
      </c>
      <c r="BE6" s="865" t="s">
        <v>595</v>
      </c>
      <c r="BF6" s="865" t="s">
        <v>600</v>
      </c>
      <c r="BG6" s="865" t="s">
        <v>599</v>
      </c>
      <c r="BH6" s="865" t="s">
        <v>70</v>
      </c>
      <c r="BI6" s="866">
        <v>2019.0</v>
      </c>
      <c r="BJ6" s="867">
        <v>0.029200817</v>
      </c>
      <c r="BK6" s="867">
        <v>0.175302791</v>
      </c>
      <c r="BL6" s="868">
        <v>6.21395E-4</v>
      </c>
      <c r="BN6" s="869" t="s">
        <v>40</v>
      </c>
      <c r="BO6" s="865" t="s">
        <v>605</v>
      </c>
      <c r="BP6" s="865" t="s">
        <v>595</v>
      </c>
      <c r="BQ6" s="865" t="s">
        <v>600</v>
      </c>
      <c r="BR6" s="865" t="s">
        <v>599</v>
      </c>
      <c r="BS6" s="865" t="s">
        <v>598</v>
      </c>
      <c r="BT6" s="866">
        <v>2019.0</v>
      </c>
      <c r="BU6" s="867">
        <v>1.768040501</v>
      </c>
      <c r="BV6" s="867">
        <v>7.666389316</v>
      </c>
      <c r="BW6" s="868">
        <v>0.183546729</v>
      </c>
      <c r="BY6" s="870" t="s">
        <v>594</v>
      </c>
      <c r="BZ6" s="871" t="s">
        <v>607</v>
      </c>
      <c r="CA6" s="871" t="s">
        <v>595</v>
      </c>
      <c r="CB6" s="871" t="s">
        <v>600</v>
      </c>
      <c r="CC6" s="871" t="s">
        <v>597</v>
      </c>
      <c r="CD6" s="871" t="s">
        <v>70</v>
      </c>
      <c r="CE6" s="872">
        <v>2019.0</v>
      </c>
      <c r="CF6" s="873">
        <v>41955.3485348189</v>
      </c>
      <c r="CG6" s="873">
        <v>51546.33364</v>
      </c>
      <c r="CH6" s="874">
        <v>34315.2431909053</v>
      </c>
      <c r="CI6" s="530"/>
    </row>
    <row r="7">
      <c r="A7" s="857"/>
      <c r="B7" s="865" t="s">
        <v>590</v>
      </c>
      <c r="C7" s="865" t="s">
        <v>591</v>
      </c>
      <c r="D7" s="865" t="s">
        <v>608</v>
      </c>
      <c r="E7" s="866">
        <v>2019.0</v>
      </c>
      <c r="F7" s="865" t="s">
        <v>593</v>
      </c>
      <c r="G7" s="865" t="s">
        <v>70</v>
      </c>
      <c r="H7" s="867">
        <v>4086252.737</v>
      </c>
      <c r="I7" s="867">
        <v>4490033.288</v>
      </c>
      <c r="J7" s="868">
        <v>3668159.796</v>
      </c>
      <c r="K7" s="50"/>
      <c r="L7" s="869" t="s">
        <v>590</v>
      </c>
      <c r="M7" s="865" t="s">
        <v>591</v>
      </c>
      <c r="N7" s="865" t="s">
        <v>608</v>
      </c>
      <c r="O7" s="866">
        <v>2004.0</v>
      </c>
      <c r="P7" s="865" t="s">
        <v>593</v>
      </c>
      <c r="Q7" s="865" t="s">
        <v>70</v>
      </c>
      <c r="R7" s="867">
        <v>2580477.836</v>
      </c>
      <c r="S7" s="867">
        <v>2937456.847</v>
      </c>
      <c r="T7" s="868">
        <v>2241590.045</v>
      </c>
      <c r="V7" s="869" t="s">
        <v>594</v>
      </c>
      <c r="W7" s="865" t="s">
        <v>605</v>
      </c>
      <c r="X7" s="865" t="s">
        <v>595</v>
      </c>
      <c r="Y7" s="865" t="s">
        <v>602</v>
      </c>
      <c r="Z7" s="865" t="s">
        <v>597</v>
      </c>
      <c r="AA7" s="865" t="s">
        <v>70</v>
      </c>
      <c r="AB7" s="866">
        <v>2004.0</v>
      </c>
      <c r="AC7" s="867">
        <v>51105.41686</v>
      </c>
      <c r="AD7" s="867">
        <v>59733.75224</v>
      </c>
      <c r="AE7" s="868">
        <v>43295.14664</v>
      </c>
      <c r="AG7" s="869" t="s">
        <v>594</v>
      </c>
      <c r="AH7" s="865" t="s">
        <v>605</v>
      </c>
      <c r="AI7" s="865" t="s">
        <v>595</v>
      </c>
      <c r="AJ7" s="865" t="s">
        <v>602</v>
      </c>
      <c r="AK7" s="865" t="s">
        <v>597</v>
      </c>
      <c r="AL7" s="865" t="s">
        <v>598</v>
      </c>
      <c r="AM7" s="866">
        <v>2019.0</v>
      </c>
      <c r="AN7" s="867">
        <v>102.6139255</v>
      </c>
      <c r="AO7" s="867">
        <v>123.1971558</v>
      </c>
      <c r="AP7" s="868">
        <v>85.07360478</v>
      </c>
      <c r="AR7" s="869" t="s">
        <v>594</v>
      </c>
      <c r="AS7" s="865" t="s">
        <v>605</v>
      </c>
      <c r="AT7" s="865" t="s">
        <v>595</v>
      </c>
      <c r="AU7" s="865" t="s">
        <v>602</v>
      </c>
      <c r="AV7" s="865" t="s">
        <v>599</v>
      </c>
      <c r="AW7" s="865" t="s">
        <v>598</v>
      </c>
      <c r="AX7" s="866">
        <v>2019.0</v>
      </c>
      <c r="AY7" s="867">
        <v>1.04614E-4</v>
      </c>
      <c r="AZ7" s="867">
        <v>6.53077E-4</v>
      </c>
      <c r="BA7" s="868">
        <v>2.18E-6</v>
      </c>
      <c r="BC7" s="869" t="s">
        <v>594</v>
      </c>
      <c r="BD7" s="865" t="s">
        <v>605</v>
      </c>
      <c r="BE7" s="865" t="s">
        <v>595</v>
      </c>
      <c r="BF7" s="865" t="s">
        <v>603</v>
      </c>
      <c r="BG7" s="865" t="s">
        <v>599</v>
      </c>
      <c r="BH7" s="865" t="s">
        <v>70</v>
      </c>
      <c r="BI7" s="866">
        <v>2019.0</v>
      </c>
      <c r="BJ7" s="867">
        <v>110.051856</v>
      </c>
      <c r="BK7" s="867">
        <v>658.2284833</v>
      </c>
      <c r="BL7" s="868">
        <v>2.252895625</v>
      </c>
      <c r="BN7" s="869" t="s">
        <v>40</v>
      </c>
      <c r="BO7" s="865" t="s">
        <v>605</v>
      </c>
      <c r="BP7" s="865" t="s">
        <v>595</v>
      </c>
      <c r="BQ7" s="865" t="s">
        <v>604</v>
      </c>
      <c r="BR7" s="865" t="s">
        <v>599</v>
      </c>
      <c r="BS7" s="865" t="s">
        <v>598</v>
      </c>
      <c r="BT7" s="866">
        <v>2019.0</v>
      </c>
      <c r="BU7" s="867">
        <v>3.529901416</v>
      </c>
      <c r="BV7" s="867">
        <v>15.27089384</v>
      </c>
      <c r="BW7" s="868">
        <v>0.367345717</v>
      </c>
      <c r="BY7" s="870" t="s">
        <v>594</v>
      </c>
      <c r="BZ7" s="871" t="s">
        <v>609</v>
      </c>
      <c r="CA7" s="871" t="s">
        <v>595</v>
      </c>
      <c r="CB7" s="871" t="s">
        <v>600</v>
      </c>
      <c r="CC7" s="871" t="s">
        <v>597</v>
      </c>
      <c r="CD7" s="871" t="s">
        <v>70</v>
      </c>
      <c r="CE7" s="872">
        <v>2019.0</v>
      </c>
      <c r="CF7" s="873">
        <v>444.585517396775</v>
      </c>
      <c r="CG7" s="873">
        <v>602.236942392691</v>
      </c>
      <c r="CH7" s="874">
        <v>322.015110879505</v>
      </c>
      <c r="CI7" s="530"/>
    </row>
    <row r="8">
      <c r="A8" s="857"/>
      <c r="B8" s="865" t="s">
        <v>590</v>
      </c>
      <c r="C8" s="865" t="s">
        <v>591</v>
      </c>
      <c r="D8" s="865" t="s">
        <v>610</v>
      </c>
      <c r="E8" s="866">
        <v>2019.0</v>
      </c>
      <c r="F8" s="865" t="s">
        <v>593</v>
      </c>
      <c r="G8" s="865" t="s">
        <v>70</v>
      </c>
      <c r="H8" s="867">
        <v>3998471.929</v>
      </c>
      <c r="I8" s="867">
        <v>4393578.474</v>
      </c>
      <c r="J8" s="868">
        <v>3589360.454</v>
      </c>
      <c r="K8" s="50"/>
      <c r="L8" s="869" t="s">
        <v>590</v>
      </c>
      <c r="M8" s="865" t="s">
        <v>591</v>
      </c>
      <c r="N8" s="865" t="s">
        <v>610</v>
      </c>
      <c r="O8" s="866">
        <v>2004.0</v>
      </c>
      <c r="P8" s="865" t="s">
        <v>593</v>
      </c>
      <c r="Q8" s="865" t="s">
        <v>70</v>
      </c>
      <c r="R8" s="867">
        <v>2078667.698</v>
      </c>
      <c r="S8" s="867">
        <v>2366227.129</v>
      </c>
      <c r="T8" s="868">
        <v>1805681.395</v>
      </c>
      <c r="V8" s="869" t="s">
        <v>594</v>
      </c>
      <c r="W8" s="865" t="s">
        <v>607</v>
      </c>
      <c r="X8" s="865" t="s">
        <v>595</v>
      </c>
      <c r="Y8" s="865" t="s">
        <v>596</v>
      </c>
      <c r="Z8" s="865" t="s">
        <v>597</v>
      </c>
      <c r="AA8" s="865" t="s">
        <v>70</v>
      </c>
      <c r="AB8" s="866">
        <v>2004.0</v>
      </c>
      <c r="AC8" s="867">
        <v>12755.23921</v>
      </c>
      <c r="AD8" s="867">
        <v>14199.1417</v>
      </c>
      <c r="AE8" s="868">
        <v>11393.32158</v>
      </c>
      <c r="AG8" s="869" t="s">
        <v>594</v>
      </c>
      <c r="AH8" s="865" t="s">
        <v>607</v>
      </c>
      <c r="AI8" s="865" t="s">
        <v>595</v>
      </c>
      <c r="AJ8" s="865" t="s">
        <v>596</v>
      </c>
      <c r="AK8" s="865" t="s">
        <v>597</v>
      </c>
      <c r="AL8" s="865" t="s">
        <v>598</v>
      </c>
      <c r="AM8" s="866">
        <v>2019.0</v>
      </c>
      <c r="AN8" s="867">
        <v>2597.291281</v>
      </c>
      <c r="AO8" s="867">
        <v>3197.683016</v>
      </c>
      <c r="AP8" s="868">
        <v>2122.828077</v>
      </c>
      <c r="AR8" s="869" t="s">
        <v>594</v>
      </c>
      <c r="AS8" s="865" t="s">
        <v>607</v>
      </c>
      <c r="AT8" s="865" t="s">
        <v>595</v>
      </c>
      <c r="AU8" s="865" t="s">
        <v>596</v>
      </c>
      <c r="AV8" s="865" t="s">
        <v>599</v>
      </c>
      <c r="AW8" s="865" t="s">
        <v>598</v>
      </c>
      <c r="AX8" s="866">
        <v>2019.0</v>
      </c>
      <c r="AY8" s="867">
        <v>598.0938539</v>
      </c>
      <c r="AZ8" s="867">
        <v>1071.698048</v>
      </c>
      <c r="BA8" s="868">
        <v>265.5593431</v>
      </c>
      <c r="BC8" s="869" t="s">
        <v>594</v>
      </c>
      <c r="BD8" s="865" t="s">
        <v>607</v>
      </c>
      <c r="BE8" s="865" t="s">
        <v>595</v>
      </c>
      <c r="BF8" s="865" t="s">
        <v>600</v>
      </c>
      <c r="BG8" s="865" t="s">
        <v>599</v>
      </c>
      <c r="BH8" s="865" t="s">
        <v>70</v>
      </c>
      <c r="BI8" s="866">
        <v>2019.0</v>
      </c>
      <c r="BJ8" s="867">
        <v>7660.544714</v>
      </c>
      <c r="BK8" s="867">
        <v>13019.32202</v>
      </c>
      <c r="BL8" s="868">
        <v>3490.706434</v>
      </c>
      <c r="BN8" s="869" t="s">
        <v>40</v>
      </c>
      <c r="BO8" s="865" t="s">
        <v>607</v>
      </c>
      <c r="BP8" s="865" t="s">
        <v>595</v>
      </c>
      <c r="BQ8" s="865" t="s">
        <v>600</v>
      </c>
      <c r="BR8" s="865" t="s">
        <v>599</v>
      </c>
      <c r="BS8" s="865" t="s">
        <v>598</v>
      </c>
      <c r="BT8" s="866">
        <v>2019.0</v>
      </c>
      <c r="BU8" s="867">
        <v>105373.935</v>
      </c>
      <c r="BV8" s="867">
        <v>140432.0572</v>
      </c>
      <c r="BW8" s="868">
        <v>71863.11339</v>
      </c>
      <c r="BY8" s="870" t="s">
        <v>594</v>
      </c>
      <c r="BZ8" s="871" t="s">
        <v>611</v>
      </c>
      <c r="CA8" s="871" t="s">
        <v>595</v>
      </c>
      <c r="CB8" s="871" t="s">
        <v>600</v>
      </c>
      <c r="CC8" s="871" t="s">
        <v>597</v>
      </c>
      <c r="CD8" s="871" t="s">
        <v>70</v>
      </c>
      <c r="CE8" s="872">
        <v>2019.0</v>
      </c>
      <c r="CF8" s="873">
        <v>2002.73059258974</v>
      </c>
      <c r="CG8" s="873">
        <v>2751.01655728811</v>
      </c>
      <c r="CH8" s="874">
        <v>1464.06505826342</v>
      </c>
      <c r="CI8" s="530"/>
    </row>
    <row r="9">
      <c r="A9" s="857"/>
      <c r="B9" s="865" t="s">
        <v>590</v>
      </c>
      <c r="C9" s="865" t="s">
        <v>591</v>
      </c>
      <c r="D9" s="865" t="s">
        <v>612</v>
      </c>
      <c r="E9" s="866">
        <v>2019.0</v>
      </c>
      <c r="F9" s="865" t="s">
        <v>593</v>
      </c>
      <c r="G9" s="865" t="s">
        <v>70</v>
      </c>
      <c r="H9" s="867">
        <v>7067006.068</v>
      </c>
      <c r="I9" s="867">
        <v>7765327.927</v>
      </c>
      <c r="J9" s="868">
        <v>6343931.521</v>
      </c>
      <c r="K9" s="50"/>
      <c r="L9" s="869" t="s">
        <v>590</v>
      </c>
      <c r="M9" s="865" t="s">
        <v>591</v>
      </c>
      <c r="N9" s="865" t="s">
        <v>612</v>
      </c>
      <c r="O9" s="866">
        <v>2004.0</v>
      </c>
      <c r="P9" s="865" t="s">
        <v>593</v>
      </c>
      <c r="Q9" s="865" t="s">
        <v>70</v>
      </c>
      <c r="R9" s="867">
        <v>3881086.68</v>
      </c>
      <c r="S9" s="867">
        <v>4417989.755</v>
      </c>
      <c r="T9" s="868">
        <v>3371393.136</v>
      </c>
      <c r="V9" s="869" t="s">
        <v>594</v>
      </c>
      <c r="W9" s="865" t="s">
        <v>607</v>
      </c>
      <c r="X9" s="865" t="s">
        <v>595</v>
      </c>
      <c r="Y9" s="865" t="s">
        <v>602</v>
      </c>
      <c r="Z9" s="865" t="s">
        <v>597</v>
      </c>
      <c r="AA9" s="865" t="s">
        <v>70</v>
      </c>
      <c r="AB9" s="866">
        <v>2004.0</v>
      </c>
      <c r="AC9" s="867">
        <v>17284.10921</v>
      </c>
      <c r="AD9" s="867">
        <v>19904.99129</v>
      </c>
      <c r="AE9" s="868">
        <v>14693.2771</v>
      </c>
      <c r="AG9" s="869" t="s">
        <v>594</v>
      </c>
      <c r="AH9" s="865" t="s">
        <v>607</v>
      </c>
      <c r="AI9" s="865" t="s">
        <v>595</v>
      </c>
      <c r="AJ9" s="865" t="s">
        <v>602</v>
      </c>
      <c r="AK9" s="865" t="s">
        <v>597</v>
      </c>
      <c r="AL9" s="865" t="s">
        <v>598</v>
      </c>
      <c r="AM9" s="866">
        <v>2019.0</v>
      </c>
      <c r="AN9" s="867">
        <v>863.4932671</v>
      </c>
      <c r="AO9" s="867">
        <v>1058.669325</v>
      </c>
      <c r="AP9" s="868">
        <v>708.8815969</v>
      </c>
      <c r="AR9" s="869" t="s">
        <v>594</v>
      </c>
      <c r="AS9" s="865" t="s">
        <v>607</v>
      </c>
      <c r="AT9" s="865" t="s">
        <v>595</v>
      </c>
      <c r="AU9" s="865" t="s">
        <v>602</v>
      </c>
      <c r="AV9" s="865" t="s">
        <v>599</v>
      </c>
      <c r="AW9" s="865" t="s">
        <v>598</v>
      </c>
      <c r="AX9" s="866">
        <v>2019.0</v>
      </c>
      <c r="AY9" s="867">
        <v>269.625293</v>
      </c>
      <c r="AZ9" s="867">
        <v>454.9418193</v>
      </c>
      <c r="BA9" s="868">
        <v>124.9450111</v>
      </c>
      <c r="BC9" s="869" t="s">
        <v>594</v>
      </c>
      <c r="BD9" s="865" t="s">
        <v>607</v>
      </c>
      <c r="BE9" s="865" t="s">
        <v>595</v>
      </c>
      <c r="BF9" s="865" t="s">
        <v>603</v>
      </c>
      <c r="BG9" s="865" t="s">
        <v>599</v>
      </c>
      <c r="BH9" s="865" t="s">
        <v>70</v>
      </c>
      <c r="BI9" s="866">
        <v>2019.0</v>
      </c>
      <c r="BJ9" s="867">
        <v>13263.96857</v>
      </c>
      <c r="BK9" s="867">
        <v>24203.42382</v>
      </c>
      <c r="BL9" s="868">
        <v>5733.220326</v>
      </c>
      <c r="BN9" s="869" t="s">
        <v>40</v>
      </c>
      <c r="BO9" s="865" t="s">
        <v>607</v>
      </c>
      <c r="BP9" s="865" t="s">
        <v>595</v>
      </c>
      <c r="BQ9" s="865" t="s">
        <v>604</v>
      </c>
      <c r="BR9" s="865" t="s">
        <v>599</v>
      </c>
      <c r="BS9" s="865" t="s">
        <v>598</v>
      </c>
      <c r="BT9" s="866">
        <v>2019.0</v>
      </c>
      <c r="BU9" s="867">
        <v>42747.54558</v>
      </c>
      <c r="BV9" s="867">
        <v>78705.92881</v>
      </c>
      <c r="BW9" s="868">
        <v>26041.85759</v>
      </c>
      <c r="BY9" s="870" t="s">
        <v>594</v>
      </c>
      <c r="BZ9" s="871" t="s">
        <v>613</v>
      </c>
      <c r="CA9" s="871" t="s">
        <v>595</v>
      </c>
      <c r="CB9" s="871" t="s">
        <v>600</v>
      </c>
      <c r="CC9" s="871" t="s">
        <v>597</v>
      </c>
      <c r="CD9" s="871" t="s">
        <v>70</v>
      </c>
      <c r="CE9" s="872">
        <v>2019.0</v>
      </c>
      <c r="CF9" s="873">
        <v>98779.1403283769</v>
      </c>
      <c r="CG9" s="873">
        <v>124689.118121395</v>
      </c>
      <c r="CH9" s="874">
        <v>78328.1739313761</v>
      </c>
      <c r="CI9" s="530"/>
    </row>
    <row r="10">
      <c r="A10" s="857"/>
      <c r="B10" s="865" t="s">
        <v>590</v>
      </c>
      <c r="C10" s="865" t="s">
        <v>591</v>
      </c>
      <c r="D10" s="865" t="s">
        <v>614</v>
      </c>
      <c r="E10" s="866">
        <v>2019.0</v>
      </c>
      <c r="F10" s="865" t="s">
        <v>593</v>
      </c>
      <c r="G10" s="865" t="s">
        <v>70</v>
      </c>
      <c r="H10" s="867">
        <v>9628365.605</v>
      </c>
      <c r="I10" s="867">
        <v>1.057978663E7</v>
      </c>
      <c r="J10" s="868">
        <v>8643220.547</v>
      </c>
      <c r="K10" s="50"/>
      <c r="L10" s="869" t="s">
        <v>590</v>
      </c>
      <c r="M10" s="865" t="s">
        <v>591</v>
      </c>
      <c r="N10" s="865" t="s">
        <v>614</v>
      </c>
      <c r="O10" s="866">
        <v>2004.0</v>
      </c>
      <c r="P10" s="865" t="s">
        <v>593</v>
      </c>
      <c r="Q10" s="865" t="s">
        <v>70</v>
      </c>
      <c r="R10" s="867">
        <v>5350887.523</v>
      </c>
      <c r="S10" s="867">
        <v>6091120.401</v>
      </c>
      <c r="T10" s="868">
        <v>4648168.658</v>
      </c>
      <c r="V10" s="869" t="s">
        <v>594</v>
      </c>
      <c r="W10" s="865" t="s">
        <v>609</v>
      </c>
      <c r="X10" s="865" t="s">
        <v>595</v>
      </c>
      <c r="Y10" s="865" t="s">
        <v>596</v>
      </c>
      <c r="Z10" s="865" t="s">
        <v>597</v>
      </c>
      <c r="AA10" s="865" t="s">
        <v>70</v>
      </c>
      <c r="AB10" s="866">
        <v>2004.0</v>
      </c>
      <c r="AC10" s="867">
        <v>279.0800356</v>
      </c>
      <c r="AD10" s="867">
        <v>334.7570247</v>
      </c>
      <c r="AE10" s="868">
        <v>228.1471</v>
      </c>
      <c r="AG10" s="869" t="s">
        <v>594</v>
      </c>
      <c r="AH10" s="865" t="s">
        <v>609</v>
      </c>
      <c r="AI10" s="865" t="s">
        <v>595</v>
      </c>
      <c r="AJ10" s="865" t="s">
        <v>596</v>
      </c>
      <c r="AK10" s="865" t="s">
        <v>597</v>
      </c>
      <c r="AL10" s="865" t="s">
        <v>598</v>
      </c>
      <c r="AM10" s="866">
        <v>2019.0</v>
      </c>
      <c r="AN10" s="867">
        <v>671.1306822</v>
      </c>
      <c r="AO10" s="867">
        <v>908.175653</v>
      </c>
      <c r="AP10" s="868">
        <v>485.8327793</v>
      </c>
      <c r="AR10" s="869" t="s">
        <v>594</v>
      </c>
      <c r="AS10" s="865" t="s">
        <v>609</v>
      </c>
      <c r="AT10" s="865" t="s">
        <v>595</v>
      </c>
      <c r="AU10" s="865" t="s">
        <v>596</v>
      </c>
      <c r="AV10" s="865" t="s">
        <v>599</v>
      </c>
      <c r="AW10" s="865" t="s">
        <v>598</v>
      </c>
      <c r="AX10" s="866">
        <v>2019.0</v>
      </c>
      <c r="AY10" s="867">
        <v>0.0</v>
      </c>
      <c r="AZ10" s="867">
        <v>0.0</v>
      </c>
      <c r="BA10" s="868">
        <v>0.0</v>
      </c>
      <c r="BC10" s="869" t="s">
        <v>594</v>
      </c>
      <c r="BD10" s="865" t="s">
        <v>609</v>
      </c>
      <c r="BE10" s="865" t="s">
        <v>595</v>
      </c>
      <c r="BF10" s="865" t="s">
        <v>600</v>
      </c>
      <c r="BG10" s="865" t="s">
        <v>599</v>
      </c>
      <c r="BH10" s="865" t="s">
        <v>70</v>
      </c>
      <c r="BI10" s="866">
        <v>2019.0</v>
      </c>
      <c r="BJ10" s="867">
        <v>0.0</v>
      </c>
      <c r="BK10" s="867">
        <v>0.0</v>
      </c>
      <c r="BL10" s="868">
        <v>0.0</v>
      </c>
      <c r="BN10" s="869" t="s">
        <v>40</v>
      </c>
      <c r="BO10" s="865" t="s">
        <v>609</v>
      </c>
      <c r="BP10" s="865" t="s">
        <v>595</v>
      </c>
      <c r="BQ10" s="865" t="s">
        <v>600</v>
      </c>
      <c r="BR10" s="865" t="s">
        <v>599</v>
      </c>
      <c r="BS10" s="865" t="s">
        <v>598</v>
      </c>
      <c r="BT10" s="866">
        <v>2019.0</v>
      </c>
      <c r="BU10" s="867">
        <v>3.153958664</v>
      </c>
      <c r="BV10" s="867">
        <v>11.52756679</v>
      </c>
      <c r="BW10" s="868">
        <v>0.432111937</v>
      </c>
      <c r="BY10" s="870" t="s">
        <v>594</v>
      </c>
      <c r="BZ10" s="871" t="s">
        <v>615</v>
      </c>
      <c r="CA10" s="871" t="s">
        <v>595</v>
      </c>
      <c r="CB10" s="871" t="s">
        <v>600</v>
      </c>
      <c r="CC10" s="871" t="s">
        <v>597</v>
      </c>
      <c r="CD10" s="871" t="s">
        <v>70</v>
      </c>
      <c r="CE10" s="872">
        <v>2019.0</v>
      </c>
      <c r="CF10" s="873">
        <v>29680.5914879518</v>
      </c>
      <c r="CG10" s="873">
        <v>37386.7284348495</v>
      </c>
      <c r="CH10" s="874">
        <v>23772.2127</v>
      </c>
      <c r="CI10" s="530"/>
    </row>
    <row r="11">
      <c r="A11" s="857"/>
      <c r="B11" s="865" t="s">
        <v>590</v>
      </c>
      <c r="C11" s="865" t="s">
        <v>591</v>
      </c>
      <c r="D11" s="865" t="s">
        <v>616</v>
      </c>
      <c r="E11" s="866">
        <v>2019.0</v>
      </c>
      <c r="F11" s="865" t="s">
        <v>593</v>
      </c>
      <c r="G11" s="865" t="s">
        <v>70</v>
      </c>
      <c r="H11" s="867">
        <v>3068534.139</v>
      </c>
      <c r="I11" s="867">
        <v>3371749.453</v>
      </c>
      <c r="J11" s="868">
        <v>2754571.067</v>
      </c>
      <c r="K11" s="50"/>
      <c r="L11" s="869" t="s">
        <v>590</v>
      </c>
      <c r="M11" s="865" t="s">
        <v>591</v>
      </c>
      <c r="N11" s="865" t="s">
        <v>616</v>
      </c>
      <c r="O11" s="866">
        <v>2004.0</v>
      </c>
      <c r="P11" s="865" t="s">
        <v>593</v>
      </c>
      <c r="Q11" s="865" t="s">
        <v>70</v>
      </c>
      <c r="R11" s="867">
        <v>1802418.982</v>
      </c>
      <c r="S11" s="867">
        <v>2051762.625</v>
      </c>
      <c r="T11" s="868">
        <v>1565711.741</v>
      </c>
      <c r="V11" s="869" t="s">
        <v>594</v>
      </c>
      <c r="W11" s="865" t="s">
        <v>609</v>
      </c>
      <c r="X11" s="865" t="s">
        <v>595</v>
      </c>
      <c r="Y11" s="865" t="s">
        <v>602</v>
      </c>
      <c r="Z11" s="865" t="s">
        <v>597</v>
      </c>
      <c r="AA11" s="865" t="s">
        <v>70</v>
      </c>
      <c r="AB11" s="866">
        <v>2004.0</v>
      </c>
      <c r="AC11" s="867">
        <v>267.4250523</v>
      </c>
      <c r="AD11" s="867">
        <v>315.686742</v>
      </c>
      <c r="AE11" s="868">
        <v>222.3908958</v>
      </c>
      <c r="AG11" s="869" t="s">
        <v>594</v>
      </c>
      <c r="AH11" s="865" t="s">
        <v>609</v>
      </c>
      <c r="AI11" s="865" t="s">
        <v>595</v>
      </c>
      <c r="AJ11" s="865" t="s">
        <v>602</v>
      </c>
      <c r="AK11" s="865" t="s">
        <v>597</v>
      </c>
      <c r="AL11" s="865" t="s">
        <v>598</v>
      </c>
      <c r="AM11" s="866">
        <v>2019.0</v>
      </c>
      <c r="AN11" s="867">
        <v>144.4078203</v>
      </c>
      <c r="AO11" s="867">
        <v>191.3639377</v>
      </c>
      <c r="AP11" s="868">
        <v>105.599716</v>
      </c>
      <c r="AR11" s="869" t="s">
        <v>594</v>
      </c>
      <c r="AS11" s="865" t="s">
        <v>609</v>
      </c>
      <c r="AT11" s="865" t="s">
        <v>595</v>
      </c>
      <c r="AU11" s="865" t="s">
        <v>602</v>
      </c>
      <c r="AV11" s="865" t="s">
        <v>599</v>
      </c>
      <c r="AW11" s="865" t="s">
        <v>598</v>
      </c>
      <c r="AX11" s="866">
        <v>2019.0</v>
      </c>
      <c r="AY11" s="867">
        <v>0.0</v>
      </c>
      <c r="AZ11" s="867">
        <v>0.0</v>
      </c>
      <c r="BA11" s="868">
        <v>0.0</v>
      </c>
      <c r="BC11" s="869" t="s">
        <v>594</v>
      </c>
      <c r="BD11" s="865" t="s">
        <v>609</v>
      </c>
      <c r="BE11" s="865" t="s">
        <v>595</v>
      </c>
      <c r="BF11" s="865" t="s">
        <v>603</v>
      </c>
      <c r="BG11" s="865" t="s">
        <v>599</v>
      </c>
      <c r="BH11" s="865" t="s">
        <v>70</v>
      </c>
      <c r="BI11" s="866">
        <v>2019.0</v>
      </c>
      <c r="BJ11" s="867">
        <v>0.0</v>
      </c>
      <c r="BK11" s="867">
        <v>0.0</v>
      </c>
      <c r="BL11" s="868">
        <v>0.0</v>
      </c>
      <c r="BN11" s="869" t="s">
        <v>40</v>
      </c>
      <c r="BO11" s="865" t="s">
        <v>609</v>
      </c>
      <c r="BP11" s="865" t="s">
        <v>595</v>
      </c>
      <c r="BQ11" s="865" t="s">
        <v>604</v>
      </c>
      <c r="BR11" s="865" t="s">
        <v>599</v>
      </c>
      <c r="BS11" s="865" t="s">
        <v>598</v>
      </c>
      <c r="BT11" s="866">
        <v>2019.0</v>
      </c>
      <c r="BU11" s="867">
        <v>6.274248982</v>
      </c>
      <c r="BV11" s="867">
        <v>22.78960181</v>
      </c>
      <c r="BW11" s="868">
        <v>0.866144106</v>
      </c>
      <c r="BY11" s="870" t="s">
        <v>594</v>
      </c>
      <c r="BZ11" s="865" t="s">
        <v>617</v>
      </c>
      <c r="CA11" s="871" t="s">
        <v>595</v>
      </c>
      <c r="CB11" s="871" t="s">
        <v>600</v>
      </c>
      <c r="CC11" s="871" t="s">
        <v>597</v>
      </c>
      <c r="CD11" s="871" t="s">
        <v>70</v>
      </c>
      <c r="CE11" s="872">
        <v>2019.0</v>
      </c>
      <c r="CF11" s="873">
        <v>64816.60409</v>
      </c>
      <c r="CG11" s="873">
        <v>77050.0512896029</v>
      </c>
      <c r="CH11" s="874">
        <v>54290.7384177364</v>
      </c>
      <c r="CI11" s="530"/>
    </row>
    <row r="12">
      <c r="A12" s="857"/>
      <c r="B12" s="865" t="s">
        <v>590</v>
      </c>
      <c r="C12" s="865" t="s">
        <v>591</v>
      </c>
      <c r="D12" s="865" t="s">
        <v>618</v>
      </c>
      <c r="E12" s="866">
        <v>2019.0</v>
      </c>
      <c r="F12" s="865" t="s">
        <v>593</v>
      </c>
      <c r="G12" s="865" t="s">
        <v>70</v>
      </c>
      <c r="H12" s="867">
        <v>1.120369025E7</v>
      </c>
      <c r="I12" s="867">
        <v>1.23115283E7</v>
      </c>
      <c r="J12" s="868">
        <v>1.005758495E7</v>
      </c>
      <c r="K12" s="50"/>
      <c r="L12" s="869" t="s">
        <v>590</v>
      </c>
      <c r="M12" s="865" t="s">
        <v>591</v>
      </c>
      <c r="N12" s="865" t="s">
        <v>618</v>
      </c>
      <c r="O12" s="866">
        <v>2004.0</v>
      </c>
      <c r="P12" s="865" t="s">
        <v>593</v>
      </c>
      <c r="Q12" s="865" t="s">
        <v>70</v>
      </c>
      <c r="R12" s="867">
        <v>6516668.609</v>
      </c>
      <c r="S12" s="867">
        <v>7418431.627</v>
      </c>
      <c r="T12" s="868">
        <v>5660975.157</v>
      </c>
      <c r="V12" s="869" t="s">
        <v>594</v>
      </c>
      <c r="W12" s="865" t="s">
        <v>611</v>
      </c>
      <c r="X12" s="865" t="s">
        <v>595</v>
      </c>
      <c r="Y12" s="865" t="s">
        <v>596</v>
      </c>
      <c r="Z12" s="865" t="s">
        <v>597</v>
      </c>
      <c r="AA12" s="865" t="s">
        <v>70</v>
      </c>
      <c r="AB12" s="866">
        <v>2004.0</v>
      </c>
      <c r="AC12" s="867">
        <v>907.2174382</v>
      </c>
      <c r="AD12" s="867">
        <v>1149.591365</v>
      </c>
      <c r="AE12" s="868">
        <v>721.989578</v>
      </c>
      <c r="AG12" s="869" t="s">
        <v>594</v>
      </c>
      <c r="AH12" s="865" t="s">
        <v>611</v>
      </c>
      <c r="AI12" s="865" t="s">
        <v>595</v>
      </c>
      <c r="AJ12" s="865" t="s">
        <v>596</v>
      </c>
      <c r="AK12" s="865" t="s">
        <v>597</v>
      </c>
      <c r="AL12" s="865" t="s">
        <v>598</v>
      </c>
      <c r="AM12" s="866">
        <v>2019.0</v>
      </c>
      <c r="AN12" s="867">
        <v>1063.088238</v>
      </c>
      <c r="AO12" s="867">
        <v>1482.300823</v>
      </c>
      <c r="AP12" s="868">
        <v>770.084468</v>
      </c>
      <c r="AR12" s="869" t="s">
        <v>594</v>
      </c>
      <c r="AS12" s="865" t="s">
        <v>611</v>
      </c>
      <c r="AT12" s="865" t="s">
        <v>595</v>
      </c>
      <c r="AU12" s="865" t="s">
        <v>596</v>
      </c>
      <c r="AV12" s="865" t="s">
        <v>599</v>
      </c>
      <c r="AW12" s="865" t="s">
        <v>598</v>
      </c>
      <c r="AX12" s="866">
        <v>2019.0</v>
      </c>
      <c r="AY12" s="867">
        <v>1.416572763</v>
      </c>
      <c r="AZ12" s="867">
        <v>4.055353506</v>
      </c>
      <c r="BA12" s="868">
        <v>0.229565344</v>
      </c>
      <c r="BC12" s="869" t="s">
        <v>594</v>
      </c>
      <c r="BD12" s="865" t="s">
        <v>611</v>
      </c>
      <c r="BE12" s="865" t="s">
        <v>595</v>
      </c>
      <c r="BF12" s="865" t="s">
        <v>600</v>
      </c>
      <c r="BG12" s="865" t="s">
        <v>599</v>
      </c>
      <c r="BH12" s="865" t="s">
        <v>70</v>
      </c>
      <c r="BI12" s="866">
        <v>2019.0</v>
      </c>
      <c r="BJ12" s="867">
        <v>5.672737868</v>
      </c>
      <c r="BK12" s="867">
        <v>16.26158627</v>
      </c>
      <c r="BL12" s="868">
        <v>1.01059545</v>
      </c>
      <c r="BN12" s="869" t="s">
        <v>40</v>
      </c>
      <c r="BO12" s="865" t="s">
        <v>611</v>
      </c>
      <c r="BP12" s="865" t="s">
        <v>595</v>
      </c>
      <c r="BQ12" s="865" t="s">
        <v>600</v>
      </c>
      <c r="BR12" s="865" t="s">
        <v>599</v>
      </c>
      <c r="BS12" s="865" t="s">
        <v>598</v>
      </c>
      <c r="BT12" s="866">
        <v>2019.0</v>
      </c>
      <c r="BU12" s="867">
        <v>64.22992173</v>
      </c>
      <c r="BV12" s="867">
        <v>111.9995846</v>
      </c>
      <c r="BW12" s="868">
        <v>2.828029706</v>
      </c>
      <c r="BY12" s="870" t="s">
        <v>594</v>
      </c>
      <c r="BZ12" s="871" t="s">
        <v>619</v>
      </c>
      <c r="CA12" s="871" t="s">
        <v>595</v>
      </c>
      <c r="CB12" s="871" t="s">
        <v>600</v>
      </c>
      <c r="CC12" s="871" t="s">
        <v>597</v>
      </c>
      <c r="CD12" s="871" t="s">
        <v>70</v>
      </c>
      <c r="CE12" s="872">
        <v>2019.0</v>
      </c>
      <c r="CF12" s="873">
        <v>186.6654133</v>
      </c>
      <c r="CG12" s="873">
        <v>252.709295130879</v>
      </c>
      <c r="CH12" s="874">
        <v>134.910413132537</v>
      </c>
      <c r="CI12" s="530"/>
    </row>
    <row r="13">
      <c r="A13" s="857"/>
      <c r="B13" s="865" t="s">
        <v>590</v>
      </c>
      <c r="C13" s="865" t="s">
        <v>591</v>
      </c>
      <c r="D13" s="865" t="s">
        <v>620</v>
      </c>
      <c r="E13" s="866">
        <v>2019.0</v>
      </c>
      <c r="F13" s="865" t="s">
        <v>593</v>
      </c>
      <c r="G13" s="865" t="s">
        <v>70</v>
      </c>
      <c r="H13" s="867">
        <v>1.352921375E7</v>
      </c>
      <c r="I13" s="867">
        <v>1.486609469E7</v>
      </c>
      <c r="J13" s="868">
        <v>1.214494579E7</v>
      </c>
      <c r="K13" s="50"/>
      <c r="L13" s="869" t="s">
        <v>590</v>
      </c>
      <c r="M13" s="865" t="s">
        <v>591</v>
      </c>
      <c r="N13" s="865" t="s">
        <v>620</v>
      </c>
      <c r="O13" s="866">
        <v>2004.0</v>
      </c>
      <c r="P13" s="865" t="s">
        <v>593</v>
      </c>
      <c r="Q13" s="865" t="s">
        <v>70</v>
      </c>
      <c r="R13" s="867">
        <v>7838978.43</v>
      </c>
      <c r="S13" s="867">
        <v>8923409.664</v>
      </c>
      <c r="T13" s="868">
        <v>6809504.721</v>
      </c>
      <c r="V13" s="869" t="s">
        <v>594</v>
      </c>
      <c r="W13" s="865" t="s">
        <v>611</v>
      </c>
      <c r="X13" s="865" t="s">
        <v>595</v>
      </c>
      <c r="Y13" s="865" t="s">
        <v>602</v>
      </c>
      <c r="Z13" s="865" t="s">
        <v>597</v>
      </c>
      <c r="AA13" s="865" t="s">
        <v>70</v>
      </c>
      <c r="AB13" s="866">
        <v>2004.0</v>
      </c>
      <c r="AC13" s="867">
        <v>1092.407995</v>
      </c>
      <c r="AD13" s="867">
        <v>1373.005637</v>
      </c>
      <c r="AE13" s="868">
        <v>870.0636951</v>
      </c>
      <c r="AG13" s="869" t="s">
        <v>594</v>
      </c>
      <c r="AH13" s="865" t="s">
        <v>611</v>
      </c>
      <c r="AI13" s="865" t="s">
        <v>595</v>
      </c>
      <c r="AJ13" s="865" t="s">
        <v>602</v>
      </c>
      <c r="AK13" s="865" t="s">
        <v>597</v>
      </c>
      <c r="AL13" s="865" t="s">
        <v>598</v>
      </c>
      <c r="AM13" s="866">
        <v>2019.0</v>
      </c>
      <c r="AN13" s="867">
        <v>283.6944723</v>
      </c>
      <c r="AO13" s="867">
        <v>385.2449723</v>
      </c>
      <c r="AP13" s="868">
        <v>210.7024752</v>
      </c>
      <c r="AR13" s="869" t="s">
        <v>594</v>
      </c>
      <c r="AS13" s="865" t="s">
        <v>611</v>
      </c>
      <c r="AT13" s="865" t="s">
        <v>595</v>
      </c>
      <c r="AU13" s="865" t="s">
        <v>602</v>
      </c>
      <c r="AV13" s="865" t="s">
        <v>599</v>
      </c>
      <c r="AW13" s="865" t="s">
        <v>598</v>
      </c>
      <c r="AX13" s="866">
        <v>2019.0</v>
      </c>
      <c r="AY13" s="867">
        <v>2.658872321</v>
      </c>
      <c r="AZ13" s="867">
        <v>7.707924571</v>
      </c>
      <c r="BA13" s="868">
        <v>0.466836618</v>
      </c>
      <c r="BC13" s="869" t="s">
        <v>594</v>
      </c>
      <c r="BD13" s="865" t="s">
        <v>611</v>
      </c>
      <c r="BE13" s="865" t="s">
        <v>595</v>
      </c>
      <c r="BF13" s="865" t="s">
        <v>603</v>
      </c>
      <c r="BG13" s="865" t="s">
        <v>599</v>
      </c>
      <c r="BH13" s="865" t="s">
        <v>70</v>
      </c>
      <c r="BI13" s="866">
        <v>2019.0</v>
      </c>
      <c r="BJ13" s="867">
        <v>14.40944046</v>
      </c>
      <c r="BK13" s="867">
        <v>40.70185582</v>
      </c>
      <c r="BL13" s="868">
        <v>2.517798427</v>
      </c>
      <c r="BN13" s="869" t="s">
        <v>40</v>
      </c>
      <c r="BO13" s="865" t="s">
        <v>611</v>
      </c>
      <c r="BP13" s="865" t="s">
        <v>595</v>
      </c>
      <c r="BQ13" s="865" t="s">
        <v>604</v>
      </c>
      <c r="BR13" s="865" t="s">
        <v>599</v>
      </c>
      <c r="BS13" s="865" t="s">
        <v>598</v>
      </c>
      <c r="BT13" s="866">
        <v>2019.0</v>
      </c>
      <c r="BU13" s="867">
        <v>118.7188446</v>
      </c>
      <c r="BV13" s="867">
        <v>200.6139765</v>
      </c>
      <c r="BW13" s="868">
        <v>5.649511172</v>
      </c>
      <c r="BY13" s="870" t="s">
        <v>594</v>
      </c>
      <c r="BZ13" s="871" t="s">
        <v>621</v>
      </c>
      <c r="CA13" s="871" t="s">
        <v>595</v>
      </c>
      <c r="CB13" s="871" t="s">
        <v>600</v>
      </c>
      <c r="CC13" s="871" t="s">
        <v>597</v>
      </c>
      <c r="CD13" s="871" t="s">
        <v>70</v>
      </c>
      <c r="CE13" s="872">
        <v>2019.0</v>
      </c>
      <c r="CF13" s="873">
        <v>64035.0073853939</v>
      </c>
      <c r="CG13" s="873">
        <v>77248.0821636419</v>
      </c>
      <c r="CH13" s="874">
        <v>52538.2382845362</v>
      </c>
      <c r="CI13" s="530"/>
    </row>
    <row r="14">
      <c r="A14" s="857"/>
      <c r="B14" s="865" t="s">
        <v>590</v>
      </c>
      <c r="C14" s="865" t="s">
        <v>591</v>
      </c>
      <c r="D14" s="865" t="s">
        <v>622</v>
      </c>
      <c r="E14" s="866">
        <v>2019.0</v>
      </c>
      <c r="F14" s="865" t="s">
        <v>593</v>
      </c>
      <c r="G14" s="865" t="s">
        <v>70</v>
      </c>
      <c r="H14" s="867">
        <v>1.308229211E7</v>
      </c>
      <c r="I14" s="867">
        <v>1.437588919E7</v>
      </c>
      <c r="J14" s="868">
        <v>1.174401124E7</v>
      </c>
      <c r="K14" s="50"/>
      <c r="L14" s="869" t="s">
        <v>590</v>
      </c>
      <c r="M14" s="865" t="s">
        <v>591</v>
      </c>
      <c r="N14" s="865" t="s">
        <v>622</v>
      </c>
      <c r="O14" s="866">
        <v>2004.0</v>
      </c>
      <c r="P14" s="865" t="s">
        <v>593</v>
      </c>
      <c r="Q14" s="865" t="s">
        <v>70</v>
      </c>
      <c r="R14" s="867">
        <v>7397989.538</v>
      </c>
      <c r="S14" s="867">
        <v>8421707.91</v>
      </c>
      <c r="T14" s="868">
        <v>6426571.228</v>
      </c>
      <c r="V14" s="869" t="s">
        <v>594</v>
      </c>
      <c r="W14" s="865" t="s">
        <v>613</v>
      </c>
      <c r="X14" s="865" t="s">
        <v>595</v>
      </c>
      <c r="Y14" s="865" t="s">
        <v>596</v>
      </c>
      <c r="Z14" s="865" t="s">
        <v>597</v>
      </c>
      <c r="AA14" s="865" t="s">
        <v>70</v>
      </c>
      <c r="AB14" s="866">
        <v>2004.0</v>
      </c>
      <c r="AC14" s="867">
        <v>30009.89714</v>
      </c>
      <c r="AD14" s="867">
        <v>33259.64998</v>
      </c>
      <c r="AE14" s="868">
        <v>26995.71762</v>
      </c>
      <c r="AG14" s="869" t="s">
        <v>594</v>
      </c>
      <c r="AH14" s="865" t="s">
        <v>613</v>
      </c>
      <c r="AI14" s="865" t="s">
        <v>595</v>
      </c>
      <c r="AJ14" s="865" t="s">
        <v>596</v>
      </c>
      <c r="AK14" s="865" t="s">
        <v>597</v>
      </c>
      <c r="AL14" s="865" t="s">
        <v>598</v>
      </c>
      <c r="AM14" s="866">
        <v>2019.0</v>
      </c>
      <c r="AN14" s="867">
        <v>3755.462518</v>
      </c>
      <c r="AO14" s="867">
        <v>4762.36062</v>
      </c>
      <c r="AP14" s="868">
        <v>2976.365992</v>
      </c>
      <c r="AR14" s="869" t="s">
        <v>594</v>
      </c>
      <c r="AS14" s="865" t="s">
        <v>613</v>
      </c>
      <c r="AT14" s="865" t="s">
        <v>595</v>
      </c>
      <c r="AU14" s="865" t="s">
        <v>596</v>
      </c>
      <c r="AV14" s="865" t="s">
        <v>599</v>
      </c>
      <c r="AW14" s="865" t="s">
        <v>598</v>
      </c>
      <c r="AX14" s="866">
        <v>2019.0</v>
      </c>
      <c r="AY14" s="867">
        <v>630.4430372</v>
      </c>
      <c r="AZ14" s="867">
        <v>1201.279143</v>
      </c>
      <c r="BA14" s="868">
        <v>246.9608581</v>
      </c>
      <c r="BC14" s="869" t="s">
        <v>594</v>
      </c>
      <c r="BD14" s="865" t="s">
        <v>613</v>
      </c>
      <c r="BE14" s="865" t="s">
        <v>595</v>
      </c>
      <c r="BF14" s="865" t="s">
        <v>600</v>
      </c>
      <c r="BG14" s="865" t="s">
        <v>599</v>
      </c>
      <c r="BH14" s="865" t="s">
        <v>70</v>
      </c>
      <c r="BI14" s="866">
        <v>2019.0</v>
      </c>
      <c r="BJ14" s="867">
        <v>16395.36949</v>
      </c>
      <c r="BK14" s="867">
        <v>29949.50705</v>
      </c>
      <c r="BL14" s="868">
        <v>6870.137688</v>
      </c>
      <c r="BN14" s="869" t="s">
        <v>40</v>
      </c>
      <c r="BO14" s="865" t="s">
        <v>613</v>
      </c>
      <c r="BP14" s="865" t="s">
        <v>595</v>
      </c>
      <c r="BQ14" s="865" t="s">
        <v>600</v>
      </c>
      <c r="BR14" s="865" t="s">
        <v>599</v>
      </c>
      <c r="BS14" s="865" t="s">
        <v>598</v>
      </c>
      <c r="BT14" s="866">
        <v>2019.0</v>
      </c>
      <c r="BU14" s="867">
        <v>55520.04875</v>
      </c>
      <c r="BV14" s="867">
        <v>86740.00487</v>
      </c>
      <c r="BW14" s="868">
        <v>31636.11813</v>
      </c>
      <c r="BY14" s="870" t="s">
        <v>594</v>
      </c>
      <c r="BZ14" s="871" t="s">
        <v>623</v>
      </c>
      <c r="CA14" s="871" t="s">
        <v>595</v>
      </c>
      <c r="CB14" s="871" t="s">
        <v>600</v>
      </c>
      <c r="CC14" s="871" t="s">
        <v>597</v>
      </c>
      <c r="CD14" s="871" t="s">
        <v>70</v>
      </c>
      <c r="CE14" s="872">
        <v>2019.0</v>
      </c>
      <c r="CF14" s="873">
        <v>23959.0479040135</v>
      </c>
      <c r="CG14" s="873">
        <v>30037.0912512069</v>
      </c>
      <c r="CH14" s="874">
        <v>19186.6610252296</v>
      </c>
      <c r="CI14" s="530"/>
    </row>
    <row r="15">
      <c r="A15" s="857"/>
      <c r="B15" s="865" t="s">
        <v>590</v>
      </c>
      <c r="C15" s="865" t="s">
        <v>591</v>
      </c>
      <c r="D15" s="865" t="s">
        <v>624</v>
      </c>
      <c r="E15" s="866">
        <v>2019.0</v>
      </c>
      <c r="F15" s="865" t="s">
        <v>593</v>
      </c>
      <c r="G15" s="865" t="s">
        <v>70</v>
      </c>
      <c r="H15" s="867">
        <v>2561359.537</v>
      </c>
      <c r="I15" s="867">
        <v>2814458.704</v>
      </c>
      <c r="J15" s="868">
        <v>2299289.026</v>
      </c>
      <c r="K15" s="50"/>
      <c r="L15" s="869" t="s">
        <v>590</v>
      </c>
      <c r="M15" s="865" t="s">
        <v>591</v>
      </c>
      <c r="N15" s="865" t="s">
        <v>624</v>
      </c>
      <c r="O15" s="866">
        <v>2004.0</v>
      </c>
      <c r="P15" s="865" t="s">
        <v>593</v>
      </c>
      <c r="Q15" s="865" t="s">
        <v>70</v>
      </c>
      <c r="R15" s="867">
        <v>1469800.843</v>
      </c>
      <c r="S15" s="867">
        <v>1673130.646</v>
      </c>
      <c r="T15" s="868">
        <v>1276775.522</v>
      </c>
      <c r="V15" s="869" t="s">
        <v>594</v>
      </c>
      <c r="W15" s="865" t="s">
        <v>613</v>
      </c>
      <c r="X15" s="865" t="s">
        <v>595</v>
      </c>
      <c r="Y15" s="865" t="s">
        <v>602</v>
      </c>
      <c r="Z15" s="865" t="s">
        <v>597</v>
      </c>
      <c r="AA15" s="865" t="s">
        <v>70</v>
      </c>
      <c r="AB15" s="866">
        <v>2004.0</v>
      </c>
      <c r="AC15" s="867">
        <v>47781.09556</v>
      </c>
      <c r="AD15" s="867">
        <v>53945.50076</v>
      </c>
      <c r="AE15" s="868">
        <v>41837.32841</v>
      </c>
      <c r="AG15" s="869" t="s">
        <v>594</v>
      </c>
      <c r="AH15" s="865" t="s">
        <v>613</v>
      </c>
      <c r="AI15" s="865" t="s">
        <v>595</v>
      </c>
      <c r="AJ15" s="865" t="s">
        <v>602</v>
      </c>
      <c r="AK15" s="865" t="s">
        <v>597</v>
      </c>
      <c r="AL15" s="865" t="s">
        <v>598</v>
      </c>
      <c r="AM15" s="866">
        <v>2019.0</v>
      </c>
      <c r="AN15" s="867">
        <v>1306.934543</v>
      </c>
      <c r="AO15" s="867">
        <v>1624.155267</v>
      </c>
      <c r="AP15" s="868">
        <v>1049.304173</v>
      </c>
      <c r="AR15" s="869" t="s">
        <v>594</v>
      </c>
      <c r="AS15" s="865" t="s">
        <v>613</v>
      </c>
      <c r="AT15" s="865" t="s">
        <v>595</v>
      </c>
      <c r="AU15" s="865" t="s">
        <v>602</v>
      </c>
      <c r="AV15" s="865" t="s">
        <v>599</v>
      </c>
      <c r="AW15" s="865" t="s">
        <v>598</v>
      </c>
      <c r="AX15" s="866">
        <v>2019.0</v>
      </c>
      <c r="AY15" s="867">
        <v>334.7261525</v>
      </c>
      <c r="AZ15" s="867">
        <v>602.448858</v>
      </c>
      <c r="BA15" s="868">
        <v>147.733769</v>
      </c>
      <c r="BC15" s="869" t="s">
        <v>594</v>
      </c>
      <c r="BD15" s="865" t="s">
        <v>613</v>
      </c>
      <c r="BE15" s="865" t="s">
        <v>595</v>
      </c>
      <c r="BF15" s="865" t="s">
        <v>603</v>
      </c>
      <c r="BG15" s="865" t="s">
        <v>599</v>
      </c>
      <c r="BH15" s="865" t="s">
        <v>70</v>
      </c>
      <c r="BI15" s="866">
        <v>2019.0</v>
      </c>
      <c r="BJ15" s="867">
        <v>26304.7468</v>
      </c>
      <c r="BK15" s="867">
        <v>48308.49947</v>
      </c>
      <c r="BL15" s="868">
        <v>10690.71727</v>
      </c>
      <c r="BN15" s="869" t="s">
        <v>40</v>
      </c>
      <c r="BO15" s="865" t="s">
        <v>613</v>
      </c>
      <c r="BP15" s="865" t="s">
        <v>595</v>
      </c>
      <c r="BQ15" s="865" t="s">
        <v>604</v>
      </c>
      <c r="BR15" s="865" t="s">
        <v>599</v>
      </c>
      <c r="BS15" s="865" t="s">
        <v>598</v>
      </c>
      <c r="BT15" s="866">
        <v>2019.0</v>
      </c>
      <c r="BU15" s="867">
        <v>24693.60871</v>
      </c>
      <c r="BV15" s="867">
        <v>38635.95811</v>
      </c>
      <c r="BW15" s="868">
        <v>16809.51626</v>
      </c>
      <c r="BY15" s="870" t="s">
        <v>594</v>
      </c>
      <c r="BZ15" s="871" t="s">
        <v>118</v>
      </c>
      <c r="CA15" s="871" t="s">
        <v>595</v>
      </c>
      <c r="CB15" s="871" t="s">
        <v>600</v>
      </c>
      <c r="CC15" s="871" t="s">
        <v>597</v>
      </c>
      <c r="CD15" s="871" t="s">
        <v>70</v>
      </c>
      <c r="CE15" s="872">
        <v>2019.0</v>
      </c>
      <c r="CF15" s="873">
        <v>85575.1226464666</v>
      </c>
      <c r="CG15" s="873">
        <v>104782.312919454</v>
      </c>
      <c r="CH15" s="874">
        <v>70380.6539379719</v>
      </c>
      <c r="CI15" s="530"/>
    </row>
    <row r="16">
      <c r="A16" s="857"/>
      <c r="B16" s="865" t="s">
        <v>590</v>
      </c>
      <c r="C16" s="865" t="s">
        <v>591</v>
      </c>
      <c r="D16" s="865" t="s">
        <v>625</v>
      </c>
      <c r="E16" s="866">
        <v>2019.0</v>
      </c>
      <c r="F16" s="865" t="s">
        <v>593</v>
      </c>
      <c r="G16" s="865" t="s">
        <v>70</v>
      </c>
      <c r="H16" s="867">
        <v>1.052129173E7</v>
      </c>
      <c r="I16" s="867">
        <v>1.15609467E7</v>
      </c>
      <c r="J16" s="868">
        <v>9444785.188</v>
      </c>
      <c r="K16" s="50"/>
      <c r="L16" s="869" t="s">
        <v>590</v>
      </c>
      <c r="M16" s="865" t="s">
        <v>591</v>
      </c>
      <c r="N16" s="865" t="s">
        <v>625</v>
      </c>
      <c r="O16" s="866">
        <v>2004.0</v>
      </c>
      <c r="P16" s="865" t="s">
        <v>593</v>
      </c>
      <c r="Q16" s="865" t="s">
        <v>70</v>
      </c>
      <c r="R16" s="867">
        <v>5928442.27</v>
      </c>
      <c r="S16" s="867">
        <v>6748573.11</v>
      </c>
      <c r="T16" s="868">
        <v>5149874.564</v>
      </c>
      <c r="V16" s="869" t="s">
        <v>594</v>
      </c>
      <c r="W16" s="865" t="s">
        <v>615</v>
      </c>
      <c r="X16" s="865" t="s">
        <v>595</v>
      </c>
      <c r="Y16" s="865" t="s">
        <v>596</v>
      </c>
      <c r="Z16" s="865" t="s">
        <v>597</v>
      </c>
      <c r="AA16" s="865" t="s">
        <v>70</v>
      </c>
      <c r="AB16" s="866">
        <v>2004.0</v>
      </c>
      <c r="AC16" s="867">
        <v>12991.23754</v>
      </c>
      <c r="AD16" s="867">
        <v>14554.02004</v>
      </c>
      <c r="AE16" s="868">
        <v>11557.5026</v>
      </c>
      <c r="AG16" s="869" t="s">
        <v>594</v>
      </c>
      <c r="AH16" s="865" t="s">
        <v>615</v>
      </c>
      <c r="AI16" s="865" t="s">
        <v>595</v>
      </c>
      <c r="AJ16" s="865" t="s">
        <v>596</v>
      </c>
      <c r="AK16" s="865" t="s">
        <v>597</v>
      </c>
      <c r="AL16" s="865" t="s">
        <v>598</v>
      </c>
      <c r="AM16" s="866">
        <v>2019.0</v>
      </c>
      <c r="AN16" s="867">
        <v>2274.056208</v>
      </c>
      <c r="AO16" s="867">
        <v>2883.0492</v>
      </c>
      <c r="AP16" s="868">
        <v>1796.696193</v>
      </c>
      <c r="AR16" s="869" t="s">
        <v>594</v>
      </c>
      <c r="AS16" s="865" t="s">
        <v>615</v>
      </c>
      <c r="AT16" s="865" t="s">
        <v>595</v>
      </c>
      <c r="AU16" s="865" t="s">
        <v>596</v>
      </c>
      <c r="AV16" s="865" t="s">
        <v>599</v>
      </c>
      <c r="AW16" s="865" t="s">
        <v>598</v>
      </c>
      <c r="AX16" s="866">
        <v>2019.0</v>
      </c>
      <c r="AY16" s="867">
        <v>615.8670524</v>
      </c>
      <c r="AZ16" s="867">
        <v>1198.836544</v>
      </c>
      <c r="BA16" s="868">
        <v>234.4255335</v>
      </c>
      <c r="BC16" s="869" t="s">
        <v>594</v>
      </c>
      <c r="BD16" s="865" t="s">
        <v>615</v>
      </c>
      <c r="BE16" s="865" t="s">
        <v>595</v>
      </c>
      <c r="BF16" s="865" t="s">
        <v>600</v>
      </c>
      <c r="BG16" s="865" t="s">
        <v>599</v>
      </c>
      <c r="BH16" s="865" t="s">
        <v>70</v>
      </c>
      <c r="BI16" s="866">
        <v>2019.0</v>
      </c>
      <c r="BJ16" s="867">
        <v>5775.80884</v>
      </c>
      <c r="BK16" s="867">
        <v>11442.06254</v>
      </c>
      <c r="BL16" s="868">
        <v>2164.555781</v>
      </c>
      <c r="BN16" s="869" t="s">
        <v>40</v>
      </c>
      <c r="BO16" s="865" t="s">
        <v>615</v>
      </c>
      <c r="BP16" s="865" t="s">
        <v>595</v>
      </c>
      <c r="BQ16" s="865" t="s">
        <v>600</v>
      </c>
      <c r="BR16" s="865" t="s">
        <v>599</v>
      </c>
      <c r="BS16" s="865" t="s">
        <v>598</v>
      </c>
      <c r="BT16" s="866">
        <v>2019.0</v>
      </c>
      <c r="BU16" s="867">
        <v>44033.72386</v>
      </c>
      <c r="BV16" s="867">
        <v>80209.9696</v>
      </c>
      <c r="BW16" s="868">
        <v>12917.30608</v>
      </c>
      <c r="BY16" s="870" t="s">
        <v>594</v>
      </c>
      <c r="BZ16" s="871" t="s">
        <v>626</v>
      </c>
      <c r="CA16" s="871" t="s">
        <v>595</v>
      </c>
      <c r="CB16" s="871" t="s">
        <v>600</v>
      </c>
      <c r="CC16" s="871" t="s">
        <v>597</v>
      </c>
      <c r="CD16" s="871" t="s">
        <v>70</v>
      </c>
      <c r="CE16" s="872">
        <v>2019.0</v>
      </c>
      <c r="CF16" s="873">
        <v>836.3001419</v>
      </c>
      <c r="CG16" s="873">
        <v>1041.79173311982</v>
      </c>
      <c r="CH16" s="874">
        <v>663.08143502095</v>
      </c>
      <c r="CI16" s="530"/>
    </row>
    <row r="17">
      <c r="A17" s="857"/>
      <c r="B17" s="865" t="s">
        <v>590</v>
      </c>
      <c r="C17" s="865" t="s">
        <v>591</v>
      </c>
      <c r="D17" s="865" t="s">
        <v>627</v>
      </c>
      <c r="E17" s="866">
        <v>2019.0</v>
      </c>
      <c r="F17" s="865" t="s">
        <v>593</v>
      </c>
      <c r="G17" s="865" t="s">
        <v>70</v>
      </c>
      <c r="H17" s="867">
        <v>2197357.013</v>
      </c>
      <c r="I17" s="867">
        <v>2414487.495</v>
      </c>
      <c r="J17" s="868">
        <v>1972530.133</v>
      </c>
      <c r="K17" s="50"/>
      <c r="L17" s="869" t="s">
        <v>590</v>
      </c>
      <c r="M17" s="865" t="s">
        <v>591</v>
      </c>
      <c r="N17" s="865" t="s">
        <v>627</v>
      </c>
      <c r="O17" s="866">
        <v>2004.0</v>
      </c>
      <c r="P17" s="865" t="s">
        <v>593</v>
      </c>
      <c r="Q17" s="865" t="s">
        <v>70</v>
      </c>
      <c r="R17" s="867">
        <v>1313517.116</v>
      </c>
      <c r="S17" s="867">
        <v>1495226.888</v>
      </c>
      <c r="T17" s="868">
        <v>1141016.152</v>
      </c>
      <c r="V17" s="869" t="s">
        <v>594</v>
      </c>
      <c r="W17" s="865" t="s">
        <v>615</v>
      </c>
      <c r="X17" s="865" t="s">
        <v>595</v>
      </c>
      <c r="Y17" s="865" t="s">
        <v>602</v>
      </c>
      <c r="Z17" s="865" t="s">
        <v>597</v>
      </c>
      <c r="AA17" s="865" t="s">
        <v>70</v>
      </c>
      <c r="AB17" s="866">
        <v>2004.0</v>
      </c>
      <c r="AC17" s="867">
        <v>16342.61971</v>
      </c>
      <c r="AD17" s="867">
        <v>18770.18692</v>
      </c>
      <c r="AE17" s="868">
        <v>14214.99862</v>
      </c>
      <c r="AG17" s="869" t="s">
        <v>594</v>
      </c>
      <c r="AH17" s="865" t="s">
        <v>615</v>
      </c>
      <c r="AI17" s="865" t="s">
        <v>595</v>
      </c>
      <c r="AJ17" s="865" t="s">
        <v>602</v>
      </c>
      <c r="AK17" s="865" t="s">
        <v>597</v>
      </c>
      <c r="AL17" s="865" t="s">
        <v>598</v>
      </c>
      <c r="AM17" s="866">
        <v>2019.0</v>
      </c>
      <c r="AN17" s="867">
        <v>562.6512411</v>
      </c>
      <c r="AO17" s="867">
        <v>789.1906352</v>
      </c>
      <c r="AP17" s="868">
        <v>404.2603208</v>
      </c>
      <c r="AR17" s="869" t="s">
        <v>594</v>
      </c>
      <c r="AS17" s="865" t="s">
        <v>615</v>
      </c>
      <c r="AT17" s="865" t="s">
        <v>595</v>
      </c>
      <c r="AU17" s="865" t="s">
        <v>602</v>
      </c>
      <c r="AV17" s="865" t="s">
        <v>599</v>
      </c>
      <c r="AW17" s="865" t="s">
        <v>598</v>
      </c>
      <c r="AX17" s="866">
        <v>2019.0</v>
      </c>
      <c r="AY17" s="867">
        <v>176.5508103</v>
      </c>
      <c r="AZ17" s="867">
        <v>356.5245485</v>
      </c>
      <c r="BA17" s="868">
        <v>64.3141434</v>
      </c>
      <c r="BC17" s="869" t="s">
        <v>594</v>
      </c>
      <c r="BD17" s="865" t="s">
        <v>615</v>
      </c>
      <c r="BE17" s="865" t="s">
        <v>595</v>
      </c>
      <c r="BF17" s="865" t="s">
        <v>603</v>
      </c>
      <c r="BG17" s="865" t="s">
        <v>599</v>
      </c>
      <c r="BH17" s="865" t="s">
        <v>70</v>
      </c>
      <c r="BI17" s="866">
        <v>2019.0</v>
      </c>
      <c r="BJ17" s="867">
        <v>7279.882806</v>
      </c>
      <c r="BK17" s="867">
        <v>14854.84529</v>
      </c>
      <c r="BL17" s="868">
        <v>2823.027433</v>
      </c>
      <c r="BN17" s="869" t="s">
        <v>40</v>
      </c>
      <c r="BO17" s="865" t="s">
        <v>615</v>
      </c>
      <c r="BP17" s="865" t="s">
        <v>595</v>
      </c>
      <c r="BQ17" s="865" t="s">
        <v>604</v>
      </c>
      <c r="BR17" s="865" t="s">
        <v>599</v>
      </c>
      <c r="BS17" s="865" t="s">
        <v>598</v>
      </c>
      <c r="BT17" s="866">
        <v>2019.0</v>
      </c>
      <c r="BU17" s="867">
        <v>19680.90142</v>
      </c>
      <c r="BV17" s="867">
        <v>35733.01152</v>
      </c>
      <c r="BW17" s="868">
        <v>9996.240076</v>
      </c>
      <c r="BY17" s="870" t="s">
        <v>594</v>
      </c>
      <c r="BZ17" s="871" t="s">
        <v>628</v>
      </c>
      <c r="CA17" s="871" t="s">
        <v>595</v>
      </c>
      <c r="CB17" s="871" t="s">
        <v>600</v>
      </c>
      <c r="CC17" s="871" t="s">
        <v>597</v>
      </c>
      <c r="CD17" s="871" t="s">
        <v>70</v>
      </c>
      <c r="CE17" s="872">
        <v>2019.0</v>
      </c>
      <c r="CF17" s="873">
        <v>5759.00513138151</v>
      </c>
      <c r="CG17" s="873">
        <v>6893.28428094228</v>
      </c>
      <c r="CH17" s="874">
        <v>4811.65109017127</v>
      </c>
      <c r="CI17" s="530"/>
    </row>
    <row r="18">
      <c r="A18" s="857"/>
      <c r="B18" s="865" t="s">
        <v>590</v>
      </c>
      <c r="C18" s="865" t="s">
        <v>591</v>
      </c>
      <c r="D18" s="865" t="s">
        <v>629</v>
      </c>
      <c r="E18" s="866">
        <v>2019.0</v>
      </c>
      <c r="F18" s="865" t="s">
        <v>593</v>
      </c>
      <c r="G18" s="865" t="s">
        <v>70</v>
      </c>
      <c r="H18" s="867">
        <v>7899103.217</v>
      </c>
      <c r="I18" s="867">
        <v>8680178.642</v>
      </c>
      <c r="J18" s="868">
        <v>7091047.67</v>
      </c>
      <c r="K18" s="50"/>
      <c r="L18" s="869" t="s">
        <v>590</v>
      </c>
      <c r="M18" s="865" t="s">
        <v>591</v>
      </c>
      <c r="N18" s="865" t="s">
        <v>629</v>
      </c>
      <c r="O18" s="866">
        <v>2004.0</v>
      </c>
      <c r="P18" s="865" t="s">
        <v>593</v>
      </c>
      <c r="Q18" s="865" t="s">
        <v>70</v>
      </c>
      <c r="R18" s="867">
        <v>4566602.079</v>
      </c>
      <c r="S18" s="867">
        <v>5198518.956</v>
      </c>
      <c r="T18" s="868">
        <v>3966968.78</v>
      </c>
      <c r="V18" s="869" t="s">
        <v>594</v>
      </c>
      <c r="W18" s="865" t="s">
        <v>630</v>
      </c>
      <c r="X18" s="865" t="s">
        <v>595</v>
      </c>
      <c r="Y18" s="865" t="s">
        <v>596</v>
      </c>
      <c r="Z18" s="865" t="s">
        <v>597</v>
      </c>
      <c r="AA18" s="865" t="s">
        <v>70</v>
      </c>
      <c r="AB18" s="866">
        <v>2004.0</v>
      </c>
      <c r="AC18" s="867">
        <v>28493.43935</v>
      </c>
      <c r="AD18" s="867">
        <v>32064.51092</v>
      </c>
      <c r="AE18" s="868">
        <v>25176.25245</v>
      </c>
      <c r="AG18" s="869" t="s">
        <v>594</v>
      </c>
      <c r="AH18" s="865" t="s">
        <v>630</v>
      </c>
      <c r="AI18" s="865" t="s">
        <v>595</v>
      </c>
      <c r="AJ18" s="865" t="s">
        <v>596</v>
      </c>
      <c r="AK18" s="865" t="s">
        <v>597</v>
      </c>
      <c r="AL18" s="865" t="s">
        <v>598</v>
      </c>
      <c r="AM18" s="866">
        <v>2019.0</v>
      </c>
      <c r="AN18" s="867">
        <v>1567.745235</v>
      </c>
      <c r="AO18" s="867">
        <v>2184.508378</v>
      </c>
      <c r="AP18" s="868">
        <v>1108.857487</v>
      </c>
      <c r="AR18" s="869" t="s">
        <v>594</v>
      </c>
      <c r="AS18" s="865" t="s">
        <v>630</v>
      </c>
      <c r="AT18" s="865" t="s">
        <v>595</v>
      </c>
      <c r="AU18" s="865" t="s">
        <v>596</v>
      </c>
      <c r="AV18" s="865" t="s">
        <v>599</v>
      </c>
      <c r="AW18" s="865" t="s">
        <v>598</v>
      </c>
      <c r="AX18" s="866">
        <v>2019.0</v>
      </c>
      <c r="AY18" s="867">
        <v>458.6422493</v>
      </c>
      <c r="AZ18" s="867">
        <v>882.2409074</v>
      </c>
      <c r="BA18" s="868">
        <v>190.3554262</v>
      </c>
      <c r="BC18" s="869" t="s">
        <v>594</v>
      </c>
      <c r="BD18" s="865" t="s">
        <v>630</v>
      </c>
      <c r="BE18" s="865" t="s">
        <v>595</v>
      </c>
      <c r="BF18" s="865" t="s">
        <v>600</v>
      </c>
      <c r="BG18" s="865" t="s">
        <v>599</v>
      </c>
      <c r="BH18" s="865" t="s">
        <v>70</v>
      </c>
      <c r="BI18" s="866">
        <v>2019.0</v>
      </c>
      <c r="BJ18" s="867">
        <v>13993.67292</v>
      </c>
      <c r="BK18" s="867">
        <v>23086.08674</v>
      </c>
      <c r="BL18" s="868">
        <v>7001.956737</v>
      </c>
      <c r="BN18" s="869" t="s">
        <v>40</v>
      </c>
      <c r="BO18" s="865" t="s">
        <v>617</v>
      </c>
      <c r="BP18" s="865" t="s">
        <v>595</v>
      </c>
      <c r="BQ18" s="865" t="s">
        <v>600</v>
      </c>
      <c r="BR18" s="865" t="s">
        <v>599</v>
      </c>
      <c r="BS18" s="865" t="s">
        <v>598</v>
      </c>
      <c r="BT18" s="866">
        <v>2019.0</v>
      </c>
      <c r="BU18" s="867">
        <v>92610.23051</v>
      </c>
      <c r="BV18" s="867">
        <v>144129.8835</v>
      </c>
      <c r="BW18" s="868">
        <v>53287.97991</v>
      </c>
      <c r="BY18" s="870" t="s">
        <v>594</v>
      </c>
      <c r="BZ18" s="871" t="s">
        <v>119</v>
      </c>
      <c r="CA18" s="871" t="s">
        <v>595</v>
      </c>
      <c r="CB18" s="871" t="s">
        <v>600</v>
      </c>
      <c r="CC18" s="871" t="s">
        <v>597</v>
      </c>
      <c r="CD18" s="871" t="s">
        <v>70</v>
      </c>
      <c r="CE18" s="872">
        <v>2019.0</v>
      </c>
      <c r="CF18" s="873">
        <v>168468.451214126</v>
      </c>
      <c r="CG18" s="873">
        <v>204871.194845387</v>
      </c>
      <c r="CH18" s="874">
        <v>140859.879786655</v>
      </c>
      <c r="CI18" s="530"/>
    </row>
    <row r="19">
      <c r="A19" s="857"/>
      <c r="B19" s="865" t="s">
        <v>590</v>
      </c>
      <c r="C19" s="865" t="s">
        <v>591</v>
      </c>
      <c r="D19" s="865" t="s">
        <v>631</v>
      </c>
      <c r="E19" s="866">
        <v>2019.0</v>
      </c>
      <c r="F19" s="865" t="s">
        <v>593</v>
      </c>
      <c r="G19" s="865" t="s">
        <v>70</v>
      </c>
      <c r="H19" s="867">
        <v>1876730.396</v>
      </c>
      <c r="I19" s="867">
        <v>2062178.356</v>
      </c>
      <c r="J19" s="868">
        <v>1684709.055</v>
      </c>
      <c r="K19" s="50"/>
      <c r="L19" s="869" t="s">
        <v>590</v>
      </c>
      <c r="M19" s="865" t="s">
        <v>591</v>
      </c>
      <c r="N19" s="865" t="s">
        <v>631</v>
      </c>
      <c r="O19" s="866">
        <v>2004.0</v>
      </c>
      <c r="P19" s="865" t="s">
        <v>593</v>
      </c>
      <c r="Q19" s="865" t="s">
        <v>70</v>
      </c>
      <c r="R19" s="867">
        <v>1041541.564</v>
      </c>
      <c r="S19" s="867">
        <v>1185626.691</v>
      </c>
      <c r="T19" s="868">
        <v>904758.4784</v>
      </c>
      <c r="V19" s="869" t="s">
        <v>594</v>
      </c>
      <c r="W19" s="865" t="s">
        <v>630</v>
      </c>
      <c r="X19" s="865" t="s">
        <v>595</v>
      </c>
      <c r="Y19" s="865" t="s">
        <v>602</v>
      </c>
      <c r="Z19" s="865" t="s">
        <v>597</v>
      </c>
      <c r="AA19" s="865" t="s">
        <v>70</v>
      </c>
      <c r="AB19" s="866">
        <v>2004.0</v>
      </c>
      <c r="AC19" s="867">
        <v>35847.12922</v>
      </c>
      <c r="AD19" s="867">
        <v>42478.4638</v>
      </c>
      <c r="AE19" s="868">
        <v>30384.43712</v>
      </c>
      <c r="AG19" s="869" t="s">
        <v>594</v>
      </c>
      <c r="AH19" s="865" t="s">
        <v>630</v>
      </c>
      <c r="AI19" s="865" t="s">
        <v>595</v>
      </c>
      <c r="AJ19" s="865" t="s">
        <v>602</v>
      </c>
      <c r="AK19" s="865" t="s">
        <v>597</v>
      </c>
      <c r="AL19" s="865" t="s">
        <v>598</v>
      </c>
      <c r="AM19" s="866">
        <v>2019.0</v>
      </c>
      <c r="AN19" s="867">
        <v>700.478527</v>
      </c>
      <c r="AO19" s="867">
        <v>832.2010132</v>
      </c>
      <c r="AP19" s="868">
        <v>588.576073</v>
      </c>
      <c r="AR19" s="869" t="s">
        <v>594</v>
      </c>
      <c r="AS19" s="865" t="s">
        <v>630</v>
      </c>
      <c r="AT19" s="865" t="s">
        <v>595</v>
      </c>
      <c r="AU19" s="865" t="s">
        <v>602</v>
      </c>
      <c r="AV19" s="865" t="s">
        <v>599</v>
      </c>
      <c r="AW19" s="865" t="s">
        <v>598</v>
      </c>
      <c r="AX19" s="866">
        <v>2019.0</v>
      </c>
      <c r="AY19" s="867">
        <v>303.3462492</v>
      </c>
      <c r="AZ19" s="867">
        <v>475.466834</v>
      </c>
      <c r="BA19" s="868">
        <v>157.2109975</v>
      </c>
      <c r="BC19" s="869" t="s">
        <v>594</v>
      </c>
      <c r="BD19" s="865" t="s">
        <v>630</v>
      </c>
      <c r="BE19" s="865" t="s">
        <v>595</v>
      </c>
      <c r="BF19" s="865" t="s">
        <v>603</v>
      </c>
      <c r="BG19" s="865" t="s">
        <v>599</v>
      </c>
      <c r="BH19" s="865" t="s">
        <v>70</v>
      </c>
      <c r="BI19" s="866">
        <v>2019.0</v>
      </c>
      <c r="BJ19" s="867">
        <v>29397.73997</v>
      </c>
      <c r="BK19" s="867">
        <v>52210.92163</v>
      </c>
      <c r="BL19" s="868">
        <v>14560.60135</v>
      </c>
      <c r="BN19" s="869" t="s">
        <v>40</v>
      </c>
      <c r="BO19" s="865" t="s">
        <v>617</v>
      </c>
      <c r="BP19" s="865" t="s">
        <v>595</v>
      </c>
      <c r="BQ19" s="865" t="s">
        <v>604</v>
      </c>
      <c r="BR19" s="865" t="s">
        <v>599</v>
      </c>
      <c r="BS19" s="865" t="s">
        <v>598</v>
      </c>
      <c r="BT19" s="866">
        <v>2019.0</v>
      </c>
      <c r="BU19" s="867">
        <v>37591.98485</v>
      </c>
      <c r="BV19" s="867">
        <v>67350.40205</v>
      </c>
      <c r="BW19" s="868">
        <v>21275.89583</v>
      </c>
      <c r="BY19" s="870" t="s">
        <v>594</v>
      </c>
      <c r="BZ19" s="871" t="s">
        <v>632</v>
      </c>
      <c r="CA19" s="871" t="s">
        <v>595</v>
      </c>
      <c r="CB19" s="871" t="s">
        <v>600</v>
      </c>
      <c r="CC19" s="871" t="s">
        <v>597</v>
      </c>
      <c r="CD19" s="871" t="s">
        <v>70</v>
      </c>
      <c r="CE19" s="872">
        <v>2019.0</v>
      </c>
      <c r="CF19" s="873">
        <v>1665.93500154302</v>
      </c>
      <c r="CG19" s="873">
        <v>2083.40292766412</v>
      </c>
      <c r="CH19" s="874">
        <v>1332.62314057975</v>
      </c>
      <c r="CI19" s="530"/>
    </row>
    <row r="20">
      <c r="A20" s="857"/>
      <c r="B20" s="865" t="s">
        <v>590</v>
      </c>
      <c r="C20" s="865" t="s">
        <v>591</v>
      </c>
      <c r="D20" s="865" t="s">
        <v>633</v>
      </c>
      <c r="E20" s="866">
        <v>2019.0</v>
      </c>
      <c r="F20" s="865" t="s">
        <v>593</v>
      </c>
      <c r="G20" s="865" t="s">
        <v>70</v>
      </c>
      <c r="H20" s="867">
        <v>1500016.743</v>
      </c>
      <c r="I20" s="867">
        <v>1648239.975</v>
      </c>
      <c r="J20" s="868">
        <v>1346539.596</v>
      </c>
      <c r="K20" s="50"/>
      <c r="L20" s="869" t="s">
        <v>590</v>
      </c>
      <c r="M20" s="865" t="s">
        <v>591</v>
      </c>
      <c r="N20" s="865" t="s">
        <v>633</v>
      </c>
      <c r="O20" s="866">
        <v>2004.0</v>
      </c>
      <c r="P20" s="865" t="s">
        <v>593</v>
      </c>
      <c r="Q20" s="865" t="s">
        <v>70</v>
      </c>
      <c r="R20" s="867">
        <v>889613.4704</v>
      </c>
      <c r="S20" s="867">
        <v>1012681.118</v>
      </c>
      <c r="T20" s="868">
        <v>772782.7269</v>
      </c>
      <c r="V20" s="869" t="s">
        <v>594</v>
      </c>
      <c r="W20" s="865" t="s">
        <v>619</v>
      </c>
      <c r="X20" s="865" t="s">
        <v>595</v>
      </c>
      <c r="Y20" s="865" t="s">
        <v>596</v>
      </c>
      <c r="Z20" s="865" t="s">
        <v>597</v>
      </c>
      <c r="AA20" s="865" t="s">
        <v>70</v>
      </c>
      <c r="AB20" s="866">
        <v>2004.0</v>
      </c>
      <c r="AC20" s="867">
        <v>195.8499826</v>
      </c>
      <c r="AD20" s="867">
        <v>240.163993</v>
      </c>
      <c r="AE20" s="868">
        <v>158.4939265</v>
      </c>
      <c r="AG20" s="869" t="s">
        <v>594</v>
      </c>
      <c r="AH20" s="865" t="s">
        <v>619</v>
      </c>
      <c r="AI20" s="865" t="s">
        <v>595</v>
      </c>
      <c r="AJ20" s="865" t="s">
        <v>596</v>
      </c>
      <c r="AK20" s="865" t="s">
        <v>597</v>
      </c>
      <c r="AL20" s="865" t="s">
        <v>598</v>
      </c>
      <c r="AM20" s="866">
        <v>2019.0</v>
      </c>
      <c r="AN20" s="867">
        <v>535.1082889</v>
      </c>
      <c r="AO20" s="867">
        <v>723.3950231</v>
      </c>
      <c r="AP20" s="868">
        <v>385.1060987</v>
      </c>
      <c r="AR20" s="869" t="s">
        <v>594</v>
      </c>
      <c r="AS20" s="865" t="s">
        <v>619</v>
      </c>
      <c r="AT20" s="865" t="s">
        <v>595</v>
      </c>
      <c r="AU20" s="865" t="s">
        <v>596</v>
      </c>
      <c r="AV20" s="865" t="s">
        <v>599</v>
      </c>
      <c r="AW20" s="865" t="s">
        <v>598</v>
      </c>
      <c r="AX20" s="866">
        <v>2019.0</v>
      </c>
      <c r="AY20" s="867">
        <v>32.76589879</v>
      </c>
      <c r="AZ20" s="867">
        <v>233.3912017</v>
      </c>
      <c r="BA20" s="868">
        <v>0.08754056</v>
      </c>
      <c r="BC20" s="869" t="s">
        <v>594</v>
      </c>
      <c r="BD20" s="865" t="s">
        <v>619</v>
      </c>
      <c r="BE20" s="865" t="s">
        <v>595</v>
      </c>
      <c r="BF20" s="865" t="s">
        <v>600</v>
      </c>
      <c r="BG20" s="865" t="s">
        <v>599</v>
      </c>
      <c r="BH20" s="865" t="s">
        <v>70</v>
      </c>
      <c r="BI20" s="866">
        <v>2019.0</v>
      </c>
      <c r="BJ20" s="867">
        <v>5.277809007</v>
      </c>
      <c r="BK20" s="867">
        <v>36.75301144</v>
      </c>
      <c r="BL20" s="868">
        <v>0.014140329</v>
      </c>
      <c r="BN20" s="869" t="s">
        <v>40</v>
      </c>
      <c r="BO20" s="865" t="s">
        <v>619</v>
      </c>
      <c r="BP20" s="865" t="s">
        <v>595</v>
      </c>
      <c r="BQ20" s="865" t="s">
        <v>600</v>
      </c>
      <c r="BR20" s="865" t="s">
        <v>599</v>
      </c>
      <c r="BS20" s="865" t="s">
        <v>598</v>
      </c>
      <c r="BT20" s="866">
        <v>2019.0</v>
      </c>
      <c r="BU20" s="867">
        <v>978.1920571</v>
      </c>
      <c r="BV20" s="867">
        <v>2355.590558</v>
      </c>
      <c r="BW20" s="868">
        <v>0.336252838</v>
      </c>
      <c r="BY20" s="870" t="s">
        <v>594</v>
      </c>
      <c r="BZ20" s="871" t="s">
        <v>634</v>
      </c>
      <c r="CA20" s="871" t="s">
        <v>595</v>
      </c>
      <c r="CB20" s="871" t="s">
        <v>600</v>
      </c>
      <c r="CC20" s="871" t="s">
        <v>597</v>
      </c>
      <c r="CD20" s="871" t="s">
        <v>70</v>
      </c>
      <c r="CE20" s="872">
        <v>2019.0</v>
      </c>
      <c r="CF20" s="873">
        <v>1454.57171700539</v>
      </c>
      <c r="CG20" s="873">
        <v>2011.26240624969</v>
      </c>
      <c r="CH20" s="874">
        <v>1052.30678789211</v>
      </c>
      <c r="CI20" s="530"/>
    </row>
    <row r="21">
      <c r="A21" s="857"/>
      <c r="B21" s="865" t="s">
        <v>590</v>
      </c>
      <c r="C21" s="865" t="s">
        <v>591</v>
      </c>
      <c r="D21" s="865" t="s">
        <v>635</v>
      </c>
      <c r="E21" s="866">
        <v>2019.0</v>
      </c>
      <c r="F21" s="865" t="s">
        <v>593</v>
      </c>
      <c r="G21" s="865" t="s">
        <v>70</v>
      </c>
      <c r="H21" s="867">
        <v>1319090.624</v>
      </c>
      <c r="I21" s="867">
        <v>1449435.753</v>
      </c>
      <c r="J21" s="868">
        <v>1184125.287</v>
      </c>
      <c r="K21" s="50"/>
      <c r="L21" s="869" t="s">
        <v>590</v>
      </c>
      <c r="M21" s="865" t="s">
        <v>591</v>
      </c>
      <c r="N21" s="865" t="s">
        <v>635</v>
      </c>
      <c r="O21" s="866">
        <v>2004.0</v>
      </c>
      <c r="P21" s="865" t="s">
        <v>593</v>
      </c>
      <c r="Q21" s="865" t="s">
        <v>70</v>
      </c>
      <c r="R21" s="867">
        <v>746134.2088</v>
      </c>
      <c r="S21" s="867">
        <v>849353.1739</v>
      </c>
      <c r="T21" s="868">
        <v>648146.2429</v>
      </c>
      <c r="V21" s="869" t="s">
        <v>594</v>
      </c>
      <c r="W21" s="865" t="s">
        <v>619</v>
      </c>
      <c r="X21" s="865" t="s">
        <v>595</v>
      </c>
      <c r="Y21" s="865" t="s">
        <v>602</v>
      </c>
      <c r="Z21" s="865" t="s">
        <v>597</v>
      </c>
      <c r="AA21" s="865" t="s">
        <v>70</v>
      </c>
      <c r="AB21" s="866">
        <v>2004.0</v>
      </c>
      <c r="AC21" s="867">
        <v>101.7587231</v>
      </c>
      <c r="AD21" s="867">
        <v>123.8805093</v>
      </c>
      <c r="AE21" s="868">
        <v>82.56842695</v>
      </c>
      <c r="AG21" s="869" t="s">
        <v>594</v>
      </c>
      <c r="AH21" s="865" t="s">
        <v>619</v>
      </c>
      <c r="AI21" s="865" t="s">
        <v>595</v>
      </c>
      <c r="AJ21" s="865" t="s">
        <v>602</v>
      </c>
      <c r="AK21" s="865" t="s">
        <v>597</v>
      </c>
      <c r="AL21" s="865" t="s">
        <v>598</v>
      </c>
      <c r="AM21" s="866">
        <v>2019.0</v>
      </c>
      <c r="AN21" s="867">
        <v>73.59654882</v>
      </c>
      <c r="AO21" s="867">
        <v>98.80089008</v>
      </c>
      <c r="AP21" s="868">
        <v>53.49934351</v>
      </c>
      <c r="AR21" s="869" t="s">
        <v>594</v>
      </c>
      <c r="AS21" s="865" t="s">
        <v>619</v>
      </c>
      <c r="AT21" s="865" t="s">
        <v>595</v>
      </c>
      <c r="AU21" s="865" t="s">
        <v>602</v>
      </c>
      <c r="AV21" s="865" t="s">
        <v>599</v>
      </c>
      <c r="AW21" s="865" t="s">
        <v>598</v>
      </c>
      <c r="AX21" s="866">
        <v>2019.0</v>
      </c>
      <c r="AY21" s="867">
        <v>4.196874306</v>
      </c>
      <c r="AZ21" s="867">
        <v>29.9807678</v>
      </c>
      <c r="BA21" s="868">
        <v>0.011577087</v>
      </c>
      <c r="BC21" s="869" t="s">
        <v>594</v>
      </c>
      <c r="BD21" s="865" t="s">
        <v>619</v>
      </c>
      <c r="BE21" s="865" t="s">
        <v>595</v>
      </c>
      <c r="BF21" s="865" t="s">
        <v>603</v>
      </c>
      <c r="BG21" s="865" t="s">
        <v>599</v>
      </c>
      <c r="BH21" s="865" t="s">
        <v>70</v>
      </c>
      <c r="BI21" s="866">
        <v>2019.0</v>
      </c>
      <c r="BJ21" s="867">
        <v>8.531625099</v>
      </c>
      <c r="BK21" s="867">
        <v>54.30075624</v>
      </c>
      <c r="BL21" s="868">
        <v>0.018439852</v>
      </c>
      <c r="BN21" s="869" t="s">
        <v>40</v>
      </c>
      <c r="BO21" s="865" t="s">
        <v>619</v>
      </c>
      <c r="BP21" s="865" t="s">
        <v>595</v>
      </c>
      <c r="BQ21" s="865" t="s">
        <v>604</v>
      </c>
      <c r="BR21" s="865" t="s">
        <v>599</v>
      </c>
      <c r="BS21" s="865" t="s">
        <v>598</v>
      </c>
      <c r="BT21" s="866">
        <v>2019.0</v>
      </c>
      <c r="BU21" s="867">
        <v>678.2276522</v>
      </c>
      <c r="BV21" s="867">
        <v>2483.352297</v>
      </c>
      <c r="BW21" s="868">
        <v>0.679612552</v>
      </c>
      <c r="BY21" s="870" t="s">
        <v>594</v>
      </c>
      <c r="BZ21" s="871" t="s">
        <v>636</v>
      </c>
      <c r="CA21" s="871" t="s">
        <v>595</v>
      </c>
      <c r="CB21" s="871" t="s">
        <v>600</v>
      </c>
      <c r="CC21" s="871" t="s">
        <v>597</v>
      </c>
      <c r="CD21" s="871" t="s">
        <v>70</v>
      </c>
      <c r="CE21" s="872">
        <v>2019.0</v>
      </c>
      <c r="CF21" s="873">
        <v>9403.97834660974</v>
      </c>
      <c r="CG21" s="873">
        <v>12943.5975753467</v>
      </c>
      <c r="CH21" s="874">
        <v>6864.61589152659</v>
      </c>
      <c r="CI21" s="530"/>
    </row>
    <row r="22">
      <c r="A22" s="857"/>
      <c r="B22" s="865" t="s">
        <v>590</v>
      </c>
      <c r="C22" s="865" t="s">
        <v>591</v>
      </c>
      <c r="D22" s="865" t="s">
        <v>637</v>
      </c>
      <c r="E22" s="866">
        <v>2019.0</v>
      </c>
      <c r="F22" s="865" t="s">
        <v>593</v>
      </c>
      <c r="G22" s="865" t="s">
        <v>70</v>
      </c>
      <c r="H22" s="867">
        <v>1006125.299</v>
      </c>
      <c r="I22" s="867">
        <v>1105544.952</v>
      </c>
      <c r="J22" s="868">
        <v>903181.6216</v>
      </c>
      <c r="K22" s="50"/>
      <c r="L22" s="869" t="s">
        <v>590</v>
      </c>
      <c r="M22" s="865" t="s">
        <v>591</v>
      </c>
      <c r="N22" s="865" t="s">
        <v>637</v>
      </c>
      <c r="O22" s="866">
        <v>2004.0</v>
      </c>
      <c r="P22" s="865" t="s">
        <v>593</v>
      </c>
      <c r="Q22" s="865" t="s">
        <v>70</v>
      </c>
      <c r="R22" s="867">
        <v>575952.246</v>
      </c>
      <c r="S22" s="867">
        <v>655628.5216</v>
      </c>
      <c r="T22" s="868">
        <v>500313.8577</v>
      </c>
      <c r="V22" s="869" t="s">
        <v>594</v>
      </c>
      <c r="W22" s="865" t="s">
        <v>621</v>
      </c>
      <c r="X22" s="865" t="s">
        <v>595</v>
      </c>
      <c r="Y22" s="865" t="s">
        <v>596</v>
      </c>
      <c r="Z22" s="865" t="s">
        <v>597</v>
      </c>
      <c r="AA22" s="865" t="s">
        <v>70</v>
      </c>
      <c r="AB22" s="866">
        <v>2004.0</v>
      </c>
      <c r="AC22" s="867">
        <v>27617.9961</v>
      </c>
      <c r="AD22" s="867">
        <v>31489.90296</v>
      </c>
      <c r="AE22" s="868">
        <v>23931.90893</v>
      </c>
      <c r="AG22" s="869" t="s">
        <v>594</v>
      </c>
      <c r="AH22" s="865" t="s">
        <v>621</v>
      </c>
      <c r="AI22" s="865" t="s">
        <v>595</v>
      </c>
      <c r="AJ22" s="865" t="s">
        <v>596</v>
      </c>
      <c r="AK22" s="865" t="s">
        <v>597</v>
      </c>
      <c r="AL22" s="865" t="s">
        <v>598</v>
      </c>
      <c r="AM22" s="866">
        <v>2019.0</v>
      </c>
      <c r="AN22" s="867">
        <v>2417.462642</v>
      </c>
      <c r="AO22" s="867">
        <v>3317.819445</v>
      </c>
      <c r="AP22" s="868">
        <v>1724.799344</v>
      </c>
      <c r="AR22" s="869" t="s">
        <v>594</v>
      </c>
      <c r="AS22" s="865" t="s">
        <v>621</v>
      </c>
      <c r="AT22" s="865" t="s">
        <v>595</v>
      </c>
      <c r="AU22" s="865" t="s">
        <v>596</v>
      </c>
      <c r="AV22" s="865" t="s">
        <v>599</v>
      </c>
      <c r="AW22" s="865" t="s">
        <v>598</v>
      </c>
      <c r="AX22" s="866">
        <v>2019.0</v>
      </c>
      <c r="AY22" s="867">
        <v>412.7216846</v>
      </c>
      <c r="AZ22" s="867">
        <v>850.947838</v>
      </c>
      <c r="BA22" s="868">
        <v>136.1830677</v>
      </c>
      <c r="BC22" s="869" t="s">
        <v>594</v>
      </c>
      <c r="BD22" s="865" t="s">
        <v>621</v>
      </c>
      <c r="BE22" s="865" t="s">
        <v>595</v>
      </c>
      <c r="BF22" s="865" t="s">
        <v>600</v>
      </c>
      <c r="BG22" s="865" t="s">
        <v>599</v>
      </c>
      <c r="BH22" s="865" t="s">
        <v>70</v>
      </c>
      <c r="BI22" s="866">
        <v>2019.0</v>
      </c>
      <c r="BJ22" s="867">
        <v>9769.715095</v>
      </c>
      <c r="BK22" s="867">
        <v>18304.55474</v>
      </c>
      <c r="BL22" s="868">
        <v>3688.100045</v>
      </c>
      <c r="BN22" s="869" t="s">
        <v>40</v>
      </c>
      <c r="BO22" s="865" t="s">
        <v>621</v>
      </c>
      <c r="BP22" s="865" t="s">
        <v>595</v>
      </c>
      <c r="BQ22" s="865" t="s">
        <v>600</v>
      </c>
      <c r="BR22" s="865" t="s">
        <v>599</v>
      </c>
      <c r="BS22" s="865" t="s">
        <v>598</v>
      </c>
      <c r="BT22" s="866">
        <v>2019.0</v>
      </c>
      <c r="BU22" s="867">
        <v>66726.5008</v>
      </c>
      <c r="BV22" s="867">
        <v>122204.5791</v>
      </c>
      <c r="BW22" s="868">
        <v>26760.04449</v>
      </c>
      <c r="BY22" s="870" t="s">
        <v>594</v>
      </c>
      <c r="BZ22" s="871" t="s">
        <v>638</v>
      </c>
      <c r="CA22" s="871" t="s">
        <v>595</v>
      </c>
      <c r="CB22" s="871" t="s">
        <v>600</v>
      </c>
      <c r="CC22" s="871" t="s">
        <v>597</v>
      </c>
      <c r="CD22" s="871" t="s">
        <v>70</v>
      </c>
      <c r="CE22" s="872">
        <v>2019.0</v>
      </c>
      <c r="CF22" s="873">
        <v>1425.27685241256</v>
      </c>
      <c r="CG22" s="873">
        <v>1757.06048864078</v>
      </c>
      <c r="CH22" s="874">
        <v>1169.75062004988</v>
      </c>
      <c r="CI22" s="530"/>
    </row>
    <row r="23">
      <c r="A23" s="857"/>
      <c r="B23" s="865" t="s">
        <v>590</v>
      </c>
      <c r="C23" s="865" t="s">
        <v>591</v>
      </c>
      <c r="D23" s="865" t="s">
        <v>639</v>
      </c>
      <c r="E23" s="866">
        <v>2019.0</v>
      </c>
      <c r="F23" s="865" t="s">
        <v>593</v>
      </c>
      <c r="G23" s="865" t="s">
        <v>70</v>
      </c>
      <c r="H23" s="867">
        <v>1.190839292E7</v>
      </c>
      <c r="I23" s="867">
        <v>1.308591306E7</v>
      </c>
      <c r="J23" s="868">
        <v>1.069019857E7</v>
      </c>
      <c r="K23" s="50"/>
      <c r="L23" s="869" t="s">
        <v>590</v>
      </c>
      <c r="M23" s="865" t="s">
        <v>591</v>
      </c>
      <c r="N23" s="865" t="s">
        <v>639</v>
      </c>
      <c r="O23" s="866">
        <v>2004.0</v>
      </c>
      <c r="P23" s="865" t="s">
        <v>593</v>
      </c>
      <c r="Q23" s="865" t="s">
        <v>70</v>
      </c>
      <c r="R23" s="867">
        <v>6485843.309</v>
      </c>
      <c r="S23" s="867">
        <v>7383340.787</v>
      </c>
      <c r="T23" s="868">
        <v>5634197.479</v>
      </c>
      <c r="V23" s="869" t="s">
        <v>594</v>
      </c>
      <c r="W23" s="865" t="s">
        <v>621</v>
      </c>
      <c r="X23" s="865" t="s">
        <v>595</v>
      </c>
      <c r="Y23" s="865" t="s">
        <v>602</v>
      </c>
      <c r="Z23" s="865" t="s">
        <v>597</v>
      </c>
      <c r="AA23" s="865" t="s">
        <v>70</v>
      </c>
      <c r="AB23" s="866">
        <v>2004.0</v>
      </c>
      <c r="AC23" s="867">
        <v>36933.27511</v>
      </c>
      <c r="AD23" s="867">
        <v>43119.49234</v>
      </c>
      <c r="AE23" s="868">
        <v>31123.94759</v>
      </c>
      <c r="AG23" s="869" t="s">
        <v>594</v>
      </c>
      <c r="AH23" s="865" t="s">
        <v>621</v>
      </c>
      <c r="AI23" s="865" t="s">
        <v>595</v>
      </c>
      <c r="AJ23" s="865" t="s">
        <v>602</v>
      </c>
      <c r="AK23" s="865" t="s">
        <v>597</v>
      </c>
      <c r="AL23" s="865" t="s">
        <v>598</v>
      </c>
      <c r="AM23" s="866">
        <v>2019.0</v>
      </c>
      <c r="AN23" s="867">
        <v>689.6209962</v>
      </c>
      <c r="AO23" s="867">
        <v>828.9553754</v>
      </c>
      <c r="AP23" s="868">
        <v>568.8322185</v>
      </c>
      <c r="AR23" s="869" t="s">
        <v>594</v>
      </c>
      <c r="AS23" s="865" t="s">
        <v>621</v>
      </c>
      <c r="AT23" s="865" t="s">
        <v>595</v>
      </c>
      <c r="AU23" s="865" t="s">
        <v>602</v>
      </c>
      <c r="AV23" s="865" t="s">
        <v>599</v>
      </c>
      <c r="AW23" s="865" t="s">
        <v>598</v>
      </c>
      <c r="AX23" s="866">
        <v>2019.0</v>
      </c>
      <c r="AY23" s="867">
        <v>179.1730375</v>
      </c>
      <c r="AZ23" s="867">
        <v>328.8881209</v>
      </c>
      <c r="BA23" s="868">
        <v>68.58691155</v>
      </c>
      <c r="BC23" s="869" t="s">
        <v>594</v>
      </c>
      <c r="BD23" s="865" t="s">
        <v>621</v>
      </c>
      <c r="BE23" s="865" t="s">
        <v>595</v>
      </c>
      <c r="BF23" s="865" t="s">
        <v>603</v>
      </c>
      <c r="BG23" s="865" t="s">
        <v>599</v>
      </c>
      <c r="BH23" s="865" t="s">
        <v>70</v>
      </c>
      <c r="BI23" s="866">
        <v>2019.0</v>
      </c>
      <c r="BJ23" s="867">
        <v>22651.81723</v>
      </c>
      <c r="BK23" s="867">
        <v>43101.86828</v>
      </c>
      <c r="BL23" s="868">
        <v>8401.491063</v>
      </c>
      <c r="BN23" s="869" t="s">
        <v>40</v>
      </c>
      <c r="BO23" s="865" t="s">
        <v>621</v>
      </c>
      <c r="BP23" s="865" t="s">
        <v>595</v>
      </c>
      <c r="BQ23" s="865" t="s">
        <v>604</v>
      </c>
      <c r="BR23" s="865" t="s">
        <v>599</v>
      </c>
      <c r="BS23" s="865" t="s">
        <v>598</v>
      </c>
      <c r="BT23" s="866">
        <v>2019.0</v>
      </c>
      <c r="BU23" s="867">
        <v>27944.26639</v>
      </c>
      <c r="BV23" s="867">
        <v>48179.80962</v>
      </c>
      <c r="BW23" s="868">
        <v>15016.7685</v>
      </c>
      <c r="BY23" s="870" t="s">
        <v>594</v>
      </c>
      <c r="BZ23" s="871" t="s">
        <v>640</v>
      </c>
      <c r="CA23" s="871" t="s">
        <v>595</v>
      </c>
      <c r="CB23" s="871" t="s">
        <v>600</v>
      </c>
      <c r="CC23" s="871" t="s">
        <v>597</v>
      </c>
      <c r="CD23" s="871" t="s">
        <v>70</v>
      </c>
      <c r="CE23" s="872">
        <v>2019.0</v>
      </c>
      <c r="CF23" s="873">
        <v>190172.915683642</v>
      </c>
      <c r="CG23" s="873">
        <v>242574.960959792</v>
      </c>
      <c r="CH23" s="874">
        <v>149788.722632217</v>
      </c>
      <c r="CI23" s="530"/>
    </row>
    <row r="24">
      <c r="A24" s="857"/>
      <c r="B24" s="865" t="s">
        <v>590</v>
      </c>
      <c r="C24" s="865" t="s">
        <v>591</v>
      </c>
      <c r="D24" s="865" t="s">
        <v>641</v>
      </c>
      <c r="E24" s="866">
        <v>2019.0</v>
      </c>
      <c r="F24" s="865" t="s">
        <v>593</v>
      </c>
      <c r="G24" s="865" t="s">
        <v>70</v>
      </c>
      <c r="H24" s="867">
        <v>4841713.784</v>
      </c>
      <c r="I24" s="867">
        <v>5320144.755</v>
      </c>
      <c r="J24" s="868">
        <v>4346324.369</v>
      </c>
      <c r="K24" s="50"/>
      <c r="L24" s="869" t="s">
        <v>590</v>
      </c>
      <c r="M24" s="865" t="s">
        <v>591</v>
      </c>
      <c r="N24" s="865" t="s">
        <v>641</v>
      </c>
      <c r="O24" s="866">
        <v>2004.0</v>
      </c>
      <c r="P24" s="865" t="s">
        <v>593</v>
      </c>
      <c r="Q24" s="865" t="s">
        <v>70</v>
      </c>
      <c r="R24" s="867">
        <v>2604978.939</v>
      </c>
      <c r="S24" s="867">
        <v>2965347.391</v>
      </c>
      <c r="T24" s="868">
        <v>2262873.478</v>
      </c>
      <c r="V24" s="869" t="s">
        <v>594</v>
      </c>
      <c r="W24" s="865" t="s">
        <v>623</v>
      </c>
      <c r="X24" s="865" t="s">
        <v>595</v>
      </c>
      <c r="Y24" s="865" t="s">
        <v>596</v>
      </c>
      <c r="Z24" s="865" t="s">
        <v>597</v>
      </c>
      <c r="AA24" s="865" t="s">
        <v>70</v>
      </c>
      <c r="AB24" s="866">
        <v>2004.0</v>
      </c>
      <c r="AC24" s="867">
        <v>10060.8944</v>
      </c>
      <c r="AD24" s="867">
        <v>11756.75761</v>
      </c>
      <c r="AE24" s="868">
        <v>8570.479363</v>
      </c>
      <c r="AG24" s="869" t="s">
        <v>594</v>
      </c>
      <c r="AH24" s="865" t="s">
        <v>623</v>
      </c>
      <c r="AI24" s="865" t="s">
        <v>595</v>
      </c>
      <c r="AJ24" s="865" t="s">
        <v>596</v>
      </c>
      <c r="AK24" s="865" t="s">
        <v>597</v>
      </c>
      <c r="AL24" s="865" t="s">
        <v>598</v>
      </c>
      <c r="AM24" s="866">
        <v>2019.0</v>
      </c>
      <c r="AN24" s="867">
        <v>4732.249325</v>
      </c>
      <c r="AO24" s="867">
        <v>5975.089583</v>
      </c>
      <c r="AP24" s="868">
        <v>3772.146605</v>
      </c>
      <c r="AR24" s="869" t="s">
        <v>594</v>
      </c>
      <c r="AS24" s="865" t="s">
        <v>623</v>
      </c>
      <c r="AT24" s="865" t="s">
        <v>595</v>
      </c>
      <c r="AU24" s="865" t="s">
        <v>596</v>
      </c>
      <c r="AV24" s="865" t="s">
        <v>599</v>
      </c>
      <c r="AW24" s="865" t="s">
        <v>598</v>
      </c>
      <c r="AX24" s="866">
        <v>2019.0</v>
      </c>
      <c r="AY24" s="867">
        <v>517.8673775</v>
      </c>
      <c r="AZ24" s="867">
        <v>1099.36066</v>
      </c>
      <c r="BA24" s="868">
        <v>193.9417085</v>
      </c>
      <c r="BC24" s="869" t="s">
        <v>594</v>
      </c>
      <c r="BD24" s="865" t="s">
        <v>623</v>
      </c>
      <c r="BE24" s="865" t="s">
        <v>595</v>
      </c>
      <c r="BF24" s="865" t="s">
        <v>600</v>
      </c>
      <c r="BG24" s="865" t="s">
        <v>599</v>
      </c>
      <c r="BH24" s="865" t="s">
        <v>70</v>
      </c>
      <c r="BI24" s="866">
        <v>2019.0</v>
      </c>
      <c r="BJ24" s="867">
        <v>2312.111909</v>
      </c>
      <c r="BK24" s="867">
        <v>4726.32621</v>
      </c>
      <c r="BL24" s="868">
        <v>903.6915642</v>
      </c>
      <c r="BN24" s="869" t="s">
        <v>40</v>
      </c>
      <c r="BO24" s="865" t="s">
        <v>623</v>
      </c>
      <c r="BP24" s="865" t="s">
        <v>595</v>
      </c>
      <c r="BQ24" s="865" t="s">
        <v>600</v>
      </c>
      <c r="BR24" s="865" t="s">
        <v>599</v>
      </c>
      <c r="BS24" s="865" t="s">
        <v>598</v>
      </c>
      <c r="BT24" s="866">
        <v>2019.0</v>
      </c>
      <c r="BU24" s="867">
        <v>95588.96267</v>
      </c>
      <c r="BV24" s="867">
        <v>140347.3356</v>
      </c>
      <c r="BW24" s="868">
        <v>45266.38067</v>
      </c>
      <c r="BY24" s="870" t="s">
        <v>594</v>
      </c>
      <c r="BZ24" s="871" t="s">
        <v>642</v>
      </c>
      <c r="CA24" s="871" t="s">
        <v>595</v>
      </c>
      <c r="CB24" s="871" t="s">
        <v>600</v>
      </c>
      <c r="CC24" s="871" t="s">
        <v>597</v>
      </c>
      <c r="CD24" s="871" t="s">
        <v>70</v>
      </c>
      <c r="CE24" s="872">
        <v>2019.0</v>
      </c>
      <c r="CF24" s="873">
        <v>1295.45394739209</v>
      </c>
      <c r="CG24" s="873">
        <v>1812.28947152339</v>
      </c>
      <c r="CH24" s="874">
        <v>927.877639637656</v>
      </c>
      <c r="CI24" s="530"/>
    </row>
    <row r="25">
      <c r="A25" s="857"/>
      <c r="B25" s="865" t="s">
        <v>590</v>
      </c>
      <c r="C25" s="865" t="s">
        <v>591</v>
      </c>
      <c r="D25" s="865" t="s">
        <v>643</v>
      </c>
      <c r="E25" s="866">
        <v>2019.0</v>
      </c>
      <c r="F25" s="865" t="s">
        <v>593</v>
      </c>
      <c r="G25" s="865" t="s">
        <v>70</v>
      </c>
      <c r="H25" s="867">
        <v>819433.9589</v>
      </c>
      <c r="I25" s="867">
        <v>900405.8217</v>
      </c>
      <c r="J25" s="868">
        <v>735591.9708</v>
      </c>
      <c r="K25" s="50"/>
      <c r="L25" s="869" t="s">
        <v>590</v>
      </c>
      <c r="M25" s="865" t="s">
        <v>591</v>
      </c>
      <c r="N25" s="865" t="s">
        <v>643</v>
      </c>
      <c r="O25" s="866">
        <v>2004.0</v>
      </c>
      <c r="P25" s="865" t="s">
        <v>593</v>
      </c>
      <c r="Q25" s="865" t="s">
        <v>70</v>
      </c>
      <c r="R25" s="867">
        <v>461747.0876</v>
      </c>
      <c r="S25" s="867">
        <v>525624.4115</v>
      </c>
      <c r="T25" s="868">
        <v>401106.9811</v>
      </c>
      <c r="V25" s="869" t="s">
        <v>594</v>
      </c>
      <c r="W25" s="865" t="s">
        <v>623</v>
      </c>
      <c r="X25" s="865" t="s">
        <v>595</v>
      </c>
      <c r="Y25" s="865" t="s">
        <v>602</v>
      </c>
      <c r="Z25" s="865" t="s">
        <v>597</v>
      </c>
      <c r="AA25" s="865" t="s">
        <v>70</v>
      </c>
      <c r="AB25" s="866">
        <v>2004.0</v>
      </c>
      <c r="AC25" s="867">
        <v>11348.39006</v>
      </c>
      <c r="AD25" s="867">
        <v>13061.13008</v>
      </c>
      <c r="AE25" s="868">
        <v>9839.569224</v>
      </c>
      <c r="AG25" s="869" t="s">
        <v>594</v>
      </c>
      <c r="AH25" s="865" t="s">
        <v>623</v>
      </c>
      <c r="AI25" s="865" t="s">
        <v>595</v>
      </c>
      <c r="AJ25" s="865" t="s">
        <v>602</v>
      </c>
      <c r="AK25" s="865" t="s">
        <v>597</v>
      </c>
      <c r="AL25" s="865" t="s">
        <v>598</v>
      </c>
      <c r="AM25" s="866">
        <v>2019.0</v>
      </c>
      <c r="AN25" s="867">
        <v>1243.093395</v>
      </c>
      <c r="AO25" s="867">
        <v>1523.985777</v>
      </c>
      <c r="AP25" s="868">
        <v>1008.120296</v>
      </c>
      <c r="AR25" s="869" t="s">
        <v>594</v>
      </c>
      <c r="AS25" s="865" t="s">
        <v>623</v>
      </c>
      <c r="AT25" s="865" t="s">
        <v>595</v>
      </c>
      <c r="AU25" s="865" t="s">
        <v>602</v>
      </c>
      <c r="AV25" s="865" t="s">
        <v>599</v>
      </c>
      <c r="AW25" s="865" t="s">
        <v>598</v>
      </c>
      <c r="AX25" s="866">
        <v>2019.0</v>
      </c>
      <c r="AY25" s="867">
        <v>191.2084049</v>
      </c>
      <c r="AZ25" s="867">
        <v>379.5427101</v>
      </c>
      <c r="BA25" s="868">
        <v>74.64124388</v>
      </c>
      <c r="BC25" s="869" t="s">
        <v>594</v>
      </c>
      <c r="BD25" s="865" t="s">
        <v>623</v>
      </c>
      <c r="BE25" s="865" t="s">
        <v>595</v>
      </c>
      <c r="BF25" s="865" t="s">
        <v>603</v>
      </c>
      <c r="BG25" s="865" t="s">
        <v>599</v>
      </c>
      <c r="BH25" s="865" t="s">
        <v>70</v>
      </c>
      <c r="BI25" s="866">
        <v>2019.0</v>
      </c>
      <c r="BJ25" s="867">
        <v>4247.591951</v>
      </c>
      <c r="BK25" s="867">
        <v>9040.323851</v>
      </c>
      <c r="BL25" s="868">
        <v>1707.050673</v>
      </c>
      <c r="BN25" s="869" t="s">
        <v>40</v>
      </c>
      <c r="BO25" s="865" t="s">
        <v>623</v>
      </c>
      <c r="BP25" s="865" t="s">
        <v>595</v>
      </c>
      <c r="BQ25" s="865" t="s">
        <v>604</v>
      </c>
      <c r="BR25" s="865" t="s">
        <v>599</v>
      </c>
      <c r="BS25" s="865" t="s">
        <v>598</v>
      </c>
      <c r="BT25" s="866">
        <v>2019.0</v>
      </c>
      <c r="BU25" s="867">
        <v>38701.09319</v>
      </c>
      <c r="BV25" s="867">
        <v>68331.53771</v>
      </c>
      <c r="BW25" s="868">
        <v>19176.04463</v>
      </c>
      <c r="BY25" s="870" t="s">
        <v>594</v>
      </c>
      <c r="BZ25" s="871" t="s">
        <v>644</v>
      </c>
      <c r="CA25" s="871" t="s">
        <v>595</v>
      </c>
      <c r="CB25" s="871" t="s">
        <v>600</v>
      </c>
      <c r="CC25" s="871" t="s">
        <v>597</v>
      </c>
      <c r="CD25" s="871" t="s">
        <v>70</v>
      </c>
      <c r="CE25" s="872">
        <v>2019.0</v>
      </c>
      <c r="CF25" s="873">
        <v>2708.48956668875</v>
      </c>
      <c r="CG25" s="873">
        <v>3680.23078976866</v>
      </c>
      <c r="CH25" s="874">
        <v>1989.42275491529</v>
      </c>
      <c r="CI25" s="530"/>
    </row>
    <row r="26">
      <c r="A26" s="857"/>
      <c r="B26" s="865" t="s">
        <v>590</v>
      </c>
      <c r="C26" s="865" t="s">
        <v>591</v>
      </c>
      <c r="D26" s="865" t="s">
        <v>645</v>
      </c>
      <c r="E26" s="866">
        <v>2019.0</v>
      </c>
      <c r="F26" s="865" t="s">
        <v>593</v>
      </c>
      <c r="G26" s="865" t="s">
        <v>70</v>
      </c>
      <c r="H26" s="867">
        <v>2243846.958</v>
      </c>
      <c r="I26" s="867">
        <v>2465571.315</v>
      </c>
      <c r="J26" s="868">
        <v>2014263.368</v>
      </c>
      <c r="K26" s="50"/>
      <c r="L26" s="869" t="s">
        <v>590</v>
      </c>
      <c r="M26" s="865" t="s">
        <v>591</v>
      </c>
      <c r="N26" s="865" t="s">
        <v>645</v>
      </c>
      <c r="O26" s="866">
        <v>2004.0</v>
      </c>
      <c r="P26" s="865" t="s">
        <v>593</v>
      </c>
      <c r="Q26" s="865" t="s">
        <v>70</v>
      </c>
      <c r="R26" s="867">
        <v>1156699.447</v>
      </c>
      <c r="S26" s="867">
        <v>1316715.324</v>
      </c>
      <c r="T26" s="868">
        <v>1004792.961</v>
      </c>
      <c r="V26" s="869" t="s">
        <v>594</v>
      </c>
      <c r="W26" s="865" t="s">
        <v>118</v>
      </c>
      <c r="X26" s="865" t="s">
        <v>595</v>
      </c>
      <c r="Y26" s="865" t="s">
        <v>596</v>
      </c>
      <c r="Z26" s="865" t="s">
        <v>597</v>
      </c>
      <c r="AA26" s="865" t="s">
        <v>70</v>
      </c>
      <c r="AB26" s="866">
        <v>2004.0</v>
      </c>
      <c r="AC26" s="867">
        <v>26733.32434</v>
      </c>
      <c r="AD26" s="867">
        <v>30025.65703</v>
      </c>
      <c r="AE26" s="868">
        <v>23368.30729</v>
      </c>
      <c r="AG26" s="869" t="s">
        <v>594</v>
      </c>
      <c r="AH26" s="865" t="s">
        <v>118</v>
      </c>
      <c r="AI26" s="865" t="s">
        <v>595</v>
      </c>
      <c r="AJ26" s="865" t="s">
        <v>596</v>
      </c>
      <c r="AK26" s="865" t="s">
        <v>597</v>
      </c>
      <c r="AL26" s="865" t="s">
        <v>598</v>
      </c>
      <c r="AM26" s="866">
        <v>2019.0</v>
      </c>
      <c r="AN26" s="867">
        <v>4029.101182</v>
      </c>
      <c r="AO26" s="867">
        <v>4936.375483</v>
      </c>
      <c r="AP26" s="868">
        <v>3309.906951</v>
      </c>
      <c r="AR26" s="869" t="s">
        <v>594</v>
      </c>
      <c r="AS26" s="865" t="s">
        <v>118</v>
      </c>
      <c r="AT26" s="865" t="s">
        <v>595</v>
      </c>
      <c r="AU26" s="865" t="s">
        <v>596</v>
      </c>
      <c r="AV26" s="865" t="s">
        <v>599</v>
      </c>
      <c r="AW26" s="865" t="s">
        <v>598</v>
      </c>
      <c r="AX26" s="866">
        <v>2019.0</v>
      </c>
      <c r="AY26" s="867">
        <v>206.3169556</v>
      </c>
      <c r="AZ26" s="867">
        <v>507.0687401</v>
      </c>
      <c r="BA26" s="868">
        <v>59.22770284</v>
      </c>
      <c r="BC26" s="869" t="s">
        <v>594</v>
      </c>
      <c r="BD26" s="865" t="s">
        <v>118</v>
      </c>
      <c r="BE26" s="865" t="s">
        <v>595</v>
      </c>
      <c r="BF26" s="865" t="s">
        <v>600</v>
      </c>
      <c r="BG26" s="865" t="s">
        <v>599</v>
      </c>
      <c r="BH26" s="865" t="s">
        <v>70</v>
      </c>
      <c r="BI26" s="866">
        <v>2019.0</v>
      </c>
      <c r="BJ26" s="867">
        <v>4525.732446</v>
      </c>
      <c r="BK26" s="867">
        <v>10947.37273</v>
      </c>
      <c r="BL26" s="868">
        <v>1333.297805</v>
      </c>
      <c r="BN26" s="869" t="s">
        <v>40</v>
      </c>
      <c r="BO26" s="865" t="s">
        <v>118</v>
      </c>
      <c r="BP26" s="865" t="s">
        <v>595</v>
      </c>
      <c r="BQ26" s="865" t="s">
        <v>600</v>
      </c>
      <c r="BR26" s="865" t="s">
        <v>599</v>
      </c>
      <c r="BS26" s="865" t="s">
        <v>598</v>
      </c>
      <c r="BT26" s="866">
        <v>2019.0</v>
      </c>
      <c r="BU26" s="867">
        <v>34554.49623</v>
      </c>
      <c r="BV26" s="867">
        <v>75650.14447</v>
      </c>
      <c r="BW26" s="868">
        <v>13209.19193</v>
      </c>
      <c r="BY26" s="870" t="s">
        <v>594</v>
      </c>
      <c r="BZ26" s="871" t="s">
        <v>646</v>
      </c>
      <c r="CA26" s="871" t="s">
        <v>595</v>
      </c>
      <c r="CB26" s="871" t="s">
        <v>600</v>
      </c>
      <c r="CC26" s="871" t="s">
        <v>597</v>
      </c>
      <c r="CD26" s="871" t="s">
        <v>70</v>
      </c>
      <c r="CE26" s="872">
        <v>2019.0</v>
      </c>
      <c r="CF26" s="873">
        <v>44320.4685992539</v>
      </c>
      <c r="CG26" s="873">
        <v>58441.5905119101</v>
      </c>
      <c r="CH26" s="874">
        <v>33281.65013</v>
      </c>
      <c r="CI26" s="530"/>
    </row>
    <row r="27">
      <c r="A27" s="857"/>
      <c r="B27" s="865" t="s">
        <v>590</v>
      </c>
      <c r="C27" s="865" t="s">
        <v>591</v>
      </c>
      <c r="D27" s="865" t="s">
        <v>604</v>
      </c>
      <c r="E27" s="866">
        <v>2019.0</v>
      </c>
      <c r="F27" s="865" t="s">
        <v>593</v>
      </c>
      <c r="G27" s="865" t="s">
        <v>70</v>
      </c>
      <c r="H27" s="867">
        <v>8840185.714</v>
      </c>
      <c r="I27" s="867">
        <v>9713723.229</v>
      </c>
      <c r="J27" s="868">
        <v>7935684.823</v>
      </c>
      <c r="K27" s="50"/>
      <c r="L27" s="869" t="s">
        <v>590</v>
      </c>
      <c r="M27" s="865" t="s">
        <v>591</v>
      </c>
      <c r="N27" s="865" t="s">
        <v>604</v>
      </c>
      <c r="O27" s="866">
        <v>2004.0</v>
      </c>
      <c r="P27" s="865" t="s">
        <v>593</v>
      </c>
      <c r="Q27" s="865" t="s">
        <v>70</v>
      </c>
      <c r="R27" s="867">
        <v>4683646.637</v>
      </c>
      <c r="S27" s="867">
        <v>5331574.521</v>
      </c>
      <c r="T27" s="868">
        <v>4068554.873</v>
      </c>
      <c r="V27" s="869" t="s">
        <v>594</v>
      </c>
      <c r="W27" s="865" t="s">
        <v>118</v>
      </c>
      <c r="X27" s="865" t="s">
        <v>595</v>
      </c>
      <c r="Y27" s="865" t="s">
        <v>602</v>
      </c>
      <c r="Z27" s="865" t="s">
        <v>597</v>
      </c>
      <c r="AA27" s="865" t="s">
        <v>70</v>
      </c>
      <c r="AB27" s="866">
        <v>2004.0</v>
      </c>
      <c r="AC27" s="867">
        <v>35567.00817</v>
      </c>
      <c r="AD27" s="867">
        <v>40740.13655</v>
      </c>
      <c r="AE27" s="868">
        <v>30598.79581</v>
      </c>
      <c r="AG27" s="869" t="s">
        <v>594</v>
      </c>
      <c r="AH27" s="865" t="s">
        <v>118</v>
      </c>
      <c r="AI27" s="865" t="s">
        <v>595</v>
      </c>
      <c r="AJ27" s="865" t="s">
        <v>602</v>
      </c>
      <c r="AK27" s="865" t="s">
        <v>597</v>
      </c>
      <c r="AL27" s="865" t="s">
        <v>598</v>
      </c>
      <c r="AM27" s="866">
        <v>2019.0</v>
      </c>
      <c r="AN27" s="867">
        <v>1263.835952</v>
      </c>
      <c r="AO27" s="867">
        <v>1537.834105</v>
      </c>
      <c r="AP27" s="868">
        <v>1048.264869</v>
      </c>
      <c r="AR27" s="869" t="s">
        <v>594</v>
      </c>
      <c r="AS27" s="865" t="s">
        <v>118</v>
      </c>
      <c r="AT27" s="865" t="s">
        <v>595</v>
      </c>
      <c r="AU27" s="865" t="s">
        <v>602</v>
      </c>
      <c r="AV27" s="865" t="s">
        <v>599</v>
      </c>
      <c r="AW27" s="865" t="s">
        <v>598</v>
      </c>
      <c r="AX27" s="866">
        <v>2019.0</v>
      </c>
      <c r="AY27" s="867">
        <v>112.3965653</v>
      </c>
      <c r="AZ27" s="867">
        <v>272.3409766</v>
      </c>
      <c r="BA27" s="868">
        <v>32.78919032</v>
      </c>
      <c r="BC27" s="869" t="s">
        <v>594</v>
      </c>
      <c r="BD27" s="865" t="s">
        <v>118</v>
      </c>
      <c r="BE27" s="865" t="s">
        <v>595</v>
      </c>
      <c r="BF27" s="865" t="s">
        <v>603</v>
      </c>
      <c r="BG27" s="865" t="s">
        <v>599</v>
      </c>
      <c r="BH27" s="865" t="s">
        <v>70</v>
      </c>
      <c r="BI27" s="866">
        <v>2019.0</v>
      </c>
      <c r="BJ27" s="867">
        <v>7194.19944</v>
      </c>
      <c r="BK27" s="867">
        <v>16574.18756</v>
      </c>
      <c r="BL27" s="868">
        <v>2159.219595</v>
      </c>
      <c r="BN27" s="869" t="s">
        <v>40</v>
      </c>
      <c r="BO27" s="865" t="s">
        <v>118</v>
      </c>
      <c r="BP27" s="865" t="s">
        <v>595</v>
      </c>
      <c r="BQ27" s="865" t="s">
        <v>604</v>
      </c>
      <c r="BR27" s="865" t="s">
        <v>599</v>
      </c>
      <c r="BS27" s="865" t="s">
        <v>598</v>
      </c>
      <c r="BT27" s="866">
        <v>2019.0</v>
      </c>
      <c r="BU27" s="867">
        <v>16222.6214</v>
      </c>
      <c r="BV27" s="867">
        <v>38103.80788</v>
      </c>
      <c r="BW27" s="868">
        <v>7414.998591</v>
      </c>
      <c r="BY27" s="870" t="s">
        <v>594</v>
      </c>
      <c r="BZ27" s="871" t="s">
        <v>120</v>
      </c>
      <c r="CA27" s="871" t="s">
        <v>595</v>
      </c>
      <c r="CB27" s="871" t="s">
        <v>600</v>
      </c>
      <c r="CC27" s="871" t="s">
        <v>597</v>
      </c>
      <c r="CD27" s="871" t="s">
        <v>70</v>
      </c>
      <c r="CE27" s="872">
        <v>2019.0</v>
      </c>
      <c r="CF27" s="873">
        <v>45406.1747080327</v>
      </c>
      <c r="CG27" s="873">
        <v>55766.7779551677</v>
      </c>
      <c r="CH27" s="874">
        <v>36375.1744107547</v>
      </c>
      <c r="CI27" s="530"/>
    </row>
    <row r="28">
      <c r="A28" s="857"/>
      <c r="B28" s="865" t="s">
        <v>590</v>
      </c>
      <c r="C28" s="865" t="s">
        <v>591</v>
      </c>
      <c r="D28" s="865" t="s">
        <v>647</v>
      </c>
      <c r="E28" s="866">
        <v>2019.0</v>
      </c>
      <c r="F28" s="865" t="s">
        <v>593</v>
      </c>
      <c r="G28" s="865" t="s">
        <v>70</v>
      </c>
      <c r="H28" s="867">
        <v>1802488.208</v>
      </c>
      <c r="I28" s="867">
        <v>1980721.003</v>
      </c>
      <c r="J28" s="868">
        <v>1618098.847</v>
      </c>
      <c r="K28" s="50"/>
      <c r="L28" s="869" t="s">
        <v>590</v>
      </c>
      <c r="M28" s="865" t="s">
        <v>591</v>
      </c>
      <c r="N28" s="865" t="s">
        <v>647</v>
      </c>
      <c r="O28" s="866">
        <v>2004.0</v>
      </c>
      <c r="P28" s="865" t="s">
        <v>593</v>
      </c>
      <c r="Q28" s="865" t="s">
        <v>70</v>
      </c>
      <c r="R28" s="867">
        <v>899905.7318</v>
      </c>
      <c r="S28" s="867">
        <v>1024432.811</v>
      </c>
      <c r="T28" s="868">
        <v>781740.5329</v>
      </c>
      <c r="V28" s="869" t="s">
        <v>594</v>
      </c>
      <c r="W28" s="865" t="s">
        <v>626</v>
      </c>
      <c r="X28" s="865" t="s">
        <v>595</v>
      </c>
      <c r="Y28" s="865" t="s">
        <v>596</v>
      </c>
      <c r="Z28" s="865" t="s">
        <v>597</v>
      </c>
      <c r="AA28" s="865" t="s">
        <v>70</v>
      </c>
      <c r="AB28" s="866">
        <v>2004.0</v>
      </c>
      <c r="AC28" s="867">
        <v>549.5236109</v>
      </c>
      <c r="AD28" s="867">
        <v>672.0342942</v>
      </c>
      <c r="AE28" s="868">
        <v>436.6390601</v>
      </c>
      <c r="AG28" s="869" t="s">
        <v>594</v>
      </c>
      <c r="AH28" s="865" t="s">
        <v>626</v>
      </c>
      <c r="AI28" s="865" t="s">
        <v>595</v>
      </c>
      <c r="AJ28" s="865" t="s">
        <v>596</v>
      </c>
      <c r="AK28" s="865" t="s">
        <v>597</v>
      </c>
      <c r="AL28" s="865" t="s">
        <v>598</v>
      </c>
      <c r="AM28" s="866">
        <v>2019.0</v>
      </c>
      <c r="AN28" s="867">
        <v>1423.892458</v>
      </c>
      <c r="AO28" s="867">
        <v>1770.801071</v>
      </c>
      <c r="AP28" s="868">
        <v>1131.285013</v>
      </c>
      <c r="AR28" s="869" t="s">
        <v>594</v>
      </c>
      <c r="AS28" s="865" t="s">
        <v>626</v>
      </c>
      <c r="AT28" s="865" t="s">
        <v>595</v>
      </c>
      <c r="AU28" s="865" t="s">
        <v>596</v>
      </c>
      <c r="AV28" s="865" t="s">
        <v>599</v>
      </c>
      <c r="AW28" s="865" t="s">
        <v>598</v>
      </c>
      <c r="AX28" s="866">
        <v>2019.0</v>
      </c>
      <c r="AY28" s="867">
        <v>41.35787188</v>
      </c>
      <c r="AZ28" s="867">
        <v>216.8926086</v>
      </c>
      <c r="BA28" s="868">
        <v>0.826992789</v>
      </c>
      <c r="BC28" s="869" t="s">
        <v>594</v>
      </c>
      <c r="BD28" s="865" t="s">
        <v>626</v>
      </c>
      <c r="BE28" s="865" t="s">
        <v>595</v>
      </c>
      <c r="BF28" s="865" t="s">
        <v>600</v>
      </c>
      <c r="BG28" s="865" t="s">
        <v>599</v>
      </c>
      <c r="BH28" s="865" t="s">
        <v>70</v>
      </c>
      <c r="BI28" s="866">
        <v>2019.0</v>
      </c>
      <c r="BJ28" s="867">
        <v>14.70469525</v>
      </c>
      <c r="BK28" s="867">
        <v>72.68216843</v>
      </c>
      <c r="BL28" s="868">
        <v>0.297076129</v>
      </c>
      <c r="BN28" s="869" t="s">
        <v>40</v>
      </c>
      <c r="BO28" s="865" t="s">
        <v>626</v>
      </c>
      <c r="BP28" s="865" t="s">
        <v>595</v>
      </c>
      <c r="BQ28" s="865" t="s">
        <v>600</v>
      </c>
      <c r="BR28" s="865" t="s">
        <v>599</v>
      </c>
      <c r="BS28" s="865" t="s">
        <v>598</v>
      </c>
      <c r="BT28" s="866">
        <v>2019.0</v>
      </c>
      <c r="BU28" s="867">
        <v>13855.88774</v>
      </c>
      <c r="BV28" s="867">
        <v>121586.3325</v>
      </c>
      <c r="BW28" s="868">
        <v>68.09590771</v>
      </c>
      <c r="BY28" s="870" t="s">
        <v>594</v>
      </c>
      <c r="BZ28" s="871" t="s">
        <v>648</v>
      </c>
      <c r="CA28" s="871" t="s">
        <v>595</v>
      </c>
      <c r="CB28" s="871" t="s">
        <v>600</v>
      </c>
      <c r="CC28" s="871" t="s">
        <v>597</v>
      </c>
      <c r="CD28" s="871" t="s">
        <v>70</v>
      </c>
      <c r="CE28" s="872">
        <v>2019.0</v>
      </c>
      <c r="CF28" s="873">
        <v>4429.58872675706</v>
      </c>
      <c r="CG28" s="873">
        <v>5415.47587438953</v>
      </c>
      <c r="CH28" s="874">
        <v>3538.35347842577</v>
      </c>
      <c r="CI28" s="530"/>
    </row>
    <row r="29">
      <c r="A29" s="857"/>
      <c r="B29" s="865" t="s">
        <v>590</v>
      </c>
      <c r="C29" s="865" t="s">
        <v>591</v>
      </c>
      <c r="D29" s="865" t="s">
        <v>649</v>
      </c>
      <c r="E29" s="866">
        <v>2019.0</v>
      </c>
      <c r="F29" s="865" t="s">
        <v>593</v>
      </c>
      <c r="G29" s="865" t="s">
        <v>70</v>
      </c>
      <c r="H29" s="867">
        <v>648639.2197</v>
      </c>
      <c r="I29" s="867">
        <v>712734.1053</v>
      </c>
      <c r="J29" s="868">
        <v>582272.4293</v>
      </c>
      <c r="K29" s="50"/>
      <c r="L29" s="869" t="s">
        <v>590</v>
      </c>
      <c r="M29" s="865" t="s">
        <v>591</v>
      </c>
      <c r="N29" s="865" t="s">
        <v>649</v>
      </c>
      <c r="O29" s="866">
        <v>2004.0</v>
      </c>
      <c r="P29" s="865" t="s">
        <v>593</v>
      </c>
      <c r="Q29" s="865" t="s">
        <v>70</v>
      </c>
      <c r="R29" s="867">
        <v>283422.1337</v>
      </c>
      <c r="S29" s="867">
        <v>322630.2801</v>
      </c>
      <c r="T29" s="868">
        <v>246201.0037</v>
      </c>
      <c r="V29" s="869" t="s">
        <v>594</v>
      </c>
      <c r="W29" s="865" t="s">
        <v>626</v>
      </c>
      <c r="X29" s="865" t="s">
        <v>595</v>
      </c>
      <c r="Y29" s="865" t="s">
        <v>602</v>
      </c>
      <c r="Z29" s="865" t="s">
        <v>597</v>
      </c>
      <c r="AA29" s="865" t="s">
        <v>70</v>
      </c>
      <c r="AB29" s="866">
        <v>2004.0</v>
      </c>
      <c r="AC29" s="867">
        <v>415.483041</v>
      </c>
      <c r="AD29" s="867">
        <v>509.4922457</v>
      </c>
      <c r="AE29" s="868">
        <v>328.5691851</v>
      </c>
      <c r="AG29" s="869" t="s">
        <v>594</v>
      </c>
      <c r="AH29" s="865" t="s">
        <v>626</v>
      </c>
      <c r="AI29" s="865" t="s">
        <v>595</v>
      </c>
      <c r="AJ29" s="865" t="s">
        <v>602</v>
      </c>
      <c r="AK29" s="865" t="s">
        <v>597</v>
      </c>
      <c r="AL29" s="865" t="s">
        <v>598</v>
      </c>
      <c r="AM29" s="866">
        <v>2019.0</v>
      </c>
      <c r="AN29" s="867">
        <v>253.7753735</v>
      </c>
      <c r="AO29" s="867">
        <v>313.2604814</v>
      </c>
      <c r="AP29" s="868">
        <v>204.586906</v>
      </c>
      <c r="AR29" s="869" t="s">
        <v>594</v>
      </c>
      <c r="AS29" s="865" t="s">
        <v>626</v>
      </c>
      <c r="AT29" s="865" t="s">
        <v>595</v>
      </c>
      <c r="AU29" s="865" t="s">
        <v>602</v>
      </c>
      <c r="AV29" s="865" t="s">
        <v>599</v>
      </c>
      <c r="AW29" s="865" t="s">
        <v>598</v>
      </c>
      <c r="AX29" s="866">
        <v>2019.0</v>
      </c>
      <c r="AY29" s="867">
        <v>13.30875677</v>
      </c>
      <c r="AZ29" s="867">
        <v>62.21322849</v>
      </c>
      <c r="BA29" s="868">
        <v>0.294631659</v>
      </c>
      <c r="BC29" s="869" t="s">
        <v>594</v>
      </c>
      <c r="BD29" s="865" t="s">
        <v>626</v>
      </c>
      <c r="BE29" s="865" t="s">
        <v>595</v>
      </c>
      <c r="BF29" s="865" t="s">
        <v>603</v>
      </c>
      <c r="BG29" s="865" t="s">
        <v>599</v>
      </c>
      <c r="BH29" s="865" t="s">
        <v>70</v>
      </c>
      <c r="BI29" s="866">
        <v>2019.0</v>
      </c>
      <c r="BJ29" s="867">
        <v>174.4931827</v>
      </c>
      <c r="BK29" s="867">
        <v>792.5637452</v>
      </c>
      <c r="BL29" s="868">
        <v>4.313614776</v>
      </c>
      <c r="BN29" s="869" t="s">
        <v>40</v>
      </c>
      <c r="BO29" s="865" t="s">
        <v>626</v>
      </c>
      <c r="BP29" s="865" t="s">
        <v>595</v>
      </c>
      <c r="BQ29" s="865" t="s">
        <v>604</v>
      </c>
      <c r="BR29" s="865" t="s">
        <v>599</v>
      </c>
      <c r="BS29" s="865" t="s">
        <v>598</v>
      </c>
      <c r="BT29" s="866">
        <v>2019.0</v>
      </c>
      <c r="BU29" s="867">
        <v>8855.730886</v>
      </c>
      <c r="BV29" s="867">
        <v>66790.64716</v>
      </c>
      <c r="BW29" s="868">
        <v>127.0132482</v>
      </c>
      <c r="BY29" s="870" t="s">
        <v>594</v>
      </c>
      <c r="BZ29" s="871" t="s">
        <v>650</v>
      </c>
      <c r="CA29" s="871" t="s">
        <v>595</v>
      </c>
      <c r="CB29" s="871" t="s">
        <v>600</v>
      </c>
      <c r="CC29" s="871" t="s">
        <v>597</v>
      </c>
      <c r="CD29" s="871" t="s">
        <v>70</v>
      </c>
      <c r="CE29" s="872">
        <v>2019.0</v>
      </c>
      <c r="CF29" s="873">
        <v>840402.135726748</v>
      </c>
      <c r="CG29" s="873">
        <v>1037258.1088926</v>
      </c>
      <c r="CH29" s="874">
        <v>691899.711998309</v>
      </c>
      <c r="CI29" s="530"/>
    </row>
    <row r="30">
      <c r="A30" s="857"/>
      <c r="B30" s="865" t="s">
        <v>590</v>
      </c>
      <c r="C30" s="865" t="s">
        <v>591</v>
      </c>
      <c r="D30" s="865" t="s">
        <v>651</v>
      </c>
      <c r="E30" s="866">
        <v>2019.0</v>
      </c>
      <c r="F30" s="865" t="s">
        <v>593</v>
      </c>
      <c r="G30" s="865" t="s">
        <v>70</v>
      </c>
      <c r="H30" s="867">
        <v>452695.5068</v>
      </c>
      <c r="I30" s="867">
        <v>497428.3349</v>
      </c>
      <c r="J30" s="868">
        <v>406377.0806</v>
      </c>
      <c r="K30" s="50"/>
      <c r="L30" s="869" t="s">
        <v>590</v>
      </c>
      <c r="M30" s="865" t="s">
        <v>591</v>
      </c>
      <c r="N30" s="865" t="s">
        <v>651</v>
      </c>
      <c r="O30" s="866">
        <v>2004.0</v>
      </c>
      <c r="P30" s="865" t="s">
        <v>593</v>
      </c>
      <c r="Q30" s="865" t="s">
        <v>70</v>
      </c>
      <c r="R30" s="867">
        <v>250223.0235</v>
      </c>
      <c r="S30" s="867">
        <v>284838.4603</v>
      </c>
      <c r="T30" s="868">
        <v>217361.8508</v>
      </c>
      <c r="V30" s="869" t="s">
        <v>594</v>
      </c>
      <c r="W30" s="865" t="s">
        <v>628</v>
      </c>
      <c r="X30" s="865" t="s">
        <v>595</v>
      </c>
      <c r="Y30" s="865" t="s">
        <v>596</v>
      </c>
      <c r="Z30" s="865" t="s">
        <v>597</v>
      </c>
      <c r="AA30" s="865" t="s">
        <v>70</v>
      </c>
      <c r="AB30" s="866">
        <v>2004.0</v>
      </c>
      <c r="AC30" s="867">
        <v>3456.607809</v>
      </c>
      <c r="AD30" s="867">
        <v>3931.918529</v>
      </c>
      <c r="AE30" s="868">
        <v>3037.753258</v>
      </c>
      <c r="AG30" s="869" t="s">
        <v>594</v>
      </c>
      <c r="AH30" s="865" t="s">
        <v>628</v>
      </c>
      <c r="AI30" s="865" t="s">
        <v>595</v>
      </c>
      <c r="AJ30" s="865" t="s">
        <v>596</v>
      </c>
      <c r="AK30" s="865" t="s">
        <v>597</v>
      </c>
      <c r="AL30" s="865" t="s">
        <v>598</v>
      </c>
      <c r="AM30" s="866">
        <v>2019.0</v>
      </c>
      <c r="AN30" s="867">
        <v>1052.620682</v>
      </c>
      <c r="AO30" s="867">
        <v>1286.438756</v>
      </c>
      <c r="AP30" s="868">
        <v>839.9792471</v>
      </c>
      <c r="AR30" s="869" t="s">
        <v>594</v>
      </c>
      <c r="AS30" s="865" t="s">
        <v>628</v>
      </c>
      <c r="AT30" s="865" t="s">
        <v>595</v>
      </c>
      <c r="AU30" s="865" t="s">
        <v>596</v>
      </c>
      <c r="AV30" s="865" t="s">
        <v>599</v>
      </c>
      <c r="AW30" s="865" t="s">
        <v>598</v>
      </c>
      <c r="AX30" s="866">
        <v>2019.0</v>
      </c>
      <c r="AY30" s="867">
        <v>169.3665612</v>
      </c>
      <c r="AZ30" s="867">
        <v>348.2311847</v>
      </c>
      <c r="BA30" s="868">
        <v>60.02288224</v>
      </c>
      <c r="BC30" s="869" t="s">
        <v>594</v>
      </c>
      <c r="BD30" s="865" t="s">
        <v>628</v>
      </c>
      <c r="BE30" s="865" t="s">
        <v>595</v>
      </c>
      <c r="BF30" s="865" t="s">
        <v>600</v>
      </c>
      <c r="BG30" s="865" t="s">
        <v>599</v>
      </c>
      <c r="BH30" s="865" t="s">
        <v>70</v>
      </c>
      <c r="BI30" s="866">
        <v>2019.0</v>
      </c>
      <c r="BJ30" s="867">
        <v>734.0089401</v>
      </c>
      <c r="BK30" s="867">
        <v>1400.838543</v>
      </c>
      <c r="BL30" s="868">
        <v>261.6125445</v>
      </c>
      <c r="BN30" s="869" t="s">
        <v>40</v>
      </c>
      <c r="BO30" s="865" t="s">
        <v>628</v>
      </c>
      <c r="BP30" s="865" t="s">
        <v>595</v>
      </c>
      <c r="BQ30" s="865" t="s">
        <v>600</v>
      </c>
      <c r="BR30" s="865" t="s">
        <v>599</v>
      </c>
      <c r="BS30" s="865" t="s">
        <v>598</v>
      </c>
      <c r="BT30" s="866">
        <v>2019.0</v>
      </c>
      <c r="BU30" s="867">
        <v>68215.78791</v>
      </c>
      <c r="BV30" s="867">
        <v>119713.2709</v>
      </c>
      <c r="BW30" s="868">
        <v>26479.29752</v>
      </c>
      <c r="BY30" s="870" t="s">
        <v>594</v>
      </c>
      <c r="BZ30" s="871" t="s">
        <v>652</v>
      </c>
      <c r="CA30" s="871" t="s">
        <v>595</v>
      </c>
      <c r="CB30" s="871" t="s">
        <v>600</v>
      </c>
      <c r="CC30" s="871" t="s">
        <v>597</v>
      </c>
      <c r="CD30" s="871" t="s">
        <v>70</v>
      </c>
      <c r="CE30" s="872">
        <v>2019.0</v>
      </c>
      <c r="CF30" s="873">
        <v>53344.7098964756</v>
      </c>
      <c r="CG30" s="873">
        <v>64789.842028248</v>
      </c>
      <c r="CH30" s="874">
        <v>43059.9408301237</v>
      </c>
      <c r="CI30" s="530"/>
    </row>
    <row r="31">
      <c r="A31" s="857"/>
      <c r="B31" s="865" t="s">
        <v>590</v>
      </c>
      <c r="C31" s="865" t="s">
        <v>591</v>
      </c>
      <c r="D31" s="865" t="s">
        <v>653</v>
      </c>
      <c r="E31" s="866">
        <v>2019.0</v>
      </c>
      <c r="F31" s="865" t="s">
        <v>593</v>
      </c>
      <c r="G31" s="865" t="s">
        <v>70</v>
      </c>
      <c r="H31" s="867">
        <v>323078.2726</v>
      </c>
      <c r="I31" s="867">
        <v>355003.0534</v>
      </c>
      <c r="J31" s="868">
        <v>290021.8873</v>
      </c>
      <c r="K31" s="50"/>
      <c r="L31" s="869" t="s">
        <v>590</v>
      </c>
      <c r="M31" s="865" t="s">
        <v>591</v>
      </c>
      <c r="N31" s="865" t="s">
        <v>653</v>
      </c>
      <c r="O31" s="866">
        <v>2004.0</v>
      </c>
      <c r="P31" s="865" t="s">
        <v>593</v>
      </c>
      <c r="Q31" s="865" t="s">
        <v>70</v>
      </c>
      <c r="R31" s="867">
        <v>161307.2024</v>
      </c>
      <c r="S31" s="867">
        <v>183622.1724</v>
      </c>
      <c r="T31" s="868">
        <v>140123.1252</v>
      </c>
      <c r="V31" s="869" t="s">
        <v>594</v>
      </c>
      <c r="W31" s="865" t="s">
        <v>628</v>
      </c>
      <c r="X31" s="865" t="s">
        <v>595</v>
      </c>
      <c r="Y31" s="865" t="s">
        <v>602</v>
      </c>
      <c r="Z31" s="865" t="s">
        <v>597</v>
      </c>
      <c r="AA31" s="865" t="s">
        <v>70</v>
      </c>
      <c r="AB31" s="866">
        <v>2004.0</v>
      </c>
      <c r="AC31" s="867">
        <v>4405.97126</v>
      </c>
      <c r="AD31" s="867">
        <v>5109.567024</v>
      </c>
      <c r="AE31" s="868">
        <v>3755.890844</v>
      </c>
      <c r="AG31" s="869" t="s">
        <v>594</v>
      </c>
      <c r="AH31" s="865" t="s">
        <v>628</v>
      </c>
      <c r="AI31" s="865" t="s">
        <v>595</v>
      </c>
      <c r="AJ31" s="865" t="s">
        <v>602</v>
      </c>
      <c r="AK31" s="865" t="s">
        <v>597</v>
      </c>
      <c r="AL31" s="865" t="s">
        <v>598</v>
      </c>
      <c r="AM31" s="866">
        <v>2019.0</v>
      </c>
      <c r="AN31" s="867">
        <v>309.9555651</v>
      </c>
      <c r="AO31" s="867">
        <v>452.6086188</v>
      </c>
      <c r="AP31" s="868">
        <v>201.8569272</v>
      </c>
      <c r="AR31" s="869" t="s">
        <v>594</v>
      </c>
      <c r="AS31" s="865" t="s">
        <v>628</v>
      </c>
      <c r="AT31" s="865" t="s">
        <v>595</v>
      </c>
      <c r="AU31" s="865" t="s">
        <v>602</v>
      </c>
      <c r="AV31" s="865" t="s">
        <v>599</v>
      </c>
      <c r="AW31" s="865" t="s">
        <v>598</v>
      </c>
      <c r="AX31" s="866">
        <v>2019.0</v>
      </c>
      <c r="AY31" s="867">
        <v>82.61893164</v>
      </c>
      <c r="AZ31" s="867">
        <v>158.4717519</v>
      </c>
      <c r="BA31" s="868">
        <v>29.24672791</v>
      </c>
      <c r="BC31" s="869" t="s">
        <v>594</v>
      </c>
      <c r="BD31" s="865" t="s">
        <v>628</v>
      </c>
      <c r="BE31" s="865" t="s">
        <v>595</v>
      </c>
      <c r="BF31" s="865" t="s">
        <v>603</v>
      </c>
      <c r="BG31" s="865" t="s">
        <v>599</v>
      </c>
      <c r="BH31" s="865" t="s">
        <v>70</v>
      </c>
      <c r="BI31" s="866">
        <v>2019.0</v>
      </c>
      <c r="BJ31" s="867">
        <v>2102.128975</v>
      </c>
      <c r="BK31" s="867">
        <v>4389.465337</v>
      </c>
      <c r="BL31" s="868">
        <v>726.9688919</v>
      </c>
      <c r="BN31" s="869" t="s">
        <v>40</v>
      </c>
      <c r="BO31" s="865" t="s">
        <v>628</v>
      </c>
      <c r="BP31" s="865" t="s">
        <v>595</v>
      </c>
      <c r="BQ31" s="865" t="s">
        <v>604</v>
      </c>
      <c r="BR31" s="865" t="s">
        <v>599</v>
      </c>
      <c r="BS31" s="865" t="s">
        <v>598</v>
      </c>
      <c r="BT31" s="866">
        <v>2019.0</v>
      </c>
      <c r="BU31" s="867">
        <v>28330.38812</v>
      </c>
      <c r="BV31" s="867">
        <v>55372.85894</v>
      </c>
      <c r="BW31" s="868">
        <v>14662.15815</v>
      </c>
      <c r="BY31" s="870" t="s">
        <v>594</v>
      </c>
      <c r="BZ31" s="871" t="s">
        <v>654</v>
      </c>
      <c r="CA31" s="871" t="s">
        <v>595</v>
      </c>
      <c r="CB31" s="871" t="s">
        <v>600</v>
      </c>
      <c r="CC31" s="871" t="s">
        <v>597</v>
      </c>
      <c r="CD31" s="871" t="s">
        <v>70</v>
      </c>
      <c r="CE31" s="872">
        <v>2019.0</v>
      </c>
      <c r="CF31" s="873">
        <v>3027.79543216018</v>
      </c>
      <c r="CG31" s="873">
        <v>3740.19604042954</v>
      </c>
      <c r="CH31" s="874">
        <v>2373.28294916095</v>
      </c>
      <c r="CI31" s="530"/>
    </row>
    <row r="32">
      <c r="A32" s="857"/>
      <c r="B32" s="865" t="s">
        <v>590</v>
      </c>
      <c r="C32" s="865" t="s">
        <v>591</v>
      </c>
      <c r="D32" s="865" t="s">
        <v>655</v>
      </c>
      <c r="E32" s="866">
        <v>2019.0</v>
      </c>
      <c r="F32" s="865" t="s">
        <v>593</v>
      </c>
      <c r="G32" s="865" t="s">
        <v>70</v>
      </c>
      <c r="H32" s="867">
        <v>497124.437</v>
      </c>
      <c r="I32" s="867">
        <v>546280.8628</v>
      </c>
      <c r="J32" s="868">
        <v>446270.0365</v>
      </c>
      <c r="K32" s="50"/>
      <c r="L32" s="869" t="s">
        <v>590</v>
      </c>
      <c r="M32" s="865" t="s">
        <v>591</v>
      </c>
      <c r="N32" s="865" t="s">
        <v>655</v>
      </c>
      <c r="O32" s="866">
        <v>2004.0</v>
      </c>
      <c r="P32" s="865" t="s">
        <v>593</v>
      </c>
      <c r="Q32" s="865" t="s">
        <v>70</v>
      </c>
      <c r="R32" s="867">
        <v>266560.6108</v>
      </c>
      <c r="S32" s="867">
        <v>303446.7124</v>
      </c>
      <c r="T32" s="868">
        <v>231558.9584</v>
      </c>
      <c r="V32" s="869" t="s">
        <v>594</v>
      </c>
      <c r="W32" s="871" t="s">
        <v>119</v>
      </c>
      <c r="X32" s="865" t="s">
        <v>595</v>
      </c>
      <c r="Y32" s="865" t="s">
        <v>596</v>
      </c>
      <c r="Z32" s="865" t="s">
        <v>597</v>
      </c>
      <c r="AA32" s="865" t="s">
        <v>70</v>
      </c>
      <c r="AB32" s="866">
        <v>2004.0</v>
      </c>
      <c r="AC32" s="867">
        <v>120118.9681</v>
      </c>
      <c r="AD32" s="867">
        <v>136733.4</v>
      </c>
      <c r="AE32" s="868">
        <v>104791.8272</v>
      </c>
      <c r="AG32" s="869" t="s">
        <v>594</v>
      </c>
      <c r="AH32" s="871" t="s">
        <v>119</v>
      </c>
      <c r="AI32" s="865" t="s">
        <v>595</v>
      </c>
      <c r="AJ32" s="865" t="s">
        <v>596</v>
      </c>
      <c r="AK32" s="865" t="s">
        <v>597</v>
      </c>
      <c r="AL32" s="865" t="s">
        <v>598</v>
      </c>
      <c r="AM32" s="866">
        <v>2019.0</v>
      </c>
      <c r="AN32" s="867">
        <v>1950.808715</v>
      </c>
      <c r="AO32" s="867">
        <v>2372.080128</v>
      </c>
      <c r="AP32" s="868">
        <v>1632.57001</v>
      </c>
      <c r="AR32" s="869" t="s">
        <v>594</v>
      </c>
      <c r="AS32" s="871" t="s">
        <v>119</v>
      </c>
      <c r="AT32" s="865" t="s">
        <v>595</v>
      </c>
      <c r="AU32" s="865" t="s">
        <v>596</v>
      </c>
      <c r="AV32" s="865" t="s">
        <v>599</v>
      </c>
      <c r="AW32" s="865" t="s">
        <v>598</v>
      </c>
      <c r="AX32" s="866">
        <v>2019.0</v>
      </c>
      <c r="AY32" s="867">
        <v>676.6709689</v>
      </c>
      <c r="AZ32" s="867">
        <v>1152.219375</v>
      </c>
      <c r="BA32" s="868">
        <v>300.1461102</v>
      </c>
      <c r="BC32" s="869" t="s">
        <v>594</v>
      </c>
      <c r="BD32" s="871" t="s">
        <v>119</v>
      </c>
      <c r="BE32" s="865" t="s">
        <v>595</v>
      </c>
      <c r="BF32" s="865" t="s">
        <v>600</v>
      </c>
      <c r="BG32" s="865" t="s">
        <v>599</v>
      </c>
      <c r="BH32" s="865" t="s">
        <v>70</v>
      </c>
      <c r="BI32" s="866">
        <v>2019.0</v>
      </c>
      <c r="BJ32" s="867">
        <v>44077.9481</v>
      </c>
      <c r="BK32" s="867">
        <v>71207.62174</v>
      </c>
      <c r="BL32" s="868">
        <v>21118.19393</v>
      </c>
      <c r="BN32" s="869" t="s">
        <v>40</v>
      </c>
      <c r="BO32" s="875" t="s">
        <v>119</v>
      </c>
      <c r="BP32" s="865" t="s">
        <v>595</v>
      </c>
      <c r="BQ32" s="865" t="s">
        <v>600</v>
      </c>
      <c r="BR32" s="865" t="s">
        <v>599</v>
      </c>
      <c r="BS32" s="865" t="s">
        <v>598</v>
      </c>
      <c r="BT32" s="866">
        <v>2019.0</v>
      </c>
      <c r="BU32" s="867">
        <v>87914.33967</v>
      </c>
      <c r="BV32" s="867">
        <v>129056.7299</v>
      </c>
      <c r="BW32" s="868">
        <v>53475.81517</v>
      </c>
      <c r="BY32" s="870" t="s">
        <v>594</v>
      </c>
      <c r="BZ32" s="871" t="s">
        <v>656</v>
      </c>
      <c r="CA32" s="871" t="s">
        <v>595</v>
      </c>
      <c r="CB32" s="871" t="s">
        <v>600</v>
      </c>
      <c r="CC32" s="871" t="s">
        <v>597</v>
      </c>
      <c r="CD32" s="871" t="s">
        <v>70</v>
      </c>
      <c r="CE32" s="872">
        <v>2019.0</v>
      </c>
      <c r="CF32" s="873">
        <v>8281.733363</v>
      </c>
      <c r="CG32" s="873">
        <v>11175.7045793382</v>
      </c>
      <c r="CH32" s="874">
        <v>6118.17966089627</v>
      </c>
      <c r="CI32" s="530"/>
    </row>
    <row r="33">
      <c r="A33" s="857"/>
      <c r="B33" s="865" t="s">
        <v>590</v>
      </c>
      <c r="C33" s="865" t="s">
        <v>591</v>
      </c>
      <c r="D33" s="865" t="s">
        <v>657</v>
      </c>
      <c r="E33" s="866">
        <v>2019.0</v>
      </c>
      <c r="F33" s="865" t="s">
        <v>593</v>
      </c>
      <c r="G33" s="865" t="s">
        <v>70</v>
      </c>
      <c r="H33" s="867">
        <v>174059.8124</v>
      </c>
      <c r="I33" s="867">
        <v>191259.4257</v>
      </c>
      <c r="J33" s="868">
        <v>156250.5422</v>
      </c>
      <c r="K33" s="50"/>
      <c r="L33" s="869" t="s">
        <v>590</v>
      </c>
      <c r="M33" s="865" t="s">
        <v>591</v>
      </c>
      <c r="N33" s="865" t="s">
        <v>657</v>
      </c>
      <c r="O33" s="866">
        <v>2004.0</v>
      </c>
      <c r="P33" s="865" t="s">
        <v>593</v>
      </c>
      <c r="Q33" s="865" t="s">
        <v>70</v>
      </c>
      <c r="R33" s="867">
        <v>105262.545</v>
      </c>
      <c r="S33" s="867">
        <v>119824.3904</v>
      </c>
      <c r="T33" s="868">
        <v>91438.67453</v>
      </c>
      <c r="V33" s="869" t="s">
        <v>594</v>
      </c>
      <c r="W33" s="871" t="s">
        <v>119</v>
      </c>
      <c r="X33" s="865" t="s">
        <v>595</v>
      </c>
      <c r="Y33" s="865" t="s">
        <v>602</v>
      </c>
      <c r="Z33" s="865" t="s">
        <v>597</v>
      </c>
      <c r="AA33" s="865" t="s">
        <v>70</v>
      </c>
      <c r="AB33" s="866">
        <v>2004.0</v>
      </c>
      <c r="AC33" s="867">
        <v>133036.8376</v>
      </c>
      <c r="AD33" s="867">
        <v>155203.8144</v>
      </c>
      <c r="AE33" s="868">
        <v>111255.6192</v>
      </c>
      <c r="AG33" s="869" t="s">
        <v>594</v>
      </c>
      <c r="AH33" s="871" t="s">
        <v>119</v>
      </c>
      <c r="AI33" s="865" t="s">
        <v>595</v>
      </c>
      <c r="AJ33" s="865" t="s">
        <v>602</v>
      </c>
      <c r="AK33" s="865" t="s">
        <v>597</v>
      </c>
      <c r="AL33" s="865" t="s">
        <v>598</v>
      </c>
      <c r="AM33" s="866">
        <v>2019.0</v>
      </c>
      <c r="AN33" s="867">
        <v>492.7386916</v>
      </c>
      <c r="AO33" s="867">
        <v>594.0443867</v>
      </c>
      <c r="AP33" s="868">
        <v>411.7659739</v>
      </c>
      <c r="AR33" s="869" t="s">
        <v>594</v>
      </c>
      <c r="AS33" s="871" t="s">
        <v>119</v>
      </c>
      <c r="AT33" s="865" t="s">
        <v>595</v>
      </c>
      <c r="AU33" s="865" t="s">
        <v>602</v>
      </c>
      <c r="AV33" s="865" t="s">
        <v>599</v>
      </c>
      <c r="AW33" s="865" t="s">
        <v>598</v>
      </c>
      <c r="AX33" s="866">
        <v>2019.0</v>
      </c>
      <c r="AY33" s="867">
        <v>216.900166</v>
      </c>
      <c r="AZ33" s="867">
        <v>337.0859454</v>
      </c>
      <c r="BA33" s="868">
        <v>105.2610855</v>
      </c>
      <c r="BC33" s="869" t="s">
        <v>594</v>
      </c>
      <c r="BD33" s="871" t="s">
        <v>119</v>
      </c>
      <c r="BE33" s="865" t="s">
        <v>595</v>
      </c>
      <c r="BF33" s="865" t="s">
        <v>603</v>
      </c>
      <c r="BG33" s="865" t="s">
        <v>599</v>
      </c>
      <c r="BH33" s="865" t="s">
        <v>70</v>
      </c>
      <c r="BI33" s="866">
        <v>2019.0</v>
      </c>
      <c r="BJ33" s="867">
        <v>57160.15456</v>
      </c>
      <c r="BK33" s="867">
        <v>96575.68536</v>
      </c>
      <c r="BL33" s="868">
        <v>25658.15254</v>
      </c>
      <c r="BN33" s="869" t="s">
        <v>40</v>
      </c>
      <c r="BO33" s="875" t="s">
        <v>119</v>
      </c>
      <c r="BP33" s="865" t="s">
        <v>595</v>
      </c>
      <c r="BQ33" s="865" t="s">
        <v>604</v>
      </c>
      <c r="BR33" s="865" t="s">
        <v>599</v>
      </c>
      <c r="BS33" s="865" t="s">
        <v>598</v>
      </c>
      <c r="BT33" s="866">
        <v>2019.0</v>
      </c>
      <c r="BU33" s="867">
        <v>35845.96564</v>
      </c>
      <c r="BV33" s="867">
        <v>64867.69378</v>
      </c>
      <c r="BW33" s="868">
        <v>19481.8862</v>
      </c>
      <c r="BY33" s="870" t="s">
        <v>594</v>
      </c>
      <c r="BZ33" s="871" t="s">
        <v>658</v>
      </c>
      <c r="CA33" s="871" t="s">
        <v>595</v>
      </c>
      <c r="CB33" s="871" t="s">
        <v>600</v>
      </c>
      <c r="CC33" s="871" t="s">
        <v>597</v>
      </c>
      <c r="CD33" s="871" t="s">
        <v>70</v>
      </c>
      <c r="CE33" s="872">
        <v>2019.0</v>
      </c>
      <c r="CF33" s="873">
        <v>48156.1041821883</v>
      </c>
      <c r="CG33" s="873">
        <v>59027.6388121153</v>
      </c>
      <c r="CH33" s="874">
        <v>39119.0021041326</v>
      </c>
      <c r="CI33" s="530"/>
    </row>
    <row r="34">
      <c r="A34" s="857"/>
      <c r="B34" s="865" t="s">
        <v>590</v>
      </c>
      <c r="C34" s="865" t="s">
        <v>591</v>
      </c>
      <c r="D34" s="865" t="s">
        <v>659</v>
      </c>
      <c r="E34" s="866">
        <v>2019.0</v>
      </c>
      <c r="F34" s="865" t="s">
        <v>593</v>
      </c>
      <c r="G34" s="865" t="s">
        <v>70</v>
      </c>
      <c r="H34" s="867">
        <v>378124.694</v>
      </c>
      <c r="I34" s="867">
        <v>415488.8531</v>
      </c>
      <c r="J34" s="868">
        <v>339436.1264</v>
      </c>
      <c r="K34" s="50"/>
      <c r="L34" s="869" t="s">
        <v>590</v>
      </c>
      <c r="M34" s="865" t="s">
        <v>591</v>
      </c>
      <c r="N34" s="865" t="s">
        <v>659</v>
      </c>
      <c r="O34" s="866">
        <v>2004.0</v>
      </c>
      <c r="P34" s="865" t="s">
        <v>593</v>
      </c>
      <c r="Q34" s="865" t="s">
        <v>70</v>
      </c>
      <c r="R34" s="867">
        <v>204984.2175</v>
      </c>
      <c r="S34" s="867">
        <v>233341.3932</v>
      </c>
      <c r="T34" s="868">
        <v>178064.1457</v>
      </c>
      <c r="V34" s="869" t="s">
        <v>594</v>
      </c>
      <c r="W34" s="865" t="s">
        <v>632</v>
      </c>
      <c r="X34" s="865" t="s">
        <v>595</v>
      </c>
      <c r="Y34" s="865" t="s">
        <v>596</v>
      </c>
      <c r="Z34" s="865" t="s">
        <v>597</v>
      </c>
      <c r="AA34" s="865" t="s">
        <v>70</v>
      </c>
      <c r="AB34" s="866">
        <v>2004.0</v>
      </c>
      <c r="AC34" s="867">
        <v>906.4039035</v>
      </c>
      <c r="AD34" s="867">
        <v>1072.108787</v>
      </c>
      <c r="AE34" s="868">
        <v>759.6238852</v>
      </c>
      <c r="AG34" s="869" t="s">
        <v>594</v>
      </c>
      <c r="AH34" s="865" t="s">
        <v>632</v>
      </c>
      <c r="AI34" s="865" t="s">
        <v>595</v>
      </c>
      <c r="AJ34" s="865" t="s">
        <v>596</v>
      </c>
      <c r="AK34" s="865" t="s">
        <v>597</v>
      </c>
      <c r="AL34" s="865" t="s">
        <v>598</v>
      </c>
      <c r="AM34" s="866">
        <v>2019.0</v>
      </c>
      <c r="AN34" s="867">
        <v>1523.938048</v>
      </c>
      <c r="AO34" s="867">
        <v>1903.863761</v>
      </c>
      <c r="AP34" s="868">
        <v>1216.366114</v>
      </c>
      <c r="AR34" s="869" t="s">
        <v>594</v>
      </c>
      <c r="AS34" s="865" t="s">
        <v>632</v>
      </c>
      <c r="AT34" s="865" t="s">
        <v>595</v>
      </c>
      <c r="AU34" s="865" t="s">
        <v>596</v>
      </c>
      <c r="AV34" s="865" t="s">
        <v>599</v>
      </c>
      <c r="AW34" s="865" t="s">
        <v>598</v>
      </c>
      <c r="AX34" s="866">
        <v>2019.0</v>
      </c>
      <c r="AY34" s="867">
        <v>14.43890634</v>
      </c>
      <c r="AZ34" s="867">
        <v>111.7961041</v>
      </c>
      <c r="BA34" s="868">
        <v>0.107774569</v>
      </c>
      <c r="BC34" s="869" t="s">
        <v>594</v>
      </c>
      <c r="BD34" s="865" t="s">
        <v>632</v>
      </c>
      <c r="BE34" s="865" t="s">
        <v>595</v>
      </c>
      <c r="BF34" s="865" t="s">
        <v>600</v>
      </c>
      <c r="BG34" s="865" t="s">
        <v>599</v>
      </c>
      <c r="BH34" s="865" t="s">
        <v>70</v>
      </c>
      <c r="BI34" s="866">
        <v>2019.0</v>
      </c>
      <c r="BJ34" s="867">
        <v>13.51775002</v>
      </c>
      <c r="BK34" s="867">
        <v>101.7865803</v>
      </c>
      <c r="BL34" s="868">
        <v>0.105914006</v>
      </c>
      <c r="BN34" s="869" t="s">
        <v>40</v>
      </c>
      <c r="BO34" s="865" t="s">
        <v>632</v>
      </c>
      <c r="BP34" s="865" t="s">
        <v>595</v>
      </c>
      <c r="BQ34" s="865" t="s">
        <v>600</v>
      </c>
      <c r="BR34" s="865" t="s">
        <v>599</v>
      </c>
      <c r="BS34" s="865" t="s">
        <v>598</v>
      </c>
      <c r="BT34" s="866">
        <v>2019.0</v>
      </c>
      <c r="BU34" s="867">
        <v>6650.845342</v>
      </c>
      <c r="BV34" s="867">
        <v>50351.72171</v>
      </c>
      <c r="BW34" s="868">
        <v>20.48280263</v>
      </c>
      <c r="BY34" s="870" t="s">
        <v>594</v>
      </c>
      <c r="BZ34" s="871" t="s">
        <v>660</v>
      </c>
      <c r="CA34" s="871" t="s">
        <v>595</v>
      </c>
      <c r="CB34" s="871" t="s">
        <v>600</v>
      </c>
      <c r="CC34" s="871" t="s">
        <v>597</v>
      </c>
      <c r="CD34" s="871" t="s">
        <v>70</v>
      </c>
      <c r="CE34" s="872">
        <v>2019.0</v>
      </c>
      <c r="CF34" s="873">
        <v>31820.387064278</v>
      </c>
      <c r="CG34" s="873">
        <v>40774.6721685161</v>
      </c>
      <c r="CH34" s="874">
        <v>24925.1505816236</v>
      </c>
      <c r="CI34" s="530"/>
    </row>
    <row r="35">
      <c r="A35" s="857"/>
      <c r="B35" s="865" t="s">
        <v>590</v>
      </c>
      <c r="C35" s="865" t="s">
        <v>591</v>
      </c>
      <c r="D35" s="865" t="s">
        <v>661</v>
      </c>
      <c r="E35" s="866">
        <v>2019.0</v>
      </c>
      <c r="F35" s="865" t="s">
        <v>593</v>
      </c>
      <c r="G35" s="865" t="s">
        <v>70</v>
      </c>
      <c r="H35" s="867">
        <v>204059.2795</v>
      </c>
      <c r="I35" s="867">
        <v>224236.9736</v>
      </c>
      <c r="J35" s="868">
        <v>183184.6019</v>
      </c>
      <c r="K35" s="50"/>
      <c r="L35" s="869" t="s">
        <v>590</v>
      </c>
      <c r="M35" s="865" t="s">
        <v>591</v>
      </c>
      <c r="N35" s="865" t="s">
        <v>661</v>
      </c>
      <c r="O35" s="866">
        <v>2004.0</v>
      </c>
      <c r="P35" s="865" t="s">
        <v>593</v>
      </c>
      <c r="Q35" s="865" t="s">
        <v>70</v>
      </c>
      <c r="R35" s="867">
        <v>99718.25456</v>
      </c>
      <c r="S35" s="867">
        <v>113517.0588</v>
      </c>
      <c r="T35" s="868">
        <v>86624.40821</v>
      </c>
      <c r="V35" s="869" t="s">
        <v>594</v>
      </c>
      <c r="W35" s="865" t="s">
        <v>632</v>
      </c>
      <c r="X35" s="865" t="s">
        <v>595</v>
      </c>
      <c r="Y35" s="865" t="s">
        <v>602</v>
      </c>
      <c r="Z35" s="865" t="s">
        <v>597</v>
      </c>
      <c r="AA35" s="865" t="s">
        <v>70</v>
      </c>
      <c r="AB35" s="866">
        <v>2004.0</v>
      </c>
      <c r="AC35" s="867">
        <v>853.4345726</v>
      </c>
      <c r="AD35" s="867">
        <v>1001.040975</v>
      </c>
      <c r="AE35" s="868">
        <v>720.8239819</v>
      </c>
      <c r="AG35" s="869" t="s">
        <v>594</v>
      </c>
      <c r="AH35" s="865" t="s">
        <v>632</v>
      </c>
      <c r="AI35" s="865" t="s">
        <v>595</v>
      </c>
      <c r="AJ35" s="865" t="s">
        <v>602</v>
      </c>
      <c r="AK35" s="865" t="s">
        <v>597</v>
      </c>
      <c r="AL35" s="865" t="s">
        <v>598</v>
      </c>
      <c r="AM35" s="866">
        <v>2019.0</v>
      </c>
      <c r="AN35" s="867">
        <v>354.3570592</v>
      </c>
      <c r="AO35" s="867">
        <v>435.9764502</v>
      </c>
      <c r="AP35" s="868">
        <v>288.8519253</v>
      </c>
      <c r="AR35" s="869" t="s">
        <v>594</v>
      </c>
      <c r="AS35" s="865" t="s">
        <v>632</v>
      </c>
      <c r="AT35" s="865" t="s">
        <v>595</v>
      </c>
      <c r="AU35" s="865" t="s">
        <v>602</v>
      </c>
      <c r="AV35" s="865" t="s">
        <v>599</v>
      </c>
      <c r="AW35" s="865" t="s">
        <v>598</v>
      </c>
      <c r="AX35" s="866">
        <v>2019.0</v>
      </c>
      <c r="AY35" s="867">
        <v>7.025666033</v>
      </c>
      <c r="AZ35" s="867">
        <v>50.82000407</v>
      </c>
      <c r="BA35" s="868">
        <v>0.055885903</v>
      </c>
      <c r="BC35" s="869" t="s">
        <v>594</v>
      </c>
      <c r="BD35" s="865" t="s">
        <v>632</v>
      </c>
      <c r="BE35" s="865" t="s">
        <v>595</v>
      </c>
      <c r="BF35" s="865" t="s">
        <v>603</v>
      </c>
      <c r="BG35" s="865" t="s">
        <v>599</v>
      </c>
      <c r="BH35" s="865" t="s">
        <v>70</v>
      </c>
      <c r="BI35" s="866">
        <v>2019.0</v>
      </c>
      <c r="BJ35" s="867">
        <v>96.64432689</v>
      </c>
      <c r="BK35" s="867">
        <v>696.3415968</v>
      </c>
      <c r="BL35" s="868">
        <v>0.813290392</v>
      </c>
      <c r="BN35" s="869" t="s">
        <v>40</v>
      </c>
      <c r="BO35" s="865" t="s">
        <v>632</v>
      </c>
      <c r="BP35" s="865" t="s">
        <v>595</v>
      </c>
      <c r="BQ35" s="865" t="s">
        <v>604</v>
      </c>
      <c r="BR35" s="865" t="s">
        <v>599</v>
      </c>
      <c r="BS35" s="865" t="s">
        <v>598</v>
      </c>
      <c r="BT35" s="866">
        <v>2019.0</v>
      </c>
      <c r="BU35" s="867">
        <v>4505.205277</v>
      </c>
      <c r="BV35" s="867">
        <v>29764.73607</v>
      </c>
      <c r="BW35" s="868">
        <v>41.42639578</v>
      </c>
      <c r="BY35" s="870" t="s">
        <v>594</v>
      </c>
      <c r="BZ35" s="871" t="s">
        <v>662</v>
      </c>
      <c r="CA35" s="871" t="s">
        <v>595</v>
      </c>
      <c r="CB35" s="871" t="s">
        <v>600</v>
      </c>
      <c r="CC35" s="871" t="s">
        <v>597</v>
      </c>
      <c r="CD35" s="871" t="s">
        <v>70</v>
      </c>
      <c r="CE35" s="872">
        <v>2019.0</v>
      </c>
      <c r="CF35" s="873">
        <v>109642.622536445</v>
      </c>
      <c r="CG35" s="873">
        <v>135257.414265202</v>
      </c>
      <c r="CH35" s="874">
        <v>89492.16314</v>
      </c>
      <c r="CI35" s="530"/>
    </row>
    <row r="36">
      <c r="A36" s="857"/>
      <c r="B36" s="865" t="s">
        <v>590</v>
      </c>
      <c r="C36" s="865" t="s">
        <v>591</v>
      </c>
      <c r="D36" s="865" t="s">
        <v>663</v>
      </c>
      <c r="E36" s="866">
        <v>2019.0</v>
      </c>
      <c r="F36" s="865" t="s">
        <v>593</v>
      </c>
      <c r="G36" s="865" t="s">
        <v>70</v>
      </c>
      <c r="H36" s="867">
        <v>122240.821</v>
      </c>
      <c r="I36" s="867">
        <v>134319.9725</v>
      </c>
      <c r="J36" s="868">
        <v>109733.5123</v>
      </c>
      <c r="K36" s="50"/>
      <c r="L36" s="869" t="s">
        <v>590</v>
      </c>
      <c r="M36" s="865" t="s">
        <v>591</v>
      </c>
      <c r="N36" s="865" t="s">
        <v>663</v>
      </c>
      <c r="O36" s="866">
        <v>2004.0</v>
      </c>
      <c r="P36" s="865" t="s">
        <v>593</v>
      </c>
      <c r="Q36" s="865" t="s">
        <v>70</v>
      </c>
      <c r="R36" s="867">
        <v>59656.69299</v>
      </c>
      <c r="S36" s="867">
        <v>67909.50065</v>
      </c>
      <c r="T36" s="868">
        <v>51822.1266</v>
      </c>
      <c r="V36" s="869" t="s">
        <v>594</v>
      </c>
      <c r="W36" s="865" t="s">
        <v>634</v>
      </c>
      <c r="X36" s="865" t="s">
        <v>595</v>
      </c>
      <c r="Y36" s="865" t="s">
        <v>596</v>
      </c>
      <c r="Z36" s="865" t="s">
        <v>597</v>
      </c>
      <c r="AA36" s="865" t="s">
        <v>70</v>
      </c>
      <c r="AB36" s="866">
        <v>2004.0</v>
      </c>
      <c r="AC36" s="867">
        <v>1005.376102</v>
      </c>
      <c r="AD36" s="867">
        <v>1242.461623</v>
      </c>
      <c r="AE36" s="868">
        <v>793.2714903</v>
      </c>
      <c r="AG36" s="869" t="s">
        <v>594</v>
      </c>
      <c r="AH36" s="865" t="s">
        <v>634</v>
      </c>
      <c r="AI36" s="865" t="s">
        <v>595</v>
      </c>
      <c r="AJ36" s="865" t="s">
        <v>596</v>
      </c>
      <c r="AK36" s="865" t="s">
        <v>597</v>
      </c>
      <c r="AL36" s="865" t="s">
        <v>598</v>
      </c>
      <c r="AM36" s="866">
        <v>2019.0</v>
      </c>
      <c r="AN36" s="867">
        <v>1160.192054</v>
      </c>
      <c r="AO36" s="867">
        <v>1607.366051</v>
      </c>
      <c r="AP36" s="868">
        <v>837.5731247</v>
      </c>
      <c r="AR36" s="869" t="s">
        <v>594</v>
      </c>
      <c r="AS36" s="865" t="s">
        <v>634</v>
      </c>
      <c r="AT36" s="865" t="s">
        <v>595</v>
      </c>
      <c r="AU36" s="865" t="s">
        <v>596</v>
      </c>
      <c r="AV36" s="865" t="s">
        <v>599</v>
      </c>
      <c r="AW36" s="865" t="s">
        <v>598</v>
      </c>
      <c r="AX36" s="866">
        <v>2019.0</v>
      </c>
      <c r="AY36" s="867">
        <v>425.1361937</v>
      </c>
      <c r="AZ36" s="867">
        <v>767.7037355</v>
      </c>
      <c r="BA36" s="868">
        <v>180.834352</v>
      </c>
      <c r="BC36" s="869" t="s">
        <v>594</v>
      </c>
      <c r="BD36" s="865" t="s">
        <v>634</v>
      </c>
      <c r="BE36" s="865" t="s">
        <v>595</v>
      </c>
      <c r="BF36" s="865" t="s">
        <v>600</v>
      </c>
      <c r="BG36" s="865" t="s">
        <v>599</v>
      </c>
      <c r="BH36" s="865" t="s">
        <v>70</v>
      </c>
      <c r="BI36" s="866">
        <v>2019.0</v>
      </c>
      <c r="BJ36" s="867">
        <v>342.3989085</v>
      </c>
      <c r="BK36" s="867">
        <v>590.6083334</v>
      </c>
      <c r="BL36" s="868">
        <v>161.2178179</v>
      </c>
      <c r="BN36" s="869" t="s">
        <v>40</v>
      </c>
      <c r="BO36" s="865" t="s">
        <v>634</v>
      </c>
      <c r="BP36" s="865" t="s">
        <v>595</v>
      </c>
      <c r="BQ36" s="865" t="s">
        <v>600</v>
      </c>
      <c r="BR36" s="865" t="s">
        <v>599</v>
      </c>
      <c r="BS36" s="865" t="s">
        <v>598</v>
      </c>
      <c r="BT36" s="866">
        <v>2019.0</v>
      </c>
      <c r="BU36" s="867">
        <v>81002.64136</v>
      </c>
      <c r="BV36" s="867">
        <v>130408.1424</v>
      </c>
      <c r="BW36" s="868">
        <v>19444.94914</v>
      </c>
      <c r="BY36" s="870" t="s">
        <v>594</v>
      </c>
      <c r="BZ36" s="871" t="s">
        <v>664</v>
      </c>
      <c r="CA36" s="871" t="s">
        <v>595</v>
      </c>
      <c r="CB36" s="871" t="s">
        <v>600</v>
      </c>
      <c r="CC36" s="871" t="s">
        <v>597</v>
      </c>
      <c r="CD36" s="871" t="s">
        <v>70</v>
      </c>
      <c r="CE36" s="872">
        <v>2019.0</v>
      </c>
      <c r="CF36" s="873">
        <v>4656.44116575553</v>
      </c>
      <c r="CG36" s="873">
        <v>6102.56586571042</v>
      </c>
      <c r="CH36" s="874">
        <v>3577.52550411359</v>
      </c>
      <c r="CI36" s="530"/>
    </row>
    <row r="37">
      <c r="A37" s="857"/>
      <c r="B37" s="865" t="s">
        <v>590</v>
      </c>
      <c r="C37" s="865" t="s">
        <v>591</v>
      </c>
      <c r="D37" s="865" t="s">
        <v>665</v>
      </c>
      <c r="E37" s="866">
        <v>2019.0</v>
      </c>
      <c r="F37" s="865" t="s">
        <v>593</v>
      </c>
      <c r="G37" s="865" t="s">
        <v>70</v>
      </c>
      <c r="H37" s="867">
        <v>175962.0169</v>
      </c>
      <c r="I37" s="867">
        <v>193361.4106</v>
      </c>
      <c r="J37" s="868">
        <v>157961.6085</v>
      </c>
      <c r="K37" s="50"/>
      <c r="L37" s="869" t="s">
        <v>590</v>
      </c>
      <c r="M37" s="865" t="s">
        <v>591</v>
      </c>
      <c r="N37" s="865" t="s">
        <v>665</v>
      </c>
      <c r="O37" s="866">
        <v>2004.0</v>
      </c>
      <c r="P37" s="865" t="s">
        <v>593</v>
      </c>
      <c r="Q37" s="865" t="s">
        <v>70</v>
      </c>
      <c r="R37" s="867">
        <v>86921.61489</v>
      </c>
      <c r="S37" s="867">
        <v>98949.64677</v>
      </c>
      <c r="T37" s="868">
        <v>75508.07506</v>
      </c>
      <c r="V37" s="869" t="s">
        <v>594</v>
      </c>
      <c r="W37" s="865" t="s">
        <v>634</v>
      </c>
      <c r="X37" s="865" t="s">
        <v>595</v>
      </c>
      <c r="Y37" s="865" t="s">
        <v>602</v>
      </c>
      <c r="Z37" s="865" t="s">
        <v>597</v>
      </c>
      <c r="AA37" s="865" t="s">
        <v>70</v>
      </c>
      <c r="AB37" s="866">
        <v>2004.0</v>
      </c>
      <c r="AC37" s="867">
        <v>1023.14076</v>
      </c>
      <c r="AD37" s="867">
        <v>1248.399429</v>
      </c>
      <c r="AE37" s="868">
        <v>817.9567813</v>
      </c>
      <c r="AG37" s="869" t="s">
        <v>594</v>
      </c>
      <c r="AH37" s="865" t="s">
        <v>634</v>
      </c>
      <c r="AI37" s="865" t="s">
        <v>595</v>
      </c>
      <c r="AJ37" s="865" t="s">
        <v>602</v>
      </c>
      <c r="AK37" s="865" t="s">
        <v>597</v>
      </c>
      <c r="AL37" s="865" t="s">
        <v>598</v>
      </c>
      <c r="AM37" s="866">
        <v>2019.0</v>
      </c>
      <c r="AN37" s="867">
        <v>251.8532564</v>
      </c>
      <c r="AO37" s="867">
        <v>342.4426799</v>
      </c>
      <c r="AP37" s="868">
        <v>186.0413863</v>
      </c>
      <c r="AR37" s="869" t="s">
        <v>594</v>
      </c>
      <c r="AS37" s="865" t="s">
        <v>634</v>
      </c>
      <c r="AT37" s="865" t="s">
        <v>595</v>
      </c>
      <c r="AU37" s="865" t="s">
        <v>602</v>
      </c>
      <c r="AV37" s="865" t="s">
        <v>599</v>
      </c>
      <c r="AW37" s="865" t="s">
        <v>598</v>
      </c>
      <c r="AX37" s="866">
        <v>2019.0</v>
      </c>
      <c r="AY37" s="867">
        <v>116.0420019</v>
      </c>
      <c r="AZ37" s="867">
        <v>187.7960449</v>
      </c>
      <c r="BA37" s="868">
        <v>57.31811801</v>
      </c>
      <c r="BC37" s="869" t="s">
        <v>594</v>
      </c>
      <c r="BD37" s="865" t="s">
        <v>634</v>
      </c>
      <c r="BE37" s="865" t="s">
        <v>595</v>
      </c>
      <c r="BF37" s="865" t="s">
        <v>603</v>
      </c>
      <c r="BG37" s="865" t="s">
        <v>599</v>
      </c>
      <c r="BH37" s="865" t="s">
        <v>70</v>
      </c>
      <c r="BI37" s="866">
        <v>2019.0</v>
      </c>
      <c r="BJ37" s="867">
        <v>768.1747679</v>
      </c>
      <c r="BK37" s="867">
        <v>1540.039313</v>
      </c>
      <c r="BL37" s="868">
        <v>332.0319396</v>
      </c>
      <c r="BN37" s="869" t="s">
        <v>40</v>
      </c>
      <c r="BO37" s="865" t="s">
        <v>634</v>
      </c>
      <c r="BP37" s="865" t="s">
        <v>595</v>
      </c>
      <c r="BQ37" s="865" t="s">
        <v>604</v>
      </c>
      <c r="BR37" s="865" t="s">
        <v>599</v>
      </c>
      <c r="BS37" s="865" t="s">
        <v>598</v>
      </c>
      <c r="BT37" s="866">
        <v>2019.0</v>
      </c>
      <c r="BU37" s="867">
        <v>31988.6589</v>
      </c>
      <c r="BV37" s="867">
        <v>66674.52184</v>
      </c>
      <c r="BW37" s="868">
        <v>12536.08057</v>
      </c>
      <c r="BY37" s="870" t="s">
        <v>594</v>
      </c>
      <c r="BZ37" s="871" t="s">
        <v>666</v>
      </c>
      <c r="CA37" s="871" t="s">
        <v>595</v>
      </c>
      <c r="CB37" s="871" t="s">
        <v>600</v>
      </c>
      <c r="CC37" s="871" t="s">
        <v>597</v>
      </c>
      <c r="CD37" s="871" t="s">
        <v>70</v>
      </c>
      <c r="CE37" s="872">
        <v>2019.0</v>
      </c>
      <c r="CF37" s="873">
        <v>76529.0199926125</v>
      </c>
      <c r="CG37" s="873">
        <v>93826.0257306697</v>
      </c>
      <c r="CH37" s="874">
        <v>62785.4674759988</v>
      </c>
      <c r="CI37" s="530"/>
    </row>
    <row r="38">
      <c r="A38" s="857"/>
      <c r="B38" s="865" t="s">
        <v>590</v>
      </c>
      <c r="C38" s="865" t="s">
        <v>591</v>
      </c>
      <c r="D38" s="865" t="s">
        <v>667</v>
      </c>
      <c r="E38" s="866">
        <v>2019.0</v>
      </c>
      <c r="F38" s="865" t="s">
        <v>593</v>
      </c>
      <c r="G38" s="865" t="s">
        <v>70</v>
      </c>
      <c r="H38" s="867">
        <v>81824.06068</v>
      </c>
      <c r="I38" s="867">
        <v>89909.45492</v>
      </c>
      <c r="J38" s="868">
        <v>73452.07188</v>
      </c>
      <c r="K38" s="50"/>
      <c r="L38" s="869" t="s">
        <v>590</v>
      </c>
      <c r="M38" s="865" t="s">
        <v>591</v>
      </c>
      <c r="N38" s="865" t="s">
        <v>667</v>
      </c>
      <c r="O38" s="866">
        <v>2004.0</v>
      </c>
      <c r="P38" s="865" t="s">
        <v>593</v>
      </c>
      <c r="Q38" s="865" t="s">
        <v>70</v>
      </c>
      <c r="R38" s="867">
        <v>40064.97952</v>
      </c>
      <c r="S38" s="867">
        <v>45607.50214</v>
      </c>
      <c r="T38" s="868">
        <v>34803.34455</v>
      </c>
      <c r="V38" s="869" t="s">
        <v>594</v>
      </c>
      <c r="W38" s="865" t="s">
        <v>636</v>
      </c>
      <c r="X38" s="865" t="s">
        <v>595</v>
      </c>
      <c r="Y38" s="865" t="s">
        <v>596</v>
      </c>
      <c r="Z38" s="865" t="s">
        <v>597</v>
      </c>
      <c r="AA38" s="865" t="s">
        <v>70</v>
      </c>
      <c r="AB38" s="866">
        <v>2004.0</v>
      </c>
      <c r="AC38" s="867">
        <v>4513.74167</v>
      </c>
      <c r="AD38" s="867">
        <v>5566.692941</v>
      </c>
      <c r="AE38" s="868">
        <v>3548.044744</v>
      </c>
      <c r="AG38" s="869" t="s">
        <v>594</v>
      </c>
      <c r="AH38" s="865" t="s">
        <v>636</v>
      </c>
      <c r="AI38" s="865" t="s">
        <v>595</v>
      </c>
      <c r="AJ38" s="865" t="s">
        <v>596</v>
      </c>
      <c r="AK38" s="865" t="s">
        <v>597</v>
      </c>
      <c r="AL38" s="865" t="s">
        <v>598</v>
      </c>
      <c r="AM38" s="866">
        <v>2019.0</v>
      </c>
      <c r="AN38" s="867">
        <v>1392.123126</v>
      </c>
      <c r="AO38" s="867">
        <v>1916.243192</v>
      </c>
      <c r="AP38" s="868">
        <v>1012.556022</v>
      </c>
      <c r="AR38" s="869" t="s">
        <v>594</v>
      </c>
      <c r="AS38" s="865" t="s">
        <v>636</v>
      </c>
      <c r="AT38" s="865" t="s">
        <v>595</v>
      </c>
      <c r="AU38" s="865" t="s">
        <v>596</v>
      </c>
      <c r="AV38" s="865" t="s">
        <v>599</v>
      </c>
      <c r="AW38" s="865" t="s">
        <v>598</v>
      </c>
      <c r="AX38" s="866">
        <v>2019.0</v>
      </c>
      <c r="AY38" s="867">
        <v>4.987216988</v>
      </c>
      <c r="AZ38" s="867">
        <v>18.30537548</v>
      </c>
      <c r="BA38" s="868">
        <v>0.827070189</v>
      </c>
      <c r="BC38" s="869" t="s">
        <v>594</v>
      </c>
      <c r="BD38" s="865" t="s">
        <v>636</v>
      </c>
      <c r="BE38" s="865" t="s">
        <v>595</v>
      </c>
      <c r="BF38" s="865" t="s">
        <v>600</v>
      </c>
      <c r="BG38" s="865" t="s">
        <v>599</v>
      </c>
      <c r="BH38" s="865" t="s">
        <v>70</v>
      </c>
      <c r="BI38" s="866">
        <v>2019.0</v>
      </c>
      <c r="BJ38" s="867">
        <v>35.70520941</v>
      </c>
      <c r="BK38" s="867">
        <v>125.9435822</v>
      </c>
      <c r="BL38" s="868">
        <v>5.827328855</v>
      </c>
      <c r="BN38" s="869" t="s">
        <v>40</v>
      </c>
      <c r="BO38" s="865" t="s">
        <v>636</v>
      </c>
      <c r="BP38" s="865" t="s">
        <v>595</v>
      </c>
      <c r="BQ38" s="865" t="s">
        <v>600</v>
      </c>
      <c r="BR38" s="865" t="s">
        <v>599</v>
      </c>
      <c r="BS38" s="865" t="s">
        <v>598</v>
      </c>
      <c r="BT38" s="866">
        <v>2019.0</v>
      </c>
      <c r="BU38" s="867">
        <v>1755.299915</v>
      </c>
      <c r="BV38" s="867">
        <v>6542.769815</v>
      </c>
      <c r="BW38" s="868">
        <v>299.7435289</v>
      </c>
      <c r="BY38" s="870" t="s">
        <v>594</v>
      </c>
      <c r="BZ38" s="871" t="s">
        <v>668</v>
      </c>
      <c r="CA38" s="871" t="s">
        <v>595</v>
      </c>
      <c r="CB38" s="871" t="s">
        <v>600</v>
      </c>
      <c r="CC38" s="871" t="s">
        <v>597</v>
      </c>
      <c r="CD38" s="871" t="s">
        <v>70</v>
      </c>
      <c r="CE38" s="872">
        <v>2019.0</v>
      </c>
      <c r="CF38" s="873">
        <v>2197.24495909762</v>
      </c>
      <c r="CG38" s="873">
        <v>2900.81877142025</v>
      </c>
      <c r="CH38" s="874">
        <v>1680.6347369473</v>
      </c>
      <c r="CI38" s="530"/>
    </row>
    <row r="39">
      <c r="A39" s="857"/>
      <c r="B39" s="865" t="s">
        <v>590</v>
      </c>
      <c r="C39" s="865" t="s">
        <v>591</v>
      </c>
      <c r="D39" s="865" t="s">
        <v>669</v>
      </c>
      <c r="E39" s="866">
        <v>2019.0</v>
      </c>
      <c r="F39" s="865" t="s">
        <v>593</v>
      </c>
      <c r="G39" s="865" t="s">
        <v>70</v>
      </c>
      <c r="H39" s="867">
        <v>53726.02674</v>
      </c>
      <c r="I39" s="867">
        <v>59034.93103</v>
      </c>
      <c r="J39" s="868">
        <v>48228.94324</v>
      </c>
      <c r="K39" s="50"/>
      <c r="L39" s="869" t="s">
        <v>590</v>
      </c>
      <c r="M39" s="865" t="s">
        <v>591</v>
      </c>
      <c r="N39" s="865" t="s">
        <v>669</v>
      </c>
      <c r="O39" s="866">
        <v>2004.0</v>
      </c>
      <c r="P39" s="865" t="s">
        <v>593</v>
      </c>
      <c r="Q39" s="865" t="s">
        <v>70</v>
      </c>
      <c r="R39" s="867">
        <v>27267.90123</v>
      </c>
      <c r="S39" s="867">
        <v>31040.09732</v>
      </c>
      <c r="T39" s="868">
        <v>23686.875</v>
      </c>
      <c r="V39" s="869" t="s">
        <v>594</v>
      </c>
      <c r="W39" s="865" t="s">
        <v>636</v>
      </c>
      <c r="X39" s="865" t="s">
        <v>595</v>
      </c>
      <c r="Y39" s="865" t="s">
        <v>602</v>
      </c>
      <c r="Z39" s="865" t="s">
        <v>597</v>
      </c>
      <c r="AA39" s="865" t="s">
        <v>70</v>
      </c>
      <c r="AB39" s="866">
        <v>2004.0</v>
      </c>
      <c r="AC39" s="867">
        <v>6083.040344</v>
      </c>
      <c r="AD39" s="867">
        <v>7452.197265</v>
      </c>
      <c r="AE39" s="868">
        <v>4815.073107</v>
      </c>
      <c r="AG39" s="869" t="s">
        <v>594</v>
      </c>
      <c r="AH39" s="865" t="s">
        <v>636</v>
      </c>
      <c r="AI39" s="865" t="s">
        <v>595</v>
      </c>
      <c r="AJ39" s="865" t="s">
        <v>602</v>
      </c>
      <c r="AK39" s="865" t="s">
        <v>597</v>
      </c>
      <c r="AL39" s="865" t="s">
        <v>598</v>
      </c>
      <c r="AM39" s="866">
        <v>2019.0</v>
      </c>
      <c r="AN39" s="867">
        <v>416.7789758</v>
      </c>
      <c r="AO39" s="867">
        <v>565.7211265</v>
      </c>
      <c r="AP39" s="868">
        <v>308.1813068</v>
      </c>
      <c r="AR39" s="869" t="s">
        <v>594</v>
      </c>
      <c r="AS39" s="865" t="s">
        <v>636</v>
      </c>
      <c r="AT39" s="865" t="s">
        <v>595</v>
      </c>
      <c r="AU39" s="865" t="s">
        <v>602</v>
      </c>
      <c r="AV39" s="865" t="s">
        <v>599</v>
      </c>
      <c r="AW39" s="865" t="s">
        <v>598</v>
      </c>
      <c r="AX39" s="866">
        <v>2019.0</v>
      </c>
      <c r="AY39" s="867">
        <v>3.583894667</v>
      </c>
      <c r="AZ39" s="867">
        <v>12.88360338</v>
      </c>
      <c r="BA39" s="868">
        <v>0.576540401</v>
      </c>
      <c r="BC39" s="869" t="s">
        <v>594</v>
      </c>
      <c r="BD39" s="865" t="s">
        <v>636</v>
      </c>
      <c r="BE39" s="865" t="s">
        <v>595</v>
      </c>
      <c r="BF39" s="865" t="s">
        <v>603</v>
      </c>
      <c r="BG39" s="865" t="s">
        <v>599</v>
      </c>
      <c r="BH39" s="865" t="s">
        <v>70</v>
      </c>
      <c r="BI39" s="866">
        <v>2019.0</v>
      </c>
      <c r="BJ39" s="867">
        <v>330.5237416</v>
      </c>
      <c r="BK39" s="867">
        <v>1182.704019</v>
      </c>
      <c r="BL39" s="868">
        <v>58.47646135</v>
      </c>
      <c r="BN39" s="869" t="s">
        <v>40</v>
      </c>
      <c r="BO39" s="865" t="s">
        <v>636</v>
      </c>
      <c r="BP39" s="865" t="s">
        <v>595</v>
      </c>
      <c r="BQ39" s="865" t="s">
        <v>604</v>
      </c>
      <c r="BR39" s="865" t="s">
        <v>599</v>
      </c>
      <c r="BS39" s="865" t="s">
        <v>598</v>
      </c>
      <c r="BT39" s="866">
        <v>2019.0</v>
      </c>
      <c r="BU39" s="867">
        <v>2036.434694</v>
      </c>
      <c r="BV39" s="867">
        <v>6185.88342</v>
      </c>
      <c r="BW39" s="868">
        <v>514.51092</v>
      </c>
      <c r="BY39" s="870" t="s">
        <v>594</v>
      </c>
      <c r="BZ39" s="871" t="s">
        <v>670</v>
      </c>
      <c r="CA39" s="871" t="s">
        <v>595</v>
      </c>
      <c r="CB39" s="871" t="s">
        <v>600</v>
      </c>
      <c r="CC39" s="871" t="s">
        <v>597</v>
      </c>
      <c r="CD39" s="871" t="s">
        <v>70</v>
      </c>
      <c r="CE39" s="872">
        <v>2019.0</v>
      </c>
      <c r="CF39" s="873">
        <v>17972.597612516</v>
      </c>
      <c r="CG39" s="873">
        <v>21777.14335</v>
      </c>
      <c r="CH39" s="874">
        <v>14684.0927872889</v>
      </c>
      <c r="CI39" s="530"/>
    </row>
    <row r="40">
      <c r="A40" s="857"/>
      <c r="B40" s="865" t="s">
        <v>590</v>
      </c>
      <c r="C40" s="865" t="s">
        <v>591</v>
      </c>
      <c r="D40" s="865" t="s">
        <v>671</v>
      </c>
      <c r="E40" s="866">
        <v>2019.0</v>
      </c>
      <c r="F40" s="865" t="s">
        <v>593</v>
      </c>
      <c r="G40" s="865" t="s">
        <v>70</v>
      </c>
      <c r="H40" s="867">
        <v>28097.26257</v>
      </c>
      <c r="I40" s="867">
        <v>30875.56293</v>
      </c>
      <c r="J40" s="868">
        <v>25222.9934</v>
      </c>
      <c r="K40" s="50"/>
      <c r="L40" s="869" t="s">
        <v>590</v>
      </c>
      <c r="M40" s="865" t="s">
        <v>591</v>
      </c>
      <c r="N40" s="865" t="s">
        <v>671</v>
      </c>
      <c r="O40" s="866">
        <v>2004.0</v>
      </c>
      <c r="P40" s="865" t="s">
        <v>593</v>
      </c>
      <c r="Q40" s="865" t="s">
        <v>70</v>
      </c>
      <c r="R40" s="867">
        <v>12796.63967</v>
      </c>
      <c r="S40" s="867">
        <v>14567.412</v>
      </c>
      <c r="T40" s="868">
        <v>11116.33315</v>
      </c>
      <c r="V40" s="869" t="s">
        <v>594</v>
      </c>
      <c r="W40" s="865" t="s">
        <v>638</v>
      </c>
      <c r="X40" s="865" t="s">
        <v>595</v>
      </c>
      <c r="Y40" s="865" t="s">
        <v>596</v>
      </c>
      <c r="Z40" s="865" t="s">
        <v>597</v>
      </c>
      <c r="AA40" s="865" t="s">
        <v>70</v>
      </c>
      <c r="AB40" s="866">
        <v>2004.0</v>
      </c>
      <c r="AC40" s="867">
        <v>1862.690391</v>
      </c>
      <c r="AD40" s="867">
        <v>2132.812124</v>
      </c>
      <c r="AE40" s="868">
        <v>1622.70787</v>
      </c>
      <c r="AG40" s="869" t="s">
        <v>594</v>
      </c>
      <c r="AH40" s="865" t="s">
        <v>638</v>
      </c>
      <c r="AI40" s="865" t="s">
        <v>595</v>
      </c>
      <c r="AJ40" s="865" t="s">
        <v>596</v>
      </c>
      <c r="AK40" s="865" t="s">
        <v>597</v>
      </c>
      <c r="AL40" s="865" t="s">
        <v>598</v>
      </c>
      <c r="AM40" s="866">
        <v>2019.0</v>
      </c>
      <c r="AN40" s="867">
        <v>2405.630535</v>
      </c>
      <c r="AO40" s="867">
        <v>2972.029829</v>
      </c>
      <c r="AP40" s="868">
        <v>1973.320937</v>
      </c>
      <c r="AR40" s="869" t="s">
        <v>594</v>
      </c>
      <c r="AS40" s="865" t="s">
        <v>638</v>
      </c>
      <c r="AT40" s="865" t="s">
        <v>595</v>
      </c>
      <c r="AU40" s="865" t="s">
        <v>596</v>
      </c>
      <c r="AV40" s="865" t="s">
        <v>599</v>
      </c>
      <c r="AW40" s="865" t="s">
        <v>598</v>
      </c>
      <c r="AX40" s="866">
        <v>2019.0</v>
      </c>
      <c r="AY40" s="867">
        <v>3.636730357</v>
      </c>
      <c r="AZ40" s="867">
        <v>13.18670391</v>
      </c>
      <c r="BA40" s="868">
        <v>0.0</v>
      </c>
      <c r="BC40" s="869" t="s">
        <v>594</v>
      </c>
      <c r="BD40" s="865" t="s">
        <v>638</v>
      </c>
      <c r="BE40" s="865" t="s">
        <v>595</v>
      </c>
      <c r="BF40" s="865" t="s">
        <v>600</v>
      </c>
      <c r="BG40" s="865" t="s">
        <v>599</v>
      </c>
      <c r="BH40" s="865" t="s">
        <v>70</v>
      </c>
      <c r="BI40" s="866">
        <v>2019.0</v>
      </c>
      <c r="BJ40" s="867">
        <v>3.969684896</v>
      </c>
      <c r="BK40" s="867">
        <v>14.24780611</v>
      </c>
      <c r="BL40" s="868">
        <v>0.0</v>
      </c>
      <c r="BN40" s="869" t="s">
        <v>40</v>
      </c>
      <c r="BO40" s="865" t="s">
        <v>638</v>
      </c>
      <c r="BP40" s="865" t="s">
        <v>595</v>
      </c>
      <c r="BQ40" s="865" t="s">
        <v>600</v>
      </c>
      <c r="BR40" s="865" t="s">
        <v>599</v>
      </c>
      <c r="BS40" s="865" t="s">
        <v>598</v>
      </c>
      <c r="BT40" s="866">
        <v>2019.0</v>
      </c>
      <c r="BU40" s="867">
        <v>44.00894324</v>
      </c>
      <c r="BV40" s="867">
        <v>107.8617093</v>
      </c>
      <c r="BW40" s="868">
        <v>0.0</v>
      </c>
      <c r="BY40" s="870" t="s">
        <v>594</v>
      </c>
      <c r="BZ40" s="871" t="s">
        <v>672</v>
      </c>
      <c r="CA40" s="871" t="s">
        <v>595</v>
      </c>
      <c r="CB40" s="871" t="s">
        <v>600</v>
      </c>
      <c r="CC40" s="871" t="s">
        <v>597</v>
      </c>
      <c r="CD40" s="871" t="s">
        <v>70</v>
      </c>
      <c r="CE40" s="872">
        <v>2019.0</v>
      </c>
      <c r="CF40" s="873">
        <v>120216.7235</v>
      </c>
      <c r="CG40" s="873">
        <v>146534.652135889</v>
      </c>
      <c r="CH40" s="874">
        <v>99461.714542083</v>
      </c>
      <c r="CI40" s="530"/>
    </row>
    <row r="41">
      <c r="A41" s="857"/>
      <c r="B41" s="865" t="s">
        <v>590</v>
      </c>
      <c r="C41" s="865" t="s">
        <v>591</v>
      </c>
      <c r="D41" s="865" t="s">
        <v>673</v>
      </c>
      <c r="E41" s="866">
        <v>2019.0</v>
      </c>
      <c r="F41" s="865" t="s">
        <v>593</v>
      </c>
      <c r="G41" s="865" t="s">
        <v>70</v>
      </c>
      <c r="H41" s="867">
        <v>20550.49108</v>
      </c>
      <c r="I41" s="867">
        <v>22581.17522</v>
      </c>
      <c r="J41" s="868">
        <v>18447.8274</v>
      </c>
      <c r="K41" s="50"/>
      <c r="L41" s="869" t="s">
        <v>590</v>
      </c>
      <c r="M41" s="865" t="s">
        <v>591</v>
      </c>
      <c r="N41" s="865" t="s">
        <v>673</v>
      </c>
      <c r="O41" s="866">
        <v>2004.0</v>
      </c>
      <c r="P41" s="865" t="s">
        <v>593</v>
      </c>
      <c r="Q41" s="865" t="s">
        <v>70</v>
      </c>
      <c r="R41" s="867">
        <v>9639.574341</v>
      </c>
      <c r="S41" s="867">
        <v>10973.09702</v>
      </c>
      <c r="T41" s="868">
        <v>8373.632811</v>
      </c>
      <c r="V41" s="869" t="s">
        <v>594</v>
      </c>
      <c r="W41" s="865" t="s">
        <v>638</v>
      </c>
      <c r="X41" s="865" t="s">
        <v>595</v>
      </c>
      <c r="Y41" s="865" t="s">
        <v>602</v>
      </c>
      <c r="Z41" s="865" t="s">
        <v>597</v>
      </c>
      <c r="AA41" s="865" t="s">
        <v>70</v>
      </c>
      <c r="AB41" s="866">
        <v>2004.0</v>
      </c>
      <c r="AC41" s="867">
        <v>919.5362659</v>
      </c>
      <c r="AD41" s="867">
        <v>1068.616359</v>
      </c>
      <c r="AE41" s="868">
        <v>781.3368209</v>
      </c>
      <c r="AG41" s="869" t="s">
        <v>594</v>
      </c>
      <c r="AH41" s="865" t="s">
        <v>638</v>
      </c>
      <c r="AI41" s="865" t="s">
        <v>595</v>
      </c>
      <c r="AJ41" s="865" t="s">
        <v>602</v>
      </c>
      <c r="AK41" s="865" t="s">
        <v>597</v>
      </c>
      <c r="AL41" s="865" t="s">
        <v>598</v>
      </c>
      <c r="AM41" s="866">
        <v>2019.0</v>
      </c>
      <c r="AN41" s="867">
        <v>254.3237844</v>
      </c>
      <c r="AO41" s="867">
        <v>307.852641</v>
      </c>
      <c r="AP41" s="868">
        <v>210.7476902</v>
      </c>
      <c r="AR41" s="869" t="s">
        <v>594</v>
      </c>
      <c r="AS41" s="865" t="s">
        <v>638</v>
      </c>
      <c r="AT41" s="865" t="s">
        <v>595</v>
      </c>
      <c r="AU41" s="865" t="s">
        <v>602</v>
      </c>
      <c r="AV41" s="865" t="s">
        <v>599</v>
      </c>
      <c r="AW41" s="865" t="s">
        <v>598</v>
      </c>
      <c r="AX41" s="866">
        <v>2019.0</v>
      </c>
      <c r="AY41" s="867">
        <v>2.672688178</v>
      </c>
      <c r="AZ41" s="867">
        <v>9.411408435</v>
      </c>
      <c r="BA41" s="868">
        <v>0.0</v>
      </c>
      <c r="BC41" s="869" t="s">
        <v>594</v>
      </c>
      <c r="BD41" s="865" t="s">
        <v>638</v>
      </c>
      <c r="BE41" s="865" t="s">
        <v>595</v>
      </c>
      <c r="BF41" s="865" t="s">
        <v>603</v>
      </c>
      <c r="BG41" s="865" t="s">
        <v>599</v>
      </c>
      <c r="BH41" s="865" t="s">
        <v>70</v>
      </c>
      <c r="BI41" s="866">
        <v>2019.0</v>
      </c>
      <c r="BJ41" s="867">
        <v>9.103128653</v>
      </c>
      <c r="BK41" s="867">
        <v>31.87851054</v>
      </c>
      <c r="BL41" s="868">
        <v>0.0</v>
      </c>
      <c r="BN41" s="869" t="s">
        <v>40</v>
      </c>
      <c r="BO41" s="865" t="s">
        <v>638</v>
      </c>
      <c r="BP41" s="865" t="s">
        <v>595</v>
      </c>
      <c r="BQ41" s="865" t="s">
        <v>604</v>
      </c>
      <c r="BR41" s="865" t="s">
        <v>599</v>
      </c>
      <c r="BS41" s="865" t="s">
        <v>598</v>
      </c>
      <c r="BT41" s="866">
        <v>2019.0</v>
      </c>
      <c r="BU41" s="867">
        <v>82.31938399</v>
      </c>
      <c r="BV41" s="867">
        <v>193.958058</v>
      </c>
      <c r="BW41" s="868">
        <v>0.0</v>
      </c>
      <c r="BY41" s="870" t="s">
        <v>594</v>
      </c>
      <c r="BZ41" s="871" t="s">
        <v>121</v>
      </c>
      <c r="CA41" s="871" t="s">
        <v>595</v>
      </c>
      <c r="CB41" s="871" t="s">
        <v>600</v>
      </c>
      <c r="CC41" s="871" t="s">
        <v>597</v>
      </c>
      <c r="CD41" s="871" t="s">
        <v>70</v>
      </c>
      <c r="CE41" s="872">
        <v>2019.0</v>
      </c>
      <c r="CF41" s="873">
        <v>773095.333843441</v>
      </c>
      <c r="CG41" s="873">
        <v>956700.776198047</v>
      </c>
      <c r="CH41" s="874">
        <v>627658.810465224</v>
      </c>
      <c r="CI41" s="530"/>
    </row>
    <row r="42">
      <c r="A42" s="857"/>
      <c r="B42" s="865" t="s">
        <v>590</v>
      </c>
      <c r="C42" s="865" t="s">
        <v>591</v>
      </c>
      <c r="D42" s="865" t="s">
        <v>674</v>
      </c>
      <c r="E42" s="866">
        <v>2019.0</v>
      </c>
      <c r="F42" s="865" t="s">
        <v>593</v>
      </c>
      <c r="G42" s="865" t="s">
        <v>70</v>
      </c>
      <c r="H42" s="867">
        <v>6232.585455</v>
      </c>
      <c r="I42" s="867">
        <v>6848.454554</v>
      </c>
      <c r="J42" s="868">
        <v>5594.886285</v>
      </c>
      <c r="K42" s="50"/>
      <c r="L42" s="869" t="s">
        <v>590</v>
      </c>
      <c r="M42" s="865" t="s">
        <v>591</v>
      </c>
      <c r="N42" s="865" t="s">
        <v>674</v>
      </c>
      <c r="O42" s="866">
        <v>2004.0</v>
      </c>
      <c r="P42" s="865" t="s">
        <v>593</v>
      </c>
      <c r="Q42" s="865" t="s">
        <v>70</v>
      </c>
      <c r="R42" s="867">
        <v>2650.964066</v>
      </c>
      <c r="S42" s="867">
        <v>3017.694024</v>
      </c>
      <c r="T42" s="868">
        <v>2302.819492</v>
      </c>
      <c r="V42" s="869" t="s">
        <v>594</v>
      </c>
      <c r="W42" s="865" t="s">
        <v>640</v>
      </c>
      <c r="X42" s="865" t="s">
        <v>595</v>
      </c>
      <c r="Y42" s="865" t="s">
        <v>596</v>
      </c>
      <c r="Z42" s="865" t="s">
        <v>597</v>
      </c>
      <c r="AA42" s="865" t="s">
        <v>70</v>
      </c>
      <c r="AB42" s="866">
        <v>2004.0</v>
      </c>
      <c r="AC42" s="867">
        <v>98874.51896</v>
      </c>
      <c r="AD42" s="867">
        <v>112029.7762</v>
      </c>
      <c r="AE42" s="868">
        <v>86712.51092</v>
      </c>
      <c r="AG42" s="869" t="s">
        <v>594</v>
      </c>
      <c r="AH42" s="865" t="s">
        <v>640</v>
      </c>
      <c r="AI42" s="865" t="s">
        <v>595</v>
      </c>
      <c r="AJ42" s="865" t="s">
        <v>596</v>
      </c>
      <c r="AK42" s="865" t="s">
        <v>597</v>
      </c>
      <c r="AL42" s="865" t="s">
        <v>598</v>
      </c>
      <c r="AM42" s="866">
        <v>2019.0</v>
      </c>
      <c r="AN42" s="867">
        <v>1337.74869</v>
      </c>
      <c r="AO42" s="867">
        <v>1709.290155</v>
      </c>
      <c r="AP42" s="868">
        <v>1053.51141</v>
      </c>
      <c r="AR42" s="869" t="s">
        <v>594</v>
      </c>
      <c r="AS42" s="865" t="s">
        <v>640</v>
      </c>
      <c r="AT42" s="865" t="s">
        <v>595</v>
      </c>
      <c r="AU42" s="865" t="s">
        <v>596</v>
      </c>
      <c r="AV42" s="865" t="s">
        <v>599</v>
      </c>
      <c r="AW42" s="865" t="s">
        <v>598</v>
      </c>
      <c r="AX42" s="866">
        <v>2019.0</v>
      </c>
      <c r="AY42" s="867">
        <v>115.2673912</v>
      </c>
      <c r="AZ42" s="867">
        <v>312.8667803</v>
      </c>
      <c r="BA42" s="868">
        <v>22.29503853</v>
      </c>
      <c r="BC42" s="869" t="s">
        <v>594</v>
      </c>
      <c r="BD42" s="865" t="s">
        <v>640</v>
      </c>
      <c r="BE42" s="865" t="s">
        <v>595</v>
      </c>
      <c r="BF42" s="865" t="s">
        <v>600</v>
      </c>
      <c r="BG42" s="865" t="s">
        <v>599</v>
      </c>
      <c r="BH42" s="865" t="s">
        <v>70</v>
      </c>
      <c r="BI42" s="866">
        <v>2019.0</v>
      </c>
      <c r="BJ42" s="867">
        <v>11315.44823</v>
      </c>
      <c r="BK42" s="867">
        <v>29671.38278</v>
      </c>
      <c r="BL42" s="868">
        <v>2239.456991</v>
      </c>
      <c r="BN42" s="869" t="s">
        <v>40</v>
      </c>
      <c r="BO42" s="865" t="s">
        <v>640</v>
      </c>
      <c r="BP42" s="865" t="s">
        <v>595</v>
      </c>
      <c r="BQ42" s="865" t="s">
        <v>600</v>
      </c>
      <c r="BR42" s="865" t="s">
        <v>599</v>
      </c>
      <c r="BS42" s="865" t="s">
        <v>598</v>
      </c>
      <c r="BT42" s="866">
        <v>2019.0</v>
      </c>
      <c r="BU42" s="867">
        <v>7705.646345</v>
      </c>
      <c r="BV42" s="867">
        <v>27723.24128</v>
      </c>
      <c r="BW42" s="868">
        <v>1410.875117</v>
      </c>
      <c r="BY42" s="870" t="s">
        <v>594</v>
      </c>
      <c r="BZ42" s="871" t="s">
        <v>675</v>
      </c>
      <c r="CA42" s="871" t="s">
        <v>595</v>
      </c>
      <c r="CB42" s="871" t="s">
        <v>600</v>
      </c>
      <c r="CC42" s="871" t="s">
        <v>597</v>
      </c>
      <c r="CD42" s="871" t="s">
        <v>70</v>
      </c>
      <c r="CE42" s="872">
        <v>2019.0</v>
      </c>
      <c r="CF42" s="873">
        <v>420330.337649187</v>
      </c>
      <c r="CG42" s="873">
        <v>507253.079335794</v>
      </c>
      <c r="CH42" s="874">
        <v>346371.119462696</v>
      </c>
      <c r="CI42" s="530"/>
    </row>
    <row r="43">
      <c r="A43" s="857"/>
      <c r="B43" s="865" t="s">
        <v>590</v>
      </c>
      <c r="C43" s="865" t="s">
        <v>591</v>
      </c>
      <c r="D43" s="865" t="s">
        <v>676</v>
      </c>
      <c r="E43" s="866">
        <v>2019.0</v>
      </c>
      <c r="F43" s="865" t="s">
        <v>593</v>
      </c>
      <c r="G43" s="865" t="s">
        <v>70</v>
      </c>
      <c r="H43" s="867">
        <v>1314.957405</v>
      </c>
      <c r="I43" s="867">
        <v>1444.894112</v>
      </c>
      <c r="J43" s="868">
        <v>1180.414966</v>
      </c>
      <c r="K43" s="50"/>
      <c r="L43" s="869" t="s">
        <v>590</v>
      </c>
      <c r="M43" s="865" t="s">
        <v>591</v>
      </c>
      <c r="N43" s="865" t="s">
        <v>676</v>
      </c>
      <c r="O43" s="866">
        <v>2004.0</v>
      </c>
      <c r="P43" s="865" t="s">
        <v>593</v>
      </c>
      <c r="Q43" s="865" t="s">
        <v>70</v>
      </c>
      <c r="R43" s="867">
        <v>506.5398846</v>
      </c>
      <c r="S43" s="867">
        <v>576.6137695</v>
      </c>
      <c r="T43" s="868">
        <v>440.0172505</v>
      </c>
      <c r="V43" s="869" t="s">
        <v>594</v>
      </c>
      <c r="W43" s="865" t="s">
        <v>640</v>
      </c>
      <c r="X43" s="865" t="s">
        <v>595</v>
      </c>
      <c r="Y43" s="865" t="s">
        <v>602</v>
      </c>
      <c r="Z43" s="865" t="s">
        <v>597</v>
      </c>
      <c r="AA43" s="865" t="s">
        <v>70</v>
      </c>
      <c r="AB43" s="866">
        <v>2004.0</v>
      </c>
      <c r="AC43" s="867">
        <v>130887.2312</v>
      </c>
      <c r="AD43" s="867">
        <v>150238.3407</v>
      </c>
      <c r="AE43" s="868">
        <v>114827.77</v>
      </c>
      <c r="AG43" s="869" t="s">
        <v>594</v>
      </c>
      <c r="AH43" s="865" t="s">
        <v>640</v>
      </c>
      <c r="AI43" s="865" t="s">
        <v>595</v>
      </c>
      <c r="AJ43" s="865" t="s">
        <v>602</v>
      </c>
      <c r="AK43" s="865" t="s">
        <v>597</v>
      </c>
      <c r="AL43" s="865" t="s">
        <v>598</v>
      </c>
      <c r="AM43" s="866">
        <v>2019.0</v>
      </c>
      <c r="AN43" s="867">
        <v>372.6225595</v>
      </c>
      <c r="AO43" s="867">
        <v>470.1449978</v>
      </c>
      <c r="AP43" s="868">
        <v>295.3088594</v>
      </c>
      <c r="AR43" s="869" t="s">
        <v>594</v>
      </c>
      <c r="AS43" s="865" t="s">
        <v>640</v>
      </c>
      <c r="AT43" s="865" t="s">
        <v>595</v>
      </c>
      <c r="AU43" s="865" t="s">
        <v>602</v>
      </c>
      <c r="AV43" s="865" t="s">
        <v>599</v>
      </c>
      <c r="AW43" s="865" t="s">
        <v>598</v>
      </c>
      <c r="AX43" s="866">
        <v>2019.0</v>
      </c>
      <c r="AY43" s="867">
        <v>48.34937341</v>
      </c>
      <c r="AZ43" s="867">
        <v>121.2930679</v>
      </c>
      <c r="BA43" s="868">
        <v>9.920981172</v>
      </c>
      <c r="BC43" s="869" t="s">
        <v>594</v>
      </c>
      <c r="BD43" s="865" t="s">
        <v>640</v>
      </c>
      <c r="BE43" s="865" t="s">
        <v>595</v>
      </c>
      <c r="BF43" s="865" t="s">
        <v>603</v>
      </c>
      <c r="BG43" s="865" t="s">
        <v>599</v>
      </c>
      <c r="BH43" s="865" t="s">
        <v>70</v>
      </c>
      <c r="BI43" s="866">
        <v>2019.0</v>
      </c>
      <c r="BJ43" s="867">
        <v>13103.66268</v>
      </c>
      <c r="BK43" s="867">
        <v>34632.11072</v>
      </c>
      <c r="BL43" s="868">
        <v>2584.935613</v>
      </c>
      <c r="BN43" s="869" t="s">
        <v>40</v>
      </c>
      <c r="BO43" s="865" t="s">
        <v>640</v>
      </c>
      <c r="BP43" s="865" t="s">
        <v>595</v>
      </c>
      <c r="BQ43" s="865" t="s">
        <v>604</v>
      </c>
      <c r="BR43" s="865" t="s">
        <v>599</v>
      </c>
      <c r="BS43" s="865" t="s">
        <v>598</v>
      </c>
      <c r="BT43" s="866">
        <v>2019.0</v>
      </c>
      <c r="BU43" s="867">
        <v>6213.620186</v>
      </c>
      <c r="BV43" s="867">
        <v>18261.97899</v>
      </c>
      <c r="BW43" s="868">
        <v>1719.734869</v>
      </c>
      <c r="BY43" s="870" t="s">
        <v>594</v>
      </c>
      <c r="BZ43" s="871" t="s">
        <v>677</v>
      </c>
      <c r="CA43" s="871" t="s">
        <v>595</v>
      </c>
      <c r="CB43" s="871" t="s">
        <v>600</v>
      </c>
      <c r="CC43" s="871" t="s">
        <v>597</v>
      </c>
      <c r="CD43" s="871" t="s">
        <v>70</v>
      </c>
      <c r="CE43" s="872">
        <v>2019.0</v>
      </c>
      <c r="CF43" s="873">
        <v>16275.222111123</v>
      </c>
      <c r="CG43" s="873">
        <v>21196.2165164908</v>
      </c>
      <c r="CH43" s="874">
        <v>12581.5510212226</v>
      </c>
      <c r="CI43" s="530"/>
    </row>
    <row r="44">
      <c r="A44" s="857"/>
      <c r="B44" s="865" t="s">
        <v>590</v>
      </c>
      <c r="C44" s="865" t="s">
        <v>591</v>
      </c>
      <c r="D44" s="865" t="s">
        <v>678</v>
      </c>
      <c r="E44" s="866">
        <v>2019.0</v>
      </c>
      <c r="F44" s="865" t="s">
        <v>593</v>
      </c>
      <c r="G44" s="865" t="s">
        <v>70</v>
      </c>
      <c r="H44" s="867">
        <v>3.013852138E7</v>
      </c>
      <c r="I44" s="867">
        <v>3.311664083E7</v>
      </c>
      <c r="J44" s="868">
        <v>2.705483962E7</v>
      </c>
      <c r="K44" s="50"/>
      <c r="L44" s="869" t="s">
        <v>590</v>
      </c>
      <c r="M44" s="865" t="s">
        <v>591</v>
      </c>
      <c r="N44" s="865" t="s">
        <v>678</v>
      </c>
      <c r="O44" s="866">
        <v>2004.0</v>
      </c>
      <c r="P44" s="865" t="s">
        <v>593</v>
      </c>
      <c r="Q44" s="865" t="s">
        <v>70</v>
      </c>
      <c r="R44" s="867">
        <v>1.723144196E7</v>
      </c>
      <c r="S44" s="867">
        <v>1.961521098E7</v>
      </c>
      <c r="T44" s="868">
        <v>1.496847918E7</v>
      </c>
      <c r="V44" s="869" t="s">
        <v>594</v>
      </c>
      <c r="W44" s="865" t="s">
        <v>642</v>
      </c>
      <c r="X44" s="865" t="s">
        <v>595</v>
      </c>
      <c r="Y44" s="865" t="s">
        <v>596</v>
      </c>
      <c r="Z44" s="865" t="s">
        <v>597</v>
      </c>
      <c r="AA44" s="865" t="s">
        <v>70</v>
      </c>
      <c r="AB44" s="866">
        <v>2004.0</v>
      </c>
      <c r="AC44" s="867">
        <v>855.5904241</v>
      </c>
      <c r="AD44" s="867">
        <v>1074.979417</v>
      </c>
      <c r="AE44" s="868">
        <v>661.0642186</v>
      </c>
      <c r="AG44" s="869" t="s">
        <v>594</v>
      </c>
      <c r="AH44" s="865" t="s">
        <v>642</v>
      </c>
      <c r="AI44" s="865" t="s">
        <v>595</v>
      </c>
      <c r="AJ44" s="865" t="s">
        <v>596</v>
      </c>
      <c r="AK44" s="865" t="s">
        <v>597</v>
      </c>
      <c r="AL44" s="865" t="s">
        <v>598</v>
      </c>
      <c r="AM44" s="866">
        <v>2019.0</v>
      </c>
      <c r="AN44" s="867">
        <v>790.9445474</v>
      </c>
      <c r="AO44" s="867">
        <v>1111.157725</v>
      </c>
      <c r="AP44" s="868">
        <v>565.6705283</v>
      </c>
      <c r="AR44" s="869" t="s">
        <v>594</v>
      </c>
      <c r="AS44" s="865" t="s">
        <v>642</v>
      </c>
      <c r="AT44" s="865" t="s">
        <v>595</v>
      </c>
      <c r="AU44" s="865" t="s">
        <v>596</v>
      </c>
      <c r="AV44" s="865" t="s">
        <v>599</v>
      </c>
      <c r="AW44" s="865" t="s">
        <v>598</v>
      </c>
      <c r="AX44" s="866">
        <v>2019.0</v>
      </c>
      <c r="AY44" s="867">
        <v>231.3997029</v>
      </c>
      <c r="AZ44" s="867">
        <v>467.6704576</v>
      </c>
      <c r="BA44" s="868">
        <v>86.81841502</v>
      </c>
      <c r="BC44" s="869" t="s">
        <v>594</v>
      </c>
      <c r="BD44" s="865" t="s">
        <v>642</v>
      </c>
      <c r="BE44" s="865" t="s">
        <v>595</v>
      </c>
      <c r="BF44" s="865" t="s">
        <v>600</v>
      </c>
      <c r="BG44" s="865" t="s">
        <v>599</v>
      </c>
      <c r="BH44" s="865" t="s">
        <v>70</v>
      </c>
      <c r="BI44" s="866">
        <v>2019.0</v>
      </c>
      <c r="BJ44" s="867">
        <v>228.3680289</v>
      </c>
      <c r="BK44" s="867">
        <v>457.1274324</v>
      </c>
      <c r="BL44" s="868">
        <v>90.00502628</v>
      </c>
      <c r="BN44" s="869" t="s">
        <v>40</v>
      </c>
      <c r="BO44" s="865" t="s">
        <v>642</v>
      </c>
      <c r="BP44" s="865" t="s">
        <v>595</v>
      </c>
      <c r="BQ44" s="865" t="s">
        <v>600</v>
      </c>
      <c r="BR44" s="865" t="s">
        <v>599</v>
      </c>
      <c r="BS44" s="865" t="s">
        <v>598</v>
      </c>
      <c r="BT44" s="866">
        <v>2019.0</v>
      </c>
      <c r="BU44" s="867">
        <v>77771.04946</v>
      </c>
      <c r="BV44" s="867">
        <v>142040.988</v>
      </c>
      <c r="BW44" s="868">
        <v>27861.47356</v>
      </c>
      <c r="BY44" s="870" t="s">
        <v>594</v>
      </c>
      <c r="BZ44" s="871" t="s">
        <v>679</v>
      </c>
      <c r="CA44" s="871" t="s">
        <v>595</v>
      </c>
      <c r="CB44" s="871" t="s">
        <v>600</v>
      </c>
      <c r="CC44" s="871" t="s">
        <v>597</v>
      </c>
      <c r="CD44" s="871" t="s">
        <v>70</v>
      </c>
      <c r="CE44" s="872">
        <v>2019.0</v>
      </c>
      <c r="CF44" s="873">
        <v>119.328358489558</v>
      </c>
      <c r="CG44" s="873">
        <v>160.843095121941</v>
      </c>
      <c r="CH44" s="874">
        <v>86.9535669169373</v>
      </c>
      <c r="CI44" s="530"/>
    </row>
    <row r="45">
      <c r="A45" s="857"/>
      <c r="B45" s="865" t="s">
        <v>590</v>
      </c>
      <c r="C45" s="865" t="s">
        <v>591</v>
      </c>
      <c r="D45" s="865" t="s">
        <v>680</v>
      </c>
      <c r="E45" s="866">
        <v>2019.0</v>
      </c>
      <c r="F45" s="865" t="s">
        <v>593</v>
      </c>
      <c r="G45" s="865" t="s">
        <v>70</v>
      </c>
      <c r="H45" s="867">
        <v>1104438.755</v>
      </c>
      <c r="I45" s="867">
        <v>1214100.479</v>
      </c>
      <c r="J45" s="868">
        <v>999012.3576</v>
      </c>
      <c r="K45" s="50"/>
      <c r="L45" s="869" t="s">
        <v>590</v>
      </c>
      <c r="M45" s="865" t="s">
        <v>591</v>
      </c>
      <c r="N45" s="865" t="s">
        <v>680</v>
      </c>
      <c r="O45" s="866">
        <v>2004.0</v>
      </c>
      <c r="P45" s="865" t="s">
        <v>593</v>
      </c>
      <c r="Q45" s="865" t="s">
        <v>70</v>
      </c>
      <c r="R45" s="867">
        <v>822520.0914</v>
      </c>
      <c r="S45" s="867">
        <v>873723.5669</v>
      </c>
      <c r="T45" s="868">
        <v>768889.534</v>
      </c>
      <c r="V45" s="869" t="s">
        <v>594</v>
      </c>
      <c r="W45" s="865" t="s">
        <v>642</v>
      </c>
      <c r="X45" s="865" t="s">
        <v>595</v>
      </c>
      <c r="Y45" s="865" t="s">
        <v>602</v>
      </c>
      <c r="Z45" s="865" t="s">
        <v>597</v>
      </c>
      <c r="AA45" s="865" t="s">
        <v>70</v>
      </c>
      <c r="AB45" s="866">
        <v>2004.0</v>
      </c>
      <c r="AC45" s="867">
        <v>793.2523988</v>
      </c>
      <c r="AD45" s="867">
        <v>1019.369783</v>
      </c>
      <c r="AE45" s="868">
        <v>604.6962937</v>
      </c>
      <c r="AG45" s="869" t="s">
        <v>594</v>
      </c>
      <c r="AH45" s="865" t="s">
        <v>642</v>
      </c>
      <c r="AI45" s="865" t="s">
        <v>595</v>
      </c>
      <c r="AJ45" s="865" t="s">
        <v>602</v>
      </c>
      <c r="AK45" s="865" t="s">
        <v>597</v>
      </c>
      <c r="AL45" s="865" t="s">
        <v>598</v>
      </c>
      <c r="AM45" s="866">
        <v>2019.0</v>
      </c>
      <c r="AN45" s="867">
        <v>194.7642077</v>
      </c>
      <c r="AO45" s="867">
        <v>270.2101108</v>
      </c>
      <c r="AP45" s="868">
        <v>140.4888331</v>
      </c>
      <c r="AR45" s="869" t="s">
        <v>594</v>
      </c>
      <c r="AS45" s="865" t="s">
        <v>642</v>
      </c>
      <c r="AT45" s="865" t="s">
        <v>595</v>
      </c>
      <c r="AU45" s="865" t="s">
        <v>602</v>
      </c>
      <c r="AV45" s="865" t="s">
        <v>599</v>
      </c>
      <c r="AW45" s="865" t="s">
        <v>598</v>
      </c>
      <c r="AX45" s="866">
        <v>2019.0</v>
      </c>
      <c r="AY45" s="867">
        <v>70.74437775</v>
      </c>
      <c r="AZ45" s="867">
        <v>134.842692</v>
      </c>
      <c r="BA45" s="868">
        <v>28.73192981</v>
      </c>
      <c r="BC45" s="869" t="s">
        <v>594</v>
      </c>
      <c r="BD45" s="865" t="s">
        <v>642</v>
      </c>
      <c r="BE45" s="865" t="s">
        <v>595</v>
      </c>
      <c r="BF45" s="865" t="s">
        <v>603</v>
      </c>
      <c r="BG45" s="865" t="s">
        <v>599</v>
      </c>
      <c r="BH45" s="865" t="s">
        <v>70</v>
      </c>
      <c r="BI45" s="866">
        <v>2019.0</v>
      </c>
      <c r="BJ45" s="867">
        <v>714.8195765</v>
      </c>
      <c r="BK45" s="867">
        <v>1615.129322</v>
      </c>
      <c r="BL45" s="868">
        <v>247.8956433</v>
      </c>
      <c r="BN45" s="869" t="s">
        <v>40</v>
      </c>
      <c r="BO45" s="865" t="s">
        <v>642</v>
      </c>
      <c r="BP45" s="865" t="s">
        <v>595</v>
      </c>
      <c r="BQ45" s="865" t="s">
        <v>604</v>
      </c>
      <c r="BR45" s="865" t="s">
        <v>599</v>
      </c>
      <c r="BS45" s="865" t="s">
        <v>598</v>
      </c>
      <c r="BT45" s="866">
        <v>2019.0</v>
      </c>
      <c r="BU45" s="867">
        <v>31543.41388</v>
      </c>
      <c r="BV45" s="867">
        <v>58783.34359</v>
      </c>
      <c r="BW45" s="868">
        <v>13627.22694</v>
      </c>
      <c r="BY45" s="870" t="s">
        <v>594</v>
      </c>
      <c r="BZ45" s="871" t="s">
        <v>681</v>
      </c>
      <c r="CA45" s="871" t="s">
        <v>595</v>
      </c>
      <c r="CB45" s="871" t="s">
        <v>600</v>
      </c>
      <c r="CC45" s="871" t="s">
        <v>597</v>
      </c>
      <c r="CD45" s="871" t="s">
        <v>70</v>
      </c>
      <c r="CE45" s="872">
        <v>2019.0</v>
      </c>
      <c r="CF45" s="873">
        <v>22847.4623891066</v>
      </c>
      <c r="CG45" s="873">
        <v>28597.6045232895</v>
      </c>
      <c r="CH45" s="874">
        <v>18406.709185662</v>
      </c>
      <c r="CI45" s="530"/>
    </row>
    <row r="46">
      <c r="A46" s="857"/>
      <c r="B46" s="865" t="s">
        <v>590</v>
      </c>
      <c r="C46" s="865" t="s">
        <v>591</v>
      </c>
      <c r="D46" s="865" t="s">
        <v>682</v>
      </c>
      <c r="E46" s="866">
        <v>2019.0</v>
      </c>
      <c r="F46" s="865" t="s">
        <v>593</v>
      </c>
      <c r="G46" s="865" t="s">
        <v>70</v>
      </c>
      <c r="H46" s="867">
        <v>21032.61152</v>
      </c>
      <c r="I46" s="867">
        <v>23110.93609</v>
      </c>
      <c r="J46" s="868">
        <v>18880.61874</v>
      </c>
      <c r="K46" s="50"/>
      <c r="L46" s="869" t="s">
        <v>590</v>
      </c>
      <c r="M46" s="865" t="s">
        <v>591</v>
      </c>
      <c r="N46" s="865" t="s">
        <v>682</v>
      </c>
      <c r="O46" s="866">
        <v>2004.0</v>
      </c>
      <c r="P46" s="865" t="s">
        <v>593</v>
      </c>
      <c r="Q46" s="865" t="s">
        <v>70</v>
      </c>
      <c r="R46" s="867">
        <v>15647.48894</v>
      </c>
      <c r="S46" s="867">
        <v>17812.13653</v>
      </c>
      <c r="T46" s="868">
        <v>13592.5428</v>
      </c>
      <c r="V46" s="869" t="s">
        <v>594</v>
      </c>
      <c r="W46" s="865" t="s">
        <v>644</v>
      </c>
      <c r="X46" s="865" t="s">
        <v>595</v>
      </c>
      <c r="Y46" s="865" t="s">
        <v>596</v>
      </c>
      <c r="Z46" s="865" t="s">
        <v>597</v>
      </c>
      <c r="AA46" s="865" t="s">
        <v>70</v>
      </c>
      <c r="AB46" s="866">
        <v>2004.0</v>
      </c>
      <c r="AC46" s="867">
        <v>1150.095292</v>
      </c>
      <c r="AD46" s="867">
        <v>1330.17022</v>
      </c>
      <c r="AE46" s="868">
        <v>979.628367</v>
      </c>
      <c r="AG46" s="869" t="s">
        <v>594</v>
      </c>
      <c r="AH46" s="865" t="s">
        <v>644</v>
      </c>
      <c r="AI46" s="865" t="s">
        <v>595</v>
      </c>
      <c r="AJ46" s="865" t="s">
        <v>596</v>
      </c>
      <c r="AK46" s="865" t="s">
        <v>597</v>
      </c>
      <c r="AL46" s="865" t="s">
        <v>598</v>
      </c>
      <c r="AM46" s="866">
        <v>2019.0</v>
      </c>
      <c r="AN46" s="867">
        <v>846.8928487</v>
      </c>
      <c r="AO46" s="867">
        <v>1155.437683</v>
      </c>
      <c r="AP46" s="868">
        <v>621.9459001</v>
      </c>
      <c r="AR46" s="869" t="s">
        <v>594</v>
      </c>
      <c r="AS46" s="865" t="s">
        <v>644</v>
      </c>
      <c r="AT46" s="865" t="s">
        <v>595</v>
      </c>
      <c r="AU46" s="865" t="s">
        <v>596</v>
      </c>
      <c r="AV46" s="865" t="s">
        <v>599</v>
      </c>
      <c r="AW46" s="865" t="s">
        <v>598</v>
      </c>
      <c r="AX46" s="866">
        <v>2019.0</v>
      </c>
      <c r="AY46" s="867">
        <v>73.59322526</v>
      </c>
      <c r="AZ46" s="867">
        <v>251.1624838</v>
      </c>
      <c r="BA46" s="868">
        <v>17.87176201</v>
      </c>
      <c r="BC46" s="869" t="s">
        <v>594</v>
      </c>
      <c r="BD46" s="865" t="s">
        <v>644</v>
      </c>
      <c r="BE46" s="865" t="s">
        <v>595</v>
      </c>
      <c r="BF46" s="865" t="s">
        <v>600</v>
      </c>
      <c r="BG46" s="865" t="s">
        <v>599</v>
      </c>
      <c r="BH46" s="865" t="s">
        <v>70</v>
      </c>
      <c r="BI46" s="866">
        <v>2019.0</v>
      </c>
      <c r="BJ46" s="867">
        <v>138.2856403</v>
      </c>
      <c r="BK46" s="867">
        <v>449.2974303</v>
      </c>
      <c r="BL46" s="868">
        <v>35.25925075</v>
      </c>
      <c r="BN46" s="869" t="s">
        <v>40</v>
      </c>
      <c r="BO46" s="865" t="s">
        <v>644</v>
      </c>
      <c r="BP46" s="865" t="s">
        <v>595</v>
      </c>
      <c r="BQ46" s="865" t="s">
        <v>600</v>
      </c>
      <c r="BR46" s="865" t="s">
        <v>599</v>
      </c>
      <c r="BS46" s="865" t="s">
        <v>598</v>
      </c>
      <c r="BT46" s="866">
        <v>2019.0</v>
      </c>
      <c r="BU46" s="867">
        <v>9553.693189</v>
      </c>
      <c r="BV46" s="867">
        <v>34921.88166</v>
      </c>
      <c r="BW46" s="868">
        <v>1013.17115</v>
      </c>
      <c r="BY46" s="870" t="s">
        <v>594</v>
      </c>
      <c r="BZ46" s="871" t="s">
        <v>683</v>
      </c>
      <c r="CA46" s="871" t="s">
        <v>595</v>
      </c>
      <c r="CB46" s="871" t="s">
        <v>600</v>
      </c>
      <c r="CC46" s="871" t="s">
        <v>597</v>
      </c>
      <c r="CD46" s="871" t="s">
        <v>70</v>
      </c>
      <c r="CE46" s="872">
        <v>2019.0</v>
      </c>
      <c r="CF46" s="873">
        <v>28123.7510164555</v>
      </c>
      <c r="CG46" s="873">
        <v>34295.3288767942</v>
      </c>
      <c r="CH46" s="874">
        <v>22859.6177932746</v>
      </c>
      <c r="CI46" s="530"/>
    </row>
    <row r="47">
      <c r="A47" s="857"/>
      <c r="B47" s="865" t="s">
        <v>590</v>
      </c>
      <c r="C47" s="865" t="s">
        <v>591</v>
      </c>
      <c r="D47" s="865" t="s">
        <v>684</v>
      </c>
      <c r="E47" s="866">
        <v>2019.0</v>
      </c>
      <c r="F47" s="865" t="s">
        <v>593</v>
      </c>
      <c r="G47" s="865" t="s">
        <v>70</v>
      </c>
      <c r="H47" s="867">
        <v>62342.20327</v>
      </c>
      <c r="I47" s="867">
        <v>68502.50974</v>
      </c>
      <c r="J47" s="868">
        <v>55963.53881</v>
      </c>
      <c r="K47" s="50"/>
      <c r="L47" s="869" t="s">
        <v>590</v>
      </c>
      <c r="M47" s="865" t="s">
        <v>591</v>
      </c>
      <c r="N47" s="865" t="s">
        <v>684</v>
      </c>
      <c r="O47" s="866">
        <v>2004.0</v>
      </c>
      <c r="P47" s="865" t="s">
        <v>593</v>
      </c>
      <c r="Q47" s="865" t="s">
        <v>70</v>
      </c>
      <c r="R47" s="867">
        <v>46043.50811</v>
      </c>
      <c r="S47" s="867">
        <v>52413.09042</v>
      </c>
      <c r="T47" s="868">
        <v>39996.72772</v>
      </c>
      <c r="V47" s="869" t="s">
        <v>594</v>
      </c>
      <c r="W47" s="865" t="s">
        <v>644</v>
      </c>
      <c r="X47" s="865" t="s">
        <v>595</v>
      </c>
      <c r="Y47" s="865" t="s">
        <v>602</v>
      </c>
      <c r="Z47" s="865" t="s">
        <v>597</v>
      </c>
      <c r="AA47" s="865" t="s">
        <v>70</v>
      </c>
      <c r="AB47" s="866">
        <v>2004.0</v>
      </c>
      <c r="AC47" s="867">
        <v>1852.323025</v>
      </c>
      <c r="AD47" s="867">
        <v>2292.855848</v>
      </c>
      <c r="AE47" s="868">
        <v>1489.997296</v>
      </c>
      <c r="AG47" s="869" t="s">
        <v>594</v>
      </c>
      <c r="AH47" s="865" t="s">
        <v>644</v>
      </c>
      <c r="AI47" s="865" t="s">
        <v>595</v>
      </c>
      <c r="AJ47" s="865" t="s">
        <v>602</v>
      </c>
      <c r="AK47" s="865" t="s">
        <v>597</v>
      </c>
      <c r="AL47" s="865" t="s">
        <v>598</v>
      </c>
      <c r="AM47" s="866">
        <v>2019.0</v>
      </c>
      <c r="AN47" s="867">
        <v>293.687611</v>
      </c>
      <c r="AO47" s="867">
        <v>393.5632078</v>
      </c>
      <c r="AP47" s="868">
        <v>217.2162334</v>
      </c>
      <c r="AR47" s="869" t="s">
        <v>594</v>
      </c>
      <c r="AS47" s="865" t="s">
        <v>644</v>
      </c>
      <c r="AT47" s="865" t="s">
        <v>595</v>
      </c>
      <c r="AU47" s="865" t="s">
        <v>602</v>
      </c>
      <c r="AV47" s="865" t="s">
        <v>599</v>
      </c>
      <c r="AW47" s="865" t="s">
        <v>598</v>
      </c>
      <c r="AX47" s="866">
        <v>2019.0</v>
      </c>
      <c r="AY47" s="867">
        <v>32.66542231</v>
      </c>
      <c r="AZ47" s="867">
        <v>105.8640126</v>
      </c>
      <c r="BA47" s="868">
        <v>8.288513709</v>
      </c>
      <c r="BC47" s="869" t="s">
        <v>594</v>
      </c>
      <c r="BD47" s="865" t="s">
        <v>644</v>
      </c>
      <c r="BE47" s="865" t="s">
        <v>595</v>
      </c>
      <c r="BF47" s="865" t="s">
        <v>603</v>
      </c>
      <c r="BG47" s="865" t="s">
        <v>599</v>
      </c>
      <c r="BH47" s="865" t="s">
        <v>70</v>
      </c>
      <c r="BI47" s="866">
        <v>2019.0</v>
      </c>
      <c r="BJ47" s="867">
        <v>637.4706962</v>
      </c>
      <c r="BK47" s="867">
        <v>2219.544082</v>
      </c>
      <c r="BL47" s="868">
        <v>166.5310114</v>
      </c>
      <c r="BN47" s="869" t="s">
        <v>40</v>
      </c>
      <c r="BO47" s="865" t="s">
        <v>644</v>
      </c>
      <c r="BP47" s="865" t="s">
        <v>595</v>
      </c>
      <c r="BQ47" s="865" t="s">
        <v>604</v>
      </c>
      <c r="BR47" s="865" t="s">
        <v>599</v>
      </c>
      <c r="BS47" s="865" t="s">
        <v>598</v>
      </c>
      <c r="BT47" s="866">
        <v>2019.0</v>
      </c>
      <c r="BU47" s="867">
        <v>7079.161374</v>
      </c>
      <c r="BV47" s="867">
        <v>21769.73077</v>
      </c>
      <c r="BW47" s="868">
        <v>1283.236794</v>
      </c>
      <c r="BY47" s="870" t="s">
        <v>594</v>
      </c>
      <c r="BZ47" s="871" t="s">
        <v>685</v>
      </c>
      <c r="CA47" s="871" t="s">
        <v>595</v>
      </c>
      <c r="CB47" s="871" t="s">
        <v>600</v>
      </c>
      <c r="CC47" s="871" t="s">
        <v>597</v>
      </c>
      <c r="CD47" s="871" t="s">
        <v>70</v>
      </c>
      <c r="CE47" s="872">
        <v>2019.0</v>
      </c>
      <c r="CF47" s="873">
        <v>80623.17048</v>
      </c>
      <c r="CG47" s="873">
        <v>103690.427101238</v>
      </c>
      <c r="CH47" s="874">
        <v>62945.0779700588</v>
      </c>
      <c r="CI47" s="530"/>
    </row>
    <row r="48">
      <c r="A48" s="857"/>
      <c r="B48" s="865" t="s">
        <v>590</v>
      </c>
      <c r="C48" s="865" t="s">
        <v>591</v>
      </c>
      <c r="D48" s="865" t="s">
        <v>686</v>
      </c>
      <c r="E48" s="866">
        <v>2019.0</v>
      </c>
      <c r="F48" s="865" t="s">
        <v>593</v>
      </c>
      <c r="G48" s="865" t="s">
        <v>70</v>
      </c>
      <c r="H48" s="867">
        <v>83374.81479</v>
      </c>
      <c r="I48" s="867">
        <v>91613.44584</v>
      </c>
      <c r="J48" s="868">
        <v>74844.15755</v>
      </c>
      <c r="K48" s="50"/>
      <c r="L48" s="869" t="s">
        <v>590</v>
      </c>
      <c r="M48" s="865" t="s">
        <v>591</v>
      </c>
      <c r="N48" s="865" t="s">
        <v>686</v>
      </c>
      <c r="O48" s="866">
        <v>2004.0</v>
      </c>
      <c r="P48" s="865" t="s">
        <v>593</v>
      </c>
      <c r="Q48" s="865" t="s">
        <v>70</v>
      </c>
      <c r="R48" s="867">
        <v>61690.99705</v>
      </c>
      <c r="S48" s="867">
        <v>70225.22695</v>
      </c>
      <c r="T48" s="868">
        <v>53589.27052</v>
      </c>
      <c r="V48" s="869" t="s">
        <v>594</v>
      </c>
      <c r="W48" s="865" t="s">
        <v>646</v>
      </c>
      <c r="X48" s="865" t="s">
        <v>595</v>
      </c>
      <c r="Y48" s="865" t="s">
        <v>596</v>
      </c>
      <c r="Z48" s="865" t="s">
        <v>597</v>
      </c>
      <c r="AA48" s="865" t="s">
        <v>70</v>
      </c>
      <c r="AB48" s="866">
        <v>2004.0</v>
      </c>
      <c r="AC48" s="867">
        <v>16854.49256</v>
      </c>
      <c r="AD48" s="867">
        <v>19198.77427</v>
      </c>
      <c r="AE48" s="868">
        <v>14629.56443</v>
      </c>
      <c r="AG48" s="869" t="s">
        <v>594</v>
      </c>
      <c r="AH48" s="865" t="s">
        <v>646</v>
      </c>
      <c r="AI48" s="865" t="s">
        <v>595</v>
      </c>
      <c r="AJ48" s="865" t="s">
        <v>596</v>
      </c>
      <c r="AK48" s="865" t="s">
        <v>597</v>
      </c>
      <c r="AL48" s="865" t="s">
        <v>598</v>
      </c>
      <c r="AM48" s="866">
        <v>2019.0</v>
      </c>
      <c r="AN48" s="867">
        <v>1405.249157</v>
      </c>
      <c r="AO48" s="867">
        <v>1971.363698</v>
      </c>
      <c r="AP48" s="868">
        <v>979.3492341</v>
      </c>
      <c r="AR48" s="869" t="s">
        <v>594</v>
      </c>
      <c r="AS48" s="865" t="s">
        <v>646</v>
      </c>
      <c r="AT48" s="865" t="s">
        <v>595</v>
      </c>
      <c r="AU48" s="865" t="s">
        <v>596</v>
      </c>
      <c r="AV48" s="865" t="s">
        <v>599</v>
      </c>
      <c r="AW48" s="865" t="s">
        <v>598</v>
      </c>
      <c r="AX48" s="866">
        <v>2019.0</v>
      </c>
      <c r="AY48" s="867">
        <v>475.6080764</v>
      </c>
      <c r="AZ48" s="867">
        <v>882.4882015</v>
      </c>
      <c r="BA48" s="868">
        <v>208.0791562</v>
      </c>
      <c r="BC48" s="869" t="s">
        <v>594</v>
      </c>
      <c r="BD48" s="865" t="s">
        <v>646</v>
      </c>
      <c r="BE48" s="865" t="s">
        <v>595</v>
      </c>
      <c r="BF48" s="865" t="s">
        <v>600</v>
      </c>
      <c r="BG48" s="865" t="s">
        <v>599</v>
      </c>
      <c r="BH48" s="865" t="s">
        <v>70</v>
      </c>
      <c r="BI48" s="866">
        <v>2019.0</v>
      </c>
      <c r="BJ48" s="867">
        <v>10111.71164</v>
      </c>
      <c r="BK48" s="867">
        <v>17188.50402</v>
      </c>
      <c r="BL48" s="868">
        <v>4680.592042</v>
      </c>
      <c r="BN48" s="869" t="s">
        <v>40</v>
      </c>
      <c r="BO48" s="865" t="s">
        <v>646</v>
      </c>
      <c r="BP48" s="865" t="s">
        <v>595</v>
      </c>
      <c r="BQ48" s="865" t="s">
        <v>600</v>
      </c>
      <c r="BR48" s="865" t="s">
        <v>599</v>
      </c>
      <c r="BS48" s="865" t="s">
        <v>598</v>
      </c>
      <c r="BT48" s="866">
        <v>2019.0</v>
      </c>
      <c r="BU48" s="867">
        <v>62259.8228</v>
      </c>
      <c r="BV48" s="867">
        <v>101437.1313</v>
      </c>
      <c r="BW48" s="868">
        <v>28314.64262</v>
      </c>
      <c r="BY48" s="870" t="s">
        <v>594</v>
      </c>
      <c r="BZ48" s="871" t="s">
        <v>687</v>
      </c>
      <c r="CA48" s="871" t="s">
        <v>595</v>
      </c>
      <c r="CB48" s="871" t="s">
        <v>600</v>
      </c>
      <c r="CC48" s="871" t="s">
        <v>597</v>
      </c>
      <c r="CD48" s="871" t="s">
        <v>70</v>
      </c>
      <c r="CE48" s="872">
        <v>2019.0</v>
      </c>
      <c r="CF48" s="873">
        <v>37893.9838715634</v>
      </c>
      <c r="CG48" s="873">
        <v>48707.2484021073</v>
      </c>
      <c r="CH48" s="874">
        <v>29755.4913278002</v>
      </c>
      <c r="CI48" s="530"/>
    </row>
    <row r="49">
      <c r="A49" s="857"/>
      <c r="B49" s="865" t="s">
        <v>590</v>
      </c>
      <c r="C49" s="865" t="s">
        <v>591</v>
      </c>
      <c r="D49" s="865" t="s">
        <v>688</v>
      </c>
      <c r="E49" s="866">
        <v>2019.0</v>
      </c>
      <c r="F49" s="865" t="s">
        <v>593</v>
      </c>
      <c r="G49" s="865" t="s">
        <v>70</v>
      </c>
      <c r="H49" s="867">
        <v>977522.7079</v>
      </c>
      <c r="I49" s="867">
        <v>1074116.013</v>
      </c>
      <c r="J49" s="868">
        <v>877505.5602</v>
      </c>
      <c r="K49" s="50"/>
      <c r="L49" s="869" t="s">
        <v>590</v>
      </c>
      <c r="M49" s="865" t="s">
        <v>591</v>
      </c>
      <c r="N49" s="865" t="s">
        <v>688</v>
      </c>
      <c r="O49" s="866">
        <v>2004.0</v>
      </c>
      <c r="P49" s="865" t="s">
        <v>593</v>
      </c>
      <c r="Q49" s="865" t="s">
        <v>70</v>
      </c>
      <c r="R49" s="867">
        <v>704964.3974</v>
      </c>
      <c r="S49" s="867">
        <v>802487.9993</v>
      </c>
      <c r="T49" s="868">
        <v>612383.1614</v>
      </c>
      <c r="V49" s="869" t="s">
        <v>594</v>
      </c>
      <c r="W49" s="865" t="s">
        <v>646</v>
      </c>
      <c r="X49" s="865" t="s">
        <v>595</v>
      </c>
      <c r="Y49" s="865" t="s">
        <v>602</v>
      </c>
      <c r="Z49" s="865" t="s">
        <v>597</v>
      </c>
      <c r="AA49" s="865" t="s">
        <v>70</v>
      </c>
      <c r="AB49" s="866">
        <v>2004.0</v>
      </c>
      <c r="AC49" s="867">
        <v>25783.78263</v>
      </c>
      <c r="AD49" s="867">
        <v>29506.12911</v>
      </c>
      <c r="AE49" s="868">
        <v>22314.7873</v>
      </c>
      <c r="AG49" s="869" t="s">
        <v>594</v>
      </c>
      <c r="AH49" s="865" t="s">
        <v>646</v>
      </c>
      <c r="AI49" s="865" t="s">
        <v>595</v>
      </c>
      <c r="AJ49" s="865" t="s">
        <v>602</v>
      </c>
      <c r="AK49" s="865" t="s">
        <v>597</v>
      </c>
      <c r="AL49" s="865" t="s">
        <v>598</v>
      </c>
      <c r="AM49" s="866">
        <v>2019.0</v>
      </c>
      <c r="AN49" s="867">
        <v>439.8062808</v>
      </c>
      <c r="AO49" s="867">
        <v>565.4219728</v>
      </c>
      <c r="AP49" s="868">
        <v>343.7813483</v>
      </c>
      <c r="AR49" s="869" t="s">
        <v>594</v>
      </c>
      <c r="AS49" s="865" t="s">
        <v>646</v>
      </c>
      <c r="AT49" s="865" t="s">
        <v>595</v>
      </c>
      <c r="AU49" s="865" t="s">
        <v>602</v>
      </c>
      <c r="AV49" s="865" t="s">
        <v>599</v>
      </c>
      <c r="AW49" s="865" t="s">
        <v>598</v>
      </c>
      <c r="AX49" s="866">
        <v>2019.0</v>
      </c>
      <c r="AY49" s="867">
        <v>189.2842957</v>
      </c>
      <c r="AZ49" s="867">
        <v>308.7529541</v>
      </c>
      <c r="BA49" s="868">
        <v>89.54423406</v>
      </c>
      <c r="BC49" s="869" t="s">
        <v>594</v>
      </c>
      <c r="BD49" s="865" t="s">
        <v>646</v>
      </c>
      <c r="BE49" s="865" t="s">
        <v>595</v>
      </c>
      <c r="BF49" s="865" t="s">
        <v>603</v>
      </c>
      <c r="BG49" s="865" t="s">
        <v>599</v>
      </c>
      <c r="BH49" s="865" t="s">
        <v>70</v>
      </c>
      <c r="BI49" s="866">
        <v>2019.0</v>
      </c>
      <c r="BJ49" s="867">
        <v>21597.10372</v>
      </c>
      <c r="BK49" s="867">
        <v>39990.2091</v>
      </c>
      <c r="BL49" s="868">
        <v>9532.441242</v>
      </c>
      <c r="BN49" s="869" t="s">
        <v>40</v>
      </c>
      <c r="BO49" s="865" t="s">
        <v>646</v>
      </c>
      <c r="BP49" s="865" t="s">
        <v>595</v>
      </c>
      <c r="BQ49" s="865" t="s">
        <v>604</v>
      </c>
      <c r="BR49" s="865" t="s">
        <v>599</v>
      </c>
      <c r="BS49" s="865" t="s">
        <v>598</v>
      </c>
      <c r="BT49" s="866">
        <v>2019.0</v>
      </c>
      <c r="BU49" s="867">
        <v>26425.99177</v>
      </c>
      <c r="BV49" s="867">
        <v>50293.97685</v>
      </c>
      <c r="BW49" s="868">
        <v>14953.47096</v>
      </c>
      <c r="BY49" s="870" t="s">
        <v>594</v>
      </c>
      <c r="BZ49" s="871" t="s">
        <v>122</v>
      </c>
      <c r="CA49" s="871" t="s">
        <v>595</v>
      </c>
      <c r="CB49" s="871" t="s">
        <v>600</v>
      </c>
      <c r="CC49" s="871" t="s">
        <v>597</v>
      </c>
      <c r="CD49" s="871" t="s">
        <v>70</v>
      </c>
      <c r="CE49" s="872">
        <v>2019.0</v>
      </c>
      <c r="CF49" s="873">
        <v>33145.7013444935</v>
      </c>
      <c r="CG49" s="873">
        <v>40601.542352349</v>
      </c>
      <c r="CH49" s="874">
        <v>26840.7467292857</v>
      </c>
      <c r="CI49" s="530"/>
    </row>
    <row r="50">
      <c r="A50" s="857"/>
      <c r="B50" s="865" t="s">
        <v>590</v>
      </c>
      <c r="C50" s="865" t="s">
        <v>591</v>
      </c>
      <c r="D50" s="865" t="s">
        <v>689</v>
      </c>
      <c r="E50" s="866">
        <v>2019.0</v>
      </c>
      <c r="F50" s="865" t="s">
        <v>593</v>
      </c>
      <c r="G50" s="865" t="s">
        <v>70</v>
      </c>
      <c r="H50" s="867">
        <v>5147150.259</v>
      </c>
      <c r="I50" s="867">
        <v>5655762.747</v>
      </c>
      <c r="J50" s="868">
        <v>4620509.514</v>
      </c>
      <c r="K50" s="50"/>
      <c r="L50" s="869" t="s">
        <v>590</v>
      </c>
      <c r="M50" s="865" t="s">
        <v>591</v>
      </c>
      <c r="N50" s="865" t="s">
        <v>689</v>
      </c>
      <c r="O50" s="866">
        <v>2004.0</v>
      </c>
      <c r="P50" s="865" t="s">
        <v>593</v>
      </c>
      <c r="Q50" s="865" t="s">
        <v>70</v>
      </c>
      <c r="R50" s="867">
        <v>3347133.231</v>
      </c>
      <c r="S50" s="867">
        <v>3810170.073</v>
      </c>
      <c r="T50" s="868">
        <v>2907562.477</v>
      </c>
      <c r="V50" s="869" t="s">
        <v>594</v>
      </c>
      <c r="W50" s="865" t="s">
        <v>120</v>
      </c>
      <c r="X50" s="865" t="s">
        <v>595</v>
      </c>
      <c r="Y50" s="865" t="s">
        <v>596</v>
      </c>
      <c r="Z50" s="865" t="s">
        <v>597</v>
      </c>
      <c r="AA50" s="865" t="s">
        <v>70</v>
      </c>
      <c r="AB50" s="866">
        <v>2004.0</v>
      </c>
      <c r="AC50" s="867">
        <v>14408.12641</v>
      </c>
      <c r="AD50" s="867">
        <v>16285.09428</v>
      </c>
      <c r="AE50" s="868">
        <v>12735.74518</v>
      </c>
      <c r="AG50" s="869" t="s">
        <v>594</v>
      </c>
      <c r="AH50" s="865" t="s">
        <v>120</v>
      </c>
      <c r="AI50" s="865" t="s">
        <v>595</v>
      </c>
      <c r="AJ50" s="865" t="s">
        <v>596</v>
      </c>
      <c r="AK50" s="865" t="s">
        <v>597</v>
      </c>
      <c r="AL50" s="865" t="s">
        <v>598</v>
      </c>
      <c r="AM50" s="866">
        <v>2019.0</v>
      </c>
      <c r="AN50" s="867">
        <v>2864.38094</v>
      </c>
      <c r="AO50" s="867">
        <v>3525.386611</v>
      </c>
      <c r="AP50" s="868">
        <v>2295.666144</v>
      </c>
      <c r="AR50" s="869" t="s">
        <v>594</v>
      </c>
      <c r="AS50" s="865" t="s">
        <v>120</v>
      </c>
      <c r="AT50" s="865" t="s">
        <v>595</v>
      </c>
      <c r="AU50" s="865" t="s">
        <v>596</v>
      </c>
      <c r="AV50" s="865" t="s">
        <v>599</v>
      </c>
      <c r="AW50" s="865" t="s">
        <v>598</v>
      </c>
      <c r="AX50" s="866">
        <v>2019.0</v>
      </c>
      <c r="AY50" s="867">
        <v>597.0245755</v>
      </c>
      <c r="AZ50" s="867">
        <v>1167.983584</v>
      </c>
      <c r="BA50" s="868">
        <v>222.8921977</v>
      </c>
      <c r="BC50" s="869" t="s">
        <v>594</v>
      </c>
      <c r="BD50" s="865" t="s">
        <v>120</v>
      </c>
      <c r="BE50" s="865" t="s">
        <v>595</v>
      </c>
      <c r="BF50" s="865" t="s">
        <v>600</v>
      </c>
      <c r="BG50" s="865" t="s">
        <v>599</v>
      </c>
      <c r="BH50" s="865" t="s">
        <v>70</v>
      </c>
      <c r="BI50" s="866">
        <v>2019.0</v>
      </c>
      <c r="BJ50" s="867">
        <v>8181.102532</v>
      </c>
      <c r="BK50" s="867">
        <v>15280.05189</v>
      </c>
      <c r="BL50" s="868">
        <v>3222.507679</v>
      </c>
      <c r="BN50" s="869" t="s">
        <v>40</v>
      </c>
      <c r="BO50" s="865" t="s">
        <v>120</v>
      </c>
      <c r="BP50" s="865" t="s">
        <v>595</v>
      </c>
      <c r="BQ50" s="865" t="s">
        <v>600</v>
      </c>
      <c r="BR50" s="865" t="s">
        <v>599</v>
      </c>
      <c r="BS50" s="865" t="s">
        <v>598</v>
      </c>
      <c r="BT50" s="866">
        <v>2019.0</v>
      </c>
      <c r="BU50" s="867">
        <v>71510.2768</v>
      </c>
      <c r="BV50" s="867">
        <v>124962.8331</v>
      </c>
      <c r="BW50" s="868">
        <v>25117.0543</v>
      </c>
      <c r="BY50" s="870" t="s">
        <v>594</v>
      </c>
      <c r="BZ50" s="871" t="s">
        <v>123</v>
      </c>
      <c r="CA50" s="871" t="s">
        <v>595</v>
      </c>
      <c r="CB50" s="871" t="s">
        <v>600</v>
      </c>
      <c r="CC50" s="871" t="s">
        <v>597</v>
      </c>
      <c r="CD50" s="871" t="s">
        <v>70</v>
      </c>
      <c r="CE50" s="872">
        <v>2019.0</v>
      </c>
      <c r="CF50" s="873">
        <v>15010.4287460088</v>
      </c>
      <c r="CG50" s="873">
        <v>18960.5229127539</v>
      </c>
      <c r="CH50" s="874">
        <v>11965.6490716797</v>
      </c>
      <c r="CI50" s="530"/>
    </row>
    <row r="51">
      <c r="A51" s="857"/>
      <c r="B51" s="865" t="s">
        <v>605</v>
      </c>
      <c r="C51" s="865" t="s">
        <v>591</v>
      </c>
      <c r="D51" s="865" t="s">
        <v>592</v>
      </c>
      <c r="E51" s="866">
        <v>2019.0</v>
      </c>
      <c r="F51" s="865" t="s">
        <v>593</v>
      </c>
      <c r="G51" s="865" t="s">
        <v>70</v>
      </c>
      <c r="H51" s="867">
        <v>2634237.585</v>
      </c>
      <c r="I51" s="867">
        <v>2941774.583</v>
      </c>
      <c r="J51" s="868">
        <v>2335516.001</v>
      </c>
      <c r="K51" s="50"/>
      <c r="L51" s="869" t="s">
        <v>605</v>
      </c>
      <c r="M51" s="865" t="s">
        <v>591</v>
      </c>
      <c r="N51" s="865" t="s">
        <v>592</v>
      </c>
      <c r="O51" s="866">
        <v>2004.0</v>
      </c>
      <c r="P51" s="865" t="s">
        <v>593</v>
      </c>
      <c r="Q51" s="865" t="s">
        <v>70</v>
      </c>
      <c r="R51" s="867">
        <v>3263530.274</v>
      </c>
      <c r="S51" s="867">
        <v>3526623.281</v>
      </c>
      <c r="T51" s="868">
        <v>2987369.044</v>
      </c>
      <c r="V51" s="869" t="s">
        <v>594</v>
      </c>
      <c r="W51" s="865" t="s">
        <v>120</v>
      </c>
      <c r="X51" s="865" t="s">
        <v>595</v>
      </c>
      <c r="Y51" s="865" t="s">
        <v>602</v>
      </c>
      <c r="Z51" s="865" t="s">
        <v>597</v>
      </c>
      <c r="AA51" s="865" t="s">
        <v>70</v>
      </c>
      <c r="AB51" s="866">
        <v>2004.0</v>
      </c>
      <c r="AC51" s="867">
        <v>25309.59997</v>
      </c>
      <c r="AD51" s="867">
        <v>29833.9747</v>
      </c>
      <c r="AE51" s="868">
        <v>21344.36298</v>
      </c>
      <c r="AG51" s="869" t="s">
        <v>594</v>
      </c>
      <c r="AH51" s="865" t="s">
        <v>120</v>
      </c>
      <c r="AI51" s="865" t="s">
        <v>595</v>
      </c>
      <c r="AJ51" s="865" t="s">
        <v>602</v>
      </c>
      <c r="AK51" s="865" t="s">
        <v>597</v>
      </c>
      <c r="AL51" s="865" t="s">
        <v>598</v>
      </c>
      <c r="AM51" s="866">
        <v>2019.0</v>
      </c>
      <c r="AN51" s="867">
        <v>1112.198875</v>
      </c>
      <c r="AO51" s="867">
        <v>1356.867356</v>
      </c>
      <c r="AP51" s="868">
        <v>898.597013</v>
      </c>
      <c r="AR51" s="869" t="s">
        <v>594</v>
      </c>
      <c r="AS51" s="865" t="s">
        <v>120</v>
      </c>
      <c r="AT51" s="865" t="s">
        <v>595</v>
      </c>
      <c r="AU51" s="865" t="s">
        <v>602</v>
      </c>
      <c r="AV51" s="865" t="s">
        <v>599</v>
      </c>
      <c r="AW51" s="865" t="s">
        <v>598</v>
      </c>
      <c r="AX51" s="866">
        <v>2019.0</v>
      </c>
      <c r="AY51" s="867">
        <v>310.5104231</v>
      </c>
      <c r="AZ51" s="867">
        <v>568.1155795</v>
      </c>
      <c r="BA51" s="868">
        <v>128.2312511</v>
      </c>
      <c r="BC51" s="869" t="s">
        <v>594</v>
      </c>
      <c r="BD51" s="865" t="s">
        <v>120</v>
      </c>
      <c r="BE51" s="865" t="s">
        <v>595</v>
      </c>
      <c r="BF51" s="865" t="s">
        <v>603</v>
      </c>
      <c r="BG51" s="865" t="s">
        <v>599</v>
      </c>
      <c r="BH51" s="865" t="s">
        <v>70</v>
      </c>
      <c r="BI51" s="866">
        <v>2019.0</v>
      </c>
      <c r="BJ51" s="867">
        <v>11336.50112</v>
      </c>
      <c r="BK51" s="867">
        <v>22065.80907</v>
      </c>
      <c r="BL51" s="868">
        <v>4354.093412</v>
      </c>
      <c r="BN51" s="869" t="s">
        <v>40</v>
      </c>
      <c r="BO51" s="865" t="s">
        <v>120</v>
      </c>
      <c r="BP51" s="865" t="s">
        <v>595</v>
      </c>
      <c r="BQ51" s="865" t="s">
        <v>604</v>
      </c>
      <c r="BR51" s="865" t="s">
        <v>599</v>
      </c>
      <c r="BS51" s="865" t="s">
        <v>598</v>
      </c>
      <c r="BT51" s="866">
        <v>2019.0</v>
      </c>
      <c r="BU51" s="867">
        <v>29839.07359</v>
      </c>
      <c r="BV51" s="867">
        <v>55533.26402</v>
      </c>
      <c r="BW51" s="868">
        <v>15847.42494</v>
      </c>
      <c r="BY51" s="870" t="s">
        <v>594</v>
      </c>
      <c r="BZ51" s="871" t="s">
        <v>124</v>
      </c>
      <c r="CA51" s="871" t="s">
        <v>595</v>
      </c>
      <c r="CB51" s="871" t="s">
        <v>600</v>
      </c>
      <c r="CC51" s="871" t="s">
        <v>597</v>
      </c>
      <c r="CD51" s="871" t="s">
        <v>70</v>
      </c>
      <c r="CE51" s="872">
        <v>2019.0</v>
      </c>
      <c r="CF51" s="873">
        <v>91702.41553</v>
      </c>
      <c r="CG51" s="873">
        <v>112483.947060757</v>
      </c>
      <c r="CH51" s="874">
        <v>75029.72159</v>
      </c>
      <c r="CI51" s="530"/>
    </row>
    <row r="52">
      <c r="A52" s="857"/>
      <c r="B52" s="865" t="s">
        <v>605</v>
      </c>
      <c r="C52" s="865" t="s">
        <v>591</v>
      </c>
      <c r="D52" s="865" t="s">
        <v>601</v>
      </c>
      <c r="E52" s="866">
        <v>2019.0</v>
      </c>
      <c r="F52" s="865" t="s">
        <v>593</v>
      </c>
      <c r="G52" s="865" t="s">
        <v>70</v>
      </c>
      <c r="H52" s="867">
        <v>5.936761009E7</v>
      </c>
      <c r="I52" s="867">
        <v>6.629854779E7</v>
      </c>
      <c r="J52" s="868">
        <v>5.26353447E7</v>
      </c>
      <c r="K52" s="50"/>
      <c r="L52" s="869" t="s">
        <v>605</v>
      </c>
      <c r="M52" s="865" t="s">
        <v>591</v>
      </c>
      <c r="N52" s="865" t="s">
        <v>601</v>
      </c>
      <c r="O52" s="866">
        <v>2004.0</v>
      </c>
      <c r="P52" s="865" t="s">
        <v>593</v>
      </c>
      <c r="Q52" s="865" t="s">
        <v>70</v>
      </c>
      <c r="R52" s="867">
        <v>6.451704063E7</v>
      </c>
      <c r="S52" s="867">
        <v>6.971815132E7</v>
      </c>
      <c r="T52" s="868">
        <v>5.905758298E7</v>
      </c>
      <c r="V52" s="869" t="s">
        <v>594</v>
      </c>
      <c r="W52" s="865" t="s">
        <v>648</v>
      </c>
      <c r="X52" s="865" t="s">
        <v>595</v>
      </c>
      <c r="Y52" s="865" t="s">
        <v>596</v>
      </c>
      <c r="Z52" s="865" t="s">
        <v>597</v>
      </c>
      <c r="AA52" s="865" t="s">
        <v>70</v>
      </c>
      <c r="AB52" s="866">
        <v>2004.0</v>
      </c>
      <c r="AC52" s="867">
        <v>1951.19015</v>
      </c>
      <c r="AD52" s="867">
        <v>2242.062481</v>
      </c>
      <c r="AE52" s="868">
        <v>1681.197123</v>
      </c>
      <c r="AG52" s="869" t="s">
        <v>594</v>
      </c>
      <c r="AH52" s="865" t="s">
        <v>648</v>
      </c>
      <c r="AI52" s="865" t="s">
        <v>595</v>
      </c>
      <c r="AJ52" s="865" t="s">
        <v>596</v>
      </c>
      <c r="AK52" s="865" t="s">
        <v>597</v>
      </c>
      <c r="AL52" s="865" t="s">
        <v>598</v>
      </c>
      <c r="AM52" s="866">
        <v>2019.0</v>
      </c>
      <c r="AN52" s="867">
        <v>1807.94672</v>
      </c>
      <c r="AO52" s="867">
        <v>2130.091617</v>
      </c>
      <c r="AP52" s="868">
        <v>1507.031275</v>
      </c>
      <c r="AR52" s="869" t="s">
        <v>594</v>
      </c>
      <c r="AS52" s="865" t="s">
        <v>648</v>
      </c>
      <c r="AT52" s="865" t="s">
        <v>595</v>
      </c>
      <c r="AU52" s="865" t="s">
        <v>596</v>
      </c>
      <c r="AV52" s="865" t="s">
        <v>599</v>
      </c>
      <c r="AW52" s="865" t="s">
        <v>598</v>
      </c>
      <c r="AX52" s="866">
        <v>2019.0</v>
      </c>
      <c r="AY52" s="867">
        <v>213.182684</v>
      </c>
      <c r="AZ52" s="867">
        <v>540.3443542</v>
      </c>
      <c r="BA52" s="868">
        <v>41.62723343</v>
      </c>
      <c r="BC52" s="869" t="s">
        <v>594</v>
      </c>
      <c r="BD52" s="865" t="s">
        <v>648</v>
      </c>
      <c r="BE52" s="865" t="s">
        <v>595</v>
      </c>
      <c r="BF52" s="865" t="s">
        <v>603</v>
      </c>
      <c r="BG52" s="865" t="s">
        <v>599</v>
      </c>
      <c r="BH52" s="865" t="s">
        <v>70</v>
      </c>
      <c r="BI52" s="866">
        <v>2019.0</v>
      </c>
      <c r="BJ52" s="867">
        <v>583.7787146</v>
      </c>
      <c r="BK52" s="867">
        <v>1562.908601</v>
      </c>
      <c r="BL52" s="868">
        <v>116.1962251</v>
      </c>
      <c r="BN52" s="869" t="s">
        <v>40</v>
      </c>
      <c r="BO52" s="865" t="s">
        <v>648</v>
      </c>
      <c r="BP52" s="865" t="s">
        <v>595</v>
      </c>
      <c r="BQ52" s="865" t="s">
        <v>600</v>
      </c>
      <c r="BR52" s="865" t="s">
        <v>599</v>
      </c>
      <c r="BS52" s="865" t="s">
        <v>598</v>
      </c>
      <c r="BT52" s="866">
        <v>2019.0</v>
      </c>
      <c r="BU52" s="867">
        <v>26618.81877</v>
      </c>
      <c r="BV52" s="867">
        <v>74896.64722</v>
      </c>
      <c r="BW52" s="868">
        <v>5186.139743</v>
      </c>
      <c r="BY52" s="870" t="s">
        <v>594</v>
      </c>
      <c r="BZ52" s="871" t="s">
        <v>690</v>
      </c>
      <c r="CA52" s="871" t="s">
        <v>595</v>
      </c>
      <c r="CB52" s="871" t="s">
        <v>600</v>
      </c>
      <c r="CC52" s="871" t="s">
        <v>597</v>
      </c>
      <c r="CD52" s="871" t="s">
        <v>70</v>
      </c>
      <c r="CE52" s="872">
        <v>2019.0</v>
      </c>
      <c r="CF52" s="873">
        <v>117916.695862105</v>
      </c>
      <c r="CG52" s="873">
        <v>149909.2242546</v>
      </c>
      <c r="CH52" s="874">
        <v>93246.6897754435</v>
      </c>
      <c r="CI52" s="530"/>
    </row>
    <row r="53">
      <c r="A53" s="857"/>
      <c r="B53" s="865" t="s">
        <v>605</v>
      </c>
      <c r="C53" s="865" t="s">
        <v>591</v>
      </c>
      <c r="D53" s="865" t="s">
        <v>606</v>
      </c>
      <c r="E53" s="866">
        <v>2019.0</v>
      </c>
      <c r="F53" s="865" t="s">
        <v>593</v>
      </c>
      <c r="G53" s="865" t="s">
        <v>70</v>
      </c>
      <c r="H53" s="867">
        <v>4.404892384E7</v>
      </c>
      <c r="I53" s="867">
        <v>4.919146447E7</v>
      </c>
      <c r="J53" s="868">
        <v>3.90537919E7</v>
      </c>
      <c r="K53" s="50"/>
      <c r="L53" s="869" t="s">
        <v>605</v>
      </c>
      <c r="M53" s="865" t="s">
        <v>591</v>
      </c>
      <c r="N53" s="865" t="s">
        <v>606</v>
      </c>
      <c r="O53" s="866">
        <v>2004.0</v>
      </c>
      <c r="P53" s="865" t="s">
        <v>593</v>
      </c>
      <c r="Q53" s="865" t="s">
        <v>70</v>
      </c>
      <c r="R53" s="867">
        <v>5.009276757E7</v>
      </c>
      <c r="S53" s="867">
        <v>5.413104996E7</v>
      </c>
      <c r="T53" s="868">
        <v>4.585389765E7</v>
      </c>
      <c r="V53" s="869" t="s">
        <v>594</v>
      </c>
      <c r="W53" s="865" t="s">
        <v>648</v>
      </c>
      <c r="X53" s="865" t="s">
        <v>595</v>
      </c>
      <c r="Y53" s="865" t="s">
        <v>602</v>
      </c>
      <c r="Z53" s="865" t="s">
        <v>597</v>
      </c>
      <c r="AA53" s="865" t="s">
        <v>70</v>
      </c>
      <c r="AB53" s="866">
        <v>2004.0</v>
      </c>
      <c r="AC53" s="867">
        <v>3258.944907</v>
      </c>
      <c r="AD53" s="867">
        <v>3980.154268</v>
      </c>
      <c r="AE53" s="868">
        <v>2636.114473</v>
      </c>
      <c r="AG53" s="869" t="s">
        <v>594</v>
      </c>
      <c r="AH53" s="865" t="s">
        <v>648</v>
      </c>
      <c r="AI53" s="865" t="s">
        <v>595</v>
      </c>
      <c r="AJ53" s="865" t="s">
        <v>602</v>
      </c>
      <c r="AK53" s="865" t="s">
        <v>597</v>
      </c>
      <c r="AL53" s="865" t="s">
        <v>598</v>
      </c>
      <c r="AM53" s="866">
        <v>2019.0</v>
      </c>
      <c r="AN53" s="867">
        <v>639.828289</v>
      </c>
      <c r="AO53" s="867">
        <v>912.4423013</v>
      </c>
      <c r="AP53" s="868">
        <v>417.0984329</v>
      </c>
      <c r="AR53" s="869" t="s">
        <v>594</v>
      </c>
      <c r="AS53" s="865" t="s">
        <v>648</v>
      </c>
      <c r="AT53" s="865" t="s">
        <v>595</v>
      </c>
      <c r="AU53" s="865" t="s">
        <v>602</v>
      </c>
      <c r="AV53" s="865" t="s">
        <v>599</v>
      </c>
      <c r="AW53" s="865" t="s">
        <v>598</v>
      </c>
      <c r="AX53" s="866">
        <v>2019.0</v>
      </c>
      <c r="AY53" s="867">
        <v>83.41958526</v>
      </c>
      <c r="AZ53" s="867">
        <v>234.0573301</v>
      </c>
      <c r="BA53" s="868">
        <v>14.7507228</v>
      </c>
      <c r="BC53" s="869" t="s">
        <v>594</v>
      </c>
      <c r="BD53" s="865" t="s">
        <v>648</v>
      </c>
      <c r="BE53" s="865" t="s">
        <v>595</v>
      </c>
      <c r="BF53" s="865" t="s">
        <v>600</v>
      </c>
      <c r="BG53" s="865" t="s">
        <v>599</v>
      </c>
      <c r="BH53" s="865" t="s">
        <v>70</v>
      </c>
      <c r="BI53" s="866">
        <v>2019.0</v>
      </c>
      <c r="BJ53" s="867">
        <v>331.032658</v>
      </c>
      <c r="BK53" s="867">
        <v>902.6471431</v>
      </c>
      <c r="BL53" s="868">
        <v>63.83484264</v>
      </c>
      <c r="BN53" s="869" t="s">
        <v>40</v>
      </c>
      <c r="BO53" s="865" t="s">
        <v>648</v>
      </c>
      <c r="BP53" s="865" t="s">
        <v>595</v>
      </c>
      <c r="BQ53" s="865" t="s">
        <v>604</v>
      </c>
      <c r="BR53" s="865" t="s">
        <v>599</v>
      </c>
      <c r="BS53" s="865" t="s">
        <v>598</v>
      </c>
      <c r="BT53" s="866">
        <v>2019.0</v>
      </c>
      <c r="BU53" s="867">
        <v>12906.88516</v>
      </c>
      <c r="BV53" s="867">
        <v>30335.17822</v>
      </c>
      <c r="BW53" s="868">
        <v>2909.023953</v>
      </c>
      <c r="BY53" s="870" t="s">
        <v>594</v>
      </c>
      <c r="BZ53" s="871" t="s">
        <v>691</v>
      </c>
      <c r="CA53" s="871" t="s">
        <v>595</v>
      </c>
      <c r="CB53" s="871" t="s">
        <v>600</v>
      </c>
      <c r="CC53" s="871" t="s">
        <v>597</v>
      </c>
      <c r="CD53" s="871" t="s">
        <v>70</v>
      </c>
      <c r="CE53" s="872">
        <v>2019.0</v>
      </c>
      <c r="CF53" s="873">
        <v>31490.0494723261</v>
      </c>
      <c r="CG53" s="873">
        <v>41340.6705364546</v>
      </c>
      <c r="CH53" s="874">
        <v>24169.7739133302</v>
      </c>
      <c r="CI53" s="530"/>
    </row>
    <row r="54">
      <c r="A54" s="857"/>
      <c r="B54" s="865" t="s">
        <v>605</v>
      </c>
      <c r="C54" s="865" t="s">
        <v>591</v>
      </c>
      <c r="D54" s="865" t="s">
        <v>608</v>
      </c>
      <c r="E54" s="866">
        <v>2019.0</v>
      </c>
      <c r="F54" s="865" t="s">
        <v>593</v>
      </c>
      <c r="G54" s="865" t="s">
        <v>70</v>
      </c>
      <c r="H54" s="867">
        <v>1.111167414E7</v>
      </c>
      <c r="I54" s="867">
        <v>1.240891891E7</v>
      </c>
      <c r="J54" s="868">
        <v>9851614.338</v>
      </c>
      <c r="K54" s="50"/>
      <c r="L54" s="869" t="s">
        <v>605</v>
      </c>
      <c r="M54" s="865" t="s">
        <v>591</v>
      </c>
      <c r="N54" s="865" t="s">
        <v>608</v>
      </c>
      <c r="O54" s="866">
        <v>2004.0</v>
      </c>
      <c r="P54" s="865" t="s">
        <v>593</v>
      </c>
      <c r="Q54" s="865" t="s">
        <v>70</v>
      </c>
      <c r="R54" s="867">
        <v>1.359807463E7</v>
      </c>
      <c r="S54" s="867">
        <v>1.469429805E7</v>
      </c>
      <c r="T54" s="868">
        <v>1.244740014E7</v>
      </c>
      <c r="V54" s="869" t="s">
        <v>594</v>
      </c>
      <c r="W54" s="865" t="s">
        <v>650</v>
      </c>
      <c r="X54" s="865" t="s">
        <v>595</v>
      </c>
      <c r="Y54" s="865" t="s">
        <v>596</v>
      </c>
      <c r="Z54" s="865" t="s">
        <v>597</v>
      </c>
      <c r="AA54" s="865" t="s">
        <v>70</v>
      </c>
      <c r="AB54" s="866">
        <v>2004.0</v>
      </c>
      <c r="AC54" s="867">
        <v>470294.135</v>
      </c>
      <c r="AD54" s="867">
        <v>533134.4621</v>
      </c>
      <c r="AE54" s="868">
        <v>409638.3961</v>
      </c>
      <c r="AG54" s="869" t="s">
        <v>594</v>
      </c>
      <c r="AH54" s="865" t="s">
        <v>650</v>
      </c>
      <c r="AI54" s="865" t="s">
        <v>595</v>
      </c>
      <c r="AJ54" s="865" t="s">
        <v>596</v>
      </c>
      <c r="AK54" s="865" t="s">
        <v>597</v>
      </c>
      <c r="AL54" s="865" t="s">
        <v>598</v>
      </c>
      <c r="AM54" s="866">
        <v>2019.0</v>
      </c>
      <c r="AN54" s="867">
        <v>808.5652256</v>
      </c>
      <c r="AO54" s="867">
        <v>993.2850971</v>
      </c>
      <c r="AP54" s="868">
        <v>668.5296569</v>
      </c>
      <c r="AR54" s="869" t="s">
        <v>594</v>
      </c>
      <c r="AS54" s="865" t="s">
        <v>650</v>
      </c>
      <c r="AT54" s="865" t="s">
        <v>595</v>
      </c>
      <c r="AU54" s="865" t="s">
        <v>596</v>
      </c>
      <c r="AV54" s="865" t="s">
        <v>599</v>
      </c>
      <c r="AW54" s="865" t="s">
        <v>598</v>
      </c>
      <c r="AX54" s="866">
        <v>2019.0</v>
      </c>
      <c r="AY54" s="867">
        <v>22.02699162</v>
      </c>
      <c r="AZ54" s="867">
        <v>44.15328065</v>
      </c>
      <c r="BA54" s="868">
        <v>9.139352723</v>
      </c>
      <c r="BC54" s="869" t="s">
        <v>594</v>
      </c>
      <c r="BD54" s="865" t="s">
        <v>650</v>
      </c>
      <c r="BE54" s="865" t="s">
        <v>595</v>
      </c>
      <c r="BF54" s="865" t="s">
        <v>600</v>
      </c>
      <c r="BG54" s="865" t="s">
        <v>599</v>
      </c>
      <c r="BH54" s="865" t="s">
        <v>70</v>
      </c>
      <c r="BI54" s="866">
        <v>2019.0</v>
      </c>
      <c r="BJ54" s="867">
        <v>9702.452183</v>
      </c>
      <c r="BK54" s="867">
        <v>20848.61772</v>
      </c>
      <c r="BL54" s="868">
        <v>3905.238591</v>
      </c>
      <c r="BN54" s="869" t="s">
        <v>40</v>
      </c>
      <c r="BO54" s="865" t="s">
        <v>650</v>
      </c>
      <c r="BP54" s="865" t="s">
        <v>595</v>
      </c>
      <c r="BQ54" s="865" t="s">
        <v>600</v>
      </c>
      <c r="BR54" s="865" t="s">
        <v>599</v>
      </c>
      <c r="BS54" s="865" t="s">
        <v>598</v>
      </c>
      <c r="BT54" s="866">
        <v>2019.0</v>
      </c>
      <c r="BU54" s="867">
        <v>390.5522495</v>
      </c>
      <c r="BV54" s="867">
        <v>988.57458</v>
      </c>
      <c r="BW54" s="868">
        <v>142.162599</v>
      </c>
      <c r="BY54" s="876" t="s">
        <v>594</v>
      </c>
      <c r="BZ54" s="877" t="s">
        <v>692</v>
      </c>
      <c r="CA54" s="877" t="s">
        <v>595</v>
      </c>
      <c r="CB54" s="877" t="s">
        <v>600</v>
      </c>
      <c r="CC54" s="877" t="s">
        <v>597</v>
      </c>
      <c r="CD54" s="877" t="s">
        <v>70</v>
      </c>
      <c r="CE54" s="878">
        <v>2019.0</v>
      </c>
      <c r="CF54" s="879">
        <v>23565.8553646687</v>
      </c>
      <c r="CG54" s="879">
        <v>29921.1444217648</v>
      </c>
      <c r="CH54" s="880">
        <v>18630.7677031244</v>
      </c>
      <c r="CI54" s="530"/>
    </row>
    <row r="55">
      <c r="A55" s="857"/>
      <c r="B55" s="865" t="s">
        <v>605</v>
      </c>
      <c r="C55" s="865" t="s">
        <v>591</v>
      </c>
      <c r="D55" s="865" t="s">
        <v>610</v>
      </c>
      <c r="E55" s="866">
        <v>2019.0</v>
      </c>
      <c r="F55" s="865" t="s">
        <v>593</v>
      </c>
      <c r="G55" s="865" t="s">
        <v>70</v>
      </c>
      <c r="H55" s="867">
        <v>1.538484401E7</v>
      </c>
      <c r="I55" s="867">
        <v>1.718096474E7</v>
      </c>
      <c r="J55" s="868">
        <v>1.36402083E7</v>
      </c>
      <c r="K55" s="50"/>
      <c r="L55" s="869" t="s">
        <v>605</v>
      </c>
      <c r="M55" s="865" t="s">
        <v>591</v>
      </c>
      <c r="N55" s="865" t="s">
        <v>610</v>
      </c>
      <c r="O55" s="866">
        <v>2004.0</v>
      </c>
      <c r="P55" s="865" t="s">
        <v>593</v>
      </c>
      <c r="Q55" s="865" t="s">
        <v>70</v>
      </c>
      <c r="R55" s="867">
        <v>1.590948717E7</v>
      </c>
      <c r="S55" s="867">
        <v>1.719204761E7</v>
      </c>
      <c r="T55" s="868">
        <v>1.456322004E7</v>
      </c>
      <c r="V55" s="869" t="s">
        <v>594</v>
      </c>
      <c r="W55" s="865" t="s">
        <v>650</v>
      </c>
      <c r="X55" s="865" t="s">
        <v>595</v>
      </c>
      <c r="Y55" s="865" t="s">
        <v>602</v>
      </c>
      <c r="Z55" s="865" t="s">
        <v>597</v>
      </c>
      <c r="AA55" s="865" t="s">
        <v>70</v>
      </c>
      <c r="AB55" s="866">
        <v>2004.0</v>
      </c>
      <c r="AC55" s="867">
        <v>427485.3182</v>
      </c>
      <c r="AD55" s="867">
        <v>552268.1368</v>
      </c>
      <c r="AE55" s="868">
        <v>326407.0171</v>
      </c>
      <c r="AG55" s="869" t="s">
        <v>594</v>
      </c>
      <c r="AH55" s="865" t="s">
        <v>650</v>
      </c>
      <c r="AI55" s="865" t="s">
        <v>595</v>
      </c>
      <c r="AJ55" s="865" t="s">
        <v>602</v>
      </c>
      <c r="AK55" s="865" t="s">
        <v>597</v>
      </c>
      <c r="AL55" s="865" t="s">
        <v>598</v>
      </c>
      <c r="AM55" s="866">
        <v>2019.0</v>
      </c>
      <c r="AN55" s="867">
        <v>119.4901729</v>
      </c>
      <c r="AO55" s="867">
        <v>147.2061135</v>
      </c>
      <c r="AP55" s="868">
        <v>97.82035229</v>
      </c>
      <c r="AR55" s="869" t="s">
        <v>594</v>
      </c>
      <c r="AS55" s="865" t="s">
        <v>650</v>
      </c>
      <c r="AT55" s="865" t="s">
        <v>595</v>
      </c>
      <c r="AU55" s="865" t="s">
        <v>602</v>
      </c>
      <c r="AV55" s="865" t="s">
        <v>599</v>
      </c>
      <c r="AW55" s="865" t="s">
        <v>598</v>
      </c>
      <c r="AX55" s="866">
        <v>2019.0</v>
      </c>
      <c r="AY55" s="867">
        <v>5.062614067</v>
      </c>
      <c r="AZ55" s="867">
        <v>11.25351123</v>
      </c>
      <c r="BA55" s="868">
        <v>1.937384917</v>
      </c>
      <c r="BC55" s="869" t="s">
        <v>594</v>
      </c>
      <c r="BD55" s="865" t="s">
        <v>650</v>
      </c>
      <c r="BE55" s="865" t="s">
        <v>595</v>
      </c>
      <c r="BF55" s="865" t="s">
        <v>603</v>
      </c>
      <c r="BG55" s="865" t="s">
        <v>599</v>
      </c>
      <c r="BH55" s="865" t="s">
        <v>70</v>
      </c>
      <c r="BI55" s="866">
        <v>2019.0</v>
      </c>
      <c r="BJ55" s="867">
        <v>33371.99928</v>
      </c>
      <c r="BK55" s="867">
        <v>85712.18793</v>
      </c>
      <c r="BL55" s="868">
        <v>11843.17247</v>
      </c>
      <c r="BN55" s="869" t="s">
        <v>40</v>
      </c>
      <c r="BO55" s="865" t="s">
        <v>650</v>
      </c>
      <c r="BP55" s="865" t="s">
        <v>595</v>
      </c>
      <c r="BQ55" s="865" t="s">
        <v>604</v>
      </c>
      <c r="BR55" s="865" t="s">
        <v>599</v>
      </c>
      <c r="BS55" s="865" t="s">
        <v>598</v>
      </c>
      <c r="BT55" s="866">
        <v>2019.0</v>
      </c>
      <c r="BU55" s="867">
        <v>490.3860643</v>
      </c>
      <c r="BV55" s="867">
        <v>1009.685042</v>
      </c>
      <c r="BW55" s="868">
        <v>226.7319983</v>
      </c>
      <c r="BY55" s="50"/>
      <c r="BZ55" s="50"/>
      <c r="CA55" s="50"/>
      <c r="CB55" s="50"/>
      <c r="CC55" s="50"/>
      <c r="CD55" s="50"/>
      <c r="CE55" s="50"/>
      <c r="CF55" s="881"/>
      <c r="CG55" s="881"/>
      <c r="CH55" s="881"/>
      <c r="CI55" s="530"/>
    </row>
    <row r="56">
      <c r="A56" s="857"/>
      <c r="B56" s="865" t="s">
        <v>605</v>
      </c>
      <c r="C56" s="865" t="s">
        <v>591</v>
      </c>
      <c r="D56" s="865" t="s">
        <v>612</v>
      </c>
      <c r="E56" s="866">
        <v>2019.0</v>
      </c>
      <c r="F56" s="865" t="s">
        <v>593</v>
      </c>
      <c r="G56" s="865" t="s">
        <v>70</v>
      </c>
      <c r="H56" s="867">
        <v>3.070353027E7</v>
      </c>
      <c r="I56" s="867">
        <v>3.428804807E7</v>
      </c>
      <c r="J56" s="868">
        <v>2.72217611E7</v>
      </c>
      <c r="K56" s="50"/>
      <c r="L56" s="869" t="s">
        <v>605</v>
      </c>
      <c r="M56" s="865" t="s">
        <v>591</v>
      </c>
      <c r="N56" s="865" t="s">
        <v>612</v>
      </c>
      <c r="O56" s="866">
        <v>2004.0</v>
      </c>
      <c r="P56" s="865" t="s">
        <v>593</v>
      </c>
      <c r="Q56" s="865" t="s">
        <v>70</v>
      </c>
      <c r="R56" s="867">
        <v>3.033376023E7</v>
      </c>
      <c r="S56" s="867">
        <v>3.277914897E7</v>
      </c>
      <c r="T56" s="868">
        <v>2.776690537E7</v>
      </c>
      <c r="V56" s="869" t="s">
        <v>594</v>
      </c>
      <c r="W56" s="865" t="s">
        <v>652</v>
      </c>
      <c r="X56" s="865" t="s">
        <v>595</v>
      </c>
      <c r="Y56" s="865" t="s">
        <v>596</v>
      </c>
      <c r="Z56" s="865" t="s">
        <v>597</v>
      </c>
      <c r="AA56" s="865" t="s">
        <v>70</v>
      </c>
      <c r="AB56" s="866">
        <v>2004.0</v>
      </c>
      <c r="AC56" s="867">
        <v>32320.52869</v>
      </c>
      <c r="AD56" s="867">
        <v>38186.0713</v>
      </c>
      <c r="AE56" s="868">
        <v>27309.66718</v>
      </c>
      <c r="AG56" s="869" t="s">
        <v>594</v>
      </c>
      <c r="AH56" s="865" t="s">
        <v>652</v>
      </c>
      <c r="AI56" s="865" t="s">
        <v>595</v>
      </c>
      <c r="AJ56" s="865" t="s">
        <v>596</v>
      </c>
      <c r="AK56" s="865" t="s">
        <v>597</v>
      </c>
      <c r="AL56" s="865" t="s">
        <v>598</v>
      </c>
      <c r="AM56" s="866">
        <v>2019.0</v>
      </c>
      <c r="AN56" s="867">
        <v>1281.1812</v>
      </c>
      <c r="AO56" s="867">
        <v>1558.092416</v>
      </c>
      <c r="AP56" s="868">
        <v>1033.215378</v>
      </c>
      <c r="AR56" s="869" t="s">
        <v>594</v>
      </c>
      <c r="AS56" s="865" t="s">
        <v>652</v>
      </c>
      <c r="AT56" s="865" t="s">
        <v>595</v>
      </c>
      <c r="AU56" s="865" t="s">
        <v>596</v>
      </c>
      <c r="AV56" s="865" t="s">
        <v>599</v>
      </c>
      <c r="AW56" s="865" t="s">
        <v>598</v>
      </c>
      <c r="AX56" s="866">
        <v>2019.0</v>
      </c>
      <c r="AY56" s="867">
        <v>185.5005841</v>
      </c>
      <c r="AZ56" s="867">
        <v>357.9750599</v>
      </c>
      <c r="BA56" s="868">
        <v>71.09071589</v>
      </c>
      <c r="BC56" s="869" t="s">
        <v>594</v>
      </c>
      <c r="BD56" s="865" t="s">
        <v>652</v>
      </c>
      <c r="BE56" s="865" t="s">
        <v>595</v>
      </c>
      <c r="BF56" s="865" t="s">
        <v>600</v>
      </c>
      <c r="BG56" s="865" t="s">
        <v>599</v>
      </c>
      <c r="BH56" s="865" t="s">
        <v>70</v>
      </c>
      <c r="BI56" s="866">
        <v>2019.0</v>
      </c>
      <c r="BJ56" s="867">
        <v>4618.063675</v>
      </c>
      <c r="BK56" s="867">
        <v>8830.267715</v>
      </c>
      <c r="BL56" s="868">
        <v>1787.017368</v>
      </c>
      <c r="BN56" s="869" t="s">
        <v>40</v>
      </c>
      <c r="BO56" s="865" t="s">
        <v>652</v>
      </c>
      <c r="BP56" s="865" t="s">
        <v>595</v>
      </c>
      <c r="BQ56" s="865" t="s">
        <v>600</v>
      </c>
      <c r="BR56" s="865" t="s">
        <v>599</v>
      </c>
      <c r="BS56" s="865" t="s">
        <v>598</v>
      </c>
      <c r="BT56" s="866">
        <v>2019.0</v>
      </c>
      <c r="BU56" s="867">
        <v>27339.89345</v>
      </c>
      <c r="BV56" s="867">
        <v>53118.98039</v>
      </c>
      <c r="BW56" s="868">
        <v>9226.166301</v>
      </c>
      <c r="CF56" s="882"/>
      <c r="CG56" s="882"/>
      <c r="CH56" s="882"/>
      <c r="CI56" s="530"/>
    </row>
    <row r="57">
      <c r="A57" s="857"/>
      <c r="B57" s="865" t="s">
        <v>605</v>
      </c>
      <c r="C57" s="865" t="s">
        <v>591</v>
      </c>
      <c r="D57" s="865" t="s">
        <v>614</v>
      </c>
      <c r="E57" s="866">
        <v>2019.0</v>
      </c>
      <c r="F57" s="865" t="s">
        <v>593</v>
      </c>
      <c r="G57" s="865" t="s">
        <v>70</v>
      </c>
      <c r="H57" s="867">
        <v>4.531533335E7</v>
      </c>
      <c r="I57" s="867">
        <v>5.060572236E7</v>
      </c>
      <c r="J57" s="868">
        <v>4.017659103E7</v>
      </c>
      <c r="K57" s="50"/>
      <c r="L57" s="869" t="s">
        <v>605</v>
      </c>
      <c r="M57" s="865" t="s">
        <v>591</v>
      </c>
      <c r="N57" s="865" t="s">
        <v>614</v>
      </c>
      <c r="O57" s="866">
        <v>2004.0</v>
      </c>
      <c r="P57" s="865" t="s">
        <v>593</v>
      </c>
      <c r="Q57" s="865" t="s">
        <v>70</v>
      </c>
      <c r="R57" s="867">
        <v>4.305096817E7</v>
      </c>
      <c r="S57" s="867">
        <v>4.652156832E7</v>
      </c>
      <c r="T57" s="868">
        <v>3.940797812E7</v>
      </c>
      <c r="V57" s="869" t="s">
        <v>594</v>
      </c>
      <c r="W57" s="865" t="s">
        <v>652</v>
      </c>
      <c r="X57" s="865" t="s">
        <v>595</v>
      </c>
      <c r="Y57" s="865" t="s">
        <v>602</v>
      </c>
      <c r="Z57" s="865" t="s">
        <v>597</v>
      </c>
      <c r="AA57" s="865" t="s">
        <v>70</v>
      </c>
      <c r="AB57" s="866">
        <v>2004.0</v>
      </c>
      <c r="AC57" s="867">
        <v>26406.73992</v>
      </c>
      <c r="AD57" s="867">
        <v>30943.71547</v>
      </c>
      <c r="AE57" s="868">
        <v>22568.64835</v>
      </c>
      <c r="AG57" s="869" t="s">
        <v>594</v>
      </c>
      <c r="AH57" s="865" t="s">
        <v>652</v>
      </c>
      <c r="AI57" s="865" t="s">
        <v>595</v>
      </c>
      <c r="AJ57" s="865" t="s">
        <v>602</v>
      </c>
      <c r="AK57" s="865" t="s">
        <v>597</v>
      </c>
      <c r="AL57" s="865" t="s">
        <v>598</v>
      </c>
      <c r="AM57" s="866">
        <v>2019.0</v>
      </c>
      <c r="AN57" s="867">
        <v>241.6272621</v>
      </c>
      <c r="AO57" s="867">
        <v>291.7432861</v>
      </c>
      <c r="AP57" s="868">
        <v>197.9369391</v>
      </c>
      <c r="AR57" s="869" t="s">
        <v>594</v>
      </c>
      <c r="AS57" s="865" t="s">
        <v>652</v>
      </c>
      <c r="AT57" s="865" t="s">
        <v>595</v>
      </c>
      <c r="AU57" s="865" t="s">
        <v>602</v>
      </c>
      <c r="AV57" s="865" t="s">
        <v>599</v>
      </c>
      <c r="AW57" s="865" t="s">
        <v>598</v>
      </c>
      <c r="AX57" s="866">
        <v>2019.0</v>
      </c>
      <c r="AY57" s="867">
        <v>39.6128311</v>
      </c>
      <c r="AZ57" s="867">
        <v>73.40552079</v>
      </c>
      <c r="BA57" s="868">
        <v>15.64590057</v>
      </c>
      <c r="BC57" s="869" t="s">
        <v>594</v>
      </c>
      <c r="BD57" s="865" t="s">
        <v>652</v>
      </c>
      <c r="BE57" s="865" t="s">
        <v>595</v>
      </c>
      <c r="BF57" s="865" t="s">
        <v>603</v>
      </c>
      <c r="BG57" s="865" t="s">
        <v>599</v>
      </c>
      <c r="BH57" s="865" t="s">
        <v>70</v>
      </c>
      <c r="BI57" s="866">
        <v>2019.0</v>
      </c>
      <c r="BJ57" s="867">
        <v>8048.923079</v>
      </c>
      <c r="BK57" s="867">
        <v>16747.5343</v>
      </c>
      <c r="BL57" s="868">
        <v>2812.371628</v>
      </c>
      <c r="BN57" s="869" t="s">
        <v>40</v>
      </c>
      <c r="BO57" s="865" t="s">
        <v>652</v>
      </c>
      <c r="BP57" s="865" t="s">
        <v>595</v>
      </c>
      <c r="BQ57" s="865" t="s">
        <v>604</v>
      </c>
      <c r="BR57" s="865" t="s">
        <v>599</v>
      </c>
      <c r="BS57" s="865" t="s">
        <v>598</v>
      </c>
      <c r="BT57" s="866">
        <v>2019.0</v>
      </c>
      <c r="BU57" s="867">
        <v>12152.38383</v>
      </c>
      <c r="BV57" s="867">
        <v>23117.95645</v>
      </c>
      <c r="BW57" s="868">
        <v>5931.361162</v>
      </c>
      <c r="CF57" s="882"/>
      <c r="CG57" s="882"/>
      <c r="CH57" s="882"/>
      <c r="CI57" s="530"/>
    </row>
    <row r="58">
      <c r="A58" s="857"/>
      <c r="B58" s="865" t="s">
        <v>605</v>
      </c>
      <c r="C58" s="865" t="s">
        <v>591</v>
      </c>
      <c r="D58" s="865" t="s">
        <v>616</v>
      </c>
      <c r="E58" s="866">
        <v>2019.0</v>
      </c>
      <c r="F58" s="865" t="s">
        <v>593</v>
      </c>
      <c r="G58" s="865" t="s">
        <v>70</v>
      </c>
      <c r="H58" s="867">
        <v>1.531868626E7</v>
      </c>
      <c r="I58" s="867">
        <v>1.710708333E7</v>
      </c>
      <c r="J58" s="868">
        <v>1.358155281E7</v>
      </c>
      <c r="K58" s="50"/>
      <c r="L58" s="869" t="s">
        <v>605</v>
      </c>
      <c r="M58" s="865" t="s">
        <v>591</v>
      </c>
      <c r="N58" s="865" t="s">
        <v>616</v>
      </c>
      <c r="O58" s="866">
        <v>2004.0</v>
      </c>
      <c r="P58" s="865" t="s">
        <v>593</v>
      </c>
      <c r="Q58" s="865" t="s">
        <v>70</v>
      </c>
      <c r="R58" s="867">
        <v>1.442427306E7</v>
      </c>
      <c r="S58" s="867">
        <v>1.558710136E7</v>
      </c>
      <c r="T58" s="868">
        <v>1.320368533E7</v>
      </c>
      <c r="V58" s="869" t="s">
        <v>594</v>
      </c>
      <c r="W58" s="865" t="s">
        <v>654</v>
      </c>
      <c r="X58" s="865" t="s">
        <v>595</v>
      </c>
      <c r="Y58" s="865" t="s">
        <v>596</v>
      </c>
      <c r="Z58" s="865" t="s">
        <v>597</v>
      </c>
      <c r="AA58" s="865" t="s">
        <v>70</v>
      </c>
      <c r="AB58" s="866">
        <v>2004.0</v>
      </c>
      <c r="AC58" s="867">
        <v>2372.225505</v>
      </c>
      <c r="AD58" s="867">
        <v>2769.535057</v>
      </c>
      <c r="AE58" s="868">
        <v>2013.446618</v>
      </c>
      <c r="AG58" s="869" t="s">
        <v>594</v>
      </c>
      <c r="AH58" s="865" t="s">
        <v>654</v>
      </c>
      <c r="AI58" s="865" t="s">
        <v>595</v>
      </c>
      <c r="AJ58" s="865" t="s">
        <v>596</v>
      </c>
      <c r="AK58" s="865" t="s">
        <v>597</v>
      </c>
      <c r="AL58" s="865" t="s">
        <v>598</v>
      </c>
      <c r="AM58" s="866">
        <v>2019.0</v>
      </c>
      <c r="AN58" s="867">
        <v>2522.943091</v>
      </c>
      <c r="AO58" s="867">
        <v>3120.864121</v>
      </c>
      <c r="AP58" s="868">
        <v>1975.332814</v>
      </c>
      <c r="AR58" s="869" t="s">
        <v>594</v>
      </c>
      <c r="AS58" s="865" t="s">
        <v>654</v>
      </c>
      <c r="AT58" s="865" t="s">
        <v>595</v>
      </c>
      <c r="AU58" s="865" t="s">
        <v>596</v>
      </c>
      <c r="AV58" s="865" t="s">
        <v>599</v>
      </c>
      <c r="AW58" s="865" t="s">
        <v>598</v>
      </c>
      <c r="AX58" s="866">
        <v>2019.0</v>
      </c>
      <c r="AY58" s="867">
        <v>0.0</v>
      </c>
      <c r="AZ58" s="867">
        <v>0.0</v>
      </c>
      <c r="BA58" s="868">
        <v>0.0</v>
      </c>
      <c r="BC58" s="869" t="s">
        <v>594</v>
      </c>
      <c r="BD58" s="865" t="s">
        <v>654</v>
      </c>
      <c r="BE58" s="865" t="s">
        <v>595</v>
      </c>
      <c r="BF58" s="865" t="s">
        <v>600</v>
      </c>
      <c r="BG58" s="865" t="s">
        <v>599</v>
      </c>
      <c r="BH58" s="865" t="s">
        <v>70</v>
      </c>
      <c r="BI58" s="866">
        <v>2019.0</v>
      </c>
      <c r="BJ58" s="867">
        <v>0.0</v>
      </c>
      <c r="BK58" s="867">
        <v>0.0</v>
      </c>
      <c r="BL58" s="868">
        <v>0.0</v>
      </c>
      <c r="BN58" s="869" t="s">
        <v>40</v>
      </c>
      <c r="BO58" s="865" t="s">
        <v>654</v>
      </c>
      <c r="BP58" s="865" t="s">
        <v>595</v>
      </c>
      <c r="BQ58" s="865" t="s">
        <v>600</v>
      </c>
      <c r="BR58" s="865" t="s">
        <v>599</v>
      </c>
      <c r="BS58" s="865" t="s">
        <v>598</v>
      </c>
      <c r="BT58" s="866">
        <v>2019.0</v>
      </c>
      <c r="BU58" s="867">
        <v>0.0</v>
      </c>
      <c r="BV58" s="867">
        <v>0.0</v>
      </c>
      <c r="BW58" s="868">
        <v>0.0</v>
      </c>
      <c r="CF58" s="882"/>
      <c r="CG58" s="882"/>
      <c r="CH58" s="882"/>
      <c r="CI58" s="530"/>
    </row>
    <row r="59">
      <c r="A59" s="857"/>
      <c r="B59" s="865" t="s">
        <v>605</v>
      </c>
      <c r="C59" s="865" t="s">
        <v>591</v>
      </c>
      <c r="D59" s="865" t="s">
        <v>618</v>
      </c>
      <c r="E59" s="866">
        <v>2019.0</v>
      </c>
      <c r="F59" s="865" t="s">
        <v>593</v>
      </c>
      <c r="G59" s="865" t="s">
        <v>70</v>
      </c>
      <c r="H59" s="867">
        <v>6.780309651E7</v>
      </c>
      <c r="I59" s="867">
        <v>7.572423933E7</v>
      </c>
      <c r="J59" s="868">
        <v>6.011563481E7</v>
      </c>
      <c r="K59" s="50"/>
      <c r="L59" s="869" t="s">
        <v>605</v>
      </c>
      <c r="M59" s="865" t="s">
        <v>591</v>
      </c>
      <c r="N59" s="865" t="s">
        <v>618</v>
      </c>
      <c r="O59" s="866">
        <v>2004.0</v>
      </c>
      <c r="P59" s="865" t="s">
        <v>593</v>
      </c>
      <c r="Q59" s="865" t="s">
        <v>70</v>
      </c>
      <c r="R59" s="867">
        <v>5.733407396E7</v>
      </c>
      <c r="S59" s="867">
        <v>6.195771071E7</v>
      </c>
      <c r="T59" s="868">
        <v>5.248144359E7</v>
      </c>
      <c r="V59" s="869" t="s">
        <v>594</v>
      </c>
      <c r="W59" s="865" t="s">
        <v>654</v>
      </c>
      <c r="X59" s="865" t="s">
        <v>595</v>
      </c>
      <c r="Y59" s="865" t="s">
        <v>602</v>
      </c>
      <c r="Z59" s="865" t="s">
        <v>597</v>
      </c>
      <c r="AA59" s="865" t="s">
        <v>70</v>
      </c>
      <c r="AB59" s="866">
        <v>2004.0</v>
      </c>
      <c r="AC59" s="867">
        <v>1264.343529</v>
      </c>
      <c r="AD59" s="867">
        <v>1474.754818</v>
      </c>
      <c r="AE59" s="868">
        <v>1085.346338</v>
      </c>
      <c r="AG59" s="869" t="s">
        <v>594</v>
      </c>
      <c r="AH59" s="865" t="s">
        <v>654</v>
      </c>
      <c r="AI59" s="865" t="s">
        <v>595</v>
      </c>
      <c r="AJ59" s="865" t="s">
        <v>602</v>
      </c>
      <c r="AK59" s="865" t="s">
        <v>597</v>
      </c>
      <c r="AL59" s="865" t="s">
        <v>598</v>
      </c>
      <c r="AM59" s="866">
        <v>2019.0</v>
      </c>
      <c r="AN59" s="867">
        <v>368.8724063</v>
      </c>
      <c r="AO59" s="867">
        <v>449.4030697</v>
      </c>
      <c r="AP59" s="868">
        <v>294.1933227</v>
      </c>
      <c r="AR59" s="869" t="s">
        <v>594</v>
      </c>
      <c r="AS59" s="865" t="s">
        <v>654</v>
      </c>
      <c r="AT59" s="865" t="s">
        <v>595</v>
      </c>
      <c r="AU59" s="865" t="s">
        <v>602</v>
      </c>
      <c r="AV59" s="865" t="s">
        <v>599</v>
      </c>
      <c r="AW59" s="865" t="s">
        <v>598</v>
      </c>
      <c r="AX59" s="866">
        <v>2019.0</v>
      </c>
      <c r="AY59" s="867">
        <v>0.0</v>
      </c>
      <c r="AZ59" s="867">
        <v>0.0</v>
      </c>
      <c r="BA59" s="868">
        <v>0.0</v>
      </c>
      <c r="BC59" s="869" t="s">
        <v>594</v>
      </c>
      <c r="BD59" s="865" t="s">
        <v>654</v>
      </c>
      <c r="BE59" s="865" t="s">
        <v>595</v>
      </c>
      <c r="BF59" s="865" t="s">
        <v>603</v>
      </c>
      <c r="BG59" s="865" t="s">
        <v>599</v>
      </c>
      <c r="BH59" s="865" t="s">
        <v>70</v>
      </c>
      <c r="BI59" s="866">
        <v>2019.0</v>
      </c>
      <c r="BJ59" s="867">
        <v>0.0</v>
      </c>
      <c r="BK59" s="867">
        <v>0.0</v>
      </c>
      <c r="BL59" s="868">
        <v>0.0</v>
      </c>
      <c r="BN59" s="869" t="s">
        <v>40</v>
      </c>
      <c r="BO59" s="865" t="s">
        <v>654</v>
      </c>
      <c r="BP59" s="865" t="s">
        <v>595</v>
      </c>
      <c r="BQ59" s="865" t="s">
        <v>604</v>
      </c>
      <c r="BR59" s="865" t="s">
        <v>599</v>
      </c>
      <c r="BS59" s="865" t="s">
        <v>598</v>
      </c>
      <c r="BT59" s="866">
        <v>2019.0</v>
      </c>
      <c r="BU59" s="867">
        <v>0.0</v>
      </c>
      <c r="BV59" s="867">
        <v>0.0</v>
      </c>
      <c r="BW59" s="868">
        <v>0.0</v>
      </c>
      <c r="CF59" s="882"/>
      <c r="CG59" s="882"/>
      <c r="CH59" s="882"/>
      <c r="CI59" s="530"/>
    </row>
    <row r="60">
      <c r="A60" s="857"/>
      <c r="B60" s="865" t="s">
        <v>605</v>
      </c>
      <c r="C60" s="865" t="s">
        <v>591</v>
      </c>
      <c r="D60" s="865" t="s">
        <v>620</v>
      </c>
      <c r="E60" s="866">
        <v>2019.0</v>
      </c>
      <c r="F60" s="865" t="s">
        <v>593</v>
      </c>
      <c r="G60" s="865" t="s">
        <v>70</v>
      </c>
      <c r="H60" s="867">
        <v>8.616487862E7</v>
      </c>
      <c r="I60" s="867">
        <v>9.622429325E7</v>
      </c>
      <c r="J60" s="868">
        <v>7.639381273E7</v>
      </c>
      <c r="K60" s="50"/>
      <c r="L60" s="869" t="s">
        <v>605</v>
      </c>
      <c r="M60" s="865" t="s">
        <v>591</v>
      </c>
      <c r="N60" s="865" t="s">
        <v>620</v>
      </c>
      <c r="O60" s="866">
        <v>2004.0</v>
      </c>
      <c r="P60" s="865" t="s">
        <v>593</v>
      </c>
      <c r="Q60" s="865" t="s">
        <v>70</v>
      </c>
      <c r="R60" s="867">
        <v>6.953691119E7</v>
      </c>
      <c r="S60" s="867">
        <v>7.514270415E7</v>
      </c>
      <c r="T60" s="868">
        <v>6.36526701E7</v>
      </c>
      <c r="V60" s="869" t="s">
        <v>594</v>
      </c>
      <c r="W60" s="865" t="s">
        <v>656</v>
      </c>
      <c r="X60" s="865" t="s">
        <v>595</v>
      </c>
      <c r="Y60" s="865" t="s">
        <v>596</v>
      </c>
      <c r="Z60" s="865" t="s">
        <v>597</v>
      </c>
      <c r="AA60" s="865" t="s">
        <v>70</v>
      </c>
      <c r="AB60" s="866">
        <v>2004.0</v>
      </c>
      <c r="AC60" s="867">
        <v>5732.216121</v>
      </c>
      <c r="AD60" s="867">
        <v>6241.518219</v>
      </c>
      <c r="AE60" s="868">
        <v>5261.880372</v>
      </c>
      <c r="AG60" s="869" t="s">
        <v>594</v>
      </c>
      <c r="AH60" s="865" t="s">
        <v>656</v>
      </c>
      <c r="AI60" s="865" t="s">
        <v>595</v>
      </c>
      <c r="AJ60" s="865" t="s">
        <v>596</v>
      </c>
      <c r="AK60" s="865" t="s">
        <v>597</v>
      </c>
      <c r="AL60" s="865" t="s">
        <v>598</v>
      </c>
      <c r="AM60" s="866">
        <v>2019.0</v>
      </c>
      <c r="AN60" s="867">
        <v>2131.765652</v>
      </c>
      <c r="AO60" s="867">
        <v>2888.292678</v>
      </c>
      <c r="AP60" s="868">
        <v>1574.718613</v>
      </c>
      <c r="AR60" s="869" t="s">
        <v>594</v>
      </c>
      <c r="AS60" s="865" t="s">
        <v>656</v>
      </c>
      <c r="AT60" s="865" t="s">
        <v>595</v>
      </c>
      <c r="AU60" s="865" t="s">
        <v>596</v>
      </c>
      <c r="AV60" s="865" t="s">
        <v>599</v>
      </c>
      <c r="AW60" s="865" t="s">
        <v>598</v>
      </c>
      <c r="AX60" s="866">
        <v>2019.0</v>
      </c>
      <c r="AY60" s="867">
        <v>646.9017247</v>
      </c>
      <c r="AZ60" s="867">
        <v>1196.568195</v>
      </c>
      <c r="BA60" s="868">
        <v>270.6443511</v>
      </c>
      <c r="BC60" s="869" t="s">
        <v>594</v>
      </c>
      <c r="BD60" s="865" t="s">
        <v>656</v>
      </c>
      <c r="BE60" s="865" t="s">
        <v>595</v>
      </c>
      <c r="BF60" s="865" t="s">
        <v>600</v>
      </c>
      <c r="BG60" s="865" t="s">
        <v>599</v>
      </c>
      <c r="BH60" s="865" t="s">
        <v>70</v>
      </c>
      <c r="BI60" s="866">
        <v>2019.0</v>
      </c>
      <c r="BJ60" s="867">
        <v>1856.905956</v>
      </c>
      <c r="BK60" s="867">
        <v>3311.939653</v>
      </c>
      <c r="BL60" s="868">
        <v>809.942043</v>
      </c>
      <c r="BN60" s="869" t="s">
        <v>40</v>
      </c>
      <c r="BO60" s="865" t="s">
        <v>656</v>
      </c>
      <c r="BP60" s="865" t="s">
        <v>595</v>
      </c>
      <c r="BQ60" s="865" t="s">
        <v>600</v>
      </c>
      <c r="BR60" s="865" t="s">
        <v>599</v>
      </c>
      <c r="BS60" s="865" t="s">
        <v>598</v>
      </c>
      <c r="BT60" s="866">
        <v>2019.0</v>
      </c>
      <c r="BU60" s="867">
        <v>104895.3446</v>
      </c>
      <c r="BV60" s="867">
        <v>154743.8728</v>
      </c>
      <c r="BW60" s="868">
        <v>41668.67181</v>
      </c>
      <c r="CF60" s="882"/>
      <c r="CG60" s="882"/>
      <c r="CH60" s="882"/>
      <c r="CI60" s="530"/>
    </row>
    <row r="61">
      <c r="A61" s="857"/>
      <c r="B61" s="865" t="s">
        <v>605</v>
      </c>
      <c r="C61" s="865" t="s">
        <v>591</v>
      </c>
      <c r="D61" s="865" t="s">
        <v>622</v>
      </c>
      <c r="E61" s="866">
        <v>2019.0</v>
      </c>
      <c r="F61" s="865" t="s">
        <v>593</v>
      </c>
      <c r="G61" s="865" t="s">
        <v>70</v>
      </c>
      <c r="H61" s="867">
        <v>9.988947616E7</v>
      </c>
      <c r="I61" s="867">
        <v>1.115591321E8</v>
      </c>
      <c r="J61" s="868">
        <v>8.856408598E7</v>
      </c>
      <c r="K61" s="50"/>
      <c r="L61" s="869" t="s">
        <v>605</v>
      </c>
      <c r="M61" s="865" t="s">
        <v>591</v>
      </c>
      <c r="N61" s="865" t="s">
        <v>622</v>
      </c>
      <c r="O61" s="866">
        <v>2004.0</v>
      </c>
      <c r="P61" s="865" t="s">
        <v>593</v>
      </c>
      <c r="Q61" s="865" t="s">
        <v>70</v>
      </c>
      <c r="R61" s="867">
        <v>6.996929847E7</v>
      </c>
      <c r="S61" s="867">
        <v>7.561188756E7</v>
      </c>
      <c r="T61" s="868">
        <v>6.404725039E7</v>
      </c>
      <c r="V61" s="869" t="s">
        <v>594</v>
      </c>
      <c r="W61" s="865" t="s">
        <v>656</v>
      </c>
      <c r="X61" s="865" t="s">
        <v>595</v>
      </c>
      <c r="Y61" s="865" t="s">
        <v>602</v>
      </c>
      <c r="Z61" s="865" t="s">
        <v>597</v>
      </c>
      <c r="AA61" s="865" t="s">
        <v>70</v>
      </c>
      <c r="AB61" s="866">
        <v>2004.0</v>
      </c>
      <c r="AC61" s="867">
        <v>5629.681675</v>
      </c>
      <c r="AD61" s="867">
        <v>6458.4736</v>
      </c>
      <c r="AE61" s="868">
        <v>4863.89932</v>
      </c>
      <c r="AG61" s="869" t="s">
        <v>594</v>
      </c>
      <c r="AH61" s="865" t="s">
        <v>656</v>
      </c>
      <c r="AI61" s="865" t="s">
        <v>595</v>
      </c>
      <c r="AJ61" s="865" t="s">
        <v>602</v>
      </c>
      <c r="AK61" s="865" t="s">
        <v>597</v>
      </c>
      <c r="AL61" s="865" t="s">
        <v>598</v>
      </c>
      <c r="AM61" s="866">
        <v>2019.0</v>
      </c>
      <c r="AN61" s="867">
        <v>500.9359975</v>
      </c>
      <c r="AO61" s="867">
        <v>664.5163114</v>
      </c>
      <c r="AP61" s="868">
        <v>375.8140371</v>
      </c>
      <c r="AR61" s="869" t="s">
        <v>594</v>
      </c>
      <c r="AS61" s="865" t="s">
        <v>656</v>
      </c>
      <c r="AT61" s="865" t="s">
        <v>595</v>
      </c>
      <c r="AU61" s="865" t="s">
        <v>602</v>
      </c>
      <c r="AV61" s="865" t="s">
        <v>599</v>
      </c>
      <c r="AW61" s="865" t="s">
        <v>598</v>
      </c>
      <c r="AX61" s="866">
        <v>2019.0</v>
      </c>
      <c r="AY61" s="867">
        <v>192.3071962</v>
      </c>
      <c r="AZ61" s="867">
        <v>333.4670408</v>
      </c>
      <c r="BA61" s="868">
        <v>83.42952881</v>
      </c>
      <c r="BC61" s="869" t="s">
        <v>594</v>
      </c>
      <c r="BD61" s="865" t="s">
        <v>656</v>
      </c>
      <c r="BE61" s="865" t="s">
        <v>595</v>
      </c>
      <c r="BF61" s="865" t="s">
        <v>603</v>
      </c>
      <c r="BG61" s="865" t="s">
        <v>599</v>
      </c>
      <c r="BH61" s="865" t="s">
        <v>70</v>
      </c>
      <c r="BI61" s="866">
        <v>2019.0</v>
      </c>
      <c r="BJ61" s="867">
        <v>4586.664618</v>
      </c>
      <c r="BK61" s="867">
        <v>8175.423491</v>
      </c>
      <c r="BL61" s="868">
        <v>1943.976329</v>
      </c>
      <c r="BN61" s="869" t="s">
        <v>40</v>
      </c>
      <c r="BO61" s="865" t="s">
        <v>656</v>
      </c>
      <c r="BP61" s="865" t="s">
        <v>595</v>
      </c>
      <c r="BQ61" s="865" t="s">
        <v>604</v>
      </c>
      <c r="BR61" s="865" t="s">
        <v>599</v>
      </c>
      <c r="BS61" s="865" t="s">
        <v>598</v>
      </c>
      <c r="BT61" s="866">
        <v>2019.0</v>
      </c>
      <c r="BU61" s="867">
        <v>42035.0543</v>
      </c>
      <c r="BV61" s="867">
        <v>69863.0908</v>
      </c>
      <c r="BW61" s="868">
        <v>22032.81229</v>
      </c>
      <c r="CF61" s="882"/>
      <c r="CG61" s="882"/>
      <c r="CH61" s="882"/>
      <c r="CI61" s="530"/>
    </row>
    <row r="62">
      <c r="A62" s="857"/>
      <c r="B62" s="865" t="s">
        <v>605</v>
      </c>
      <c r="C62" s="865" t="s">
        <v>591</v>
      </c>
      <c r="D62" s="865" t="s">
        <v>624</v>
      </c>
      <c r="E62" s="866">
        <v>2019.0</v>
      </c>
      <c r="F62" s="865" t="s">
        <v>593</v>
      </c>
      <c r="G62" s="865" t="s">
        <v>70</v>
      </c>
      <c r="H62" s="867">
        <v>1.461180309E7</v>
      </c>
      <c r="I62" s="867">
        <v>1.631767429E7</v>
      </c>
      <c r="J62" s="868">
        <v>1.295482993E7</v>
      </c>
      <c r="K62" s="50"/>
      <c r="L62" s="869" t="s">
        <v>605</v>
      </c>
      <c r="M62" s="865" t="s">
        <v>591</v>
      </c>
      <c r="N62" s="865" t="s">
        <v>624</v>
      </c>
      <c r="O62" s="866">
        <v>2004.0</v>
      </c>
      <c r="P62" s="865" t="s">
        <v>593</v>
      </c>
      <c r="Q62" s="865" t="s">
        <v>70</v>
      </c>
      <c r="R62" s="867">
        <v>1.271720794E7</v>
      </c>
      <c r="S62" s="867">
        <v>1.374241935E7</v>
      </c>
      <c r="T62" s="868">
        <v>1.164107275E7</v>
      </c>
      <c r="V62" s="869" t="s">
        <v>594</v>
      </c>
      <c r="W62" s="865" t="s">
        <v>658</v>
      </c>
      <c r="X62" s="865" t="s">
        <v>595</v>
      </c>
      <c r="Y62" s="865" t="s">
        <v>596</v>
      </c>
      <c r="Z62" s="865" t="s">
        <v>597</v>
      </c>
      <c r="AA62" s="865" t="s">
        <v>70</v>
      </c>
      <c r="AB62" s="866">
        <v>2004.0</v>
      </c>
      <c r="AC62" s="867">
        <v>23382.78296</v>
      </c>
      <c r="AD62" s="867">
        <v>26736.56158</v>
      </c>
      <c r="AE62" s="868">
        <v>20160.51182</v>
      </c>
      <c r="AG62" s="869" t="s">
        <v>594</v>
      </c>
      <c r="AH62" s="865" t="s">
        <v>658</v>
      </c>
      <c r="AI62" s="865" t="s">
        <v>595</v>
      </c>
      <c r="AJ62" s="865" t="s">
        <v>596</v>
      </c>
      <c r="AK62" s="865" t="s">
        <v>597</v>
      </c>
      <c r="AL62" s="865" t="s">
        <v>598</v>
      </c>
      <c r="AM62" s="866">
        <v>2019.0</v>
      </c>
      <c r="AN62" s="867">
        <v>2041.980679</v>
      </c>
      <c r="AO62" s="867">
        <v>2506.010322</v>
      </c>
      <c r="AP62" s="868">
        <v>1652.781932</v>
      </c>
      <c r="AR62" s="869" t="s">
        <v>594</v>
      </c>
      <c r="AS62" s="865" t="s">
        <v>658</v>
      </c>
      <c r="AT62" s="865" t="s">
        <v>595</v>
      </c>
      <c r="AU62" s="865" t="s">
        <v>596</v>
      </c>
      <c r="AV62" s="865" t="s">
        <v>599</v>
      </c>
      <c r="AW62" s="865" t="s">
        <v>598</v>
      </c>
      <c r="AX62" s="866">
        <v>2019.0</v>
      </c>
      <c r="AY62" s="867">
        <v>182.3520119</v>
      </c>
      <c r="AZ62" s="867">
        <v>409.2827255</v>
      </c>
      <c r="BA62" s="868">
        <v>59.97233577</v>
      </c>
      <c r="BC62" s="869" t="s">
        <v>594</v>
      </c>
      <c r="BD62" s="865" t="s">
        <v>658</v>
      </c>
      <c r="BE62" s="865" t="s">
        <v>595</v>
      </c>
      <c r="BF62" s="865" t="s">
        <v>600</v>
      </c>
      <c r="BG62" s="865" t="s">
        <v>599</v>
      </c>
      <c r="BH62" s="865" t="s">
        <v>70</v>
      </c>
      <c r="BI62" s="866">
        <v>2019.0</v>
      </c>
      <c r="BJ62" s="867">
        <v>2884.2828</v>
      </c>
      <c r="BK62" s="867">
        <v>6016.842513</v>
      </c>
      <c r="BL62" s="868">
        <v>969.35976</v>
      </c>
      <c r="BN62" s="869" t="s">
        <v>40</v>
      </c>
      <c r="BO62" s="865" t="s">
        <v>658</v>
      </c>
      <c r="BP62" s="865" t="s">
        <v>595</v>
      </c>
      <c r="BQ62" s="865" t="s">
        <v>600</v>
      </c>
      <c r="BR62" s="865" t="s">
        <v>599</v>
      </c>
      <c r="BS62" s="865" t="s">
        <v>598</v>
      </c>
      <c r="BT62" s="866">
        <v>2019.0</v>
      </c>
      <c r="BU62" s="867">
        <v>21227.95348</v>
      </c>
      <c r="BV62" s="867">
        <v>37702.12382</v>
      </c>
      <c r="BW62" s="868">
        <v>8735.095586</v>
      </c>
      <c r="CF62" s="882"/>
      <c r="CG62" s="882"/>
      <c r="CH62" s="882"/>
      <c r="CI62" s="530"/>
    </row>
    <row r="63">
      <c r="A63" s="857"/>
      <c r="B63" s="865" t="s">
        <v>605</v>
      </c>
      <c r="C63" s="865" t="s">
        <v>591</v>
      </c>
      <c r="D63" s="865" t="s">
        <v>625</v>
      </c>
      <c r="E63" s="866">
        <v>2019.0</v>
      </c>
      <c r="F63" s="865" t="s">
        <v>593</v>
      </c>
      <c r="G63" s="865" t="s">
        <v>70</v>
      </c>
      <c r="H63" s="867">
        <v>8.528043635E7</v>
      </c>
      <c r="I63" s="867">
        <v>9.523659578E7</v>
      </c>
      <c r="J63" s="868">
        <v>7.560966589E7</v>
      </c>
      <c r="K63" s="50"/>
      <c r="L63" s="869" t="s">
        <v>605</v>
      </c>
      <c r="M63" s="865" t="s">
        <v>591</v>
      </c>
      <c r="N63" s="865" t="s">
        <v>625</v>
      </c>
      <c r="O63" s="866">
        <v>2004.0</v>
      </c>
      <c r="P63" s="865" t="s">
        <v>593</v>
      </c>
      <c r="Q63" s="865" t="s">
        <v>70</v>
      </c>
      <c r="R63" s="867">
        <v>5.725352938E7</v>
      </c>
      <c r="S63" s="867">
        <v>6.186908429E7</v>
      </c>
      <c r="T63" s="868">
        <v>5.240871295E7</v>
      </c>
      <c r="V63" s="869" t="s">
        <v>594</v>
      </c>
      <c r="W63" s="865" t="s">
        <v>658</v>
      </c>
      <c r="X63" s="865" t="s">
        <v>595</v>
      </c>
      <c r="Y63" s="865" t="s">
        <v>602</v>
      </c>
      <c r="Z63" s="865" t="s">
        <v>597</v>
      </c>
      <c r="AA63" s="865" t="s">
        <v>70</v>
      </c>
      <c r="AB63" s="866">
        <v>2004.0</v>
      </c>
      <c r="AC63" s="867">
        <v>21933.65451</v>
      </c>
      <c r="AD63" s="867">
        <v>24983.48174</v>
      </c>
      <c r="AE63" s="868">
        <v>19140.26975</v>
      </c>
      <c r="AG63" s="869" t="s">
        <v>594</v>
      </c>
      <c r="AH63" s="865" t="s">
        <v>658</v>
      </c>
      <c r="AI63" s="865" t="s">
        <v>595</v>
      </c>
      <c r="AJ63" s="865" t="s">
        <v>602</v>
      </c>
      <c r="AK63" s="865" t="s">
        <v>597</v>
      </c>
      <c r="AL63" s="865" t="s">
        <v>598</v>
      </c>
      <c r="AM63" s="866">
        <v>2019.0</v>
      </c>
      <c r="AN63" s="867">
        <v>413.2549631</v>
      </c>
      <c r="AO63" s="867">
        <v>500.9930191</v>
      </c>
      <c r="AP63" s="868">
        <v>342.4705199</v>
      </c>
      <c r="AR63" s="869" t="s">
        <v>594</v>
      </c>
      <c r="AS63" s="865" t="s">
        <v>658</v>
      </c>
      <c r="AT63" s="865" t="s">
        <v>595</v>
      </c>
      <c r="AU63" s="865" t="s">
        <v>602</v>
      </c>
      <c r="AV63" s="865" t="s">
        <v>599</v>
      </c>
      <c r="AW63" s="865" t="s">
        <v>598</v>
      </c>
      <c r="AX63" s="866">
        <v>2019.0</v>
      </c>
      <c r="AY63" s="867">
        <v>41.21717657</v>
      </c>
      <c r="AZ63" s="867">
        <v>87.60071391</v>
      </c>
      <c r="BA63" s="868">
        <v>14.07459644</v>
      </c>
      <c r="BC63" s="869" t="s">
        <v>594</v>
      </c>
      <c r="BD63" s="865" t="s">
        <v>658</v>
      </c>
      <c r="BE63" s="865" t="s">
        <v>595</v>
      </c>
      <c r="BF63" s="865" t="s">
        <v>603</v>
      </c>
      <c r="BG63" s="865" t="s">
        <v>599</v>
      </c>
      <c r="BH63" s="865" t="s">
        <v>70</v>
      </c>
      <c r="BI63" s="866">
        <v>2019.0</v>
      </c>
      <c r="BJ63" s="867">
        <v>5919.781925</v>
      </c>
      <c r="BK63" s="867">
        <v>13254.54033</v>
      </c>
      <c r="BL63" s="868">
        <v>1914.313589</v>
      </c>
      <c r="BN63" s="869" t="s">
        <v>40</v>
      </c>
      <c r="BO63" s="865" t="s">
        <v>658</v>
      </c>
      <c r="BP63" s="865" t="s">
        <v>595</v>
      </c>
      <c r="BQ63" s="865" t="s">
        <v>604</v>
      </c>
      <c r="BR63" s="865" t="s">
        <v>599</v>
      </c>
      <c r="BS63" s="865" t="s">
        <v>598</v>
      </c>
      <c r="BT63" s="866">
        <v>2019.0</v>
      </c>
      <c r="BU63" s="867">
        <v>10463.39189</v>
      </c>
      <c r="BV63" s="867">
        <v>16650.0131</v>
      </c>
      <c r="BW63" s="868">
        <v>5582.639605</v>
      </c>
      <c r="CF63" s="882"/>
      <c r="CG63" s="882"/>
      <c r="CH63" s="882"/>
      <c r="CI63" s="530"/>
    </row>
    <row r="64">
      <c r="A64" s="857"/>
      <c r="B64" s="865" t="s">
        <v>605</v>
      </c>
      <c r="C64" s="865" t="s">
        <v>591</v>
      </c>
      <c r="D64" s="865" t="s">
        <v>627</v>
      </c>
      <c r="E64" s="866">
        <v>2019.0</v>
      </c>
      <c r="F64" s="865" t="s">
        <v>593</v>
      </c>
      <c r="G64" s="865" t="s">
        <v>70</v>
      </c>
      <c r="H64" s="867">
        <v>1.389366423E7</v>
      </c>
      <c r="I64" s="867">
        <v>1.551569552E7</v>
      </c>
      <c r="J64" s="868">
        <v>1.231812776E7</v>
      </c>
      <c r="K64" s="50"/>
      <c r="L64" s="869" t="s">
        <v>605</v>
      </c>
      <c r="M64" s="865" t="s">
        <v>591</v>
      </c>
      <c r="N64" s="865" t="s">
        <v>627</v>
      </c>
      <c r="O64" s="866">
        <v>2004.0</v>
      </c>
      <c r="P64" s="865" t="s">
        <v>593</v>
      </c>
      <c r="Q64" s="865" t="s">
        <v>70</v>
      </c>
      <c r="R64" s="867">
        <v>1.167739142E7</v>
      </c>
      <c r="S64" s="867">
        <v>1.26187769E7</v>
      </c>
      <c r="T64" s="868">
        <v>1.068924591E7</v>
      </c>
      <c r="V64" s="869" t="s">
        <v>594</v>
      </c>
      <c r="W64" s="865" t="s">
        <v>660</v>
      </c>
      <c r="X64" s="865" t="s">
        <v>595</v>
      </c>
      <c r="Y64" s="865" t="s">
        <v>596</v>
      </c>
      <c r="Z64" s="865" t="s">
        <v>597</v>
      </c>
      <c r="AA64" s="865" t="s">
        <v>70</v>
      </c>
      <c r="AB64" s="866">
        <v>2004.0</v>
      </c>
      <c r="AC64" s="867">
        <v>21849.38929</v>
      </c>
      <c r="AD64" s="867">
        <v>24181.82633</v>
      </c>
      <c r="AE64" s="868">
        <v>19764.88673</v>
      </c>
      <c r="AG64" s="869" t="s">
        <v>594</v>
      </c>
      <c r="AH64" s="865" t="s">
        <v>660</v>
      </c>
      <c r="AI64" s="865" t="s">
        <v>595</v>
      </c>
      <c r="AJ64" s="865" t="s">
        <v>596</v>
      </c>
      <c r="AK64" s="865" t="s">
        <v>597</v>
      </c>
      <c r="AL64" s="865" t="s">
        <v>598</v>
      </c>
      <c r="AM64" s="866">
        <v>2019.0</v>
      </c>
      <c r="AN64" s="867">
        <v>1778.806661</v>
      </c>
      <c r="AO64" s="867">
        <v>2283.405812</v>
      </c>
      <c r="AP64" s="868">
        <v>1390.494217</v>
      </c>
      <c r="AR64" s="869" t="s">
        <v>594</v>
      </c>
      <c r="AS64" s="865" t="s">
        <v>660</v>
      </c>
      <c r="AT64" s="865" t="s">
        <v>595</v>
      </c>
      <c r="AU64" s="865" t="s">
        <v>596</v>
      </c>
      <c r="AV64" s="865" t="s">
        <v>599</v>
      </c>
      <c r="AW64" s="865" t="s">
        <v>598</v>
      </c>
      <c r="AX64" s="866">
        <v>2019.0</v>
      </c>
      <c r="AY64" s="867">
        <v>301.5939549</v>
      </c>
      <c r="AZ64" s="867">
        <v>600.1529609</v>
      </c>
      <c r="BA64" s="868">
        <v>122.0802269</v>
      </c>
      <c r="BC64" s="869" t="s">
        <v>594</v>
      </c>
      <c r="BD64" s="865" t="s">
        <v>660</v>
      </c>
      <c r="BE64" s="865" t="s">
        <v>595</v>
      </c>
      <c r="BF64" s="865" t="s">
        <v>600</v>
      </c>
      <c r="BG64" s="865" t="s">
        <v>599</v>
      </c>
      <c r="BH64" s="865" t="s">
        <v>70</v>
      </c>
      <c r="BI64" s="866">
        <v>2019.0</v>
      </c>
      <c r="BJ64" s="867">
        <v>3990.138716</v>
      </c>
      <c r="BK64" s="867">
        <v>7557.953143</v>
      </c>
      <c r="BL64" s="868">
        <v>1720.213585</v>
      </c>
      <c r="BN64" s="869" t="s">
        <v>40</v>
      </c>
      <c r="BO64" s="865" t="s">
        <v>660</v>
      </c>
      <c r="BP64" s="865" t="s">
        <v>595</v>
      </c>
      <c r="BQ64" s="865" t="s">
        <v>600</v>
      </c>
      <c r="BR64" s="865" t="s">
        <v>599</v>
      </c>
      <c r="BS64" s="865" t="s">
        <v>598</v>
      </c>
      <c r="BT64" s="866">
        <v>2019.0</v>
      </c>
      <c r="BU64" s="867">
        <v>50875.33429</v>
      </c>
      <c r="BV64" s="867">
        <v>80225.51123</v>
      </c>
      <c r="BW64" s="868">
        <v>23648.18764</v>
      </c>
      <c r="CF64" s="882"/>
      <c r="CG64" s="882"/>
      <c r="CH64" s="882"/>
      <c r="CI64" s="530"/>
    </row>
    <row r="65">
      <c r="A65" s="857"/>
      <c r="B65" s="865" t="s">
        <v>605</v>
      </c>
      <c r="C65" s="865" t="s">
        <v>591</v>
      </c>
      <c r="D65" s="865" t="s">
        <v>629</v>
      </c>
      <c r="E65" s="866">
        <v>2019.0</v>
      </c>
      <c r="F65" s="865" t="s">
        <v>593</v>
      </c>
      <c r="G65" s="865" t="s">
        <v>70</v>
      </c>
      <c r="H65" s="867">
        <v>5.62328337E7</v>
      </c>
      <c r="I65" s="867">
        <v>6.28022727E7</v>
      </c>
      <c r="J65" s="868">
        <v>4.985719928E7</v>
      </c>
      <c r="K65" s="50"/>
      <c r="L65" s="869" t="s">
        <v>605</v>
      </c>
      <c r="M65" s="865" t="s">
        <v>591</v>
      </c>
      <c r="N65" s="865" t="s">
        <v>629</v>
      </c>
      <c r="O65" s="866">
        <v>2004.0</v>
      </c>
      <c r="P65" s="865" t="s">
        <v>593</v>
      </c>
      <c r="Q65" s="865" t="s">
        <v>70</v>
      </c>
      <c r="R65" s="867">
        <v>4.239455839E7</v>
      </c>
      <c r="S65" s="867">
        <v>4.581341605E7</v>
      </c>
      <c r="T65" s="868">
        <v>3.880637588E7</v>
      </c>
      <c r="V65" s="869" t="s">
        <v>594</v>
      </c>
      <c r="W65" s="865" t="s">
        <v>660</v>
      </c>
      <c r="X65" s="865" t="s">
        <v>595</v>
      </c>
      <c r="Y65" s="865" t="s">
        <v>602</v>
      </c>
      <c r="Z65" s="865" t="s">
        <v>597</v>
      </c>
      <c r="AA65" s="865" t="s">
        <v>70</v>
      </c>
      <c r="AB65" s="866">
        <v>2004.0</v>
      </c>
      <c r="AC65" s="867">
        <v>27853.02115</v>
      </c>
      <c r="AD65" s="867">
        <v>30875.65738</v>
      </c>
      <c r="AE65" s="868">
        <v>25051.47662</v>
      </c>
      <c r="AG65" s="869" t="s">
        <v>594</v>
      </c>
      <c r="AH65" s="865" t="s">
        <v>660</v>
      </c>
      <c r="AI65" s="865" t="s">
        <v>595</v>
      </c>
      <c r="AJ65" s="865" t="s">
        <v>602</v>
      </c>
      <c r="AK65" s="865" t="s">
        <v>597</v>
      </c>
      <c r="AL65" s="865" t="s">
        <v>598</v>
      </c>
      <c r="AM65" s="866">
        <v>2019.0</v>
      </c>
      <c r="AN65" s="867">
        <v>464.4285575</v>
      </c>
      <c r="AO65" s="867">
        <v>588.7167008</v>
      </c>
      <c r="AP65" s="868">
        <v>367.241694</v>
      </c>
      <c r="AR65" s="869" t="s">
        <v>594</v>
      </c>
      <c r="AS65" s="865" t="s">
        <v>660</v>
      </c>
      <c r="AT65" s="865" t="s">
        <v>595</v>
      </c>
      <c r="AU65" s="865" t="s">
        <v>602</v>
      </c>
      <c r="AV65" s="865" t="s">
        <v>599</v>
      </c>
      <c r="AW65" s="865" t="s">
        <v>598</v>
      </c>
      <c r="AX65" s="866">
        <v>2019.0</v>
      </c>
      <c r="AY65" s="867">
        <v>111.2808419</v>
      </c>
      <c r="AZ65" s="867">
        <v>201.2687992</v>
      </c>
      <c r="BA65" s="868">
        <v>48.98374669</v>
      </c>
      <c r="BC65" s="869" t="s">
        <v>594</v>
      </c>
      <c r="BD65" s="865" t="s">
        <v>660</v>
      </c>
      <c r="BE65" s="865" t="s">
        <v>595</v>
      </c>
      <c r="BF65" s="865" t="s">
        <v>603</v>
      </c>
      <c r="BG65" s="865" t="s">
        <v>599</v>
      </c>
      <c r="BH65" s="865" t="s">
        <v>70</v>
      </c>
      <c r="BI65" s="866">
        <v>2019.0</v>
      </c>
      <c r="BJ65" s="867">
        <v>7076.334061</v>
      </c>
      <c r="BK65" s="867">
        <v>14069.77364</v>
      </c>
      <c r="BL65" s="868">
        <v>2898.522371</v>
      </c>
      <c r="BN65" s="869" t="s">
        <v>40</v>
      </c>
      <c r="BO65" s="865" t="s">
        <v>660</v>
      </c>
      <c r="BP65" s="865" t="s">
        <v>595</v>
      </c>
      <c r="BQ65" s="865" t="s">
        <v>604</v>
      </c>
      <c r="BR65" s="865" t="s">
        <v>599</v>
      </c>
      <c r="BS65" s="865" t="s">
        <v>598</v>
      </c>
      <c r="BT65" s="866">
        <v>2019.0</v>
      </c>
      <c r="BU65" s="867">
        <v>23059.0128</v>
      </c>
      <c r="BV65" s="867">
        <v>40431.52679</v>
      </c>
      <c r="BW65" s="868">
        <v>13207.83531</v>
      </c>
      <c r="CF65" s="882"/>
      <c r="CG65" s="882"/>
      <c r="CH65" s="882"/>
      <c r="CI65" s="530"/>
    </row>
    <row r="66">
      <c r="A66" s="857"/>
      <c r="B66" s="865" t="s">
        <v>605</v>
      </c>
      <c r="C66" s="865" t="s">
        <v>591</v>
      </c>
      <c r="D66" s="865" t="s">
        <v>631</v>
      </c>
      <c r="E66" s="866">
        <v>2019.0</v>
      </c>
      <c r="F66" s="865" t="s">
        <v>593</v>
      </c>
      <c r="G66" s="865" t="s">
        <v>70</v>
      </c>
      <c r="H66" s="867">
        <v>1.281923593E7</v>
      </c>
      <c r="I66" s="867">
        <v>1.431583189E7</v>
      </c>
      <c r="J66" s="868">
        <v>1.136553924E7</v>
      </c>
      <c r="K66" s="50"/>
      <c r="L66" s="869" t="s">
        <v>605</v>
      </c>
      <c r="M66" s="865" t="s">
        <v>591</v>
      </c>
      <c r="N66" s="865" t="s">
        <v>631</v>
      </c>
      <c r="O66" s="866">
        <v>2004.0</v>
      </c>
      <c r="P66" s="865" t="s">
        <v>593</v>
      </c>
      <c r="Q66" s="865" t="s">
        <v>70</v>
      </c>
      <c r="R66" s="867">
        <v>1.010377135E7</v>
      </c>
      <c r="S66" s="867">
        <v>1.091829775E7</v>
      </c>
      <c r="T66" s="868">
        <v>9248786.196</v>
      </c>
      <c r="V66" s="869" t="s">
        <v>594</v>
      </c>
      <c r="W66" s="865" t="s">
        <v>662</v>
      </c>
      <c r="X66" s="865" t="s">
        <v>595</v>
      </c>
      <c r="Y66" s="865" t="s">
        <v>596</v>
      </c>
      <c r="Z66" s="865" t="s">
        <v>597</v>
      </c>
      <c r="AA66" s="865" t="s">
        <v>70</v>
      </c>
      <c r="AB66" s="866">
        <v>2004.0</v>
      </c>
      <c r="AC66" s="867">
        <v>27809.37124</v>
      </c>
      <c r="AD66" s="867">
        <v>30851.74344</v>
      </c>
      <c r="AE66" s="868">
        <v>24880.89327</v>
      </c>
      <c r="AG66" s="869" t="s">
        <v>594</v>
      </c>
      <c r="AH66" s="865" t="s">
        <v>662</v>
      </c>
      <c r="AI66" s="865" t="s">
        <v>595</v>
      </c>
      <c r="AJ66" s="865" t="s">
        <v>596</v>
      </c>
      <c r="AK66" s="865" t="s">
        <v>597</v>
      </c>
      <c r="AL66" s="865" t="s">
        <v>598</v>
      </c>
      <c r="AM66" s="866">
        <v>2019.0</v>
      </c>
      <c r="AN66" s="867">
        <v>3423.628139</v>
      </c>
      <c r="AO66" s="867">
        <v>4230.256855</v>
      </c>
      <c r="AP66" s="868">
        <v>2790.354099</v>
      </c>
      <c r="AR66" s="869" t="s">
        <v>594</v>
      </c>
      <c r="AS66" s="865" t="s">
        <v>662</v>
      </c>
      <c r="AT66" s="865" t="s">
        <v>595</v>
      </c>
      <c r="AU66" s="865" t="s">
        <v>596</v>
      </c>
      <c r="AV66" s="865" t="s">
        <v>599</v>
      </c>
      <c r="AW66" s="865" t="s">
        <v>598</v>
      </c>
      <c r="AX66" s="866">
        <v>2019.0</v>
      </c>
      <c r="AY66" s="867">
        <v>520.0103588</v>
      </c>
      <c r="AZ66" s="867">
        <v>1073.132614</v>
      </c>
      <c r="BA66" s="868">
        <v>204.853833</v>
      </c>
      <c r="BC66" s="869" t="s">
        <v>594</v>
      </c>
      <c r="BD66" s="865" t="s">
        <v>662</v>
      </c>
      <c r="BE66" s="865" t="s">
        <v>595</v>
      </c>
      <c r="BF66" s="865" t="s">
        <v>600</v>
      </c>
      <c r="BG66" s="865" t="s">
        <v>599</v>
      </c>
      <c r="BH66" s="865" t="s">
        <v>70</v>
      </c>
      <c r="BI66" s="866">
        <v>2019.0</v>
      </c>
      <c r="BJ66" s="867">
        <v>14107.83217</v>
      </c>
      <c r="BK66" s="867">
        <v>27485.39261</v>
      </c>
      <c r="BL66" s="868">
        <v>5744.808874</v>
      </c>
      <c r="BN66" s="869" t="s">
        <v>40</v>
      </c>
      <c r="BO66" s="865" t="s">
        <v>662</v>
      </c>
      <c r="BP66" s="865" t="s">
        <v>595</v>
      </c>
      <c r="BQ66" s="865" t="s">
        <v>600</v>
      </c>
      <c r="BR66" s="865" t="s">
        <v>599</v>
      </c>
      <c r="BS66" s="865" t="s">
        <v>598</v>
      </c>
      <c r="BT66" s="866">
        <v>2019.0</v>
      </c>
      <c r="BU66" s="867">
        <v>39219.94036</v>
      </c>
      <c r="BV66" s="867">
        <v>63752.01081</v>
      </c>
      <c r="BW66" s="868">
        <v>17559.62097</v>
      </c>
      <c r="CF66" s="882"/>
      <c r="CG66" s="882"/>
      <c r="CH66" s="882"/>
      <c r="CI66" s="530"/>
    </row>
    <row r="67">
      <c r="A67" s="857"/>
      <c r="B67" s="865" t="s">
        <v>605</v>
      </c>
      <c r="C67" s="865" t="s">
        <v>591</v>
      </c>
      <c r="D67" s="865" t="s">
        <v>633</v>
      </c>
      <c r="E67" s="866">
        <v>2019.0</v>
      </c>
      <c r="F67" s="865" t="s">
        <v>593</v>
      </c>
      <c r="G67" s="865" t="s">
        <v>70</v>
      </c>
      <c r="H67" s="867">
        <v>1.116158267E7</v>
      </c>
      <c r="I67" s="867">
        <v>1.246465406E7</v>
      </c>
      <c r="J67" s="868">
        <v>9895863.258</v>
      </c>
      <c r="K67" s="50"/>
      <c r="L67" s="869" t="s">
        <v>605</v>
      </c>
      <c r="M67" s="865" t="s">
        <v>591</v>
      </c>
      <c r="N67" s="865" t="s">
        <v>633</v>
      </c>
      <c r="O67" s="866">
        <v>2004.0</v>
      </c>
      <c r="P67" s="865" t="s">
        <v>593</v>
      </c>
      <c r="Q67" s="865" t="s">
        <v>70</v>
      </c>
      <c r="R67" s="867">
        <v>8412609.211</v>
      </c>
      <c r="S67" s="867">
        <v>9090800.76</v>
      </c>
      <c r="T67" s="868">
        <v>7700730.873</v>
      </c>
      <c r="V67" s="869" t="s">
        <v>594</v>
      </c>
      <c r="W67" s="865" t="s">
        <v>662</v>
      </c>
      <c r="X67" s="865" t="s">
        <v>595</v>
      </c>
      <c r="Y67" s="865" t="s">
        <v>602</v>
      </c>
      <c r="Z67" s="865" t="s">
        <v>597</v>
      </c>
      <c r="AA67" s="865" t="s">
        <v>70</v>
      </c>
      <c r="AB67" s="866">
        <v>2004.0</v>
      </c>
      <c r="AC67" s="867">
        <v>46453.28462</v>
      </c>
      <c r="AD67" s="867">
        <v>52662.8785</v>
      </c>
      <c r="AE67" s="868">
        <v>40766.6823</v>
      </c>
      <c r="AG67" s="869" t="s">
        <v>594</v>
      </c>
      <c r="AH67" s="865" t="s">
        <v>662</v>
      </c>
      <c r="AI67" s="865" t="s">
        <v>595</v>
      </c>
      <c r="AJ67" s="865" t="s">
        <v>602</v>
      </c>
      <c r="AK67" s="865" t="s">
        <v>597</v>
      </c>
      <c r="AL67" s="865" t="s">
        <v>598</v>
      </c>
      <c r="AM67" s="866">
        <v>2019.0</v>
      </c>
      <c r="AN67" s="867">
        <v>1365.86252</v>
      </c>
      <c r="AO67" s="867">
        <v>1677.293404</v>
      </c>
      <c r="AP67" s="868">
        <v>1126.065307</v>
      </c>
      <c r="AR67" s="869" t="s">
        <v>594</v>
      </c>
      <c r="AS67" s="865" t="s">
        <v>662</v>
      </c>
      <c r="AT67" s="865" t="s">
        <v>595</v>
      </c>
      <c r="AU67" s="865" t="s">
        <v>602</v>
      </c>
      <c r="AV67" s="865" t="s">
        <v>599</v>
      </c>
      <c r="AW67" s="865" t="s">
        <v>598</v>
      </c>
      <c r="AX67" s="866">
        <v>2019.0</v>
      </c>
      <c r="AY67" s="867">
        <v>293.6144054</v>
      </c>
      <c r="AZ67" s="867">
        <v>562.7057451</v>
      </c>
      <c r="BA67" s="868">
        <v>120.6121854</v>
      </c>
      <c r="BC67" s="869" t="s">
        <v>594</v>
      </c>
      <c r="BD67" s="865" t="s">
        <v>662</v>
      </c>
      <c r="BE67" s="865" t="s">
        <v>595</v>
      </c>
      <c r="BF67" s="865" t="s">
        <v>603</v>
      </c>
      <c r="BG67" s="865" t="s">
        <v>599</v>
      </c>
      <c r="BH67" s="865" t="s">
        <v>70</v>
      </c>
      <c r="BI67" s="866">
        <v>2019.0</v>
      </c>
      <c r="BJ67" s="867">
        <v>17999.79859</v>
      </c>
      <c r="BK67" s="867">
        <v>35613.51752</v>
      </c>
      <c r="BL67" s="868">
        <v>7151.263304</v>
      </c>
      <c r="BN67" s="869" t="s">
        <v>40</v>
      </c>
      <c r="BO67" s="865" t="s">
        <v>662</v>
      </c>
      <c r="BP67" s="865" t="s">
        <v>595</v>
      </c>
      <c r="BQ67" s="865" t="s">
        <v>604</v>
      </c>
      <c r="BR67" s="865" t="s">
        <v>599</v>
      </c>
      <c r="BS67" s="865" t="s">
        <v>598</v>
      </c>
      <c r="BT67" s="866">
        <v>2019.0</v>
      </c>
      <c r="BU67" s="867">
        <v>17907.04333</v>
      </c>
      <c r="BV67" s="867">
        <v>30814.27454</v>
      </c>
      <c r="BW67" s="868">
        <v>10427.87903</v>
      </c>
      <c r="CF67" s="882"/>
      <c r="CG67" s="882"/>
      <c r="CH67" s="882"/>
      <c r="CI67" s="530"/>
    </row>
    <row r="68">
      <c r="A68" s="857"/>
      <c r="B68" s="865" t="s">
        <v>605</v>
      </c>
      <c r="C68" s="865" t="s">
        <v>591</v>
      </c>
      <c r="D68" s="865" t="s">
        <v>635</v>
      </c>
      <c r="E68" s="866">
        <v>2019.0</v>
      </c>
      <c r="F68" s="865" t="s">
        <v>593</v>
      </c>
      <c r="G68" s="865" t="s">
        <v>70</v>
      </c>
      <c r="H68" s="867">
        <v>9879913.094</v>
      </c>
      <c r="I68" s="867">
        <v>1.103335454E7</v>
      </c>
      <c r="J68" s="868">
        <v>8759534.543</v>
      </c>
      <c r="K68" s="50"/>
      <c r="L68" s="869" t="s">
        <v>605</v>
      </c>
      <c r="M68" s="865" t="s">
        <v>591</v>
      </c>
      <c r="N68" s="865" t="s">
        <v>635</v>
      </c>
      <c r="O68" s="866">
        <v>2004.0</v>
      </c>
      <c r="P68" s="865" t="s">
        <v>593</v>
      </c>
      <c r="Q68" s="865" t="s">
        <v>70</v>
      </c>
      <c r="R68" s="867">
        <v>6852193.79</v>
      </c>
      <c r="S68" s="867">
        <v>7404590.77</v>
      </c>
      <c r="T68" s="868">
        <v>6272358.425</v>
      </c>
      <c r="V68" s="869" t="s">
        <v>594</v>
      </c>
      <c r="W68" s="865" t="s">
        <v>664</v>
      </c>
      <c r="X68" s="865" t="s">
        <v>595</v>
      </c>
      <c r="Y68" s="865" t="s">
        <v>596</v>
      </c>
      <c r="Z68" s="865" t="s">
        <v>597</v>
      </c>
      <c r="AA68" s="865" t="s">
        <v>70</v>
      </c>
      <c r="AB68" s="866">
        <v>2004.0</v>
      </c>
      <c r="AC68" s="867">
        <v>2439.063869</v>
      </c>
      <c r="AD68" s="867">
        <v>2858.37988</v>
      </c>
      <c r="AE68" s="868">
        <v>2085.250575</v>
      </c>
      <c r="AG68" s="869" t="s">
        <v>594</v>
      </c>
      <c r="AH68" s="865" t="s">
        <v>664</v>
      </c>
      <c r="AI68" s="865" t="s">
        <v>595</v>
      </c>
      <c r="AJ68" s="865" t="s">
        <v>596</v>
      </c>
      <c r="AK68" s="865" t="s">
        <v>597</v>
      </c>
      <c r="AL68" s="865" t="s">
        <v>598</v>
      </c>
      <c r="AM68" s="866">
        <v>2019.0</v>
      </c>
      <c r="AN68" s="867">
        <v>1143.160688</v>
      </c>
      <c r="AO68" s="867">
        <v>1836.680025</v>
      </c>
      <c r="AP68" s="868">
        <v>706.2139143</v>
      </c>
      <c r="AR68" s="869" t="s">
        <v>594</v>
      </c>
      <c r="AS68" s="865" t="s">
        <v>664</v>
      </c>
      <c r="AT68" s="865" t="s">
        <v>595</v>
      </c>
      <c r="AU68" s="865" t="s">
        <v>596</v>
      </c>
      <c r="AV68" s="865" t="s">
        <v>599</v>
      </c>
      <c r="AW68" s="865" t="s">
        <v>598</v>
      </c>
      <c r="AX68" s="866">
        <v>2019.0</v>
      </c>
      <c r="AY68" s="867">
        <v>207.3231416</v>
      </c>
      <c r="AZ68" s="867">
        <v>600.9022603</v>
      </c>
      <c r="BA68" s="868">
        <v>19.83824526</v>
      </c>
      <c r="BC68" s="869" t="s">
        <v>594</v>
      </c>
      <c r="BD68" s="865" t="s">
        <v>664</v>
      </c>
      <c r="BE68" s="865" t="s">
        <v>595</v>
      </c>
      <c r="BF68" s="865" t="s">
        <v>600</v>
      </c>
      <c r="BG68" s="865" t="s">
        <v>599</v>
      </c>
      <c r="BH68" s="865" t="s">
        <v>70</v>
      </c>
      <c r="BI68" s="866">
        <v>2019.0</v>
      </c>
      <c r="BJ68" s="867">
        <v>479.4142875</v>
      </c>
      <c r="BK68" s="867">
        <v>1274.972244</v>
      </c>
      <c r="BL68" s="868">
        <v>44.26379611</v>
      </c>
      <c r="BN68" s="869" t="s">
        <v>40</v>
      </c>
      <c r="BO68" s="865" t="s">
        <v>664</v>
      </c>
      <c r="BP68" s="865" t="s">
        <v>595</v>
      </c>
      <c r="BQ68" s="865" t="s">
        <v>600</v>
      </c>
      <c r="BR68" s="865" t="s">
        <v>599</v>
      </c>
      <c r="BS68" s="865" t="s">
        <v>598</v>
      </c>
      <c r="BT68" s="866">
        <v>2019.0</v>
      </c>
      <c r="BU68" s="867">
        <v>37639.2799</v>
      </c>
      <c r="BV68" s="867">
        <v>190531.0665</v>
      </c>
      <c r="BW68" s="868">
        <v>1897.503221</v>
      </c>
      <c r="CF68" s="882"/>
      <c r="CG68" s="882"/>
      <c r="CH68" s="882"/>
      <c r="CI68" s="530"/>
    </row>
    <row r="69">
      <c r="A69" s="857"/>
      <c r="B69" s="865" t="s">
        <v>605</v>
      </c>
      <c r="C69" s="865" t="s">
        <v>591</v>
      </c>
      <c r="D69" s="865" t="s">
        <v>637</v>
      </c>
      <c r="E69" s="866">
        <v>2019.0</v>
      </c>
      <c r="F69" s="865" t="s">
        <v>593</v>
      </c>
      <c r="G69" s="865" t="s">
        <v>70</v>
      </c>
      <c r="H69" s="867">
        <v>8479993.355</v>
      </c>
      <c r="I69" s="867">
        <v>9469999.615</v>
      </c>
      <c r="J69" s="868">
        <v>7518365.193</v>
      </c>
      <c r="K69" s="50"/>
      <c r="L69" s="869" t="s">
        <v>605</v>
      </c>
      <c r="M69" s="865" t="s">
        <v>591</v>
      </c>
      <c r="N69" s="865" t="s">
        <v>637</v>
      </c>
      <c r="O69" s="866">
        <v>2004.0</v>
      </c>
      <c r="P69" s="865" t="s">
        <v>593</v>
      </c>
      <c r="Q69" s="865" t="s">
        <v>70</v>
      </c>
      <c r="R69" s="867">
        <v>5349464.42</v>
      </c>
      <c r="S69" s="867">
        <v>5780717.254</v>
      </c>
      <c r="T69" s="868">
        <v>4896790.613</v>
      </c>
      <c r="V69" s="869" t="s">
        <v>594</v>
      </c>
      <c r="W69" s="865" t="s">
        <v>664</v>
      </c>
      <c r="X69" s="865" t="s">
        <v>595</v>
      </c>
      <c r="Y69" s="865" t="s">
        <v>602</v>
      </c>
      <c r="Z69" s="865" t="s">
        <v>597</v>
      </c>
      <c r="AA69" s="865" t="s">
        <v>70</v>
      </c>
      <c r="AB69" s="866">
        <v>2004.0</v>
      </c>
      <c r="AC69" s="867">
        <v>2490.82289</v>
      </c>
      <c r="AD69" s="867">
        <v>2851.244915</v>
      </c>
      <c r="AE69" s="868">
        <v>2141.104701</v>
      </c>
      <c r="AG69" s="869" t="s">
        <v>594</v>
      </c>
      <c r="AH69" s="865" t="s">
        <v>664</v>
      </c>
      <c r="AI69" s="865" t="s">
        <v>595</v>
      </c>
      <c r="AJ69" s="865" t="s">
        <v>602</v>
      </c>
      <c r="AK69" s="865" t="s">
        <v>597</v>
      </c>
      <c r="AL69" s="865" t="s">
        <v>598</v>
      </c>
      <c r="AM69" s="866">
        <v>2019.0</v>
      </c>
      <c r="AN69" s="867">
        <v>219.3691763</v>
      </c>
      <c r="AO69" s="867">
        <v>286.0661835</v>
      </c>
      <c r="AP69" s="868">
        <v>170.1733835</v>
      </c>
      <c r="AR69" s="869" t="s">
        <v>594</v>
      </c>
      <c r="AS69" s="865" t="s">
        <v>664</v>
      </c>
      <c r="AT69" s="865" t="s">
        <v>595</v>
      </c>
      <c r="AU69" s="865" t="s">
        <v>602</v>
      </c>
      <c r="AV69" s="865" t="s">
        <v>599</v>
      </c>
      <c r="AW69" s="865" t="s">
        <v>598</v>
      </c>
      <c r="AX69" s="866">
        <v>2019.0</v>
      </c>
      <c r="AY69" s="867">
        <v>50.26757271</v>
      </c>
      <c r="AZ69" s="867">
        <v>123.7971374</v>
      </c>
      <c r="BA69" s="868">
        <v>4.924755897</v>
      </c>
      <c r="BC69" s="869" t="s">
        <v>594</v>
      </c>
      <c r="BD69" s="865" t="s">
        <v>664</v>
      </c>
      <c r="BE69" s="865" t="s">
        <v>595</v>
      </c>
      <c r="BF69" s="865" t="s">
        <v>603</v>
      </c>
      <c r="BG69" s="865" t="s">
        <v>599</v>
      </c>
      <c r="BH69" s="865" t="s">
        <v>70</v>
      </c>
      <c r="BI69" s="866">
        <v>2019.0</v>
      </c>
      <c r="BJ69" s="867">
        <v>1997.331805</v>
      </c>
      <c r="BK69" s="867">
        <v>5580.444633</v>
      </c>
      <c r="BL69" s="868">
        <v>175.8017946</v>
      </c>
      <c r="BN69" s="869" t="s">
        <v>40</v>
      </c>
      <c r="BO69" s="865" t="s">
        <v>664</v>
      </c>
      <c r="BP69" s="865" t="s">
        <v>595</v>
      </c>
      <c r="BQ69" s="865" t="s">
        <v>604</v>
      </c>
      <c r="BR69" s="865" t="s">
        <v>599</v>
      </c>
      <c r="BS69" s="865" t="s">
        <v>598</v>
      </c>
      <c r="BT69" s="866">
        <v>2019.0</v>
      </c>
      <c r="BU69" s="867">
        <v>22855.45004</v>
      </c>
      <c r="BV69" s="867">
        <v>107101.7036</v>
      </c>
      <c r="BW69" s="868">
        <v>2092.438036</v>
      </c>
      <c r="CF69" s="882"/>
      <c r="CG69" s="882"/>
      <c r="CH69" s="882"/>
      <c r="CI69" s="530"/>
    </row>
    <row r="70">
      <c r="A70" s="857"/>
      <c r="B70" s="865" t="s">
        <v>605</v>
      </c>
      <c r="C70" s="865" t="s">
        <v>591</v>
      </c>
      <c r="D70" s="865" t="s">
        <v>639</v>
      </c>
      <c r="E70" s="866">
        <v>2019.0</v>
      </c>
      <c r="F70" s="865" t="s">
        <v>593</v>
      </c>
      <c r="G70" s="865" t="s">
        <v>70</v>
      </c>
      <c r="H70" s="867">
        <v>4.562043635E7</v>
      </c>
      <c r="I70" s="867">
        <v>5.095007482E7</v>
      </c>
      <c r="J70" s="868">
        <v>4.044802719E7</v>
      </c>
      <c r="K70" s="50"/>
      <c r="L70" s="869" t="s">
        <v>605</v>
      </c>
      <c r="M70" s="865" t="s">
        <v>591</v>
      </c>
      <c r="N70" s="865" t="s">
        <v>639</v>
      </c>
      <c r="O70" s="866">
        <v>2004.0</v>
      </c>
      <c r="P70" s="865" t="s">
        <v>593</v>
      </c>
      <c r="Q70" s="865" t="s">
        <v>70</v>
      </c>
      <c r="R70" s="867">
        <v>4.765445576E7</v>
      </c>
      <c r="S70" s="867">
        <v>5.149749146E7</v>
      </c>
      <c r="T70" s="868">
        <v>4.362108707E7</v>
      </c>
      <c r="V70" s="869" t="s">
        <v>594</v>
      </c>
      <c r="W70" s="865" t="s">
        <v>666</v>
      </c>
      <c r="X70" s="865" t="s">
        <v>595</v>
      </c>
      <c r="Y70" s="865" t="s">
        <v>596</v>
      </c>
      <c r="Z70" s="865" t="s">
        <v>597</v>
      </c>
      <c r="AA70" s="865" t="s">
        <v>70</v>
      </c>
      <c r="AB70" s="866">
        <v>2004.0</v>
      </c>
      <c r="AC70" s="867">
        <v>47108.4879</v>
      </c>
      <c r="AD70" s="867">
        <v>52560.29358</v>
      </c>
      <c r="AE70" s="868">
        <v>42143.34474</v>
      </c>
      <c r="AG70" s="869" t="s">
        <v>594</v>
      </c>
      <c r="AH70" s="865" t="s">
        <v>666</v>
      </c>
      <c r="AI70" s="865" t="s">
        <v>595</v>
      </c>
      <c r="AJ70" s="865" t="s">
        <v>596</v>
      </c>
      <c r="AK70" s="865" t="s">
        <v>597</v>
      </c>
      <c r="AL70" s="865" t="s">
        <v>598</v>
      </c>
      <c r="AM70" s="866">
        <v>2019.0</v>
      </c>
      <c r="AN70" s="867">
        <v>2838.450401</v>
      </c>
      <c r="AO70" s="867">
        <v>3482.138145</v>
      </c>
      <c r="AP70" s="868">
        <v>2330.648805</v>
      </c>
      <c r="AR70" s="869" t="s">
        <v>594</v>
      </c>
      <c r="AS70" s="865" t="s">
        <v>666</v>
      </c>
      <c r="AT70" s="865" t="s">
        <v>595</v>
      </c>
      <c r="AU70" s="865" t="s">
        <v>596</v>
      </c>
      <c r="AV70" s="865" t="s">
        <v>599</v>
      </c>
      <c r="AW70" s="865" t="s">
        <v>598</v>
      </c>
      <c r="AX70" s="866">
        <v>2019.0</v>
      </c>
      <c r="AY70" s="867">
        <v>475.7082761</v>
      </c>
      <c r="AZ70" s="867">
        <v>923.9738164</v>
      </c>
      <c r="BA70" s="868">
        <v>194.9578442</v>
      </c>
      <c r="BC70" s="869" t="s">
        <v>594</v>
      </c>
      <c r="BD70" s="865" t="s">
        <v>666</v>
      </c>
      <c r="BE70" s="865" t="s">
        <v>595</v>
      </c>
      <c r="BF70" s="865" t="s">
        <v>600</v>
      </c>
      <c r="BG70" s="865" t="s">
        <v>599</v>
      </c>
      <c r="BH70" s="865" t="s">
        <v>70</v>
      </c>
      <c r="BI70" s="866">
        <v>2019.0</v>
      </c>
      <c r="BJ70" s="867">
        <v>8958.659434</v>
      </c>
      <c r="BK70" s="867">
        <v>16691.69661</v>
      </c>
      <c r="BL70" s="868">
        <v>3928.674648</v>
      </c>
      <c r="BN70" s="869" t="s">
        <v>40</v>
      </c>
      <c r="BO70" s="865" t="s">
        <v>666</v>
      </c>
      <c r="BP70" s="865" t="s">
        <v>595</v>
      </c>
      <c r="BQ70" s="865" t="s">
        <v>600</v>
      </c>
      <c r="BR70" s="865" t="s">
        <v>599</v>
      </c>
      <c r="BS70" s="865" t="s">
        <v>598</v>
      </c>
      <c r="BT70" s="866">
        <v>2019.0</v>
      </c>
      <c r="BU70" s="867">
        <v>77442.92313</v>
      </c>
      <c r="BV70" s="867">
        <v>102661.0345</v>
      </c>
      <c r="BW70" s="868">
        <v>53729.5343</v>
      </c>
      <c r="CF70" s="882"/>
      <c r="CG70" s="882"/>
      <c r="CH70" s="882"/>
      <c r="CI70" s="530"/>
    </row>
    <row r="71">
      <c r="A71" s="857"/>
      <c r="B71" s="865" t="s">
        <v>605</v>
      </c>
      <c r="C71" s="865" t="s">
        <v>591</v>
      </c>
      <c r="D71" s="865" t="s">
        <v>641</v>
      </c>
      <c r="E71" s="866">
        <v>2019.0</v>
      </c>
      <c r="F71" s="865" t="s">
        <v>593</v>
      </c>
      <c r="G71" s="865" t="s">
        <v>70</v>
      </c>
      <c r="H71" s="867">
        <v>1.49181681E7</v>
      </c>
      <c r="I71" s="867">
        <v>1.665980623E7</v>
      </c>
      <c r="J71" s="868">
        <v>1.322645326E7</v>
      </c>
      <c r="K71" s="50"/>
      <c r="L71" s="869" t="s">
        <v>605</v>
      </c>
      <c r="M71" s="865" t="s">
        <v>591</v>
      </c>
      <c r="N71" s="865" t="s">
        <v>641</v>
      </c>
      <c r="O71" s="866">
        <v>2004.0</v>
      </c>
      <c r="P71" s="865" t="s">
        <v>593</v>
      </c>
      <c r="Q71" s="865" t="s">
        <v>70</v>
      </c>
      <c r="R71" s="867">
        <v>1.73216755E7</v>
      </c>
      <c r="S71" s="867">
        <v>1.871808102E7</v>
      </c>
      <c r="T71" s="868">
        <v>1.585590843E7</v>
      </c>
      <c r="V71" s="869" t="s">
        <v>594</v>
      </c>
      <c r="W71" s="865" t="s">
        <v>666</v>
      </c>
      <c r="X71" s="865" t="s">
        <v>595</v>
      </c>
      <c r="Y71" s="865" t="s">
        <v>602</v>
      </c>
      <c r="Z71" s="865" t="s">
        <v>597</v>
      </c>
      <c r="AA71" s="865" t="s">
        <v>70</v>
      </c>
      <c r="AB71" s="866">
        <v>2004.0</v>
      </c>
      <c r="AC71" s="867">
        <v>39394.13608</v>
      </c>
      <c r="AD71" s="867">
        <v>44464.79349</v>
      </c>
      <c r="AE71" s="868">
        <v>34904.57179</v>
      </c>
      <c r="AG71" s="869" t="s">
        <v>594</v>
      </c>
      <c r="AH71" s="865" t="s">
        <v>666</v>
      </c>
      <c r="AI71" s="865" t="s">
        <v>595</v>
      </c>
      <c r="AJ71" s="865" t="s">
        <v>602</v>
      </c>
      <c r="AK71" s="865" t="s">
        <v>597</v>
      </c>
      <c r="AL71" s="865" t="s">
        <v>598</v>
      </c>
      <c r="AM71" s="866">
        <v>2019.0</v>
      </c>
      <c r="AN71" s="867">
        <v>485.0886139</v>
      </c>
      <c r="AO71" s="867">
        <v>589.3685541</v>
      </c>
      <c r="AP71" s="868">
        <v>401.4149381</v>
      </c>
      <c r="AR71" s="869" t="s">
        <v>594</v>
      </c>
      <c r="AS71" s="865" t="s">
        <v>666</v>
      </c>
      <c r="AT71" s="865" t="s">
        <v>595</v>
      </c>
      <c r="AU71" s="865" t="s">
        <v>602</v>
      </c>
      <c r="AV71" s="865" t="s">
        <v>599</v>
      </c>
      <c r="AW71" s="865" t="s">
        <v>598</v>
      </c>
      <c r="AX71" s="866">
        <v>2019.0</v>
      </c>
      <c r="AY71" s="867">
        <v>97.21675535</v>
      </c>
      <c r="AZ71" s="867">
        <v>172.5987703</v>
      </c>
      <c r="BA71" s="868">
        <v>44.04494803</v>
      </c>
      <c r="BC71" s="869" t="s">
        <v>594</v>
      </c>
      <c r="BD71" s="865" t="s">
        <v>666</v>
      </c>
      <c r="BE71" s="865" t="s">
        <v>595</v>
      </c>
      <c r="BF71" s="865" t="s">
        <v>603</v>
      </c>
      <c r="BG71" s="865" t="s">
        <v>599</v>
      </c>
      <c r="BH71" s="865" t="s">
        <v>70</v>
      </c>
      <c r="BI71" s="866">
        <v>2019.0</v>
      </c>
      <c r="BJ71" s="867">
        <v>20527.64862</v>
      </c>
      <c r="BK71" s="867">
        <v>39632.12452</v>
      </c>
      <c r="BL71" s="868">
        <v>8451.085607</v>
      </c>
      <c r="BN71" s="869" t="s">
        <v>40</v>
      </c>
      <c r="BO71" s="865" t="s">
        <v>666</v>
      </c>
      <c r="BP71" s="865" t="s">
        <v>595</v>
      </c>
      <c r="BQ71" s="865" t="s">
        <v>604</v>
      </c>
      <c r="BR71" s="865" t="s">
        <v>599</v>
      </c>
      <c r="BS71" s="865" t="s">
        <v>598</v>
      </c>
      <c r="BT71" s="866">
        <v>2019.0</v>
      </c>
      <c r="BU71" s="867">
        <v>32584.04475</v>
      </c>
      <c r="BV71" s="867">
        <v>50940.58144</v>
      </c>
      <c r="BW71" s="868">
        <v>20759.73495</v>
      </c>
      <c r="CF71" s="882"/>
      <c r="CG71" s="882"/>
      <c r="CH71" s="882"/>
      <c r="CI71" s="530"/>
    </row>
    <row r="72">
      <c r="A72" s="857"/>
      <c r="B72" s="865" t="s">
        <v>605</v>
      </c>
      <c r="C72" s="865" t="s">
        <v>591</v>
      </c>
      <c r="D72" s="865" t="s">
        <v>643</v>
      </c>
      <c r="E72" s="866">
        <v>2019.0</v>
      </c>
      <c r="F72" s="865" t="s">
        <v>593</v>
      </c>
      <c r="G72" s="865" t="s">
        <v>70</v>
      </c>
      <c r="H72" s="867">
        <v>7197602.58</v>
      </c>
      <c r="I72" s="867">
        <v>8037894.702</v>
      </c>
      <c r="J72" s="868">
        <v>6381397.066</v>
      </c>
      <c r="K72" s="50"/>
      <c r="L72" s="869" t="s">
        <v>605</v>
      </c>
      <c r="M72" s="865" t="s">
        <v>591</v>
      </c>
      <c r="N72" s="865" t="s">
        <v>643</v>
      </c>
      <c r="O72" s="866">
        <v>2004.0</v>
      </c>
      <c r="P72" s="865" t="s">
        <v>593</v>
      </c>
      <c r="Q72" s="865" t="s">
        <v>70</v>
      </c>
      <c r="R72" s="867">
        <v>4092345.506</v>
      </c>
      <c r="S72" s="867">
        <v>4422254.345</v>
      </c>
      <c r="T72" s="868">
        <v>3746049.601</v>
      </c>
      <c r="V72" s="869" t="s">
        <v>594</v>
      </c>
      <c r="W72" s="865" t="s">
        <v>668</v>
      </c>
      <c r="X72" s="865" t="s">
        <v>595</v>
      </c>
      <c r="Y72" s="865" t="s">
        <v>596</v>
      </c>
      <c r="Z72" s="865" t="s">
        <v>597</v>
      </c>
      <c r="AA72" s="865" t="s">
        <v>70</v>
      </c>
      <c r="AB72" s="866">
        <v>2004.0</v>
      </c>
      <c r="AC72" s="867">
        <v>1358.048598</v>
      </c>
      <c r="AD72" s="867">
        <v>1583.574681</v>
      </c>
      <c r="AE72" s="868">
        <v>1163.02095</v>
      </c>
      <c r="AG72" s="869" t="s">
        <v>594</v>
      </c>
      <c r="AH72" s="865" t="s">
        <v>668</v>
      </c>
      <c r="AI72" s="865" t="s">
        <v>595</v>
      </c>
      <c r="AJ72" s="865" t="s">
        <v>596</v>
      </c>
      <c r="AK72" s="865" t="s">
        <v>597</v>
      </c>
      <c r="AL72" s="865" t="s">
        <v>598</v>
      </c>
      <c r="AM72" s="866">
        <v>2019.0</v>
      </c>
      <c r="AN72" s="867">
        <v>1209.565414</v>
      </c>
      <c r="AO72" s="867">
        <v>1574.126509</v>
      </c>
      <c r="AP72" s="868">
        <v>934.795904</v>
      </c>
      <c r="AR72" s="869" t="s">
        <v>594</v>
      </c>
      <c r="AS72" s="865" t="s">
        <v>668</v>
      </c>
      <c r="AT72" s="865" t="s">
        <v>595</v>
      </c>
      <c r="AU72" s="865" t="s">
        <v>596</v>
      </c>
      <c r="AV72" s="865" t="s">
        <v>599</v>
      </c>
      <c r="AW72" s="865" t="s">
        <v>598</v>
      </c>
      <c r="AX72" s="866">
        <v>2019.0</v>
      </c>
      <c r="AY72" s="867">
        <v>26.18019621</v>
      </c>
      <c r="AZ72" s="867">
        <v>157.0214055</v>
      </c>
      <c r="BA72" s="868">
        <v>1.020748575</v>
      </c>
      <c r="BC72" s="869" t="s">
        <v>594</v>
      </c>
      <c r="BD72" s="865" t="s">
        <v>668</v>
      </c>
      <c r="BE72" s="865" t="s">
        <v>595</v>
      </c>
      <c r="BF72" s="865" t="s">
        <v>600</v>
      </c>
      <c r="BG72" s="865" t="s">
        <v>599</v>
      </c>
      <c r="BH72" s="865" t="s">
        <v>70</v>
      </c>
      <c r="BI72" s="866">
        <v>2019.0</v>
      </c>
      <c r="BJ72" s="867">
        <v>68.58752519</v>
      </c>
      <c r="BK72" s="867">
        <v>309.3644145</v>
      </c>
      <c r="BL72" s="868">
        <v>3.643253248</v>
      </c>
      <c r="BN72" s="869" t="s">
        <v>40</v>
      </c>
      <c r="BO72" s="865" t="s">
        <v>668</v>
      </c>
      <c r="BP72" s="865" t="s">
        <v>595</v>
      </c>
      <c r="BQ72" s="865" t="s">
        <v>600</v>
      </c>
      <c r="BR72" s="865" t="s">
        <v>599</v>
      </c>
      <c r="BS72" s="865" t="s">
        <v>598</v>
      </c>
      <c r="BT72" s="866">
        <v>2019.0</v>
      </c>
      <c r="BU72" s="867">
        <v>13044.9377</v>
      </c>
      <c r="BV72" s="867">
        <v>107751.1125</v>
      </c>
      <c r="BW72" s="868">
        <v>102.9105008</v>
      </c>
      <c r="CF72" s="882"/>
      <c r="CG72" s="882"/>
      <c r="CH72" s="882"/>
      <c r="CI72" s="530"/>
    </row>
    <row r="73">
      <c r="A73" s="857"/>
      <c r="B73" s="865" t="s">
        <v>605</v>
      </c>
      <c r="C73" s="865" t="s">
        <v>591</v>
      </c>
      <c r="D73" s="865" t="s">
        <v>645</v>
      </c>
      <c r="E73" s="866">
        <v>2019.0</v>
      </c>
      <c r="F73" s="865" t="s">
        <v>593</v>
      </c>
      <c r="G73" s="865" t="s">
        <v>70</v>
      </c>
      <c r="H73" s="867">
        <v>2.208187299E7</v>
      </c>
      <c r="I73" s="867">
        <v>2.465984582E7</v>
      </c>
      <c r="J73" s="868">
        <v>1.957779662E7</v>
      </c>
      <c r="K73" s="50"/>
      <c r="L73" s="869" t="s">
        <v>605</v>
      </c>
      <c r="M73" s="865" t="s">
        <v>591</v>
      </c>
      <c r="N73" s="865" t="s">
        <v>645</v>
      </c>
      <c r="O73" s="866">
        <v>2004.0</v>
      </c>
      <c r="P73" s="865" t="s">
        <v>593</v>
      </c>
      <c r="Q73" s="865" t="s">
        <v>70</v>
      </c>
      <c r="R73" s="867">
        <v>1.176791759E7</v>
      </c>
      <c r="S73" s="867">
        <v>1.271660094E7</v>
      </c>
      <c r="T73" s="868">
        <v>1.077211172E7</v>
      </c>
      <c r="V73" s="869" t="s">
        <v>594</v>
      </c>
      <c r="W73" s="865" t="s">
        <v>668</v>
      </c>
      <c r="X73" s="865" t="s">
        <v>595</v>
      </c>
      <c r="Y73" s="865" t="s">
        <v>602</v>
      </c>
      <c r="Z73" s="865" t="s">
        <v>597</v>
      </c>
      <c r="AA73" s="865" t="s">
        <v>70</v>
      </c>
      <c r="AB73" s="866">
        <v>2004.0</v>
      </c>
      <c r="AC73" s="867">
        <v>1090.397169</v>
      </c>
      <c r="AD73" s="867">
        <v>1288.472996</v>
      </c>
      <c r="AE73" s="868">
        <v>913.6451896</v>
      </c>
      <c r="AG73" s="869" t="s">
        <v>594</v>
      </c>
      <c r="AH73" s="865" t="s">
        <v>668</v>
      </c>
      <c r="AI73" s="865" t="s">
        <v>595</v>
      </c>
      <c r="AJ73" s="865" t="s">
        <v>602</v>
      </c>
      <c r="AK73" s="865" t="s">
        <v>597</v>
      </c>
      <c r="AL73" s="865" t="s">
        <v>598</v>
      </c>
      <c r="AM73" s="866">
        <v>2019.0</v>
      </c>
      <c r="AN73" s="867">
        <v>211.4924957</v>
      </c>
      <c r="AO73" s="867">
        <v>277.4295313</v>
      </c>
      <c r="AP73" s="868">
        <v>162.9760108</v>
      </c>
      <c r="AR73" s="869" t="s">
        <v>594</v>
      </c>
      <c r="AS73" s="865" t="s">
        <v>668</v>
      </c>
      <c r="AT73" s="865" t="s">
        <v>595</v>
      </c>
      <c r="AU73" s="865" t="s">
        <v>602</v>
      </c>
      <c r="AV73" s="865" t="s">
        <v>599</v>
      </c>
      <c r="AW73" s="865" t="s">
        <v>598</v>
      </c>
      <c r="AX73" s="866">
        <v>2019.0</v>
      </c>
      <c r="AY73" s="867">
        <v>22.68168806</v>
      </c>
      <c r="AZ73" s="867">
        <v>93.12606146</v>
      </c>
      <c r="BA73" s="868">
        <v>1.295192381</v>
      </c>
      <c r="BC73" s="869" t="s">
        <v>594</v>
      </c>
      <c r="BD73" s="865" t="s">
        <v>668</v>
      </c>
      <c r="BE73" s="865" t="s">
        <v>595</v>
      </c>
      <c r="BF73" s="865" t="s">
        <v>603</v>
      </c>
      <c r="BG73" s="865" t="s">
        <v>599</v>
      </c>
      <c r="BH73" s="865" t="s">
        <v>70</v>
      </c>
      <c r="BI73" s="866">
        <v>2019.0</v>
      </c>
      <c r="BJ73" s="867">
        <v>192.3184662</v>
      </c>
      <c r="BK73" s="867">
        <v>1029.780471</v>
      </c>
      <c r="BL73" s="868">
        <v>8.184943176</v>
      </c>
      <c r="BN73" s="869" t="s">
        <v>40</v>
      </c>
      <c r="BO73" s="865" t="s">
        <v>668</v>
      </c>
      <c r="BP73" s="865" t="s">
        <v>595</v>
      </c>
      <c r="BQ73" s="865" t="s">
        <v>604</v>
      </c>
      <c r="BR73" s="865" t="s">
        <v>599</v>
      </c>
      <c r="BS73" s="865" t="s">
        <v>598</v>
      </c>
      <c r="BT73" s="866">
        <v>2019.0</v>
      </c>
      <c r="BU73" s="867">
        <v>8444.900805</v>
      </c>
      <c r="BV73" s="867">
        <v>59544.24188</v>
      </c>
      <c r="BW73" s="868">
        <v>185.9292702</v>
      </c>
      <c r="CF73" s="882"/>
      <c r="CG73" s="882"/>
      <c r="CH73" s="882"/>
      <c r="CI73" s="530"/>
    </row>
    <row r="74">
      <c r="A74" s="857"/>
      <c r="B74" s="865" t="s">
        <v>605</v>
      </c>
      <c r="C74" s="865" t="s">
        <v>591</v>
      </c>
      <c r="D74" s="865" t="s">
        <v>604</v>
      </c>
      <c r="E74" s="866">
        <v>2019.0</v>
      </c>
      <c r="F74" s="865" t="s">
        <v>593</v>
      </c>
      <c r="G74" s="865" t="s">
        <v>70</v>
      </c>
      <c r="H74" s="867">
        <v>3.030301211E7</v>
      </c>
      <c r="I74" s="867">
        <v>3.384077098E7</v>
      </c>
      <c r="J74" s="868">
        <v>2.686666156E7</v>
      </c>
      <c r="K74" s="50"/>
      <c r="L74" s="869" t="s">
        <v>605</v>
      </c>
      <c r="M74" s="865" t="s">
        <v>591</v>
      </c>
      <c r="N74" s="865" t="s">
        <v>604</v>
      </c>
      <c r="O74" s="866">
        <v>2004.0</v>
      </c>
      <c r="P74" s="865" t="s">
        <v>593</v>
      </c>
      <c r="Q74" s="865" t="s">
        <v>70</v>
      </c>
      <c r="R74" s="867">
        <v>3.323116267E7</v>
      </c>
      <c r="S74" s="867">
        <v>3.591012863E7</v>
      </c>
      <c r="T74" s="868">
        <v>3.041912847E7</v>
      </c>
      <c r="V74" s="869" t="s">
        <v>594</v>
      </c>
      <c r="W74" s="865" t="s">
        <v>670</v>
      </c>
      <c r="X74" s="865" t="s">
        <v>595</v>
      </c>
      <c r="Y74" s="865" t="s">
        <v>596</v>
      </c>
      <c r="Z74" s="865" t="s">
        <v>597</v>
      </c>
      <c r="AA74" s="865" t="s">
        <v>70</v>
      </c>
      <c r="AB74" s="866">
        <v>2004.0</v>
      </c>
      <c r="AC74" s="867">
        <v>14317.92664</v>
      </c>
      <c r="AD74" s="867">
        <v>16290.74561</v>
      </c>
      <c r="AE74" s="868">
        <v>12551.77958</v>
      </c>
      <c r="AG74" s="869" t="s">
        <v>594</v>
      </c>
      <c r="AH74" s="865" t="s">
        <v>670</v>
      </c>
      <c r="AI74" s="865" t="s">
        <v>595</v>
      </c>
      <c r="AJ74" s="865" t="s">
        <v>596</v>
      </c>
      <c r="AK74" s="865" t="s">
        <v>597</v>
      </c>
      <c r="AL74" s="865" t="s">
        <v>598</v>
      </c>
      <c r="AM74" s="866">
        <v>2019.0</v>
      </c>
      <c r="AN74" s="867">
        <v>719.8155634</v>
      </c>
      <c r="AO74" s="867">
        <v>1060.967705</v>
      </c>
      <c r="AP74" s="868">
        <v>471.9779218</v>
      </c>
      <c r="AR74" s="869" t="s">
        <v>594</v>
      </c>
      <c r="AS74" s="865" t="s">
        <v>670</v>
      </c>
      <c r="AT74" s="865" t="s">
        <v>595</v>
      </c>
      <c r="AU74" s="865" t="s">
        <v>596</v>
      </c>
      <c r="AV74" s="865" t="s">
        <v>599</v>
      </c>
      <c r="AW74" s="865" t="s">
        <v>598</v>
      </c>
      <c r="AX74" s="866">
        <v>2019.0</v>
      </c>
      <c r="AY74" s="867">
        <v>0.011296188</v>
      </c>
      <c r="AZ74" s="867">
        <v>0.030571425</v>
      </c>
      <c r="BA74" s="868">
        <v>7.73611E-4</v>
      </c>
      <c r="BC74" s="869" t="s">
        <v>594</v>
      </c>
      <c r="BD74" s="865" t="s">
        <v>670</v>
      </c>
      <c r="BE74" s="865" t="s">
        <v>595</v>
      </c>
      <c r="BF74" s="865" t="s">
        <v>600</v>
      </c>
      <c r="BG74" s="865" t="s">
        <v>599</v>
      </c>
      <c r="BH74" s="865" t="s">
        <v>70</v>
      </c>
      <c r="BI74" s="866">
        <v>2019.0</v>
      </c>
      <c r="BJ74" s="867">
        <v>0.18207748</v>
      </c>
      <c r="BK74" s="867">
        <v>0.92834575</v>
      </c>
      <c r="BL74" s="868">
        <v>0.008365294</v>
      </c>
      <c r="BN74" s="869" t="s">
        <v>40</v>
      </c>
      <c r="BO74" s="865" t="s">
        <v>670</v>
      </c>
      <c r="BP74" s="865" t="s">
        <v>595</v>
      </c>
      <c r="BQ74" s="865" t="s">
        <v>600</v>
      </c>
      <c r="BR74" s="865" t="s">
        <v>599</v>
      </c>
      <c r="BS74" s="865" t="s">
        <v>598</v>
      </c>
      <c r="BT74" s="866">
        <v>2019.0</v>
      </c>
      <c r="BU74" s="867">
        <v>1.926188046</v>
      </c>
      <c r="BV74" s="867">
        <v>7.77112029</v>
      </c>
      <c r="BW74" s="868">
        <v>0.285103335</v>
      </c>
      <c r="CF74" s="882"/>
      <c r="CG74" s="882"/>
      <c r="CH74" s="882"/>
      <c r="CI74" s="530"/>
    </row>
    <row r="75">
      <c r="A75" s="857"/>
      <c r="B75" s="865" t="s">
        <v>605</v>
      </c>
      <c r="C75" s="865" t="s">
        <v>591</v>
      </c>
      <c r="D75" s="865" t="s">
        <v>647</v>
      </c>
      <c r="E75" s="866">
        <v>2019.0</v>
      </c>
      <c r="F75" s="865" t="s">
        <v>593</v>
      </c>
      <c r="G75" s="865" t="s">
        <v>70</v>
      </c>
      <c r="H75" s="867">
        <v>2.18478401E7</v>
      </c>
      <c r="I75" s="867">
        <v>2.440022887E7</v>
      </c>
      <c r="J75" s="868">
        <v>1.937074919E7</v>
      </c>
      <c r="K75" s="50"/>
      <c r="L75" s="869" t="s">
        <v>605</v>
      </c>
      <c r="M75" s="865" t="s">
        <v>591</v>
      </c>
      <c r="N75" s="865" t="s">
        <v>647</v>
      </c>
      <c r="O75" s="866">
        <v>2004.0</v>
      </c>
      <c r="P75" s="865" t="s">
        <v>593</v>
      </c>
      <c r="Q75" s="865" t="s">
        <v>70</v>
      </c>
      <c r="R75" s="867">
        <v>1.07655323E7</v>
      </c>
      <c r="S75" s="867">
        <v>1.163370558E7</v>
      </c>
      <c r="T75" s="868">
        <v>9854361.242</v>
      </c>
      <c r="V75" s="869" t="s">
        <v>594</v>
      </c>
      <c r="W75" s="865" t="s">
        <v>670</v>
      </c>
      <c r="X75" s="865" t="s">
        <v>595</v>
      </c>
      <c r="Y75" s="865" t="s">
        <v>602</v>
      </c>
      <c r="Z75" s="865" t="s">
        <v>597</v>
      </c>
      <c r="AA75" s="865" t="s">
        <v>70</v>
      </c>
      <c r="AB75" s="866">
        <v>2004.0</v>
      </c>
      <c r="AC75" s="867">
        <v>9718.096588</v>
      </c>
      <c r="AD75" s="867">
        <v>12153.75432</v>
      </c>
      <c r="AE75" s="868">
        <v>7631.093969</v>
      </c>
      <c r="AG75" s="869" t="s">
        <v>594</v>
      </c>
      <c r="AH75" s="865" t="s">
        <v>670</v>
      </c>
      <c r="AI75" s="865" t="s">
        <v>595</v>
      </c>
      <c r="AJ75" s="865" t="s">
        <v>602</v>
      </c>
      <c r="AK75" s="865" t="s">
        <v>597</v>
      </c>
      <c r="AL75" s="865" t="s">
        <v>598</v>
      </c>
      <c r="AM75" s="866">
        <v>2019.0</v>
      </c>
      <c r="AN75" s="867">
        <v>94.73215679</v>
      </c>
      <c r="AO75" s="867">
        <v>114.799925</v>
      </c>
      <c r="AP75" s="868">
        <v>77.79917567</v>
      </c>
      <c r="AR75" s="869" t="s">
        <v>594</v>
      </c>
      <c r="AS75" s="865" t="s">
        <v>670</v>
      </c>
      <c r="AT75" s="865" t="s">
        <v>595</v>
      </c>
      <c r="AU75" s="865" t="s">
        <v>602</v>
      </c>
      <c r="AV75" s="865" t="s">
        <v>599</v>
      </c>
      <c r="AW75" s="865" t="s">
        <v>598</v>
      </c>
      <c r="AX75" s="866">
        <v>2019.0</v>
      </c>
      <c r="AY75" s="867">
        <v>0.004870963</v>
      </c>
      <c r="AZ75" s="867">
        <v>0.033837311</v>
      </c>
      <c r="BA75" s="868">
        <v>1.53638E-4</v>
      </c>
      <c r="BC75" s="869" t="s">
        <v>594</v>
      </c>
      <c r="BD75" s="865" t="s">
        <v>670</v>
      </c>
      <c r="BE75" s="865" t="s">
        <v>595</v>
      </c>
      <c r="BF75" s="865" t="s">
        <v>603</v>
      </c>
      <c r="BG75" s="865" t="s">
        <v>599</v>
      </c>
      <c r="BH75" s="865" t="s">
        <v>70</v>
      </c>
      <c r="BI75" s="866">
        <v>2019.0</v>
      </c>
      <c r="BJ75" s="867">
        <v>0.700946788</v>
      </c>
      <c r="BK75" s="867">
        <v>4.827449827</v>
      </c>
      <c r="BL75" s="868">
        <v>0.025480794</v>
      </c>
      <c r="BN75" s="869" t="s">
        <v>40</v>
      </c>
      <c r="BO75" s="865" t="s">
        <v>670</v>
      </c>
      <c r="BP75" s="865" t="s">
        <v>595</v>
      </c>
      <c r="BQ75" s="865" t="s">
        <v>604</v>
      </c>
      <c r="BR75" s="865" t="s">
        <v>599</v>
      </c>
      <c r="BS75" s="865" t="s">
        <v>598</v>
      </c>
      <c r="BT75" s="866">
        <v>2019.0</v>
      </c>
      <c r="BU75" s="867">
        <v>3.849763959</v>
      </c>
      <c r="BV75" s="867">
        <v>15.47314659</v>
      </c>
      <c r="BW75" s="868">
        <v>0.572407085</v>
      </c>
      <c r="CF75" s="882"/>
      <c r="CG75" s="882"/>
      <c r="CH75" s="882"/>
      <c r="CI75" s="530"/>
    </row>
    <row r="76">
      <c r="A76" s="857"/>
      <c r="B76" s="865" t="s">
        <v>605</v>
      </c>
      <c r="C76" s="865" t="s">
        <v>591</v>
      </c>
      <c r="D76" s="865" t="s">
        <v>649</v>
      </c>
      <c r="E76" s="866">
        <v>2019.0</v>
      </c>
      <c r="F76" s="865" t="s">
        <v>593</v>
      </c>
      <c r="G76" s="865" t="s">
        <v>70</v>
      </c>
      <c r="H76" s="867">
        <v>6031291.507</v>
      </c>
      <c r="I76" s="867">
        <v>6735421.345</v>
      </c>
      <c r="J76" s="868">
        <v>5347345.244</v>
      </c>
      <c r="K76" s="50"/>
      <c r="L76" s="869" t="s">
        <v>605</v>
      </c>
      <c r="M76" s="865" t="s">
        <v>591</v>
      </c>
      <c r="N76" s="865" t="s">
        <v>649</v>
      </c>
      <c r="O76" s="866">
        <v>2004.0</v>
      </c>
      <c r="P76" s="865" t="s">
        <v>593</v>
      </c>
      <c r="Q76" s="865" t="s">
        <v>70</v>
      </c>
      <c r="R76" s="867">
        <v>3182751.778</v>
      </c>
      <c r="S76" s="867">
        <v>3439332.739</v>
      </c>
      <c r="T76" s="868">
        <v>2913426.056</v>
      </c>
      <c r="V76" s="869" t="s">
        <v>594</v>
      </c>
      <c r="W76" s="865" t="s">
        <v>672</v>
      </c>
      <c r="X76" s="865" t="s">
        <v>595</v>
      </c>
      <c r="Y76" s="865" t="s">
        <v>596</v>
      </c>
      <c r="Z76" s="865" t="s">
        <v>597</v>
      </c>
      <c r="AA76" s="865" t="s">
        <v>70</v>
      </c>
      <c r="AB76" s="866">
        <v>2004.0</v>
      </c>
      <c r="AC76" s="867">
        <v>31810.31313</v>
      </c>
      <c r="AD76" s="867">
        <v>35817.36482</v>
      </c>
      <c r="AE76" s="868">
        <v>28341.73049</v>
      </c>
      <c r="AG76" s="869" t="s">
        <v>594</v>
      </c>
      <c r="AH76" s="865" t="s">
        <v>672</v>
      </c>
      <c r="AI76" s="865" t="s">
        <v>595</v>
      </c>
      <c r="AJ76" s="865" t="s">
        <v>596</v>
      </c>
      <c r="AK76" s="865" t="s">
        <v>597</v>
      </c>
      <c r="AL76" s="865" t="s">
        <v>598</v>
      </c>
      <c r="AM76" s="866">
        <v>2019.0</v>
      </c>
      <c r="AN76" s="867">
        <v>3046.924824</v>
      </c>
      <c r="AO76" s="867">
        <v>3555.977012</v>
      </c>
      <c r="AP76" s="868">
        <v>2619.147817</v>
      </c>
      <c r="AR76" s="869" t="s">
        <v>594</v>
      </c>
      <c r="AS76" s="865" t="s">
        <v>672</v>
      </c>
      <c r="AT76" s="865" t="s">
        <v>595</v>
      </c>
      <c r="AU76" s="865" t="s">
        <v>596</v>
      </c>
      <c r="AV76" s="865" t="s">
        <v>599</v>
      </c>
      <c r="AW76" s="865" t="s">
        <v>598</v>
      </c>
      <c r="AX76" s="866">
        <v>2019.0</v>
      </c>
      <c r="AY76" s="867">
        <v>384.3433892</v>
      </c>
      <c r="AZ76" s="867">
        <v>806.5908969</v>
      </c>
      <c r="BA76" s="868">
        <v>120.814476</v>
      </c>
      <c r="BC76" s="869" t="s">
        <v>594</v>
      </c>
      <c r="BD76" s="865" t="s">
        <v>672</v>
      </c>
      <c r="BE76" s="865" t="s">
        <v>595</v>
      </c>
      <c r="BF76" s="865" t="s">
        <v>600</v>
      </c>
      <c r="BG76" s="865" t="s">
        <v>599</v>
      </c>
      <c r="BH76" s="865" t="s">
        <v>70</v>
      </c>
      <c r="BI76" s="866">
        <v>2019.0</v>
      </c>
      <c r="BJ76" s="867">
        <v>16564.57836</v>
      </c>
      <c r="BK76" s="867">
        <v>33305.25988</v>
      </c>
      <c r="BL76" s="868">
        <v>5690.47074</v>
      </c>
      <c r="BN76" s="869" t="s">
        <v>40</v>
      </c>
      <c r="BO76" s="865" t="s">
        <v>672</v>
      </c>
      <c r="BP76" s="865" t="s">
        <v>595</v>
      </c>
      <c r="BQ76" s="865" t="s">
        <v>600</v>
      </c>
      <c r="BR76" s="865" t="s">
        <v>599</v>
      </c>
      <c r="BS76" s="865" t="s">
        <v>598</v>
      </c>
      <c r="BT76" s="866">
        <v>2019.0</v>
      </c>
      <c r="BU76" s="867">
        <v>48884.06254</v>
      </c>
      <c r="BV76" s="867">
        <v>91985.11672</v>
      </c>
      <c r="BW76" s="868">
        <v>15207.37478</v>
      </c>
      <c r="CF76" s="882"/>
      <c r="CG76" s="882"/>
      <c r="CH76" s="882"/>
      <c r="CI76" s="530"/>
    </row>
    <row r="77">
      <c r="A77" s="857"/>
      <c r="B77" s="865" t="s">
        <v>605</v>
      </c>
      <c r="C77" s="865" t="s">
        <v>591</v>
      </c>
      <c r="D77" s="865" t="s">
        <v>651</v>
      </c>
      <c r="E77" s="866">
        <v>2019.0</v>
      </c>
      <c r="F77" s="865" t="s">
        <v>593</v>
      </c>
      <c r="G77" s="865" t="s">
        <v>70</v>
      </c>
      <c r="H77" s="867">
        <v>4971113.732</v>
      </c>
      <c r="I77" s="867">
        <v>5551471.936</v>
      </c>
      <c r="J77" s="868">
        <v>4407391.243</v>
      </c>
      <c r="K77" s="50"/>
      <c r="L77" s="869" t="s">
        <v>605</v>
      </c>
      <c r="M77" s="865" t="s">
        <v>591</v>
      </c>
      <c r="N77" s="865" t="s">
        <v>651</v>
      </c>
      <c r="O77" s="866">
        <v>2004.0</v>
      </c>
      <c r="P77" s="865" t="s">
        <v>593</v>
      </c>
      <c r="Q77" s="865" t="s">
        <v>70</v>
      </c>
      <c r="R77" s="867">
        <v>2556538.953</v>
      </c>
      <c r="S77" s="867">
        <v>2762637.093</v>
      </c>
      <c r="T77" s="868">
        <v>2340203.61</v>
      </c>
      <c r="V77" s="869" t="s">
        <v>594</v>
      </c>
      <c r="W77" s="865" t="s">
        <v>672</v>
      </c>
      <c r="X77" s="865" t="s">
        <v>595</v>
      </c>
      <c r="Y77" s="865" t="s">
        <v>602</v>
      </c>
      <c r="Z77" s="865" t="s">
        <v>597</v>
      </c>
      <c r="AA77" s="865" t="s">
        <v>70</v>
      </c>
      <c r="AB77" s="866">
        <v>2004.0</v>
      </c>
      <c r="AC77" s="867">
        <v>71657.29864</v>
      </c>
      <c r="AD77" s="867">
        <v>81949.48803</v>
      </c>
      <c r="AE77" s="868">
        <v>62023.60349</v>
      </c>
      <c r="AG77" s="869" t="s">
        <v>594</v>
      </c>
      <c r="AH77" s="865" t="s">
        <v>672</v>
      </c>
      <c r="AI77" s="865" t="s">
        <v>595</v>
      </c>
      <c r="AJ77" s="865" t="s">
        <v>602</v>
      </c>
      <c r="AK77" s="865" t="s">
        <v>597</v>
      </c>
      <c r="AL77" s="865" t="s">
        <v>598</v>
      </c>
      <c r="AM77" s="866">
        <v>2019.0</v>
      </c>
      <c r="AN77" s="867">
        <v>1572.635774</v>
      </c>
      <c r="AO77" s="867">
        <v>2085.127492</v>
      </c>
      <c r="AP77" s="868">
        <v>1202.544012</v>
      </c>
      <c r="AR77" s="869" t="s">
        <v>594</v>
      </c>
      <c r="AS77" s="865" t="s">
        <v>672</v>
      </c>
      <c r="AT77" s="865" t="s">
        <v>595</v>
      </c>
      <c r="AU77" s="865" t="s">
        <v>602</v>
      </c>
      <c r="AV77" s="865" t="s">
        <v>599</v>
      </c>
      <c r="AW77" s="865" t="s">
        <v>598</v>
      </c>
      <c r="AX77" s="866">
        <v>2019.0</v>
      </c>
      <c r="AY77" s="867">
        <v>321.262311</v>
      </c>
      <c r="AZ77" s="867">
        <v>660.0746159</v>
      </c>
      <c r="BA77" s="868">
        <v>109.1657636</v>
      </c>
      <c r="BC77" s="869" t="s">
        <v>594</v>
      </c>
      <c r="BD77" s="865" t="s">
        <v>672</v>
      </c>
      <c r="BE77" s="865" t="s">
        <v>595</v>
      </c>
      <c r="BF77" s="865" t="s">
        <v>603</v>
      </c>
      <c r="BG77" s="865" t="s">
        <v>599</v>
      </c>
      <c r="BH77" s="865" t="s">
        <v>70</v>
      </c>
      <c r="BI77" s="866">
        <v>2019.0</v>
      </c>
      <c r="BJ77" s="867">
        <v>23821.78986</v>
      </c>
      <c r="BK77" s="867">
        <v>48710.80826</v>
      </c>
      <c r="BL77" s="868">
        <v>8061.70112</v>
      </c>
      <c r="BN77" s="869" t="s">
        <v>40</v>
      </c>
      <c r="BO77" s="865" t="s">
        <v>672</v>
      </c>
      <c r="BP77" s="865" t="s">
        <v>595</v>
      </c>
      <c r="BQ77" s="865" t="s">
        <v>604</v>
      </c>
      <c r="BR77" s="865" t="s">
        <v>599</v>
      </c>
      <c r="BS77" s="865" t="s">
        <v>598</v>
      </c>
      <c r="BT77" s="866">
        <v>2019.0</v>
      </c>
      <c r="BU77" s="867">
        <v>22347.54872</v>
      </c>
      <c r="BV77" s="867">
        <v>45382.63426</v>
      </c>
      <c r="BW77" s="868">
        <v>10481.43627</v>
      </c>
      <c r="CF77" s="882"/>
      <c r="CG77" s="882"/>
      <c r="CH77" s="882"/>
      <c r="CI77" s="530"/>
    </row>
    <row r="78">
      <c r="A78" s="857"/>
      <c r="B78" s="865" t="s">
        <v>605</v>
      </c>
      <c r="C78" s="865" t="s">
        <v>591</v>
      </c>
      <c r="D78" s="865" t="s">
        <v>653</v>
      </c>
      <c r="E78" s="866">
        <v>2019.0</v>
      </c>
      <c r="F78" s="865" t="s">
        <v>593</v>
      </c>
      <c r="G78" s="865" t="s">
        <v>70</v>
      </c>
      <c r="H78" s="867">
        <v>3881865.169</v>
      </c>
      <c r="I78" s="867">
        <v>4335057.837</v>
      </c>
      <c r="J78" s="868">
        <v>3441663.07</v>
      </c>
      <c r="K78" s="50"/>
      <c r="L78" s="869" t="s">
        <v>605</v>
      </c>
      <c r="M78" s="865" t="s">
        <v>591</v>
      </c>
      <c r="N78" s="865" t="s">
        <v>653</v>
      </c>
      <c r="O78" s="866">
        <v>2004.0</v>
      </c>
      <c r="P78" s="865" t="s">
        <v>593</v>
      </c>
      <c r="Q78" s="865" t="s">
        <v>70</v>
      </c>
      <c r="R78" s="867">
        <v>1936281.356</v>
      </c>
      <c r="S78" s="867">
        <v>2092376.762</v>
      </c>
      <c r="T78" s="868">
        <v>1772432.457</v>
      </c>
      <c r="V78" s="869" t="s">
        <v>594</v>
      </c>
      <c r="W78" s="865" t="s">
        <v>121</v>
      </c>
      <c r="X78" s="865" t="s">
        <v>595</v>
      </c>
      <c r="Y78" s="865" t="s">
        <v>596</v>
      </c>
      <c r="Z78" s="865" t="s">
        <v>597</v>
      </c>
      <c r="AA78" s="865" t="s">
        <v>70</v>
      </c>
      <c r="AB78" s="866">
        <v>2004.0</v>
      </c>
      <c r="AC78" s="867">
        <v>270198.6387</v>
      </c>
      <c r="AD78" s="867">
        <v>292001.8472</v>
      </c>
      <c r="AE78" s="868">
        <v>248371.8135</v>
      </c>
      <c r="AG78" s="869" t="s">
        <v>594</v>
      </c>
      <c r="AH78" s="865" t="s">
        <v>121</v>
      </c>
      <c r="AI78" s="865" t="s">
        <v>595</v>
      </c>
      <c r="AJ78" s="865" t="s">
        <v>596</v>
      </c>
      <c r="AK78" s="865" t="s">
        <v>597</v>
      </c>
      <c r="AL78" s="865" t="s">
        <v>598</v>
      </c>
      <c r="AM78" s="866">
        <v>2019.0</v>
      </c>
      <c r="AN78" s="867">
        <v>3167.372902</v>
      </c>
      <c r="AO78" s="867">
        <v>3927.141982</v>
      </c>
      <c r="AP78" s="868">
        <v>2567.689902</v>
      </c>
      <c r="AR78" s="869" t="s">
        <v>594</v>
      </c>
      <c r="AS78" s="865" t="s">
        <v>121</v>
      </c>
      <c r="AT78" s="865" t="s">
        <v>595</v>
      </c>
      <c r="AU78" s="865" t="s">
        <v>596</v>
      </c>
      <c r="AV78" s="865" t="s">
        <v>599</v>
      </c>
      <c r="AW78" s="865" t="s">
        <v>598</v>
      </c>
      <c r="AX78" s="866">
        <v>2019.0</v>
      </c>
      <c r="AY78" s="867">
        <v>348.7538434</v>
      </c>
      <c r="AZ78" s="867">
        <v>676.6069673</v>
      </c>
      <c r="BA78" s="868">
        <v>153.8890345</v>
      </c>
      <c r="BC78" s="869" t="s">
        <v>594</v>
      </c>
      <c r="BD78" s="865" t="s">
        <v>121</v>
      </c>
      <c r="BE78" s="865" t="s">
        <v>595</v>
      </c>
      <c r="BF78" s="865" t="s">
        <v>600</v>
      </c>
      <c r="BG78" s="865" t="s">
        <v>599</v>
      </c>
      <c r="BH78" s="865" t="s">
        <v>70</v>
      </c>
      <c r="BI78" s="866">
        <v>2019.0</v>
      </c>
      <c r="BJ78" s="867">
        <v>95636.12631</v>
      </c>
      <c r="BK78" s="867">
        <v>173344.0264</v>
      </c>
      <c r="BL78" s="868">
        <v>44896.58049</v>
      </c>
      <c r="BN78" s="869" t="s">
        <v>40</v>
      </c>
      <c r="BO78" s="865" t="s">
        <v>121</v>
      </c>
      <c r="BP78" s="865" t="s">
        <v>595</v>
      </c>
      <c r="BQ78" s="865" t="s">
        <v>600</v>
      </c>
      <c r="BR78" s="865" t="s">
        <v>599</v>
      </c>
      <c r="BS78" s="865" t="s">
        <v>598</v>
      </c>
      <c r="BT78" s="866">
        <v>2019.0</v>
      </c>
      <c r="BU78" s="867">
        <v>69733.16108</v>
      </c>
      <c r="BV78" s="867">
        <v>107230.3179</v>
      </c>
      <c r="BW78" s="868">
        <v>34999.31182</v>
      </c>
      <c r="CF78" s="882"/>
      <c r="CG78" s="882"/>
      <c r="CH78" s="882"/>
      <c r="CI78" s="530"/>
    </row>
    <row r="79">
      <c r="A79" s="857"/>
      <c r="B79" s="865" t="s">
        <v>605</v>
      </c>
      <c r="C79" s="865" t="s">
        <v>591</v>
      </c>
      <c r="D79" s="865" t="s">
        <v>655</v>
      </c>
      <c r="E79" s="866">
        <v>2019.0</v>
      </c>
      <c r="F79" s="865" t="s">
        <v>593</v>
      </c>
      <c r="G79" s="865" t="s">
        <v>70</v>
      </c>
      <c r="H79" s="867">
        <v>6867936.508</v>
      </c>
      <c r="I79" s="867">
        <v>7670287.857</v>
      </c>
      <c r="J79" s="868">
        <v>6089255.273</v>
      </c>
      <c r="K79" s="50"/>
      <c r="L79" s="869" t="s">
        <v>605</v>
      </c>
      <c r="M79" s="865" t="s">
        <v>591</v>
      </c>
      <c r="N79" s="865" t="s">
        <v>655</v>
      </c>
      <c r="O79" s="866">
        <v>2004.0</v>
      </c>
      <c r="P79" s="865" t="s">
        <v>593</v>
      </c>
      <c r="Q79" s="865" t="s">
        <v>70</v>
      </c>
      <c r="R79" s="867">
        <v>3480086.279</v>
      </c>
      <c r="S79" s="867">
        <v>3760733.61</v>
      </c>
      <c r="T79" s="868">
        <v>3185539.403</v>
      </c>
      <c r="V79" s="869" t="s">
        <v>594</v>
      </c>
      <c r="W79" s="865" t="s">
        <v>121</v>
      </c>
      <c r="X79" s="865" t="s">
        <v>595</v>
      </c>
      <c r="Y79" s="865" t="s">
        <v>602</v>
      </c>
      <c r="Z79" s="865" t="s">
        <v>597</v>
      </c>
      <c r="AA79" s="865" t="s">
        <v>70</v>
      </c>
      <c r="AB79" s="866">
        <v>2004.0</v>
      </c>
      <c r="AC79" s="867">
        <v>473207.389</v>
      </c>
      <c r="AD79" s="867">
        <v>524024.9006</v>
      </c>
      <c r="AE79" s="868">
        <v>423931.045</v>
      </c>
      <c r="AG79" s="869" t="s">
        <v>594</v>
      </c>
      <c r="AH79" s="865" t="s">
        <v>121</v>
      </c>
      <c r="AI79" s="865" t="s">
        <v>595</v>
      </c>
      <c r="AJ79" s="865" t="s">
        <v>602</v>
      </c>
      <c r="AK79" s="865" t="s">
        <v>597</v>
      </c>
      <c r="AL79" s="865" t="s">
        <v>598</v>
      </c>
      <c r="AM79" s="866">
        <v>2019.0</v>
      </c>
      <c r="AN79" s="867">
        <v>1091.863558</v>
      </c>
      <c r="AO79" s="867">
        <v>1350.474412</v>
      </c>
      <c r="AP79" s="868">
        <v>891.9927118</v>
      </c>
      <c r="AR79" s="869" t="s">
        <v>594</v>
      </c>
      <c r="AS79" s="865" t="s">
        <v>121</v>
      </c>
      <c r="AT79" s="865" t="s">
        <v>595</v>
      </c>
      <c r="AU79" s="865" t="s">
        <v>602</v>
      </c>
      <c r="AV79" s="865" t="s">
        <v>599</v>
      </c>
      <c r="AW79" s="865" t="s">
        <v>598</v>
      </c>
      <c r="AX79" s="866">
        <v>2019.0</v>
      </c>
      <c r="AY79" s="867">
        <v>259.6435356</v>
      </c>
      <c r="AZ79" s="867">
        <v>459.8718758</v>
      </c>
      <c r="BA79" s="868">
        <v>124.6773719</v>
      </c>
      <c r="BC79" s="869" t="s">
        <v>594</v>
      </c>
      <c r="BD79" s="865" t="s">
        <v>121</v>
      </c>
      <c r="BE79" s="865" t="s">
        <v>595</v>
      </c>
      <c r="BF79" s="865" t="s">
        <v>603</v>
      </c>
      <c r="BG79" s="865" t="s">
        <v>599</v>
      </c>
      <c r="BH79" s="865" t="s">
        <v>70</v>
      </c>
      <c r="BI79" s="866">
        <v>2019.0</v>
      </c>
      <c r="BJ79" s="867">
        <v>191106.0925</v>
      </c>
      <c r="BK79" s="867">
        <v>352275.3253</v>
      </c>
      <c r="BL79" s="868">
        <v>91478.76616</v>
      </c>
      <c r="BN79" s="869" t="s">
        <v>40</v>
      </c>
      <c r="BO79" s="865" t="s">
        <v>121</v>
      </c>
      <c r="BP79" s="865" t="s">
        <v>595</v>
      </c>
      <c r="BQ79" s="865" t="s">
        <v>604</v>
      </c>
      <c r="BR79" s="865" t="s">
        <v>599</v>
      </c>
      <c r="BS79" s="865" t="s">
        <v>598</v>
      </c>
      <c r="BT79" s="866">
        <v>2019.0</v>
      </c>
      <c r="BU79" s="867">
        <v>30218.50354</v>
      </c>
      <c r="BV79" s="867">
        <v>49149.48959</v>
      </c>
      <c r="BW79" s="868">
        <v>18693.55117</v>
      </c>
      <c r="CF79" s="882"/>
      <c r="CG79" s="882"/>
      <c r="CH79" s="882"/>
      <c r="CI79" s="530"/>
    </row>
    <row r="80">
      <c r="A80" s="857"/>
      <c r="B80" s="865" t="s">
        <v>605</v>
      </c>
      <c r="C80" s="865" t="s">
        <v>591</v>
      </c>
      <c r="D80" s="865" t="s">
        <v>657</v>
      </c>
      <c r="E80" s="866">
        <v>2019.0</v>
      </c>
      <c r="F80" s="865" t="s">
        <v>593</v>
      </c>
      <c r="G80" s="865" t="s">
        <v>70</v>
      </c>
      <c r="H80" s="867">
        <v>2986261.329</v>
      </c>
      <c r="I80" s="867">
        <v>3334895.731</v>
      </c>
      <c r="J80" s="868">
        <v>2647620.381</v>
      </c>
      <c r="K80" s="50"/>
      <c r="L80" s="869" t="s">
        <v>605</v>
      </c>
      <c r="M80" s="865" t="s">
        <v>591</v>
      </c>
      <c r="N80" s="865" t="s">
        <v>657</v>
      </c>
      <c r="O80" s="866">
        <v>2004.0</v>
      </c>
      <c r="P80" s="865" t="s">
        <v>593</v>
      </c>
      <c r="Q80" s="865" t="s">
        <v>70</v>
      </c>
      <c r="R80" s="867">
        <v>1543876.487</v>
      </c>
      <c r="S80" s="867">
        <v>1668337.753</v>
      </c>
      <c r="T80" s="868">
        <v>1413233.045</v>
      </c>
      <c r="V80" s="869" t="s">
        <v>594</v>
      </c>
      <c r="W80" s="865" t="s">
        <v>675</v>
      </c>
      <c r="X80" s="865" t="s">
        <v>595</v>
      </c>
      <c r="Y80" s="865" t="s">
        <v>596</v>
      </c>
      <c r="Z80" s="865" t="s">
        <v>597</v>
      </c>
      <c r="AA80" s="865" t="s">
        <v>70</v>
      </c>
      <c r="AB80" s="866">
        <v>2004.0</v>
      </c>
      <c r="AC80" s="867">
        <v>93840.29953</v>
      </c>
      <c r="AD80" s="867">
        <v>111065.5171</v>
      </c>
      <c r="AE80" s="868">
        <v>77538.63552</v>
      </c>
      <c r="AG80" s="869" t="s">
        <v>594</v>
      </c>
      <c r="AH80" s="865" t="s">
        <v>675</v>
      </c>
      <c r="AI80" s="865" t="s">
        <v>595</v>
      </c>
      <c r="AJ80" s="865" t="s">
        <v>596</v>
      </c>
      <c r="AK80" s="865" t="s">
        <v>597</v>
      </c>
      <c r="AL80" s="865" t="s">
        <v>598</v>
      </c>
      <c r="AM80" s="866">
        <v>2019.0</v>
      </c>
      <c r="AN80" s="867">
        <v>1287.488604</v>
      </c>
      <c r="AO80" s="867">
        <v>1968.031891</v>
      </c>
      <c r="AP80" s="868">
        <v>813.4291215</v>
      </c>
      <c r="AR80" s="869" t="s">
        <v>594</v>
      </c>
      <c r="AS80" s="865" t="s">
        <v>675</v>
      </c>
      <c r="AT80" s="865" t="s">
        <v>595</v>
      </c>
      <c r="AU80" s="865" t="s">
        <v>596</v>
      </c>
      <c r="AV80" s="865" t="s">
        <v>599</v>
      </c>
      <c r="AW80" s="865" t="s">
        <v>598</v>
      </c>
      <c r="AX80" s="866">
        <v>2019.0</v>
      </c>
      <c r="AY80" s="867">
        <v>2.908378811</v>
      </c>
      <c r="AZ80" s="867">
        <v>8.395706866</v>
      </c>
      <c r="BA80" s="868">
        <v>0.673552244</v>
      </c>
      <c r="BC80" s="869" t="s">
        <v>594</v>
      </c>
      <c r="BD80" s="865" t="s">
        <v>675</v>
      </c>
      <c r="BE80" s="865" t="s">
        <v>595</v>
      </c>
      <c r="BF80" s="865" t="s">
        <v>600</v>
      </c>
      <c r="BG80" s="865" t="s">
        <v>599</v>
      </c>
      <c r="BH80" s="865" t="s">
        <v>70</v>
      </c>
      <c r="BI80" s="866">
        <v>2019.0</v>
      </c>
      <c r="BJ80" s="867">
        <v>529.2553432</v>
      </c>
      <c r="BK80" s="867">
        <v>1433.71246</v>
      </c>
      <c r="BL80" s="868">
        <v>132.553708</v>
      </c>
      <c r="BN80" s="869" t="s">
        <v>40</v>
      </c>
      <c r="BO80" s="865" t="s">
        <v>675</v>
      </c>
      <c r="BP80" s="865" t="s">
        <v>595</v>
      </c>
      <c r="BQ80" s="865" t="s">
        <v>600</v>
      </c>
      <c r="BR80" s="865" t="s">
        <v>599</v>
      </c>
      <c r="BS80" s="865" t="s">
        <v>598</v>
      </c>
      <c r="BT80" s="866">
        <v>2019.0</v>
      </c>
      <c r="BU80" s="867">
        <v>829.9848387</v>
      </c>
      <c r="BV80" s="867">
        <v>1670.129282</v>
      </c>
      <c r="BW80" s="868">
        <v>375.08743</v>
      </c>
      <c r="CF80" s="882"/>
      <c r="CG80" s="882"/>
      <c r="CH80" s="882"/>
      <c r="CI80" s="530"/>
    </row>
    <row r="81">
      <c r="A81" s="857"/>
      <c r="B81" s="865" t="s">
        <v>605</v>
      </c>
      <c r="C81" s="865" t="s">
        <v>591</v>
      </c>
      <c r="D81" s="865" t="s">
        <v>659</v>
      </c>
      <c r="E81" s="866">
        <v>2019.0</v>
      </c>
      <c r="F81" s="865" t="s">
        <v>593</v>
      </c>
      <c r="G81" s="865" t="s">
        <v>70</v>
      </c>
      <c r="H81" s="867">
        <v>6964174.078</v>
      </c>
      <c r="I81" s="867">
        <v>7777214.33</v>
      </c>
      <c r="J81" s="868">
        <v>6174439.271</v>
      </c>
      <c r="K81" s="50"/>
      <c r="L81" s="869" t="s">
        <v>605</v>
      </c>
      <c r="M81" s="865" t="s">
        <v>591</v>
      </c>
      <c r="N81" s="865" t="s">
        <v>659</v>
      </c>
      <c r="O81" s="866">
        <v>2004.0</v>
      </c>
      <c r="P81" s="865" t="s">
        <v>593</v>
      </c>
      <c r="Q81" s="865" t="s">
        <v>70</v>
      </c>
      <c r="R81" s="867">
        <v>3090181.598</v>
      </c>
      <c r="S81" s="867">
        <v>3339299.915</v>
      </c>
      <c r="T81" s="868">
        <v>2828689.202</v>
      </c>
      <c r="V81" s="869" t="s">
        <v>594</v>
      </c>
      <c r="W81" s="865" t="s">
        <v>675</v>
      </c>
      <c r="X81" s="865" t="s">
        <v>595</v>
      </c>
      <c r="Y81" s="865" t="s">
        <v>602</v>
      </c>
      <c r="Z81" s="865" t="s">
        <v>597</v>
      </c>
      <c r="AA81" s="865" t="s">
        <v>70</v>
      </c>
      <c r="AB81" s="866">
        <v>2004.0</v>
      </c>
      <c r="AC81" s="867">
        <v>122462.9864</v>
      </c>
      <c r="AD81" s="867">
        <v>152119.9468</v>
      </c>
      <c r="AE81" s="868">
        <v>97579.97568</v>
      </c>
      <c r="AG81" s="869" t="s">
        <v>594</v>
      </c>
      <c r="AH81" s="865" t="s">
        <v>675</v>
      </c>
      <c r="AI81" s="865" t="s">
        <v>595</v>
      </c>
      <c r="AJ81" s="865" t="s">
        <v>602</v>
      </c>
      <c r="AK81" s="865" t="s">
        <v>597</v>
      </c>
      <c r="AL81" s="865" t="s">
        <v>598</v>
      </c>
      <c r="AM81" s="866">
        <v>2019.0</v>
      </c>
      <c r="AN81" s="867">
        <v>281.1807072</v>
      </c>
      <c r="AO81" s="867">
        <v>337.7730602</v>
      </c>
      <c r="AP81" s="868">
        <v>232.6621132</v>
      </c>
      <c r="AR81" s="869" t="s">
        <v>594</v>
      </c>
      <c r="AS81" s="865" t="s">
        <v>675</v>
      </c>
      <c r="AT81" s="865" t="s">
        <v>595</v>
      </c>
      <c r="AU81" s="865" t="s">
        <v>602</v>
      </c>
      <c r="AV81" s="865" t="s">
        <v>599</v>
      </c>
      <c r="AW81" s="865" t="s">
        <v>598</v>
      </c>
      <c r="AX81" s="866">
        <v>2019.0</v>
      </c>
      <c r="AY81" s="867">
        <v>1.349127588</v>
      </c>
      <c r="AZ81" s="867">
        <v>3.632356352</v>
      </c>
      <c r="BA81" s="868">
        <v>0.345032823</v>
      </c>
      <c r="BC81" s="869" t="s">
        <v>594</v>
      </c>
      <c r="BD81" s="865" t="s">
        <v>675</v>
      </c>
      <c r="BE81" s="865" t="s">
        <v>595</v>
      </c>
      <c r="BF81" s="865" t="s">
        <v>603</v>
      </c>
      <c r="BG81" s="865" t="s">
        <v>599</v>
      </c>
      <c r="BH81" s="865" t="s">
        <v>70</v>
      </c>
      <c r="BI81" s="866">
        <v>2019.0</v>
      </c>
      <c r="BJ81" s="867">
        <v>4031.16002</v>
      </c>
      <c r="BK81" s="867">
        <v>10115.58437</v>
      </c>
      <c r="BL81" s="868">
        <v>1078.410309</v>
      </c>
      <c r="BN81" s="869" t="s">
        <v>40</v>
      </c>
      <c r="BO81" s="865" t="s">
        <v>675</v>
      </c>
      <c r="BP81" s="865" t="s">
        <v>595</v>
      </c>
      <c r="BQ81" s="865" t="s">
        <v>604</v>
      </c>
      <c r="BR81" s="865" t="s">
        <v>599</v>
      </c>
      <c r="BS81" s="865" t="s">
        <v>598</v>
      </c>
      <c r="BT81" s="866">
        <v>2019.0</v>
      </c>
      <c r="BU81" s="867">
        <v>875.1809247</v>
      </c>
      <c r="BV81" s="867">
        <v>1560.376412</v>
      </c>
      <c r="BW81" s="868">
        <v>461.3097629</v>
      </c>
      <c r="CF81" s="882"/>
      <c r="CG81" s="882"/>
      <c r="CH81" s="882"/>
      <c r="CI81" s="530"/>
    </row>
    <row r="82">
      <c r="A82" s="857"/>
      <c r="B82" s="865" t="s">
        <v>605</v>
      </c>
      <c r="C82" s="865" t="s">
        <v>591</v>
      </c>
      <c r="D82" s="865" t="s">
        <v>661</v>
      </c>
      <c r="E82" s="866">
        <v>2019.0</v>
      </c>
      <c r="F82" s="865" t="s">
        <v>593</v>
      </c>
      <c r="G82" s="865" t="s">
        <v>70</v>
      </c>
      <c r="H82" s="867">
        <v>3977802.709</v>
      </c>
      <c r="I82" s="867">
        <v>4442512.213</v>
      </c>
      <c r="J82" s="868">
        <v>3526802.569</v>
      </c>
      <c r="K82" s="50"/>
      <c r="L82" s="869" t="s">
        <v>605</v>
      </c>
      <c r="M82" s="865" t="s">
        <v>591</v>
      </c>
      <c r="N82" s="865" t="s">
        <v>661</v>
      </c>
      <c r="O82" s="866">
        <v>2004.0</v>
      </c>
      <c r="P82" s="865" t="s">
        <v>593</v>
      </c>
      <c r="Q82" s="865" t="s">
        <v>70</v>
      </c>
      <c r="R82" s="867">
        <v>1546273.313</v>
      </c>
      <c r="S82" s="867">
        <v>1670970.647</v>
      </c>
      <c r="T82" s="868">
        <v>1415400.129</v>
      </c>
      <c r="V82" s="869" t="s">
        <v>594</v>
      </c>
      <c r="W82" s="865" t="s">
        <v>677</v>
      </c>
      <c r="X82" s="865" t="s">
        <v>595</v>
      </c>
      <c r="Y82" s="865" t="s">
        <v>596</v>
      </c>
      <c r="Z82" s="865" t="s">
        <v>597</v>
      </c>
      <c r="AA82" s="865" t="s">
        <v>70</v>
      </c>
      <c r="AB82" s="866">
        <v>2004.0</v>
      </c>
      <c r="AC82" s="867">
        <v>12413.01449</v>
      </c>
      <c r="AD82" s="867">
        <v>14243.38361</v>
      </c>
      <c r="AE82" s="868">
        <v>10517.05601</v>
      </c>
      <c r="AG82" s="869" t="s">
        <v>594</v>
      </c>
      <c r="AH82" s="865" t="s">
        <v>677</v>
      </c>
      <c r="AI82" s="865" t="s">
        <v>595</v>
      </c>
      <c r="AJ82" s="865" t="s">
        <v>596</v>
      </c>
      <c r="AK82" s="865" t="s">
        <v>597</v>
      </c>
      <c r="AL82" s="865" t="s">
        <v>598</v>
      </c>
      <c r="AM82" s="866">
        <v>2019.0</v>
      </c>
      <c r="AN82" s="867">
        <v>1440.872139</v>
      </c>
      <c r="AO82" s="867">
        <v>2281.280889</v>
      </c>
      <c r="AP82" s="868">
        <v>905.363827</v>
      </c>
      <c r="AR82" s="869" t="s">
        <v>594</v>
      </c>
      <c r="AS82" s="865" t="s">
        <v>677</v>
      </c>
      <c r="AT82" s="865" t="s">
        <v>595</v>
      </c>
      <c r="AU82" s="865" t="s">
        <v>596</v>
      </c>
      <c r="AV82" s="865" t="s">
        <v>599</v>
      </c>
      <c r="AW82" s="865" t="s">
        <v>598</v>
      </c>
      <c r="AX82" s="866">
        <v>2019.0</v>
      </c>
      <c r="AY82" s="867">
        <v>257.920727</v>
      </c>
      <c r="AZ82" s="867">
        <v>614.7127392</v>
      </c>
      <c r="BA82" s="868">
        <v>87.06161424</v>
      </c>
      <c r="BC82" s="869" t="s">
        <v>594</v>
      </c>
      <c r="BD82" s="865" t="s">
        <v>677</v>
      </c>
      <c r="BE82" s="865" t="s">
        <v>595</v>
      </c>
      <c r="BF82" s="865" t="s">
        <v>600</v>
      </c>
      <c r="BG82" s="865" t="s">
        <v>599</v>
      </c>
      <c r="BH82" s="865" t="s">
        <v>70</v>
      </c>
      <c r="BI82" s="866">
        <v>2019.0</v>
      </c>
      <c r="BJ82" s="867">
        <v>2097.16787</v>
      </c>
      <c r="BK82" s="867">
        <v>4480.141433</v>
      </c>
      <c r="BL82" s="868">
        <v>764.984644</v>
      </c>
      <c r="BN82" s="869" t="s">
        <v>40</v>
      </c>
      <c r="BO82" s="865" t="s">
        <v>677</v>
      </c>
      <c r="BP82" s="865" t="s">
        <v>595</v>
      </c>
      <c r="BQ82" s="865" t="s">
        <v>600</v>
      </c>
      <c r="BR82" s="865" t="s">
        <v>599</v>
      </c>
      <c r="BS82" s="865" t="s">
        <v>598</v>
      </c>
      <c r="BT82" s="866">
        <v>2019.0</v>
      </c>
      <c r="BU82" s="867">
        <v>10902.26697</v>
      </c>
      <c r="BV82" s="867">
        <v>25955.70526</v>
      </c>
      <c r="BW82" s="868">
        <v>2380.211923</v>
      </c>
      <c r="CF82" s="882"/>
      <c r="CG82" s="882"/>
      <c r="CH82" s="882"/>
      <c r="CI82" s="530"/>
    </row>
    <row r="83">
      <c r="A83" s="857"/>
      <c r="B83" s="865" t="s">
        <v>605</v>
      </c>
      <c r="C83" s="865" t="s">
        <v>591</v>
      </c>
      <c r="D83" s="865" t="s">
        <v>663</v>
      </c>
      <c r="E83" s="866">
        <v>2019.0</v>
      </c>
      <c r="F83" s="865" t="s">
        <v>593</v>
      </c>
      <c r="G83" s="865" t="s">
        <v>70</v>
      </c>
      <c r="H83" s="867">
        <v>2053049.718</v>
      </c>
      <c r="I83" s="867">
        <v>2292735.292</v>
      </c>
      <c r="J83" s="868">
        <v>1820234.627</v>
      </c>
      <c r="K83" s="50"/>
      <c r="L83" s="869" t="s">
        <v>605</v>
      </c>
      <c r="M83" s="865" t="s">
        <v>591</v>
      </c>
      <c r="N83" s="865" t="s">
        <v>663</v>
      </c>
      <c r="O83" s="866">
        <v>2004.0</v>
      </c>
      <c r="P83" s="865" t="s">
        <v>593</v>
      </c>
      <c r="Q83" s="865" t="s">
        <v>70</v>
      </c>
      <c r="R83" s="867">
        <v>879563.1037</v>
      </c>
      <c r="S83" s="867">
        <v>950470.0303</v>
      </c>
      <c r="T83" s="868">
        <v>805134.1239</v>
      </c>
      <c r="V83" s="869" t="s">
        <v>594</v>
      </c>
      <c r="W83" s="865" t="s">
        <v>677</v>
      </c>
      <c r="X83" s="865" t="s">
        <v>595</v>
      </c>
      <c r="Y83" s="865" t="s">
        <v>602</v>
      </c>
      <c r="Z83" s="865" t="s">
        <v>597</v>
      </c>
      <c r="AA83" s="865" t="s">
        <v>70</v>
      </c>
      <c r="AB83" s="866">
        <v>2004.0</v>
      </c>
      <c r="AC83" s="867">
        <v>14996.9498</v>
      </c>
      <c r="AD83" s="867">
        <v>16503.17563</v>
      </c>
      <c r="AE83" s="868">
        <v>13576.68797</v>
      </c>
      <c r="AG83" s="869" t="s">
        <v>594</v>
      </c>
      <c r="AH83" s="865" t="s">
        <v>677</v>
      </c>
      <c r="AI83" s="865" t="s">
        <v>595</v>
      </c>
      <c r="AJ83" s="865" t="s">
        <v>602</v>
      </c>
      <c r="AK83" s="865" t="s">
        <v>597</v>
      </c>
      <c r="AL83" s="865" t="s">
        <v>598</v>
      </c>
      <c r="AM83" s="866">
        <v>2019.0</v>
      </c>
      <c r="AN83" s="867">
        <v>361.6512454</v>
      </c>
      <c r="AO83" s="867">
        <v>464.5050414</v>
      </c>
      <c r="AP83" s="868">
        <v>282.2364528</v>
      </c>
      <c r="AR83" s="869" t="s">
        <v>594</v>
      </c>
      <c r="AS83" s="865" t="s">
        <v>677</v>
      </c>
      <c r="AT83" s="865" t="s">
        <v>595</v>
      </c>
      <c r="AU83" s="865" t="s">
        <v>602</v>
      </c>
      <c r="AV83" s="865" t="s">
        <v>599</v>
      </c>
      <c r="AW83" s="865" t="s">
        <v>598</v>
      </c>
      <c r="AX83" s="866">
        <v>2019.0</v>
      </c>
      <c r="AY83" s="867">
        <v>88.59340861</v>
      </c>
      <c r="AZ83" s="867">
        <v>180.6537609</v>
      </c>
      <c r="BA83" s="868">
        <v>34.34876481</v>
      </c>
      <c r="BC83" s="869" t="s">
        <v>594</v>
      </c>
      <c r="BD83" s="865" t="s">
        <v>677</v>
      </c>
      <c r="BE83" s="865" t="s">
        <v>595</v>
      </c>
      <c r="BF83" s="865" t="s">
        <v>603</v>
      </c>
      <c r="BG83" s="865" t="s">
        <v>599</v>
      </c>
      <c r="BH83" s="865" t="s">
        <v>70</v>
      </c>
      <c r="BI83" s="866">
        <v>2019.0</v>
      </c>
      <c r="BJ83" s="867">
        <v>3385.815805</v>
      </c>
      <c r="BK83" s="867">
        <v>7594.983946</v>
      </c>
      <c r="BL83" s="868">
        <v>1163.5401</v>
      </c>
      <c r="BN83" s="869" t="s">
        <v>40</v>
      </c>
      <c r="BO83" s="865" t="s">
        <v>677</v>
      </c>
      <c r="BP83" s="865" t="s">
        <v>595</v>
      </c>
      <c r="BQ83" s="865" t="s">
        <v>604</v>
      </c>
      <c r="BR83" s="865" t="s">
        <v>599</v>
      </c>
      <c r="BS83" s="865" t="s">
        <v>598</v>
      </c>
      <c r="BT83" s="866">
        <v>2019.0</v>
      </c>
      <c r="BU83" s="867">
        <v>5641.167456</v>
      </c>
      <c r="BV83" s="867">
        <v>14412.18995</v>
      </c>
      <c r="BW83" s="868">
        <v>2025.166637</v>
      </c>
      <c r="CF83" s="882"/>
      <c r="CG83" s="882"/>
      <c r="CH83" s="882"/>
      <c r="CI83" s="530"/>
    </row>
    <row r="84">
      <c r="A84" s="857"/>
      <c r="B84" s="865" t="s">
        <v>605</v>
      </c>
      <c r="C84" s="865" t="s">
        <v>591</v>
      </c>
      <c r="D84" s="865" t="s">
        <v>665</v>
      </c>
      <c r="E84" s="866">
        <v>2019.0</v>
      </c>
      <c r="F84" s="865" t="s">
        <v>593</v>
      </c>
      <c r="G84" s="865" t="s">
        <v>70</v>
      </c>
      <c r="H84" s="867">
        <v>3248638.503</v>
      </c>
      <c r="I84" s="867">
        <v>3628162.903</v>
      </c>
      <c r="J84" s="868">
        <v>2880310.427</v>
      </c>
      <c r="K84" s="50"/>
      <c r="L84" s="869" t="s">
        <v>605</v>
      </c>
      <c r="M84" s="865" t="s">
        <v>591</v>
      </c>
      <c r="N84" s="865" t="s">
        <v>665</v>
      </c>
      <c r="O84" s="866">
        <v>2004.0</v>
      </c>
      <c r="P84" s="865" t="s">
        <v>593</v>
      </c>
      <c r="Q84" s="865" t="s">
        <v>70</v>
      </c>
      <c r="R84" s="867">
        <v>1282781.925</v>
      </c>
      <c r="S84" s="867">
        <v>1386230.315</v>
      </c>
      <c r="T84" s="868">
        <v>1174210.074</v>
      </c>
      <c r="V84" s="869" t="s">
        <v>594</v>
      </c>
      <c r="W84" s="865" t="s">
        <v>679</v>
      </c>
      <c r="X84" s="865" t="s">
        <v>595</v>
      </c>
      <c r="Y84" s="865" t="s">
        <v>596</v>
      </c>
      <c r="Z84" s="865" t="s">
        <v>597</v>
      </c>
      <c r="AA84" s="865" t="s">
        <v>70</v>
      </c>
      <c r="AB84" s="866">
        <v>2004.0</v>
      </c>
      <c r="AC84" s="867">
        <v>99.73788041</v>
      </c>
      <c r="AD84" s="867">
        <v>114.6948772</v>
      </c>
      <c r="AE84" s="868">
        <v>85.27582012</v>
      </c>
      <c r="AG84" s="869" t="s">
        <v>594</v>
      </c>
      <c r="AH84" s="865" t="s">
        <v>679</v>
      </c>
      <c r="AI84" s="865" t="s">
        <v>595</v>
      </c>
      <c r="AJ84" s="865" t="s">
        <v>596</v>
      </c>
      <c r="AK84" s="865" t="s">
        <v>597</v>
      </c>
      <c r="AL84" s="865" t="s">
        <v>598</v>
      </c>
      <c r="AM84" s="866">
        <v>2019.0</v>
      </c>
      <c r="AN84" s="867">
        <v>910.6600802</v>
      </c>
      <c r="AO84" s="867">
        <v>1226.056827</v>
      </c>
      <c r="AP84" s="868">
        <v>662.3836569</v>
      </c>
      <c r="AR84" s="869" t="s">
        <v>594</v>
      </c>
      <c r="AS84" s="865" t="s">
        <v>679</v>
      </c>
      <c r="AT84" s="865" t="s">
        <v>595</v>
      </c>
      <c r="AU84" s="865" t="s">
        <v>596</v>
      </c>
      <c r="AV84" s="865" t="s">
        <v>599</v>
      </c>
      <c r="AW84" s="865" t="s">
        <v>598</v>
      </c>
      <c r="AX84" s="866">
        <v>2019.0</v>
      </c>
      <c r="AY84" s="867">
        <v>115.1891344</v>
      </c>
      <c r="AZ84" s="867">
        <v>261.6213337</v>
      </c>
      <c r="BA84" s="868">
        <v>34.53755902</v>
      </c>
      <c r="BC84" s="869" t="s">
        <v>594</v>
      </c>
      <c r="BD84" s="865" t="s">
        <v>679</v>
      </c>
      <c r="BE84" s="865" t="s">
        <v>595</v>
      </c>
      <c r="BF84" s="865" t="s">
        <v>600</v>
      </c>
      <c r="BG84" s="865" t="s">
        <v>599</v>
      </c>
      <c r="BH84" s="865" t="s">
        <v>70</v>
      </c>
      <c r="BI84" s="866">
        <v>2019.0</v>
      </c>
      <c r="BJ84" s="867">
        <v>7.747379219</v>
      </c>
      <c r="BK84" s="867">
        <v>18.0776106</v>
      </c>
      <c r="BL84" s="868">
        <v>2.197158644</v>
      </c>
      <c r="BN84" s="869" t="s">
        <v>40</v>
      </c>
      <c r="BO84" s="865" t="s">
        <v>679</v>
      </c>
      <c r="BP84" s="865" t="s">
        <v>595</v>
      </c>
      <c r="BQ84" s="865" t="s">
        <v>600</v>
      </c>
      <c r="BR84" s="865" t="s">
        <v>599</v>
      </c>
      <c r="BS84" s="865" t="s">
        <v>598</v>
      </c>
      <c r="BT84" s="866">
        <v>2019.0</v>
      </c>
      <c r="BU84" s="867">
        <v>2457.287099</v>
      </c>
      <c r="BV84" s="867">
        <v>3951.094199</v>
      </c>
      <c r="BW84" s="868">
        <v>811.671146</v>
      </c>
      <c r="CF84" s="882"/>
      <c r="CG84" s="882"/>
      <c r="CH84" s="882"/>
      <c r="CI84" s="530"/>
    </row>
    <row r="85">
      <c r="A85" s="857"/>
      <c r="B85" s="865" t="s">
        <v>605</v>
      </c>
      <c r="C85" s="865" t="s">
        <v>591</v>
      </c>
      <c r="D85" s="865" t="s">
        <v>667</v>
      </c>
      <c r="E85" s="866">
        <v>2019.0</v>
      </c>
      <c r="F85" s="865" t="s">
        <v>593</v>
      </c>
      <c r="G85" s="865" t="s">
        <v>70</v>
      </c>
      <c r="H85" s="867">
        <v>1924863.031</v>
      </c>
      <c r="I85" s="867">
        <v>2149583.307</v>
      </c>
      <c r="J85" s="868">
        <v>1706584.263</v>
      </c>
      <c r="K85" s="50"/>
      <c r="L85" s="869" t="s">
        <v>605</v>
      </c>
      <c r="M85" s="865" t="s">
        <v>591</v>
      </c>
      <c r="N85" s="865" t="s">
        <v>667</v>
      </c>
      <c r="O85" s="866">
        <v>2004.0</v>
      </c>
      <c r="P85" s="865" t="s">
        <v>593</v>
      </c>
      <c r="Q85" s="865" t="s">
        <v>70</v>
      </c>
      <c r="R85" s="867">
        <v>666742.0074</v>
      </c>
      <c r="S85" s="867">
        <v>720492.1321</v>
      </c>
      <c r="T85" s="868">
        <v>610322.0334</v>
      </c>
      <c r="V85" s="869" t="s">
        <v>594</v>
      </c>
      <c r="W85" s="865" t="s">
        <v>679</v>
      </c>
      <c r="X85" s="865" t="s">
        <v>595</v>
      </c>
      <c r="Y85" s="865" t="s">
        <v>602</v>
      </c>
      <c r="Z85" s="865" t="s">
        <v>597</v>
      </c>
      <c r="AA85" s="865" t="s">
        <v>70</v>
      </c>
      <c r="AB85" s="866">
        <v>2004.0</v>
      </c>
      <c r="AC85" s="867">
        <v>108.5066269</v>
      </c>
      <c r="AD85" s="867">
        <v>127.2024367</v>
      </c>
      <c r="AE85" s="868">
        <v>90.16513228</v>
      </c>
      <c r="AG85" s="869" t="s">
        <v>594</v>
      </c>
      <c r="AH85" s="865" t="s">
        <v>679</v>
      </c>
      <c r="AI85" s="865" t="s">
        <v>595</v>
      </c>
      <c r="AJ85" s="865" t="s">
        <v>602</v>
      </c>
      <c r="AK85" s="865" t="s">
        <v>597</v>
      </c>
      <c r="AL85" s="865" t="s">
        <v>598</v>
      </c>
      <c r="AM85" s="866">
        <v>2019.0</v>
      </c>
      <c r="AN85" s="867">
        <v>128.8850075</v>
      </c>
      <c r="AO85" s="867">
        <v>171.0971112</v>
      </c>
      <c r="AP85" s="868">
        <v>95.14641796</v>
      </c>
      <c r="AR85" s="869" t="s">
        <v>594</v>
      </c>
      <c r="AS85" s="865" t="s">
        <v>679</v>
      </c>
      <c r="AT85" s="865" t="s">
        <v>595</v>
      </c>
      <c r="AU85" s="865" t="s">
        <v>602</v>
      </c>
      <c r="AV85" s="865" t="s">
        <v>599</v>
      </c>
      <c r="AW85" s="865" t="s">
        <v>598</v>
      </c>
      <c r="AX85" s="866">
        <v>2019.0</v>
      </c>
      <c r="AY85" s="867">
        <v>13.79475403</v>
      </c>
      <c r="AZ85" s="867">
        <v>32.54545948</v>
      </c>
      <c r="BA85" s="868">
        <v>3.504058717</v>
      </c>
      <c r="BC85" s="869" t="s">
        <v>594</v>
      </c>
      <c r="BD85" s="865" t="s">
        <v>679</v>
      </c>
      <c r="BE85" s="865" t="s">
        <v>595</v>
      </c>
      <c r="BF85" s="865" t="s">
        <v>603</v>
      </c>
      <c r="BG85" s="865" t="s">
        <v>599</v>
      </c>
      <c r="BH85" s="865" t="s">
        <v>70</v>
      </c>
      <c r="BI85" s="866">
        <v>2019.0</v>
      </c>
      <c r="BJ85" s="867">
        <v>12.37635467</v>
      </c>
      <c r="BK85" s="867">
        <v>28.77307951</v>
      </c>
      <c r="BL85" s="868">
        <v>3.569478752</v>
      </c>
      <c r="BN85" s="869" t="s">
        <v>40</v>
      </c>
      <c r="BO85" s="865" t="s">
        <v>679</v>
      </c>
      <c r="BP85" s="865" t="s">
        <v>595</v>
      </c>
      <c r="BQ85" s="865" t="s">
        <v>604</v>
      </c>
      <c r="BR85" s="865" t="s">
        <v>599</v>
      </c>
      <c r="BS85" s="865" t="s">
        <v>598</v>
      </c>
      <c r="BT85" s="866">
        <v>2019.0</v>
      </c>
      <c r="BU85" s="867">
        <v>2536.418129</v>
      </c>
      <c r="BV85" s="867">
        <v>3697.734516</v>
      </c>
      <c r="BW85" s="868">
        <v>1076.422209</v>
      </c>
      <c r="CF85" s="882"/>
      <c r="CG85" s="882"/>
      <c r="CH85" s="882"/>
      <c r="CI85" s="530"/>
    </row>
    <row r="86">
      <c r="A86" s="857"/>
      <c r="B86" s="865" t="s">
        <v>605</v>
      </c>
      <c r="C86" s="865" t="s">
        <v>591</v>
      </c>
      <c r="D86" s="865" t="s">
        <v>669</v>
      </c>
      <c r="E86" s="866">
        <v>2019.0</v>
      </c>
      <c r="F86" s="865" t="s">
        <v>593</v>
      </c>
      <c r="G86" s="865" t="s">
        <v>70</v>
      </c>
      <c r="H86" s="867">
        <v>1195678.653</v>
      </c>
      <c r="I86" s="867">
        <v>1335269.488</v>
      </c>
      <c r="J86" s="868">
        <v>1060089.129</v>
      </c>
      <c r="K86" s="50"/>
      <c r="L86" s="869" t="s">
        <v>605</v>
      </c>
      <c r="M86" s="865" t="s">
        <v>591</v>
      </c>
      <c r="N86" s="865" t="s">
        <v>669</v>
      </c>
      <c r="O86" s="866">
        <v>2004.0</v>
      </c>
      <c r="P86" s="865" t="s">
        <v>593</v>
      </c>
      <c r="Q86" s="865" t="s">
        <v>70</v>
      </c>
      <c r="R86" s="867">
        <v>403245.2004</v>
      </c>
      <c r="S86" s="867">
        <v>435753.2463</v>
      </c>
      <c r="T86" s="868">
        <v>369122.4311</v>
      </c>
      <c r="V86" s="869" t="s">
        <v>594</v>
      </c>
      <c r="W86" s="865" t="s">
        <v>681</v>
      </c>
      <c r="X86" s="865" t="s">
        <v>595</v>
      </c>
      <c r="Y86" s="865" t="s">
        <v>596</v>
      </c>
      <c r="Z86" s="865" t="s">
        <v>597</v>
      </c>
      <c r="AA86" s="865" t="s">
        <v>70</v>
      </c>
      <c r="AB86" s="866">
        <v>2004.0</v>
      </c>
      <c r="AC86" s="867">
        <v>10191.8563</v>
      </c>
      <c r="AD86" s="867">
        <v>11273.61632</v>
      </c>
      <c r="AE86" s="868">
        <v>9244.782532</v>
      </c>
      <c r="AG86" s="869" t="s">
        <v>594</v>
      </c>
      <c r="AH86" s="865" t="s">
        <v>681</v>
      </c>
      <c r="AI86" s="865" t="s">
        <v>595</v>
      </c>
      <c r="AJ86" s="865" t="s">
        <v>596</v>
      </c>
      <c r="AK86" s="865" t="s">
        <v>597</v>
      </c>
      <c r="AL86" s="865" t="s">
        <v>598</v>
      </c>
      <c r="AM86" s="866">
        <v>2019.0</v>
      </c>
      <c r="AN86" s="867">
        <v>1375.959421</v>
      </c>
      <c r="AO86" s="867">
        <v>2046.369662</v>
      </c>
      <c r="AP86" s="868">
        <v>931.9676071</v>
      </c>
      <c r="AR86" s="869" t="s">
        <v>594</v>
      </c>
      <c r="AS86" s="865" t="s">
        <v>681</v>
      </c>
      <c r="AT86" s="865" t="s">
        <v>595</v>
      </c>
      <c r="AU86" s="865" t="s">
        <v>596</v>
      </c>
      <c r="AV86" s="865" t="s">
        <v>599</v>
      </c>
      <c r="AW86" s="865" t="s">
        <v>598</v>
      </c>
      <c r="AX86" s="866">
        <v>2019.0</v>
      </c>
      <c r="AY86" s="867">
        <v>205.9613419</v>
      </c>
      <c r="AZ86" s="867">
        <v>592.2613412</v>
      </c>
      <c r="BA86" s="868">
        <v>28.17562888</v>
      </c>
      <c r="BC86" s="869" t="s">
        <v>594</v>
      </c>
      <c r="BD86" s="865" t="s">
        <v>681</v>
      </c>
      <c r="BE86" s="865" t="s">
        <v>595</v>
      </c>
      <c r="BF86" s="865" t="s">
        <v>600</v>
      </c>
      <c r="BG86" s="865" t="s">
        <v>599</v>
      </c>
      <c r="BH86" s="865" t="s">
        <v>70</v>
      </c>
      <c r="BI86" s="866">
        <v>2019.0</v>
      </c>
      <c r="BJ86" s="867">
        <v>1998.885614</v>
      </c>
      <c r="BK86" s="867">
        <v>5576.137839</v>
      </c>
      <c r="BL86" s="868">
        <v>298.2683975</v>
      </c>
      <c r="BN86" s="869" t="s">
        <v>40</v>
      </c>
      <c r="BO86" s="865" t="s">
        <v>681</v>
      </c>
      <c r="BP86" s="865" t="s">
        <v>595</v>
      </c>
      <c r="BQ86" s="865" t="s">
        <v>600</v>
      </c>
      <c r="BR86" s="865" t="s">
        <v>599</v>
      </c>
      <c r="BS86" s="865" t="s">
        <v>598</v>
      </c>
      <c r="BT86" s="866">
        <v>2019.0</v>
      </c>
      <c r="BU86" s="867">
        <v>9173.18563</v>
      </c>
      <c r="BV86" s="867">
        <v>36977.96057</v>
      </c>
      <c r="BW86" s="868">
        <v>992.052754</v>
      </c>
      <c r="CF86" s="882"/>
      <c r="CG86" s="882"/>
      <c r="CH86" s="882"/>
      <c r="CI86" s="530"/>
    </row>
    <row r="87">
      <c r="A87" s="857"/>
      <c r="B87" s="865" t="s">
        <v>605</v>
      </c>
      <c r="C87" s="865" t="s">
        <v>591</v>
      </c>
      <c r="D87" s="865" t="s">
        <v>671</v>
      </c>
      <c r="E87" s="866">
        <v>2019.0</v>
      </c>
      <c r="F87" s="865" t="s">
        <v>593</v>
      </c>
      <c r="G87" s="865" t="s">
        <v>70</v>
      </c>
      <c r="H87" s="867">
        <v>729164.2063</v>
      </c>
      <c r="I87" s="867">
        <v>814349.3101</v>
      </c>
      <c r="J87" s="868">
        <v>646492.1426</v>
      </c>
      <c r="K87" s="50"/>
      <c r="L87" s="869" t="s">
        <v>605</v>
      </c>
      <c r="M87" s="865" t="s">
        <v>591</v>
      </c>
      <c r="N87" s="865" t="s">
        <v>671</v>
      </c>
      <c r="O87" s="866">
        <v>2004.0</v>
      </c>
      <c r="P87" s="865" t="s">
        <v>593</v>
      </c>
      <c r="Q87" s="865" t="s">
        <v>70</v>
      </c>
      <c r="R87" s="867">
        <v>263491.3885</v>
      </c>
      <c r="S87" s="867">
        <v>284740.3315</v>
      </c>
      <c r="T87" s="868">
        <v>241190.0549</v>
      </c>
      <c r="V87" s="869" t="s">
        <v>594</v>
      </c>
      <c r="W87" s="865" t="s">
        <v>681</v>
      </c>
      <c r="X87" s="865" t="s">
        <v>595</v>
      </c>
      <c r="Y87" s="865" t="s">
        <v>602</v>
      </c>
      <c r="Z87" s="865" t="s">
        <v>597</v>
      </c>
      <c r="AA87" s="865" t="s">
        <v>70</v>
      </c>
      <c r="AB87" s="866">
        <v>2004.0</v>
      </c>
      <c r="AC87" s="867">
        <v>14541.77563</v>
      </c>
      <c r="AD87" s="867">
        <v>16161.08619</v>
      </c>
      <c r="AE87" s="868">
        <v>12939.39227</v>
      </c>
      <c r="AG87" s="869" t="s">
        <v>594</v>
      </c>
      <c r="AH87" s="865" t="s">
        <v>681</v>
      </c>
      <c r="AI87" s="865" t="s">
        <v>595</v>
      </c>
      <c r="AJ87" s="865" t="s">
        <v>602</v>
      </c>
      <c r="AK87" s="865" t="s">
        <v>597</v>
      </c>
      <c r="AL87" s="865" t="s">
        <v>598</v>
      </c>
      <c r="AM87" s="866">
        <v>2019.0</v>
      </c>
      <c r="AN87" s="867">
        <v>324.6796981</v>
      </c>
      <c r="AO87" s="867">
        <v>402.6902646</v>
      </c>
      <c r="AP87" s="868">
        <v>263.2464614</v>
      </c>
      <c r="AR87" s="869" t="s">
        <v>594</v>
      </c>
      <c r="AS87" s="865" t="s">
        <v>681</v>
      </c>
      <c r="AT87" s="865" t="s">
        <v>595</v>
      </c>
      <c r="AU87" s="865" t="s">
        <v>602</v>
      </c>
      <c r="AV87" s="865" t="s">
        <v>599</v>
      </c>
      <c r="AW87" s="865" t="s">
        <v>598</v>
      </c>
      <c r="AX87" s="866">
        <v>2019.0</v>
      </c>
      <c r="AY87" s="867">
        <v>57.45983002</v>
      </c>
      <c r="AZ87" s="867">
        <v>150.5843351</v>
      </c>
      <c r="BA87" s="868">
        <v>8.791731463</v>
      </c>
      <c r="BC87" s="869" t="s">
        <v>594</v>
      </c>
      <c r="BD87" s="865" t="s">
        <v>681</v>
      </c>
      <c r="BE87" s="865" t="s">
        <v>595</v>
      </c>
      <c r="BF87" s="865" t="s">
        <v>603</v>
      </c>
      <c r="BG87" s="865" t="s">
        <v>599</v>
      </c>
      <c r="BH87" s="865" t="s">
        <v>70</v>
      </c>
      <c r="BI87" s="866">
        <v>2019.0</v>
      </c>
      <c r="BJ87" s="867">
        <v>6739.526092</v>
      </c>
      <c r="BK87" s="867">
        <v>18087.74435</v>
      </c>
      <c r="BL87" s="868">
        <v>934.5466696</v>
      </c>
      <c r="BN87" s="869" t="s">
        <v>40</v>
      </c>
      <c r="BO87" s="865" t="s">
        <v>681</v>
      </c>
      <c r="BP87" s="865" t="s">
        <v>595</v>
      </c>
      <c r="BQ87" s="865" t="s">
        <v>604</v>
      </c>
      <c r="BR87" s="865" t="s">
        <v>599</v>
      </c>
      <c r="BS87" s="865" t="s">
        <v>598</v>
      </c>
      <c r="BT87" s="866">
        <v>2019.0</v>
      </c>
      <c r="BU87" s="867">
        <v>6818.246075</v>
      </c>
      <c r="BV87" s="867">
        <v>22848.8062</v>
      </c>
      <c r="BW87" s="868">
        <v>1260.412485</v>
      </c>
      <c r="CF87" s="882"/>
      <c r="CG87" s="882"/>
      <c r="CH87" s="882"/>
      <c r="CI87" s="530"/>
    </row>
    <row r="88">
      <c r="A88" s="857"/>
      <c r="B88" s="865" t="s">
        <v>605</v>
      </c>
      <c r="C88" s="865" t="s">
        <v>591</v>
      </c>
      <c r="D88" s="865" t="s">
        <v>673</v>
      </c>
      <c r="E88" s="866">
        <v>2019.0</v>
      </c>
      <c r="F88" s="865" t="s">
        <v>593</v>
      </c>
      <c r="G88" s="865" t="s">
        <v>70</v>
      </c>
      <c r="H88" s="867">
        <v>550941.6851</v>
      </c>
      <c r="I88" s="867">
        <v>615261.9852</v>
      </c>
      <c r="J88" s="868">
        <v>488465.0984</v>
      </c>
      <c r="K88" s="50"/>
      <c r="L88" s="869" t="s">
        <v>605</v>
      </c>
      <c r="M88" s="865" t="s">
        <v>591</v>
      </c>
      <c r="N88" s="865" t="s">
        <v>673</v>
      </c>
      <c r="O88" s="866">
        <v>2004.0</v>
      </c>
      <c r="P88" s="865" t="s">
        <v>593</v>
      </c>
      <c r="Q88" s="865" t="s">
        <v>70</v>
      </c>
      <c r="R88" s="867">
        <v>189116.0327</v>
      </c>
      <c r="S88" s="867">
        <v>204361.8253</v>
      </c>
      <c r="T88" s="868">
        <v>173112.9588</v>
      </c>
      <c r="V88" s="869" t="s">
        <v>594</v>
      </c>
      <c r="W88" s="865" t="s">
        <v>683</v>
      </c>
      <c r="X88" s="865" t="s">
        <v>595</v>
      </c>
      <c r="Y88" s="865" t="s">
        <v>596</v>
      </c>
      <c r="Z88" s="865" t="s">
        <v>597</v>
      </c>
      <c r="AA88" s="865" t="s">
        <v>70</v>
      </c>
      <c r="AB88" s="866">
        <v>2004.0</v>
      </c>
      <c r="AC88" s="867">
        <v>17544.42227</v>
      </c>
      <c r="AD88" s="867">
        <v>19700.99414</v>
      </c>
      <c r="AE88" s="868">
        <v>15611.4353</v>
      </c>
      <c r="AG88" s="869" t="s">
        <v>594</v>
      </c>
      <c r="AH88" s="865" t="s">
        <v>683</v>
      </c>
      <c r="AI88" s="865" t="s">
        <v>595</v>
      </c>
      <c r="AJ88" s="865" t="s">
        <v>596</v>
      </c>
      <c r="AK88" s="865" t="s">
        <v>597</v>
      </c>
      <c r="AL88" s="865" t="s">
        <v>598</v>
      </c>
      <c r="AM88" s="866">
        <v>2019.0</v>
      </c>
      <c r="AN88" s="867">
        <v>4435.193136</v>
      </c>
      <c r="AO88" s="867">
        <v>5374.371479</v>
      </c>
      <c r="AP88" s="868">
        <v>3643.223767</v>
      </c>
      <c r="AR88" s="869" t="s">
        <v>594</v>
      </c>
      <c r="AS88" s="865" t="s">
        <v>683</v>
      </c>
      <c r="AT88" s="865" t="s">
        <v>595</v>
      </c>
      <c r="AU88" s="865" t="s">
        <v>596</v>
      </c>
      <c r="AV88" s="865" t="s">
        <v>599</v>
      </c>
      <c r="AW88" s="865" t="s">
        <v>598</v>
      </c>
      <c r="AX88" s="866">
        <v>2019.0</v>
      </c>
      <c r="AY88" s="867">
        <v>1052.433397</v>
      </c>
      <c r="AZ88" s="867">
        <v>1872.342515</v>
      </c>
      <c r="BA88" s="868">
        <v>404.7053717</v>
      </c>
      <c r="BC88" s="869" t="s">
        <v>594</v>
      </c>
      <c r="BD88" s="865" t="s">
        <v>683</v>
      </c>
      <c r="BE88" s="865" t="s">
        <v>595</v>
      </c>
      <c r="BF88" s="865" t="s">
        <v>600</v>
      </c>
      <c r="BG88" s="865" t="s">
        <v>599</v>
      </c>
      <c r="BH88" s="865" t="s">
        <v>70</v>
      </c>
      <c r="BI88" s="866">
        <v>2019.0</v>
      </c>
      <c r="BJ88" s="867">
        <v>6444.055356</v>
      </c>
      <c r="BK88" s="867">
        <v>10903.84322</v>
      </c>
      <c r="BL88" s="868">
        <v>2764.674499</v>
      </c>
      <c r="BN88" s="869" t="s">
        <v>40</v>
      </c>
      <c r="BO88" s="865" t="s">
        <v>683</v>
      </c>
      <c r="BP88" s="865" t="s">
        <v>595</v>
      </c>
      <c r="BQ88" s="865" t="s">
        <v>600</v>
      </c>
      <c r="BR88" s="865" t="s">
        <v>599</v>
      </c>
      <c r="BS88" s="865" t="s">
        <v>598</v>
      </c>
      <c r="BT88" s="866">
        <v>2019.0</v>
      </c>
      <c r="BU88" s="867">
        <v>90370.23894</v>
      </c>
      <c r="BV88" s="867">
        <v>150243.9976</v>
      </c>
      <c r="BW88" s="868">
        <v>29622.56993</v>
      </c>
      <c r="CF88" s="882"/>
      <c r="CG88" s="882"/>
      <c r="CH88" s="882"/>
      <c r="CI88" s="530"/>
    </row>
    <row r="89">
      <c r="A89" s="857"/>
      <c r="B89" s="865" t="s">
        <v>605</v>
      </c>
      <c r="C89" s="865" t="s">
        <v>591</v>
      </c>
      <c r="D89" s="865" t="s">
        <v>674</v>
      </c>
      <c r="E89" s="866">
        <v>2019.0</v>
      </c>
      <c r="F89" s="865" t="s">
        <v>593</v>
      </c>
      <c r="G89" s="865" t="s">
        <v>70</v>
      </c>
      <c r="H89" s="867">
        <v>152687.7119</v>
      </c>
      <c r="I89" s="867">
        <v>170513.4087</v>
      </c>
      <c r="J89" s="868">
        <v>135372.9809</v>
      </c>
      <c r="K89" s="50"/>
      <c r="L89" s="869" t="s">
        <v>605</v>
      </c>
      <c r="M89" s="865" t="s">
        <v>591</v>
      </c>
      <c r="N89" s="865" t="s">
        <v>674</v>
      </c>
      <c r="O89" s="866">
        <v>2004.0</v>
      </c>
      <c r="P89" s="865" t="s">
        <v>593</v>
      </c>
      <c r="Q89" s="865" t="s">
        <v>70</v>
      </c>
      <c r="R89" s="867">
        <v>62265.99171</v>
      </c>
      <c r="S89" s="867">
        <v>67285.63166</v>
      </c>
      <c r="T89" s="868">
        <v>56997.01871</v>
      </c>
      <c r="V89" s="869" t="s">
        <v>594</v>
      </c>
      <c r="W89" s="865" t="s">
        <v>683</v>
      </c>
      <c r="X89" s="865" t="s">
        <v>595</v>
      </c>
      <c r="Y89" s="865" t="s">
        <v>602</v>
      </c>
      <c r="Z89" s="865" t="s">
        <v>597</v>
      </c>
      <c r="AA89" s="865" t="s">
        <v>70</v>
      </c>
      <c r="AB89" s="866">
        <v>2004.0</v>
      </c>
      <c r="AC89" s="867">
        <v>14674.51402</v>
      </c>
      <c r="AD89" s="867">
        <v>17171.83226</v>
      </c>
      <c r="AE89" s="868">
        <v>12490.91612</v>
      </c>
      <c r="AG89" s="869" t="s">
        <v>594</v>
      </c>
      <c r="AH89" s="865" t="s">
        <v>683</v>
      </c>
      <c r="AI89" s="865" t="s">
        <v>595</v>
      </c>
      <c r="AJ89" s="865" t="s">
        <v>602</v>
      </c>
      <c r="AK89" s="865" t="s">
        <v>597</v>
      </c>
      <c r="AL89" s="865" t="s">
        <v>598</v>
      </c>
      <c r="AM89" s="866">
        <v>2019.0</v>
      </c>
      <c r="AN89" s="867">
        <v>968.0116881</v>
      </c>
      <c r="AO89" s="867">
        <v>1176.821017</v>
      </c>
      <c r="AP89" s="868">
        <v>792.2333474</v>
      </c>
      <c r="AR89" s="869" t="s">
        <v>594</v>
      </c>
      <c r="AS89" s="865" t="s">
        <v>683</v>
      </c>
      <c r="AT89" s="865" t="s">
        <v>595</v>
      </c>
      <c r="AU89" s="865" t="s">
        <v>602</v>
      </c>
      <c r="AV89" s="865" t="s">
        <v>599</v>
      </c>
      <c r="AW89" s="865" t="s">
        <v>598</v>
      </c>
      <c r="AX89" s="866">
        <v>2019.0</v>
      </c>
      <c r="AY89" s="867">
        <v>381.9244516</v>
      </c>
      <c r="AZ89" s="867">
        <v>612.8234842</v>
      </c>
      <c r="BA89" s="868">
        <v>175.5587445</v>
      </c>
      <c r="BC89" s="869" t="s">
        <v>594</v>
      </c>
      <c r="BD89" s="865" t="s">
        <v>683</v>
      </c>
      <c r="BE89" s="865" t="s">
        <v>595</v>
      </c>
      <c r="BF89" s="865" t="s">
        <v>603</v>
      </c>
      <c r="BG89" s="865" t="s">
        <v>599</v>
      </c>
      <c r="BH89" s="865" t="s">
        <v>70</v>
      </c>
      <c r="BI89" s="866">
        <v>2019.0</v>
      </c>
      <c r="BJ89" s="867">
        <v>11717.20207</v>
      </c>
      <c r="BK89" s="867">
        <v>20600.74645</v>
      </c>
      <c r="BL89" s="868">
        <v>4661.926618</v>
      </c>
      <c r="BN89" s="869" t="s">
        <v>40</v>
      </c>
      <c r="BO89" s="865" t="s">
        <v>683</v>
      </c>
      <c r="BP89" s="865" t="s">
        <v>595</v>
      </c>
      <c r="BQ89" s="865" t="s">
        <v>604</v>
      </c>
      <c r="BR89" s="865" t="s">
        <v>599</v>
      </c>
      <c r="BS89" s="865" t="s">
        <v>598</v>
      </c>
      <c r="BT89" s="866">
        <v>2019.0</v>
      </c>
      <c r="BU89" s="867">
        <v>35829.51797</v>
      </c>
      <c r="BV89" s="867">
        <v>67861.97013</v>
      </c>
      <c r="BW89" s="868">
        <v>19084.83487</v>
      </c>
      <c r="CF89" s="882"/>
      <c r="CG89" s="882"/>
      <c r="CH89" s="882"/>
      <c r="CI89" s="530"/>
    </row>
    <row r="90">
      <c r="A90" s="857"/>
      <c r="B90" s="865" t="s">
        <v>605</v>
      </c>
      <c r="C90" s="865" t="s">
        <v>591</v>
      </c>
      <c r="D90" s="865" t="s">
        <v>676</v>
      </c>
      <c r="E90" s="866">
        <v>2019.0</v>
      </c>
      <c r="F90" s="865" t="s">
        <v>593</v>
      </c>
      <c r="G90" s="865" t="s">
        <v>70</v>
      </c>
      <c r="H90" s="867">
        <v>25554.98038</v>
      </c>
      <c r="I90" s="867">
        <v>28538.425</v>
      </c>
      <c r="J90" s="868">
        <v>22657.0549</v>
      </c>
      <c r="K90" s="50"/>
      <c r="L90" s="869" t="s">
        <v>605</v>
      </c>
      <c r="M90" s="865" t="s">
        <v>591</v>
      </c>
      <c r="N90" s="865" t="s">
        <v>676</v>
      </c>
      <c r="O90" s="866">
        <v>2004.0</v>
      </c>
      <c r="P90" s="865" t="s">
        <v>593</v>
      </c>
      <c r="Q90" s="865" t="s">
        <v>70</v>
      </c>
      <c r="R90" s="867">
        <v>12114.7826</v>
      </c>
      <c r="S90" s="867">
        <v>13091.42884</v>
      </c>
      <c r="T90" s="868">
        <v>11089.62488</v>
      </c>
      <c r="V90" s="869" t="s">
        <v>594</v>
      </c>
      <c r="W90" s="865" t="s">
        <v>685</v>
      </c>
      <c r="X90" s="865" t="s">
        <v>595</v>
      </c>
      <c r="Y90" s="865" t="s">
        <v>596</v>
      </c>
      <c r="Z90" s="865" t="s">
        <v>597</v>
      </c>
      <c r="AA90" s="865" t="s">
        <v>70</v>
      </c>
      <c r="AB90" s="866">
        <v>2004.0</v>
      </c>
      <c r="AC90" s="867">
        <v>28745.97711</v>
      </c>
      <c r="AD90" s="867">
        <v>34186.36098</v>
      </c>
      <c r="AE90" s="868">
        <v>23769.53564</v>
      </c>
      <c r="AG90" s="869" t="s">
        <v>594</v>
      </c>
      <c r="AH90" s="865" t="s">
        <v>685</v>
      </c>
      <c r="AI90" s="865" t="s">
        <v>595</v>
      </c>
      <c r="AJ90" s="865" t="s">
        <v>596</v>
      </c>
      <c r="AK90" s="865" t="s">
        <v>597</v>
      </c>
      <c r="AL90" s="865" t="s">
        <v>598</v>
      </c>
      <c r="AM90" s="866">
        <v>2019.0</v>
      </c>
      <c r="AN90" s="867">
        <v>3773.402537</v>
      </c>
      <c r="AO90" s="867">
        <v>4873.45931</v>
      </c>
      <c r="AP90" s="868">
        <v>2939.062459</v>
      </c>
      <c r="AR90" s="869" t="s">
        <v>594</v>
      </c>
      <c r="AS90" s="865" t="s">
        <v>685</v>
      </c>
      <c r="AT90" s="865" t="s">
        <v>595</v>
      </c>
      <c r="AU90" s="865" t="s">
        <v>596</v>
      </c>
      <c r="AV90" s="865" t="s">
        <v>599</v>
      </c>
      <c r="AW90" s="865" t="s">
        <v>598</v>
      </c>
      <c r="AX90" s="866">
        <v>2019.0</v>
      </c>
      <c r="AY90" s="867">
        <v>126.4101384</v>
      </c>
      <c r="AZ90" s="867">
        <v>329.3992922</v>
      </c>
      <c r="BA90" s="868">
        <v>37.26320782</v>
      </c>
      <c r="BC90" s="869" t="s">
        <v>594</v>
      </c>
      <c r="BD90" s="865" t="s">
        <v>685</v>
      </c>
      <c r="BE90" s="865" t="s">
        <v>595</v>
      </c>
      <c r="BF90" s="865" t="s">
        <v>600</v>
      </c>
      <c r="BG90" s="865" t="s">
        <v>599</v>
      </c>
      <c r="BH90" s="865" t="s">
        <v>70</v>
      </c>
      <c r="BI90" s="866">
        <v>2019.0</v>
      </c>
      <c r="BJ90" s="867">
        <v>2411.31267</v>
      </c>
      <c r="BK90" s="867">
        <v>6081.252368</v>
      </c>
      <c r="BL90" s="868">
        <v>728.0322357</v>
      </c>
      <c r="BN90" s="869" t="s">
        <v>40</v>
      </c>
      <c r="BO90" s="865" t="s">
        <v>685</v>
      </c>
      <c r="BP90" s="865" t="s">
        <v>595</v>
      </c>
      <c r="BQ90" s="865" t="s">
        <v>600</v>
      </c>
      <c r="BR90" s="865" t="s">
        <v>599</v>
      </c>
      <c r="BS90" s="865" t="s">
        <v>598</v>
      </c>
      <c r="BT90" s="866">
        <v>2019.0</v>
      </c>
      <c r="BU90" s="867">
        <v>23905.72187</v>
      </c>
      <c r="BV90" s="867">
        <v>55274.23378</v>
      </c>
      <c r="BW90" s="868">
        <v>6555.057725</v>
      </c>
      <c r="CF90" s="882"/>
      <c r="CG90" s="882"/>
      <c r="CH90" s="882"/>
      <c r="CI90" s="530"/>
    </row>
    <row r="91">
      <c r="A91" s="857"/>
      <c r="B91" s="865" t="s">
        <v>605</v>
      </c>
      <c r="C91" s="865" t="s">
        <v>591</v>
      </c>
      <c r="D91" s="865" t="s">
        <v>678</v>
      </c>
      <c r="E91" s="866">
        <v>2019.0</v>
      </c>
      <c r="F91" s="865" t="s">
        <v>593</v>
      </c>
      <c r="G91" s="865" t="s">
        <v>70</v>
      </c>
      <c r="H91" s="867">
        <v>1.592598495E8</v>
      </c>
      <c r="I91" s="867">
        <v>1.778528179E8</v>
      </c>
      <c r="J91" s="868">
        <v>1.411998405E8</v>
      </c>
      <c r="K91" s="50"/>
      <c r="L91" s="869" t="s">
        <v>605</v>
      </c>
      <c r="M91" s="865" t="s">
        <v>591</v>
      </c>
      <c r="N91" s="865" t="s">
        <v>678</v>
      </c>
      <c r="O91" s="866">
        <v>2004.0</v>
      </c>
      <c r="P91" s="865" t="s">
        <v>593</v>
      </c>
      <c r="Q91" s="865" t="s">
        <v>70</v>
      </c>
      <c r="R91" s="867">
        <v>1.34487778E8</v>
      </c>
      <c r="S91" s="867">
        <v>1.45329655E8</v>
      </c>
      <c r="T91" s="868">
        <v>1.231073687E8</v>
      </c>
      <c r="V91" s="869" t="s">
        <v>594</v>
      </c>
      <c r="W91" s="865" t="s">
        <v>685</v>
      </c>
      <c r="X91" s="865" t="s">
        <v>595</v>
      </c>
      <c r="Y91" s="865" t="s">
        <v>602</v>
      </c>
      <c r="Z91" s="865" t="s">
        <v>597</v>
      </c>
      <c r="AA91" s="865" t="s">
        <v>70</v>
      </c>
      <c r="AB91" s="866">
        <v>2004.0</v>
      </c>
      <c r="AC91" s="867">
        <v>29900.02558</v>
      </c>
      <c r="AD91" s="867">
        <v>35005.56473</v>
      </c>
      <c r="AE91" s="868">
        <v>25138.47784</v>
      </c>
      <c r="AG91" s="869" t="s">
        <v>594</v>
      </c>
      <c r="AH91" s="865" t="s">
        <v>685</v>
      </c>
      <c r="AI91" s="865" t="s">
        <v>595</v>
      </c>
      <c r="AJ91" s="865" t="s">
        <v>602</v>
      </c>
      <c r="AK91" s="865" t="s">
        <v>597</v>
      </c>
      <c r="AL91" s="865" t="s">
        <v>598</v>
      </c>
      <c r="AM91" s="866">
        <v>2019.0</v>
      </c>
      <c r="AN91" s="867">
        <v>866.8504266</v>
      </c>
      <c r="AO91" s="867">
        <v>1092.407921</v>
      </c>
      <c r="AP91" s="868">
        <v>688.5719796</v>
      </c>
      <c r="AR91" s="869" t="s">
        <v>594</v>
      </c>
      <c r="AS91" s="865" t="s">
        <v>685</v>
      </c>
      <c r="AT91" s="865" t="s">
        <v>595</v>
      </c>
      <c r="AU91" s="865" t="s">
        <v>602</v>
      </c>
      <c r="AV91" s="865" t="s">
        <v>599</v>
      </c>
      <c r="AW91" s="865" t="s">
        <v>598</v>
      </c>
      <c r="AX91" s="866">
        <v>2019.0</v>
      </c>
      <c r="AY91" s="867">
        <v>44.70477013</v>
      </c>
      <c r="AZ91" s="867">
        <v>114.4359496</v>
      </c>
      <c r="BA91" s="868">
        <v>13.41616395</v>
      </c>
      <c r="BC91" s="869" t="s">
        <v>594</v>
      </c>
      <c r="BD91" s="865" t="s">
        <v>685</v>
      </c>
      <c r="BE91" s="865" t="s">
        <v>595</v>
      </c>
      <c r="BF91" s="865" t="s">
        <v>603</v>
      </c>
      <c r="BG91" s="865" t="s">
        <v>599</v>
      </c>
      <c r="BH91" s="865" t="s">
        <v>70</v>
      </c>
      <c r="BI91" s="866">
        <v>2019.0</v>
      </c>
      <c r="BJ91" s="867">
        <v>3898.64856</v>
      </c>
      <c r="BK91" s="867">
        <v>10098.37097</v>
      </c>
      <c r="BL91" s="868">
        <v>1187.928033</v>
      </c>
      <c r="BN91" s="869" t="s">
        <v>40</v>
      </c>
      <c r="BO91" s="865" t="s">
        <v>685</v>
      </c>
      <c r="BP91" s="865" t="s">
        <v>595</v>
      </c>
      <c r="BQ91" s="865" t="s">
        <v>604</v>
      </c>
      <c r="BR91" s="865" t="s">
        <v>599</v>
      </c>
      <c r="BS91" s="865" t="s">
        <v>598</v>
      </c>
      <c r="BT91" s="866">
        <v>2019.0</v>
      </c>
      <c r="BU91" s="867">
        <v>11422.29724</v>
      </c>
      <c r="BV91" s="867">
        <v>19989.44364</v>
      </c>
      <c r="BW91" s="868">
        <v>5341.921043</v>
      </c>
      <c r="CF91" s="882"/>
      <c r="CG91" s="882"/>
      <c r="CH91" s="882"/>
      <c r="CI91" s="530"/>
    </row>
    <row r="92">
      <c r="A92" s="857"/>
      <c r="B92" s="865" t="s">
        <v>605</v>
      </c>
      <c r="C92" s="865" t="s">
        <v>591</v>
      </c>
      <c r="D92" s="865" t="s">
        <v>680</v>
      </c>
      <c r="E92" s="866">
        <v>2019.0</v>
      </c>
      <c r="F92" s="865" t="s">
        <v>593</v>
      </c>
      <c r="G92" s="865" t="s">
        <v>70</v>
      </c>
      <c r="H92" s="867">
        <v>2659503.3</v>
      </c>
      <c r="I92" s="867">
        <v>2945596.346</v>
      </c>
      <c r="J92" s="868">
        <v>2378521.712</v>
      </c>
      <c r="K92" s="50"/>
      <c r="L92" s="869" t="s">
        <v>605</v>
      </c>
      <c r="M92" s="865" t="s">
        <v>591</v>
      </c>
      <c r="N92" s="865" t="s">
        <v>680</v>
      </c>
      <c r="O92" s="866">
        <v>2004.0</v>
      </c>
      <c r="P92" s="865" t="s">
        <v>593</v>
      </c>
      <c r="Q92" s="865" t="s">
        <v>70</v>
      </c>
      <c r="R92" s="867">
        <v>3309193.563</v>
      </c>
      <c r="S92" s="867">
        <v>3480068.353</v>
      </c>
      <c r="T92" s="868">
        <v>3134252.136</v>
      </c>
      <c r="V92" s="869" t="s">
        <v>594</v>
      </c>
      <c r="W92" s="865" t="s">
        <v>687</v>
      </c>
      <c r="X92" s="865" t="s">
        <v>595</v>
      </c>
      <c r="Y92" s="865" t="s">
        <v>596</v>
      </c>
      <c r="Z92" s="865" t="s">
        <v>597</v>
      </c>
      <c r="AA92" s="865" t="s">
        <v>70</v>
      </c>
      <c r="AB92" s="866">
        <v>2004.0</v>
      </c>
      <c r="AC92" s="867">
        <v>35107.08647</v>
      </c>
      <c r="AD92" s="867">
        <v>44151.65805</v>
      </c>
      <c r="AE92" s="868">
        <v>27193.67135</v>
      </c>
      <c r="AG92" s="869" t="s">
        <v>594</v>
      </c>
      <c r="AH92" s="865" t="s">
        <v>687</v>
      </c>
      <c r="AI92" s="865" t="s">
        <v>595</v>
      </c>
      <c r="AJ92" s="865" t="s">
        <v>596</v>
      </c>
      <c r="AK92" s="865" t="s">
        <v>597</v>
      </c>
      <c r="AL92" s="865" t="s">
        <v>598</v>
      </c>
      <c r="AM92" s="866">
        <v>2019.0</v>
      </c>
      <c r="AN92" s="867">
        <v>1226.771218</v>
      </c>
      <c r="AO92" s="867">
        <v>1573.978608</v>
      </c>
      <c r="AP92" s="868">
        <v>966.1994386</v>
      </c>
      <c r="AR92" s="869" t="s">
        <v>594</v>
      </c>
      <c r="AS92" s="865" t="s">
        <v>687</v>
      </c>
      <c r="AT92" s="865" t="s">
        <v>595</v>
      </c>
      <c r="AU92" s="865" t="s">
        <v>596</v>
      </c>
      <c r="AV92" s="865" t="s">
        <v>599</v>
      </c>
      <c r="AW92" s="865" t="s">
        <v>598</v>
      </c>
      <c r="AX92" s="866">
        <v>2019.0</v>
      </c>
      <c r="AY92" s="867">
        <v>0.815129808</v>
      </c>
      <c r="AZ92" s="867">
        <v>7.234597214</v>
      </c>
      <c r="BA92" s="868">
        <v>0.015512384</v>
      </c>
      <c r="BC92" s="869" t="s">
        <v>594</v>
      </c>
      <c r="BD92" s="865" t="s">
        <v>687</v>
      </c>
      <c r="BE92" s="865" t="s">
        <v>595</v>
      </c>
      <c r="BF92" s="865" t="s">
        <v>600</v>
      </c>
      <c r="BG92" s="865" t="s">
        <v>599</v>
      </c>
      <c r="BH92" s="865" t="s">
        <v>70</v>
      </c>
      <c r="BI92" s="866">
        <v>2019.0</v>
      </c>
      <c r="BJ92" s="867">
        <v>38.78202759</v>
      </c>
      <c r="BK92" s="867">
        <v>320.9431656</v>
      </c>
      <c r="BL92" s="868">
        <v>0.791081605</v>
      </c>
      <c r="BN92" s="869" t="s">
        <v>40</v>
      </c>
      <c r="BO92" s="865" t="s">
        <v>687</v>
      </c>
      <c r="BP92" s="865" t="s">
        <v>595</v>
      </c>
      <c r="BQ92" s="865" t="s">
        <v>600</v>
      </c>
      <c r="BR92" s="865" t="s">
        <v>599</v>
      </c>
      <c r="BS92" s="865" t="s">
        <v>598</v>
      </c>
      <c r="BT92" s="866">
        <v>2019.0</v>
      </c>
      <c r="BU92" s="867">
        <v>237.5233624</v>
      </c>
      <c r="BV92" s="867">
        <v>1832.127392</v>
      </c>
      <c r="BW92" s="868">
        <v>2.624415958</v>
      </c>
      <c r="CF92" s="882"/>
      <c r="CG92" s="882"/>
      <c r="CH92" s="882"/>
      <c r="CI92" s="530"/>
    </row>
    <row r="93">
      <c r="A93" s="857"/>
      <c r="B93" s="865" t="s">
        <v>605</v>
      </c>
      <c r="C93" s="865" t="s">
        <v>591</v>
      </c>
      <c r="D93" s="865" t="s">
        <v>682</v>
      </c>
      <c r="E93" s="866">
        <v>2019.0</v>
      </c>
      <c r="F93" s="865" t="s">
        <v>593</v>
      </c>
      <c r="G93" s="865" t="s">
        <v>70</v>
      </c>
      <c r="H93" s="867">
        <v>51171.36562</v>
      </c>
      <c r="I93" s="867">
        <v>57145.42364</v>
      </c>
      <c r="J93" s="868">
        <v>45368.55137</v>
      </c>
      <c r="K93" s="50"/>
      <c r="L93" s="869" t="s">
        <v>605</v>
      </c>
      <c r="M93" s="865" t="s">
        <v>591</v>
      </c>
      <c r="N93" s="865" t="s">
        <v>682</v>
      </c>
      <c r="O93" s="866">
        <v>2004.0</v>
      </c>
      <c r="P93" s="865" t="s">
        <v>593</v>
      </c>
      <c r="Q93" s="865" t="s">
        <v>70</v>
      </c>
      <c r="R93" s="867">
        <v>64334.70943</v>
      </c>
      <c r="S93" s="867">
        <v>69521.12129</v>
      </c>
      <c r="T93" s="868">
        <v>58890.68072</v>
      </c>
      <c r="V93" s="869" t="s">
        <v>594</v>
      </c>
      <c r="W93" s="865" t="s">
        <v>687</v>
      </c>
      <c r="X93" s="865" t="s">
        <v>595</v>
      </c>
      <c r="Y93" s="865" t="s">
        <v>602</v>
      </c>
      <c r="Z93" s="865" t="s">
        <v>597</v>
      </c>
      <c r="AA93" s="865" t="s">
        <v>70</v>
      </c>
      <c r="AB93" s="866">
        <v>2004.0</v>
      </c>
      <c r="AC93" s="867">
        <v>17714.8689</v>
      </c>
      <c r="AD93" s="867">
        <v>22187.10434</v>
      </c>
      <c r="AE93" s="868">
        <v>13928.57098</v>
      </c>
      <c r="AG93" s="869" t="s">
        <v>594</v>
      </c>
      <c r="AH93" s="865" t="s">
        <v>687</v>
      </c>
      <c r="AI93" s="865" t="s">
        <v>595</v>
      </c>
      <c r="AJ93" s="865" t="s">
        <v>602</v>
      </c>
      <c r="AK93" s="865" t="s">
        <v>597</v>
      </c>
      <c r="AL93" s="865" t="s">
        <v>598</v>
      </c>
      <c r="AM93" s="866">
        <v>2019.0</v>
      </c>
      <c r="AN93" s="867">
        <v>136.5828493</v>
      </c>
      <c r="AO93" s="867">
        <v>178.1521781</v>
      </c>
      <c r="AP93" s="868">
        <v>107.5991076</v>
      </c>
      <c r="AR93" s="869" t="s">
        <v>594</v>
      </c>
      <c r="AS93" s="865" t="s">
        <v>687</v>
      </c>
      <c r="AT93" s="865" t="s">
        <v>595</v>
      </c>
      <c r="AU93" s="865" t="s">
        <v>602</v>
      </c>
      <c r="AV93" s="865" t="s">
        <v>599</v>
      </c>
      <c r="AW93" s="865" t="s">
        <v>598</v>
      </c>
      <c r="AX93" s="866">
        <v>2019.0</v>
      </c>
      <c r="AY93" s="867">
        <v>0.759978445</v>
      </c>
      <c r="AZ93" s="867">
        <v>6.407898576</v>
      </c>
      <c r="BA93" s="868">
        <v>0.014907926</v>
      </c>
      <c r="BC93" s="869" t="s">
        <v>594</v>
      </c>
      <c r="BD93" s="865" t="s">
        <v>687</v>
      </c>
      <c r="BE93" s="865" t="s">
        <v>595</v>
      </c>
      <c r="BF93" s="865" t="s">
        <v>603</v>
      </c>
      <c r="BG93" s="865" t="s">
        <v>599</v>
      </c>
      <c r="BH93" s="865" t="s">
        <v>70</v>
      </c>
      <c r="BI93" s="866">
        <v>2019.0</v>
      </c>
      <c r="BJ93" s="867">
        <v>463.6214901</v>
      </c>
      <c r="BK93" s="867">
        <v>3994.020606</v>
      </c>
      <c r="BL93" s="868">
        <v>9.920581897</v>
      </c>
      <c r="BN93" s="869" t="s">
        <v>40</v>
      </c>
      <c r="BO93" s="865" t="s">
        <v>687</v>
      </c>
      <c r="BP93" s="865" t="s">
        <v>595</v>
      </c>
      <c r="BQ93" s="865" t="s">
        <v>604</v>
      </c>
      <c r="BR93" s="865" t="s">
        <v>599</v>
      </c>
      <c r="BS93" s="865" t="s">
        <v>598</v>
      </c>
      <c r="BT93" s="866">
        <v>2019.0</v>
      </c>
      <c r="BU93" s="867">
        <v>229.0353473</v>
      </c>
      <c r="BV93" s="867">
        <v>1578.614492</v>
      </c>
      <c r="BW93" s="868">
        <v>5.341304638</v>
      </c>
      <c r="CF93" s="882"/>
      <c r="CG93" s="882"/>
      <c r="CH93" s="882"/>
      <c r="CI93" s="530"/>
    </row>
    <row r="94">
      <c r="A94" s="857"/>
      <c r="B94" s="865" t="s">
        <v>605</v>
      </c>
      <c r="C94" s="865" t="s">
        <v>591</v>
      </c>
      <c r="D94" s="865" t="s">
        <v>684</v>
      </c>
      <c r="E94" s="866">
        <v>2019.0</v>
      </c>
      <c r="F94" s="865" t="s">
        <v>593</v>
      </c>
      <c r="G94" s="865" t="s">
        <v>70</v>
      </c>
      <c r="H94" s="867">
        <v>151995.0299</v>
      </c>
      <c r="I94" s="867">
        <v>169739.8588</v>
      </c>
      <c r="J94" s="868">
        <v>134758.8488</v>
      </c>
      <c r="K94" s="50"/>
      <c r="L94" s="869" t="s">
        <v>605</v>
      </c>
      <c r="M94" s="865" t="s">
        <v>591</v>
      </c>
      <c r="N94" s="865" t="s">
        <v>684</v>
      </c>
      <c r="O94" s="866">
        <v>2004.0</v>
      </c>
      <c r="P94" s="865" t="s">
        <v>593</v>
      </c>
      <c r="Q94" s="865" t="s">
        <v>70</v>
      </c>
      <c r="R94" s="867">
        <v>189325.5852</v>
      </c>
      <c r="S94" s="867">
        <v>204588.2711</v>
      </c>
      <c r="T94" s="868">
        <v>173304.7788</v>
      </c>
      <c r="V94" s="869" t="s">
        <v>594</v>
      </c>
      <c r="W94" s="865" t="s">
        <v>122</v>
      </c>
      <c r="X94" s="865" t="s">
        <v>595</v>
      </c>
      <c r="Y94" s="865" t="s">
        <v>596</v>
      </c>
      <c r="Z94" s="865" t="s">
        <v>597</v>
      </c>
      <c r="AA94" s="865" t="s">
        <v>70</v>
      </c>
      <c r="AB94" s="866">
        <v>2004.0</v>
      </c>
      <c r="AC94" s="867">
        <v>16991.37388</v>
      </c>
      <c r="AD94" s="867">
        <v>19671.14576</v>
      </c>
      <c r="AE94" s="868">
        <v>14602.57807</v>
      </c>
      <c r="AG94" s="869" t="s">
        <v>594</v>
      </c>
      <c r="AH94" s="865" t="s">
        <v>122</v>
      </c>
      <c r="AI94" s="865" t="s">
        <v>595</v>
      </c>
      <c r="AJ94" s="865" t="s">
        <v>596</v>
      </c>
      <c r="AK94" s="865" t="s">
        <v>597</v>
      </c>
      <c r="AL94" s="865" t="s">
        <v>598</v>
      </c>
      <c r="AM94" s="866">
        <v>2019.0</v>
      </c>
      <c r="AN94" s="867">
        <v>3737.632371</v>
      </c>
      <c r="AO94" s="867">
        <v>4587.430005</v>
      </c>
      <c r="AP94" s="868">
        <v>3017.075229</v>
      </c>
      <c r="AR94" s="869" t="s">
        <v>594</v>
      </c>
      <c r="AS94" s="865" t="s">
        <v>122</v>
      </c>
      <c r="AT94" s="865" t="s">
        <v>595</v>
      </c>
      <c r="AU94" s="865" t="s">
        <v>596</v>
      </c>
      <c r="AV94" s="865" t="s">
        <v>599</v>
      </c>
      <c r="AW94" s="865" t="s">
        <v>598</v>
      </c>
      <c r="AX94" s="866">
        <v>2019.0</v>
      </c>
      <c r="AY94" s="867">
        <v>633.5822854</v>
      </c>
      <c r="AZ94" s="867">
        <v>1224.659918</v>
      </c>
      <c r="BA94" s="868">
        <v>200.2956967</v>
      </c>
      <c r="BC94" s="869" t="s">
        <v>594</v>
      </c>
      <c r="BD94" s="865" t="s">
        <v>122</v>
      </c>
      <c r="BE94" s="865" t="s">
        <v>595</v>
      </c>
      <c r="BF94" s="865" t="s">
        <v>600</v>
      </c>
      <c r="BG94" s="865" t="s">
        <v>599</v>
      </c>
      <c r="BH94" s="865" t="s">
        <v>70</v>
      </c>
      <c r="BI94" s="866">
        <v>2019.0</v>
      </c>
      <c r="BJ94" s="867">
        <v>4010.303592</v>
      </c>
      <c r="BK94" s="867">
        <v>7533.297468</v>
      </c>
      <c r="BL94" s="868">
        <v>1300.3658</v>
      </c>
      <c r="BN94" s="869" t="s">
        <v>40</v>
      </c>
      <c r="BO94" s="865" t="s">
        <v>122</v>
      </c>
      <c r="BP94" s="865" t="s">
        <v>595</v>
      </c>
      <c r="BQ94" s="865" t="s">
        <v>600</v>
      </c>
      <c r="BR94" s="865" t="s">
        <v>599</v>
      </c>
      <c r="BS94" s="865" t="s">
        <v>598</v>
      </c>
      <c r="BT94" s="866">
        <v>2019.0</v>
      </c>
      <c r="BU94" s="867">
        <v>58925.09826</v>
      </c>
      <c r="BV94" s="867">
        <v>108410.9667</v>
      </c>
      <c r="BW94" s="868">
        <v>25569.03108</v>
      </c>
      <c r="CF94" s="882"/>
      <c r="CG94" s="882"/>
      <c r="CH94" s="882"/>
      <c r="CI94" s="530"/>
    </row>
    <row r="95">
      <c r="A95" s="857"/>
      <c r="B95" s="865" t="s">
        <v>605</v>
      </c>
      <c r="C95" s="865" t="s">
        <v>591</v>
      </c>
      <c r="D95" s="865" t="s">
        <v>686</v>
      </c>
      <c r="E95" s="866">
        <v>2019.0</v>
      </c>
      <c r="F95" s="865" t="s">
        <v>593</v>
      </c>
      <c r="G95" s="865" t="s">
        <v>70</v>
      </c>
      <c r="H95" s="867">
        <v>203166.3955</v>
      </c>
      <c r="I95" s="867">
        <v>226885.2824</v>
      </c>
      <c r="J95" s="868">
        <v>180127.4002</v>
      </c>
      <c r="K95" s="50"/>
      <c r="L95" s="869" t="s">
        <v>605</v>
      </c>
      <c r="M95" s="865" t="s">
        <v>591</v>
      </c>
      <c r="N95" s="865" t="s">
        <v>686</v>
      </c>
      <c r="O95" s="866">
        <v>2004.0</v>
      </c>
      <c r="P95" s="865" t="s">
        <v>593</v>
      </c>
      <c r="Q95" s="865" t="s">
        <v>70</v>
      </c>
      <c r="R95" s="867">
        <v>253660.2946</v>
      </c>
      <c r="S95" s="867">
        <v>274109.3924</v>
      </c>
      <c r="T95" s="868">
        <v>232195.4596</v>
      </c>
      <c r="V95" s="869" t="s">
        <v>594</v>
      </c>
      <c r="W95" s="865" t="s">
        <v>122</v>
      </c>
      <c r="X95" s="865" t="s">
        <v>595</v>
      </c>
      <c r="Y95" s="865" t="s">
        <v>602</v>
      </c>
      <c r="Z95" s="865" t="s">
        <v>597</v>
      </c>
      <c r="AA95" s="865" t="s">
        <v>70</v>
      </c>
      <c r="AB95" s="866">
        <v>2004.0</v>
      </c>
      <c r="AC95" s="867">
        <v>15400.3613</v>
      </c>
      <c r="AD95" s="867">
        <v>17471.76179</v>
      </c>
      <c r="AE95" s="868">
        <v>13363.40679</v>
      </c>
      <c r="AG95" s="869" t="s">
        <v>594</v>
      </c>
      <c r="AH95" s="865" t="s">
        <v>122</v>
      </c>
      <c r="AI95" s="865" t="s">
        <v>595</v>
      </c>
      <c r="AJ95" s="865" t="s">
        <v>602</v>
      </c>
      <c r="AK95" s="865" t="s">
        <v>597</v>
      </c>
      <c r="AL95" s="865" t="s">
        <v>598</v>
      </c>
      <c r="AM95" s="866">
        <v>2019.0</v>
      </c>
      <c r="AN95" s="867">
        <v>801.9900907</v>
      </c>
      <c r="AO95" s="867">
        <v>970.2456865</v>
      </c>
      <c r="AP95" s="868">
        <v>658.485369</v>
      </c>
      <c r="AR95" s="869" t="s">
        <v>594</v>
      </c>
      <c r="AS95" s="865" t="s">
        <v>122</v>
      </c>
      <c r="AT95" s="865" t="s">
        <v>595</v>
      </c>
      <c r="AU95" s="865" t="s">
        <v>602</v>
      </c>
      <c r="AV95" s="865" t="s">
        <v>599</v>
      </c>
      <c r="AW95" s="865" t="s">
        <v>598</v>
      </c>
      <c r="AX95" s="866">
        <v>2019.0</v>
      </c>
      <c r="AY95" s="867">
        <v>150.1960967</v>
      </c>
      <c r="AZ95" s="867">
        <v>279.3512467</v>
      </c>
      <c r="BA95" s="868">
        <v>50.07635815</v>
      </c>
      <c r="BC95" s="869" t="s">
        <v>594</v>
      </c>
      <c r="BD95" s="865" t="s">
        <v>122</v>
      </c>
      <c r="BE95" s="865" t="s">
        <v>595</v>
      </c>
      <c r="BF95" s="865" t="s">
        <v>603</v>
      </c>
      <c r="BG95" s="865" t="s">
        <v>599</v>
      </c>
      <c r="BH95" s="865" t="s">
        <v>70</v>
      </c>
      <c r="BI95" s="866">
        <v>2019.0</v>
      </c>
      <c r="BJ95" s="867">
        <v>5109.313152</v>
      </c>
      <c r="BK95" s="867">
        <v>9807.307983</v>
      </c>
      <c r="BL95" s="868">
        <v>1660.724234</v>
      </c>
      <c r="BN95" s="869" t="s">
        <v>40</v>
      </c>
      <c r="BO95" s="865" t="s">
        <v>122</v>
      </c>
      <c r="BP95" s="865" t="s">
        <v>595</v>
      </c>
      <c r="BQ95" s="865" t="s">
        <v>604</v>
      </c>
      <c r="BR95" s="865" t="s">
        <v>599</v>
      </c>
      <c r="BS95" s="865" t="s">
        <v>598</v>
      </c>
      <c r="BT95" s="866">
        <v>2019.0</v>
      </c>
      <c r="BU95" s="867">
        <v>24977.74508</v>
      </c>
      <c r="BV95" s="867">
        <v>44732.50472</v>
      </c>
      <c r="BW95" s="868">
        <v>12396.69228</v>
      </c>
      <c r="CF95" s="882"/>
      <c r="CG95" s="882"/>
      <c r="CH95" s="882"/>
      <c r="CI95" s="530"/>
    </row>
    <row r="96">
      <c r="A96" s="857"/>
      <c r="B96" s="865" t="s">
        <v>605</v>
      </c>
      <c r="C96" s="865" t="s">
        <v>591</v>
      </c>
      <c r="D96" s="865" t="s">
        <v>688</v>
      </c>
      <c r="E96" s="866">
        <v>2019.0</v>
      </c>
      <c r="F96" s="865" t="s">
        <v>593</v>
      </c>
      <c r="G96" s="865" t="s">
        <v>70</v>
      </c>
      <c r="H96" s="867">
        <v>2431071.19</v>
      </c>
      <c r="I96" s="867">
        <v>2714889.301</v>
      </c>
      <c r="J96" s="868">
        <v>2155388.601</v>
      </c>
      <c r="K96" s="50"/>
      <c r="L96" s="869" t="s">
        <v>605</v>
      </c>
      <c r="M96" s="865" t="s">
        <v>591</v>
      </c>
      <c r="N96" s="865" t="s">
        <v>688</v>
      </c>
      <c r="O96" s="866">
        <v>2004.0</v>
      </c>
      <c r="P96" s="865" t="s">
        <v>593</v>
      </c>
      <c r="Q96" s="865" t="s">
        <v>70</v>
      </c>
      <c r="R96" s="867">
        <v>3009869.98</v>
      </c>
      <c r="S96" s="867">
        <v>3252513.889</v>
      </c>
      <c r="T96" s="868">
        <v>2755173.585</v>
      </c>
      <c r="V96" s="869" t="s">
        <v>594</v>
      </c>
      <c r="W96" s="865" t="s">
        <v>123</v>
      </c>
      <c r="X96" s="865" t="s">
        <v>595</v>
      </c>
      <c r="Y96" s="865" t="s">
        <v>596</v>
      </c>
      <c r="Z96" s="865" t="s">
        <v>597</v>
      </c>
      <c r="AA96" s="865" t="s">
        <v>70</v>
      </c>
      <c r="AB96" s="866">
        <v>2004.0</v>
      </c>
      <c r="AC96" s="867">
        <v>6165.307676</v>
      </c>
      <c r="AD96" s="867">
        <v>6876.546953</v>
      </c>
      <c r="AE96" s="868">
        <v>5490.602929</v>
      </c>
      <c r="AG96" s="869" t="s">
        <v>594</v>
      </c>
      <c r="AH96" s="865" t="s">
        <v>123</v>
      </c>
      <c r="AI96" s="865" t="s">
        <v>595</v>
      </c>
      <c r="AJ96" s="865" t="s">
        <v>596</v>
      </c>
      <c r="AK96" s="865" t="s">
        <v>597</v>
      </c>
      <c r="AL96" s="865" t="s">
        <v>598</v>
      </c>
      <c r="AM96" s="866">
        <v>2019.0</v>
      </c>
      <c r="AN96" s="867">
        <v>1755.863677</v>
      </c>
      <c r="AO96" s="867">
        <v>2169.21471</v>
      </c>
      <c r="AP96" s="868">
        <v>1425.250776</v>
      </c>
      <c r="AR96" s="869" t="s">
        <v>594</v>
      </c>
      <c r="AS96" s="865" t="s">
        <v>123</v>
      </c>
      <c r="AT96" s="865" t="s">
        <v>595</v>
      </c>
      <c r="AU96" s="865" t="s">
        <v>596</v>
      </c>
      <c r="AV96" s="865" t="s">
        <v>599</v>
      </c>
      <c r="AW96" s="865" t="s">
        <v>598</v>
      </c>
      <c r="AX96" s="866">
        <v>2019.0</v>
      </c>
      <c r="AY96" s="867">
        <v>273.9085238</v>
      </c>
      <c r="AZ96" s="867">
        <v>570.9331547</v>
      </c>
      <c r="BA96" s="868">
        <v>95.36327465</v>
      </c>
      <c r="BC96" s="869" t="s">
        <v>594</v>
      </c>
      <c r="BD96" s="865" t="s">
        <v>123</v>
      </c>
      <c r="BE96" s="865" t="s">
        <v>595</v>
      </c>
      <c r="BF96" s="865" t="s">
        <v>600</v>
      </c>
      <c r="BG96" s="865" t="s">
        <v>599</v>
      </c>
      <c r="BH96" s="865" t="s">
        <v>70</v>
      </c>
      <c r="BI96" s="866">
        <v>2019.0</v>
      </c>
      <c r="BJ96" s="867">
        <v>1880.407943</v>
      </c>
      <c r="BK96" s="867">
        <v>3868.638085</v>
      </c>
      <c r="BL96" s="868">
        <v>699.6353081</v>
      </c>
      <c r="BN96" s="869" t="s">
        <v>40</v>
      </c>
      <c r="BO96" s="865" t="s">
        <v>123</v>
      </c>
      <c r="BP96" s="865" t="s">
        <v>595</v>
      </c>
      <c r="BQ96" s="865" t="s">
        <v>600</v>
      </c>
      <c r="BR96" s="865" t="s">
        <v>599</v>
      </c>
      <c r="BS96" s="865" t="s">
        <v>598</v>
      </c>
      <c r="BT96" s="866">
        <v>2019.0</v>
      </c>
      <c r="BU96" s="867">
        <v>73532.86785</v>
      </c>
      <c r="BV96" s="867">
        <v>110640.5771</v>
      </c>
      <c r="BW96" s="868">
        <v>34825.38883</v>
      </c>
      <c r="CF96" s="882"/>
      <c r="CG96" s="882"/>
      <c r="CH96" s="882"/>
      <c r="CI96" s="530"/>
    </row>
    <row r="97">
      <c r="A97" s="857"/>
      <c r="B97" s="865" t="s">
        <v>605</v>
      </c>
      <c r="C97" s="865" t="s">
        <v>591</v>
      </c>
      <c r="D97" s="865" t="s">
        <v>689</v>
      </c>
      <c r="E97" s="866">
        <v>2019.0</v>
      </c>
      <c r="F97" s="865" t="s">
        <v>593</v>
      </c>
      <c r="G97" s="865" t="s">
        <v>70</v>
      </c>
      <c r="H97" s="867">
        <v>1.374591173E7</v>
      </c>
      <c r="I97" s="867">
        <v>1.535069349E7</v>
      </c>
      <c r="J97" s="868">
        <v>1.218713034E7</v>
      </c>
      <c r="K97" s="50"/>
      <c r="L97" s="869" t="s">
        <v>605</v>
      </c>
      <c r="M97" s="865" t="s">
        <v>591</v>
      </c>
      <c r="N97" s="865" t="s">
        <v>689</v>
      </c>
      <c r="O97" s="866">
        <v>2004.0</v>
      </c>
      <c r="P97" s="865" t="s">
        <v>593</v>
      </c>
      <c r="Q97" s="865" t="s">
        <v>70</v>
      </c>
      <c r="R97" s="867">
        <v>1.68616049E7</v>
      </c>
      <c r="S97" s="867">
        <v>1.822092133E7</v>
      </c>
      <c r="T97" s="868">
        <v>1.543476918E7</v>
      </c>
      <c r="V97" s="869" t="s">
        <v>594</v>
      </c>
      <c r="W97" s="865" t="s">
        <v>123</v>
      </c>
      <c r="X97" s="865" t="s">
        <v>595</v>
      </c>
      <c r="Y97" s="865" t="s">
        <v>602</v>
      </c>
      <c r="Z97" s="865" t="s">
        <v>597</v>
      </c>
      <c r="AA97" s="865" t="s">
        <v>70</v>
      </c>
      <c r="AB97" s="866">
        <v>2004.0</v>
      </c>
      <c r="AC97" s="867">
        <v>10042.54672</v>
      </c>
      <c r="AD97" s="867">
        <v>11896.82224</v>
      </c>
      <c r="AE97" s="868">
        <v>8407.44523</v>
      </c>
      <c r="AG97" s="869" t="s">
        <v>594</v>
      </c>
      <c r="AH97" s="865" t="s">
        <v>123</v>
      </c>
      <c r="AI97" s="865" t="s">
        <v>595</v>
      </c>
      <c r="AJ97" s="865" t="s">
        <v>602</v>
      </c>
      <c r="AK97" s="865" t="s">
        <v>597</v>
      </c>
      <c r="AL97" s="865" t="s">
        <v>598</v>
      </c>
      <c r="AM97" s="866">
        <v>2019.0</v>
      </c>
      <c r="AN97" s="867">
        <v>608.3757159</v>
      </c>
      <c r="AO97" s="867">
        <v>923.2324027</v>
      </c>
      <c r="AP97" s="868">
        <v>397.8833961</v>
      </c>
      <c r="AR97" s="869" t="s">
        <v>594</v>
      </c>
      <c r="AS97" s="865" t="s">
        <v>123</v>
      </c>
      <c r="AT97" s="865" t="s">
        <v>595</v>
      </c>
      <c r="AU97" s="865" t="s">
        <v>602</v>
      </c>
      <c r="AV97" s="865" t="s">
        <v>599</v>
      </c>
      <c r="AW97" s="865" t="s">
        <v>598</v>
      </c>
      <c r="AX97" s="866">
        <v>2019.0</v>
      </c>
      <c r="AY97" s="867">
        <v>137.8812522</v>
      </c>
      <c r="AZ97" s="867">
        <v>293.6598046</v>
      </c>
      <c r="BA97" s="868">
        <v>51.64770096</v>
      </c>
      <c r="BC97" s="869" t="s">
        <v>594</v>
      </c>
      <c r="BD97" s="865" t="s">
        <v>123</v>
      </c>
      <c r="BE97" s="865" t="s">
        <v>595</v>
      </c>
      <c r="BF97" s="865" t="s">
        <v>603</v>
      </c>
      <c r="BG97" s="865" t="s">
        <v>599</v>
      </c>
      <c r="BH97" s="865" t="s">
        <v>70</v>
      </c>
      <c r="BI97" s="866">
        <v>2019.0</v>
      </c>
      <c r="BJ97" s="867">
        <v>5436.187861</v>
      </c>
      <c r="BK97" s="867">
        <v>10610.3793</v>
      </c>
      <c r="BL97" s="868">
        <v>2047.920538</v>
      </c>
      <c r="BN97" s="869" t="s">
        <v>40</v>
      </c>
      <c r="BO97" s="865" t="s">
        <v>123</v>
      </c>
      <c r="BP97" s="865" t="s">
        <v>595</v>
      </c>
      <c r="BQ97" s="865" t="s">
        <v>604</v>
      </c>
      <c r="BR97" s="865" t="s">
        <v>599</v>
      </c>
      <c r="BS97" s="865" t="s">
        <v>598</v>
      </c>
      <c r="BT97" s="866">
        <v>2019.0</v>
      </c>
      <c r="BU97" s="867">
        <v>30845.0741</v>
      </c>
      <c r="BV97" s="867">
        <v>64375.47476</v>
      </c>
      <c r="BW97" s="868">
        <v>16311.00986</v>
      </c>
      <c r="CF97" s="882"/>
      <c r="CG97" s="882"/>
      <c r="CH97" s="882"/>
      <c r="CI97" s="530"/>
    </row>
    <row r="98">
      <c r="A98" s="857"/>
      <c r="B98" s="865" t="s">
        <v>607</v>
      </c>
      <c r="C98" s="865" t="s">
        <v>591</v>
      </c>
      <c r="D98" s="865" t="s">
        <v>592</v>
      </c>
      <c r="E98" s="866">
        <v>2019.0</v>
      </c>
      <c r="F98" s="865" t="s">
        <v>593</v>
      </c>
      <c r="G98" s="865" t="s">
        <v>70</v>
      </c>
      <c r="H98" s="867">
        <v>478082.234</v>
      </c>
      <c r="I98" s="867">
        <v>527810.2145</v>
      </c>
      <c r="J98" s="868">
        <v>427167.9065</v>
      </c>
      <c r="K98" s="50"/>
      <c r="L98" s="869" t="s">
        <v>607</v>
      </c>
      <c r="M98" s="865" t="s">
        <v>591</v>
      </c>
      <c r="N98" s="865" t="s">
        <v>592</v>
      </c>
      <c r="O98" s="866">
        <v>2004.0</v>
      </c>
      <c r="P98" s="865" t="s">
        <v>593</v>
      </c>
      <c r="Q98" s="865" t="s">
        <v>70</v>
      </c>
      <c r="R98" s="867">
        <v>326977.2519</v>
      </c>
      <c r="S98" s="867">
        <v>353224.4659</v>
      </c>
      <c r="T98" s="868">
        <v>301281.8079</v>
      </c>
      <c r="V98" s="869" t="s">
        <v>594</v>
      </c>
      <c r="W98" s="865" t="s">
        <v>124</v>
      </c>
      <c r="X98" s="865" t="s">
        <v>595</v>
      </c>
      <c r="Y98" s="865" t="s">
        <v>596</v>
      </c>
      <c r="Z98" s="865" t="s">
        <v>597</v>
      </c>
      <c r="AA98" s="865" t="s">
        <v>70</v>
      </c>
      <c r="AB98" s="866">
        <v>2004.0</v>
      </c>
      <c r="AC98" s="867">
        <v>53991.51329</v>
      </c>
      <c r="AD98" s="867">
        <v>60149.99872</v>
      </c>
      <c r="AE98" s="868">
        <v>47932.24249</v>
      </c>
      <c r="AG98" s="869" t="s">
        <v>594</v>
      </c>
      <c r="AH98" s="865" t="s">
        <v>124</v>
      </c>
      <c r="AI98" s="865" t="s">
        <v>595</v>
      </c>
      <c r="AJ98" s="865" t="s">
        <v>596</v>
      </c>
      <c r="AK98" s="865" t="s">
        <v>597</v>
      </c>
      <c r="AL98" s="865" t="s">
        <v>598</v>
      </c>
      <c r="AM98" s="866">
        <v>2019.0</v>
      </c>
      <c r="AN98" s="867">
        <v>1808.548184</v>
      </c>
      <c r="AO98" s="867">
        <v>2219.783053</v>
      </c>
      <c r="AP98" s="868">
        <v>1479.631604</v>
      </c>
      <c r="AR98" s="869" t="s">
        <v>594</v>
      </c>
      <c r="AS98" s="865" t="s">
        <v>124</v>
      </c>
      <c r="AT98" s="865" t="s">
        <v>595</v>
      </c>
      <c r="AU98" s="865" t="s">
        <v>596</v>
      </c>
      <c r="AV98" s="865" t="s">
        <v>599</v>
      </c>
      <c r="AW98" s="865" t="s">
        <v>598</v>
      </c>
      <c r="AX98" s="866">
        <v>2019.0</v>
      </c>
      <c r="AY98" s="867">
        <v>535.9722374</v>
      </c>
      <c r="AZ98" s="867">
        <v>955.0600641</v>
      </c>
      <c r="BA98" s="868">
        <v>207.3886283</v>
      </c>
      <c r="BC98" s="869" t="s">
        <v>594</v>
      </c>
      <c r="BD98" s="865" t="s">
        <v>124</v>
      </c>
      <c r="BE98" s="865" t="s">
        <v>595</v>
      </c>
      <c r="BF98" s="865" t="s">
        <v>600</v>
      </c>
      <c r="BG98" s="865" t="s">
        <v>599</v>
      </c>
      <c r="BH98" s="865" t="s">
        <v>70</v>
      </c>
      <c r="BI98" s="866">
        <v>2019.0</v>
      </c>
      <c r="BJ98" s="867">
        <v>17385.76538</v>
      </c>
      <c r="BK98" s="867">
        <v>31046.64987</v>
      </c>
      <c r="BL98" s="868">
        <v>6561.05223</v>
      </c>
      <c r="BN98" s="869" t="s">
        <v>40</v>
      </c>
      <c r="BO98" s="865" t="s">
        <v>124</v>
      </c>
      <c r="BP98" s="865" t="s">
        <v>595</v>
      </c>
      <c r="BQ98" s="865" t="s">
        <v>600</v>
      </c>
      <c r="BR98" s="865" t="s">
        <v>599</v>
      </c>
      <c r="BS98" s="865" t="s">
        <v>598</v>
      </c>
      <c r="BT98" s="866">
        <v>2019.0</v>
      </c>
      <c r="BU98" s="867">
        <v>65525.52366</v>
      </c>
      <c r="BV98" s="867">
        <v>104075.8295</v>
      </c>
      <c r="BW98" s="868">
        <v>26715.47411</v>
      </c>
      <c r="CF98" s="882"/>
      <c r="CG98" s="882"/>
      <c r="CH98" s="882"/>
      <c r="CI98" s="530"/>
    </row>
    <row r="99">
      <c r="A99" s="857"/>
      <c r="B99" s="865" t="s">
        <v>607</v>
      </c>
      <c r="C99" s="865" t="s">
        <v>591</v>
      </c>
      <c r="D99" s="865" t="s">
        <v>601</v>
      </c>
      <c r="E99" s="866">
        <v>2019.0</v>
      </c>
      <c r="F99" s="865" t="s">
        <v>593</v>
      </c>
      <c r="G99" s="865" t="s">
        <v>70</v>
      </c>
      <c r="H99" s="867">
        <v>7102474.642</v>
      </c>
      <c r="I99" s="867">
        <v>7841242.36</v>
      </c>
      <c r="J99" s="868">
        <v>6346082.344</v>
      </c>
      <c r="K99" s="50"/>
      <c r="L99" s="869" t="s">
        <v>607</v>
      </c>
      <c r="M99" s="865" t="s">
        <v>591</v>
      </c>
      <c r="N99" s="865" t="s">
        <v>601</v>
      </c>
      <c r="O99" s="866">
        <v>2004.0</v>
      </c>
      <c r="P99" s="865" t="s">
        <v>593</v>
      </c>
      <c r="Q99" s="865" t="s">
        <v>70</v>
      </c>
      <c r="R99" s="867">
        <v>4436449.022</v>
      </c>
      <c r="S99" s="867">
        <v>4792572.962</v>
      </c>
      <c r="T99" s="868">
        <v>4087811.536</v>
      </c>
      <c r="V99" s="869" t="s">
        <v>594</v>
      </c>
      <c r="W99" s="865" t="s">
        <v>124</v>
      </c>
      <c r="X99" s="865" t="s">
        <v>595</v>
      </c>
      <c r="Y99" s="865" t="s">
        <v>602</v>
      </c>
      <c r="Z99" s="865" t="s">
        <v>597</v>
      </c>
      <c r="AA99" s="865" t="s">
        <v>70</v>
      </c>
      <c r="AB99" s="866">
        <v>2004.0</v>
      </c>
      <c r="AC99" s="867">
        <v>55808.90157</v>
      </c>
      <c r="AD99" s="867">
        <v>62599.96997</v>
      </c>
      <c r="AE99" s="868">
        <v>49696.3512</v>
      </c>
      <c r="AG99" s="869" t="s">
        <v>594</v>
      </c>
      <c r="AH99" s="865" t="s">
        <v>124</v>
      </c>
      <c r="AI99" s="865" t="s">
        <v>595</v>
      </c>
      <c r="AJ99" s="865" t="s">
        <v>602</v>
      </c>
      <c r="AK99" s="865" t="s">
        <v>597</v>
      </c>
      <c r="AL99" s="865" t="s">
        <v>598</v>
      </c>
      <c r="AM99" s="866">
        <v>2019.0</v>
      </c>
      <c r="AN99" s="867">
        <v>462.0765631</v>
      </c>
      <c r="AO99" s="867">
        <v>566.5931554</v>
      </c>
      <c r="AP99" s="868">
        <v>380.1856995</v>
      </c>
      <c r="AR99" s="869" t="s">
        <v>594</v>
      </c>
      <c r="AS99" s="865" t="s">
        <v>124</v>
      </c>
      <c r="AT99" s="865" t="s">
        <v>595</v>
      </c>
      <c r="AU99" s="865" t="s">
        <v>602</v>
      </c>
      <c r="AV99" s="865" t="s">
        <v>599</v>
      </c>
      <c r="AW99" s="865" t="s">
        <v>598</v>
      </c>
      <c r="AX99" s="866">
        <v>2019.0</v>
      </c>
      <c r="AY99" s="867">
        <v>160.1204666</v>
      </c>
      <c r="AZ99" s="867">
        <v>278.7066273</v>
      </c>
      <c r="BA99" s="868">
        <v>62.41016606</v>
      </c>
      <c r="BC99" s="869" t="s">
        <v>594</v>
      </c>
      <c r="BD99" s="865" t="s">
        <v>124</v>
      </c>
      <c r="BE99" s="865" t="s">
        <v>595</v>
      </c>
      <c r="BF99" s="865" t="s">
        <v>603</v>
      </c>
      <c r="BG99" s="865" t="s">
        <v>599</v>
      </c>
      <c r="BH99" s="865" t="s">
        <v>70</v>
      </c>
      <c r="BI99" s="866">
        <v>2019.0</v>
      </c>
      <c r="BJ99" s="867">
        <v>22586.59252</v>
      </c>
      <c r="BK99" s="867">
        <v>43010.42929</v>
      </c>
      <c r="BL99" s="868">
        <v>7949.356867</v>
      </c>
      <c r="BN99" s="869" t="s">
        <v>40</v>
      </c>
      <c r="BO99" s="865" t="s">
        <v>124</v>
      </c>
      <c r="BP99" s="865" t="s">
        <v>595</v>
      </c>
      <c r="BQ99" s="865" t="s">
        <v>604</v>
      </c>
      <c r="BR99" s="865" t="s">
        <v>599</v>
      </c>
      <c r="BS99" s="865" t="s">
        <v>598</v>
      </c>
      <c r="BT99" s="866">
        <v>2019.0</v>
      </c>
      <c r="BU99" s="867">
        <v>27394.99883</v>
      </c>
      <c r="BV99" s="867">
        <v>55512.53985</v>
      </c>
      <c r="BW99" s="868">
        <v>13774.02072</v>
      </c>
      <c r="CF99" s="882"/>
      <c r="CG99" s="882"/>
      <c r="CH99" s="882"/>
      <c r="CI99" s="530"/>
    </row>
    <row r="100">
      <c r="A100" s="857"/>
      <c r="B100" s="865" t="s">
        <v>607</v>
      </c>
      <c r="C100" s="865" t="s">
        <v>591</v>
      </c>
      <c r="D100" s="865" t="s">
        <v>606</v>
      </c>
      <c r="E100" s="866">
        <v>2019.0</v>
      </c>
      <c r="F100" s="865" t="s">
        <v>593</v>
      </c>
      <c r="G100" s="865" t="s">
        <v>70</v>
      </c>
      <c r="H100" s="867">
        <v>5761683.493</v>
      </c>
      <c r="I100" s="867">
        <v>6360988.1</v>
      </c>
      <c r="J100" s="868">
        <v>5148081.441</v>
      </c>
      <c r="K100" s="50"/>
      <c r="L100" s="869" t="s">
        <v>607</v>
      </c>
      <c r="M100" s="865" t="s">
        <v>591</v>
      </c>
      <c r="N100" s="865" t="s">
        <v>606</v>
      </c>
      <c r="O100" s="866">
        <v>2004.0</v>
      </c>
      <c r="P100" s="865" t="s">
        <v>593</v>
      </c>
      <c r="Q100" s="865" t="s">
        <v>70</v>
      </c>
      <c r="R100" s="867">
        <v>3664053.434</v>
      </c>
      <c r="S100" s="867">
        <v>3958175.408</v>
      </c>
      <c r="T100" s="868">
        <v>3376114.505</v>
      </c>
      <c r="V100" s="869" t="s">
        <v>594</v>
      </c>
      <c r="W100" s="871" t="s">
        <v>690</v>
      </c>
      <c r="X100" s="865" t="s">
        <v>595</v>
      </c>
      <c r="Y100" s="865" t="s">
        <v>596</v>
      </c>
      <c r="Z100" s="865" t="s">
        <v>597</v>
      </c>
      <c r="AA100" s="865" t="s">
        <v>70</v>
      </c>
      <c r="AB100" s="866">
        <v>2004.0</v>
      </c>
      <c r="AC100" s="867">
        <v>60896.99003</v>
      </c>
      <c r="AD100" s="867">
        <v>69117.87582</v>
      </c>
      <c r="AE100" s="868">
        <v>52786.2082</v>
      </c>
      <c r="AG100" s="869" t="s">
        <v>594</v>
      </c>
      <c r="AH100" s="871" t="s">
        <v>690</v>
      </c>
      <c r="AI100" s="865" t="s">
        <v>595</v>
      </c>
      <c r="AJ100" s="865" t="s">
        <v>596</v>
      </c>
      <c r="AK100" s="865" t="s">
        <v>597</v>
      </c>
      <c r="AL100" s="865" t="s">
        <v>598</v>
      </c>
      <c r="AM100" s="866">
        <v>2019.0</v>
      </c>
      <c r="AN100" s="867">
        <v>1884.256791</v>
      </c>
      <c r="AO100" s="867">
        <v>2395.002791</v>
      </c>
      <c r="AP100" s="868">
        <v>1489.530523</v>
      </c>
      <c r="AR100" s="869" t="s">
        <v>594</v>
      </c>
      <c r="AS100" s="871" t="s">
        <v>690</v>
      </c>
      <c r="AT100" s="865" t="s">
        <v>595</v>
      </c>
      <c r="AU100" s="865" t="s">
        <v>596</v>
      </c>
      <c r="AV100" s="865" t="s">
        <v>599</v>
      </c>
      <c r="AW100" s="865" t="s">
        <v>598</v>
      </c>
      <c r="AX100" s="866">
        <v>2019.0</v>
      </c>
      <c r="AY100" s="867">
        <v>317.2866094</v>
      </c>
      <c r="AZ100" s="867">
        <v>634.2954703</v>
      </c>
      <c r="BA100" s="868">
        <v>120.6366183</v>
      </c>
      <c r="BC100" s="869" t="s">
        <v>594</v>
      </c>
      <c r="BD100" s="871" t="s">
        <v>690</v>
      </c>
      <c r="BE100" s="865" t="s">
        <v>595</v>
      </c>
      <c r="BF100" s="865" t="s">
        <v>600</v>
      </c>
      <c r="BG100" s="865" t="s">
        <v>599</v>
      </c>
      <c r="BH100" s="865" t="s">
        <v>70</v>
      </c>
      <c r="BI100" s="866">
        <v>2019.0</v>
      </c>
      <c r="BJ100" s="867">
        <v>13364.33896</v>
      </c>
      <c r="BK100" s="867">
        <v>26134.23366</v>
      </c>
      <c r="BL100" s="868">
        <v>5316.485692</v>
      </c>
      <c r="BN100" s="869" t="s">
        <v>40</v>
      </c>
      <c r="BO100" s="875" t="s">
        <v>690</v>
      </c>
      <c r="BP100" s="865" t="s">
        <v>595</v>
      </c>
      <c r="BQ100" s="865" t="s">
        <v>600</v>
      </c>
      <c r="BR100" s="865" t="s">
        <v>599</v>
      </c>
      <c r="BS100" s="865" t="s">
        <v>598</v>
      </c>
      <c r="BT100" s="866">
        <v>2019.0</v>
      </c>
      <c r="BU100" s="867">
        <v>25693.5706</v>
      </c>
      <c r="BV100" s="867">
        <v>43495.01132</v>
      </c>
      <c r="BW100" s="868">
        <v>11094.89724</v>
      </c>
      <c r="CF100" s="882"/>
      <c r="CG100" s="882"/>
      <c r="CH100" s="882"/>
      <c r="CI100" s="530"/>
    </row>
    <row r="101">
      <c r="A101" s="857"/>
      <c r="B101" s="865" t="s">
        <v>607</v>
      </c>
      <c r="C101" s="865" t="s">
        <v>591</v>
      </c>
      <c r="D101" s="865" t="s">
        <v>608</v>
      </c>
      <c r="E101" s="866">
        <v>2019.0</v>
      </c>
      <c r="F101" s="865" t="s">
        <v>593</v>
      </c>
      <c r="G101" s="865" t="s">
        <v>70</v>
      </c>
      <c r="H101" s="867">
        <v>1749972.224</v>
      </c>
      <c r="I101" s="867">
        <v>1931996.525</v>
      </c>
      <c r="J101" s="868">
        <v>1563605.418</v>
      </c>
      <c r="K101" s="50"/>
      <c r="L101" s="869" t="s">
        <v>607</v>
      </c>
      <c r="M101" s="865" t="s">
        <v>591</v>
      </c>
      <c r="N101" s="865" t="s">
        <v>608</v>
      </c>
      <c r="O101" s="866">
        <v>2004.0</v>
      </c>
      <c r="P101" s="865" t="s">
        <v>593</v>
      </c>
      <c r="Q101" s="865" t="s">
        <v>70</v>
      </c>
      <c r="R101" s="867">
        <v>1136426.38</v>
      </c>
      <c r="S101" s="867">
        <v>1227649.932</v>
      </c>
      <c r="T101" s="868">
        <v>1047120.533</v>
      </c>
      <c r="V101" s="869" t="s">
        <v>594</v>
      </c>
      <c r="W101" s="871" t="s">
        <v>690</v>
      </c>
      <c r="X101" s="865" t="s">
        <v>595</v>
      </c>
      <c r="Y101" s="865" t="s">
        <v>602</v>
      </c>
      <c r="Z101" s="865" t="s">
        <v>597</v>
      </c>
      <c r="AA101" s="865" t="s">
        <v>70</v>
      </c>
      <c r="AB101" s="866">
        <v>2004.0</v>
      </c>
      <c r="AC101" s="867">
        <v>56360.7235</v>
      </c>
      <c r="AD101" s="867">
        <v>61936.51804</v>
      </c>
      <c r="AE101" s="868">
        <v>50975.87859</v>
      </c>
      <c r="AG101" s="869" t="s">
        <v>594</v>
      </c>
      <c r="AH101" s="871" t="s">
        <v>690</v>
      </c>
      <c r="AI101" s="865" t="s">
        <v>595</v>
      </c>
      <c r="AJ101" s="865" t="s">
        <v>602</v>
      </c>
      <c r="AK101" s="865" t="s">
        <v>597</v>
      </c>
      <c r="AL101" s="865" t="s">
        <v>598</v>
      </c>
      <c r="AM101" s="866">
        <v>2019.0</v>
      </c>
      <c r="AN101" s="867">
        <v>458.2400104</v>
      </c>
      <c r="AO101" s="867">
        <v>578.962632</v>
      </c>
      <c r="AP101" s="868">
        <v>366.8842901</v>
      </c>
      <c r="AR101" s="869" t="s">
        <v>594</v>
      </c>
      <c r="AS101" s="871" t="s">
        <v>690</v>
      </c>
      <c r="AT101" s="865" t="s">
        <v>595</v>
      </c>
      <c r="AU101" s="865" t="s">
        <v>602</v>
      </c>
      <c r="AV101" s="865" t="s">
        <v>599</v>
      </c>
      <c r="AW101" s="865" t="s">
        <v>598</v>
      </c>
      <c r="AX101" s="866">
        <v>2019.0</v>
      </c>
      <c r="AY101" s="867">
        <v>95.45494847</v>
      </c>
      <c r="AZ101" s="867">
        <v>181.4235104</v>
      </c>
      <c r="BA101" s="868">
        <v>37.25765947</v>
      </c>
      <c r="BC101" s="869" t="s">
        <v>594</v>
      </c>
      <c r="BD101" s="871" t="s">
        <v>690</v>
      </c>
      <c r="BE101" s="865" t="s">
        <v>595</v>
      </c>
      <c r="BF101" s="865" t="s">
        <v>603</v>
      </c>
      <c r="BG101" s="865" t="s">
        <v>599</v>
      </c>
      <c r="BH101" s="865" t="s">
        <v>70</v>
      </c>
      <c r="BI101" s="866">
        <v>2019.0</v>
      </c>
      <c r="BJ101" s="867">
        <v>17014.47026</v>
      </c>
      <c r="BK101" s="867">
        <v>34398.15158</v>
      </c>
      <c r="BL101" s="868">
        <v>6549.717553</v>
      </c>
      <c r="BN101" s="869" t="s">
        <v>40</v>
      </c>
      <c r="BO101" s="875" t="s">
        <v>690</v>
      </c>
      <c r="BP101" s="865" t="s">
        <v>595</v>
      </c>
      <c r="BQ101" s="865" t="s">
        <v>604</v>
      </c>
      <c r="BR101" s="865" t="s">
        <v>599</v>
      </c>
      <c r="BS101" s="865" t="s">
        <v>598</v>
      </c>
      <c r="BT101" s="866">
        <v>2019.0</v>
      </c>
      <c r="BU101" s="867">
        <v>12269.61914</v>
      </c>
      <c r="BV101" s="867">
        <v>19807.53277</v>
      </c>
      <c r="BW101" s="868">
        <v>7566.097902</v>
      </c>
      <c r="CF101" s="882"/>
      <c r="CG101" s="882"/>
      <c r="CH101" s="882"/>
      <c r="CI101" s="530"/>
    </row>
    <row r="102">
      <c r="A102" s="857"/>
      <c r="B102" s="865" t="s">
        <v>607</v>
      </c>
      <c r="C102" s="865" t="s">
        <v>591</v>
      </c>
      <c r="D102" s="865" t="s">
        <v>610</v>
      </c>
      <c r="E102" s="866">
        <v>2019.0</v>
      </c>
      <c r="F102" s="865" t="s">
        <v>593</v>
      </c>
      <c r="G102" s="865" t="s">
        <v>70</v>
      </c>
      <c r="H102" s="867">
        <v>1606186.224</v>
      </c>
      <c r="I102" s="867">
        <v>1773254.547</v>
      </c>
      <c r="J102" s="868">
        <v>1435132.197</v>
      </c>
      <c r="K102" s="50"/>
      <c r="L102" s="869" t="s">
        <v>607</v>
      </c>
      <c r="M102" s="865" t="s">
        <v>591</v>
      </c>
      <c r="N102" s="865" t="s">
        <v>610</v>
      </c>
      <c r="O102" s="866">
        <v>2004.0</v>
      </c>
      <c r="P102" s="865" t="s">
        <v>593</v>
      </c>
      <c r="Q102" s="865" t="s">
        <v>70</v>
      </c>
      <c r="R102" s="867">
        <v>984501.173</v>
      </c>
      <c r="S102" s="867">
        <v>1063529.341</v>
      </c>
      <c r="T102" s="868">
        <v>907134.3392</v>
      </c>
      <c r="V102" s="869" t="s">
        <v>594</v>
      </c>
      <c r="W102" s="865" t="s">
        <v>691</v>
      </c>
      <c r="X102" s="865" t="s">
        <v>595</v>
      </c>
      <c r="Y102" s="865" t="s">
        <v>596</v>
      </c>
      <c r="Z102" s="865" t="s">
        <v>597</v>
      </c>
      <c r="AA102" s="865" t="s">
        <v>70</v>
      </c>
      <c r="AB102" s="866">
        <v>2004.0</v>
      </c>
      <c r="AC102" s="867">
        <v>19964.17015</v>
      </c>
      <c r="AD102" s="867">
        <v>23256.09433</v>
      </c>
      <c r="AE102" s="868">
        <v>17309.94909</v>
      </c>
      <c r="AG102" s="869" t="s">
        <v>594</v>
      </c>
      <c r="AH102" s="865" t="s">
        <v>691</v>
      </c>
      <c r="AI102" s="865" t="s">
        <v>595</v>
      </c>
      <c r="AJ102" s="865" t="s">
        <v>596</v>
      </c>
      <c r="AK102" s="865" t="s">
        <v>597</v>
      </c>
      <c r="AL102" s="865" t="s">
        <v>598</v>
      </c>
      <c r="AM102" s="866">
        <v>2019.0</v>
      </c>
      <c r="AN102" s="867">
        <v>1695.148182</v>
      </c>
      <c r="AO102" s="867">
        <v>2225.348479</v>
      </c>
      <c r="AP102" s="868">
        <v>1298.666754</v>
      </c>
      <c r="AR102" s="869" t="s">
        <v>594</v>
      </c>
      <c r="AS102" s="865" t="s">
        <v>691</v>
      </c>
      <c r="AT102" s="865" t="s">
        <v>595</v>
      </c>
      <c r="AU102" s="865" t="s">
        <v>596</v>
      </c>
      <c r="AV102" s="865" t="s">
        <v>599</v>
      </c>
      <c r="AW102" s="865" t="s">
        <v>598</v>
      </c>
      <c r="AX102" s="866">
        <v>2019.0</v>
      </c>
      <c r="AY102" s="867">
        <v>167.1709608</v>
      </c>
      <c r="AZ102" s="867">
        <v>375.0842911</v>
      </c>
      <c r="BA102" s="868">
        <v>49.04527445</v>
      </c>
      <c r="BC102" s="869" t="s">
        <v>594</v>
      </c>
      <c r="BD102" s="865" t="s">
        <v>691</v>
      </c>
      <c r="BE102" s="865" t="s">
        <v>595</v>
      </c>
      <c r="BF102" s="865" t="s">
        <v>600</v>
      </c>
      <c r="BG102" s="865" t="s">
        <v>599</v>
      </c>
      <c r="BH102" s="865" t="s">
        <v>70</v>
      </c>
      <c r="BI102" s="866">
        <v>2019.0</v>
      </c>
      <c r="BJ102" s="867">
        <v>2495.908798</v>
      </c>
      <c r="BK102" s="867">
        <v>5272.22408</v>
      </c>
      <c r="BL102" s="868">
        <v>784.6474788</v>
      </c>
      <c r="BN102" s="869" t="s">
        <v>40</v>
      </c>
      <c r="BO102" s="865" t="s">
        <v>691</v>
      </c>
      <c r="BP102" s="865" t="s">
        <v>595</v>
      </c>
      <c r="BQ102" s="865" t="s">
        <v>600</v>
      </c>
      <c r="BR102" s="865" t="s">
        <v>599</v>
      </c>
      <c r="BS102" s="865" t="s">
        <v>598</v>
      </c>
      <c r="BT102" s="866">
        <v>2019.0</v>
      </c>
      <c r="BU102" s="867">
        <v>36160.25333</v>
      </c>
      <c r="BV102" s="867">
        <v>65600.26308</v>
      </c>
      <c r="BW102" s="868">
        <v>19026.83053</v>
      </c>
      <c r="CF102" s="882"/>
      <c r="CG102" s="882"/>
      <c r="CH102" s="882"/>
      <c r="CI102" s="530"/>
    </row>
    <row r="103">
      <c r="A103" s="857"/>
      <c r="B103" s="865" t="s">
        <v>607</v>
      </c>
      <c r="C103" s="865" t="s">
        <v>591</v>
      </c>
      <c r="D103" s="865" t="s">
        <v>612</v>
      </c>
      <c r="E103" s="866">
        <v>2019.0</v>
      </c>
      <c r="F103" s="865" t="s">
        <v>593</v>
      </c>
      <c r="G103" s="865" t="s">
        <v>70</v>
      </c>
      <c r="H103" s="867">
        <v>2946977.372</v>
      </c>
      <c r="I103" s="867">
        <v>3253508.808</v>
      </c>
      <c r="J103" s="868">
        <v>2633133.1</v>
      </c>
      <c r="K103" s="50"/>
      <c r="L103" s="869" t="s">
        <v>607</v>
      </c>
      <c r="M103" s="865" t="s">
        <v>591</v>
      </c>
      <c r="N103" s="865" t="s">
        <v>612</v>
      </c>
      <c r="O103" s="866">
        <v>2004.0</v>
      </c>
      <c r="P103" s="865" t="s">
        <v>593</v>
      </c>
      <c r="Q103" s="865" t="s">
        <v>70</v>
      </c>
      <c r="R103" s="867">
        <v>1756896.761</v>
      </c>
      <c r="S103" s="867">
        <v>1897926.894</v>
      </c>
      <c r="T103" s="868">
        <v>1618831.37</v>
      </c>
      <c r="V103" s="869" t="s">
        <v>594</v>
      </c>
      <c r="W103" s="865" t="s">
        <v>691</v>
      </c>
      <c r="X103" s="865" t="s">
        <v>595</v>
      </c>
      <c r="Y103" s="865" t="s">
        <v>602</v>
      </c>
      <c r="Z103" s="865" t="s">
        <v>597</v>
      </c>
      <c r="AA103" s="865" t="s">
        <v>70</v>
      </c>
      <c r="AB103" s="866">
        <v>2004.0</v>
      </c>
      <c r="AC103" s="867">
        <v>22299.05836</v>
      </c>
      <c r="AD103" s="867">
        <v>25086.97987</v>
      </c>
      <c r="AE103" s="868">
        <v>19811.83704</v>
      </c>
      <c r="AG103" s="869" t="s">
        <v>594</v>
      </c>
      <c r="AH103" s="865" t="s">
        <v>691</v>
      </c>
      <c r="AI103" s="865" t="s">
        <v>595</v>
      </c>
      <c r="AJ103" s="865" t="s">
        <v>602</v>
      </c>
      <c r="AK103" s="865" t="s">
        <v>597</v>
      </c>
      <c r="AL103" s="865" t="s">
        <v>598</v>
      </c>
      <c r="AM103" s="866">
        <v>2019.0</v>
      </c>
      <c r="AN103" s="867">
        <v>413.5618757</v>
      </c>
      <c r="AO103" s="867">
        <v>534.7073049</v>
      </c>
      <c r="AP103" s="868">
        <v>321.8281181</v>
      </c>
      <c r="AR103" s="869" t="s">
        <v>594</v>
      </c>
      <c r="AS103" s="865" t="s">
        <v>691</v>
      </c>
      <c r="AT103" s="865" t="s">
        <v>595</v>
      </c>
      <c r="AU103" s="865" t="s">
        <v>602</v>
      </c>
      <c r="AV103" s="865" t="s">
        <v>599</v>
      </c>
      <c r="AW103" s="865" t="s">
        <v>598</v>
      </c>
      <c r="AX103" s="866">
        <v>2019.0</v>
      </c>
      <c r="AY103" s="867">
        <v>63.86122935</v>
      </c>
      <c r="AZ103" s="867">
        <v>128.5966421</v>
      </c>
      <c r="BA103" s="868">
        <v>20.74964935</v>
      </c>
      <c r="BC103" s="869" t="s">
        <v>594</v>
      </c>
      <c r="BD103" s="865" t="s">
        <v>691</v>
      </c>
      <c r="BE103" s="865" t="s">
        <v>595</v>
      </c>
      <c r="BF103" s="865" t="s">
        <v>603</v>
      </c>
      <c r="BG103" s="865" t="s">
        <v>599</v>
      </c>
      <c r="BH103" s="865" t="s">
        <v>70</v>
      </c>
      <c r="BI103" s="866">
        <v>2019.0</v>
      </c>
      <c r="BJ103" s="867">
        <v>4776.951299</v>
      </c>
      <c r="BK103" s="867">
        <v>10296.29906</v>
      </c>
      <c r="BL103" s="868">
        <v>1418.578117</v>
      </c>
      <c r="BN103" s="869" t="s">
        <v>40</v>
      </c>
      <c r="BO103" s="865" t="s">
        <v>691</v>
      </c>
      <c r="BP103" s="865" t="s">
        <v>595</v>
      </c>
      <c r="BQ103" s="865" t="s">
        <v>604</v>
      </c>
      <c r="BR103" s="865" t="s">
        <v>599</v>
      </c>
      <c r="BS103" s="865" t="s">
        <v>598</v>
      </c>
      <c r="BT103" s="866">
        <v>2019.0</v>
      </c>
      <c r="BU103" s="867">
        <v>16566.73211</v>
      </c>
      <c r="BV103" s="867">
        <v>25701.20601</v>
      </c>
      <c r="BW103" s="868">
        <v>8401.618232</v>
      </c>
      <c r="CF103" s="882"/>
      <c r="CG103" s="882"/>
      <c r="CH103" s="882"/>
      <c r="CI103" s="530"/>
    </row>
    <row r="104">
      <c r="A104" s="857"/>
      <c r="B104" s="865" t="s">
        <v>607</v>
      </c>
      <c r="C104" s="865" t="s">
        <v>591</v>
      </c>
      <c r="D104" s="865" t="s">
        <v>614</v>
      </c>
      <c r="E104" s="866">
        <v>2019.0</v>
      </c>
      <c r="F104" s="865" t="s">
        <v>593</v>
      </c>
      <c r="G104" s="865" t="s">
        <v>70</v>
      </c>
      <c r="H104" s="867">
        <v>4104631.683</v>
      </c>
      <c r="I104" s="867">
        <v>4531577.155</v>
      </c>
      <c r="J104" s="868">
        <v>3667500.69</v>
      </c>
      <c r="K104" s="50"/>
      <c r="L104" s="869" t="s">
        <v>607</v>
      </c>
      <c r="M104" s="865" t="s">
        <v>591</v>
      </c>
      <c r="N104" s="865" t="s">
        <v>614</v>
      </c>
      <c r="O104" s="866">
        <v>2004.0</v>
      </c>
      <c r="P104" s="865" t="s">
        <v>593</v>
      </c>
      <c r="Q104" s="865" t="s">
        <v>70</v>
      </c>
      <c r="R104" s="867">
        <v>2418012.5</v>
      </c>
      <c r="S104" s="867">
        <v>2612111.91</v>
      </c>
      <c r="T104" s="868">
        <v>2227993.456</v>
      </c>
      <c r="V104" s="869" t="s">
        <v>594</v>
      </c>
      <c r="W104" s="865" t="s">
        <v>692</v>
      </c>
      <c r="X104" s="865" t="s">
        <v>595</v>
      </c>
      <c r="Y104" s="865" t="s">
        <v>596</v>
      </c>
      <c r="Z104" s="865" t="s">
        <v>597</v>
      </c>
      <c r="AA104" s="865" t="s">
        <v>70</v>
      </c>
      <c r="AB104" s="866">
        <v>2004.0</v>
      </c>
      <c r="AC104" s="867">
        <v>12909.13057</v>
      </c>
      <c r="AD104" s="867">
        <v>14019.60625</v>
      </c>
      <c r="AE104" s="868">
        <v>11854.24598</v>
      </c>
      <c r="AG104" s="869" t="s">
        <v>594</v>
      </c>
      <c r="AH104" s="865" t="s">
        <v>692</v>
      </c>
      <c r="AI104" s="865" t="s">
        <v>595</v>
      </c>
      <c r="AJ104" s="865" t="s">
        <v>596</v>
      </c>
      <c r="AK104" s="865" t="s">
        <v>597</v>
      </c>
      <c r="AL104" s="865" t="s">
        <v>598</v>
      </c>
      <c r="AM104" s="866">
        <v>2019.0</v>
      </c>
      <c r="AN104" s="867">
        <v>1865.386251</v>
      </c>
      <c r="AO104" s="867">
        <v>2370.53797</v>
      </c>
      <c r="AP104" s="868">
        <v>1473.212851</v>
      </c>
      <c r="AR104" s="869" t="s">
        <v>594</v>
      </c>
      <c r="AS104" s="865" t="s">
        <v>692</v>
      </c>
      <c r="AT104" s="865" t="s">
        <v>595</v>
      </c>
      <c r="AU104" s="865" t="s">
        <v>596</v>
      </c>
      <c r="AV104" s="865" t="s">
        <v>599</v>
      </c>
      <c r="AW104" s="865" t="s">
        <v>598</v>
      </c>
      <c r="AX104" s="866">
        <v>2019.0</v>
      </c>
      <c r="AY104" s="867">
        <v>88.10713605</v>
      </c>
      <c r="AZ104" s="867">
        <v>274.7377984</v>
      </c>
      <c r="BA104" s="868">
        <v>8.129616188</v>
      </c>
      <c r="BC104" s="869" t="s">
        <v>594</v>
      </c>
      <c r="BD104" s="865" t="s">
        <v>692</v>
      </c>
      <c r="BE104" s="865" t="s">
        <v>595</v>
      </c>
      <c r="BF104" s="865" t="s">
        <v>600</v>
      </c>
      <c r="BG104" s="865" t="s">
        <v>599</v>
      </c>
      <c r="BH104" s="865" t="s">
        <v>70</v>
      </c>
      <c r="BI104" s="866">
        <v>2019.0</v>
      </c>
      <c r="BJ104" s="867">
        <v>1206.755662</v>
      </c>
      <c r="BK104" s="867">
        <v>3299.321157</v>
      </c>
      <c r="BL104" s="868">
        <v>135.3478907</v>
      </c>
      <c r="BN104" s="869" t="s">
        <v>40</v>
      </c>
      <c r="BO104" s="865" t="s">
        <v>692</v>
      </c>
      <c r="BP104" s="865" t="s">
        <v>595</v>
      </c>
      <c r="BQ104" s="865" t="s">
        <v>600</v>
      </c>
      <c r="BR104" s="865" t="s">
        <v>599</v>
      </c>
      <c r="BS104" s="865" t="s">
        <v>598</v>
      </c>
      <c r="BT104" s="866">
        <v>2019.0</v>
      </c>
      <c r="BU104" s="867">
        <v>3938.606486</v>
      </c>
      <c r="BV104" s="867">
        <v>18994.00077</v>
      </c>
      <c r="BW104" s="868">
        <v>323.8408429</v>
      </c>
      <c r="CF104" s="882"/>
      <c r="CG104" s="882"/>
      <c r="CH104" s="882"/>
      <c r="CI104" s="530"/>
    </row>
    <row r="105">
      <c r="A105" s="857"/>
      <c r="B105" s="865" t="s">
        <v>607</v>
      </c>
      <c r="C105" s="865" t="s">
        <v>591</v>
      </c>
      <c r="D105" s="865" t="s">
        <v>616</v>
      </c>
      <c r="E105" s="866">
        <v>2019.0</v>
      </c>
      <c r="F105" s="865" t="s">
        <v>593</v>
      </c>
      <c r="G105" s="865" t="s">
        <v>70</v>
      </c>
      <c r="H105" s="867">
        <v>1340791.149</v>
      </c>
      <c r="I105" s="867">
        <v>1480254.261</v>
      </c>
      <c r="J105" s="868">
        <v>1198000.903</v>
      </c>
      <c r="K105" s="50"/>
      <c r="L105" s="869" t="s">
        <v>607</v>
      </c>
      <c r="M105" s="865" t="s">
        <v>591</v>
      </c>
      <c r="N105" s="865" t="s">
        <v>616</v>
      </c>
      <c r="O105" s="866">
        <v>2004.0</v>
      </c>
      <c r="P105" s="865" t="s">
        <v>593</v>
      </c>
      <c r="Q105" s="865" t="s">
        <v>70</v>
      </c>
      <c r="R105" s="867">
        <v>772395.5882</v>
      </c>
      <c r="S105" s="867">
        <v>834397.5539</v>
      </c>
      <c r="T105" s="868">
        <v>711697.0307</v>
      </c>
      <c r="V105" s="883" t="s">
        <v>594</v>
      </c>
      <c r="W105" s="884" t="s">
        <v>692</v>
      </c>
      <c r="X105" s="884" t="s">
        <v>595</v>
      </c>
      <c r="Y105" s="884" t="s">
        <v>602</v>
      </c>
      <c r="Z105" s="884" t="s">
        <v>597</v>
      </c>
      <c r="AA105" s="884" t="s">
        <v>70</v>
      </c>
      <c r="AB105" s="885">
        <v>2004.0</v>
      </c>
      <c r="AC105" s="886">
        <v>9858.179342</v>
      </c>
      <c r="AD105" s="886">
        <v>11010.18988</v>
      </c>
      <c r="AE105" s="887">
        <v>8872.851697</v>
      </c>
      <c r="AG105" s="883" t="s">
        <v>594</v>
      </c>
      <c r="AH105" s="884" t="s">
        <v>692</v>
      </c>
      <c r="AI105" s="884" t="s">
        <v>595</v>
      </c>
      <c r="AJ105" s="884" t="s">
        <v>602</v>
      </c>
      <c r="AK105" s="884" t="s">
        <v>597</v>
      </c>
      <c r="AL105" s="884" t="s">
        <v>598</v>
      </c>
      <c r="AM105" s="885">
        <v>2019.0</v>
      </c>
      <c r="AN105" s="886">
        <v>336.0515306</v>
      </c>
      <c r="AO105" s="886">
        <v>420.9601729</v>
      </c>
      <c r="AP105" s="887">
        <v>269.311269</v>
      </c>
      <c r="AR105" s="883" t="s">
        <v>594</v>
      </c>
      <c r="AS105" s="884" t="s">
        <v>692</v>
      </c>
      <c r="AT105" s="884" t="s">
        <v>595</v>
      </c>
      <c r="AU105" s="884" t="s">
        <v>602</v>
      </c>
      <c r="AV105" s="884" t="s">
        <v>599</v>
      </c>
      <c r="AW105" s="884" t="s">
        <v>598</v>
      </c>
      <c r="AX105" s="885">
        <v>2019.0</v>
      </c>
      <c r="AY105" s="886">
        <v>49.53814256</v>
      </c>
      <c r="AZ105" s="886">
        <v>128.8768236</v>
      </c>
      <c r="BA105" s="887">
        <v>5.958827322</v>
      </c>
      <c r="BC105" s="883" t="s">
        <v>594</v>
      </c>
      <c r="BD105" s="884" t="s">
        <v>692</v>
      </c>
      <c r="BE105" s="884" t="s">
        <v>595</v>
      </c>
      <c r="BF105" s="884" t="s">
        <v>603</v>
      </c>
      <c r="BG105" s="884" t="s">
        <v>599</v>
      </c>
      <c r="BH105" s="884" t="s">
        <v>70</v>
      </c>
      <c r="BI105" s="885">
        <v>2019.0</v>
      </c>
      <c r="BJ105" s="886">
        <v>2068.185673</v>
      </c>
      <c r="BK105" s="886">
        <v>5768.295544</v>
      </c>
      <c r="BL105" s="887">
        <v>239.0386656</v>
      </c>
      <c r="BN105" s="883" t="s">
        <v>40</v>
      </c>
      <c r="BO105" s="884" t="s">
        <v>692</v>
      </c>
      <c r="BP105" s="884" t="s">
        <v>595</v>
      </c>
      <c r="BQ105" s="884" t="s">
        <v>604</v>
      </c>
      <c r="BR105" s="884" t="s">
        <v>599</v>
      </c>
      <c r="BS105" s="884" t="s">
        <v>598</v>
      </c>
      <c r="BT105" s="885">
        <v>2019.0</v>
      </c>
      <c r="BU105" s="886">
        <v>3382.579845</v>
      </c>
      <c r="BV105" s="886">
        <v>13012.38404</v>
      </c>
      <c r="BW105" s="887">
        <v>509.97148</v>
      </c>
      <c r="CF105" s="882"/>
      <c r="CG105" s="882"/>
      <c r="CH105" s="882"/>
      <c r="CI105" s="530"/>
    </row>
    <row r="106">
      <c r="A106" s="857"/>
      <c r="B106" s="865" t="s">
        <v>607</v>
      </c>
      <c r="C106" s="865" t="s">
        <v>591</v>
      </c>
      <c r="D106" s="865" t="s">
        <v>618</v>
      </c>
      <c r="E106" s="866">
        <v>2019.0</v>
      </c>
      <c r="F106" s="865" t="s">
        <v>593</v>
      </c>
      <c r="G106" s="865" t="s">
        <v>70</v>
      </c>
      <c r="H106" s="867">
        <v>4887393.78</v>
      </c>
      <c r="I106" s="867">
        <v>5395880.854</v>
      </c>
      <c r="J106" s="868">
        <v>4366734.787</v>
      </c>
      <c r="K106" s="50"/>
      <c r="L106" s="869" t="s">
        <v>607</v>
      </c>
      <c r="M106" s="865" t="s">
        <v>591</v>
      </c>
      <c r="N106" s="865" t="s">
        <v>618</v>
      </c>
      <c r="O106" s="866">
        <v>2004.0</v>
      </c>
      <c r="P106" s="865" t="s">
        <v>593</v>
      </c>
      <c r="Q106" s="865" t="s">
        <v>70</v>
      </c>
      <c r="R106" s="867">
        <v>2855235.183</v>
      </c>
      <c r="S106" s="867">
        <v>3084444.387</v>
      </c>
      <c r="T106" s="868">
        <v>2630795.492</v>
      </c>
      <c r="V106" s="50"/>
      <c r="W106" s="50"/>
      <c r="X106" s="50"/>
      <c r="Y106" s="50"/>
      <c r="Z106" s="50"/>
      <c r="AA106" s="50"/>
      <c r="AB106" s="50"/>
      <c r="AC106" s="881"/>
      <c r="AD106" s="881"/>
      <c r="AE106" s="881"/>
      <c r="AG106" s="50"/>
      <c r="AH106" s="50"/>
      <c r="AI106" s="50"/>
      <c r="AJ106" s="50"/>
      <c r="AK106" s="50"/>
      <c r="AL106" s="50"/>
      <c r="AM106" s="50"/>
      <c r="AN106" s="881"/>
      <c r="AO106" s="881"/>
      <c r="AP106" s="881"/>
      <c r="AR106" s="50"/>
      <c r="AS106" s="50"/>
      <c r="AT106" s="50"/>
      <c r="AU106" s="50"/>
      <c r="AV106" s="50"/>
      <c r="AW106" s="50"/>
      <c r="AX106" s="50"/>
      <c r="AY106" s="881"/>
      <c r="AZ106" s="881"/>
      <c r="BA106" s="881"/>
      <c r="BC106" s="50"/>
      <c r="BD106" s="50"/>
      <c r="BE106" s="50"/>
      <c r="BF106" s="50"/>
      <c r="BG106" s="50"/>
      <c r="BH106" s="50"/>
      <c r="BI106" s="50"/>
      <c r="BJ106" s="881"/>
      <c r="BK106" s="881"/>
      <c r="BL106" s="881"/>
      <c r="BN106" s="50"/>
      <c r="BO106" s="50"/>
      <c r="BP106" s="50"/>
      <c r="BQ106" s="50"/>
      <c r="BR106" s="50"/>
      <c r="BS106" s="50"/>
      <c r="BT106" s="50"/>
      <c r="BU106" s="881"/>
      <c r="BV106" s="881"/>
      <c r="BW106" s="881"/>
      <c r="CF106" s="882"/>
      <c r="CG106" s="882"/>
      <c r="CH106" s="882"/>
      <c r="CI106" s="530"/>
    </row>
    <row r="107">
      <c r="A107" s="857"/>
      <c r="B107" s="865" t="s">
        <v>607</v>
      </c>
      <c r="C107" s="865" t="s">
        <v>591</v>
      </c>
      <c r="D107" s="865" t="s">
        <v>620</v>
      </c>
      <c r="E107" s="866">
        <v>2019.0</v>
      </c>
      <c r="F107" s="865" t="s">
        <v>593</v>
      </c>
      <c r="G107" s="865" t="s">
        <v>70</v>
      </c>
      <c r="H107" s="867">
        <v>5823842.24</v>
      </c>
      <c r="I107" s="867">
        <v>6429612.322</v>
      </c>
      <c r="J107" s="868">
        <v>5203620.467</v>
      </c>
      <c r="K107" s="50"/>
      <c r="L107" s="869" t="s">
        <v>607</v>
      </c>
      <c r="M107" s="865" t="s">
        <v>591</v>
      </c>
      <c r="N107" s="865" t="s">
        <v>620</v>
      </c>
      <c r="O107" s="866">
        <v>2004.0</v>
      </c>
      <c r="P107" s="865" t="s">
        <v>593</v>
      </c>
      <c r="Q107" s="865" t="s">
        <v>70</v>
      </c>
      <c r="R107" s="867">
        <v>3367548.516</v>
      </c>
      <c r="S107" s="867">
        <v>3637869.36</v>
      </c>
      <c r="T107" s="868">
        <v>3102910.369</v>
      </c>
      <c r="AN107" s="882"/>
      <c r="AO107" s="882"/>
      <c r="AP107" s="882"/>
      <c r="AY107" s="882"/>
      <c r="AZ107" s="882"/>
      <c r="BA107" s="882"/>
      <c r="BJ107" s="882"/>
      <c r="BK107" s="882"/>
      <c r="BL107" s="882"/>
      <c r="BU107" s="882"/>
      <c r="BV107" s="882"/>
      <c r="BW107" s="882"/>
      <c r="CF107" s="882"/>
      <c r="CG107" s="882"/>
      <c r="CH107" s="882"/>
      <c r="CI107" s="530"/>
    </row>
    <row r="108">
      <c r="A108" s="857"/>
      <c r="B108" s="865" t="s">
        <v>607</v>
      </c>
      <c r="C108" s="865" t="s">
        <v>591</v>
      </c>
      <c r="D108" s="865" t="s">
        <v>622</v>
      </c>
      <c r="E108" s="866">
        <v>2019.0</v>
      </c>
      <c r="F108" s="865" t="s">
        <v>593</v>
      </c>
      <c r="G108" s="865" t="s">
        <v>70</v>
      </c>
      <c r="H108" s="867">
        <v>5563282.343</v>
      </c>
      <c r="I108" s="867">
        <v>6142089.227</v>
      </c>
      <c r="J108" s="868">
        <v>4970620.259</v>
      </c>
      <c r="K108" s="50"/>
      <c r="L108" s="869" t="s">
        <v>607</v>
      </c>
      <c r="M108" s="865" t="s">
        <v>591</v>
      </c>
      <c r="N108" s="865" t="s">
        <v>622</v>
      </c>
      <c r="O108" s="866">
        <v>2004.0</v>
      </c>
      <c r="P108" s="865" t="s">
        <v>593</v>
      </c>
      <c r="Q108" s="865" t="s">
        <v>70</v>
      </c>
      <c r="R108" s="867">
        <v>3214332.543</v>
      </c>
      <c r="S108" s="867">
        <v>3472368.941</v>
      </c>
      <c r="T108" s="868">
        <v>2961665.509</v>
      </c>
      <c r="AN108" s="882"/>
      <c r="AO108" s="882"/>
      <c r="AP108" s="882"/>
      <c r="AY108" s="882"/>
      <c r="AZ108" s="882"/>
      <c r="BA108" s="882"/>
      <c r="BJ108" s="882"/>
      <c r="BK108" s="882"/>
      <c r="BL108" s="882"/>
      <c r="BU108" s="882"/>
      <c r="BV108" s="882"/>
      <c r="BW108" s="882"/>
      <c r="CF108" s="882"/>
      <c r="CG108" s="882"/>
      <c r="CH108" s="882"/>
      <c r="CI108" s="530"/>
    </row>
    <row r="109">
      <c r="A109" s="857"/>
      <c r="B109" s="865" t="s">
        <v>607</v>
      </c>
      <c r="C109" s="865" t="s">
        <v>591</v>
      </c>
      <c r="D109" s="865" t="s">
        <v>624</v>
      </c>
      <c r="E109" s="866">
        <v>2019.0</v>
      </c>
      <c r="F109" s="865" t="s">
        <v>593</v>
      </c>
      <c r="G109" s="865" t="s">
        <v>70</v>
      </c>
      <c r="H109" s="867">
        <v>1157654.311</v>
      </c>
      <c r="I109" s="867">
        <v>1278068.347</v>
      </c>
      <c r="J109" s="868">
        <v>1034367.591</v>
      </c>
      <c r="K109" s="50"/>
      <c r="L109" s="869" t="s">
        <v>607</v>
      </c>
      <c r="M109" s="865" t="s">
        <v>591</v>
      </c>
      <c r="N109" s="865" t="s">
        <v>624</v>
      </c>
      <c r="O109" s="866">
        <v>2004.0</v>
      </c>
      <c r="P109" s="865" t="s">
        <v>593</v>
      </c>
      <c r="Q109" s="865" t="s">
        <v>70</v>
      </c>
      <c r="R109" s="867">
        <v>661115.7387</v>
      </c>
      <c r="S109" s="867">
        <v>714185.0156</v>
      </c>
      <c r="T109" s="868">
        <v>609162.0866</v>
      </c>
      <c r="AN109" s="882"/>
      <c r="AO109" s="882"/>
      <c r="AP109" s="882"/>
      <c r="AY109" s="882"/>
      <c r="AZ109" s="882"/>
      <c r="BA109" s="882"/>
      <c r="BJ109" s="882"/>
      <c r="BK109" s="882"/>
      <c r="BL109" s="882"/>
      <c r="BU109" s="882"/>
      <c r="BV109" s="882"/>
      <c r="BW109" s="882"/>
      <c r="CF109" s="882"/>
      <c r="CG109" s="882"/>
      <c r="CH109" s="882"/>
      <c r="CI109" s="530"/>
    </row>
    <row r="110">
      <c r="A110" s="857"/>
      <c r="B110" s="865" t="s">
        <v>607</v>
      </c>
      <c r="C110" s="865" t="s">
        <v>591</v>
      </c>
      <c r="D110" s="865" t="s">
        <v>625</v>
      </c>
      <c r="E110" s="866">
        <v>2019.0</v>
      </c>
      <c r="F110" s="865" t="s">
        <v>593</v>
      </c>
      <c r="G110" s="865" t="s">
        <v>70</v>
      </c>
      <c r="H110" s="867">
        <v>4405622.1</v>
      </c>
      <c r="I110" s="867">
        <v>4863875.252</v>
      </c>
      <c r="J110" s="868">
        <v>3936436.528</v>
      </c>
      <c r="K110" s="50"/>
      <c r="L110" s="869" t="s">
        <v>607</v>
      </c>
      <c r="M110" s="865" t="s">
        <v>591</v>
      </c>
      <c r="N110" s="865" t="s">
        <v>625</v>
      </c>
      <c r="O110" s="866">
        <v>2004.0</v>
      </c>
      <c r="P110" s="865" t="s">
        <v>593</v>
      </c>
      <c r="Q110" s="865" t="s">
        <v>70</v>
      </c>
      <c r="R110" s="867">
        <v>2553212.964</v>
      </c>
      <c r="S110" s="867">
        <v>2758165.226</v>
      </c>
      <c r="T110" s="868">
        <v>2352569.218</v>
      </c>
      <c r="AN110" s="882"/>
      <c r="AO110" s="882"/>
      <c r="AP110" s="882"/>
      <c r="AY110" s="882"/>
      <c r="AZ110" s="882"/>
      <c r="BA110" s="882"/>
      <c r="BJ110" s="882"/>
      <c r="BK110" s="882"/>
      <c r="BL110" s="882"/>
      <c r="BU110" s="882"/>
      <c r="BV110" s="882"/>
      <c r="BW110" s="882"/>
      <c r="CF110" s="882"/>
      <c r="CG110" s="882"/>
      <c r="CH110" s="882"/>
      <c r="CI110" s="530"/>
    </row>
    <row r="111">
      <c r="A111" s="857"/>
      <c r="B111" s="865" t="s">
        <v>607</v>
      </c>
      <c r="C111" s="865" t="s">
        <v>591</v>
      </c>
      <c r="D111" s="865" t="s">
        <v>627</v>
      </c>
      <c r="E111" s="866">
        <v>2019.0</v>
      </c>
      <c r="F111" s="865" t="s">
        <v>593</v>
      </c>
      <c r="G111" s="865" t="s">
        <v>70</v>
      </c>
      <c r="H111" s="867">
        <v>972108.3306</v>
      </c>
      <c r="I111" s="867">
        <v>1073222.701</v>
      </c>
      <c r="J111" s="868">
        <v>868581.702</v>
      </c>
      <c r="K111" s="50"/>
      <c r="L111" s="869" t="s">
        <v>607</v>
      </c>
      <c r="M111" s="865" t="s">
        <v>591</v>
      </c>
      <c r="N111" s="865" t="s">
        <v>627</v>
      </c>
      <c r="O111" s="866">
        <v>2004.0</v>
      </c>
      <c r="P111" s="865" t="s">
        <v>593</v>
      </c>
      <c r="Q111" s="865" t="s">
        <v>70</v>
      </c>
      <c r="R111" s="867">
        <v>582200.0831</v>
      </c>
      <c r="S111" s="867">
        <v>628934.6193</v>
      </c>
      <c r="T111" s="868">
        <v>536448.0024</v>
      </c>
      <c r="AN111" s="882"/>
      <c r="AO111" s="882"/>
      <c r="AP111" s="882"/>
      <c r="AY111" s="882"/>
      <c r="AZ111" s="882"/>
      <c r="BA111" s="882"/>
      <c r="BJ111" s="882"/>
      <c r="BK111" s="882"/>
      <c r="BL111" s="882"/>
      <c r="BU111" s="882"/>
      <c r="BV111" s="882"/>
      <c r="BW111" s="882"/>
      <c r="CF111" s="882"/>
      <c r="CG111" s="882"/>
      <c r="CH111" s="882"/>
      <c r="CI111" s="530"/>
    </row>
    <row r="112">
      <c r="A112" s="857"/>
      <c r="B112" s="865" t="s">
        <v>607</v>
      </c>
      <c r="C112" s="865" t="s">
        <v>591</v>
      </c>
      <c r="D112" s="865" t="s">
        <v>629</v>
      </c>
      <c r="E112" s="866">
        <v>2019.0</v>
      </c>
      <c r="F112" s="865" t="s">
        <v>593</v>
      </c>
      <c r="G112" s="865" t="s">
        <v>70</v>
      </c>
      <c r="H112" s="867">
        <v>3325400.326</v>
      </c>
      <c r="I112" s="867">
        <v>3671376.762</v>
      </c>
      <c r="J112" s="868">
        <v>2971142.072</v>
      </c>
      <c r="K112" s="50"/>
      <c r="L112" s="869" t="s">
        <v>607</v>
      </c>
      <c r="M112" s="865" t="s">
        <v>591</v>
      </c>
      <c r="N112" s="865" t="s">
        <v>629</v>
      </c>
      <c r="O112" s="866">
        <v>2004.0</v>
      </c>
      <c r="P112" s="865" t="s">
        <v>593</v>
      </c>
      <c r="Q112" s="865" t="s">
        <v>70</v>
      </c>
      <c r="R112" s="867">
        <v>1934039.5</v>
      </c>
      <c r="S112" s="867">
        <v>2089298.042</v>
      </c>
      <c r="T112" s="868">
        <v>1782011.663</v>
      </c>
      <c r="AN112" s="882"/>
      <c r="AO112" s="882"/>
      <c r="AP112" s="882"/>
      <c r="AY112" s="882"/>
      <c r="AZ112" s="882"/>
      <c r="BA112" s="882"/>
      <c r="BJ112" s="882"/>
      <c r="BK112" s="882"/>
      <c r="BL112" s="882"/>
      <c r="BU112" s="882"/>
      <c r="BV112" s="882"/>
      <c r="BW112" s="882"/>
      <c r="CF112" s="882"/>
      <c r="CG112" s="882"/>
      <c r="CH112" s="882"/>
      <c r="CI112" s="530"/>
    </row>
    <row r="113">
      <c r="A113" s="857"/>
      <c r="B113" s="865" t="s">
        <v>607</v>
      </c>
      <c r="C113" s="865" t="s">
        <v>591</v>
      </c>
      <c r="D113" s="865" t="s">
        <v>631</v>
      </c>
      <c r="E113" s="866">
        <v>2019.0</v>
      </c>
      <c r="F113" s="865" t="s">
        <v>593</v>
      </c>
      <c r="G113" s="865" t="s">
        <v>70</v>
      </c>
      <c r="H113" s="867">
        <v>779117.564</v>
      </c>
      <c r="I113" s="867">
        <v>860157.8963</v>
      </c>
      <c r="J113" s="868">
        <v>696143.8746</v>
      </c>
      <c r="K113" s="50"/>
      <c r="L113" s="869" t="s">
        <v>607</v>
      </c>
      <c r="M113" s="865" t="s">
        <v>591</v>
      </c>
      <c r="N113" s="865" t="s">
        <v>631</v>
      </c>
      <c r="O113" s="866">
        <v>2004.0</v>
      </c>
      <c r="P113" s="865" t="s">
        <v>593</v>
      </c>
      <c r="Q113" s="865" t="s">
        <v>70</v>
      </c>
      <c r="R113" s="867">
        <v>470815.3479</v>
      </c>
      <c r="S113" s="867">
        <v>508608.7759</v>
      </c>
      <c r="T113" s="868">
        <v>433816.4151</v>
      </c>
      <c r="AN113" s="882"/>
      <c r="AO113" s="882"/>
      <c r="AP113" s="882"/>
      <c r="AY113" s="882"/>
      <c r="AZ113" s="882"/>
      <c r="BA113" s="882"/>
      <c r="BJ113" s="882"/>
      <c r="BK113" s="882"/>
      <c r="BL113" s="882"/>
      <c r="BU113" s="882"/>
      <c r="BV113" s="882"/>
      <c r="BW113" s="882"/>
      <c r="CF113" s="882"/>
      <c r="CG113" s="882"/>
      <c r="CH113" s="882"/>
      <c r="CI113" s="530"/>
    </row>
    <row r="114">
      <c r="A114" s="857"/>
      <c r="B114" s="865" t="s">
        <v>607</v>
      </c>
      <c r="C114" s="865" t="s">
        <v>591</v>
      </c>
      <c r="D114" s="865" t="s">
        <v>633</v>
      </c>
      <c r="E114" s="866">
        <v>2019.0</v>
      </c>
      <c r="F114" s="865" t="s">
        <v>593</v>
      </c>
      <c r="G114" s="865" t="s">
        <v>70</v>
      </c>
      <c r="H114" s="867">
        <v>637717.2143</v>
      </c>
      <c r="I114" s="867">
        <v>704049.7132</v>
      </c>
      <c r="J114" s="868">
        <v>569802.239</v>
      </c>
      <c r="K114" s="50"/>
      <c r="L114" s="869" t="s">
        <v>607</v>
      </c>
      <c r="M114" s="865" t="s">
        <v>591</v>
      </c>
      <c r="N114" s="865" t="s">
        <v>633</v>
      </c>
      <c r="O114" s="866">
        <v>2004.0</v>
      </c>
      <c r="P114" s="865" t="s">
        <v>593</v>
      </c>
      <c r="Q114" s="865" t="s">
        <v>70</v>
      </c>
      <c r="R114" s="867">
        <v>368705.0143</v>
      </c>
      <c r="S114" s="867">
        <v>398301.8116</v>
      </c>
      <c r="T114" s="868">
        <v>339730.4022</v>
      </c>
      <c r="AN114" s="882"/>
      <c r="AO114" s="882"/>
      <c r="AP114" s="882"/>
      <c r="AY114" s="882"/>
      <c r="AZ114" s="882"/>
      <c r="BA114" s="882"/>
      <c r="BJ114" s="882"/>
      <c r="BK114" s="882"/>
      <c r="BL114" s="882"/>
      <c r="BU114" s="882"/>
      <c r="BV114" s="882"/>
      <c r="BW114" s="882"/>
      <c r="CF114" s="882"/>
      <c r="CG114" s="882"/>
      <c r="CH114" s="882"/>
      <c r="CI114" s="530"/>
    </row>
    <row r="115">
      <c r="A115" s="857"/>
      <c r="B115" s="865" t="s">
        <v>607</v>
      </c>
      <c r="C115" s="865" t="s">
        <v>591</v>
      </c>
      <c r="D115" s="865" t="s">
        <v>635</v>
      </c>
      <c r="E115" s="866">
        <v>2019.0</v>
      </c>
      <c r="F115" s="865" t="s">
        <v>593</v>
      </c>
      <c r="G115" s="865" t="s">
        <v>70</v>
      </c>
      <c r="H115" s="867">
        <v>524920.5109</v>
      </c>
      <c r="I115" s="867">
        <v>579520.4001</v>
      </c>
      <c r="J115" s="868">
        <v>469018.0471</v>
      </c>
      <c r="K115" s="50"/>
      <c r="L115" s="869" t="s">
        <v>607</v>
      </c>
      <c r="M115" s="865" t="s">
        <v>591</v>
      </c>
      <c r="N115" s="865" t="s">
        <v>635</v>
      </c>
      <c r="O115" s="866">
        <v>2004.0</v>
      </c>
      <c r="P115" s="865" t="s">
        <v>593</v>
      </c>
      <c r="Q115" s="865" t="s">
        <v>70</v>
      </c>
      <c r="R115" s="867">
        <v>291514.3857</v>
      </c>
      <c r="S115" s="867">
        <v>314914.9142</v>
      </c>
      <c r="T115" s="868">
        <v>268605.7842</v>
      </c>
      <c r="AN115" s="882"/>
      <c r="AO115" s="882"/>
      <c r="AP115" s="882"/>
      <c r="AY115" s="882"/>
      <c r="AZ115" s="882"/>
      <c r="BA115" s="882"/>
      <c r="BJ115" s="882"/>
      <c r="BK115" s="882"/>
      <c r="BL115" s="882"/>
      <c r="BU115" s="882"/>
      <c r="BV115" s="882"/>
      <c r="BW115" s="882"/>
      <c r="CF115" s="882"/>
      <c r="CG115" s="882"/>
      <c r="CH115" s="882"/>
      <c r="CI115" s="530"/>
    </row>
    <row r="116">
      <c r="A116" s="857"/>
      <c r="B116" s="865" t="s">
        <v>607</v>
      </c>
      <c r="C116" s="865" t="s">
        <v>591</v>
      </c>
      <c r="D116" s="865" t="s">
        <v>637</v>
      </c>
      <c r="E116" s="866">
        <v>2019.0</v>
      </c>
      <c r="F116" s="865" t="s">
        <v>593</v>
      </c>
      <c r="G116" s="865" t="s">
        <v>70</v>
      </c>
      <c r="H116" s="867">
        <v>411533.1606</v>
      </c>
      <c r="I116" s="867">
        <v>454339.0036</v>
      </c>
      <c r="J116" s="868">
        <v>367706.1103</v>
      </c>
      <c r="K116" s="50"/>
      <c r="L116" s="869" t="s">
        <v>607</v>
      </c>
      <c r="M116" s="865" t="s">
        <v>591</v>
      </c>
      <c r="N116" s="865" t="s">
        <v>637</v>
      </c>
      <c r="O116" s="866">
        <v>2004.0</v>
      </c>
      <c r="P116" s="865" t="s">
        <v>593</v>
      </c>
      <c r="Q116" s="865" t="s">
        <v>70</v>
      </c>
      <c r="R116" s="867">
        <v>220802.358</v>
      </c>
      <c r="S116" s="867">
        <v>238526.6697</v>
      </c>
      <c r="T116" s="868">
        <v>203450.6475</v>
      </c>
      <c r="AN116" s="882"/>
      <c r="AO116" s="882"/>
      <c r="AP116" s="882"/>
      <c r="AY116" s="882"/>
      <c r="AZ116" s="882"/>
      <c r="BA116" s="882"/>
      <c r="BJ116" s="882"/>
      <c r="BK116" s="882"/>
      <c r="BL116" s="882"/>
      <c r="BU116" s="882"/>
      <c r="BV116" s="882"/>
      <c r="BW116" s="882"/>
      <c r="CF116" s="882"/>
      <c r="CG116" s="882"/>
      <c r="CH116" s="882"/>
      <c r="CI116" s="530"/>
    </row>
    <row r="117">
      <c r="A117" s="857"/>
      <c r="B117" s="865" t="s">
        <v>607</v>
      </c>
      <c r="C117" s="865" t="s">
        <v>591</v>
      </c>
      <c r="D117" s="865" t="s">
        <v>639</v>
      </c>
      <c r="E117" s="866">
        <v>2019.0</v>
      </c>
      <c r="F117" s="865" t="s">
        <v>593</v>
      </c>
      <c r="G117" s="865" t="s">
        <v>70</v>
      </c>
      <c r="H117" s="867">
        <v>4874425.382</v>
      </c>
      <c r="I117" s="867">
        <v>5381563.217</v>
      </c>
      <c r="J117" s="868">
        <v>4355147.925</v>
      </c>
      <c r="K117" s="50"/>
      <c r="L117" s="869" t="s">
        <v>607</v>
      </c>
      <c r="M117" s="865" t="s">
        <v>591</v>
      </c>
      <c r="N117" s="865" t="s">
        <v>639</v>
      </c>
      <c r="O117" s="866">
        <v>2004.0</v>
      </c>
      <c r="P117" s="865" t="s">
        <v>593</v>
      </c>
      <c r="Q117" s="865" t="s">
        <v>70</v>
      </c>
      <c r="R117" s="867">
        <v>2973048.942</v>
      </c>
      <c r="S117" s="867">
        <v>3211715.86</v>
      </c>
      <c r="T117" s="868">
        <v>2739348.338</v>
      </c>
      <c r="AN117" s="882"/>
      <c r="AO117" s="882"/>
      <c r="AP117" s="882"/>
      <c r="AY117" s="882"/>
      <c r="AZ117" s="882"/>
      <c r="BA117" s="882"/>
      <c r="BJ117" s="882"/>
      <c r="BK117" s="882"/>
      <c r="BL117" s="882"/>
      <c r="BU117" s="882"/>
      <c r="BV117" s="882"/>
      <c r="BW117" s="882"/>
      <c r="CF117" s="882"/>
      <c r="CG117" s="882"/>
      <c r="CH117" s="882"/>
      <c r="CI117" s="530"/>
    </row>
    <row r="118">
      <c r="A118" s="857"/>
      <c r="B118" s="865" t="s">
        <v>607</v>
      </c>
      <c r="C118" s="865" t="s">
        <v>591</v>
      </c>
      <c r="D118" s="865" t="s">
        <v>641</v>
      </c>
      <c r="E118" s="866">
        <v>2019.0</v>
      </c>
      <c r="F118" s="865" t="s">
        <v>593</v>
      </c>
      <c r="G118" s="865" t="s">
        <v>70</v>
      </c>
      <c r="H118" s="867">
        <v>1927442.812</v>
      </c>
      <c r="I118" s="867">
        <v>2127926.813</v>
      </c>
      <c r="J118" s="868">
        <v>1722175.92</v>
      </c>
      <c r="K118" s="50"/>
      <c r="L118" s="869" t="s">
        <v>607</v>
      </c>
      <c r="M118" s="865" t="s">
        <v>591</v>
      </c>
      <c r="N118" s="865" t="s">
        <v>641</v>
      </c>
      <c r="O118" s="866">
        <v>2004.0</v>
      </c>
      <c r="P118" s="865" t="s">
        <v>593</v>
      </c>
      <c r="Q118" s="865" t="s">
        <v>70</v>
      </c>
      <c r="R118" s="867">
        <v>1216148.629</v>
      </c>
      <c r="S118" s="867">
        <v>1313771.669</v>
      </c>
      <c r="T118" s="868">
        <v>1120577.825</v>
      </c>
      <c r="AN118" s="882"/>
      <c r="AO118" s="882"/>
      <c r="AP118" s="882"/>
      <c r="AY118" s="882"/>
      <c r="AZ118" s="882"/>
      <c r="BA118" s="882"/>
      <c r="BJ118" s="882"/>
      <c r="BK118" s="882"/>
      <c r="BL118" s="882"/>
      <c r="BU118" s="882"/>
      <c r="BV118" s="882"/>
      <c r="BW118" s="882"/>
      <c r="CF118" s="882"/>
      <c r="CG118" s="882"/>
      <c r="CH118" s="882"/>
      <c r="CI118" s="530"/>
    </row>
    <row r="119">
      <c r="A119" s="857"/>
      <c r="B119" s="865" t="s">
        <v>607</v>
      </c>
      <c r="C119" s="865" t="s">
        <v>591</v>
      </c>
      <c r="D119" s="865" t="s">
        <v>643</v>
      </c>
      <c r="E119" s="866">
        <v>2019.0</v>
      </c>
      <c r="F119" s="865" t="s">
        <v>593</v>
      </c>
      <c r="G119" s="865" t="s">
        <v>70</v>
      </c>
      <c r="H119" s="867">
        <v>313217.9635</v>
      </c>
      <c r="I119" s="867">
        <v>345797.4983</v>
      </c>
      <c r="J119" s="868">
        <v>279861.1875</v>
      </c>
      <c r="K119" s="50"/>
      <c r="L119" s="869" t="s">
        <v>607</v>
      </c>
      <c r="M119" s="865" t="s">
        <v>591</v>
      </c>
      <c r="N119" s="865" t="s">
        <v>643</v>
      </c>
      <c r="O119" s="866">
        <v>2004.0</v>
      </c>
      <c r="P119" s="865" t="s">
        <v>593</v>
      </c>
      <c r="Q119" s="865" t="s">
        <v>70</v>
      </c>
      <c r="R119" s="867">
        <v>161939.8523</v>
      </c>
      <c r="S119" s="867">
        <v>174939.1358</v>
      </c>
      <c r="T119" s="868">
        <v>149213.8404</v>
      </c>
      <c r="AN119" s="882"/>
      <c r="AO119" s="882"/>
      <c r="AP119" s="882"/>
      <c r="AY119" s="882"/>
      <c r="AZ119" s="882"/>
      <c r="BA119" s="882"/>
      <c r="BJ119" s="882"/>
      <c r="BK119" s="882"/>
      <c r="BL119" s="882"/>
      <c r="BU119" s="882"/>
      <c r="BV119" s="882"/>
      <c r="BW119" s="882"/>
      <c r="CF119" s="882"/>
      <c r="CG119" s="882"/>
      <c r="CH119" s="882"/>
      <c r="CI119" s="530"/>
    </row>
    <row r="120">
      <c r="A120" s="857"/>
      <c r="B120" s="865" t="s">
        <v>607</v>
      </c>
      <c r="C120" s="865" t="s">
        <v>591</v>
      </c>
      <c r="D120" s="865" t="s">
        <v>645</v>
      </c>
      <c r="E120" s="866">
        <v>2019.0</v>
      </c>
      <c r="F120" s="865" t="s">
        <v>593</v>
      </c>
      <c r="G120" s="865" t="s">
        <v>70</v>
      </c>
      <c r="H120" s="867">
        <v>862410.4732</v>
      </c>
      <c r="I120" s="867">
        <v>952114.5622</v>
      </c>
      <c r="J120" s="868">
        <v>770566.3382</v>
      </c>
      <c r="K120" s="50"/>
      <c r="L120" s="869" t="s">
        <v>607</v>
      </c>
      <c r="M120" s="865" t="s">
        <v>591</v>
      </c>
      <c r="N120" s="865" t="s">
        <v>645</v>
      </c>
      <c r="O120" s="866">
        <v>2004.0</v>
      </c>
      <c r="P120" s="865" t="s">
        <v>593</v>
      </c>
      <c r="Q120" s="865" t="s">
        <v>70</v>
      </c>
      <c r="R120" s="867">
        <v>480037.9387</v>
      </c>
      <c r="S120" s="867">
        <v>518571.6853</v>
      </c>
      <c r="T120" s="868">
        <v>442314.2504</v>
      </c>
      <c r="AN120" s="882"/>
      <c r="AO120" s="882"/>
      <c r="AP120" s="882"/>
      <c r="AY120" s="882"/>
      <c r="AZ120" s="882"/>
      <c r="BA120" s="882"/>
      <c r="BJ120" s="882"/>
      <c r="BK120" s="882"/>
      <c r="BL120" s="882"/>
      <c r="BU120" s="882"/>
      <c r="BV120" s="882"/>
      <c r="BW120" s="882"/>
      <c r="CF120" s="882"/>
      <c r="CG120" s="882"/>
      <c r="CH120" s="882"/>
      <c r="CI120" s="530"/>
    </row>
    <row r="121">
      <c r="A121" s="857"/>
      <c r="B121" s="865" t="s">
        <v>607</v>
      </c>
      <c r="C121" s="865" t="s">
        <v>591</v>
      </c>
      <c r="D121" s="865" t="s">
        <v>604</v>
      </c>
      <c r="E121" s="866">
        <v>2019.0</v>
      </c>
      <c r="F121" s="865" t="s">
        <v>593</v>
      </c>
      <c r="G121" s="865" t="s">
        <v>70</v>
      </c>
      <c r="H121" s="867">
        <v>3533629.036</v>
      </c>
      <c r="I121" s="867">
        <v>3901181.36</v>
      </c>
      <c r="J121" s="868">
        <v>3157308.116</v>
      </c>
      <c r="K121" s="50"/>
      <c r="L121" s="869" t="s">
        <v>607</v>
      </c>
      <c r="M121" s="865" t="s">
        <v>591</v>
      </c>
      <c r="N121" s="865" t="s">
        <v>604</v>
      </c>
      <c r="O121" s="866">
        <v>2004.0</v>
      </c>
      <c r="P121" s="865" t="s">
        <v>593</v>
      </c>
      <c r="Q121" s="865" t="s">
        <v>70</v>
      </c>
      <c r="R121" s="867">
        <v>2200649.802</v>
      </c>
      <c r="S121" s="867">
        <v>2377301.01</v>
      </c>
      <c r="T121" s="868">
        <v>2027712.164</v>
      </c>
      <c r="AN121" s="882"/>
      <c r="AO121" s="882"/>
      <c r="AP121" s="882"/>
      <c r="AY121" s="882"/>
      <c r="AZ121" s="882"/>
      <c r="BA121" s="882"/>
      <c r="BJ121" s="882"/>
      <c r="BK121" s="882"/>
      <c r="BL121" s="882"/>
      <c r="BU121" s="882"/>
      <c r="BV121" s="882"/>
      <c r="BW121" s="882"/>
      <c r="CF121" s="882"/>
      <c r="CG121" s="882"/>
      <c r="CH121" s="882"/>
      <c r="CI121" s="530"/>
    </row>
    <row r="122">
      <c r="A122" s="857"/>
      <c r="B122" s="865" t="s">
        <v>607</v>
      </c>
      <c r="C122" s="865" t="s">
        <v>591</v>
      </c>
      <c r="D122" s="865" t="s">
        <v>647</v>
      </c>
      <c r="E122" s="866">
        <v>2019.0</v>
      </c>
      <c r="F122" s="865" t="s">
        <v>593</v>
      </c>
      <c r="G122" s="865" t="s">
        <v>70</v>
      </c>
      <c r="H122" s="867">
        <v>767008.1742</v>
      </c>
      <c r="I122" s="867">
        <v>846808.1167</v>
      </c>
      <c r="J122" s="868">
        <v>685298.0191</v>
      </c>
      <c r="K122" s="50"/>
      <c r="L122" s="869" t="s">
        <v>607</v>
      </c>
      <c r="M122" s="865" t="s">
        <v>591</v>
      </c>
      <c r="N122" s="865" t="s">
        <v>647</v>
      </c>
      <c r="O122" s="866">
        <v>2004.0</v>
      </c>
      <c r="P122" s="865" t="s">
        <v>593</v>
      </c>
      <c r="Q122" s="865" t="s">
        <v>70</v>
      </c>
      <c r="R122" s="867">
        <v>457236.4693</v>
      </c>
      <c r="S122" s="867">
        <v>493941.9594</v>
      </c>
      <c r="T122" s="868">
        <v>421294.7672</v>
      </c>
      <c r="AN122" s="882"/>
      <c r="AO122" s="882"/>
      <c r="AP122" s="882"/>
      <c r="AY122" s="882"/>
      <c r="AZ122" s="882"/>
      <c r="BA122" s="882"/>
      <c r="BJ122" s="882"/>
      <c r="BK122" s="882"/>
      <c r="BL122" s="882"/>
      <c r="BU122" s="882"/>
      <c r="BV122" s="882"/>
      <c r="BW122" s="882"/>
      <c r="CF122" s="882"/>
      <c r="CG122" s="882"/>
      <c r="CH122" s="882"/>
      <c r="CI122" s="530"/>
    </row>
    <row r="123">
      <c r="A123" s="857"/>
      <c r="B123" s="865" t="s">
        <v>607</v>
      </c>
      <c r="C123" s="865" t="s">
        <v>591</v>
      </c>
      <c r="D123" s="865" t="s">
        <v>649</v>
      </c>
      <c r="E123" s="866">
        <v>2019.0</v>
      </c>
      <c r="F123" s="865" t="s">
        <v>593</v>
      </c>
      <c r="G123" s="865" t="s">
        <v>70</v>
      </c>
      <c r="H123" s="867">
        <v>238601.1802</v>
      </c>
      <c r="I123" s="867">
        <v>263419.4103</v>
      </c>
      <c r="J123" s="868">
        <v>213190.8684</v>
      </c>
      <c r="K123" s="50"/>
      <c r="L123" s="869" t="s">
        <v>607</v>
      </c>
      <c r="M123" s="865" t="s">
        <v>591</v>
      </c>
      <c r="N123" s="865" t="s">
        <v>649</v>
      </c>
      <c r="O123" s="866">
        <v>2004.0</v>
      </c>
      <c r="P123" s="865" t="s">
        <v>593</v>
      </c>
      <c r="Q123" s="865" t="s">
        <v>70</v>
      </c>
      <c r="R123" s="867">
        <v>129586.7996</v>
      </c>
      <c r="S123" s="867">
        <v>139989.0293</v>
      </c>
      <c r="T123" s="868">
        <v>119403.2461</v>
      </c>
      <c r="AN123" s="882"/>
      <c r="AO123" s="882"/>
      <c r="AP123" s="882"/>
      <c r="AY123" s="882"/>
      <c r="AZ123" s="882"/>
      <c r="BA123" s="882"/>
      <c r="BJ123" s="882"/>
      <c r="BK123" s="882"/>
      <c r="BL123" s="882"/>
      <c r="BU123" s="882"/>
      <c r="BV123" s="882"/>
      <c r="BW123" s="882"/>
      <c r="CF123" s="882"/>
      <c r="CG123" s="882"/>
      <c r="CH123" s="882"/>
      <c r="CI123" s="530"/>
    </row>
    <row r="124">
      <c r="A124" s="857"/>
      <c r="B124" s="865" t="s">
        <v>607</v>
      </c>
      <c r="C124" s="865" t="s">
        <v>591</v>
      </c>
      <c r="D124" s="865" t="s">
        <v>651</v>
      </c>
      <c r="E124" s="866">
        <v>2019.0</v>
      </c>
      <c r="F124" s="865" t="s">
        <v>593</v>
      </c>
      <c r="G124" s="865" t="s">
        <v>70</v>
      </c>
      <c r="H124" s="867">
        <v>180768.2228</v>
      </c>
      <c r="I124" s="867">
        <v>199570.9267</v>
      </c>
      <c r="J124" s="868">
        <v>161516.948</v>
      </c>
      <c r="K124" s="50"/>
      <c r="L124" s="869" t="s">
        <v>607</v>
      </c>
      <c r="M124" s="865" t="s">
        <v>591</v>
      </c>
      <c r="N124" s="865" t="s">
        <v>651</v>
      </c>
      <c r="O124" s="866">
        <v>2004.0</v>
      </c>
      <c r="P124" s="865" t="s">
        <v>593</v>
      </c>
      <c r="Q124" s="865" t="s">
        <v>70</v>
      </c>
      <c r="R124" s="867">
        <v>105584.1402</v>
      </c>
      <c r="S124" s="867">
        <v>114059.6213</v>
      </c>
      <c r="T124" s="868">
        <v>97286.83098</v>
      </c>
      <c r="AN124" s="882"/>
      <c r="AO124" s="882"/>
      <c r="AP124" s="882"/>
      <c r="AY124" s="882"/>
      <c r="AZ124" s="882"/>
      <c r="BA124" s="882"/>
      <c r="BJ124" s="882"/>
      <c r="BK124" s="882"/>
      <c r="BL124" s="882"/>
      <c r="BU124" s="882"/>
      <c r="BV124" s="882"/>
      <c r="BW124" s="882"/>
      <c r="CF124" s="882"/>
      <c r="CG124" s="882"/>
      <c r="CH124" s="882"/>
      <c r="CI124" s="530"/>
    </row>
    <row r="125">
      <c r="A125" s="857"/>
      <c r="B125" s="865" t="s">
        <v>607</v>
      </c>
      <c r="C125" s="865" t="s">
        <v>591</v>
      </c>
      <c r="D125" s="865" t="s">
        <v>653</v>
      </c>
      <c r="E125" s="866">
        <v>2019.0</v>
      </c>
      <c r="F125" s="865" t="s">
        <v>593</v>
      </c>
      <c r="G125" s="865" t="s">
        <v>70</v>
      </c>
      <c r="H125" s="867">
        <v>129823.1067</v>
      </c>
      <c r="I125" s="867">
        <v>143326.7269</v>
      </c>
      <c r="J125" s="868">
        <v>115997.3342</v>
      </c>
      <c r="K125" s="50"/>
      <c r="L125" s="869" t="s">
        <v>607</v>
      </c>
      <c r="M125" s="865" t="s">
        <v>591</v>
      </c>
      <c r="N125" s="865" t="s">
        <v>653</v>
      </c>
      <c r="O125" s="866">
        <v>2004.0</v>
      </c>
      <c r="P125" s="865" t="s">
        <v>593</v>
      </c>
      <c r="Q125" s="865" t="s">
        <v>70</v>
      </c>
      <c r="R125" s="867">
        <v>82927.14662</v>
      </c>
      <c r="S125" s="867">
        <v>89583.89891</v>
      </c>
      <c r="T125" s="868">
        <v>76410.33288</v>
      </c>
      <c r="AN125" s="882"/>
      <c r="AO125" s="882"/>
      <c r="AP125" s="882"/>
      <c r="AY125" s="882"/>
      <c r="AZ125" s="882"/>
      <c r="BA125" s="882"/>
      <c r="BJ125" s="882"/>
      <c r="BK125" s="882"/>
      <c r="BL125" s="882"/>
      <c r="BU125" s="882"/>
      <c r="BV125" s="882"/>
      <c r="BW125" s="882"/>
      <c r="CF125" s="882"/>
      <c r="CG125" s="882"/>
      <c r="CH125" s="882"/>
      <c r="CI125" s="530"/>
    </row>
    <row r="126">
      <c r="A126" s="857"/>
      <c r="B126" s="865" t="s">
        <v>607</v>
      </c>
      <c r="C126" s="865" t="s">
        <v>591</v>
      </c>
      <c r="D126" s="865" t="s">
        <v>655</v>
      </c>
      <c r="E126" s="866">
        <v>2019.0</v>
      </c>
      <c r="F126" s="865" t="s">
        <v>593</v>
      </c>
      <c r="G126" s="865" t="s">
        <v>70</v>
      </c>
      <c r="H126" s="867">
        <v>225376.2172</v>
      </c>
      <c r="I126" s="867">
        <v>248824.4799</v>
      </c>
      <c r="J126" s="868">
        <v>201366.6613</v>
      </c>
      <c r="K126" s="50"/>
      <c r="L126" s="869" t="s">
        <v>607</v>
      </c>
      <c r="M126" s="865" t="s">
        <v>591</v>
      </c>
      <c r="N126" s="865" t="s">
        <v>655</v>
      </c>
      <c r="O126" s="866">
        <v>2004.0</v>
      </c>
      <c r="P126" s="865" t="s">
        <v>593</v>
      </c>
      <c r="Q126" s="865" t="s">
        <v>70</v>
      </c>
      <c r="R126" s="867">
        <v>144066.0969</v>
      </c>
      <c r="S126" s="867">
        <v>155631.2652</v>
      </c>
      <c r="T126" s="868">
        <v>132741.5831</v>
      </c>
      <c r="AN126" s="882"/>
      <c r="AO126" s="882"/>
      <c r="AP126" s="882"/>
      <c r="AY126" s="882"/>
      <c r="AZ126" s="882"/>
      <c r="BA126" s="882"/>
      <c r="BJ126" s="882"/>
      <c r="BK126" s="882"/>
      <c r="BL126" s="882"/>
      <c r="BU126" s="882"/>
      <c r="BV126" s="882"/>
      <c r="BW126" s="882"/>
      <c r="CF126" s="882"/>
      <c r="CG126" s="882"/>
      <c r="CH126" s="882"/>
      <c r="CI126" s="530"/>
    </row>
    <row r="127">
      <c r="A127" s="857"/>
      <c r="B127" s="865" t="s">
        <v>607</v>
      </c>
      <c r="C127" s="865" t="s">
        <v>591</v>
      </c>
      <c r="D127" s="865" t="s">
        <v>657</v>
      </c>
      <c r="E127" s="866">
        <v>2019.0</v>
      </c>
      <c r="F127" s="865" t="s">
        <v>593</v>
      </c>
      <c r="G127" s="865" t="s">
        <v>70</v>
      </c>
      <c r="H127" s="867">
        <v>95552.87026</v>
      </c>
      <c r="I127" s="867">
        <v>105491.8534</v>
      </c>
      <c r="J127" s="868">
        <v>85376.77548</v>
      </c>
      <c r="K127" s="50"/>
      <c r="L127" s="869" t="s">
        <v>607</v>
      </c>
      <c r="M127" s="865" t="s">
        <v>591</v>
      </c>
      <c r="N127" s="865" t="s">
        <v>657</v>
      </c>
      <c r="O127" s="866">
        <v>2004.0</v>
      </c>
      <c r="P127" s="865" t="s">
        <v>593</v>
      </c>
      <c r="Q127" s="865" t="s">
        <v>70</v>
      </c>
      <c r="R127" s="867">
        <v>61138.77817</v>
      </c>
      <c r="S127" s="867">
        <v>66046.52815</v>
      </c>
      <c r="T127" s="868">
        <v>56334.19914</v>
      </c>
      <c r="AN127" s="882"/>
      <c r="AO127" s="882"/>
      <c r="AP127" s="882"/>
      <c r="AY127" s="882"/>
      <c r="AZ127" s="882"/>
      <c r="BA127" s="882"/>
      <c r="BJ127" s="882"/>
      <c r="BK127" s="882"/>
      <c r="BL127" s="882"/>
      <c r="BU127" s="882"/>
      <c r="BV127" s="882"/>
      <c r="BW127" s="882"/>
      <c r="CF127" s="882"/>
      <c r="CG127" s="882"/>
      <c r="CH127" s="882"/>
      <c r="CI127" s="530"/>
    </row>
    <row r="128">
      <c r="A128" s="857"/>
      <c r="B128" s="865" t="s">
        <v>607</v>
      </c>
      <c r="C128" s="865" t="s">
        <v>591</v>
      </c>
      <c r="D128" s="865" t="s">
        <v>659</v>
      </c>
      <c r="E128" s="866">
        <v>2019.0</v>
      </c>
      <c r="F128" s="865" t="s">
        <v>593</v>
      </c>
      <c r="G128" s="865" t="s">
        <v>70</v>
      </c>
      <c r="H128" s="867">
        <v>217814.8467</v>
      </c>
      <c r="I128" s="867">
        <v>240470.975</v>
      </c>
      <c r="J128" s="868">
        <v>194618.2172</v>
      </c>
      <c r="K128" s="50"/>
      <c r="L128" s="869" t="s">
        <v>607</v>
      </c>
      <c r="M128" s="865" t="s">
        <v>591</v>
      </c>
      <c r="N128" s="865" t="s">
        <v>659</v>
      </c>
      <c r="O128" s="866">
        <v>2004.0</v>
      </c>
      <c r="P128" s="865" t="s">
        <v>593</v>
      </c>
      <c r="Q128" s="865" t="s">
        <v>70</v>
      </c>
      <c r="R128" s="867">
        <v>139137.8366</v>
      </c>
      <c r="S128" s="867">
        <v>150306.7499</v>
      </c>
      <c r="T128" s="868">
        <v>128203.7167</v>
      </c>
      <c r="AN128" s="882"/>
      <c r="AO128" s="882"/>
      <c r="AP128" s="882"/>
      <c r="AY128" s="882"/>
      <c r="AZ128" s="882"/>
      <c r="BA128" s="882"/>
      <c r="BJ128" s="882"/>
      <c r="BK128" s="882"/>
      <c r="BL128" s="882"/>
      <c r="BU128" s="882"/>
      <c r="BV128" s="882"/>
      <c r="BW128" s="882"/>
      <c r="CF128" s="882"/>
      <c r="CG128" s="882"/>
      <c r="CH128" s="882"/>
      <c r="CI128" s="530"/>
    </row>
    <row r="129">
      <c r="A129" s="857"/>
      <c r="B129" s="865" t="s">
        <v>607</v>
      </c>
      <c r="C129" s="865" t="s">
        <v>591</v>
      </c>
      <c r="D129" s="865" t="s">
        <v>661</v>
      </c>
      <c r="E129" s="866">
        <v>2019.0</v>
      </c>
      <c r="F129" s="865" t="s">
        <v>593</v>
      </c>
      <c r="G129" s="865" t="s">
        <v>70</v>
      </c>
      <c r="H129" s="867">
        <v>122262.1068</v>
      </c>
      <c r="I129" s="867">
        <v>134982.322</v>
      </c>
      <c r="J129" s="868">
        <v>109237.4011</v>
      </c>
      <c r="K129" s="50"/>
      <c r="L129" s="869" t="s">
        <v>607</v>
      </c>
      <c r="M129" s="865" t="s">
        <v>591</v>
      </c>
      <c r="N129" s="865" t="s">
        <v>661</v>
      </c>
      <c r="O129" s="866">
        <v>2004.0</v>
      </c>
      <c r="P129" s="865" t="s">
        <v>593</v>
      </c>
      <c r="Q129" s="865" t="s">
        <v>70</v>
      </c>
      <c r="R129" s="867">
        <v>77999.1516</v>
      </c>
      <c r="S129" s="867">
        <v>84260.67553</v>
      </c>
      <c r="T129" s="868">
        <v>71867.92093</v>
      </c>
      <c r="AN129" s="882"/>
      <c r="AO129" s="882"/>
      <c r="AP129" s="882"/>
      <c r="AY129" s="882"/>
      <c r="AZ129" s="882"/>
      <c r="BA129" s="882"/>
      <c r="BJ129" s="882"/>
      <c r="BK129" s="882"/>
      <c r="BL129" s="882"/>
      <c r="BU129" s="882"/>
      <c r="BV129" s="882"/>
      <c r="BW129" s="882"/>
      <c r="CF129" s="882"/>
      <c r="CG129" s="882"/>
      <c r="CH129" s="882"/>
      <c r="CI129" s="530"/>
    </row>
    <row r="130">
      <c r="A130" s="857"/>
      <c r="B130" s="865" t="s">
        <v>607</v>
      </c>
      <c r="C130" s="865" t="s">
        <v>591</v>
      </c>
      <c r="D130" s="865" t="s">
        <v>663</v>
      </c>
      <c r="E130" s="866">
        <v>2019.0</v>
      </c>
      <c r="F130" s="865" t="s">
        <v>593</v>
      </c>
      <c r="G130" s="865" t="s">
        <v>70</v>
      </c>
      <c r="H130" s="867">
        <v>65478.70962</v>
      </c>
      <c r="I130" s="867">
        <v>72289.5128</v>
      </c>
      <c r="J130" s="868">
        <v>58505.42296</v>
      </c>
      <c r="K130" s="50"/>
      <c r="L130" s="869" t="s">
        <v>607</v>
      </c>
      <c r="M130" s="865" t="s">
        <v>591</v>
      </c>
      <c r="N130" s="865" t="s">
        <v>663</v>
      </c>
      <c r="O130" s="866">
        <v>2004.0</v>
      </c>
      <c r="P130" s="865" t="s">
        <v>593</v>
      </c>
      <c r="Q130" s="865" t="s">
        <v>70</v>
      </c>
      <c r="R130" s="867">
        <v>42389.26301</v>
      </c>
      <c r="S130" s="867">
        <v>45791.94639</v>
      </c>
      <c r="T130" s="868">
        <v>39058.11099</v>
      </c>
      <c r="AN130" s="882"/>
      <c r="AO130" s="882"/>
      <c r="AP130" s="882"/>
      <c r="AY130" s="882"/>
      <c r="AZ130" s="882"/>
      <c r="BA130" s="882"/>
      <c r="BJ130" s="882"/>
      <c r="BK130" s="882"/>
      <c r="BL130" s="882"/>
      <c r="BU130" s="882"/>
      <c r="BV130" s="882"/>
      <c r="BW130" s="882"/>
      <c r="CF130" s="882"/>
      <c r="CG130" s="882"/>
      <c r="CH130" s="882"/>
      <c r="CI130" s="530"/>
    </row>
    <row r="131">
      <c r="A131" s="857"/>
      <c r="B131" s="865" t="s">
        <v>607</v>
      </c>
      <c r="C131" s="865" t="s">
        <v>591</v>
      </c>
      <c r="D131" s="865" t="s">
        <v>665</v>
      </c>
      <c r="E131" s="866">
        <v>2019.0</v>
      </c>
      <c r="F131" s="865" t="s">
        <v>593</v>
      </c>
      <c r="G131" s="865" t="s">
        <v>70</v>
      </c>
      <c r="H131" s="867">
        <v>101098.0395</v>
      </c>
      <c r="I131" s="867">
        <v>111616.3338</v>
      </c>
      <c r="J131" s="868">
        <v>90327.9633</v>
      </c>
      <c r="K131" s="50"/>
      <c r="L131" s="869" t="s">
        <v>607</v>
      </c>
      <c r="M131" s="865" t="s">
        <v>591</v>
      </c>
      <c r="N131" s="865" t="s">
        <v>665</v>
      </c>
      <c r="O131" s="866">
        <v>2004.0</v>
      </c>
      <c r="P131" s="865" t="s">
        <v>593</v>
      </c>
      <c r="Q131" s="865" t="s">
        <v>70</v>
      </c>
      <c r="R131" s="867">
        <v>65218.56964</v>
      </c>
      <c r="S131" s="867">
        <v>70454.10908</v>
      </c>
      <c r="T131" s="868">
        <v>60091.97421</v>
      </c>
      <c r="AN131" s="882"/>
      <c r="AO131" s="882"/>
      <c r="AP131" s="882"/>
      <c r="AY131" s="882"/>
      <c r="AZ131" s="882"/>
      <c r="BA131" s="882"/>
      <c r="BJ131" s="882"/>
      <c r="BK131" s="882"/>
      <c r="BL131" s="882"/>
      <c r="BU131" s="882"/>
      <c r="BV131" s="882"/>
      <c r="BW131" s="882"/>
      <c r="CF131" s="882"/>
      <c r="CG131" s="882"/>
      <c r="CH131" s="882"/>
      <c r="CI131" s="530"/>
    </row>
    <row r="132">
      <c r="A132" s="857"/>
      <c r="B132" s="865" t="s">
        <v>607</v>
      </c>
      <c r="C132" s="865" t="s">
        <v>591</v>
      </c>
      <c r="D132" s="865" t="s">
        <v>667</v>
      </c>
      <c r="E132" s="866">
        <v>2019.0</v>
      </c>
      <c r="F132" s="865" t="s">
        <v>593</v>
      </c>
      <c r="G132" s="865" t="s">
        <v>70</v>
      </c>
      <c r="H132" s="867">
        <v>56783.26677</v>
      </c>
      <c r="I132" s="867">
        <v>62689.6088</v>
      </c>
      <c r="J132" s="868">
        <v>50736.01876</v>
      </c>
      <c r="K132" s="50"/>
      <c r="L132" s="869" t="s">
        <v>607</v>
      </c>
      <c r="M132" s="865" t="s">
        <v>591</v>
      </c>
      <c r="N132" s="865" t="s">
        <v>667</v>
      </c>
      <c r="O132" s="866">
        <v>2004.0</v>
      </c>
      <c r="P132" s="865" t="s">
        <v>593</v>
      </c>
      <c r="Q132" s="865" t="s">
        <v>70</v>
      </c>
      <c r="R132" s="867">
        <v>35609.79541</v>
      </c>
      <c r="S132" s="867">
        <v>38468.27537</v>
      </c>
      <c r="T132" s="868">
        <v>32811.40654</v>
      </c>
      <c r="AN132" s="882"/>
      <c r="AO132" s="882"/>
      <c r="AP132" s="882"/>
      <c r="AY132" s="882"/>
      <c r="AZ132" s="882"/>
      <c r="BA132" s="882"/>
      <c r="BJ132" s="882"/>
      <c r="BK132" s="882"/>
      <c r="BL132" s="882"/>
      <c r="BU132" s="882"/>
      <c r="BV132" s="882"/>
      <c r="BW132" s="882"/>
      <c r="CF132" s="882"/>
      <c r="CG132" s="882"/>
      <c r="CH132" s="882"/>
      <c r="CI132" s="530"/>
    </row>
    <row r="133">
      <c r="A133" s="857"/>
      <c r="B133" s="865" t="s">
        <v>607</v>
      </c>
      <c r="C133" s="865" t="s">
        <v>591</v>
      </c>
      <c r="D133" s="865" t="s">
        <v>669</v>
      </c>
      <c r="E133" s="866">
        <v>2019.0</v>
      </c>
      <c r="F133" s="865" t="s">
        <v>593</v>
      </c>
      <c r="G133" s="865" t="s">
        <v>70</v>
      </c>
      <c r="H133" s="867">
        <v>35619.22209</v>
      </c>
      <c r="I133" s="867">
        <v>39324.17463</v>
      </c>
      <c r="J133" s="868">
        <v>31825.88151</v>
      </c>
      <c r="K133" s="50"/>
      <c r="L133" s="869" t="s">
        <v>607</v>
      </c>
      <c r="M133" s="865" t="s">
        <v>591</v>
      </c>
      <c r="N133" s="865" t="s">
        <v>669</v>
      </c>
      <c r="O133" s="866">
        <v>2004.0</v>
      </c>
      <c r="P133" s="865" t="s">
        <v>593</v>
      </c>
      <c r="Q133" s="865" t="s">
        <v>70</v>
      </c>
      <c r="R133" s="867">
        <v>22829.22872</v>
      </c>
      <c r="S133" s="867">
        <v>24661.78328</v>
      </c>
      <c r="T133" s="868">
        <v>21035.19821</v>
      </c>
      <c r="AN133" s="882"/>
      <c r="AO133" s="882"/>
      <c r="AP133" s="882"/>
      <c r="AY133" s="882"/>
      <c r="AZ133" s="882"/>
      <c r="BA133" s="882"/>
      <c r="BJ133" s="882"/>
      <c r="BK133" s="882"/>
      <c r="BL133" s="882"/>
      <c r="BU133" s="882"/>
      <c r="BV133" s="882"/>
      <c r="BW133" s="882"/>
      <c r="CF133" s="882"/>
      <c r="CG133" s="882"/>
      <c r="CH133" s="882"/>
      <c r="CI133" s="530"/>
    </row>
    <row r="134">
      <c r="A134" s="857"/>
      <c r="B134" s="865" t="s">
        <v>607</v>
      </c>
      <c r="C134" s="865" t="s">
        <v>591</v>
      </c>
      <c r="D134" s="865" t="s">
        <v>671</v>
      </c>
      <c r="E134" s="866">
        <v>2019.0</v>
      </c>
      <c r="F134" s="865" t="s">
        <v>593</v>
      </c>
      <c r="G134" s="865" t="s">
        <v>70</v>
      </c>
      <c r="H134" s="867">
        <v>21164.06725</v>
      </c>
      <c r="I134" s="867">
        <v>23365.98818</v>
      </c>
      <c r="J134" s="868">
        <v>18909.4378</v>
      </c>
      <c r="K134" s="50"/>
      <c r="L134" s="869" t="s">
        <v>607</v>
      </c>
      <c r="M134" s="865" t="s">
        <v>591</v>
      </c>
      <c r="N134" s="865" t="s">
        <v>671</v>
      </c>
      <c r="O134" s="866">
        <v>2004.0</v>
      </c>
      <c r="P134" s="865" t="s">
        <v>593</v>
      </c>
      <c r="Q134" s="865" t="s">
        <v>70</v>
      </c>
      <c r="R134" s="867">
        <v>12780.58195</v>
      </c>
      <c r="S134" s="867">
        <v>13806.56644</v>
      </c>
      <c r="T134" s="868">
        <v>11775.94672</v>
      </c>
      <c r="AN134" s="882"/>
      <c r="AO134" s="882"/>
      <c r="AP134" s="882"/>
      <c r="AY134" s="882"/>
      <c r="AZ134" s="882"/>
      <c r="BA134" s="882"/>
      <c r="BJ134" s="882"/>
      <c r="BK134" s="882"/>
      <c r="BL134" s="882"/>
      <c r="BU134" s="882"/>
      <c r="BV134" s="882"/>
      <c r="BW134" s="882"/>
      <c r="CF134" s="882"/>
      <c r="CG134" s="882"/>
      <c r="CH134" s="882"/>
      <c r="CI134" s="530"/>
    </row>
    <row r="135">
      <c r="A135" s="857"/>
      <c r="B135" s="865" t="s">
        <v>607</v>
      </c>
      <c r="C135" s="865" t="s">
        <v>591</v>
      </c>
      <c r="D135" s="865" t="s">
        <v>673</v>
      </c>
      <c r="E135" s="866">
        <v>2019.0</v>
      </c>
      <c r="F135" s="865" t="s">
        <v>593</v>
      </c>
      <c r="G135" s="865" t="s">
        <v>70</v>
      </c>
      <c r="H135" s="867">
        <v>15007.8775</v>
      </c>
      <c r="I135" s="867">
        <v>16568.92994</v>
      </c>
      <c r="J135" s="868">
        <v>13409.58345</v>
      </c>
      <c r="K135" s="50"/>
      <c r="L135" s="869" t="s">
        <v>607</v>
      </c>
      <c r="M135" s="865" t="s">
        <v>591</v>
      </c>
      <c r="N135" s="865" t="s">
        <v>673</v>
      </c>
      <c r="O135" s="866">
        <v>2004.0</v>
      </c>
      <c r="P135" s="865" t="s">
        <v>593</v>
      </c>
      <c r="Q135" s="865" t="s">
        <v>70</v>
      </c>
      <c r="R135" s="867">
        <v>9109.21204</v>
      </c>
      <c r="S135" s="867">
        <v>9840.429386</v>
      </c>
      <c r="T135" s="868">
        <v>8393.366377</v>
      </c>
      <c r="AN135" s="882"/>
      <c r="AO135" s="882"/>
      <c r="AP135" s="882"/>
      <c r="AY135" s="882"/>
      <c r="AZ135" s="882"/>
      <c r="BA135" s="882"/>
      <c r="BJ135" s="882"/>
      <c r="BK135" s="882"/>
      <c r="BL135" s="882"/>
      <c r="BU135" s="882"/>
      <c r="BV135" s="882"/>
      <c r="BW135" s="882"/>
      <c r="CF135" s="882"/>
      <c r="CG135" s="882"/>
      <c r="CH135" s="882"/>
      <c r="CI135" s="530"/>
    </row>
    <row r="136">
      <c r="A136" s="857"/>
      <c r="B136" s="865" t="s">
        <v>607</v>
      </c>
      <c r="C136" s="865" t="s">
        <v>591</v>
      </c>
      <c r="D136" s="865" t="s">
        <v>674</v>
      </c>
      <c r="E136" s="866">
        <v>2019.0</v>
      </c>
      <c r="F136" s="865" t="s">
        <v>593</v>
      </c>
      <c r="G136" s="865" t="s">
        <v>70</v>
      </c>
      <c r="H136" s="867">
        <v>4959.737911</v>
      </c>
      <c r="I136" s="867">
        <v>5475.627717</v>
      </c>
      <c r="J136" s="868">
        <v>4431.540664</v>
      </c>
      <c r="K136" s="50"/>
      <c r="L136" s="869" t="s">
        <v>607</v>
      </c>
      <c r="M136" s="865" t="s">
        <v>591</v>
      </c>
      <c r="N136" s="865" t="s">
        <v>674</v>
      </c>
      <c r="O136" s="866">
        <v>2004.0</v>
      </c>
      <c r="P136" s="865" t="s">
        <v>593</v>
      </c>
      <c r="Q136" s="865" t="s">
        <v>70</v>
      </c>
      <c r="R136" s="867">
        <v>2965.57905</v>
      </c>
      <c r="S136" s="867">
        <v>3203.632883</v>
      </c>
      <c r="T136" s="868">
        <v>2732.529595</v>
      </c>
      <c r="AN136" s="882"/>
      <c r="AO136" s="882"/>
      <c r="AP136" s="882"/>
      <c r="AY136" s="882"/>
      <c r="AZ136" s="882"/>
      <c r="BA136" s="882"/>
      <c r="BJ136" s="882"/>
      <c r="BK136" s="882"/>
      <c r="BL136" s="882"/>
      <c r="BU136" s="882"/>
      <c r="BV136" s="882"/>
      <c r="BW136" s="882"/>
      <c r="CF136" s="882"/>
      <c r="CG136" s="882"/>
      <c r="CH136" s="882"/>
      <c r="CI136" s="530"/>
    </row>
    <row r="137">
      <c r="A137" s="857"/>
      <c r="B137" s="865" t="s">
        <v>607</v>
      </c>
      <c r="C137" s="865" t="s">
        <v>591</v>
      </c>
      <c r="D137" s="865" t="s">
        <v>676</v>
      </c>
      <c r="E137" s="866">
        <v>2019.0</v>
      </c>
      <c r="F137" s="865" t="s">
        <v>593</v>
      </c>
      <c r="G137" s="865" t="s">
        <v>70</v>
      </c>
      <c r="H137" s="867">
        <v>1196.429276</v>
      </c>
      <c r="I137" s="867">
        <v>1320.876511</v>
      </c>
      <c r="J137" s="868">
        <v>1069.013138</v>
      </c>
      <c r="K137" s="50"/>
      <c r="L137" s="869" t="s">
        <v>607</v>
      </c>
      <c r="M137" s="865" t="s">
        <v>591</v>
      </c>
      <c r="N137" s="865" t="s">
        <v>676</v>
      </c>
      <c r="O137" s="866">
        <v>2004.0</v>
      </c>
      <c r="P137" s="865" t="s">
        <v>593</v>
      </c>
      <c r="Q137" s="865" t="s">
        <v>70</v>
      </c>
      <c r="R137" s="867">
        <v>705.7755964</v>
      </c>
      <c r="S137" s="867">
        <v>762.4298226</v>
      </c>
      <c r="T137" s="868">
        <v>650.312358</v>
      </c>
      <c r="AN137" s="882"/>
      <c r="AO137" s="882"/>
      <c r="AP137" s="882"/>
      <c r="AY137" s="882"/>
      <c r="AZ137" s="882"/>
      <c r="BA137" s="882"/>
      <c r="BJ137" s="882"/>
      <c r="BK137" s="882"/>
      <c r="BL137" s="882"/>
      <c r="BU137" s="882"/>
      <c r="BV137" s="882"/>
      <c r="BW137" s="882"/>
      <c r="CF137" s="882"/>
      <c r="CG137" s="882"/>
      <c r="CH137" s="882"/>
      <c r="CI137" s="530"/>
    </row>
    <row r="138">
      <c r="A138" s="857"/>
      <c r="B138" s="865" t="s">
        <v>607</v>
      </c>
      <c r="C138" s="865" t="s">
        <v>591</v>
      </c>
      <c r="D138" s="865" t="s">
        <v>678</v>
      </c>
      <c r="E138" s="866">
        <v>2019.0</v>
      </c>
      <c r="F138" s="865" t="s">
        <v>593</v>
      </c>
      <c r="G138" s="865" t="s">
        <v>70</v>
      </c>
      <c r="H138" s="867">
        <v>1.266575105E7</v>
      </c>
      <c r="I138" s="867">
        <v>1.398318596E7</v>
      </c>
      <c r="J138" s="868">
        <v>1.131688646E7</v>
      </c>
      <c r="K138" s="50"/>
      <c r="L138" s="869" t="s">
        <v>607</v>
      </c>
      <c r="M138" s="865" t="s">
        <v>591</v>
      </c>
      <c r="N138" s="865" t="s">
        <v>678</v>
      </c>
      <c r="O138" s="866">
        <v>2004.0</v>
      </c>
      <c r="P138" s="865" t="s">
        <v>593</v>
      </c>
      <c r="Q138" s="865" t="s">
        <v>70</v>
      </c>
      <c r="R138" s="867">
        <v>7650777.725</v>
      </c>
      <c r="S138" s="867">
        <v>8264923.204</v>
      </c>
      <c r="T138" s="868">
        <v>7049542.841</v>
      </c>
      <c r="AN138" s="882"/>
      <c r="AO138" s="882"/>
      <c r="AP138" s="882"/>
      <c r="AY138" s="882"/>
      <c r="AZ138" s="882"/>
      <c r="BA138" s="882"/>
      <c r="BJ138" s="882"/>
      <c r="BK138" s="882"/>
      <c r="BL138" s="882"/>
      <c r="BU138" s="882"/>
      <c r="BV138" s="882"/>
      <c r="BW138" s="882"/>
      <c r="CF138" s="882"/>
      <c r="CG138" s="882"/>
      <c r="CH138" s="882"/>
      <c r="CI138" s="530"/>
    </row>
    <row r="139">
      <c r="A139" s="857"/>
      <c r="B139" s="865" t="s">
        <v>607</v>
      </c>
      <c r="C139" s="865" t="s">
        <v>591</v>
      </c>
      <c r="D139" s="865" t="s">
        <v>680</v>
      </c>
      <c r="E139" s="866">
        <v>2019.0</v>
      </c>
      <c r="F139" s="865" t="s">
        <v>593</v>
      </c>
      <c r="G139" s="865" t="s">
        <v>70</v>
      </c>
      <c r="H139" s="867">
        <v>505196.8547</v>
      </c>
      <c r="I139" s="867">
        <v>541240.2668</v>
      </c>
      <c r="J139" s="868">
        <v>474769.8925</v>
      </c>
      <c r="K139" s="50"/>
      <c r="L139" s="869" t="s">
        <v>607</v>
      </c>
      <c r="M139" s="865" t="s">
        <v>591</v>
      </c>
      <c r="N139" s="865" t="s">
        <v>680</v>
      </c>
      <c r="O139" s="866">
        <v>2004.0</v>
      </c>
      <c r="P139" s="865" t="s">
        <v>593</v>
      </c>
      <c r="Q139" s="865" t="s">
        <v>70</v>
      </c>
      <c r="R139" s="867">
        <v>349176.2997</v>
      </c>
      <c r="S139" s="867">
        <v>361500.7728</v>
      </c>
      <c r="T139" s="868">
        <v>335704.8361</v>
      </c>
      <c r="AN139" s="882"/>
      <c r="AO139" s="882"/>
      <c r="AP139" s="882"/>
      <c r="AY139" s="882"/>
      <c r="AZ139" s="882"/>
      <c r="BA139" s="882"/>
      <c r="BJ139" s="882"/>
      <c r="BK139" s="882"/>
      <c r="BL139" s="882"/>
      <c r="BU139" s="882"/>
      <c r="BV139" s="882"/>
      <c r="BW139" s="882"/>
      <c r="CF139" s="882"/>
      <c r="CG139" s="882"/>
      <c r="CH139" s="882"/>
      <c r="CI139" s="530"/>
    </row>
    <row r="140">
      <c r="A140" s="857"/>
      <c r="B140" s="865" t="s">
        <v>607</v>
      </c>
      <c r="C140" s="865" t="s">
        <v>591</v>
      </c>
      <c r="D140" s="865" t="s">
        <v>682</v>
      </c>
      <c r="E140" s="866">
        <v>2019.0</v>
      </c>
      <c r="F140" s="865" t="s">
        <v>593</v>
      </c>
      <c r="G140" s="865" t="s">
        <v>70</v>
      </c>
      <c r="H140" s="867">
        <v>9573.216128</v>
      </c>
      <c r="I140" s="867">
        <v>10568.97935</v>
      </c>
      <c r="J140" s="868">
        <v>8553.697254</v>
      </c>
      <c r="K140" s="50"/>
      <c r="L140" s="869" t="s">
        <v>607</v>
      </c>
      <c r="M140" s="865" t="s">
        <v>591</v>
      </c>
      <c r="N140" s="865" t="s">
        <v>682</v>
      </c>
      <c r="O140" s="866">
        <v>2004.0</v>
      </c>
      <c r="P140" s="865" t="s">
        <v>593</v>
      </c>
      <c r="Q140" s="865" t="s">
        <v>70</v>
      </c>
      <c r="R140" s="867">
        <v>6637.231782</v>
      </c>
      <c r="S140" s="867">
        <v>7170.017603</v>
      </c>
      <c r="T140" s="868">
        <v>6115.646209</v>
      </c>
      <c r="AN140" s="882"/>
      <c r="AO140" s="882"/>
      <c r="AP140" s="882"/>
      <c r="AY140" s="882"/>
      <c r="AZ140" s="882"/>
      <c r="BA140" s="882"/>
      <c r="BJ140" s="882"/>
      <c r="BK140" s="882"/>
      <c r="BL140" s="882"/>
      <c r="BU140" s="882"/>
      <c r="BV140" s="882"/>
      <c r="BW140" s="882"/>
      <c r="CF140" s="882"/>
      <c r="CG140" s="882"/>
      <c r="CH140" s="882"/>
      <c r="CI140" s="530"/>
    </row>
    <row r="141">
      <c r="A141" s="857"/>
      <c r="B141" s="865" t="s">
        <v>607</v>
      </c>
      <c r="C141" s="865" t="s">
        <v>591</v>
      </c>
      <c r="D141" s="865" t="s">
        <v>684</v>
      </c>
      <c r="E141" s="866">
        <v>2019.0</v>
      </c>
      <c r="F141" s="865" t="s">
        <v>593</v>
      </c>
      <c r="G141" s="865" t="s">
        <v>70</v>
      </c>
      <c r="H141" s="867">
        <v>28243.92889</v>
      </c>
      <c r="I141" s="867">
        <v>31181.73633</v>
      </c>
      <c r="J141" s="868">
        <v>25236.03497</v>
      </c>
      <c r="K141" s="50"/>
      <c r="L141" s="869" t="s">
        <v>607</v>
      </c>
      <c r="M141" s="865" t="s">
        <v>591</v>
      </c>
      <c r="N141" s="865" t="s">
        <v>684</v>
      </c>
      <c r="O141" s="866">
        <v>2004.0</v>
      </c>
      <c r="P141" s="865" t="s">
        <v>593</v>
      </c>
      <c r="Q141" s="865" t="s">
        <v>70</v>
      </c>
      <c r="R141" s="867">
        <v>19504.91025</v>
      </c>
      <c r="S141" s="867">
        <v>21070.61414</v>
      </c>
      <c r="T141" s="868">
        <v>17972.12066</v>
      </c>
      <c r="AN141" s="882"/>
      <c r="AO141" s="882"/>
      <c r="AP141" s="882"/>
      <c r="AY141" s="882"/>
      <c r="AZ141" s="882"/>
      <c r="BA141" s="882"/>
      <c r="BJ141" s="882"/>
      <c r="BK141" s="882"/>
      <c r="BL141" s="882"/>
      <c r="BU141" s="882"/>
      <c r="BV141" s="882"/>
      <c r="BW141" s="882"/>
      <c r="CF141" s="882"/>
      <c r="CG141" s="882"/>
      <c r="CH141" s="882"/>
      <c r="CI141" s="530"/>
    </row>
    <row r="142">
      <c r="A142" s="857"/>
      <c r="B142" s="865" t="s">
        <v>607</v>
      </c>
      <c r="C142" s="865" t="s">
        <v>591</v>
      </c>
      <c r="D142" s="865" t="s">
        <v>686</v>
      </c>
      <c r="E142" s="866">
        <v>2019.0</v>
      </c>
      <c r="F142" s="865" t="s">
        <v>593</v>
      </c>
      <c r="G142" s="865" t="s">
        <v>70</v>
      </c>
      <c r="H142" s="867">
        <v>37817.14501</v>
      </c>
      <c r="I142" s="867">
        <v>41750.71568</v>
      </c>
      <c r="J142" s="868">
        <v>33789.73222</v>
      </c>
      <c r="K142" s="50"/>
      <c r="L142" s="869" t="s">
        <v>607</v>
      </c>
      <c r="M142" s="865" t="s">
        <v>591</v>
      </c>
      <c r="N142" s="865" t="s">
        <v>686</v>
      </c>
      <c r="O142" s="866">
        <v>2004.0</v>
      </c>
      <c r="P142" s="865" t="s">
        <v>593</v>
      </c>
      <c r="Q142" s="865" t="s">
        <v>70</v>
      </c>
      <c r="R142" s="867">
        <v>26142.14203</v>
      </c>
      <c r="S142" s="867">
        <v>28240.63174</v>
      </c>
      <c r="T142" s="868">
        <v>24087.76687</v>
      </c>
      <c r="AN142" s="882"/>
      <c r="AO142" s="882"/>
      <c r="AP142" s="882"/>
      <c r="AY142" s="882"/>
      <c r="AZ142" s="882"/>
      <c r="BA142" s="882"/>
      <c r="BJ142" s="882"/>
      <c r="BK142" s="882"/>
      <c r="BL142" s="882"/>
      <c r="BU142" s="882"/>
      <c r="BV142" s="882"/>
      <c r="BW142" s="882"/>
      <c r="CF142" s="882"/>
      <c r="CG142" s="882"/>
      <c r="CH142" s="882"/>
      <c r="CI142" s="530"/>
    </row>
    <row r="143">
      <c r="A143" s="857"/>
      <c r="B143" s="865" t="s">
        <v>607</v>
      </c>
      <c r="C143" s="865" t="s">
        <v>591</v>
      </c>
      <c r="D143" s="865" t="s">
        <v>688</v>
      </c>
      <c r="E143" s="866">
        <v>2019.0</v>
      </c>
      <c r="F143" s="865" t="s">
        <v>593</v>
      </c>
      <c r="G143" s="865" t="s">
        <v>70</v>
      </c>
      <c r="H143" s="867">
        <v>440265.0889</v>
      </c>
      <c r="I143" s="867">
        <v>486059.4989</v>
      </c>
      <c r="J143" s="868">
        <v>393378.1743</v>
      </c>
      <c r="K143" s="50"/>
      <c r="L143" s="869" t="s">
        <v>607</v>
      </c>
      <c r="M143" s="865" t="s">
        <v>591</v>
      </c>
      <c r="N143" s="865" t="s">
        <v>688</v>
      </c>
      <c r="O143" s="866">
        <v>2004.0</v>
      </c>
      <c r="P143" s="865" t="s">
        <v>593</v>
      </c>
      <c r="Q143" s="865" t="s">
        <v>70</v>
      </c>
      <c r="R143" s="867">
        <v>300835.1098</v>
      </c>
      <c r="S143" s="867">
        <v>324983.8342</v>
      </c>
      <c r="T143" s="868">
        <v>277194.041</v>
      </c>
      <c r="AN143" s="882"/>
      <c r="AO143" s="882"/>
      <c r="AP143" s="882"/>
      <c r="AY143" s="882"/>
      <c r="AZ143" s="882"/>
      <c r="BA143" s="882"/>
      <c r="BJ143" s="882"/>
      <c r="BK143" s="882"/>
      <c r="BL143" s="882"/>
      <c r="BU143" s="882"/>
      <c r="BV143" s="882"/>
      <c r="BW143" s="882"/>
      <c r="CF143" s="882"/>
      <c r="CG143" s="882"/>
      <c r="CH143" s="882"/>
      <c r="CI143" s="530"/>
    </row>
    <row r="144">
      <c r="A144" s="857"/>
      <c r="B144" s="865" t="s">
        <v>607</v>
      </c>
      <c r="C144" s="865" t="s">
        <v>591</v>
      </c>
      <c r="D144" s="865" t="s">
        <v>689</v>
      </c>
      <c r="E144" s="866">
        <v>2019.0</v>
      </c>
      <c r="F144" s="865" t="s">
        <v>593</v>
      </c>
      <c r="G144" s="865" t="s">
        <v>70</v>
      </c>
      <c r="H144" s="867">
        <v>2228054.458</v>
      </c>
      <c r="I144" s="867">
        <v>2459806.74</v>
      </c>
      <c r="J144" s="868">
        <v>1990773.324</v>
      </c>
      <c r="K144" s="50"/>
      <c r="L144" s="869" t="s">
        <v>607</v>
      </c>
      <c r="M144" s="865" t="s">
        <v>591</v>
      </c>
      <c r="N144" s="865" t="s">
        <v>689</v>
      </c>
      <c r="O144" s="866">
        <v>2004.0</v>
      </c>
      <c r="P144" s="865" t="s">
        <v>593</v>
      </c>
      <c r="Q144" s="865" t="s">
        <v>70</v>
      </c>
      <c r="R144" s="867">
        <v>1463403.632</v>
      </c>
      <c r="S144" s="867">
        <v>1580874.398</v>
      </c>
      <c r="T144" s="868">
        <v>1348402.341</v>
      </c>
      <c r="AN144" s="882"/>
      <c r="AO144" s="882"/>
      <c r="AP144" s="882"/>
      <c r="AY144" s="882"/>
      <c r="AZ144" s="882"/>
      <c r="BA144" s="882"/>
      <c r="BJ144" s="882"/>
      <c r="BK144" s="882"/>
      <c r="BL144" s="882"/>
      <c r="BU144" s="882"/>
      <c r="BV144" s="882"/>
      <c r="BW144" s="882"/>
      <c r="CF144" s="882"/>
      <c r="CG144" s="882"/>
      <c r="CH144" s="882"/>
      <c r="CI144" s="530"/>
    </row>
    <row r="145">
      <c r="A145" s="857"/>
      <c r="B145" s="865" t="s">
        <v>609</v>
      </c>
      <c r="C145" s="865" t="s">
        <v>591</v>
      </c>
      <c r="D145" s="865" t="s">
        <v>592</v>
      </c>
      <c r="E145" s="866">
        <v>2019.0</v>
      </c>
      <c r="F145" s="865" t="s">
        <v>593</v>
      </c>
      <c r="G145" s="865" t="s">
        <v>70</v>
      </c>
      <c r="H145" s="867">
        <v>13247.68706</v>
      </c>
      <c r="I145" s="867">
        <v>14322.31865</v>
      </c>
      <c r="J145" s="868">
        <v>12241.44409</v>
      </c>
      <c r="K145" s="50"/>
      <c r="L145" s="869" t="s">
        <v>609</v>
      </c>
      <c r="M145" s="865" t="s">
        <v>591</v>
      </c>
      <c r="N145" s="865" t="s">
        <v>592</v>
      </c>
      <c r="O145" s="866">
        <v>2004.0</v>
      </c>
      <c r="P145" s="865" t="s">
        <v>593</v>
      </c>
      <c r="Q145" s="865" t="s">
        <v>70</v>
      </c>
      <c r="R145" s="867">
        <v>16495.54564</v>
      </c>
      <c r="S145" s="867">
        <v>17695.20626</v>
      </c>
      <c r="T145" s="868">
        <v>15290.00092</v>
      </c>
      <c r="AN145" s="882"/>
      <c r="AO145" s="882"/>
      <c r="AP145" s="882"/>
      <c r="AY145" s="882"/>
      <c r="AZ145" s="882"/>
      <c r="BA145" s="882"/>
      <c r="BJ145" s="882"/>
      <c r="BK145" s="882"/>
      <c r="BL145" s="882"/>
      <c r="BU145" s="882"/>
      <c r="BV145" s="882"/>
      <c r="BW145" s="882"/>
      <c r="CF145" s="882"/>
      <c r="CG145" s="882"/>
      <c r="CH145" s="882"/>
      <c r="CI145" s="530"/>
    </row>
    <row r="146">
      <c r="A146" s="857"/>
      <c r="B146" s="865" t="s">
        <v>609</v>
      </c>
      <c r="C146" s="865" t="s">
        <v>591</v>
      </c>
      <c r="D146" s="865" t="s">
        <v>601</v>
      </c>
      <c r="E146" s="866">
        <v>2019.0</v>
      </c>
      <c r="F146" s="865" t="s">
        <v>593</v>
      </c>
      <c r="G146" s="865" t="s">
        <v>70</v>
      </c>
      <c r="H146" s="867">
        <v>264907.3281</v>
      </c>
      <c r="I146" s="867">
        <v>286396.195</v>
      </c>
      <c r="J146" s="868">
        <v>244785.9941</v>
      </c>
      <c r="K146" s="50"/>
      <c r="L146" s="869" t="s">
        <v>609</v>
      </c>
      <c r="M146" s="865" t="s">
        <v>591</v>
      </c>
      <c r="N146" s="865" t="s">
        <v>601</v>
      </c>
      <c r="O146" s="866">
        <v>2004.0</v>
      </c>
      <c r="P146" s="865" t="s">
        <v>593</v>
      </c>
      <c r="Q146" s="865" t="s">
        <v>70</v>
      </c>
      <c r="R146" s="867">
        <v>310316.4325</v>
      </c>
      <c r="S146" s="867">
        <v>332884.6101</v>
      </c>
      <c r="T146" s="868">
        <v>287637.5624</v>
      </c>
      <c r="AN146" s="882"/>
      <c r="AO146" s="882"/>
      <c r="AP146" s="882"/>
      <c r="AY146" s="882"/>
      <c r="AZ146" s="882"/>
      <c r="BA146" s="882"/>
      <c r="BJ146" s="882"/>
      <c r="BK146" s="882"/>
      <c r="BL146" s="882"/>
      <c r="BU146" s="882"/>
      <c r="BV146" s="882"/>
      <c r="BW146" s="882"/>
      <c r="CF146" s="882"/>
      <c r="CG146" s="882"/>
      <c r="CH146" s="882"/>
      <c r="CI146" s="530"/>
    </row>
    <row r="147">
      <c r="A147" s="857"/>
      <c r="B147" s="865" t="s">
        <v>609</v>
      </c>
      <c r="C147" s="865" t="s">
        <v>591</v>
      </c>
      <c r="D147" s="865" t="s">
        <v>606</v>
      </c>
      <c r="E147" s="866">
        <v>2019.0</v>
      </c>
      <c r="F147" s="865" t="s">
        <v>593</v>
      </c>
      <c r="G147" s="865" t="s">
        <v>70</v>
      </c>
      <c r="H147" s="867">
        <v>194624.2938</v>
      </c>
      <c r="I147" s="867">
        <v>210411.9113</v>
      </c>
      <c r="J147" s="868">
        <v>179841.3867</v>
      </c>
      <c r="K147" s="50"/>
      <c r="L147" s="869" t="s">
        <v>609</v>
      </c>
      <c r="M147" s="865" t="s">
        <v>591</v>
      </c>
      <c r="N147" s="865" t="s">
        <v>606</v>
      </c>
      <c r="O147" s="866">
        <v>2004.0</v>
      </c>
      <c r="P147" s="865" t="s">
        <v>593</v>
      </c>
      <c r="Q147" s="865" t="s">
        <v>70</v>
      </c>
      <c r="R147" s="867">
        <v>231942.1278</v>
      </c>
      <c r="S147" s="867">
        <v>248810.4292</v>
      </c>
      <c r="T147" s="868">
        <v>214991.0906</v>
      </c>
      <c r="AN147" s="882"/>
      <c r="AO147" s="882"/>
      <c r="AP147" s="882"/>
      <c r="AY147" s="882"/>
      <c r="AZ147" s="882"/>
      <c r="BA147" s="882"/>
      <c r="BJ147" s="882"/>
      <c r="BK147" s="882"/>
      <c r="BL147" s="882"/>
      <c r="BU147" s="882"/>
      <c r="BV147" s="882"/>
      <c r="BW147" s="882"/>
      <c r="CF147" s="882"/>
      <c r="CG147" s="882"/>
      <c r="CH147" s="882"/>
      <c r="CI147" s="530"/>
    </row>
    <row r="148">
      <c r="A148" s="857"/>
      <c r="B148" s="865" t="s">
        <v>609</v>
      </c>
      <c r="C148" s="865" t="s">
        <v>591</v>
      </c>
      <c r="D148" s="865" t="s">
        <v>608</v>
      </c>
      <c r="E148" s="866">
        <v>2019.0</v>
      </c>
      <c r="F148" s="865" t="s">
        <v>593</v>
      </c>
      <c r="G148" s="865" t="s">
        <v>70</v>
      </c>
      <c r="H148" s="867">
        <v>52094.77265</v>
      </c>
      <c r="I148" s="867">
        <v>56320.6189</v>
      </c>
      <c r="J148" s="868">
        <v>48137.85561</v>
      </c>
      <c r="K148" s="50"/>
      <c r="L148" s="869" t="s">
        <v>609</v>
      </c>
      <c r="M148" s="865" t="s">
        <v>591</v>
      </c>
      <c r="N148" s="865" t="s">
        <v>608</v>
      </c>
      <c r="O148" s="866">
        <v>2004.0</v>
      </c>
      <c r="P148" s="865" t="s">
        <v>593</v>
      </c>
      <c r="Q148" s="865" t="s">
        <v>70</v>
      </c>
      <c r="R148" s="867">
        <v>61846.73367</v>
      </c>
      <c r="S148" s="867">
        <v>66344.62008</v>
      </c>
      <c r="T148" s="868">
        <v>57326.78599</v>
      </c>
      <c r="AN148" s="882"/>
      <c r="AO148" s="882"/>
      <c r="AP148" s="882"/>
      <c r="AY148" s="882"/>
      <c r="AZ148" s="882"/>
      <c r="BA148" s="882"/>
      <c r="BJ148" s="882"/>
      <c r="BK148" s="882"/>
      <c r="BL148" s="882"/>
      <c r="BU148" s="882"/>
      <c r="BV148" s="882"/>
      <c r="BW148" s="882"/>
      <c r="CF148" s="882"/>
      <c r="CG148" s="882"/>
      <c r="CH148" s="882"/>
      <c r="CI148" s="530"/>
    </row>
    <row r="149">
      <c r="A149" s="857"/>
      <c r="B149" s="865" t="s">
        <v>609</v>
      </c>
      <c r="C149" s="865" t="s">
        <v>591</v>
      </c>
      <c r="D149" s="865" t="s">
        <v>610</v>
      </c>
      <c r="E149" s="866">
        <v>2019.0</v>
      </c>
      <c r="F149" s="865" t="s">
        <v>593</v>
      </c>
      <c r="G149" s="865" t="s">
        <v>70</v>
      </c>
      <c r="H149" s="867">
        <v>66774.92849</v>
      </c>
      <c r="I149" s="867">
        <v>72191.60596</v>
      </c>
      <c r="J149" s="868">
        <v>61702.96371</v>
      </c>
      <c r="K149" s="50"/>
      <c r="L149" s="869" t="s">
        <v>609</v>
      </c>
      <c r="M149" s="865" t="s">
        <v>591</v>
      </c>
      <c r="N149" s="865" t="s">
        <v>610</v>
      </c>
      <c r="O149" s="866">
        <v>2004.0</v>
      </c>
      <c r="P149" s="865" t="s">
        <v>593</v>
      </c>
      <c r="Q149" s="865" t="s">
        <v>70</v>
      </c>
      <c r="R149" s="867">
        <v>78659.04335</v>
      </c>
      <c r="S149" s="867">
        <v>84379.62746</v>
      </c>
      <c r="T149" s="868">
        <v>72910.40086</v>
      </c>
      <c r="AN149" s="882"/>
      <c r="AO149" s="882"/>
      <c r="AP149" s="882"/>
      <c r="AY149" s="882"/>
      <c r="AZ149" s="882"/>
      <c r="BA149" s="882"/>
      <c r="BJ149" s="882"/>
      <c r="BK149" s="882"/>
      <c r="BL149" s="882"/>
      <c r="BU149" s="882"/>
      <c r="BV149" s="882"/>
      <c r="BW149" s="882"/>
      <c r="CF149" s="882"/>
      <c r="CG149" s="882"/>
      <c r="CH149" s="882"/>
      <c r="CI149" s="530"/>
    </row>
    <row r="150">
      <c r="A150" s="857"/>
      <c r="B150" s="865" t="s">
        <v>609</v>
      </c>
      <c r="C150" s="865" t="s">
        <v>591</v>
      </c>
      <c r="D150" s="865" t="s">
        <v>612</v>
      </c>
      <c r="E150" s="866">
        <v>2019.0</v>
      </c>
      <c r="F150" s="865" t="s">
        <v>593</v>
      </c>
      <c r="G150" s="865" t="s">
        <v>70</v>
      </c>
      <c r="H150" s="867">
        <v>137057.9627</v>
      </c>
      <c r="I150" s="867">
        <v>148175.8897</v>
      </c>
      <c r="J150" s="868">
        <v>126647.571</v>
      </c>
      <c r="K150" s="50"/>
      <c r="L150" s="869" t="s">
        <v>609</v>
      </c>
      <c r="M150" s="865" t="s">
        <v>591</v>
      </c>
      <c r="N150" s="865" t="s">
        <v>612</v>
      </c>
      <c r="O150" s="866">
        <v>2004.0</v>
      </c>
      <c r="P150" s="865" t="s">
        <v>593</v>
      </c>
      <c r="Q150" s="865" t="s">
        <v>70</v>
      </c>
      <c r="R150" s="867">
        <v>157033.3481</v>
      </c>
      <c r="S150" s="867">
        <v>168453.8083</v>
      </c>
      <c r="T150" s="868">
        <v>145556.8726</v>
      </c>
      <c r="AN150" s="882"/>
      <c r="AO150" s="882"/>
      <c r="AP150" s="882"/>
      <c r="AY150" s="882"/>
      <c r="AZ150" s="882"/>
      <c r="BA150" s="882"/>
      <c r="BJ150" s="882"/>
      <c r="BK150" s="882"/>
      <c r="BL150" s="882"/>
      <c r="BU150" s="882"/>
      <c r="BV150" s="882"/>
      <c r="BW150" s="882"/>
      <c r="CF150" s="882"/>
      <c r="CG150" s="882"/>
      <c r="CH150" s="882"/>
      <c r="CI150" s="530"/>
    </row>
    <row r="151">
      <c r="A151" s="857"/>
      <c r="B151" s="865" t="s">
        <v>609</v>
      </c>
      <c r="C151" s="865" t="s">
        <v>591</v>
      </c>
      <c r="D151" s="865" t="s">
        <v>614</v>
      </c>
      <c r="E151" s="866">
        <v>2019.0</v>
      </c>
      <c r="F151" s="865" t="s">
        <v>593</v>
      </c>
      <c r="G151" s="865" t="s">
        <v>70</v>
      </c>
      <c r="H151" s="867">
        <v>214022.7825</v>
      </c>
      <c r="I151" s="867">
        <v>231383.9749</v>
      </c>
      <c r="J151" s="868">
        <v>197766.4413</v>
      </c>
      <c r="K151" s="50"/>
      <c r="L151" s="869" t="s">
        <v>609</v>
      </c>
      <c r="M151" s="865" t="s">
        <v>591</v>
      </c>
      <c r="N151" s="865" t="s">
        <v>614</v>
      </c>
      <c r="O151" s="866">
        <v>2004.0</v>
      </c>
      <c r="P151" s="865" t="s">
        <v>593</v>
      </c>
      <c r="Q151" s="865" t="s">
        <v>70</v>
      </c>
      <c r="R151" s="867">
        <v>228813.0694</v>
      </c>
      <c r="S151" s="867">
        <v>245453.8058</v>
      </c>
      <c r="T151" s="868">
        <v>212090.7133</v>
      </c>
      <c r="AN151" s="882"/>
      <c r="AO151" s="882"/>
      <c r="AP151" s="882"/>
      <c r="AY151" s="882"/>
      <c r="AZ151" s="882"/>
      <c r="BA151" s="882"/>
      <c r="BJ151" s="882"/>
      <c r="BK151" s="882"/>
      <c r="BL151" s="882"/>
      <c r="BU151" s="882"/>
      <c r="BV151" s="882"/>
      <c r="BW151" s="882"/>
      <c r="CF151" s="882"/>
      <c r="CG151" s="882"/>
      <c r="CH151" s="882"/>
      <c r="CI151" s="530"/>
    </row>
    <row r="152">
      <c r="A152" s="857"/>
      <c r="B152" s="865" t="s">
        <v>609</v>
      </c>
      <c r="C152" s="865" t="s">
        <v>591</v>
      </c>
      <c r="D152" s="865" t="s">
        <v>616</v>
      </c>
      <c r="E152" s="866">
        <v>2019.0</v>
      </c>
      <c r="F152" s="865" t="s">
        <v>593</v>
      </c>
      <c r="G152" s="865" t="s">
        <v>70</v>
      </c>
      <c r="H152" s="867">
        <v>70283.03421</v>
      </c>
      <c r="I152" s="867">
        <v>75984.2837</v>
      </c>
      <c r="J152" s="868">
        <v>64944.60731</v>
      </c>
      <c r="K152" s="50"/>
      <c r="L152" s="869" t="s">
        <v>609</v>
      </c>
      <c r="M152" s="865" t="s">
        <v>591</v>
      </c>
      <c r="N152" s="865" t="s">
        <v>616</v>
      </c>
      <c r="O152" s="866">
        <v>2004.0</v>
      </c>
      <c r="P152" s="865" t="s">
        <v>593</v>
      </c>
      <c r="Q152" s="865" t="s">
        <v>70</v>
      </c>
      <c r="R152" s="867">
        <v>78374.3047</v>
      </c>
      <c r="S152" s="867">
        <v>84074.18082</v>
      </c>
      <c r="T152" s="868">
        <v>72646.47178</v>
      </c>
      <c r="AN152" s="882"/>
      <c r="AO152" s="882"/>
      <c r="AP152" s="882"/>
      <c r="AY152" s="882"/>
      <c r="AZ152" s="882"/>
      <c r="BA152" s="882"/>
      <c r="BJ152" s="882"/>
      <c r="BK152" s="882"/>
      <c r="BL152" s="882"/>
      <c r="BU152" s="882"/>
      <c r="BV152" s="882"/>
      <c r="BW152" s="882"/>
      <c r="CF152" s="882"/>
      <c r="CG152" s="882"/>
      <c r="CH152" s="882"/>
      <c r="CI152" s="530"/>
    </row>
    <row r="153">
      <c r="A153" s="857"/>
      <c r="B153" s="865" t="s">
        <v>609</v>
      </c>
      <c r="C153" s="865" t="s">
        <v>591</v>
      </c>
      <c r="D153" s="865" t="s">
        <v>618</v>
      </c>
      <c r="E153" s="866">
        <v>2019.0</v>
      </c>
      <c r="F153" s="865" t="s">
        <v>593</v>
      </c>
      <c r="G153" s="865" t="s">
        <v>70</v>
      </c>
      <c r="H153" s="867">
        <v>351165.6715</v>
      </c>
      <c r="I153" s="867">
        <v>379669.6718</v>
      </c>
      <c r="J153" s="868">
        <v>324486.2274</v>
      </c>
      <c r="K153" s="50"/>
      <c r="L153" s="869" t="s">
        <v>609</v>
      </c>
      <c r="M153" s="865" t="s">
        <v>591</v>
      </c>
      <c r="N153" s="865" t="s">
        <v>618</v>
      </c>
      <c r="O153" s="866">
        <v>2004.0</v>
      </c>
      <c r="P153" s="865" t="s">
        <v>593</v>
      </c>
      <c r="Q153" s="865" t="s">
        <v>70</v>
      </c>
      <c r="R153" s="867">
        <v>293162.8223</v>
      </c>
      <c r="S153" s="867">
        <v>314497.2442</v>
      </c>
      <c r="T153" s="868">
        <v>271746.219</v>
      </c>
      <c r="AN153" s="882"/>
      <c r="AO153" s="882"/>
      <c r="AP153" s="882"/>
      <c r="AY153" s="882"/>
      <c r="AZ153" s="882"/>
      <c r="BA153" s="882"/>
      <c r="BJ153" s="882"/>
      <c r="BK153" s="882"/>
      <c r="BL153" s="882"/>
      <c r="BU153" s="882"/>
      <c r="BV153" s="882"/>
      <c r="BW153" s="882"/>
      <c r="CF153" s="882"/>
      <c r="CG153" s="882"/>
      <c r="CH153" s="882"/>
      <c r="CI153" s="530"/>
    </row>
    <row r="154">
      <c r="A154" s="857"/>
      <c r="B154" s="865" t="s">
        <v>609</v>
      </c>
      <c r="C154" s="865" t="s">
        <v>591</v>
      </c>
      <c r="D154" s="865" t="s">
        <v>620</v>
      </c>
      <c r="E154" s="866">
        <v>2019.0</v>
      </c>
      <c r="F154" s="865" t="s">
        <v>593</v>
      </c>
      <c r="G154" s="865" t="s">
        <v>70</v>
      </c>
      <c r="H154" s="867">
        <v>435629.9326</v>
      </c>
      <c r="I154" s="867">
        <v>470967.5494</v>
      </c>
      <c r="J154" s="868">
        <v>402541.1712</v>
      </c>
      <c r="K154" s="50"/>
      <c r="L154" s="869" t="s">
        <v>609</v>
      </c>
      <c r="M154" s="865" t="s">
        <v>591</v>
      </c>
      <c r="N154" s="865" t="s">
        <v>620</v>
      </c>
      <c r="O154" s="866">
        <v>2004.0</v>
      </c>
      <c r="P154" s="865" t="s">
        <v>593</v>
      </c>
      <c r="Q154" s="865" t="s">
        <v>70</v>
      </c>
      <c r="R154" s="867">
        <v>352384.7077</v>
      </c>
      <c r="S154" s="867">
        <v>378012.3568</v>
      </c>
      <c r="T154" s="868">
        <v>326631.3599</v>
      </c>
      <c r="AN154" s="882"/>
      <c r="AO154" s="882"/>
      <c r="AP154" s="882"/>
      <c r="AY154" s="882"/>
      <c r="AZ154" s="882"/>
      <c r="BA154" s="882"/>
      <c r="BJ154" s="882"/>
      <c r="BK154" s="882"/>
      <c r="BL154" s="882"/>
      <c r="BU154" s="882"/>
      <c r="BV154" s="882"/>
      <c r="BW154" s="882"/>
      <c r="CF154" s="882"/>
      <c r="CG154" s="882"/>
      <c r="CH154" s="882"/>
      <c r="CI154" s="530"/>
    </row>
    <row r="155">
      <c r="A155" s="857"/>
      <c r="B155" s="865" t="s">
        <v>609</v>
      </c>
      <c r="C155" s="865" t="s">
        <v>591</v>
      </c>
      <c r="D155" s="865" t="s">
        <v>622</v>
      </c>
      <c r="E155" s="866">
        <v>2019.0</v>
      </c>
      <c r="F155" s="865" t="s">
        <v>593</v>
      </c>
      <c r="G155" s="865" t="s">
        <v>70</v>
      </c>
      <c r="H155" s="867">
        <v>489321.1858</v>
      </c>
      <c r="I155" s="867">
        <v>529039.2231</v>
      </c>
      <c r="J155" s="868">
        <v>452145.5213</v>
      </c>
      <c r="K155" s="50"/>
      <c r="L155" s="869" t="s">
        <v>609</v>
      </c>
      <c r="M155" s="865" t="s">
        <v>591</v>
      </c>
      <c r="N155" s="865" t="s">
        <v>622</v>
      </c>
      <c r="O155" s="866">
        <v>2004.0</v>
      </c>
      <c r="P155" s="865" t="s">
        <v>593</v>
      </c>
      <c r="Q155" s="865" t="s">
        <v>70</v>
      </c>
      <c r="R155" s="867">
        <v>357053.9145</v>
      </c>
      <c r="S155" s="867">
        <v>383037.9012</v>
      </c>
      <c r="T155" s="868">
        <v>330969.8361</v>
      </c>
      <c r="AN155" s="882"/>
      <c r="AO155" s="882"/>
      <c r="AP155" s="882"/>
      <c r="AY155" s="882"/>
      <c r="AZ155" s="882"/>
      <c r="BA155" s="882"/>
      <c r="BJ155" s="882"/>
      <c r="BK155" s="882"/>
      <c r="BL155" s="882"/>
      <c r="BU155" s="882"/>
      <c r="BV155" s="882"/>
      <c r="BW155" s="882"/>
      <c r="CF155" s="882"/>
      <c r="CG155" s="882"/>
      <c r="CH155" s="882"/>
      <c r="CI155" s="530"/>
    </row>
    <row r="156">
      <c r="A156" s="857"/>
      <c r="B156" s="865" t="s">
        <v>609</v>
      </c>
      <c r="C156" s="865" t="s">
        <v>591</v>
      </c>
      <c r="D156" s="865" t="s">
        <v>624</v>
      </c>
      <c r="E156" s="866">
        <v>2019.0</v>
      </c>
      <c r="F156" s="865" t="s">
        <v>593</v>
      </c>
      <c r="G156" s="865" t="s">
        <v>70</v>
      </c>
      <c r="H156" s="867">
        <v>76964.81975</v>
      </c>
      <c r="I156" s="867">
        <v>83208.08521</v>
      </c>
      <c r="J156" s="868">
        <v>71118.87032</v>
      </c>
      <c r="K156" s="50"/>
      <c r="L156" s="869" t="s">
        <v>609</v>
      </c>
      <c r="M156" s="865" t="s">
        <v>591</v>
      </c>
      <c r="N156" s="865" t="s">
        <v>624</v>
      </c>
      <c r="O156" s="866">
        <v>2004.0</v>
      </c>
      <c r="P156" s="865" t="s">
        <v>593</v>
      </c>
      <c r="Q156" s="865" t="s">
        <v>70</v>
      </c>
      <c r="R156" s="867">
        <v>71779.72135</v>
      </c>
      <c r="S156" s="867">
        <v>76999.99757</v>
      </c>
      <c r="T156" s="868">
        <v>66533.84066</v>
      </c>
      <c r="AN156" s="882"/>
      <c r="AO156" s="882"/>
      <c r="AP156" s="882"/>
      <c r="AY156" s="882"/>
      <c r="AZ156" s="882"/>
      <c r="BA156" s="882"/>
      <c r="BJ156" s="882"/>
      <c r="BK156" s="882"/>
      <c r="BL156" s="882"/>
      <c r="BU156" s="882"/>
      <c r="BV156" s="882"/>
      <c r="BW156" s="882"/>
      <c r="CF156" s="882"/>
      <c r="CG156" s="882"/>
      <c r="CH156" s="882"/>
      <c r="CI156" s="530"/>
    </row>
    <row r="157">
      <c r="A157" s="857"/>
      <c r="B157" s="865" t="s">
        <v>609</v>
      </c>
      <c r="C157" s="865" t="s">
        <v>591</v>
      </c>
      <c r="D157" s="865" t="s">
        <v>625</v>
      </c>
      <c r="E157" s="866">
        <v>2019.0</v>
      </c>
      <c r="F157" s="865" t="s">
        <v>593</v>
      </c>
      <c r="G157" s="865" t="s">
        <v>70</v>
      </c>
      <c r="H157" s="867">
        <v>412377.7136</v>
      </c>
      <c r="I157" s="867">
        <v>445829.1469</v>
      </c>
      <c r="J157" s="868">
        <v>381055.1006</v>
      </c>
      <c r="K157" s="50"/>
      <c r="L157" s="869" t="s">
        <v>609</v>
      </c>
      <c r="M157" s="865" t="s">
        <v>591</v>
      </c>
      <c r="N157" s="865" t="s">
        <v>625</v>
      </c>
      <c r="O157" s="866">
        <v>2004.0</v>
      </c>
      <c r="P157" s="865" t="s">
        <v>593</v>
      </c>
      <c r="Q157" s="865" t="s">
        <v>70</v>
      </c>
      <c r="R157" s="867">
        <v>285287.6793</v>
      </c>
      <c r="S157" s="867">
        <v>306035.6073</v>
      </c>
      <c r="T157" s="868">
        <v>264437.9867</v>
      </c>
      <c r="AN157" s="882"/>
      <c r="AO157" s="882"/>
      <c r="AP157" s="882"/>
      <c r="AY157" s="882"/>
      <c r="AZ157" s="882"/>
      <c r="BA157" s="882"/>
      <c r="BJ157" s="882"/>
      <c r="BK157" s="882"/>
      <c r="BL157" s="882"/>
      <c r="BU157" s="882"/>
      <c r="BV157" s="882"/>
      <c r="BW157" s="882"/>
      <c r="CF157" s="882"/>
      <c r="CG157" s="882"/>
      <c r="CH157" s="882"/>
      <c r="CI157" s="530"/>
    </row>
    <row r="158">
      <c r="A158" s="857"/>
      <c r="B158" s="865" t="s">
        <v>609</v>
      </c>
      <c r="C158" s="865" t="s">
        <v>591</v>
      </c>
      <c r="D158" s="865" t="s">
        <v>627</v>
      </c>
      <c r="E158" s="866">
        <v>2019.0</v>
      </c>
      <c r="F158" s="865" t="s">
        <v>593</v>
      </c>
      <c r="G158" s="865" t="s">
        <v>70</v>
      </c>
      <c r="H158" s="867">
        <v>75403.30612</v>
      </c>
      <c r="I158" s="867">
        <v>81519.90404</v>
      </c>
      <c r="J158" s="868">
        <v>69675.96321</v>
      </c>
      <c r="K158" s="50"/>
      <c r="L158" s="869" t="s">
        <v>609</v>
      </c>
      <c r="M158" s="865" t="s">
        <v>591</v>
      </c>
      <c r="N158" s="865" t="s">
        <v>627</v>
      </c>
      <c r="O158" s="866">
        <v>2004.0</v>
      </c>
      <c r="P158" s="865" t="s">
        <v>593</v>
      </c>
      <c r="Q158" s="865" t="s">
        <v>70</v>
      </c>
      <c r="R158" s="867">
        <v>58734.85691</v>
      </c>
      <c r="S158" s="867">
        <v>63006.42792</v>
      </c>
      <c r="T158" s="868">
        <v>54442.33465</v>
      </c>
      <c r="AN158" s="882"/>
      <c r="AO158" s="882"/>
      <c r="AP158" s="882"/>
      <c r="AY158" s="882"/>
      <c r="AZ158" s="882"/>
      <c r="BA158" s="882"/>
      <c r="BJ158" s="882"/>
      <c r="BK158" s="882"/>
      <c r="BL158" s="882"/>
      <c r="BU158" s="882"/>
      <c r="BV158" s="882"/>
      <c r="BW158" s="882"/>
      <c r="CF158" s="882"/>
      <c r="CG158" s="882"/>
      <c r="CH158" s="882"/>
      <c r="CI158" s="530"/>
    </row>
    <row r="159">
      <c r="A159" s="857"/>
      <c r="B159" s="865" t="s">
        <v>609</v>
      </c>
      <c r="C159" s="865" t="s">
        <v>591</v>
      </c>
      <c r="D159" s="865" t="s">
        <v>629</v>
      </c>
      <c r="E159" s="866">
        <v>2019.0</v>
      </c>
      <c r="F159" s="865" t="s">
        <v>593</v>
      </c>
      <c r="G159" s="865" t="s">
        <v>70</v>
      </c>
      <c r="H159" s="867">
        <v>288369.498</v>
      </c>
      <c r="I159" s="867">
        <v>311776.3539</v>
      </c>
      <c r="J159" s="868">
        <v>266460.9274</v>
      </c>
      <c r="K159" s="50"/>
      <c r="L159" s="869" t="s">
        <v>609</v>
      </c>
      <c r="M159" s="865" t="s">
        <v>591</v>
      </c>
      <c r="N159" s="865" t="s">
        <v>629</v>
      </c>
      <c r="O159" s="866">
        <v>2004.0</v>
      </c>
      <c r="P159" s="865" t="s">
        <v>593</v>
      </c>
      <c r="Q159" s="865" t="s">
        <v>70</v>
      </c>
      <c r="R159" s="867">
        <v>202223.0436</v>
      </c>
      <c r="S159" s="867">
        <v>216939.479</v>
      </c>
      <c r="T159" s="868">
        <v>187449.9197</v>
      </c>
      <c r="AN159" s="882"/>
      <c r="AO159" s="882"/>
      <c r="AP159" s="882"/>
      <c r="AY159" s="882"/>
      <c r="AZ159" s="882"/>
      <c r="BA159" s="882"/>
      <c r="BJ159" s="882"/>
      <c r="BK159" s="882"/>
      <c r="BL159" s="882"/>
      <c r="BU159" s="882"/>
      <c r="BV159" s="882"/>
      <c r="BW159" s="882"/>
      <c r="CF159" s="882"/>
      <c r="CG159" s="882"/>
      <c r="CH159" s="882"/>
      <c r="CI159" s="530"/>
    </row>
    <row r="160">
      <c r="A160" s="857"/>
      <c r="B160" s="865" t="s">
        <v>609</v>
      </c>
      <c r="C160" s="865" t="s">
        <v>591</v>
      </c>
      <c r="D160" s="865" t="s">
        <v>631</v>
      </c>
      <c r="E160" s="866">
        <v>2019.0</v>
      </c>
      <c r="F160" s="865" t="s">
        <v>593</v>
      </c>
      <c r="G160" s="865" t="s">
        <v>70</v>
      </c>
      <c r="H160" s="867">
        <v>68987.0729</v>
      </c>
      <c r="I160" s="867">
        <v>74583.19605</v>
      </c>
      <c r="J160" s="868">
        <v>63747.0822</v>
      </c>
      <c r="K160" s="50"/>
      <c r="L160" s="869" t="s">
        <v>609</v>
      </c>
      <c r="M160" s="865" t="s">
        <v>591</v>
      </c>
      <c r="N160" s="865" t="s">
        <v>631</v>
      </c>
      <c r="O160" s="866">
        <v>2004.0</v>
      </c>
      <c r="P160" s="865" t="s">
        <v>593</v>
      </c>
      <c r="Q160" s="865" t="s">
        <v>70</v>
      </c>
      <c r="R160" s="867">
        <v>45768.50983</v>
      </c>
      <c r="S160" s="867">
        <v>49097.08592</v>
      </c>
      <c r="T160" s="868">
        <v>42423.60772</v>
      </c>
      <c r="AN160" s="882"/>
      <c r="AO160" s="882"/>
      <c r="AP160" s="882"/>
      <c r="AY160" s="882"/>
      <c r="AZ160" s="882"/>
      <c r="BA160" s="882"/>
      <c r="BJ160" s="882"/>
      <c r="BK160" s="882"/>
      <c r="BL160" s="882"/>
      <c r="BU160" s="882"/>
      <c r="BV160" s="882"/>
      <c r="BW160" s="882"/>
      <c r="CF160" s="882"/>
      <c r="CG160" s="882"/>
      <c r="CH160" s="882"/>
      <c r="CI160" s="530"/>
    </row>
    <row r="161">
      <c r="A161" s="857"/>
      <c r="B161" s="865" t="s">
        <v>609</v>
      </c>
      <c r="C161" s="865" t="s">
        <v>591</v>
      </c>
      <c r="D161" s="865" t="s">
        <v>633</v>
      </c>
      <c r="E161" s="866">
        <v>2019.0</v>
      </c>
      <c r="F161" s="865" t="s">
        <v>593</v>
      </c>
      <c r="G161" s="865" t="s">
        <v>70</v>
      </c>
      <c r="H161" s="867">
        <v>59542.75872</v>
      </c>
      <c r="I161" s="867">
        <v>64372.77391</v>
      </c>
      <c r="J161" s="868">
        <v>55020.12152</v>
      </c>
      <c r="K161" s="50"/>
      <c r="L161" s="869" t="s">
        <v>609</v>
      </c>
      <c r="M161" s="865" t="s">
        <v>591</v>
      </c>
      <c r="N161" s="865" t="s">
        <v>633</v>
      </c>
      <c r="O161" s="866">
        <v>2004.0</v>
      </c>
      <c r="P161" s="865" t="s">
        <v>593</v>
      </c>
      <c r="Q161" s="865" t="s">
        <v>70</v>
      </c>
      <c r="R161" s="867">
        <v>38516.50243</v>
      </c>
      <c r="S161" s="867">
        <v>41317.66657</v>
      </c>
      <c r="T161" s="868">
        <v>35701.5991</v>
      </c>
      <c r="AN161" s="882"/>
      <c r="AO161" s="882"/>
      <c r="AP161" s="882"/>
      <c r="AY161" s="882"/>
      <c r="AZ161" s="882"/>
      <c r="BA161" s="882"/>
      <c r="BJ161" s="882"/>
      <c r="BK161" s="882"/>
      <c r="BL161" s="882"/>
      <c r="BU161" s="882"/>
      <c r="BV161" s="882"/>
      <c r="BW161" s="882"/>
      <c r="CF161" s="882"/>
      <c r="CG161" s="882"/>
      <c r="CH161" s="882"/>
      <c r="CI161" s="530"/>
    </row>
    <row r="162">
      <c r="A162" s="857"/>
      <c r="B162" s="865" t="s">
        <v>609</v>
      </c>
      <c r="C162" s="865" t="s">
        <v>591</v>
      </c>
      <c r="D162" s="865" t="s">
        <v>635</v>
      </c>
      <c r="E162" s="866">
        <v>2019.0</v>
      </c>
      <c r="F162" s="865" t="s">
        <v>593</v>
      </c>
      <c r="G162" s="865" t="s">
        <v>70</v>
      </c>
      <c r="H162" s="867">
        <v>46682.53631</v>
      </c>
      <c r="I162" s="867">
        <v>50469.35043</v>
      </c>
      <c r="J162" s="868">
        <v>43136.71177</v>
      </c>
      <c r="K162" s="50"/>
      <c r="L162" s="869" t="s">
        <v>609</v>
      </c>
      <c r="M162" s="865" t="s">
        <v>591</v>
      </c>
      <c r="N162" s="865" t="s">
        <v>635</v>
      </c>
      <c r="O162" s="866">
        <v>2004.0</v>
      </c>
      <c r="P162" s="865" t="s">
        <v>593</v>
      </c>
      <c r="Q162" s="865" t="s">
        <v>70</v>
      </c>
      <c r="R162" s="867">
        <v>32229.68843</v>
      </c>
      <c r="S162" s="867">
        <v>34573.63562</v>
      </c>
      <c r="T162" s="868">
        <v>29874.24463</v>
      </c>
      <c r="AN162" s="882"/>
      <c r="AO162" s="882"/>
      <c r="AP162" s="882"/>
      <c r="AY162" s="882"/>
      <c r="AZ162" s="882"/>
      <c r="BA162" s="882"/>
      <c r="BJ162" s="882"/>
      <c r="BK162" s="882"/>
      <c r="BL162" s="882"/>
      <c r="BU162" s="882"/>
      <c r="BV162" s="882"/>
      <c r="BW162" s="882"/>
      <c r="CF162" s="882"/>
      <c r="CG162" s="882"/>
      <c r="CH162" s="882"/>
      <c r="CI162" s="530"/>
    </row>
    <row r="163">
      <c r="A163" s="857"/>
      <c r="B163" s="865" t="s">
        <v>609</v>
      </c>
      <c r="C163" s="865" t="s">
        <v>591</v>
      </c>
      <c r="D163" s="865" t="s">
        <v>637</v>
      </c>
      <c r="E163" s="866">
        <v>2019.0</v>
      </c>
      <c r="F163" s="865" t="s">
        <v>593</v>
      </c>
      <c r="G163" s="865" t="s">
        <v>70</v>
      </c>
      <c r="H163" s="867">
        <v>37766.4046</v>
      </c>
      <c r="I163" s="867">
        <v>40829.9561</v>
      </c>
      <c r="J163" s="868">
        <v>34897.81487</v>
      </c>
      <c r="K163" s="50"/>
      <c r="L163" s="869" t="s">
        <v>609</v>
      </c>
      <c r="M163" s="865" t="s">
        <v>591</v>
      </c>
      <c r="N163" s="865" t="s">
        <v>637</v>
      </c>
      <c r="O163" s="866">
        <v>2004.0</v>
      </c>
      <c r="P163" s="865" t="s">
        <v>593</v>
      </c>
      <c r="Q163" s="865" t="s">
        <v>70</v>
      </c>
      <c r="R163" s="867">
        <v>26981.12408</v>
      </c>
      <c r="S163" s="867">
        <v>28943.36241</v>
      </c>
      <c r="T163" s="868">
        <v>25009.26134</v>
      </c>
      <c r="AN163" s="882"/>
      <c r="AO163" s="882"/>
      <c r="AP163" s="882"/>
      <c r="AY163" s="882"/>
      <c r="AZ163" s="882"/>
      <c r="BA163" s="882"/>
      <c r="BJ163" s="882"/>
      <c r="BK163" s="882"/>
      <c r="BL163" s="882"/>
      <c r="BU163" s="882"/>
      <c r="BV163" s="882"/>
      <c r="BW163" s="882"/>
      <c r="CF163" s="882"/>
      <c r="CG163" s="882"/>
      <c r="CH163" s="882"/>
      <c r="CI163" s="530"/>
    </row>
    <row r="164">
      <c r="A164" s="857"/>
      <c r="B164" s="865" t="s">
        <v>609</v>
      </c>
      <c r="C164" s="865" t="s">
        <v>591</v>
      </c>
      <c r="D164" s="865" t="s">
        <v>639</v>
      </c>
      <c r="E164" s="866">
        <v>2019.0</v>
      </c>
      <c r="F164" s="865" t="s">
        <v>593</v>
      </c>
      <c r="G164" s="865" t="s">
        <v>70</v>
      </c>
      <c r="H164" s="867">
        <v>199556.1623</v>
      </c>
      <c r="I164" s="867">
        <v>215754.0694</v>
      </c>
      <c r="J164" s="868">
        <v>184395.0919</v>
      </c>
      <c r="K164" s="50"/>
      <c r="L164" s="869" t="s">
        <v>609</v>
      </c>
      <c r="M164" s="865" t="s">
        <v>591</v>
      </c>
      <c r="N164" s="865" t="s">
        <v>639</v>
      </c>
      <c r="O164" s="866">
        <v>2004.0</v>
      </c>
      <c r="P164" s="865" t="s">
        <v>593</v>
      </c>
      <c r="Q164" s="865" t="s">
        <v>70</v>
      </c>
      <c r="R164" s="867">
        <v>231965.3918</v>
      </c>
      <c r="S164" s="867">
        <v>248846.2756</v>
      </c>
      <c r="T164" s="868">
        <v>215019.4818</v>
      </c>
      <c r="AN164" s="882"/>
      <c r="AO164" s="882"/>
      <c r="AP164" s="882"/>
      <c r="AY164" s="882"/>
      <c r="AZ164" s="882"/>
      <c r="BA164" s="882"/>
      <c r="BJ164" s="882"/>
      <c r="BK164" s="882"/>
      <c r="BL164" s="882"/>
      <c r="BU164" s="882"/>
      <c r="BV164" s="882"/>
      <c r="BW164" s="882"/>
      <c r="CF164" s="882"/>
      <c r="CG164" s="882"/>
      <c r="CH164" s="882"/>
      <c r="CI164" s="530"/>
    </row>
    <row r="165">
      <c r="A165" s="857"/>
      <c r="B165" s="865" t="s">
        <v>609</v>
      </c>
      <c r="C165" s="865" t="s">
        <v>591</v>
      </c>
      <c r="D165" s="865" t="s">
        <v>641</v>
      </c>
      <c r="E165" s="866">
        <v>2019.0</v>
      </c>
      <c r="F165" s="865" t="s">
        <v>593</v>
      </c>
      <c r="G165" s="865" t="s">
        <v>70</v>
      </c>
      <c r="H165" s="867">
        <v>62506.90564</v>
      </c>
      <c r="I165" s="867">
        <v>67577.36779</v>
      </c>
      <c r="J165" s="868">
        <v>57759.12333</v>
      </c>
      <c r="K165" s="50"/>
      <c r="L165" s="869" t="s">
        <v>609</v>
      </c>
      <c r="M165" s="865" t="s">
        <v>591</v>
      </c>
      <c r="N165" s="865" t="s">
        <v>641</v>
      </c>
      <c r="O165" s="866">
        <v>2004.0</v>
      </c>
      <c r="P165" s="865" t="s">
        <v>593</v>
      </c>
      <c r="Q165" s="865" t="s">
        <v>70</v>
      </c>
      <c r="R165" s="867">
        <v>74940.80516</v>
      </c>
      <c r="S165" s="867">
        <v>80390.97543</v>
      </c>
      <c r="T165" s="868">
        <v>69463.90285</v>
      </c>
      <c r="AN165" s="882"/>
      <c r="AO165" s="882"/>
      <c r="AP165" s="882"/>
      <c r="AY165" s="882"/>
      <c r="AZ165" s="882"/>
      <c r="BA165" s="882"/>
      <c r="BJ165" s="882"/>
      <c r="BK165" s="882"/>
      <c r="BL165" s="882"/>
      <c r="BU165" s="882"/>
      <c r="BV165" s="882"/>
      <c r="BW165" s="882"/>
      <c r="CF165" s="882"/>
      <c r="CG165" s="882"/>
      <c r="CH165" s="882"/>
      <c r="CI165" s="530"/>
    </row>
    <row r="166">
      <c r="A166" s="857"/>
      <c r="B166" s="865" t="s">
        <v>609</v>
      </c>
      <c r="C166" s="865" t="s">
        <v>591</v>
      </c>
      <c r="D166" s="865" t="s">
        <v>643</v>
      </c>
      <c r="E166" s="866">
        <v>2019.0</v>
      </c>
      <c r="F166" s="865" t="s">
        <v>593</v>
      </c>
      <c r="G166" s="865" t="s">
        <v>70</v>
      </c>
      <c r="H166" s="867">
        <v>31164.64446</v>
      </c>
      <c r="I166" s="867">
        <v>33692.67154</v>
      </c>
      <c r="J166" s="868">
        <v>28797.49885</v>
      </c>
      <c r="K166" s="50"/>
      <c r="L166" s="869" t="s">
        <v>609</v>
      </c>
      <c r="M166" s="865" t="s">
        <v>591</v>
      </c>
      <c r="N166" s="865" t="s">
        <v>643</v>
      </c>
      <c r="O166" s="866">
        <v>2004.0</v>
      </c>
      <c r="P166" s="865" t="s">
        <v>593</v>
      </c>
      <c r="Q166" s="865" t="s">
        <v>70</v>
      </c>
      <c r="R166" s="867">
        <v>22041.74298</v>
      </c>
      <c r="S166" s="867">
        <v>23644.75821</v>
      </c>
      <c r="T166" s="868">
        <v>20430.86526</v>
      </c>
      <c r="AN166" s="882"/>
      <c r="AO166" s="882"/>
      <c r="AP166" s="882"/>
      <c r="AY166" s="882"/>
      <c r="AZ166" s="882"/>
      <c r="BA166" s="882"/>
      <c r="BJ166" s="882"/>
      <c r="BK166" s="882"/>
      <c r="BL166" s="882"/>
      <c r="BU166" s="882"/>
      <c r="BV166" s="882"/>
      <c r="BW166" s="882"/>
      <c r="CF166" s="882"/>
      <c r="CG166" s="882"/>
      <c r="CH166" s="882"/>
      <c r="CI166" s="530"/>
    </row>
    <row r="167">
      <c r="A167" s="857"/>
      <c r="B167" s="865" t="s">
        <v>609</v>
      </c>
      <c r="C167" s="865" t="s">
        <v>591</v>
      </c>
      <c r="D167" s="865" t="s">
        <v>645</v>
      </c>
      <c r="E167" s="866">
        <v>2019.0</v>
      </c>
      <c r="F167" s="865" t="s">
        <v>593</v>
      </c>
      <c r="G167" s="865" t="s">
        <v>70</v>
      </c>
      <c r="H167" s="867">
        <v>95278.77324</v>
      </c>
      <c r="I167" s="867">
        <v>103007.6379</v>
      </c>
      <c r="J167" s="868">
        <v>88041.76688</v>
      </c>
      <c r="K167" s="50"/>
      <c r="L167" s="869" t="s">
        <v>609</v>
      </c>
      <c r="M167" s="865" t="s">
        <v>591</v>
      </c>
      <c r="N167" s="865" t="s">
        <v>645</v>
      </c>
      <c r="O167" s="866">
        <v>2004.0</v>
      </c>
      <c r="P167" s="865" t="s">
        <v>593</v>
      </c>
      <c r="Q167" s="865" t="s">
        <v>70</v>
      </c>
      <c r="R167" s="867">
        <v>65198.28399</v>
      </c>
      <c r="S167" s="867">
        <v>69939.91638</v>
      </c>
      <c r="T167" s="868">
        <v>60433.39479</v>
      </c>
      <c r="AN167" s="882"/>
      <c r="AO167" s="882"/>
      <c r="AP167" s="882"/>
      <c r="AY167" s="882"/>
      <c r="AZ167" s="882"/>
      <c r="BA167" s="882"/>
      <c r="BJ167" s="882"/>
      <c r="BK167" s="882"/>
      <c r="BL167" s="882"/>
      <c r="BU167" s="882"/>
      <c r="BV167" s="882"/>
      <c r="BW167" s="882"/>
      <c r="CF167" s="882"/>
      <c r="CG167" s="882"/>
      <c r="CH167" s="882"/>
      <c r="CI167" s="530"/>
    </row>
    <row r="168">
      <c r="A168" s="857"/>
      <c r="B168" s="865" t="s">
        <v>609</v>
      </c>
      <c r="C168" s="865" t="s">
        <v>591</v>
      </c>
      <c r="D168" s="865" t="s">
        <v>604</v>
      </c>
      <c r="E168" s="866">
        <v>2019.0</v>
      </c>
      <c r="F168" s="865" t="s">
        <v>593</v>
      </c>
      <c r="G168" s="865" t="s">
        <v>70</v>
      </c>
      <c r="H168" s="867">
        <v>129281.8341</v>
      </c>
      <c r="I168" s="867">
        <v>139768.9737</v>
      </c>
      <c r="J168" s="868">
        <v>119462.087</v>
      </c>
      <c r="K168" s="50"/>
      <c r="L168" s="869" t="s">
        <v>609</v>
      </c>
      <c r="M168" s="865" t="s">
        <v>591</v>
      </c>
      <c r="N168" s="865" t="s">
        <v>604</v>
      </c>
      <c r="O168" s="866">
        <v>2004.0</v>
      </c>
      <c r="P168" s="865" t="s">
        <v>593</v>
      </c>
      <c r="Q168" s="865" t="s">
        <v>70</v>
      </c>
      <c r="R168" s="867">
        <v>153599.8485</v>
      </c>
      <c r="S168" s="867">
        <v>164770.6029</v>
      </c>
      <c r="T168" s="868">
        <v>142374.3037</v>
      </c>
      <c r="AN168" s="882"/>
      <c r="AO168" s="882"/>
      <c r="AP168" s="882"/>
      <c r="AY168" s="882"/>
      <c r="AZ168" s="882"/>
      <c r="BA168" s="882"/>
      <c r="BJ168" s="882"/>
      <c r="BK168" s="882"/>
      <c r="BL168" s="882"/>
      <c r="BU168" s="882"/>
      <c r="BV168" s="882"/>
      <c r="BW168" s="882"/>
      <c r="CF168" s="882"/>
      <c r="CG168" s="882"/>
      <c r="CH168" s="882"/>
      <c r="CI168" s="530"/>
    </row>
    <row r="169">
      <c r="A169" s="857"/>
      <c r="B169" s="865" t="s">
        <v>609</v>
      </c>
      <c r="C169" s="865" t="s">
        <v>591</v>
      </c>
      <c r="D169" s="865" t="s">
        <v>647</v>
      </c>
      <c r="E169" s="866">
        <v>2019.0</v>
      </c>
      <c r="F169" s="865" t="s">
        <v>593</v>
      </c>
      <c r="G169" s="865" t="s">
        <v>70</v>
      </c>
      <c r="H169" s="867">
        <v>92826.94076</v>
      </c>
      <c r="I169" s="867">
        <v>100361.6726</v>
      </c>
      <c r="J169" s="868">
        <v>85774.51116</v>
      </c>
      <c r="K169" s="50"/>
      <c r="L169" s="869" t="s">
        <v>609</v>
      </c>
      <c r="M169" s="865" t="s">
        <v>591</v>
      </c>
      <c r="N169" s="865" t="s">
        <v>647</v>
      </c>
      <c r="O169" s="866">
        <v>2004.0</v>
      </c>
      <c r="P169" s="865" t="s">
        <v>593</v>
      </c>
      <c r="Q169" s="865" t="s">
        <v>70</v>
      </c>
      <c r="R169" s="867">
        <v>61012.95014</v>
      </c>
      <c r="S169" s="867">
        <v>65453.06301</v>
      </c>
      <c r="T169" s="868">
        <v>56555.73371</v>
      </c>
      <c r="AN169" s="882"/>
      <c r="AO169" s="882"/>
      <c r="AP169" s="882"/>
      <c r="AY169" s="882"/>
      <c r="AZ169" s="882"/>
      <c r="BA169" s="882"/>
      <c r="BJ169" s="882"/>
      <c r="BK169" s="882"/>
      <c r="BL169" s="882"/>
      <c r="BU169" s="882"/>
      <c r="BV169" s="882"/>
      <c r="BW169" s="882"/>
      <c r="CF169" s="882"/>
      <c r="CG169" s="882"/>
      <c r="CH169" s="882"/>
      <c r="CI169" s="530"/>
    </row>
    <row r="170">
      <c r="A170" s="857"/>
      <c r="B170" s="865" t="s">
        <v>609</v>
      </c>
      <c r="C170" s="865" t="s">
        <v>591</v>
      </c>
      <c r="D170" s="865" t="s">
        <v>649</v>
      </c>
      <c r="E170" s="866">
        <v>2019.0</v>
      </c>
      <c r="F170" s="865" t="s">
        <v>593</v>
      </c>
      <c r="G170" s="865" t="s">
        <v>70</v>
      </c>
      <c r="H170" s="867">
        <v>25893.12906</v>
      </c>
      <c r="I170" s="867">
        <v>27993.53908</v>
      </c>
      <c r="J170" s="868">
        <v>23926.38733</v>
      </c>
      <c r="K170" s="50"/>
      <c r="L170" s="869" t="s">
        <v>609</v>
      </c>
      <c r="M170" s="865" t="s">
        <v>591</v>
      </c>
      <c r="N170" s="865" t="s">
        <v>649</v>
      </c>
      <c r="O170" s="866">
        <v>2004.0</v>
      </c>
      <c r="P170" s="865" t="s">
        <v>593</v>
      </c>
      <c r="Q170" s="865" t="s">
        <v>70</v>
      </c>
      <c r="R170" s="867">
        <v>17354.98407</v>
      </c>
      <c r="S170" s="867">
        <v>18617.1485</v>
      </c>
      <c r="T170" s="868">
        <v>16086.62897</v>
      </c>
      <c r="AN170" s="882"/>
      <c r="AO170" s="882"/>
      <c r="AP170" s="882"/>
      <c r="AY170" s="882"/>
      <c r="AZ170" s="882"/>
      <c r="BA170" s="882"/>
      <c r="BJ170" s="882"/>
      <c r="BK170" s="882"/>
      <c r="BL170" s="882"/>
      <c r="BU170" s="882"/>
      <c r="BV170" s="882"/>
      <c r="BW170" s="882"/>
      <c r="CF170" s="882"/>
      <c r="CG170" s="882"/>
      <c r="CH170" s="882"/>
      <c r="CI170" s="530"/>
    </row>
    <row r="171">
      <c r="A171" s="857"/>
      <c r="B171" s="865" t="s">
        <v>609</v>
      </c>
      <c r="C171" s="865" t="s">
        <v>591</v>
      </c>
      <c r="D171" s="865" t="s">
        <v>651</v>
      </c>
      <c r="E171" s="866">
        <v>2019.0</v>
      </c>
      <c r="F171" s="865" t="s">
        <v>593</v>
      </c>
      <c r="G171" s="865" t="s">
        <v>70</v>
      </c>
      <c r="H171" s="867">
        <v>21202.52118</v>
      </c>
      <c r="I171" s="867">
        <v>22922.43644</v>
      </c>
      <c r="J171" s="868">
        <v>19592.05984</v>
      </c>
      <c r="K171" s="50"/>
      <c r="L171" s="869" t="s">
        <v>609</v>
      </c>
      <c r="M171" s="865" t="s">
        <v>591</v>
      </c>
      <c r="N171" s="865" t="s">
        <v>651</v>
      </c>
      <c r="O171" s="866">
        <v>2004.0</v>
      </c>
      <c r="P171" s="865" t="s">
        <v>593</v>
      </c>
      <c r="Q171" s="865" t="s">
        <v>70</v>
      </c>
      <c r="R171" s="867">
        <v>14246.38659</v>
      </c>
      <c r="S171" s="867">
        <v>15282.4741</v>
      </c>
      <c r="T171" s="868">
        <v>13205.21726</v>
      </c>
      <c r="AN171" s="882"/>
      <c r="AO171" s="882"/>
      <c r="AP171" s="882"/>
      <c r="AY171" s="882"/>
      <c r="AZ171" s="882"/>
      <c r="BA171" s="882"/>
      <c r="BJ171" s="882"/>
      <c r="BK171" s="882"/>
      <c r="BL171" s="882"/>
      <c r="BU171" s="882"/>
      <c r="BV171" s="882"/>
      <c r="BW171" s="882"/>
      <c r="CF171" s="882"/>
      <c r="CG171" s="882"/>
      <c r="CH171" s="882"/>
      <c r="CI171" s="530"/>
    </row>
    <row r="172">
      <c r="A172" s="857"/>
      <c r="B172" s="865" t="s">
        <v>609</v>
      </c>
      <c r="C172" s="865" t="s">
        <v>591</v>
      </c>
      <c r="D172" s="865" t="s">
        <v>653</v>
      </c>
      <c r="E172" s="866">
        <v>2019.0</v>
      </c>
      <c r="F172" s="865" t="s">
        <v>593</v>
      </c>
      <c r="G172" s="865" t="s">
        <v>70</v>
      </c>
      <c r="H172" s="867">
        <v>17018.47854</v>
      </c>
      <c r="I172" s="867">
        <v>18398.99082</v>
      </c>
      <c r="J172" s="868">
        <v>15725.82086</v>
      </c>
      <c r="K172" s="50"/>
      <c r="L172" s="869" t="s">
        <v>609</v>
      </c>
      <c r="M172" s="865" t="s">
        <v>591</v>
      </c>
      <c r="N172" s="865" t="s">
        <v>653</v>
      </c>
      <c r="O172" s="866">
        <v>2004.0</v>
      </c>
      <c r="P172" s="865" t="s">
        <v>593</v>
      </c>
      <c r="Q172" s="865" t="s">
        <v>70</v>
      </c>
      <c r="R172" s="867">
        <v>11555.17035</v>
      </c>
      <c r="S172" s="867">
        <v>12395.53556</v>
      </c>
      <c r="T172" s="868">
        <v>10710.6833</v>
      </c>
      <c r="AN172" s="882"/>
      <c r="AO172" s="882"/>
      <c r="AP172" s="882"/>
      <c r="AY172" s="882"/>
      <c r="AZ172" s="882"/>
      <c r="BA172" s="882"/>
      <c r="BJ172" s="882"/>
      <c r="BK172" s="882"/>
      <c r="BL172" s="882"/>
      <c r="BU172" s="882"/>
      <c r="BV172" s="882"/>
      <c r="BW172" s="882"/>
      <c r="CF172" s="882"/>
      <c r="CG172" s="882"/>
      <c r="CH172" s="882"/>
      <c r="CI172" s="530"/>
    </row>
    <row r="173">
      <c r="A173" s="857"/>
      <c r="B173" s="865" t="s">
        <v>609</v>
      </c>
      <c r="C173" s="865" t="s">
        <v>591</v>
      </c>
      <c r="D173" s="865" t="s">
        <v>655</v>
      </c>
      <c r="E173" s="866">
        <v>2019.0</v>
      </c>
      <c r="F173" s="865" t="s">
        <v>593</v>
      </c>
      <c r="G173" s="865" t="s">
        <v>70</v>
      </c>
      <c r="H173" s="867">
        <v>29439.25022</v>
      </c>
      <c r="I173" s="867">
        <v>31828.82433</v>
      </c>
      <c r="J173" s="868">
        <v>27202.63402</v>
      </c>
      <c r="K173" s="50"/>
      <c r="L173" s="869" t="s">
        <v>609</v>
      </c>
      <c r="M173" s="865" t="s">
        <v>591</v>
      </c>
      <c r="N173" s="865" t="s">
        <v>655</v>
      </c>
      <c r="O173" s="866">
        <v>2004.0</v>
      </c>
      <c r="P173" s="865" t="s">
        <v>593</v>
      </c>
      <c r="Q173" s="865" t="s">
        <v>70</v>
      </c>
      <c r="R173" s="867">
        <v>20044.36494</v>
      </c>
      <c r="S173" s="867">
        <v>21503.05924</v>
      </c>
      <c r="T173" s="868">
        <v>18580.05166</v>
      </c>
      <c r="AN173" s="882"/>
      <c r="AO173" s="882"/>
      <c r="AP173" s="882"/>
      <c r="AY173" s="882"/>
      <c r="AZ173" s="882"/>
      <c r="BA173" s="882"/>
      <c r="BJ173" s="882"/>
      <c r="BK173" s="882"/>
      <c r="BL173" s="882"/>
      <c r="BU173" s="882"/>
      <c r="BV173" s="882"/>
      <c r="BW173" s="882"/>
      <c r="CF173" s="882"/>
      <c r="CG173" s="882"/>
      <c r="CH173" s="882"/>
      <c r="CI173" s="530"/>
    </row>
    <row r="174">
      <c r="A174" s="857"/>
      <c r="B174" s="865" t="s">
        <v>609</v>
      </c>
      <c r="C174" s="865" t="s">
        <v>591</v>
      </c>
      <c r="D174" s="865" t="s">
        <v>657</v>
      </c>
      <c r="E174" s="866">
        <v>2019.0</v>
      </c>
      <c r="F174" s="865" t="s">
        <v>593</v>
      </c>
      <c r="G174" s="865" t="s">
        <v>70</v>
      </c>
      <c r="H174" s="867">
        <v>12422.05603</v>
      </c>
      <c r="I174" s="867">
        <v>13429.71373</v>
      </c>
      <c r="J174" s="868">
        <v>11478.52479</v>
      </c>
      <c r="K174" s="50"/>
      <c r="L174" s="869" t="s">
        <v>609</v>
      </c>
      <c r="M174" s="865" t="s">
        <v>591</v>
      </c>
      <c r="N174" s="865" t="s">
        <v>657</v>
      </c>
      <c r="O174" s="866">
        <v>2004.0</v>
      </c>
      <c r="P174" s="865" t="s">
        <v>593</v>
      </c>
      <c r="Q174" s="865" t="s">
        <v>70</v>
      </c>
      <c r="R174" s="867">
        <v>8489.951679</v>
      </c>
      <c r="S174" s="867">
        <v>9107.394768</v>
      </c>
      <c r="T174" s="868">
        <v>7869.480149</v>
      </c>
      <c r="AN174" s="882"/>
      <c r="AO174" s="882"/>
      <c r="AP174" s="882"/>
      <c r="AY174" s="882"/>
      <c r="AZ174" s="882"/>
      <c r="BA174" s="882"/>
      <c r="BJ174" s="882"/>
      <c r="BK174" s="882"/>
      <c r="BL174" s="882"/>
      <c r="BU174" s="882"/>
      <c r="BV174" s="882"/>
      <c r="BW174" s="882"/>
      <c r="CF174" s="882"/>
      <c r="CG174" s="882"/>
      <c r="CH174" s="882"/>
      <c r="CI174" s="530"/>
    </row>
    <row r="175">
      <c r="A175" s="857"/>
      <c r="B175" s="865" t="s">
        <v>609</v>
      </c>
      <c r="C175" s="865" t="s">
        <v>591</v>
      </c>
      <c r="D175" s="865" t="s">
        <v>659</v>
      </c>
      <c r="E175" s="866">
        <v>2019.0</v>
      </c>
      <c r="F175" s="865" t="s">
        <v>593</v>
      </c>
      <c r="G175" s="865" t="s">
        <v>70</v>
      </c>
      <c r="H175" s="867">
        <v>28716.86172</v>
      </c>
      <c r="I175" s="867">
        <v>31046.32851</v>
      </c>
      <c r="J175" s="868">
        <v>26535.6402</v>
      </c>
      <c r="K175" s="50"/>
      <c r="L175" s="869" t="s">
        <v>609</v>
      </c>
      <c r="M175" s="865" t="s">
        <v>591</v>
      </c>
      <c r="N175" s="865" t="s">
        <v>659</v>
      </c>
      <c r="O175" s="866">
        <v>2004.0</v>
      </c>
      <c r="P175" s="865" t="s">
        <v>593</v>
      </c>
      <c r="Q175" s="865" t="s">
        <v>70</v>
      </c>
      <c r="R175" s="867">
        <v>17858.71362</v>
      </c>
      <c r="S175" s="867">
        <v>19157.51245</v>
      </c>
      <c r="T175" s="868">
        <v>16553.54443</v>
      </c>
      <c r="AN175" s="882"/>
      <c r="AO175" s="882"/>
      <c r="AP175" s="882"/>
      <c r="AY175" s="882"/>
      <c r="AZ175" s="882"/>
      <c r="BA175" s="882"/>
      <c r="BJ175" s="882"/>
      <c r="BK175" s="882"/>
      <c r="BL175" s="882"/>
      <c r="BU175" s="882"/>
      <c r="BV175" s="882"/>
      <c r="BW175" s="882"/>
      <c r="CF175" s="882"/>
      <c r="CG175" s="882"/>
      <c r="CH175" s="882"/>
      <c r="CI175" s="530"/>
    </row>
    <row r="176">
      <c r="A176" s="857"/>
      <c r="B176" s="865" t="s">
        <v>609</v>
      </c>
      <c r="C176" s="865" t="s">
        <v>591</v>
      </c>
      <c r="D176" s="865" t="s">
        <v>661</v>
      </c>
      <c r="E176" s="866">
        <v>2019.0</v>
      </c>
      <c r="F176" s="865" t="s">
        <v>593</v>
      </c>
      <c r="G176" s="865" t="s">
        <v>70</v>
      </c>
      <c r="H176" s="867">
        <v>16294.09484</v>
      </c>
      <c r="I176" s="867">
        <v>17616.68108</v>
      </c>
      <c r="J176" s="868">
        <v>15056.16805</v>
      </c>
      <c r="K176" s="50"/>
      <c r="L176" s="869" t="s">
        <v>609</v>
      </c>
      <c r="M176" s="865" t="s">
        <v>591</v>
      </c>
      <c r="N176" s="865" t="s">
        <v>661</v>
      </c>
      <c r="O176" s="866">
        <v>2004.0</v>
      </c>
      <c r="P176" s="865" t="s">
        <v>593</v>
      </c>
      <c r="Q176" s="865" t="s">
        <v>70</v>
      </c>
      <c r="R176" s="867">
        <v>9368.408096</v>
      </c>
      <c r="S176" s="867">
        <v>10050.17794</v>
      </c>
      <c r="T176" s="868">
        <v>8684.012039</v>
      </c>
      <c r="AN176" s="882"/>
      <c r="AO176" s="882"/>
      <c r="AP176" s="882"/>
      <c r="AY176" s="882"/>
      <c r="AZ176" s="882"/>
      <c r="BA176" s="882"/>
      <c r="BJ176" s="882"/>
      <c r="BK176" s="882"/>
      <c r="BL176" s="882"/>
      <c r="BU176" s="882"/>
      <c r="BV176" s="882"/>
      <c r="BW176" s="882"/>
      <c r="CF176" s="882"/>
      <c r="CG176" s="882"/>
      <c r="CH176" s="882"/>
      <c r="CI176" s="530"/>
    </row>
    <row r="177">
      <c r="A177" s="857"/>
      <c r="B177" s="865" t="s">
        <v>609</v>
      </c>
      <c r="C177" s="865" t="s">
        <v>591</v>
      </c>
      <c r="D177" s="865" t="s">
        <v>663</v>
      </c>
      <c r="E177" s="866">
        <v>2019.0</v>
      </c>
      <c r="F177" s="865" t="s">
        <v>593</v>
      </c>
      <c r="G177" s="865" t="s">
        <v>70</v>
      </c>
      <c r="H177" s="867">
        <v>8381.054608</v>
      </c>
      <c r="I177" s="867">
        <v>9060.912612</v>
      </c>
      <c r="J177" s="868">
        <v>7744.462181</v>
      </c>
      <c r="K177" s="50"/>
      <c r="L177" s="869" t="s">
        <v>609</v>
      </c>
      <c r="M177" s="865" t="s">
        <v>591</v>
      </c>
      <c r="N177" s="865" t="s">
        <v>663</v>
      </c>
      <c r="O177" s="866">
        <v>2004.0</v>
      </c>
      <c r="P177" s="865" t="s">
        <v>593</v>
      </c>
      <c r="Q177" s="865" t="s">
        <v>70</v>
      </c>
      <c r="R177" s="867">
        <v>5338.953537</v>
      </c>
      <c r="S177" s="867">
        <v>5727.236072</v>
      </c>
      <c r="T177" s="868">
        <v>4948.76655</v>
      </c>
      <c r="AN177" s="882"/>
      <c r="AO177" s="882"/>
      <c r="AP177" s="882"/>
      <c r="AY177" s="882"/>
      <c r="AZ177" s="882"/>
      <c r="BA177" s="882"/>
      <c r="BJ177" s="882"/>
      <c r="BK177" s="882"/>
      <c r="BL177" s="882"/>
      <c r="BU177" s="882"/>
      <c r="BV177" s="882"/>
      <c r="BW177" s="882"/>
      <c r="CF177" s="882"/>
      <c r="CG177" s="882"/>
      <c r="CH177" s="882"/>
      <c r="CI177" s="530"/>
    </row>
    <row r="178">
      <c r="A178" s="857"/>
      <c r="B178" s="865" t="s">
        <v>609</v>
      </c>
      <c r="C178" s="865" t="s">
        <v>591</v>
      </c>
      <c r="D178" s="865" t="s">
        <v>665</v>
      </c>
      <c r="E178" s="866">
        <v>2019.0</v>
      </c>
      <c r="F178" s="865" t="s">
        <v>593</v>
      </c>
      <c r="G178" s="865" t="s">
        <v>70</v>
      </c>
      <c r="H178" s="867">
        <v>13216.00984</v>
      </c>
      <c r="I178" s="867">
        <v>14288.74895</v>
      </c>
      <c r="J178" s="868">
        <v>12211.93734</v>
      </c>
      <c r="K178" s="50"/>
      <c r="L178" s="869" t="s">
        <v>609</v>
      </c>
      <c r="M178" s="865" t="s">
        <v>591</v>
      </c>
      <c r="N178" s="865" t="s">
        <v>665</v>
      </c>
      <c r="O178" s="866">
        <v>2004.0</v>
      </c>
      <c r="P178" s="865" t="s">
        <v>593</v>
      </c>
      <c r="Q178" s="865" t="s">
        <v>70</v>
      </c>
      <c r="R178" s="867">
        <v>7963.627979</v>
      </c>
      <c r="S178" s="867">
        <v>8543.167355</v>
      </c>
      <c r="T178" s="868">
        <v>7381.856184</v>
      </c>
      <c r="AN178" s="882"/>
      <c r="AO178" s="882"/>
      <c r="AP178" s="882"/>
      <c r="AY178" s="882"/>
      <c r="AZ178" s="882"/>
      <c r="BA178" s="882"/>
      <c r="BJ178" s="882"/>
      <c r="BK178" s="882"/>
      <c r="BL178" s="882"/>
      <c r="BU178" s="882"/>
      <c r="BV178" s="882"/>
      <c r="BW178" s="882"/>
      <c r="CF178" s="882"/>
      <c r="CG178" s="882"/>
      <c r="CH178" s="882"/>
      <c r="CI178" s="530"/>
    </row>
    <row r="179">
      <c r="A179" s="857"/>
      <c r="B179" s="865" t="s">
        <v>609</v>
      </c>
      <c r="C179" s="865" t="s">
        <v>591</v>
      </c>
      <c r="D179" s="865" t="s">
        <v>667</v>
      </c>
      <c r="E179" s="866">
        <v>2019.0</v>
      </c>
      <c r="F179" s="865" t="s">
        <v>593</v>
      </c>
      <c r="G179" s="865" t="s">
        <v>70</v>
      </c>
      <c r="H179" s="867">
        <v>7913.751091</v>
      </c>
      <c r="I179" s="867">
        <v>8555.702167</v>
      </c>
      <c r="J179" s="868">
        <v>7312.653228</v>
      </c>
      <c r="K179" s="50"/>
      <c r="L179" s="869" t="s">
        <v>609</v>
      </c>
      <c r="M179" s="865" t="s">
        <v>591</v>
      </c>
      <c r="N179" s="865" t="s">
        <v>667</v>
      </c>
      <c r="O179" s="866">
        <v>2004.0</v>
      </c>
      <c r="P179" s="865" t="s">
        <v>593</v>
      </c>
      <c r="Q179" s="865" t="s">
        <v>70</v>
      </c>
      <c r="R179" s="867">
        <v>4029.808409</v>
      </c>
      <c r="S179" s="867">
        <v>4322.881614</v>
      </c>
      <c r="T179" s="868">
        <v>3735.297735</v>
      </c>
      <c r="AN179" s="882"/>
      <c r="AO179" s="882"/>
      <c r="AP179" s="882"/>
      <c r="AY179" s="882"/>
      <c r="AZ179" s="882"/>
      <c r="BA179" s="882"/>
      <c r="BJ179" s="882"/>
      <c r="BK179" s="882"/>
      <c r="BL179" s="882"/>
      <c r="BU179" s="882"/>
      <c r="BV179" s="882"/>
      <c r="BW179" s="882"/>
      <c r="CF179" s="882"/>
      <c r="CG179" s="882"/>
      <c r="CH179" s="882"/>
      <c r="CI179" s="530"/>
    </row>
    <row r="180">
      <c r="A180" s="857"/>
      <c r="B180" s="865" t="s">
        <v>609</v>
      </c>
      <c r="C180" s="865" t="s">
        <v>591</v>
      </c>
      <c r="D180" s="865" t="s">
        <v>669</v>
      </c>
      <c r="E180" s="866">
        <v>2019.0</v>
      </c>
      <c r="F180" s="865" t="s">
        <v>593</v>
      </c>
      <c r="G180" s="865" t="s">
        <v>70</v>
      </c>
      <c r="H180" s="867">
        <v>4835.531806</v>
      </c>
      <c r="I180" s="867">
        <v>5227.782561</v>
      </c>
      <c r="J180" s="868">
        <v>4468.24355</v>
      </c>
      <c r="K180" s="50"/>
      <c r="L180" s="869" t="s">
        <v>609</v>
      </c>
      <c r="M180" s="865" t="s">
        <v>591</v>
      </c>
      <c r="N180" s="865" t="s">
        <v>669</v>
      </c>
      <c r="O180" s="866">
        <v>2004.0</v>
      </c>
      <c r="P180" s="865" t="s">
        <v>593</v>
      </c>
      <c r="Q180" s="865" t="s">
        <v>70</v>
      </c>
      <c r="R180" s="867">
        <v>2624.975232</v>
      </c>
      <c r="S180" s="867">
        <v>2815.880066</v>
      </c>
      <c r="T180" s="868">
        <v>2433.134046</v>
      </c>
      <c r="AN180" s="882"/>
      <c r="AO180" s="882"/>
      <c r="AP180" s="882"/>
      <c r="AY180" s="882"/>
      <c r="AZ180" s="882"/>
      <c r="BA180" s="882"/>
      <c r="BJ180" s="882"/>
      <c r="BK180" s="882"/>
      <c r="BL180" s="882"/>
      <c r="BU180" s="882"/>
      <c r="BV180" s="882"/>
      <c r="BW180" s="882"/>
      <c r="CF180" s="882"/>
      <c r="CG180" s="882"/>
      <c r="CH180" s="882"/>
      <c r="CI180" s="530"/>
    </row>
    <row r="181">
      <c r="A181" s="857"/>
      <c r="B181" s="865" t="s">
        <v>609</v>
      </c>
      <c r="C181" s="865" t="s">
        <v>591</v>
      </c>
      <c r="D181" s="865" t="s">
        <v>671</v>
      </c>
      <c r="E181" s="866">
        <v>2019.0</v>
      </c>
      <c r="F181" s="865" t="s">
        <v>593</v>
      </c>
      <c r="G181" s="865" t="s">
        <v>70</v>
      </c>
      <c r="H181" s="867">
        <v>3078.084998</v>
      </c>
      <c r="I181" s="867">
        <v>3327.93213</v>
      </c>
      <c r="J181" s="868">
        <v>2844.230714</v>
      </c>
      <c r="K181" s="50"/>
      <c r="L181" s="869" t="s">
        <v>609</v>
      </c>
      <c r="M181" s="865" t="s">
        <v>591</v>
      </c>
      <c r="N181" s="865" t="s">
        <v>671</v>
      </c>
      <c r="O181" s="866">
        <v>2004.0</v>
      </c>
      <c r="P181" s="865" t="s">
        <v>593</v>
      </c>
      <c r="Q181" s="865" t="s">
        <v>70</v>
      </c>
      <c r="R181" s="867">
        <v>1404.780117</v>
      </c>
      <c r="S181" s="867">
        <v>1507.010583</v>
      </c>
      <c r="T181" s="868">
        <v>1302.155855</v>
      </c>
      <c r="AN181" s="882"/>
      <c r="AO181" s="882"/>
      <c r="AP181" s="882"/>
      <c r="AY181" s="882"/>
      <c r="AZ181" s="882"/>
      <c r="BA181" s="882"/>
      <c r="BJ181" s="882"/>
      <c r="BK181" s="882"/>
      <c r="BL181" s="882"/>
      <c r="BU181" s="882"/>
      <c r="BV181" s="882"/>
      <c r="BW181" s="882"/>
      <c r="CF181" s="882"/>
      <c r="CG181" s="882"/>
      <c r="CH181" s="882"/>
      <c r="CI181" s="530"/>
    </row>
    <row r="182">
      <c r="A182" s="857"/>
      <c r="B182" s="865" t="s">
        <v>609</v>
      </c>
      <c r="C182" s="865" t="s">
        <v>591</v>
      </c>
      <c r="D182" s="865" t="s">
        <v>673</v>
      </c>
      <c r="E182" s="866">
        <v>2019.0</v>
      </c>
      <c r="F182" s="865" t="s">
        <v>593</v>
      </c>
      <c r="G182" s="865" t="s">
        <v>70</v>
      </c>
      <c r="H182" s="867">
        <v>2161.837304</v>
      </c>
      <c r="I182" s="867">
        <v>2337.202155</v>
      </c>
      <c r="J182" s="868">
        <v>1997.63252</v>
      </c>
      <c r="K182" s="50"/>
      <c r="L182" s="869" t="s">
        <v>609</v>
      </c>
      <c r="M182" s="865" t="s">
        <v>591</v>
      </c>
      <c r="N182" s="865" t="s">
        <v>673</v>
      </c>
      <c r="O182" s="866">
        <v>2004.0</v>
      </c>
      <c r="P182" s="865" t="s">
        <v>593</v>
      </c>
      <c r="Q182" s="865" t="s">
        <v>70</v>
      </c>
      <c r="R182" s="867">
        <v>1026.287368</v>
      </c>
      <c r="S182" s="867">
        <v>1100.925489</v>
      </c>
      <c r="T182" s="868">
        <v>951.2831608</v>
      </c>
      <c r="AN182" s="882"/>
      <c r="AO182" s="882"/>
      <c r="AP182" s="882"/>
      <c r="AY182" s="882"/>
      <c r="AZ182" s="882"/>
      <c r="BA182" s="882"/>
      <c r="BJ182" s="882"/>
      <c r="BK182" s="882"/>
      <c r="BL182" s="882"/>
      <c r="BU182" s="882"/>
      <c r="BV182" s="882"/>
      <c r="BW182" s="882"/>
      <c r="CF182" s="882"/>
      <c r="CG182" s="882"/>
      <c r="CH182" s="882"/>
      <c r="CI182" s="530"/>
    </row>
    <row r="183">
      <c r="A183" s="857"/>
      <c r="B183" s="865" t="s">
        <v>609</v>
      </c>
      <c r="C183" s="865" t="s">
        <v>591</v>
      </c>
      <c r="D183" s="865" t="s">
        <v>674</v>
      </c>
      <c r="E183" s="866">
        <v>2019.0</v>
      </c>
      <c r="F183" s="865" t="s">
        <v>593</v>
      </c>
      <c r="G183" s="865" t="s">
        <v>70</v>
      </c>
      <c r="H183" s="867">
        <v>720.7639044</v>
      </c>
      <c r="I183" s="867">
        <v>779.2311418</v>
      </c>
      <c r="J183" s="868">
        <v>666.0174715</v>
      </c>
      <c r="K183" s="50"/>
      <c r="L183" s="869" t="s">
        <v>609</v>
      </c>
      <c r="M183" s="865" t="s">
        <v>591</v>
      </c>
      <c r="N183" s="865" t="s">
        <v>674</v>
      </c>
      <c r="O183" s="866">
        <v>2004.0</v>
      </c>
      <c r="P183" s="865" t="s">
        <v>593</v>
      </c>
      <c r="Q183" s="865" t="s">
        <v>70</v>
      </c>
      <c r="R183" s="867">
        <v>303.9112713</v>
      </c>
      <c r="S183" s="867">
        <v>326.0136249</v>
      </c>
      <c r="T183" s="868">
        <v>281.7005099</v>
      </c>
      <c r="AN183" s="882"/>
      <c r="AO183" s="882"/>
      <c r="AP183" s="882"/>
      <c r="AY183" s="882"/>
      <c r="AZ183" s="882"/>
      <c r="BA183" s="882"/>
      <c r="BJ183" s="882"/>
      <c r="BK183" s="882"/>
      <c r="BL183" s="882"/>
      <c r="BU183" s="882"/>
      <c r="BV183" s="882"/>
      <c r="BW183" s="882"/>
      <c r="CF183" s="882"/>
      <c r="CG183" s="882"/>
      <c r="CH183" s="882"/>
      <c r="CI183" s="530"/>
    </row>
    <row r="184">
      <c r="A184" s="857"/>
      <c r="B184" s="865" t="s">
        <v>609</v>
      </c>
      <c r="C184" s="865" t="s">
        <v>591</v>
      </c>
      <c r="D184" s="865" t="s">
        <v>676</v>
      </c>
      <c r="E184" s="866">
        <v>2019.0</v>
      </c>
      <c r="F184" s="865" t="s">
        <v>593</v>
      </c>
      <c r="G184" s="865" t="s">
        <v>70</v>
      </c>
      <c r="H184" s="867">
        <v>195.6180772</v>
      </c>
      <c r="I184" s="867">
        <v>211.4863088</v>
      </c>
      <c r="J184" s="868">
        <v>180.7596862</v>
      </c>
      <c r="K184" s="50"/>
      <c r="L184" s="869" t="s">
        <v>609</v>
      </c>
      <c r="M184" s="865" t="s">
        <v>591</v>
      </c>
      <c r="N184" s="865" t="s">
        <v>676</v>
      </c>
      <c r="O184" s="866">
        <v>2004.0</v>
      </c>
      <c r="P184" s="865" t="s">
        <v>593</v>
      </c>
      <c r="Q184" s="865" t="s">
        <v>70</v>
      </c>
      <c r="R184" s="867">
        <v>74.63453763</v>
      </c>
      <c r="S184" s="867">
        <v>80.06243419</v>
      </c>
      <c r="T184" s="868">
        <v>69.18001828</v>
      </c>
      <c r="AN184" s="882"/>
      <c r="AO184" s="882"/>
      <c r="AP184" s="882"/>
      <c r="AY184" s="882"/>
      <c r="AZ184" s="882"/>
      <c r="BA184" s="882"/>
      <c r="BJ184" s="882"/>
      <c r="BK184" s="882"/>
      <c r="BL184" s="882"/>
      <c r="BU184" s="882"/>
      <c r="BV184" s="882"/>
      <c r="BW184" s="882"/>
      <c r="CF184" s="882"/>
      <c r="CG184" s="882"/>
      <c r="CH184" s="882"/>
      <c r="CI184" s="530"/>
    </row>
    <row r="185">
      <c r="A185" s="857"/>
      <c r="B185" s="865" t="s">
        <v>609</v>
      </c>
      <c r="C185" s="865" t="s">
        <v>591</v>
      </c>
      <c r="D185" s="865" t="s">
        <v>678</v>
      </c>
      <c r="E185" s="866">
        <v>2019.0</v>
      </c>
      <c r="F185" s="865" t="s">
        <v>593</v>
      </c>
      <c r="G185" s="865" t="s">
        <v>70</v>
      </c>
      <c r="H185" s="867">
        <v>754249.8614</v>
      </c>
      <c r="I185" s="867">
        <v>815433.4271</v>
      </c>
      <c r="J185" s="868">
        <v>696959.965</v>
      </c>
      <c r="K185" s="50"/>
      <c r="L185" s="869" t="s">
        <v>609</v>
      </c>
      <c r="M185" s="865" t="s">
        <v>591</v>
      </c>
      <c r="N185" s="865" t="s">
        <v>678</v>
      </c>
      <c r="O185" s="866">
        <v>2004.0</v>
      </c>
      <c r="P185" s="865" t="s">
        <v>593</v>
      </c>
      <c r="Q185" s="865" t="s">
        <v>70</v>
      </c>
      <c r="R185" s="867">
        <v>667383.8332</v>
      </c>
      <c r="S185" s="867">
        <v>715920.2149</v>
      </c>
      <c r="T185" s="868">
        <v>618609.3897</v>
      </c>
      <c r="AN185" s="882"/>
      <c r="AO185" s="882"/>
      <c r="AP185" s="882"/>
      <c r="AY185" s="882"/>
      <c r="AZ185" s="882"/>
      <c r="BA185" s="882"/>
      <c r="BJ185" s="882"/>
      <c r="BK185" s="882"/>
      <c r="BL185" s="882"/>
      <c r="BU185" s="882"/>
      <c r="BV185" s="882"/>
      <c r="BW185" s="882"/>
      <c r="CF185" s="882"/>
      <c r="CG185" s="882"/>
      <c r="CH185" s="882"/>
      <c r="CI185" s="530"/>
    </row>
    <row r="186">
      <c r="A186" s="857"/>
      <c r="B186" s="865" t="s">
        <v>609</v>
      </c>
      <c r="C186" s="865" t="s">
        <v>591</v>
      </c>
      <c r="D186" s="865" t="s">
        <v>680</v>
      </c>
      <c r="E186" s="866">
        <v>2019.0</v>
      </c>
      <c r="F186" s="865" t="s">
        <v>593</v>
      </c>
      <c r="G186" s="865" t="s">
        <v>70</v>
      </c>
      <c r="H186" s="867">
        <v>13840.2338</v>
      </c>
      <c r="I186" s="867">
        <v>16101.87656</v>
      </c>
      <c r="J186" s="868">
        <v>11834.38392</v>
      </c>
      <c r="K186" s="50"/>
      <c r="L186" s="869" t="s">
        <v>609</v>
      </c>
      <c r="M186" s="865" t="s">
        <v>591</v>
      </c>
      <c r="N186" s="865" t="s">
        <v>680</v>
      </c>
      <c r="O186" s="866">
        <v>2004.0</v>
      </c>
      <c r="P186" s="865" t="s">
        <v>593</v>
      </c>
      <c r="Q186" s="865" t="s">
        <v>70</v>
      </c>
      <c r="R186" s="867">
        <v>17691.35243</v>
      </c>
      <c r="S186" s="867">
        <v>19834.40688</v>
      </c>
      <c r="T186" s="868">
        <v>15545.18171</v>
      </c>
      <c r="AN186" s="882"/>
      <c r="AO186" s="882"/>
      <c r="AP186" s="882"/>
      <c r="AY186" s="882"/>
      <c r="AZ186" s="882"/>
      <c r="BA186" s="882"/>
      <c r="BJ186" s="882"/>
      <c r="BK186" s="882"/>
      <c r="BL186" s="882"/>
      <c r="BU186" s="882"/>
      <c r="BV186" s="882"/>
      <c r="BW186" s="882"/>
      <c r="CF186" s="882"/>
      <c r="CG186" s="882"/>
      <c r="CH186" s="882"/>
      <c r="CI186" s="530"/>
    </row>
    <row r="187">
      <c r="A187" s="857"/>
      <c r="B187" s="865" t="s">
        <v>609</v>
      </c>
      <c r="C187" s="865" t="s">
        <v>591</v>
      </c>
      <c r="D187" s="865" t="s">
        <v>682</v>
      </c>
      <c r="E187" s="866">
        <v>2019.0</v>
      </c>
      <c r="F187" s="865" t="s">
        <v>593</v>
      </c>
      <c r="G187" s="865" t="s">
        <v>70</v>
      </c>
      <c r="H187" s="867">
        <v>255.2291751</v>
      </c>
      <c r="I187" s="867">
        <v>275.9329655</v>
      </c>
      <c r="J187" s="868">
        <v>235.8429561</v>
      </c>
      <c r="K187" s="50"/>
      <c r="L187" s="869" t="s">
        <v>609</v>
      </c>
      <c r="M187" s="865" t="s">
        <v>591</v>
      </c>
      <c r="N187" s="865" t="s">
        <v>682</v>
      </c>
      <c r="O187" s="866">
        <v>2004.0</v>
      </c>
      <c r="P187" s="865" t="s">
        <v>593</v>
      </c>
      <c r="Q187" s="865" t="s">
        <v>70</v>
      </c>
      <c r="R187" s="867">
        <v>322.2913996</v>
      </c>
      <c r="S187" s="867">
        <v>345.7304727</v>
      </c>
      <c r="T187" s="868">
        <v>298.7373624</v>
      </c>
      <c r="AN187" s="882"/>
      <c r="AO187" s="882"/>
      <c r="AP187" s="882"/>
      <c r="AY187" s="882"/>
      <c r="AZ187" s="882"/>
      <c r="BA187" s="882"/>
      <c r="BJ187" s="882"/>
      <c r="BK187" s="882"/>
      <c r="BL187" s="882"/>
      <c r="BU187" s="882"/>
      <c r="BV187" s="882"/>
      <c r="BW187" s="882"/>
      <c r="CF187" s="882"/>
      <c r="CG187" s="882"/>
      <c r="CH187" s="882"/>
      <c r="CI187" s="530"/>
    </row>
    <row r="188">
      <c r="A188" s="857"/>
      <c r="B188" s="865" t="s">
        <v>609</v>
      </c>
      <c r="C188" s="865" t="s">
        <v>591</v>
      </c>
      <c r="D188" s="865" t="s">
        <v>684</v>
      </c>
      <c r="E188" s="866">
        <v>2019.0</v>
      </c>
      <c r="F188" s="865" t="s">
        <v>593</v>
      </c>
      <c r="G188" s="865" t="s">
        <v>70</v>
      </c>
      <c r="H188" s="867">
        <v>758.2754846</v>
      </c>
      <c r="I188" s="867">
        <v>819.7856025</v>
      </c>
      <c r="J188" s="868">
        <v>700.6798175</v>
      </c>
      <c r="K188" s="50"/>
      <c r="L188" s="869" t="s">
        <v>609</v>
      </c>
      <c r="M188" s="865" t="s">
        <v>591</v>
      </c>
      <c r="N188" s="865" t="s">
        <v>684</v>
      </c>
      <c r="O188" s="866">
        <v>2004.0</v>
      </c>
      <c r="P188" s="865" t="s">
        <v>593</v>
      </c>
      <c r="Q188" s="865" t="s">
        <v>70</v>
      </c>
      <c r="R188" s="867">
        <v>949.9275287</v>
      </c>
      <c r="S188" s="867">
        <v>1019.012279</v>
      </c>
      <c r="T188" s="868">
        <v>880.5039314</v>
      </c>
      <c r="AN188" s="882"/>
      <c r="AO188" s="882"/>
      <c r="AP188" s="882"/>
      <c r="AY188" s="882"/>
      <c r="AZ188" s="882"/>
      <c r="BA188" s="882"/>
      <c r="BJ188" s="882"/>
      <c r="BK188" s="882"/>
      <c r="BL188" s="882"/>
      <c r="BU188" s="882"/>
      <c r="BV188" s="882"/>
      <c r="BW188" s="882"/>
      <c r="CF188" s="882"/>
      <c r="CG188" s="882"/>
      <c r="CH188" s="882"/>
      <c r="CI188" s="530"/>
    </row>
    <row r="189">
      <c r="A189" s="857"/>
      <c r="B189" s="865" t="s">
        <v>609</v>
      </c>
      <c r="C189" s="865" t="s">
        <v>591</v>
      </c>
      <c r="D189" s="865" t="s">
        <v>686</v>
      </c>
      <c r="E189" s="866">
        <v>2019.0</v>
      </c>
      <c r="F189" s="865" t="s">
        <v>593</v>
      </c>
      <c r="G189" s="865" t="s">
        <v>70</v>
      </c>
      <c r="H189" s="867">
        <v>1013.50466</v>
      </c>
      <c r="I189" s="867">
        <v>1095.718568</v>
      </c>
      <c r="J189" s="868">
        <v>936.5227736</v>
      </c>
      <c r="K189" s="50"/>
      <c r="L189" s="869" t="s">
        <v>609</v>
      </c>
      <c r="M189" s="865" t="s">
        <v>591</v>
      </c>
      <c r="N189" s="865" t="s">
        <v>686</v>
      </c>
      <c r="O189" s="866">
        <v>2004.0</v>
      </c>
      <c r="P189" s="865" t="s">
        <v>593</v>
      </c>
      <c r="Q189" s="865" t="s">
        <v>70</v>
      </c>
      <c r="R189" s="867">
        <v>1272.218928</v>
      </c>
      <c r="S189" s="867">
        <v>1364.742751</v>
      </c>
      <c r="T189" s="868">
        <v>1179.241294</v>
      </c>
      <c r="AN189" s="882"/>
      <c r="AO189" s="882"/>
      <c r="AP189" s="882"/>
      <c r="AY189" s="882"/>
      <c r="AZ189" s="882"/>
      <c r="BA189" s="882"/>
      <c r="BJ189" s="882"/>
      <c r="BK189" s="882"/>
      <c r="BL189" s="882"/>
      <c r="BU189" s="882"/>
      <c r="BV189" s="882"/>
      <c r="BW189" s="882"/>
      <c r="CF189" s="882"/>
      <c r="CG189" s="882"/>
      <c r="CH189" s="882"/>
      <c r="CI189" s="530"/>
    </row>
    <row r="190">
      <c r="A190" s="857"/>
      <c r="B190" s="865" t="s">
        <v>609</v>
      </c>
      <c r="C190" s="865" t="s">
        <v>591</v>
      </c>
      <c r="D190" s="865" t="s">
        <v>688</v>
      </c>
      <c r="E190" s="866">
        <v>2019.0</v>
      </c>
      <c r="F190" s="865" t="s">
        <v>593</v>
      </c>
      <c r="G190" s="865" t="s">
        <v>70</v>
      </c>
      <c r="H190" s="867">
        <v>12234.1824</v>
      </c>
      <c r="I190" s="867">
        <v>13226.60009</v>
      </c>
      <c r="J190" s="868">
        <v>11304.92132</v>
      </c>
      <c r="K190" s="50"/>
      <c r="L190" s="869" t="s">
        <v>609</v>
      </c>
      <c r="M190" s="865" t="s">
        <v>591</v>
      </c>
      <c r="N190" s="865" t="s">
        <v>688</v>
      </c>
      <c r="O190" s="866">
        <v>2004.0</v>
      </c>
      <c r="P190" s="865" t="s">
        <v>593</v>
      </c>
      <c r="Q190" s="865" t="s">
        <v>70</v>
      </c>
      <c r="R190" s="867">
        <v>15223.32672</v>
      </c>
      <c r="S190" s="867">
        <v>16330.46351</v>
      </c>
      <c r="T190" s="868">
        <v>14110.75963</v>
      </c>
      <c r="AN190" s="882"/>
      <c r="AO190" s="882"/>
      <c r="AP190" s="882"/>
      <c r="AY190" s="882"/>
      <c r="AZ190" s="882"/>
      <c r="BA190" s="882"/>
      <c r="BJ190" s="882"/>
      <c r="BK190" s="882"/>
      <c r="BL190" s="882"/>
      <c r="BU190" s="882"/>
      <c r="BV190" s="882"/>
      <c r="BW190" s="882"/>
      <c r="CF190" s="882"/>
      <c r="CG190" s="882"/>
      <c r="CH190" s="882"/>
      <c r="CI190" s="530"/>
    </row>
    <row r="191">
      <c r="A191" s="857"/>
      <c r="B191" s="865" t="s">
        <v>609</v>
      </c>
      <c r="C191" s="865" t="s">
        <v>591</v>
      </c>
      <c r="D191" s="865" t="s">
        <v>689</v>
      </c>
      <c r="E191" s="866">
        <v>2019.0</v>
      </c>
      <c r="F191" s="865" t="s">
        <v>593</v>
      </c>
      <c r="G191" s="865" t="s">
        <v>70</v>
      </c>
      <c r="H191" s="867">
        <v>65342.45971</v>
      </c>
      <c r="I191" s="867">
        <v>70642.93755</v>
      </c>
      <c r="J191" s="868">
        <v>60379.29971</v>
      </c>
      <c r="K191" s="50"/>
      <c r="L191" s="869" t="s">
        <v>609</v>
      </c>
      <c r="M191" s="865" t="s">
        <v>591</v>
      </c>
      <c r="N191" s="865" t="s">
        <v>689</v>
      </c>
      <c r="O191" s="866">
        <v>2004.0</v>
      </c>
      <c r="P191" s="865" t="s">
        <v>593</v>
      </c>
      <c r="Q191" s="865" t="s">
        <v>70</v>
      </c>
      <c r="R191" s="867">
        <v>78342.27932</v>
      </c>
      <c r="S191" s="867">
        <v>84039.82634</v>
      </c>
      <c r="T191" s="868">
        <v>72616.78691</v>
      </c>
      <c r="AN191" s="882"/>
      <c r="AO191" s="882"/>
      <c r="AP191" s="882"/>
      <c r="AY191" s="882"/>
      <c r="AZ191" s="882"/>
      <c r="BA191" s="882"/>
      <c r="BJ191" s="882"/>
      <c r="BK191" s="882"/>
      <c r="BL191" s="882"/>
      <c r="BU191" s="882"/>
      <c r="BV191" s="882"/>
      <c r="BW191" s="882"/>
      <c r="CF191" s="882"/>
      <c r="CG191" s="882"/>
      <c r="CH191" s="882"/>
      <c r="CI191" s="530"/>
    </row>
    <row r="192">
      <c r="A192" s="857"/>
      <c r="B192" s="865" t="s">
        <v>611</v>
      </c>
      <c r="C192" s="865" t="s">
        <v>591</v>
      </c>
      <c r="D192" s="865" t="s">
        <v>592</v>
      </c>
      <c r="E192" s="866">
        <v>2019.0</v>
      </c>
      <c r="F192" s="865" t="s">
        <v>593</v>
      </c>
      <c r="G192" s="865" t="s">
        <v>70</v>
      </c>
      <c r="H192" s="867">
        <v>47015.02236</v>
      </c>
      <c r="I192" s="867">
        <v>52423.55948</v>
      </c>
      <c r="J192" s="868">
        <v>41908.90952</v>
      </c>
      <c r="K192" s="50"/>
      <c r="L192" s="869" t="s">
        <v>611</v>
      </c>
      <c r="M192" s="865" t="s">
        <v>591</v>
      </c>
      <c r="N192" s="865" t="s">
        <v>592</v>
      </c>
      <c r="O192" s="866">
        <v>2004.0</v>
      </c>
      <c r="P192" s="865" t="s">
        <v>593</v>
      </c>
      <c r="Q192" s="865" t="s">
        <v>70</v>
      </c>
      <c r="R192" s="867">
        <v>44413.24819</v>
      </c>
      <c r="S192" s="867">
        <v>48244.04043</v>
      </c>
      <c r="T192" s="868">
        <v>40888.54281</v>
      </c>
      <c r="AN192" s="882"/>
      <c r="AO192" s="882"/>
      <c r="AP192" s="882"/>
      <c r="AY192" s="882"/>
      <c r="AZ192" s="882"/>
      <c r="BA192" s="882"/>
      <c r="BJ192" s="882"/>
      <c r="BK192" s="882"/>
      <c r="BL192" s="882"/>
      <c r="BU192" s="882"/>
      <c r="BV192" s="882"/>
      <c r="BW192" s="882"/>
      <c r="CF192" s="882"/>
      <c r="CG192" s="882"/>
      <c r="CH192" s="882"/>
      <c r="CI192" s="530"/>
    </row>
    <row r="193">
      <c r="A193" s="857"/>
      <c r="B193" s="865" t="s">
        <v>611</v>
      </c>
      <c r="C193" s="865" t="s">
        <v>591</v>
      </c>
      <c r="D193" s="865" t="s">
        <v>601</v>
      </c>
      <c r="E193" s="866">
        <v>2019.0</v>
      </c>
      <c r="F193" s="865" t="s">
        <v>593</v>
      </c>
      <c r="G193" s="865" t="s">
        <v>70</v>
      </c>
      <c r="H193" s="867">
        <v>918678.2262</v>
      </c>
      <c r="I193" s="867">
        <v>1024361.581</v>
      </c>
      <c r="J193" s="868">
        <v>818904.272</v>
      </c>
      <c r="K193" s="50"/>
      <c r="L193" s="869" t="s">
        <v>611</v>
      </c>
      <c r="M193" s="865" t="s">
        <v>591</v>
      </c>
      <c r="N193" s="865" t="s">
        <v>601</v>
      </c>
      <c r="O193" s="866">
        <v>2004.0</v>
      </c>
      <c r="P193" s="865" t="s">
        <v>593</v>
      </c>
      <c r="Q193" s="865" t="s">
        <v>70</v>
      </c>
      <c r="R193" s="867">
        <v>865062.321</v>
      </c>
      <c r="S193" s="867">
        <v>939676.8597</v>
      </c>
      <c r="T193" s="868">
        <v>796409.6117</v>
      </c>
      <c r="AN193" s="882"/>
      <c r="AO193" s="882"/>
      <c r="AP193" s="882"/>
      <c r="AY193" s="882"/>
      <c r="AZ193" s="882"/>
      <c r="BA193" s="882"/>
      <c r="BJ193" s="882"/>
      <c r="BK193" s="882"/>
      <c r="BL193" s="882"/>
      <c r="BU193" s="882"/>
      <c r="BV193" s="882"/>
      <c r="BW193" s="882"/>
      <c r="CF193" s="882"/>
      <c r="CG193" s="882"/>
      <c r="CH193" s="882"/>
      <c r="CI193" s="530"/>
    </row>
    <row r="194">
      <c r="A194" s="857"/>
      <c r="B194" s="865" t="s">
        <v>611</v>
      </c>
      <c r="C194" s="865" t="s">
        <v>591</v>
      </c>
      <c r="D194" s="865" t="s">
        <v>606</v>
      </c>
      <c r="E194" s="866">
        <v>2019.0</v>
      </c>
      <c r="F194" s="865" t="s">
        <v>593</v>
      </c>
      <c r="G194" s="865" t="s">
        <v>70</v>
      </c>
      <c r="H194" s="867">
        <v>705217.2979</v>
      </c>
      <c r="I194" s="867">
        <v>786344.4301</v>
      </c>
      <c r="J194" s="868">
        <v>628626.4782</v>
      </c>
      <c r="K194" s="50"/>
      <c r="L194" s="869" t="s">
        <v>611</v>
      </c>
      <c r="M194" s="865" t="s">
        <v>591</v>
      </c>
      <c r="N194" s="865" t="s">
        <v>606</v>
      </c>
      <c r="O194" s="866">
        <v>2004.0</v>
      </c>
      <c r="P194" s="865" t="s">
        <v>593</v>
      </c>
      <c r="Q194" s="865" t="s">
        <v>70</v>
      </c>
      <c r="R194" s="867">
        <v>652940.0798</v>
      </c>
      <c r="S194" s="867">
        <v>709258.3607</v>
      </c>
      <c r="T194" s="868">
        <v>601121.7259</v>
      </c>
      <c r="AN194" s="882"/>
      <c r="AO194" s="882"/>
      <c r="AP194" s="882"/>
      <c r="AY194" s="882"/>
      <c r="AZ194" s="882"/>
      <c r="BA194" s="882"/>
      <c r="BJ194" s="882"/>
      <c r="BK194" s="882"/>
      <c r="BL194" s="882"/>
      <c r="BU194" s="882"/>
      <c r="BV194" s="882"/>
      <c r="BW194" s="882"/>
      <c r="CF194" s="882"/>
      <c r="CG194" s="882"/>
      <c r="CH194" s="882"/>
      <c r="CI194" s="530"/>
    </row>
    <row r="195">
      <c r="A195" s="857"/>
      <c r="B195" s="865" t="s">
        <v>611</v>
      </c>
      <c r="C195" s="865" t="s">
        <v>591</v>
      </c>
      <c r="D195" s="865" t="s">
        <v>608</v>
      </c>
      <c r="E195" s="866">
        <v>2019.0</v>
      </c>
      <c r="F195" s="865" t="s">
        <v>593</v>
      </c>
      <c r="G195" s="865" t="s">
        <v>70</v>
      </c>
      <c r="H195" s="867">
        <v>189493.7384</v>
      </c>
      <c r="I195" s="867">
        <v>211292.8117</v>
      </c>
      <c r="J195" s="868">
        <v>168913.5842</v>
      </c>
      <c r="K195" s="50"/>
      <c r="L195" s="869" t="s">
        <v>611</v>
      </c>
      <c r="M195" s="865" t="s">
        <v>591</v>
      </c>
      <c r="N195" s="865" t="s">
        <v>608</v>
      </c>
      <c r="O195" s="866">
        <v>2004.0</v>
      </c>
      <c r="P195" s="865" t="s">
        <v>593</v>
      </c>
      <c r="Q195" s="865" t="s">
        <v>70</v>
      </c>
      <c r="R195" s="867">
        <v>172123.4277</v>
      </c>
      <c r="S195" s="867">
        <v>186969.653</v>
      </c>
      <c r="T195" s="868">
        <v>158463.4412</v>
      </c>
      <c r="AN195" s="882"/>
      <c r="AO195" s="882"/>
      <c r="AP195" s="882"/>
      <c r="AY195" s="882"/>
      <c r="AZ195" s="882"/>
      <c r="BA195" s="882"/>
      <c r="BJ195" s="882"/>
      <c r="BK195" s="882"/>
      <c r="BL195" s="882"/>
      <c r="BU195" s="882"/>
      <c r="BV195" s="882"/>
      <c r="BW195" s="882"/>
      <c r="CF195" s="882"/>
      <c r="CG195" s="882"/>
      <c r="CH195" s="882"/>
      <c r="CI195" s="530"/>
    </row>
    <row r="196">
      <c r="A196" s="857"/>
      <c r="B196" s="865" t="s">
        <v>611</v>
      </c>
      <c r="C196" s="865" t="s">
        <v>591</v>
      </c>
      <c r="D196" s="865" t="s">
        <v>610</v>
      </c>
      <c r="E196" s="866">
        <v>2019.0</v>
      </c>
      <c r="F196" s="865" t="s">
        <v>593</v>
      </c>
      <c r="G196" s="865" t="s">
        <v>70</v>
      </c>
      <c r="H196" s="867">
        <v>229422.7425</v>
      </c>
      <c r="I196" s="867">
        <v>255815.1881</v>
      </c>
      <c r="J196" s="868">
        <v>204506.0595</v>
      </c>
      <c r="K196" s="50"/>
      <c r="L196" s="869" t="s">
        <v>611</v>
      </c>
      <c r="M196" s="865" t="s">
        <v>591</v>
      </c>
      <c r="N196" s="865" t="s">
        <v>610</v>
      </c>
      <c r="O196" s="866">
        <v>2004.0</v>
      </c>
      <c r="P196" s="865" t="s">
        <v>593</v>
      </c>
      <c r="Q196" s="865" t="s">
        <v>70</v>
      </c>
      <c r="R196" s="867">
        <v>222154.2426</v>
      </c>
      <c r="S196" s="867">
        <v>241315.7943</v>
      </c>
      <c r="T196" s="868">
        <v>204523.7318</v>
      </c>
      <c r="AN196" s="882"/>
      <c r="AO196" s="882"/>
      <c r="AP196" s="882"/>
      <c r="AY196" s="882"/>
      <c r="AZ196" s="882"/>
      <c r="BA196" s="882"/>
      <c r="BJ196" s="882"/>
      <c r="BK196" s="882"/>
      <c r="BL196" s="882"/>
      <c r="BU196" s="882"/>
      <c r="BV196" s="882"/>
      <c r="BW196" s="882"/>
      <c r="CF196" s="882"/>
      <c r="CG196" s="882"/>
      <c r="CH196" s="882"/>
      <c r="CI196" s="530"/>
    </row>
    <row r="197">
      <c r="A197" s="857"/>
      <c r="B197" s="865" t="s">
        <v>611</v>
      </c>
      <c r="C197" s="865" t="s">
        <v>591</v>
      </c>
      <c r="D197" s="865" t="s">
        <v>612</v>
      </c>
      <c r="E197" s="866">
        <v>2019.0</v>
      </c>
      <c r="F197" s="865" t="s">
        <v>593</v>
      </c>
      <c r="G197" s="865" t="s">
        <v>70</v>
      </c>
      <c r="H197" s="867">
        <v>442883.6708</v>
      </c>
      <c r="I197" s="867">
        <v>493832.339</v>
      </c>
      <c r="J197" s="868">
        <v>394783.8532</v>
      </c>
      <c r="K197" s="50"/>
      <c r="L197" s="869" t="s">
        <v>611</v>
      </c>
      <c r="M197" s="865" t="s">
        <v>591</v>
      </c>
      <c r="N197" s="865" t="s">
        <v>612</v>
      </c>
      <c r="O197" s="866">
        <v>2004.0</v>
      </c>
      <c r="P197" s="865" t="s">
        <v>593</v>
      </c>
      <c r="Q197" s="865" t="s">
        <v>70</v>
      </c>
      <c r="R197" s="867">
        <v>434276.4839</v>
      </c>
      <c r="S197" s="867">
        <v>471734.2932</v>
      </c>
      <c r="T197" s="868">
        <v>399811.6176</v>
      </c>
      <c r="AN197" s="882"/>
      <c r="AO197" s="882"/>
      <c r="AP197" s="882"/>
      <c r="AY197" s="882"/>
      <c r="AZ197" s="882"/>
      <c r="BA197" s="882"/>
      <c r="BJ197" s="882"/>
      <c r="BK197" s="882"/>
      <c r="BL197" s="882"/>
      <c r="BU197" s="882"/>
      <c r="BV197" s="882"/>
      <c r="BW197" s="882"/>
      <c r="CF197" s="882"/>
      <c r="CG197" s="882"/>
      <c r="CH197" s="882"/>
      <c r="CI197" s="530"/>
    </row>
    <row r="198">
      <c r="A198" s="857"/>
      <c r="B198" s="865" t="s">
        <v>611</v>
      </c>
      <c r="C198" s="865" t="s">
        <v>591</v>
      </c>
      <c r="D198" s="865" t="s">
        <v>614</v>
      </c>
      <c r="E198" s="866">
        <v>2019.0</v>
      </c>
      <c r="F198" s="865" t="s">
        <v>593</v>
      </c>
      <c r="G198" s="865" t="s">
        <v>70</v>
      </c>
      <c r="H198" s="867">
        <v>650270.3189</v>
      </c>
      <c r="I198" s="867">
        <v>725076.4336</v>
      </c>
      <c r="J198" s="868">
        <v>579647.07</v>
      </c>
      <c r="K198" s="50"/>
      <c r="L198" s="869" t="s">
        <v>611</v>
      </c>
      <c r="M198" s="865" t="s">
        <v>591</v>
      </c>
      <c r="N198" s="865" t="s">
        <v>614</v>
      </c>
      <c r="O198" s="866">
        <v>2004.0</v>
      </c>
      <c r="P198" s="865" t="s">
        <v>593</v>
      </c>
      <c r="Q198" s="865" t="s">
        <v>70</v>
      </c>
      <c r="R198" s="867">
        <v>629152.8885</v>
      </c>
      <c r="S198" s="867">
        <v>683419.444</v>
      </c>
      <c r="T198" s="868">
        <v>579222.3235</v>
      </c>
      <c r="AN198" s="882"/>
      <c r="AO198" s="882"/>
      <c r="AP198" s="882"/>
      <c r="AY198" s="882"/>
      <c r="AZ198" s="882"/>
      <c r="BA198" s="882"/>
      <c r="BJ198" s="882"/>
      <c r="BK198" s="882"/>
      <c r="BL198" s="882"/>
      <c r="BU198" s="882"/>
      <c r="BV198" s="882"/>
      <c r="BW198" s="882"/>
      <c r="CF198" s="882"/>
      <c r="CG198" s="882"/>
      <c r="CH198" s="882"/>
      <c r="CI198" s="530"/>
    </row>
    <row r="199">
      <c r="A199" s="857"/>
      <c r="B199" s="865" t="s">
        <v>611</v>
      </c>
      <c r="C199" s="865" t="s">
        <v>591</v>
      </c>
      <c r="D199" s="865" t="s">
        <v>616</v>
      </c>
      <c r="E199" s="866">
        <v>2019.0</v>
      </c>
      <c r="F199" s="865" t="s">
        <v>593</v>
      </c>
      <c r="G199" s="865" t="s">
        <v>70</v>
      </c>
      <c r="H199" s="867">
        <v>213460.9283</v>
      </c>
      <c r="I199" s="867">
        <v>238017.1509</v>
      </c>
      <c r="J199" s="868">
        <v>190277.7938</v>
      </c>
      <c r="K199" s="50"/>
      <c r="L199" s="869" t="s">
        <v>611</v>
      </c>
      <c r="M199" s="865" t="s">
        <v>591</v>
      </c>
      <c r="N199" s="865" t="s">
        <v>616</v>
      </c>
      <c r="O199" s="866">
        <v>2004.0</v>
      </c>
      <c r="P199" s="865" t="s">
        <v>593</v>
      </c>
      <c r="Q199" s="865" t="s">
        <v>70</v>
      </c>
      <c r="R199" s="867">
        <v>212122.2412</v>
      </c>
      <c r="S199" s="867">
        <v>230418.4989</v>
      </c>
      <c r="T199" s="868">
        <v>195287.8858</v>
      </c>
      <c r="AN199" s="882"/>
      <c r="AO199" s="882"/>
      <c r="AP199" s="882"/>
      <c r="AY199" s="882"/>
      <c r="AZ199" s="882"/>
      <c r="BA199" s="882"/>
      <c r="BJ199" s="882"/>
      <c r="BK199" s="882"/>
      <c r="BL199" s="882"/>
      <c r="BU199" s="882"/>
      <c r="BV199" s="882"/>
      <c r="BW199" s="882"/>
      <c r="CF199" s="882"/>
      <c r="CG199" s="882"/>
      <c r="CH199" s="882"/>
      <c r="CI199" s="530"/>
    </row>
    <row r="200">
      <c r="A200" s="857"/>
      <c r="B200" s="865" t="s">
        <v>611</v>
      </c>
      <c r="C200" s="865" t="s">
        <v>591</v>
      </c>
      <c r="D200" s="865" t="s">
        <v>618</v>
      </c>
      <c r="E200" s="866">
        <v>2019.0</v>
      </c>
      <c r="F200" s="865" t="s">
        <v>593</v>
      </c>
      <c r="G200" s="865" t="s">
        <v>70</v>
      </c>
      <c r="H200" s="867">
        <v>1054096.444</v>
      </c>
      <c r="I200" s="867">
        <v>1175372.872</v>
      </c>
      <c r="J200" s="868">
        <v>939594.3205</v>
      </c>
      <c r="K200" s="50"/>
      <c r="L200" s="869" t="s">
        <v>611</v>
      </c>
      <c r="M200" s="865" t="s">
        <v>591</v>
      </c>
      <c r="N200" s="865" t="s">
        <v>618</v>
      </c>
      <c r="O200" s="866">
        <v>2004.0</v>
      </c>
      <c r="P200" s="865" t="s">
        <v>593</v>
      </c>
      <c r="Q200" s="865" t="s">
        <v>70</v>
      </c>
      <c r="R200" s="867">
        <v>805664.7977</v>
      </c>
      <c r="S200" s="867">
        <v>875162.2695</v>
      </c>
      <c r="T200" s="868">
        <v>741719.7873</v>
      </c>
      <c r="AN200" s="882"/>
      <c r="AO200" s="882"/>
      <c r="AP200" s="882"/>
      <c r="AY200" s="882"/>
      <c r="AZ200" s="882"/>
      <c r="BA200" s="882"/>
      <c r="BJ200" s="882"/>
      <c r="BK200" s="882"/>
      <c r="BL200" s="882"/>
      <c r="BU200" s="882"/>
      <c r="BV200" s="882"/>
      <c r="BW200" s="882"/>
      <c r="CF200" s="882"/>
      <c r="CG200" s="882"/>
      <c r="CH200" s="882"/>
      <c r="CI200" s="530"/>
    </row>
    <row r="201">
      <c r="A201" s="857"/>
      <c r="B201" s="865" t="s">
        <v>611</v>
      </c>
      <c r="C201" s="865" t="s">
        <v>591</v>
      </c>
      <c r="D201" s="865" t="s">
        <v>620</v>
      </c>
      <c r="E201" s="866">
        <v>2019.0</v>
      </c>
      <c r="F201" s="865" t="s">
        <v>593</v>
      </c>
      <c r="G201" s="865" t="s">
        <v>70</v>
      </c>
      <c r="H201" s="867">
        <v>1322798.368</v>
      </c>
      <c r="I201" s="867">
        <v>1474971.093</v>
      </c>
      <c r="J201" s="868">
        <v>1179134.547</v>
      </c>
      <c r="K201" s="50"/>
      <c r="L201" s="869" t="s">
        <v>611</v>
      </c>
      <c r="M201" s="865" t="s">
        <v>591</v>
      </c>
      <c r="N201" s="865" t="s">
        <v>620</v>
      </c>
      <c r="O201" s="866">
        <v>2004.0</v>
      </c>
      <c r="P201" s="865" t="s">
        <v>593</v>
      </c>
      <c r="Q201" s="865" t="s">
        <v>70</v>
      </c>
      <c r="R201" s="867">
        <v>958430.2237</v>
      </c>
      <c r="S201" s="867">
        <v>1041098.058</v>
      </c>
      <c r="T201" s="868">
        <v>882367.6904</v>
      </c>
      <c r="AN201" s="882"/>
      <c r="AO201" s="882"/>
      <c r="AP201" s="882"/>
      <c r="AY201" s="882"/>
      <c r="AZ201" s="882"/>
      <c r="BA201" s="882"/>
      <c r="BJ201" s="882"/>
      <c r="BK201" s="882"/>
      <c r="BL201" s="882"/>
      <c r="BU201" s="882"/>
      <c r="BV201" s="882"/>
      <c r="BW201" s="882"/>
      <c r="CF201" s="882"/>
      <c r="CG201" s="882"/>
      <c r="CH201" s="882"/>
      <c r="CI201" s="530"/>
    </row>
    <row r="202">
      <c r="A202" s="857"/>
      <c r="B202" s="865" t="s">
        <v>611</v>
      </c>
      <c r="C202" s="865" t="s">
        <v>591</v>
      </c>
      <c r="D202" s="865" t="s">
        <v>622</v>
      </c>
      <c r="E202" s="866">
        <v>2019.0</v>
      </c>
      <c r="F202" s="865" t="s">
        <v>593</v>
      </c>
      <c r="G202" s="865" t="s">
        <v>70</v>
      </c>
      <c r="H202" s="867">
        <v>1420046.871</v>
      </c>
      <c r="I202" s="867">
        <v>1583426.81</v>
      </c>
      <c r="J202" s="868">
        <v>1265793.071</v>
      </c>
      <c r="K202" s="50"/>
      <c r="L202" s="869" t="s">
        <v>611</v>
      </c>
      <c r="M202" s="865" t="s">
        <v>591</v>
      </c>
      <c r="N202" s="865" t="s">
        <v>622</v>
      </c>
      <c r="O202" s="866">
        <v>2004.0</v>
      </c>
      <c r="P202" s="865" t="s">
        <v>593</v>
      </c>
      <c r="Q202" s="865" t="s">
        <v>70</v>
      </c>
      <c r="R202" s="867">
        <v>926424.3094</v>
      </c>
      <c r="S202" s="867">
        <v>1006338.621</v>
      </c>
      <c r="T202" s="868">
        <v>852894.7071</v>
      </c>
      <c r="AN202" s="882"/>
      <c r="AO202" s="882"/>
      <c r="AP202" s="882"/>
      <c r="AY202" s="882"/>
      <c r="AZ202" s="882"/>
      <c r="BA202" s="882"/>
      <c r="BJ202" s="882"/>
      <c r="BK202" s="882"/>
      <c r="BL202" s="882"/>
      <c r="BU202" s="882"/>
      <c r="BV202" s="882"/>
      <c r="BW202" s="882"/>
      <c r="CF202" s="882"/>
      <c r="CG202" s="882"/>
      <c r="CH202" s="882"/>
      <c r="CI202" s="530"/>
    </row>
    <row r="203">
      <c r="A203" s="857"/>
      <c r="B203" s="865" t="s">
        <v>611</v>
      </c>
      <c r="C203" s="865" t="s">
        <v>591</v>
      </c>
      <c r="D203" s="865" t="s">
        <v>624</v>
      </c>
      <c r="E203" s="866">
        <v>2019.0</v>
      </c>
      <c r="F203" s="865" t="s">
        <v>593</v>
      </c>
      <c r="G203" s="865" t="s">
        <v>70</v>
      </c>
      <c r="H203" s="867">
        <v>207386.6481</v>
      </c>
      <c r="I203" s="867">
        <v>231244.0947</v>
      </c>
      <c r="J203" s="868">
        <v>184863.2168</v>
      </c>
      <c r="K203" s="50"/>
      <c r="L203" s="869" t="s">
        <v>611</v>
      </c>
      <c r="M203" s="865" t="s">
        <v>591</v>
      </c>
      <c r="N203" s="865" t="s">
        <v>624</v>
      </c>
      <c r="O203" s="866">
        <v>2004.0</v>
      </c>
      <c r="P203" s="865" t="s">
        <v>593</v>
      </c>
      <c r="Q203" s="865" t="s">
        <v>70</v>
      </c>
      <c r="R203" s="867">
        <v>194876.4046</v>
      </c>
      <c r="S203" s="867">
        <v>211685.1508</v>
      </c>
      <c r="T203" s="868">
        <v>179410.706</v>
      </c>
      <c r="AN203" s="882"/>
      <c r="AO203" s="882"/>
      <c r="AP203" s="882"/>
      <c r="AY203" s="882"/>
      <c r="AZ203" s="882"/>
      <c r="BA203" s="882"/>
      <c r="BJ203" s="882"/>
      <c r="BK203" s="882"/>
      <c r="BL203" s="882"/>
      <c r="BU203" s="882"/>
      <c r="BV203" s="882"/>
      <c r="BW203" s="882"/>
      <c r="CF203" s="882"/>
      <c r="CG203" s="882"/>
      <c r="CH203" s="882"/>
      <c r="CI203" s="530"/>
    </row>
    <row r="204">
      <c r="A204" s="857"/>
      <c r="B204" s="865" t="s">
        <v>611</v>
      </c>
      <c r="C204" s="865" t="s">
        <v>591</v>
      </c>
      <c r="D204" s="865" t="s">
        <v>625</v>
      </c>
      <c r="E204" s="866">
        <v>2019.0</v>
      </c>
      <c r="F204" s="865" t="s">
        <v>593</v>
      </c>
      <c r="G204" s="865" t="s">
        <v>70</v>
      </c>
      <c r="H204" s="867">
        <v>1212656.428</v>
      </c>
      <c r="I204" s="867">
        <v>1352158.591</v>
      </c>
      <c r="J204" s="868">
        <v>1080954.682</v>
      </c>
      <c r="K204" s="50"/>
      <c r="L204" s="869" t="s">
        <v>611</v>
      </c>
      <c r="M204" s="865" t="s">
        <v>591</v>
      </c>
      <c r="N204" s="865" t="s">
        <v>625</v>
      </c>
      <c r="O204" s="866">
        <v>2004.0</v>
      </c>
      <c r="P204" s="865" t="s">
        <v>593</v>
      </c>
      <c r="Q204" s="865" t="s">
        <v>70</v>
      </c>
      <c r="R204" s="867">
        <v>731546.5938</v>
      </c>
      <c r="S204" s="867">
        <v>794644.9512</v>
      </c>
      <c r="T204" s="868">
        <v>673489.903</v>
      </c>
      <c r="AN204" s="882"/>
      <c r="AO204" s="882"/>
      <c r="AP204" s="882"/>
      <c r="AY204" s="882"/>
      <c r="AZ204" s="882"/>
      <c r="BA204" s="882"/>
      <c r="BJ204" s="882"/>
      <c r="BK204" s="882"/>
      <c r="BL204" s="882"/>
      <c r="BU204" s="882"/>
      <c r="BV204" s="882"/>
      <c r="BW204" s="882"/>
      <c r="CF204" s="882"/>
      <c r="CG204" s="882"/>
      <c r="CH204" s="882"/>
      <c r="CI204" s="530"/>
    </row>
    <row r="205">
      <c r="A205" s="857"/>
      <c r="B205" s="865" t="s">
        <v>611</v>
      </c>
      <c r="C205" s="865" t="s">
        <v>591</v>
      </c>
      <c r="D205" s="865" t="s">
        <v>627</v>
      </c>
      <c r="E205" s="866">
        <v>2019.0</v>
      </c>
      <c r="F205" s="865" t="s">
        <v>593</v>
      </c>
      <c r="G205" s="865" t="s">
        <v>70</v>
      </c>
      <c r="H205" s="867">
        <v>217139.5368</v>
      </c>
      <c r="I205" s="867">
        <v>242118.941</v>
      </c>
      <c r="J205" s="868">
        <v>193556.8834</v>
      </c>
      <c r="K205" s="50"/>
      <c r="L205" s="869" t="s">
        <v>611</v>
      </c>
      <c r="M205" s="865" t="s">
        <v>591</v>
      </c>
      <c r="N205" s="865" t="s">
        <v>627</v>
      </c>
      <c r="O205" s="866">
        <v>2004.0</v>
      </c>
      <c r="P205" s="865" t="s">
        <v>593</v>
      </c>
      <c r="Q205" s="865" t="s">
        <v>70</v>
      </c>
      <c r="R205" s="867">
        <v>165462.6715</v>
      </c>
      <c r="S205" s="867">
        <v>179734.3841</v>
      </c>
      <c r="T205" s="868">
        <v>152331.293</v>
      </c>
      <c r="AN205" s="882"/>
      <c r="AO205" s="882"/>
      <c r="AP205" s="882"/>
      <c r="AY205" s="882"/>
      <c r="AZ205" s="882"/>
      <c r="BA205" s="882"/>
      <c r="BJ205" s="882"/>
      <c r="BK205" s="882"/>
      <c r="BL205" s="882"/>
      <c r="BU205" s="882"/>
      <c r="BV205" s="882"/>
      <c r="BW205" s="882"/>
      <c r="CF205" s="882"/>
      <c r="CG205" s="882"/>
      <c r="CH205" s="882"/>
      <c r="CI205" s="530"/>
    </row>
    <row r="206">
      <c r="A206" s="857"/>
      <c r="B206" s="865" t="s">
        <v>611</v>
      </c>
      <c r="C206" s="865" t="s">
        <v>591</v>
      </c>
      <c r="D206" s="865" t="s">
        <v>629</v>
      </c>
      <c r="E206" s="866">
        <v>2019.0</v>
      </c>
      <c r="F206" s="865" t="s">
        <v>593</v>
      </c>
      <c r="G206" s="865" t="s">
        <v>70</v>
      </c>
      <c r="H206" s="867">
        <v>901953.2012</v>
      </c>
      <c r="I206" s="867">
        <v>1005725.17</v>
      </c>
      <c r="J206" s="868">
        <v>803977.7673</v>
      </c>
      <c r="K206" s="50"/>
      <c r="L206" s="869" t="s">
        <v>611</v>
      </c>
      <c r="M206" s="865" t="s">
        <v>591</v>
      </c>
      <c r="N206" s="865" t="s">
        <v>629</v>
      </c>
      <c r="O206" s="866">
        <v>2004.0</v>
      </c>
      <c r="P206" s="865" t="s">
        <v>593</v>
      </c>
      <c r="Q206" s="865" t="s">
        <v>70</v>
      </c>
      <c r="R206" s="867">
        <v>551432.3582</v>
      </c>
      <c r="S206" s="867">
        <v>598999.4791</v>
      </c>
      <c r="T206" s="868">
        <v>507665.5858</v>
      </c>
      <c r="AN206" s="882"/>
      <c r="AO206" s="882"/>
      <c r="AP206" s="882"/>
      <c r="AY206" s="882"/>
      <c r="AZ206" s="882"/>
      <c r="BA206" s="882"/>
      <c r="BJ206" s="882"/>
      <c r="BK206" s="882"/>
      <c r="BL206" s="882"/>
      <c r="BU206" s="882"/>
      <c r="BV206" s="882"/>
      <c r="BW206" s="882"/>
      <c r="CF206" s="882"/>
      <c r="CG206" s="882"/>
      <c r="CH206" s="882"/>
      <c r="CI206" s="530"/>
    </row>
    <row r="207">
      <c r="A207" s="857"/>
      <c r="B207" s="865" t="s">
        <v>611</v>
      </c>
      <c r="C207" s="865" t="s">
        <v>591</v>
      </c>
      <c r="D207" s="865" t="s">
        <v>631</v>
      </c>
      <c r="E207" s="866">
        <v>2019.0</v>
      </c>
      <c r="F207" s="865" t="s">
        <v>593</v>
      </c>
      <c r="G207" s="865" t="s">
        <v>70</v>
      </c>
      <c r="H207" s="867">
        <v>217024.3918</v>
      </c>
      <c r="I207" s="867">
        <v>241990.5498</v>
      </c>
      <c r="J207" s="868">
        <v>193454.2438</v>
      </c>
      <c r="K207" s="50"/>
      <c r="L207" s="869" t="s">
        <v>611</v>
      </c>
      <c r="M207" s="865" t="s">
        <v>591</v>
      </c>
      <c r="N207" s="865" t="s">
        <v>631</v>
      </c>
      <c r="O207" s="866">
        <v>2004.0</v>
      </c>
      <c r="P207" s="865" t="s">
        <v>593</v>
      </c>
      <c r="Q207" s="865" t="s">
        <v>70</v>
      </c>
      <c r="R207" s="867">
        <v>131449.3942</v>
      </c>
      <c r="S207" s="867">
        <v>142787.3472</v>
      </c>
      <c r="T207" s="868">
        <v>121017.3631</v>
      </c>
      <c r="AN207" s="882"/>
      <c r="AO207" s="882"/>
      <c r="AP207" s="882"/>
      <c r="AY207" s="882"/>
      <c r="AZ207" s="882"/>
      <c r="BA207" s="882"/>
      <c r="BJ207" s="882"/>
      <c r="BK207" s="882"/>
      <c r="BL207" s="882"/>
      <c r="BU207" s="882"/>
      <c r="BV207" s="882"/>
      <c r="BW207" s="882"/>
      <c r="CF207" s="882"/>
      <c r="CG207" s="882"/>
      <c r="CH207" s="882"/>
      <c r="CI207" s="530"/>
    </row>
    <row r="208">
      <c r="A208" s="857"/>
      <c r="B208" s="865" t="s">
        <v>611</v>
      </c>
      <c r="C208" s="865" t="s">
        <v>591</v>
      </c>
      <c r="D208" s="865" t="s">
        <v>633</v>
      </c>
      <c r="E208" s="866">
        <v>2019.0</v>
      </c>
      <c r="F208" s="865" t="s">
        <v>593</v>
      </c>
      <c r="G208" s="865" t="s">
        <v>70</v>
      </c>
      <c r="H208" s="867">
        <v>199082.1221</v>
      </c>
      <c r="I208" s="867">
        <v>221984.2286</v>
      </c>
      <c r="J208" s="868">
        <v>177460.612</v>
      </c>
      <c r="K208" s="50"/>
      <c r="L208" s="869" t="s">
        <v>611</v>
      </c>
      <c r="M208" s="865" t="s">
        <v>591</v>
      </c>
      <c r="N208" s="865" t="s">
        <v>633</v>
      </c>
      <c r="O208" s="866">
        <v>2004.0</v>
      </c>
      <c r="P208" s="865" t="s">
        <v>593</v>
      </c>
      <c r="Q208" s="865" t="s">
        <v>70</v>
      </c>
      <c r="R208" s="867">
        <v>101752.946</v>
      </c>
      <c r="S208" s="867">
        <v>110529.4803</v>
      </c>
      <c r="T208" s="868">
        <v>93677.67186</v>
      </c>
      <c r="AN208" s="882"/>
      <c r="AO208" s="882"/>
      <c r="AP208" s="882"/>
      <c r="AY208" s="882"/>
      <c r="AZ208" s="882"/>
      <c r="BA208" s="882"/>
      <c r="BJ208" s="882"/>
      <c r="BK208" s="882"/>
      <c r="BL208" s="882"/>
      <c r="BU208" s="882"/>
      <c r="BV208" s="882"/>
      <c r="BW208" s="882"/>
      <c r="CF208" s="882"/>
      <c r="CG208" s="882"/>
      <c r="CH208" s="882"/>
      <c r="CI208" s="530"/>
    </row>
    <row r="209">
      <c r="A209" s="857"/>
      <c r="B209" s="865" t="s">
        <v>611</v>
      </c>
      <c r="C209" s="865" t="s">
        <v>591</v>
      </c>
      <c r="D209" s="865" t="s">
        <v>635</v>
      </c>
      <c r="E209" s="866">
        <v>2019.0</v>
      </c>
      <c r="F209" s="865" t="s">
        <v>593</v>
      </c>
      <c r="G209" s="865" t="s">
        <v>70</v>
      </c>
      <c r="H209" s="867">
        <v>153340.2909</v>
      </c>
      <c r="I209" s="867">
        <v>170980.3263</v>
      </c>
      <c r="J209" s="868">
        <v>136686.6175</v>
      </c>
      <c r="K209" s="50"/>
      <c r="L209" s="869" t="s">
        <v>611</v>
      </c>
      <c r="M209" s="865" t="s">
        <v>591</v>
      </c>
      <c r="N209" s="865" t="s">
        <v>635</v>
      </c>
      <c r="O209" s="866">
        <v>2004.0</v>
      </c>
      <c r="P209" s="865" t="s">
        <v>593</v>
      </c>
      <c r="Q209" s="865" t="s">
        <v>70</v>
      </c>
      <c r="R209" s="867">
        <v>84902.20339</v>
      </c>
      <c r="S209" s="867">
        <v>92225.30438</v>
      </c>
      <c r="T209" s="868">
        <v>78164.2307</v>
      </c>
      <c r="AN209" s="882"/>
      <c r="AO209" s="882"/>
      <c r="AP209" s="882"/>
      <c r="AY209" s="882"/>
      <c r="AZ209" s="882"/>
      <c r="BA209" s="882"/>
      <c r="BJ209" s="882"/>
      <c r="BK209" s="882"/>
      <c r="BL209" s="882"/>
      <c r="BU209" s="882"/>
      <c r="BV209" s="882"/>
      <c r="BW209" s="882"/>
      <c r="CF209" s="882"/>
      <c r="CG209" s="882"/>
      <c r="CH209" s="882"/>
      <c r="CI209" s="530"/>
    </row>
    <row r="210">
      <c r="A210" s="857"/>
      <c r="B210" s="865" t="s">
        <v>611</v>
      </c>
      <c r="C210" s="865" t="s">
        <v>591</v>
      </c>
      <c r="D210" s="865" t="s">
        <v>637</v>
      </c>
      <c r="E210" s="866">
        <v>2019.0</v>
      </c>
      <c r="F210" s="865" t="s">
        <v>593</v>
      </c>
      <c r="G210" s="865" t="s">
        <v>70</v>
      </c>
      <c r="H210" s="867">
        <v>115364.4496</v>
      </c>
      <c r="I210" s="867">
        <v>128635.8015</v>
      </c>
      <c r="J210" s="868">
        <v>102835.1798</v>
      </c>
      <c r="K210" s="50"/>
      <c r="L210" s="869" t="s">
        <v>611</v>
      </c>
      <c r="M210" s="865" t="s">
        <v>591</v>
      </c>
      <c r="N210" s="865" t="s">
        <v>637</v>
      </c>
      <c r="O210" s="866">
        <v>2004.0</v>
      </c>
      <c r="P210" s="865" t="s">
        <v>593</v>
      </c>
      <c r="Q210" s="865" t="s">
        <v>70</v>
      </c>
      <c r="R210" s="867">
        <v>67864.36276</v>
      </c>
      <c r="S210" s="867">
        <v>73717.8926</v>
      </c>
      <c r="T210" s="868">
        <v>62478.53996</v>
      </c>
      <c r="AN210" s="882"/>
      <c r="AO210" s="882"/>
      <c r="AP210" s="882"/>
      <c r="AY210" s="882"/>
      <c r="AZ210" s="882"/>
      <c r="BA210" s="882"/>
      <c r="BJ210" s="882"/>
      <c r="BK210" s="882"/>
      <c r="BL210" s="882"/>
      <c r="BU210" s="882"/>
      <c r="BV210" s="882"/>
      <c r="BW210" s="882"/>
      <c r="CF210" s="882"/>
      <c r="CG210" s="882"/>
      <c r="CH210" s="882"/>
      <c r="CI210" s="530"/>
    </row>
    <row r="211">
      <c r="A211" s="857"/>
      <c r="B211" s="865" t="s">
        <v>611</v>
      </c>
      <c r="C211" s="865" t="s">
        <v>591</v>
      </c>
      <c r="D211" s="865" t="s">
        <v>639</v>
      </c>
      <c r="E211" s="866">
        <v>2019.0</v>
      </c>
      <c r="F211" s="865" t="s">
        <v>593</v>
      </c>
      <c r="G211" s="865" t="s">
        <v>70</v>
      </c>
      <c r="H211" s="867">
        <v>682171.2882</v>
      </c>
      <c r="I211" s="867">
        <v>760656.7986</v>
      </c>
      <c r="J211" s="868">
        <v>608069.8516</v>
      </c>
      <c r="K211" s="50"/>
      <c r="L211" s="869" t="s">
        <v>611</v>
      </c>
      <c r="M211" s="865" t="s">
        <v>591</v>
      </c>
      <c r="N211" s="865" t="s">
        <v>639</v>
      </c>
      <c r="O211" s="866">
        <v>2004.0</v>
      </c>
      <c r="P211" s="865" t="s">
        <v>593</v>
      </c>
      <c r="Q211" s="865" t="s">
        <v>70</v>
      </c>
      <c r="R211" s="867">
        <v>648526.5629</v>
      </c>
      <c r="S211" s="867">
        <v>704469.1294</v>
      </c>
      <c r="T211" s="868">
        <v>597053.4963</v>
      </c>
      <c r="AN211" s="882"/>
      <c r="AO211" s="882"/>
      <c r="AP211" s="882"/>
      <c r="AY211" s="882"/>
      <c r="AZ211" s="882"/>
      <c r="BA211" s="882"/>
      <c r="BJ211" s="882"/>
      <c r="BK211" s="882"/>
      <c r="BL211" s="882"/>
      <c r="BU211" s="882"/>
      <c r="BV211" s="882"/>
      <c r="BW211" s="882"/>
      <c r="CF211" s="882"/>
      <c r="CG211" s="882"/>
      <c r="CH211" s="882"/>
      <c r="CI211" s="530"/>
    </row>
    <row r="212">
      <c r="A212" s="857"/>
      <c r="B212" s="865" t="s">
        <v>611</v>
      </c>
      <c r="C212" s="865" t="s">
        <v>591</v>
      </c>
      <c r="D212" s="865" t="s">
        <v>641</v>
      </c>
      <c r="E212" s="866">
        <v>2019.0</v>
      </c>
      <c r="F212" s="865" t="s">
        <v>593</v>
      </c>
      <c r="G212" s="865" t="s">
        <v>70</v>
      </c>
      <c r="H212" s="867">
        <v>239285.7946</v>
      </c>
      <c r="I212" s="867">
        <v>266812.8708</v>
      </c>
      <c r="J212" s="868">
        <v>213297.9251</v>
      </c>
      <c r="K212" s="50"/>
      <c r="L212" s="869" t="s">
        <v>611</v>
      </c>
      <c r="M212" s="865" t="s">
        <v>591</v>
      </c>
      <c r="N212" s="865" t="s">
        <v>641</v>
      </c>
      <c r="O212" s="866">
        <v>2004.0</v>
      </c>
      <c r="P212" s="865" t="s">
        <v>593</v>
      </c>
      <c r="Q212" s="865" t="s">
        <v>70</v>
      </c>
      <c r="R212" s="867">
        <v>214249.1613</v>
      </c>
      <c r="S212" s="867">
        <v>232728.873</v>
      </c>
      <c r="T212" s="868">
        <v>197246.0101</v>
      </c>
      <c r="AN212" s="882"/>
      <c r="AO212" s="882"/>
      <c r="AP212" s="882"/>
      <c r="AY212" s="882"/>
      <c r="AZ212" s="882"/>
      <c r="BA212" s="882"/>
      <c r="BJ212" s="882"/>
      <c r="BK212" s="882"/>
      <c r="BL212" s="882"/>
      <c r="BU212" s="882"/>
      <c r="BV212" s="882"/>
      <c r="BW212" s="882"/>
      <c r="CF212" s="882"/>
      <c r="CG212" s="882"/>
      <c r="CH212" s="882"/>
      <c r="CI212" s="530"/>
    </row>
    <row r="213">
      <c r="A213" s="857"/>
      <c r="B213" s="865" t="s">
        <v>611</v>
      </c>
      <c r="C213" s="865" t="s">
        <v>591</v>
      </c>
      <c r="D213" s="865" t="s">
        <v>643</v>
      </c>
      <c r="E213" s="866">
        <v>2019.0</v>
      </c>
      <c r="F213" s="865" t="s">
        <v>593</v>
      </c>
      <c r="G213" s="865" t="s">
        <v>70</v>
      </c>
      <c r="H213" s="867">
        <v>86582.49421</v>
      </c>
      <c r="I213" s="867">
        <v>96542.8135</v>
      </c>
      <c r="J213" s="868">
        <v>77179.1171</v>
      </c>
      <c r="K213" s="50"/>
      <c r="L213" s="869" t="s">
        <v>611</v>
      </c>
      <c r="M213" s="865" t="s">
        <v>591</v>
      </c>
      <c r="N213" s="865" t="s">
        <v>643</v>
      </c>
      <c r="O213" s="866">
        <v>2004.0</v>
      </c>
      <c r="P213" s="865" t="s">
        <v>593</v>
      </c>
      <c r="Q213" s="865" t="s">
        <v>70</v>
      </c>
      <c r="R213" s="867">
        <v>50977.83594</v>
      </c>
      <c r="S213" s="867">
        <v>55374.84598</v>
      </c>
      <c r="T213" s="868">
        <v>46932.15453</v>
      </c>
      <c r="AN213" s="882"/>
      <c r="AO213" s="882"/>
      <c r="AP213" s="882"/>
      <c r="AY213" s="882"/>
      <c r="AZ213" s="882"/>
      <c r="BA213" s="882"/>
      <c r="BJ213" s="882"/>
      <c r="BK213" s="882"/>
      <c r="BL213" s="882"/>
      <c r="BU213" s="882"/>
      <c r="BV213" s="882"/>
      <c r="BW213" s="882"/>
      <c r="CF213" s="882"/>
      <c r="CG213" s="882"/>
      <c r="CH213" s="882"/>
      <c r="CI213" s="530"/>
    </row>
    <row r="214">
      <c r="A214" s="857"/>
      <c r="B214" s="865" t="s">
        <v>611</v>
      </c>
      <c r="C214" s="865" t="s">
        <v>591</v>
      </c>
      <c r="D214" s="865" t="s">
        <v>645</v>
      </c>
      <c r="E214" s="866">
        <v>2019.0</v>
      </c>
      <c r="F214" s="865" t="s">
        <v>593</v>
      </c>
      <c r="G214" s="865" t="s">
        <v>70</v>
      </c>
      <c r="H214" s="867">
        <v>257528.8741</v>
      </c>
      <c r="I214" s="867">
        <v>287154.6066</v>
      </c>
      <c r="J214" s="868">
        <v>229559.6969</v>
      </c>
      <c r="K214" s="50"/>
      <c r="L214" s="869" t="s">
        <v>611</v>
      </c>
      <c r="M214" s="865" t="s">
        <v>591</v>
      </c>
      <c r="N214" s="865" t="s">
        <v>645</v>
      </c>
      <c r="O214" s="866">
        <v>2004.0</v>
      </c>
      <c r="P214" s="865" t="s">
        <v>593</v>
      </c>
      <c r="Q214" s="865" t="s">
        <v>70</v>
      </c>
      <c r="R214" s="867">
        <v>144431.5948</v>
      </c>
      <c r="S214" s="867">
        <v>156889.3063</v>
      </c>
      <c r="T214" s="868">
        <v>132969.2758</v>
      </c>
      <c r="AN214" s="882"/>
      <c r="AO214" s="882"/>
      <c r="AP214" s="882"/>
      <c r="AY214" s="882"/>
      <c r="AZ214" s="882"/>
      <c r="BA214" s="882"/>
      <c r="BJ214" s="882"/>
      <c r="BK214" s="882"/>
      <c r="BL214" s="882"/>
      <c r="BU214" s="882"/>
      <c r="BV214" s="882"/>
      <c r="BW214" s="882"/>
      <c r="CF214" s="882"/>
      <c r="CG214" s="882"/>
      <c r="CH214" s="882"/>
      <c r="CI214" s="530"/>
    </row>
    <row r="215">
      <c r="A215" s="857"/>
      <c r="B215" s="865" t="s">
        <v>611</v>
      </c>
      <c r="C215" s="865" t="s">
        <v>591</v>
      </c>
      <c r="D215" s="865" t="s">
        <v>604</v>
      </c>
      <c r="E215" s="866">
        <v>2019.0</v>
      </c>
      <c r="F215" s="865" t="s">
        <v>593</v>
      </c>
      <c r="G215" s="865" t="s">
        <v>70</v>
      </c>
      <c r="H215" s="867">
        <v>468708.5371</v>
      </c>
      <c r="I215" s="867">
        <v>522628.0589</v>
      </c>
      <c r="J215" s="868">
        <v>417803.9845</v>
      </c>
      <c r="K215" s="50"/>
      <c r="L215" s="869" t="s">
        <v>611</v>
      </c>
      <c r="M215" s="865" t="s">
        <v>591</v>
      </c>
      <c r="N215" s="865" t="s">
        <v>604</v>
      </c>
      <c r="O215" s="866">
        <v>2004.0</v>
      </c>
      <c r="P215" s="865" t="s">
        <v>593</v>
      </c>
      <c r="Q215" s="865" t="s">
        <v>70</v>
      </c>
      <c r="R215" s="867">
        <v>436403.4039</v>
      </c>
      <c r="S215" s="867">
        <v>474044.6673</v>
      </c>
      <c r="T215" s="868">
        <v>401769.7419</v>
      </c>
      <c r="AN215" s="882"/>
      <c r="AO215" s="882"/>
      <c r="AP215" s="882"/>
      <c r="AY215" s="882"/>
      <c r="AZ215" s="882"/>
      <c r="BA215" s="882"/>
      <c r="BJ215" s="882"/>
      <c r="BK215" s="882"/>
      <c r="BL215" s="882"/>
      <c r="BU215" s="882"/>
      <c r="BV215" s="882"/>
      <c r="BW215" s="882"/>
      <c r="CF215" s="882"/>
      <c r="CG215" s="882"/>
      <c r="CH215" s="882"/>
      <c r="CI215" s="530"/>
    </row>
    <row r="216">
      <c r="A216" s="857"/>
      <c r="B216" s="865" t="s">
        <v>611</v>
      </c>
      <c r="C216" s="865" t="s">
        <v>591</v>
      </c>
      <c r="D216" s="865" t="s">
        <v>647</v>
      </c>
      <c r="E216" s="866">
        <v>2019.0</v>
      </c>
      <c r="F216" s="865" t="s">
        <v>593</v>
      </c>
      <c r="G216" s="865" t="s">
        <v>70</v>
      </c>
      <c r="H216" s="867">
        <v>224123.7418</v>
      </c>
      <c r="I216" s="867">
        <v>249909.738</v>
      </c>
      <c r="J216" s="868">
        <v>199778.1096</v>
      </c>
      <c r="K216" s="50"/>
      <c r="L216" s="869" t="s">
        <v>611</v>
      </c>
      <c r="M216" s="865" t="s">
        <v>591</v>
      </c>
      <c r="N216" s="865" t="s">
        <v>647</v>
      </c>
      <c r="O216" s="866">
        <v>2004.0</v>
      </c>
      <c r="P216" s="865" t="s">
        <v>593</v>
      </c>
      <c r="Q216" s="865" t="s">
        <v>70</v>
      </c>
      <c r="R216" s="867">
        <v>129137.3627</v>
      </c>
      <c r="S216" s="867">
        <v>140276.8841</v>
      </c>
      <c r="T216" s="868">
        <v>118887.8271</v>
      </c>
      <c r="AN216" s="882"/>
      <c r="AO216" s="882"/>
      <c r="AP216" s="882"/>
      <c r="AY216" s="882"/>
      <c r="AZ216" s="882"/>
      <c r="BA216" s="882"/>
      <c r="BJ216" s="882"/>
      <c r="BK216" s="882"/>
      <c r="BL216" s="882"/>
      <c r="BU216" s="882"/>
      <c r="BV216" s="882"/>
      <c r="BW216" s="882"/>
      <c r="CF216" s="882"/>
      <c r="CG216" s="882"/>
      <c r="CH216" s="882"/>
      <c r="CI216" s="530"/>
    </row>
    <row r="217">
      <c r="A217" s="857"/>
      <c r="B217" s="865" t="s">
        <v>611</v>
      </c>
      <c r="C217" s="865" t="s">
        <v>591</v>
      </c>
      <c r="D217" s="865" t="s">
        <v>649</v>
      </c>
      <c r="E217" s="866">
        <v>2019.0</v>
      </c>
      <c r="F217" s="865" t="s">
        <v>593</v>
      </c>
      <c r="G217" s="865" t="s">
        <v>70</v>
      </c>
      <c r="H217" s="867">
        <v>72628.69936</v>
      </c>
      <c r="I217" s="867">
        <v>80983.79517</v>
      </c>
      <c r="J217" s="868">
        <v>64740.78788</v>
      </c>
      <c r="K217" s="50"/>
      <c r="L217" s="869" t="s">
        <v>611</v>
      </c>
      <c r="M217" s="865" t="s">
        <v>591</v>
      </c>
      <c r="N217" s="865" t="s">
        <v>649</v>
      </c>
      <c r="O217" s="866">
        <v>2004.0</v>
      </c>
      <c r="P217" s="865" t="s">
        <v>593</v>
      </c>
      <c r="Q217" s="865" t="s">
        <v>70</v>
      </c>
      <c r="R217" s="867">
        <v>37730.10894</v>
      </c>
      <c r="S217" s="867">
        <v>40984.4579</v>
      </c>
      <c r="T217" s="868">
        <v>34735.78802</v>
      </c>
      <c r="AN217" s="882"/>
      <c r="AO217" s="882"/>
      <c r="AP217" s="882"/>
      <c r="AY217" s="882"/>
      <c r="AZ217" s="882"/>
      <c r="BA217" s="882"/>
      <c r="BJ217" s="882"/>
      <c r="BK217" s="882"/>
      <c r="BL217" s="882"/>
      <c r="BU217" s="882"/>
      <c r="BV217" s="882"/>
      <c r="BW217" s="882"/>
      <c r="CF217" s="882"/>
      <c r="CG217" s="882"/>
      <c r="CH217" s="882"/>
      <c r="CI217" s="530"/>
    </row>
    <row r="218">
      <c r="A218" s="857"/>
      <c r="B218" s="865" t="s">
        <v>611</v>
      </c>
      <c r="C218" s="865" t="s">
        <v>591</v>
      </c>
      <c r="D218" s="865" t="s">
        <v>651</v>
      </c>
      <c r="E218" s="866">
        <v>2019.0</v>
      </c>
      <c r="F218" s="865" t="s">
        <v>593</v>
      </c>
      <c r="G218" s="865" t="s">
        <v>70</v>
      </c>
      <c r="H218" s="867">
        <v>57126.58254</v>
      </c>
      <c r="I218" s="867">
        <v>63698.33826</v>
      </c>
      <c r="J218" s="868">
        <v>50922.29374</v>
      </c>
      <c r="K218" s="50"/>
      <c r="L218" s="869" t="s">
        <v>611</v>
      </c>
      <c r="M218" s="865" t="s">
        <v>591</v>
      </c>
      <c r="N218" s="865" t="s">
        <v>651</v>
      </c>
      <c r="O218" s="866">
        <v>2004.0</v>
      </c>
      <c r="P218" s="865" t="s">
        <v>593</v>
      </c>
      <c r="Q218" s="865" t="s">
        <v>70</v>
      </c>
      <c r="R218" s="867">
        <v>29996.30149</v>
      </c>
      <c r="S218" s="867">
        <v>32583.58351</v>
      </c>
      <c r="T218" s="868">
        <v>27615.74772</v>
      </c>
      <c r="AN218" s="882"/>
      <c r="AO218" s="882"/>
      <c r="AP218" s="882"/>
      <c r="AY218" s="882"/>
      <c r="AZ218" s="882"/>
      <c r="BA218" s="882"/>
      <c r="BJ218" s="882"/>
      <c r="BK218" s="882"/>
      <c r="BL218" s="882"/>
      <c r="BU218" s="882"/>
      <c r="BV218" s="882"/>
      <c r="BW218" s="882"/>
      <c r="CF218" s="882"/>
      <c r="CG218" s="882"/>
      <c r="CH218" s="882"/>
      <c r="CI218" s="530"/>
    </row>
    <row r="219">
      <c r="A219" s="857"/>
      <c r="B219" s="865" t="s">
        <v>611</v>
      </c>
      <c r="C219" s="865" t="s">
        <v>591</v>
      </c>
      <c r="D219" s="865" t="s">
        <v>653</v>
      </c>
      <c r="E219" s="866">
        <v>2019.0</v>
      </c>
      <c r="F219" s="865" t="s">
        <v>593</v>
      </c>
      <c r="G219" s="865" t="s">
        <v>70</v>
      </c>
      <c r="H219" s="867">
        <v>41191.098</v>
      </c>
      <c r="I219" s="867">
        <v>45929.65966</v>
      </c>
      <c r="J219" s="868">
        <v>36717.4982</v>
      </c>
      <c r="K219" s="50"/>
      <c r="L219" s="869" t="s">
        <v>611</v>
      </c>
      <c r="M219" s="865" t="s">
        <v>591</v>
      </c>
      <c r="N219" s="865" t="s">
        <v>653</v>
      </c>
      <c r="O219" s="866">
        <v>2004.0</v>
      </c>
      <c r="P219" s="865" t="s">
        <v>593</v>
      </c>
      <c r="Q219" s="865" t="s">
        <v>70</v>
      </c>
      <c r="R219" s="867">
        <v>25727.34846</v>
      </c>
      <c r="S219" s="867">
        <v>27946.41891</v>
      </c>
      <c r="T219" s="868">
        <v>23685.58553</v>
      </c>
      <c r="AN219" s="882"/>
      <c r="AO219" s="882"/>
      <c r="AP219" s="882"/>
      <c r="AY219" s="882"/>
      <c r="AZ219" s="882"/>
      <c r="BA219" s="882"/>
      <c r="BJ219" s="882"/>
      <c r="BK219" s="882"/>
      <c r="BL219" s="882"/>
      <c r="BU219" s="882"/>
      <c r="BV219" s="882"/>
      <c r="BW219" s="882"/>
      <c r="CF219" s="882"/>
      <c r="CG219" s="882"/>
      <c r="CH219" s="882"/>
      <c r="CI219" s="530"/>
    </row>
    <row r="220">
      <c r="A220" s="857"/>
      <c r="B220" s="865" t="s">
        <v>611</v>
      </c>
      <c r="C220" s="865" t="s">
        <v>591</v>
      </c>
      <c r="D220" s="865" t="s">
        <v>655</v>
      </c>
      <c r="E220" s="866">
        <v>2019.0</v>
      </c>
      <c r="F220" s="865" t="s">
        <v>593</v>
      </c>
      <c r="G220" s="865" t="s">
        <v>70</v>
      </c>
      <c r="H220" s="867">
        <v>66365.45543</v>
      </c>
      <c r="I220" s="867">
        <v>74000.96682</v>
      </c>
      <c r="J220" s="868">
        <v>59156.45136</v>
      </c>
      <c r="K220" s="50"/>
      <c r="L220" s="869" t="s">
        <v>611</v>
      </c>
      <c r="M220" s="865" t="s">
        <v>591</v>
      </c>
      <c r="N220" s="865" t="s">
        <v>655</v>
      </c>
      <c r="O220" s="866">
        <v>2004.0</v>
      </c>
      <c r="P220" s="865" t="s">
        <v>593</v>
      </c>
      <c r="Q220" s="865" t="s">
        <v>70</v>
      </c>
      <c r="R220" s="867">
        <v>43598.30552</v>
      </c>
      <c r="S220" s="867">
        <v>47359.14007</v>
      </c>
      <c r="T220" s="868">
        <v>40137.94073</v>
      </c>
      <c r="AN220" s="882"/>
      <c r="AO220" s="882"/>
      <c r="AP220" s="882"/>
      <c r="AY220" s="882"/>
      <c r="AZ220" s="882"/>
      <c r="BA220" s="882"/>
      <c r="BJ220" s="882"/>
      <c r="BK220" s="882"/>
      <c r="BL220" s="882"/>
      <c r="BU220" s="882"/>
      <c r="BV220" s="882"/>
      <c r="BW220" s="882"/>
      <c r="CF220" s="882"/>
      <c r="CG220" s="882"/>
      <c r="CH220" s="882"/>
      <c r="CI220" s="530"/>
    </row>
    <row r="221">
      <c r="A221" s="857"/>
      <c r="B221" s="865" t="s">
        <v>611</v>
      </c>
      <c r="C221" s="865" t="s">
        <v>591</v>
      </c>
      <c r="D221" s="865" t="s">
        <v>657</v>
      </c>
      <c r="E221" s="866">
        <v>2019.0</v>
      </c>
      <c r="F221" s="865" t="s">
        <v>593</v>
      </c>
      <c r="G221" s="865" t="s">
        <v>70</v>
      </c>
      <c r="H221" s="867">
        <v>25174.1801</v>
      </c>
      <c r="I221" s="867">
        <v>28070.17973</v>
      </c>
      <c r="J221" s="868">
        <v>22440.11346</v>
      </c>
      <c r="K221" s="50"/>
      <c r="L221" s="869" t="s">
        <v>611</v>
      </c>
      <c r="M221" s="865" t="s">
        <v>591</v>
      </c>
      <c r="N221" s="865" t="s">
        <v>657</v>
      </c>
      <c r="O221" s="866">
        <v>2004.0</v>
      </c>
      <c r="P221" s="865" t="s">
        <v>593</v>
      </c>
      <c r="Q221" s="865" t="s">
        <v>70</v>
      </c>
      <c r="R221" s="867">
        <v>17870.89536</v>
      </c>
      <c r="S221" s="867">
        <v>19412.32028</v>
      </c>
      <c r="T221" s="868">
        <v>16452.63294</v>
      </c>
      <c r="AN221" s="882"/>
      <c r="AO221" s="882"/>
      <c r="AP221" s="882"/>
      <c r="AY221" s="882"/>
      <c r="AZ221" s="882"/>
      <c r="BA221" s="882"/>
      <c r="BJ221" s="882"/>
      <c r="BK221" s="882"/>
      <c r="BL221" s="882"/>
      <c r="BU221" s="882"/>
      <c r="BV221" s="882"/>
      <c r="BW221" s="882"/>
      <c r="CF221" s="882"/>
      <c r="CG221" s="882"/>
      <c r="CH221" s="882"/>
      <c r="CI221" s="530"/>
    </row>
    <row r="222">
      <c r="A222" s="857"/>
      <c r="B222" s="865" t="s">
        <v>611</v>
      </c>
      <c r="C222" s="865" t="s">
        <v>591</v>
      </c>
      <c r="D222" s="865" t="s">
        <v>659</v>
      </c>
      <c r="E222" s="866">
        <v>2019.0</v>
      </c>
      <c r="F222" s="865" t="s">
        <v>593</v>
      </c>
      <c r="G222" s="865" t="s">
        <v>70</v>
      </c>
      <c r="H222" s="867">
        <v>53176.76302</v>
      </c>
      <c r="I222" s="867">
        <v>59294.13748</v>
      </c>
      <c r="J222" s="868">
        <v>47401.44827</v>
      </c>
      <c r="K222" s="50"/>
      <c r="L222" s="869" t="s">
        <v>611</v>
      </c>
      <c r="M222" s="865" t="s">
        <v>591</v>
      </c>
      <c r="N222" s="865" t="s">
        <v>659</v>
      </c>
      <c r="O222" s="866">
        <v>2004.0</v>
      </c>
      <c r="P222" s="865" t="s">
        <v>593</v>
      </c>
      <c r="Q222" s="865" t="s">
        <v>70</v>
      </c>
      <c r="R222" s="867">
        <v>35683.42107</v>
      </c>
      <c r="S222" s="867">
        <v>38761.23631</v>
      </c>
      <c r="T222" s="868">
        <v>32851.52853</v>
      </c>
      <c r="AN222" s="882"/>
      <c r="AO222" s="882"/>
      <c r="AP222" s="882"/>
      <c r="AY222" s="882"/>
      <c r="AZ222" s="882"/>
      <c r="BA222" s="882"/>
      <c r="BJ222" s="882"/>
      <c r="BK222" s="882"/>
      <c r="BL222" s="882"/>
      <c r="BU222" s="882"/>
      <c r="BV222" s="882"/>
      <c r="BW222" s="882"/>
      <c r="CF222" s="882"/>
      <c r="CG222" s="882"/>
      <c r="CH222" s="882"/>
      <c r="CI222" s="530"/>
    </row>
    <row r="223">
      <c r="A223" s="857"/>
      <c r="B223" s="865" t="s">
        <v>611</v>
      </c>
      <c r="C223" s="865" t="s">
        <v>591</v>
      </c>
      <c r="D223" s="865" t="s">
        <v>661</v>
      </c>
      <c r="E223" s="866">
        <v>2019.0</v>
      </c>
      <c r="F223" s="865" t="s">
        <v>593</v>
      </c>
      <c r="G223" s="865" t="s">
        <v>70</v>
      </c>
      <c r="H223" s="867">
        <v>28002.65774</v>
      </c>
      <c r="I223" s="867">
        <v>31224.43346</v>
      </c>
      <c r="J223" s="868">
        <v>24960.84522</v>
      </c>
      <c r="K223" s="50"/>
      <c r="L223" s="869" t="s">
        <v>611</v>
      </c>
      <c r="M223" s="865" t="s">
        <v>591</v>
      </c>
      <c r="N223" s="865" t="s">
        <v>661</v>
      </c>
      <c r="O223" s="866">
        <v>2004.0</v>
      </c>
      <c r="P223" s="865" t="s">
        <v>593</v>
      </c>
      <c r="Q223" s="865" t="s">
        <v>70</v>
      </c>
      <c r="R223" s="867">
        <v>17812.55091</v>
      </c>
      <c r="S223" s="867">
        <v>19349.07983</v>
      </c>
      <c r="T223" s="868">
        <v>16398.78211</v>
      </c>
      <c r="AN223" s="882"/>
      <c r="AO223" s="882"/>
      <c r="AP223" s="882"/>
      <c r="AY223" s="882"/>
      <c r="AZ223" s="882"/>
      <c r="BA223" s="882"/>
      <c r="BJ223" s="882"/>
      <c r="BK223" s="882"/>
      <c r="BL223" s="882"/>
      <c r="BU223" s="882"/>
      <c r="BV223" s="882"/>
      <c r="BW223" s="882"/>
      <c r="CF223" s="882"/>
      <c r="CG223" s="882"/>
      <c r="CH223" s="882"/>
      <c r="CI223" s="530"/>
    </row>
    <row r="224">
      <c r="A224" s="857"/>
      <c r="B224" s="865" t="s">
        <v>611</v>
      </c>
      <c r="C224" s="865" t="s">
        <v>591</v>
      </c>
      <c r="D224" s="865" t="s">
        <v>663</v>
      </c>
      <c r="E224" s="866">
        <v>2019.0</v>
      </c>
      <c r="F224" s="865" t="s">
        <v>593</v>
      </c>
      <c r="G224" s="865" t="s">
        <v>70</v>
      </c>
      <c r="H224" s="867">
        <v>15117.83715</v>
      </c>
      <c r="I224" s="867">
        <v>16856.97029</v>
      </c>
      <c r="J224" s="868">
        <v>13475.94955</v>
      </c>
      <c r="K224" s="50"/>
      <c r="L224" s="869" t="s">
        <v>611</v>
      </c>
      <c r="M224" s="865" t="s">
        <v>591</v>
      </c>
      <c r="N224" s="865" t="s">
        <v>663</v>
      </c>
      <c r="O224" s="866">
        <v>2004.0</v>
      </c>
      <c r="P224" s="865" t="s">
        <v>593</v>
      </c>
      <c r="Q224" s="865" t="s">
        <v>70</v>
      </c>
      <c r="R224" s="867">
        <v>10331.57303</v>
      </c>
      <c r="S224" s="867">
        <v>11222.706</v>
      </c>
      <c r="T224" s="868">
        <v>9511.643112</v>
      </c>
      <c r="AN224" s="882"/>
      <c r="AO224" s="882"/>
      <c r="AP224" s="882"/>
      <c r="AY224" s="882"/>
      <c r="AZ224" s="882"/>
      <c r="BA224" s="882"/>
      <c r="BJ224" s="882"/>
      <c r="BK224" s="882"/>
      <c r="BL224" s="882"/>
      <c r="BU224" s="882"/>
      <c r="BV224" s="882"/>
      <c r="BW224" s="882"/>
      <c r="CF224" s="882"/>
      <c r="CG224" s="882"/>
      <c r="CH224" s="882"/>
      <c r="CI224" s="530"/>
    </row>
    <row r="225">
      <c r="A225" s="857"/>
      <c r="B225" s="865" t="s">
        <v>611</v>
      </c>
      <c r="C225" s="865" t="s">
        <v>591</v>
      </c>
      <c r="D225" s="865" t="s">
        <v>665</v>
      </c>
      <c r="E225" s="866">
        <v>2019.0</v>
      </c>
      <c r="F225" s="865" t="s">
        <v>593</v>
      </c>
      <c r="G225" s="865" t="s">
        <v>70</v>
      </c>
      <c r="H225" s="867">
        <v>23449.19907</v>
      </c>
      <c r="I225" s="867">
        <v>26147.08799</v>
      </c>
      <c r="J225" s="868">
        <v>20902.00987</v>
      </c>
      <c r="K225" s="50"/>
      <c r="L225" s="869" t="s">
        <v>611</v>
      </c>
      <c r="M225" s="865" t="s">
        <v>591</v>
      </c>
      <c r="N225" s="865" t="s">
        <v>665</v>
      </c>
      <c r="O225" s="866">
        <v>2004.0</v>
      </c>
      <c r="P225" s="865" t="s">
        <v>593</v>
      </c>
      <c r="Q225" s="865" t="s">
        <v>70</v>
      </c>
      <c r="R225" s="867">
        <v>15387.73875</v>
      </c>
      <c r="S225" s="867">
        <v>16715.10088</v>
      </c>
      <c r="T225" s="868">
        <v>14166.42548</v>
      </c>
      <c r="AN225" s="882"/>
      <c r="AO225" s="882"/>
      <c r="AP225" s="882"/>
      <c r="AY225" s="882"/>
      <c r="AZ225" s="882"/>
      <c r="BA225" s="882"/>
      <c r="BJ225" s="882"/>
      <c r="BK225" s="882"/>
      <c r="BL225" s="882"/>
      <c r="BU225" s="882"/>
      <c r="BV225" s="882"/>
      <c r="BW225" s="882"/>
      <c r="CF225" s="882"/>
      <c r="CG225" s="882"/>
      <c r="CH225" s="882"/>
      <c r="CI225" s="530"/>
    </row>
    <row r="226">
      <c r="A226" s="857"/>
      <c r="B226" s="865" t="s">
        <v>611</v>
      </c>
      <c r="C226" s="865" t="s">
        <v>591</v>
      </c>
      <c r="D226" s="865" t="s">
        <v>667</v>
      </c>
      <c r="E226" s="866">
        <v>2019.0</v>
      </c>
      <c r="F226" s="865" t="s">
        <v>593</v>
      </c>
      <c r="G226" s="865" t="s">
        <v>70</v>
      </c>
      <c r="H226" s="867">
        <v>12884.74577</v>
      </c>
      <c r="I226" s="867">
        <v>14366.98745</v>
      </c>
      <c r="J226" s="868">
        <v>11485.38526</v>
      </c>
      <c r="K226" s="50"/>
      <c r="L226" s="869" t="s">
        <v>611</v>
      </c>
      <c r="M226" s="865" t="s">
        <v>591</v>
      </c>
      <c r="N226" s="865" t="s">
        <v>667</v>
      </c>
      <c r="O226" s="866">
        <v>2004.0</v>
      </c>
      <c r="P226" s="865" t="s">
        <v>593</v>
      </c>
      <c r="Q226" s="865" t="s">
        <v>70</v>
      </c>
      <c r="R226" s="867">
        <v>7480.952673</v>
      </c>
      <c r="S226" s="867">
        <v>8126.210036</v>
      </c>
      <c r="T226" s="868">
        <v>6887.252477</v>
      </c>
      <c r="AN226" s="882"/>
      <c r="AO226" s="882"/>
      <c r="AP226" s="882"/>
      <c r="AY226" s="882"/>
      <c r="AZ226" s="882"/>
      <c r="BA226" s="882"/>
      <c r="BJ226" s="882"/>
      <c r="BK226" s="882"/>
      <c r="BL226" s="882"/>
      <c r="BU226" s="882"/>
      <c r="BV226" s="882"/>
      <c r="BW226" s="882"/>
      <c r="CF226" s="882"/>
      <c r="CG226" s="882"/>
      <c r="CH226" s="882"/>
      <c r="CI226" s="530"/>
    </row>
    <row r="227">
      <c r="A227" s="857"/>
      <c r="B227" s="865" t="s">
        <v>611</v>
      </c>
      <c r="C227" s="865" t="s">
        <v>591</v>
      </c>
      <c r="D227" s="865" t="s">
        <v>669</v>
      </c>
      <c r="E227" s="866">
        <v>2019.0</v>
      </c>
      <c r="F227" s="865" t="s">
        <v>593</v>
      </c>
      <c r="G227" s="865" t="s">
        <v>70</v>
      </c>
      <c r="H227" s="867">
        <v>8331.299259</v>
      </c>
      <c r="I227" s="867">
        <v>9289.719335</v>
      </c>
      <c r="J227" s="868">
        <v>7426.470292</v>
      </c>
      <c r="K227" s="50"/>
      <c r="L227" s="869" t="s">
        <v>611</v>
      </c>
      <c r="M227" s="865" t="s">
        <v>591</v>
      </c>
      <c r="N227" s="865" t="s">
        <v>669</v>
      </c>
      <c r="O227" s="866">
        <v>2004.0</v>
      </c>
      <c r="P227" s="865" t="s">
        <v>593</v>
      </c>
      <c r="Q227" s="865" t="s">
        <v>70</v>
      </c>
      <c r="R227" s="867">
        <v>5056.143945</v>
      </c>
      <c r="S227" s="867">
        <v>5492.253388</v>
      </c>
      <c r="T227" s="868">
        <v>4654.880391</v>
      </c>
      <c r="AN227" s="882"/>
      <c r="AO227" s="882"/>
      <c r="AP227" s="882"/>
      <c r="AY227" s="882"/>
      <c r="AZ227" s="882"/>
      <c r="BA227" s="882"/>
      <c r="BJ227" s="882"/>
      <c r="BK227" s="882"/>
      <c r="BL227" s="882"/>
      <c r="BU227" s="882"/>
      <c r="BV227" s="882"/>
      <c r="BW227" s="882"/>
      <c r="CF227" s="882"/>
      <c r="CG227" s="882"/>
      <c r="CH227" s="882"/>
      <c r="CI227" s="530"/>
    </row>
    <row r="228">
      <c r="A228" s="857"/>
      <c r="B228" s="865" t="s">
        <v>611</v>
      </c>
      <c r="C228" s="865" t="s">
        <v>591</v>
      </c>
      <c r="D228" s="865" t="s">
        <v>671</v>
      </c>
      <c r="E228" s="866">
        <v>2019.0</v>
      </c>
      <c r="F228" s="865" t="s">
        <v>593</v>
      </c>
      <c r="G228" s="865" t="s">
        <v>70</v>
      </c>
      <c r="H228" s="867">
        <v>4553.458677</v>
      </c>
      <c r="I228" s="867">
        <v>5077.345471</v>
      </c>
      <c r="J228" s="868">
        <v>4058.835354</v>
      </c>
      <c r="K228" s="50"/>
      <c r="L228" s="869" t="s">
        <v>611</v>
      </c>
      <c r="M228" s="865" t="s">
        <v>591</v>
      </c>
      <c r="N228" s="865" t="s">
        <v>671</v>
      </c>
      <c r="O228" s="866">
        <v>2004.0</v>
      </c>
      <c r="P228" s="865" t="s">
        <v>593</v>
      </c>
      <c r="Q228" s="865" t="s">
        <v>70</v>
      </c>
      <c r="R228" s="867">
        <v>2424.81216</v>
      </c>
      <c r="S228" s="867">
        <v>2633.978944</v>
      </c>
      <c r="T228" s="868">
        <v>2232.356638</v>
      </c>
      <c r="AN228" s="882"/>
      <c r="AO228" s="882"/>
      <c r="AP228" s="882"/>
      <c r="AY228" s="882"/>
      <c r="AZ228" s="882"/>
      <c r="BA228" s="882"/>
      <c r="BJ228" s="882"/>
      <c r="BK228" s="882"/>
      <c r="BL228" s="882"/>
      <c r="BU228" s="882"/>
      <c r="BV228" s="882"/>
      <c r="BW228" s="882"/>
      <c r="CF228" s="882"/>
      <c r="CG228" s="882"/>
      <c r="CH228" s="882"/>
      <c r="CI228" s="530"/>
    </row>
    <row r="229">
      <c r="A229" s="857"/>
      <c r="B229" s="865" t="s">
        <v>611</v>
      </c>
      <c r="C229" s="865" t="s">
        <v>591</v>
      </c>
      <c r="D229" s="865" t="s">
        <v>673</v>
      </c>
      <c r="E229" s="866">
        <v>2019.0</v>
      </c>
      <c r="F229" s="865" t="s">
        <v>593</v>
      </c>
      <c r="G229" s="865" t="s">
        <v>70</v>
      </c>
      <c r="H229" s="867">
        <v>3409.736182</v>
      </c>
      <c r="I229" s="867">
        <v>3801.987079</v>
      </c>
      <c r="J229" s="868">
        <v>3039.418423</v>
      </c>
      <c r="K229" s="50"/>
      <c r="L229" s="869" t="s">
        <v>611</v>
      </c>
      <c r="M229" s="865" t="s">
        <v>591</v>
      </c>
      <c r="N229" s="865" t="s">
        <v>673</v>
      </c>
      <c r="O229" s="866">
        <v>2004.0</v>
      </c>
      <c r="P229" s="865" t="s">
        <v>593</v>
      </c>
      <c r="Q229" s="865" t="s">
        <v>70</v>
      </c>
      <c r="R229" s="867">
        <v>1863.499761</v>
      </c>
      <c r="S229" s="867">
        <v>2024.232891</v>
      </c>
      <c r="T229" s="868">
        <v>1715.609483</v>
      </c>
      <c r="AN229" s="882"/>
      <c r="AO229" s="882"/>
      <c r="AP229" s="882"/>
      <c r="AY229" s="882"/>
      <c r="AZ229" s="882"/>
      <c r="BA229" s="882"/>
      <c r="BJ229" s="882"/>
      <c r="BK229" s="882"/>
      <c r="BL229" s="882"/>
      <c r="BU229" s="882"/>
      <c r="BV229" s="882"/>
      <c r="BW229" s="882"/>
      <c r="CF229" s="882"/>
      <c r="CG229" s="882"/>
      <c r="CH229" s="882"/>
      <c r="CI229" s="530"/>
    </row>
    <row r="230">
      <c r="A230" s="857"/>
      <c r="B230" s="865" t="s">
        <v>611</v>
      </c>
      <c r="C230" s="865" t="s">
        <v>591</v>
      </c>
      <c r="D230" s="865" t="s">
        <v>674</v>
      </c>
      <c r="E230" s="866">
        <v>2019.0</v>
      </c>
      <c r="F230" s="865" t="s">
        <v>593</v>
      </c>
      <c r="G230" s="865" t="s">
        <v>70</v>
      </c>
      <c r="H230" s="867">
        <v>945.649193</v>
      </c>
      <c r="I230" s="867">
        <v>1054.435247</v>
      </c>
      <c r="J230" s="868">
        <v>842.9460304</v>
      </c>
      <c r="K230" s="50"/>
      <c r="L230" s="869" t="s">
        <v>611</v>
      </c>
      <c r="M230" s="865" t="s">
        <v>591</v>
      </c>
      <c r="N230" s="865" t="s">
        <v>674</v>
      </c>
      <c r="O230" s="866">
        <v>2004.0</v>
      </c>
      <c r="P230" s="865" t="s">
        <v>593</v>
      </c>
      <c r="Q230" s="865" t="s">
        <v>70</v>
      </c>
      <c r="R230" s="867">
        <v>475.1974148</v>
      </c>
      <c r="S230" s="867">
        <v>516.1847922</v>
      </c>
      <c r="T230" s="868">
        <v>437.4849989</v>
      </c>
      <c r="AN230" s="882"/>
      <c r="AO230" s="882"/>
      <c r="AP230" s="882"/>
      <c r="AY230" s="882"/>
      <c r="AZ230" s="882"/>
      <c r="BA230" s="882"/>
      <c r="BJ230" s="882"/>
      <c r="BK230" s="882"/>
      <c r="BL230" s="882"/>
      <c r="BU230" s="882"/>
      <c r="BV230" s="882"/>
      <c r="BW230" s="882"/>
      <c r="CF230" s="882"/>
      <c r="CG230" s="882"/>
      <c r="CH230" s="882"/>
      <c r="CI230" s="530"/>
    </row>
    <row r="231">
      <c r="A231" s="857"/>
      <c r="B231" s="865" t="s">
        <v>611</v>
      </c>
      <c r="C231" s="865" t="s">
        <v>591</v>
      </c>
      <c r="D231" s="865" t="s">
        <v>676</v>
      </c>
      <c r="E231" s="866">
        <v>2019.0</v>
      </c>
      <c r="F231" s="865" t="s">
        <v>593</v>
      </c>
      <c r="G231" s="865" t="s">
        <v>70</v>
      </c>
      <c r="H231" s="867">
        <v>198.0611355</v>
      </c>
      <c r="I231" s="867">
        <v>220.8457892</v>
      </c>
      <c r="J231" s="868">
        <v>176.5505107</v>
      </c>
      <c r="K231" s="50"/>
      <c r="L231" s="869" t="s">
        <v>611</v>
      </c>
      <c r="M231" s="865" t="s">
        <v>591</v>
      </c>
      <c r="N231" s="865" t="s">
        <v>676</v>
      </c>
      <c r="O231" s="866">
        <v>2004.0</v>
      </c>
      <c r="P231" s="865" t="s">
        <v>593</v>
      </c>
      <c r="Q231" s="865" t="s">
        <v>70</v>
      </c>
      <c r="R231" s="867">
        <v>86.11155262</v>
      </c>
      <c r="S231" s="867">
        <v>93.53896405</v>
      </c>
      <c r="T231" s="868">
        <v>79.27760407</v>
      </c>
      <c r="AN231" s="882"/>
      <c r="AO231" s="882"/>
      <c r="AP231" s="882"/>
      <c r="AY231" s="882"/>
      <c r="AZ231" s="882"/>
      <c r="BA231" s="882"/>
      <c r="BJ231" s="882"/>
      <c r="BK231" s="882"/>
      <c r="BL231" s="882"/>
      <c r="BU231" s="882"/>
      <c r="BV231" s="882"/>
      <c r="BW231" s="882"/>
      <c r="CF231" s="882"/>
      <c r="CG231" s="882"/>
      <c r="CH231" s="882"/>
      <c r="CI231" s="530"/>
    </row>
    <row r="232">
      <c r="A232" s="857"/>
      <c r="B232" s="865" t="s">
        <v>611</v>
      </c>
      <c r="C232" s="865" t="s">
        <v>591</v>
      </c>
      <c r="D232" s="865" t="s">
        <v>678</v>
      </c>
      <c r="E232" s="866">
        <v>2019.0</v>
      </c>
      <c r="F232" s="865" t="s">
        <v>593</v>
      </c>
      <c r="G232" s="865" t="s">
        <v>70</v>
      </c>
      <c r="H232" s="867">
        <v>2338721.303</v>
      </c>
      <c r="I232" s="867">
        <v>2607764.267</v>
      </c>
      <c r="J232" s="868">
        <v>2084722.171</v>
      </c>
      <c r="K232" s="50"/>
      <c r="L232" s="869" t="s">
        <v>611</v>
      </c>
      <c r="M232" s="865" t="s">
        <v>591</v>
      </c>
      <c r="N232" s="865" t="s">
        <v>678</v>
      </c>
      <c r="O232" s="866">
        <v>2004.0</v>
      </c>
      <c r="P232" s="865" t="s">
        <v>593</v>
      </c>
      <c r="Q232" s="865" t="s">
        <v>70</v>
      </c>
      <c r="R232" s="867">
        <v>1791485.319</v>
      </c>
      <c r="S232" s="867">
        <v>1946006.962</v>
      </c>
      <c r="T232" s="868">
        <v>1649310.221</v>
      </c>
      <c r="AN232" s="882"/>
      <c r="AO232" s="882"/>
      <c r="AP232" s="882"/>
      <c r="AY232" s="882"/>
      <c r="AZ232" s="882"/>
      <c r="BA232" s="882"/>
      <c r="BJ232" s="882"/>
      <c r="BK232" s="882"/>
      <c r="BL232" s="882"/>
      <c r="BU232" s="882"/>
      <c r="BV232" s="882"/>
      <c r="BW232" s="882"/>
      <c r="CF232" s="882"/>
      <c r="CG232" s="882"/>
      <c r="CH232" s="882"/>
      <c r="CI232" s="530"/>
    </row>
    <row r="233">
      <c r="A233" s="857"/>
      <c r="B233" s="865" t="s">
        <v>611</v>
      </c>
      <c r="C233" s="865" t="s">
        <v>591</v>
      </c>
      <c r="D233" s="865" t="s">
        <v>680</v>
      </c>
      <c r="E233" s="866">
        <v>2019.0</v>
      </c>
      <c r="F233" s="865" t="s">
        <v>593</v>
      </c>
      <c r="G233" s="865" t="s">
        <v>70</v>
      </c>
      <c r="H233" s="867">
        <v>48160.36299</v>
      </c>
      <c r="I233" s="867">
        <v>55482.24289</v>
      </c>
      <c r="J233" s="868">
        <v>42011.50409</v>
      </c>
      <c r="K233" s="50"/>
      <c r="L233" s="869" t="s">
        <v>611</v>
      </c>
      <c r="M233" s="865" t="s">
        <v>591</v>
      </c>
      <c r="N233" s="865" t="s">
        <v>680</v>
      </c>
      <c r="O233" s="866">
        <v>2004.0</v>
      </c>
      <c r="P233" s="865" t="s">
        <v>593</v>
      </c>
      <c r="Q233" s="865" t="s">
        <v>70</v>
      </c>
      <c r="R233" s="867">
        <v>46122.19168</v>
      </c>
      <c r="S233" s="867">
        <v>51356.09194</v>
      </c>
      <c r="T233" s="868">
        <v>41249.14934</v>
      </c>
      <c r="AN233" s="882"/>
      <c r="AO233" s="882"/>
      <c r="AP233" s="882"/>
      <c r="AY233" s="882"/>
      <c r="AZ233" s="882"/>
      <c r="BA233" s="882"/>
      <c r="BJ233" s="882"/>
      <c r="BK233" s="882"/>
      <c r="BL233" s="882"/>
      <c r="BU233" s="882"/>
      <c r="BV233" s="882"/>
      <c r="BW233" s="882"/>
      <c r="CF233" s="882"/>
      <c r="CG233" s="882"/>
      <c r="CH233" s="882"/>
      <c r="CI233" s="530"/>
    </row>
    <row r="234">
      <c r="A234" s="857"/>
      <c r="B234" s="865" t="s">
        <v>611</v>
      </c>
      <c r="C234" s="865" t="s">
        <v>591</v>
      </c>
      <c r="D234" s="865" t="s">
        <v>682</v>
      </c>
      <c r="E234" s="866">
        <v>2019.0</v>
      </c>
      <c r="F234" s="865" t="s">
        <v>593</v>
      </c>
      <c r="G234" s="865" t="s">
        <v>70</v>
      </c>
      <c r="H234" s="867">
        <v>917.2806773</v>
      </c>
      <c r="I234" s="867">
        <v>1022.80326</v>
      </c>
      <c r="J234" s="868">
        <v>817.6585053</v>
      </c>
      <c r="K234" s="50"/>
      <c r="L234" s="869" t="s">
        <v>611</v>
      </c>
      <c r="M234" s="865" t="s">
        <v>591</v>
      </c>
      <c r="N234" s="865" t="s">
        <v>682</v>
      </c>
      <c r="O234" s="866">
        <v>2004.0</v>
      </c>
      <c r="P234" s="865" t="s">
        <v>593</v>
      </c>
      <c r="Q234" s="865" t="s">
        <v>70</v>
      </c>
      <c r="R234" s="867">
        <v>878.3166026</v>
      </c>
      <c r="S234" s="867">
        <v>954.0743676</v>
      </c>
      <c r="T234" s="868">
        <v>808.6120126</v>
      </c>
      <c r="AN234" s="882"/>
      <c r="AO234" s="882"/>
      <c r="AP234" s="882"/>
      <c r="AY234" s="882"/>
      <c r="AZ234" s="882"/>
      <c r="BA234" s="882"/>
      <c r="BJ234" s="882"/>
      <c r="BK234" s="882"/>
      <c r="BL234" s="882"/>
      <c r="BU234" s="882"/>
      <c r="BV234" s="882"/>
      <c r="BW234" s="882"/>
      <c r="CF234" s="882"/>
      <c r="CG234" s="882"/>
      <c r="CH234" s="882"/>
      <c r="CI234" s="530"/>
    </row>
    <row r="235">
      <c r="A235" s="857"/>
      <c r="B235" s="865" t="s">
        <v>611</v>
      </c>
      <c r="C235" s="865" t="s">
        <v>591</v>
      </c>
      <c r="D235" s="865" t="s">
        <v>684</v>
      </c>
      <c r="E235" s="866">
        <v>2019.0</v>
      </c>
      <c r="F235" s="865" t="s">
        <v>593</v>
      </c>
      <c r="G235" s="865" t="s">
        <v>70</v>
      </c>
      <c r="H235" s="867">
        <v>2722.671694</v>
      </c>
      <c r="I235" s="867">
        <v>3035.883732</v>
      </c>
      <c r="J235" s="868">
        <v>2426.973252</v>
      </c>
      <c r="K235" s="50"/>
      <c r="L235" s="869" t="s">
        <v>611</v>
      </c>
      <c r="M235" s="865" t="s">
        <v>591</v>
      </c>
      <c r="N235" s="865" t="s">
        <v>684</v>
      </c>
      <c r="O235" s="866">
        <v>2004.0</v>
      </c>
      <c r="P235" s="865" t="s">
        <v>593</v>
      </c>
      <c r="Q235" s="865" t="s">
        <v>70</v>
      </c>
      <c r="R235" s="867">
        <v>2598.334885</v>
      </c>
      <c r="S235" s="867">
        <v>2822.45002</v>
      </c>
      <c r="T235" s="868">
        <v>2392.126933</v>
      </c>
      <c r="AN235" s="882"/>
      <c r="AO235" s="882"/>
      <c r="AP235" s="882"/>
      <c r="AY235" s="882"/>
      <c r="AZ235" s="882"/>
      <c r="BA235" s="882"/>
      <c r="BJ235" s="882"/>
      <c r="BK235" s="882"/>
      <c r="BL235" s="882"/>
      <c r="BU235" s="882"/>
      <c r="BV235" s="882"/>
      <c r="BW235" s="882"/>
      <c r="CF235" s="882"/>
      <c r="CG235" s="882"/>
      <c r="CH235" s="882"/>
      <c r="CI235" s="530"/>
    </row>
    <row r="236">
      <c r="A236" s="857"/>
      <c r="B236" s="865" t="s">
        <v>611</v>
      </c>
      <c r="C236" s="865" t="s">
        <v>591</v>
      </c>
      <c r="D236" s="865" t="s">
        <v>686</v>
      </c>
      <c r="E236" s="866">
        <v>2019.0</v>
      </c>
      <c r="F236" s="865" t="s">
        <v>593</v>
      </c>
      <c r="G236" s="865" t="s">
        <v>70</v>
      </c>
      <c r="H236" s="867">
        <v>3639.952372</v>
      </c>
      <c r="I236" s="867">
        <v>4058.686992</v>
      </c>
      <c r="J236" s="868">
        <v>3244.631757</v>
      </c>
      <c r="K236" s="50"/>
      <c r="L236" s="869" t="s">
        <v>611</v>
      </c>
      <c r="M236" s="865" t="s">
        <v>591</v>
      </c>
      <c r="N236" s="865" t="s">
        <v>686</v>
      </c>
      <c r="O236" s="866">
        <v>2004.0</v>
      </c>
      <c r="P236" s="865" t="s">
        <v>593</v>
      </c>
      <c r="Q236" s="865" t="s">
        <v>70</v>
      </c>
      <c r="R236" s="867">
        <v>3476.651488</v>
      </c>
      <c r="S236" s="867">
        <v>3776.524388</v>
      </c>
      <c r="T236" s="868">
        <v>3200.738946</v>
      </c>
      <c r="AN236" s="882"/>
      <c r="AO236" s="882"/>
      <c r="AP236" s="882"/>
      <c r="AY236" s="882"/>
      <c r="AZ236" s="882"/>
      <c r="BA236" s="882"/>
      <c r="BJ236" s="882"/>
      <c r="BK236" s="882"/>
      <c r="BL236" s="882"/>
      <c r="BU236" s="882"/>
      <c r="BV236" s="882"/>
      <c r="BW236" s="882"/>
      <c r="CF236" s="882"/>
      <c r="CG236" s="882"/>
      <c r="CH236" s="882"/>
      <c r="CI236" s="530"/>
    </row>
    <row r="237">
      <c r="A237" s="857"/>
      <c r="B237" s="865" t="s">
        <v>611</v>
      </c>
      <c r="C237" s="865" t="s">
        <v>591</v>
      </c>
      <c r="D237" s="865" t="s">
        <v>688</v>
      </c>
      <c r="E237" s="866">
        <v>2019.0</v>
      </c>
      <c r="F237" s="865" t="s">
        <v>593</v>
      </c>
      <c r="G237" s="865" t="s">
        <v>70</v>
      </c>
      <c r="H237" s="867">
        <v>43375.06999</v>
      </c>
      <c r="I237" s="867">
        <v>48364.87249</v>
      </c>
      <c r="J237" s="868">
        <v>38664.27777</v>
      </c>
      <c r="K237" s="50"/>
      <c r="L237" s="869" t="s">
        <v>611</v>
      </c>
      <c r="M237" s="865" t="s">
        <v>591</v>
      </c>
      <c r="N237" s="865" t="s">
        <v>688</v>
      </c>
      <c r="O237" s="866">
        <v>2004.0</v>
      </c>
      <c r="P237" s="865" t="s">
        <v>593</v>
      </c>
      <c r="Q237" s="865" t="s">
        <v>70</v>
      </c>
      <c r="R237" s="867">
        <v>40936.59671</v>
      </c>
      <c r="S237" s="867">
        <v>44467.51604</v>
      </c>
      <c r="T237" s="868">
        <v>37687.80387</v>
      </c>
      <c r="AN237" s="882"/>
      <c r="AO237" s="882"/>
      <c r="AP237" s="882"/>
      <c r="AY237" s="882"/>
      <c r="AZ237" s="882"/>
      <c r="BA237" s="882"/>
      <c r="BJ237" s="882"/>
      <c r="BK237" s="882"/>
      <c r="BL237" s="882"/>
      <c r="BU237" s="882"/>
      <c r="BV237" s="882"/>
      <c r="BW237" s="882"/>
      <c r="CF237" s="882"/>
      <c r="CG237" s="882"/>
      <c r="CH237" s="882"/>
      <c r="CI237" s="530"/>
    </row>
    <row r="238">
      <c r="A238" s="857"/>
      <c r="B238" s="865" t="s">
        <v>611</v>
      </c>
      <c r="C238" s="865" t="s">
        <v>591</v>
      </c>
      <c r="D238" s="865" t="s">
        <v>689</v>
      </c>
      <c r="E238" s="866">
        <v>2019.0</v>
      </c>
      <c r="F238" s="865" t="s">
        <v>593</v>
      </c>
      <c r="G238" s="865" t="s">
        <v>70</v>
      </c>
      <c r="H238" s="867">
        <v>236508.7607</v>
      </c>
      <c r="I238" s="867">
        <v>263716.3712</v>
      </c>
      <c r="J238" s="868">
        <v>210822.4937</v>
      </c>
      <c r="K238" s="50"/>
      <c r="L238" s="869" t="s">
        <v>611</v>
      </c>
      <c r="M238" s="865" t="s">
        <v>591</v>
      </c>
      <c r="N238" s="865" t="s">
        <v>689</v>
      </c>
      <c r="O238" s="866">
        <v>2004.0</v>
      </c>
      <c r="P238" s="865" t="s">
        <v>593</v>
      </c>
      <c r="Q238" s="865" t="s">
        <v>70</v>
      </c>
      <c r="R238" s="867">
        <v>216536.6759</v>
      </c>
      <c r="S238" s="867">
        <v>235213.6935</v>
      </c>
      <c r="T238" s="868">
        <v>199351.984</v>
      </c>
      <c r="AN238" s="882"/>
      <c r="AO238" s="882"/>
      <c r="AP238" s="882"/>
      <c r="AY238" s="882"/>
      <c r="AZ238" s="882"/>
      <c r="BA238" s="882"/>
      <c r="BJ238" s="882"/>
      <c r="BK238" s="882"/>
      <c r="BL238" s="882"/>
      <c r="BU238" s="882"/>
      <c r="BV238" s="882"/>
      <c r="BW238" s="882"/>
      <c r="CF238" s="882"/>
      <c r="CG238" s="882"/>
      <c r="CH238" s="882"/>
      <c r="CI238" s="530"/>
    </row>
    <row r="239">
      <c r="A239" s="857"/>
      <c r="B239" s="865" t="s">
        <v>613</v>
      </c>
      <c r="C239" s="865" t="s">
        <v>591</v>
      </c>
      <c r="D239" s="865" t="s">
        <v>592</v>
      </c>
      <c r="E239" s="866">
        <v>2019.0</v>
      </c>
      <c r="F239" s="865" t="s">
        <v>593</v>
      </c>
      <c r="G239" s="865" t="s">
        <v>70</v>
      </c>
      <c r="H239" s="867">
        <v>885137.5773</v>
      </c>
      <c r="I239" s="867">
        <v>1020939.938</v>
      </c>
      <c r="J239" s="868">
        <v>756084.8206</v>
      </c>
      <c r="K239" s="50"/>
      <c r="L239" s="869" t="s">
        <v>613</v>
      </c>
      <c r="M239" s="865" t="s">
        <v>591</v>
      </c>
      <c r="N239" s="865" t="s">
        <v>592</v>
      </c>
      <c r="O239" s="866">
        <v>2004.0</v>
      </c>
      <c r="P239" s="865" t="s">
        <v>593</v>
      </c>
      <c r="Q239" s="865" t="s">
        <v>70</v>
      </c>
      <c r="R239" s="867">
        <v>596949.4659</v>
      </c>
      <c r="S239" s="867">
        <v>644413.0223</v>
      </c>
      <c r="T239" s="868">
        <v>550698.9595</v>
      </c>
      <c r="AN239" s="882"/>
      <c r="AO239" s="882"/>
      <c r="AP239" s="882"/>
      <c r="AY239" s="882"/>
      <c r="AZ239" s="882"/>
      <c r="BA239" s="882"/>
      <c r="BJ239" s="882"/>
      <c r="BK239" s="882"/>
      <c r="BL239" s="882"/>
      <c r="BU239" s="882"/>
      <c r="BV239" s="882"/>
      <c r="BW239" s="882"/>
      <c r="CF239" s="882"/>
      <c r="CG239" s="882"/>
      <c r="CH239" s="882"/>
      <c r="CI239" s="530"/>
    </row>
    <row r="240">
      <c r="A240" s="857"/>
      <c r="B240" s="865" t="s">
        <v>613</v>
      </c>
      <c r="C240" s="865" t="s">
        <v>591</v>
      </c>
      <c r="D240" s="865" t="s">
        <v>601</v>
      </c>
      <c r="E240" s="866">
        <v>2019.0</v>
      </c>
      <c r="F240" s="865" t="s">
        <v>593</v>
      </c>
      <c r="G240" s="865" t="s">
        <v>70</v>
      </c>
      <c r="H240" s="867">
        <v>1.277047886E7</v>
      </c>
      <c r="I240" s="867">
        <v>1.472979143E7</v>
      </c>
      <c r="J240" s="868">
        <v>1.09085474E7</v>
      </c>
      <c r="K240" s="50"/>
      <c r="L240" s="869" t="s">
        <v>613</v>
      </c>
      <c r="M240" s="865" t="s">
        <v>591</v>
      </c>
      <c r="N240" s="865" t="s">
        <v>601</v>
      </c>
      <c r="O240" s="866">
        <v>2004.0</v>
      </c>
      <c r="P240" s="865" t="s">
        <v>593</v>
      </c>
      <c r="Q240" s="865" t="s">
        <v>70</v>
      </c>
      <c r="R240" s="867">
        <v>8162532.928</v>
      </c>
      <c r="S240" s="867">
        <v>8811537.347</v>
      </c>
      <c r="T240" s="868">
        <v>7530115.44</v>
      </c>
      <c r="AN240" s="882"/>
      <c r="AO240" s="882"/>
      <c r="AP240" s="882"/>
      <c r="AY240" s="882"/>
      <c r="AZ240" s="882"/>
      <c r="BA240" s="882"/>
      <c r="BJ240" s="882"/>
      <c r="BK240" s="882"/>
      <c r="BL240" s="882"/>
      <c r="BU240" s="882"/>
      <c r="BV240" s="882"/>
      <c r="BW240" s="882"/>
      <c r="CF240" s="882"/>
      <c r="CG240" s="882"/>
      <c r="CH240" s="882"/>
      <c r="CI240" s="530"/>
    </row>
    <row r="241">
      <c r="A241" s="857"/>
      <c r="B241" s="865" t="s">
        <v>613</v>
      </c>
      <c r="C241" s="865" t="s">
        <v>591</v>
      </c>
      <c r="D241" s="865" t="s">
        <v>606</v>
      </c>
      <c r="E241" s="866">
        <v>2019.0</v>
      </c>
      <c r="F241" s="865" t="s">
        <v>593</v>
      </c>
      <c r="G241" s="865" t="s">
        <v>70</v>
      </c>
      <c r="H241" s="867">
        <v>1.039340293E7</v>
      </c>
      <c r="I241" s="867">
        <v>1.198801228E7</v>
      </c>
      <c r="J241" s="868">
        <v>8878048.333</v>
      </c>
      <c r="K241" s="50"/>
      <c r="L241" s="869" t="s">
        <v>613</v>
      </c>
      <c r="M241" s="865" t="s">
        <v>591</v>
      </c>
      <c r="N241" s="865" t="s">
        <v>606</v>
      </c>
      <c r="O241" s="866">
        <v>2004.0</v>
      </c>
      <c r="P241" s="865" t="s">
        <v>593</v>
      </c>
      <c r="Q241" s="865" t="s">
        <v>70</v>
      </c>
      <c r="R241" s="867">
        <v>6694591.861</v>
      </c>
      <c r="S241" s="867">
        <v>7226880.03</v>
      </c>
      <c r="T241" s="868">
        <v>6175907.649</v>
      </c>
      <c r="AN241" s="882"/>
      <c r="AO241" s="882"/>
      <c r="AP241" s="882"/>
      <c r="AY241" s="882"/>
      <c r="AZ241" s="882"/>
      <c r="BA241" s="882"/>
      <c r="BJ241" s="882"/>
      <c r="BK241" s="882"/>
      <c r="BL241" s="882"/>
      <c r="BU241" s="882"/>
      <c r="BV241" s="882"/>
      <c r="BW241" s="882"/>
      <c r="CF241" s="882"/>
      <c r="CG241" s="882"/>
      <c r="CH241" s="882"/>
      <c r="CI241" s="530"/>
    </row>
    <row r="242">
      <c r="A242" s="857"/>
      <c r="B242" s="865" t="s">
        <v>613</v>
      </c>
      <c r="C242" s="865" t="s">
        <v>591</v>
      </c>
      <c r="D242" s="865" t="s">
        <v>608</v>
      </c>
      <c r="E242" s="866">
        <v>2019.0</v>
      </c>
      <c r="F242" s="865" t="s">
        <v>593</v>
      </c>
      <c r="G242" s="865" t="s">
        <v>70</v>
      </c>
      <c r="H242" s="867">
        <v>3159819.734</v>
      </c>
      <c r="I242" s="867">
        <v>3644615.534</v>
      </c>
      <c r="J242" s="868">
        <v>2699119.095</v>
      </c>
      <c r="K242" s="50"/>
      <c r="L242" s="869" t="s">
        <v>613</v>
      </c>
      <c r="M242" s="865" t="s">
        <v>591</v>
      </c>
      <c r="N242" s="865" t="s">
        <v>608</v>
      </c>
      <c r="O242" s="866">
        <v>2004.0</v>
      </c>
      <c r="P242" s="865" t="s">
        <v>593</v>
      </c>
      <c r="Q242" s="865" t="s">
        <v>70</v>
      </c>
      <c r="R242" s="867">
        <v>2065017.321</v>
      </c>
      <c r="S242" s="867">
        <v>2229207.209</v>
      </c>
      <c r="T242" s="868">
        <v>1905023.716</v>
      </c>
      <c r="AN242" s="882"/>
      <c r="AO242" s="882"/>
      <c r="AP242" s="882"/>
      <c r="AY242" s="882"/>
      <c r="AZ242" s="882"/>
      <c r="BA242" s="882"/>
      <c r="BJ242" s="882"/>
      <c r="BK242" s="882"/>
      <c r="BL242" s="882"/>
      <c r="BU242" s="882"/>
      <c r="BV242" s="882"/>
      <c r="BW242" s="882"/>
      <c r="CF242" s="882"/>
      <c r="CG242" s="882"/>
      <c r="CH242" s="882"/>
      <c r="CI242" s="530"/>
    </row>
    <row r="243">
      <c r="A243" s="857"/>
      <c r="B243" s="865" t="s">
        <v>613</v>
      </c>
      <c r="C243" s="865" t="s">
        <v>591</v>
      </c>
      <c r="D243" s="865" t="s">
        <v>610</v>
      </c>
      <c r="E243" s="866">
        <v>2019.0</v>
      </c>
      <c r="F243" s="865" t="s">
        <v>593</v>
      </c>
      <c r="G243" s="865" t="s">
        <v>70</v>
      </c>
      <c r="H243" s="867">
        <v>2903267.056</v>
      </c>
      <c r="I243" s="867">
        <v>3348701.225</v>
      </c>
      <c r="J243" s="868">
        <v>2479971.71</v>
      </c>
      <c r="K243" s="50"/>
      <c r="L243" s="869" t="s">
        <v>613</v>
      </c>
      <c r="M243" s="865" t="s">
        <v>591</v>
      </c>
      <c r="N243" s="865" t="s">
        <v>610</v>
      </c>
      <c r="O243" s="866">
        <v>2004.0</v>
      </c>
      <c r="P243" s="865" t="s">
        <v>593</v>
      </c>
      <c r="Q243" s="865" t="s">
        <v>70</v>
      </c>
      <c r="R243" s="867">
        <v>1821227.458</v>
      </c>
      <c r="S243" s="867">
        <v>1966033.571</v>
      </c>
      <c r="T243" s="868">
        <v>1680122.227</v>
      </c>
      <c r="AN243" s="882"/>
      <c r="AO243" s="882"/>
      <c r="AP243" s="882"/>
      <c r="AY243" s="882"/>
      <c r="AZ243" s="882"/>
      <c r="BA243" s="882"/>
      <c r="BJ243" s="882"/>
      <c r="BK243" s="882"/>
      <c r="BL243" s="882"/>
      <c r="BU243" s="882"/>
      <c r="BV243" s="882"/>
      <c r="BW243" s="882"/>
      <c r="CF243" s="882"/>
      <c r="CG243" s="882"/>
      <c r="CH243" s="882"/>
      <c r="CI243" s="530"/>
    </row>
    <row r="244">
      <c r="A244" s="857"/>
      <c r="B244" s="865" t="s">
        <v>613</v>
      </c>
      <c r="C244" s="865" t="s">
        <v>591</v>
      </c>
      <c r="D244" s="865" t="s">
        <v>612</v>
      </c>
      <c r="E244" s="866">
        <v>2019.0</v>
      </c>
      <c r="F244" s="865" t="s">
        <v>593</v>
      </c>
      <c r="G244" s="865" t="s">
        <v>70</v>
      </c>
      <c r="H244" s="867">
        <v>5280342.987</v>
      </c>
      <c r="I244" s="867">
        <v>6090480.374</v>
      </c>
      <c r="J244" s="868">
        <v>4510470.782</v>
      </c>
      <c r="K244" s="50"/>
      <c r="L244" s="869" t="s">
        <v>613</v>
      </c>
      <c r="M244" s="865" t="s">
        <v>591</v>
      </c>
      <c r="N244" s="865" t="s">
        <v>612</v>
      </c>
      <c r="O244" s="866">
        <v>2004.0</v>
      </c>
      <c r="P244" s="865" t="s">
        <v>593</v>
      </c>
      <c r="Q244" s="865" t="s">
        <v>70</v>
      </c>
      <c r="R244" s="867">
        <v>3289168.524</v>
      </c>
      <c r="S244" s="867">
        <v>3550690.888</v>
      </c>
      <c r="T244" s="868">
        <v>3034330.018</v>
      </c>
      <c r="AN244" s="882"/>
      <c r="AO244" s="882"/>
      <c r="AP244" s="882"/>
      <c r="AY244" s="882"/>
      <c r="AZ244" s="882"/>
      <c r="BA244" s="882"/>
      <c r="BJ244" s="882"/>
      <c r="BK244" s="882"/>
      <c r="BL244" s="882"/>
      <c r="BU244" s="882"/>
      <c r="BV244" s="882"/>
      <c r="BW244" s="882"/>
      <c r="CF244" s="882"/>
      <c r="CG244" s="882"/>
      <c r="CH244" s="882"/>
      <c r="CI244" s="530"/>
    </row>
    <row r="245">
      <c r="A245" s="857"/>
      <c r="B245" s="865" t="s">
        <v>613</v>
      </c>
      <c r="C245" s="865" t="s">
        <v>591</v>
      </c>
      <c r="D245" s="865" t="s">
        <v>614</v>
      </c>
      <c r="E245" s="866">
        <v>2019.0</v>
      </c>
      <c r="F245" s="865" t="s">
        <v>593</v>
      </c>
      <c r="G245" s="865" t="s">
        <v>70</v>
      </c>
      <c r="H245" s="867">
        <v>7224210.382</v>
      </c>
      <c r="I245" s="867">
        <v>8332585.906</v>
      </c>
      <c r="J245" s="868">
        <v>6170922.974</v>
      </c>
      <c r="K245" s="50"/>
      <c r="L245" s="869" t="s">
        <v>613</v>
      </c>
      <c r="M245" s="865" t="s">
        <v>591</v>
      </c>
      <c r="N245" s="865" t="s">
        <v>614</v>
      </c>
      <c r="O245" s="866">
        <v>2004.0</v>
      </c>
      <c r="P245" s="865" t="s">
        <v>593</v>
      </c>
      <c r="Q245" s="865" t="s">
        <v>70</v>
      </c>
      <c r="R245" s="867">
        <v>4478878.583</v>
      </c>
      <c r="S245" s="867">
        <v>4834995.001</v>
      </c>
      <c r="T245" s="868">
        <v>4131863.61</v>
      </c>
      <c r="AN245" s="882"/>
      <c r="AO245" s="882"/>
      <c r="AP245" s="882"/>
      <c r="AY245" s="882"/>
      <c r="AZ245" s="882"/>
      <c r="BA245" s="882"/>
      <c r="BJ245" s="882"/>
      <c r="BK245" s="882"/>
      <c r="BL245" s="882"/>
      <c r="BU245" s="882"/>
      <c r="BV245" s="882"/>
      <c r="BW245" s="882"/>
      <c r="CF245" s="882"/>
      <c r="CG245" s="882"/>
      <c r="CH245" s="882"/>
      <c r="CI245" s="530"/>
    </row>
    <row r="246">
      <c r="A246" s="857"/>
      <c r="B246" s="865" t="s">
        <v>613</v>
      </c>
      <c r="C246" s="865" t="s">
        <v>591</v>
      </c>
      <c r="D246" s="865" t="s">
        <v>616</v>
      </c>
      <c r="E246" s="866">
        <v>2019.0</v>
      </c>
      <c r="F246" s="865" t="s">
        <v>593</v>
      </c>
      <c r="G246" s="865" t="s">
        <v>70</v>
      </c>
      <c r="H246" s="867">
        <v>2377075.931</v>
      </c>
      <c r="I246" s="867">
        <v>2741779.15</v>
      </c>
      <c r="J246" s="868">
        <v>2030499.071</v>
      </c>
      <c r="K246" s="50"/>
      <c r="L246" s="869" t="s">
        <v>613</v>
      </c>
      <c r="M246" s="865" t="s">
        <v>591</v>
      </c>
      <c r="N246" s="865" t="s">
        <v>616</v>
      </c>
      <c r="O246" s="866">
        <v>2004.0</v>
      </c>
      <c r="P246" s="865" t="s">
        <v>593</v>
      </c>
      <c r="Q246" s="865" t="s">
        <v>70</v>
      </c>
      <c r="R246" s="867">
        <v>1467941.066</v>
      </c>
      <c r="S246" s="867">
        <v>1584657.317</v>
      </c>
      <c r="T246" s="868">
        <v>1354207.791</v>
      </c>
      <c r="AN246" s="882"/>
      <c r="AO246" s="882"/>
      <c r="AP246" s="882"/>
      <c r="AY246" s="882"/>
      <c r="AZ246" s="882"/>
      <c r="BA246" s="882"/>
      <c r="BJ246" s="882"/>
      <c r="BK246" s="882"/>
      <c r="BL246" s="882"/>
      <c r="BU246" s="882"/>
      <c r="BV246" s="882"/>
      <c r="BW246" s="882"/>
      <c r="CF246" s="882"/>
      <c r="CG246" s="882"/>
      <c r="CH246" s="882"/>
      <c r="CI246" s="530"/>
    </row>
    <row r="247">
      <c r="A247" s="857"/>
      <c r="B247" s="865" t="s">
        <v>613</v>
      </c>
      <c r="C247" s="865" t="s">
        <v>591</v>
      </c>
      <c r="D247" s="865" t="s">
        <v>618</v>
      </c>
      <c r="E247" s="866">
        <v>2019.0</v>
      </c>
      <c r="F247" s="865" t="s">
        <v>593</v>
      </c>
      <c r="G247" s="865" t="s">
        <v>70</v>
      </c>
      <c r="H247" s="867">
        <v>8536078.22</v>
      </c>
      <c r="I247" s="867">
        <v>9846903.943</v>
      </c>
      <c r="J247" s="868">
        <v>7290700.817</v>
      </c>
      <c r="K247" s="50"/>
      <c r="L247" s="869" t="s">
        <v>613</v>
      </c>
      <c r="M247" s="865" t="s">
        <v>591</v>
      </c>
      <c r="N247" s="865" t="s">
        <v>618</v>
      </c>
      <c r="O247" s="866">
        <v>2004.0</v>
      </c>
      <c r="P247" s="865" t="s">
        <v>593</v>
      </c>
      <c r="Q247" s="865" t="s">
        <v>70</v>
      </c>
      <c r="R247" s="867">
        <v>5038664.976</v>
      </c>
      <c r="S247" s="867">
        <v>5439452.348</v>
      </c>
      <c r="T247" s="868">
        <v>4648282.293</v>
      </c>
      <c r="AN247" s="882"/>
      <c r="AO247" s="882"/>
      <c r="AP247" s="882"/>
      <c r="AY247" s="882"/>
      <c r="AZ247" s="882"/>
      <c r="BA247" s="882"/>
      <c r="BJ247" s="882"/>
      <c r="BK247" s="882"/>
      <c r="BL247" s="882"/>
      <c r="BU247" s="882"/>
      <c r="BV247" s="882"/>
      <c r="BW247" s="882"/>
      <c r="CF247" s="882"/>
      <c r="CG247" s="882"/>
      <c r="CH247" s="882"/>
      <c r="CI247" s="530"/>
    </row>
    <row r="248">
      <c r="A248" s="857"/>
      <c r="B248" s="865" t="s">
        <v>613</v>
      </c>
      <c r="C248" s="865" t="s">
        <v>591</v>
      </c>
      <c r="D248" s="865" t="s">
        <v>620</v>
      </c>
      <c r="E248" s="866">
        <v>2019.0</v>
      </c>
      <c r="F248" s="865" t="s">
        <v>593</v>
      </c>
      <c r="G248" s="865" t="s">
        <v>70</v>
      </c>
      <c r="H248" s="867">
        <v>1.0240033E7</v>
      </c>
      <c r="I248" s="867">
        <v>1.181111155E7</v>
      </c>
      <c r="J248" s="868">
        <v>8747039.688</v>
      </c>
      <c r="K248" s="50"/>
      <c r="L248" s="869" t="s">
        <v>613</v>
      </c>
      <c r="M248" s="865" t="s">
        <v>591</v>
      </c>
      <c r="N248" s="865" t="s">
        <v>620</v>
      </c>
      <c r="O248" s="866">
        <v>2004.0</v>
      </c>
      <c r="P248" s="865" t="s">
        <v>593</v>
      </c>
      <c r="Q248" s="865" t="s">
        <v>70</v>
      </c>
      <c r="R248" s="867">
        <v>5988392.685</v>
      </c>
      <c r="S248" s="867">
        <v>6464530.833</v>
      </c>
      <c r="T248" s="868">
        <v>5524423.438</v>
      </c>
      <c r="AN248" s="882"/>
      <c r="AO248" s="882"/>
      <c r="AP248" s="882"/>
      <c r="AY248" s="882"/>
      <c r="AZ248" s="882"/>
      <c r="BA248" s="882"/>
      <c r="BJ248" s="882"/>
      <c r="BK248" s="882"/>
      <c r="BL248" s="882"/>
      <c r="BU248" s="882"/>
      <c r="BV248" s="882"/>
      <c r="BW248" s="882"/>
      <c r="CF248" s="882"/>
      <c r="CG248" s="882"/>
      <c r="CH248" s="882"/>
      <c r="CI248" s="530"/>
    </row>
    <row r="249">
      <c r="A249" s="857"/>
      <c r="B249" s="865" t="s">
        <v>613</v>
      </c>
      <c r="C249" s="865" t="s">
        <v>591</v>
      </c>
      <c r="D249" s="865" t="s">
        <v>622</v>
      </c>
      <c r="E249" s="866">
        <v>2019.0</v>
      </c>
      <c r="F249" s="865" t="s">
        <v>593</v>
      </c>
      <c r="G249" s="865" t="s">
        <v>70</v>
      </c>
      <c r="H249" s="867">
        <v>9921223.086</v>
      </c>
      <c r="I249" s="867">
        <v>1.14447558E7</v>
      </c>
      <c r="J249" s="868">
        <v>8473758.955</v>
      </c>
      <c r="K249" s="50"/>
      <c r="L249" s="869" t="s">
        <v>613</v>
      </c>
      <c r="M249" s="865" t="s">
        <v>591</v>
      </c>
      <c r="N249" s="865" t="s">
        <v>622</v>
      </c>
      <c r="O249" s="866">
        <v>2004.0</v>
      </c>
      <c r="P249" s="865" t="s">
        <v>593</v>
      </c>
      <c r="Q249" s="865" t="s">
        <v>70</v>
      </c>
      <c r="R249" s="867">
        <v>5795632.985</v>
      </c>
      <c r="S249" s="867">
        <v>6256631.39</v>
      </c>
      <c r="T249" s="868">
        <v>5346602.385</v>
      </c>
      <c r="AN249" s="882"/>
      <c r="AO249" s="882"/>
      <c r="AP249" s="882"/>
      <c r="AY249" s="882"/>
      <c r="AZ249" s="882"/>
      <c r="BA249" s="882"/>
      <c r="BJ249" s="882"/>
      <c r="BK249" s="882"/>
      <c r="BL249" s="882"/>
      <c r="BU249" s="882"/>
      <c r="BV249" s="882"/>
      <c r="BW249" s="882"/>
      <c r="CF249" s="882"/>
      <c r="CG249" s="882"/>
      <c r="CH249" s="882"/>
      <c r="CI249" s="530"/>
    </row>
    <row r="250">
      <c r="A250" s="857"/>
      <c r="B250" s="865" t="s">
        <v>613</v>
      </c>
      <c r="C250" s="865" t="s">
        <v>591</v>
      </c>
      <c r="D250" s="865" t="s">
        <v>624</v>
      </c>
      <c r="E250" s="866">
        <v>2019.0</v>
      </c>
      <c r="F250" s="865" t="s">
        <v>593</v>
      </c>
      <c r="G250" s="865" t="s">
        <v>70</v>
      </c>
      <c r="H250" s="867">
        <v>1943867.395</v>
      </c>
      <c r="I250" s="867">
        <v>2242105.532</v>
      </c>
      <c r="J250" s="868">
        <v>1660452.192</v>
      </c>
      <c r="K250" s="50"/>
      <c r="L250" s="869" t="s">
        <v>613</v>
      </c>
      <c r="M250" s="865" t="s">
        <v>591</v>
      </c>
      <c r="N250" s="865" t="s">
        <v>624</v>
      </c>
      <c r="O250" s="866">
        <v>2004.0</v>
      </c>
      <c r="P250" s="865" t="s">
        <v>593</v>
      </c>
      <c r="Q250" s="865" t="s">
        <v>70</v>
      </c>
      <c r="R250" s="867">
        <v>1189710.059</v>
      </c>
      <c r="S250" s="867">
        <v>1284304.114</v>
      </c>
      <c r="T250" s="868">
        <v>1097533.592</v>
      </c>
      <c r="AN250" s="882"/>
      <c r="AO250" s="882"/>
      <c r="AP250" s="882"/>
      <c r="AY250" s="882"/>
      <c r="AZ250" s="882"/>
      <c r="BA250" s="882"/>
      <c r="BJ250" s="882"/>
      <c r="BK250" s="882"/>
      <c r="BL250" s="882"/>
      <c r="BU250" s="882"/>
      <c r="BV250" s="882"/>
      <c r="BW250" s="882"/>
      <c r="CF250" s="882"/>
      <c r="CG250" s="882"/>
      <c r="CH250" s="882"/>
      <c r="CI250" s="530"/>
    </row>
    <row r="251">
      <c r="A251" s="857"/>
      <c r="B251" s="865" t="s">
        <v>613</v>
      </c>
      <c r="C251" s="865" t="s">
        <v>591</v>
      </c>
      <c r="D251" s="865" t="s">
        <v>625</v>
      </c>
      <c r="E251" s="866">
        <v>2019.0</v>
      </c>
      <c r="F251" s="865" t="s">
        <v>593</v>
      </c>
      <c r="G251" s="865" t="s">
        <v>70</v>
      </c>
      <c r="H251" s="867">
        <v>7977426.99</v>
      </c>
      <c r="I251" s="867">
        <v>9201364.881</v>
      </c>
      <c r="J251" s="868">
        <v>6814320.857</v>
      </c>
      <c r="K251" s="50"/>
      <c r="L251" s="869" t="s">
        <v>613</v>
      </c>
      <c r="M251" s="865" t="s">
        <v>591</v>
      </c>
      <c r="N251" s="865" t="s">
        <v>625</v>
      </c>
      <c r="O251" s="866">
        <v>2004.0</v>
      </c>
      <c r="P251" s="865" t="s">
        <v>593</v>
      </c>
      <c r="Q251" s="865" t="s">
        <v>70</v>
      </c>
      <c r="R251" s="867">
        <v>4605937.599</v>
      </c>
      <c r="S251" s="867">
        <v>4972156.502</v>
      </c>
      <c r="T251" s="868">
        <v>4249078.336</v>
      </c>
      <c r="AN251" s="882"/>
      <c r="AO251" s="882"/>
      <c r="AP251" s="882"/>
      <c r="AY251" s="882"/>
      <c r="AZ251" s="882"/>
      <c r="BA251" s="882"/>
      <c r="BJ251" s="882"/>
      <c r="BK251" s="882"/>
      <c r="BL251" s="882"/>
      <c r="BU251" s="882"/>
      <c r="BV251" s="882"/>
      <c r="BW251" s="882"/>
      <c r="CF251" s="882"/>
      <c r="CG251" s="882"/>
      <c r="CH251" s="882"/>
      <c r="CI251" s="530"/>
    </row>
    <row r="252">
      <c r="A252" s="857"/>
      <c r="B252" s="865" t="s">
        <v>613</v>
      </c>
      <c r="C252" s="865" t="s">
        <v>591</v>
      </c>
      <c r="D252" s="865" t="s">
        <v>627</v>
      </c>
      <c r="E252" s="866">
        <v>2019.0</v>
      </c>
      <c r="F252" s="865" t="s">
        <v>593</v>
      </c>
      <c r="G252" s="865" t="s">
        <v>70</v>
      </c>
      <c r="H252" s="867">
        <v>1626106.849</v>
      </c>
      <c r="I252" s="867">
        <v>1875592.528</v>
      </c>
      <c r="J252" s="868">
        <v>1389021.025</v>
      </c>
      <c r="K252" s="50"/>
      <c r="L252" s="869" t="s">
        <v>613</v>
      </c>
      <c r="M252" s="865" t="s">
        <v>591</v>
      </c>
      <c r="N252" s="865" t="s">
        <v>627</v>
      </c>
      <c r="O252" s="866">
        <v>2004.0</v>
      </c>
      <c r="P252" s="865" t="s">
        <v>593</v>
      </c>
      <c r="Q252" s="865" t="s">
        <v>70</v>
      </c>
      <c r="R252" s="867">
        <v>961175.0165</v>
      </c>
      <c r="S252" s="867">
        <v>1037598.21</v>
      </c>
      <c r="T252" s="868">
        <v>886705.009</v>
      </c>
      <c r="AN252" s="882"/>
      <c r="AO252" s="882"/>
      <c r="AP252" s="882"/>
      <c r="AY252" s="882"/>
      <c r="AZ252" s="882"/>
      <c r="BA252" s="882"/>
      <c r="BJ252" s="882"/>
      <c r="BK252" s="882"/>
      <c r="BL252" s="882"/>
      <c r="BU252" s="882"/>
      <c r="BV252" s="882"/>
      <c r="BW252" s="882"/>
      <c r="CF252" s="882"/>
      <c r="CG252" s="882"/>
      <c r="CH252" s="882"/>
      <c r="CI252" s="530"/>
    </row>
    <row r="253">
      <c r="A253" s="857"/>
      <c r="B253" s="865" t="s">
        <v>613</v>
      </c>
      <c r="C253" s="865" t="s">
        <v>591</v>
      </c>
      <c r="D253" s="865" t="s">
        <v>629</v>
      </c>
      <c r="E253" s="866">
        <v>2019.0</v>
      </c>
      <c r="F253" s="865" t="s">
        <v>593</v>
      </c>
      <c r="G253" s="865" t="s">
        <v>70</v>
      </c>
      <c r="H253" s="867">
        <v>5919047.141</v>
      </c>
      <c r="I253" s="867">
        <v>6827993.739</v>
      </c>
      <c r="J253" s="868">
        <v>5055483.41</v>
      </c>
      <c r="K253" s="50"/>
      <c r="L253" s="869" t="s">
        <v>613</v>
      </c>
      <c r="M253" s="865" t="s">
        <v>591</v>
      </c>
      <c r="N253" s="865" t="s">
        <v>629</v>
      </c>
      <c r="O253" s="866">
        <v>2004.0</v>
      </c>
      <c r="P253" s="865" t="s">
        <v>593</v>
      </c>
      <c r="Q253" s="865" t="s">
        <v>70</v>
      </c>
      <c r="R253" s="867">
        <v>3330733.127</v>
      </c>
      <c r="S253" s="867">
        <v>3595667.546</v>
      </c>
      <c r="T253" s="868">
        <v>3072676.57</v>
      </c>
      <c r="AN253" s="882"/>
      <c r="AO253" s="882"/>
      <c r="AP253" s="882"/>
      <c r="AY253" s="882"/>
      <c r="AZ253" s="882"/>
      <c r="BA253" s="882"/>
      <c r="BJ253" s="882"/>
      <c r="BK253" s="882"/>
      <c r="BL253" s="882"/>
      <c r="BU253" s="882"/>
      <c r="BV253" s="882"/>
      <c r="BW253" s="882"/>
      <c r="CF253" s="882"/>
      <c r="CG253" s="882"/>
      <c r="CH253" s="882"/>
      <c r="CI253" s="530"/>
    </row>
    <row r="254">
      <c r="A254" s="857"/>
      <c r="B254" s="865" t="s">
        <v>613</v>
      </c>
      <c r="C254" s="865" t="s">
        <v>591</v>
      </c>
      <c r="D254" s="865" t="s">
        <v>631</v>
      </c>
      <c r="E254" s="866">
        <v>2019.0</v>
      </c>
      <c r="F254" s="865" t="s">
        <v>593</v>
      </c>
      <c r="G254" s="865" t="s">
        <v>70</v>
      </c>
      <c r="H254" s="867">
        <v>1403113.123</v>
      </c>
      <c r="I254" s="867">
        <v>1618385.957</v>
      </c>
      <c r="J254" s="868">
        <v>1198539.709</v>
      </c>
      <c r="K254" s="50"/>
      <c r="L254" s="869" t="s">
        <v>613</v>
      </c>
      <c r="M254" s="865" t="s">
        <v>591</v>
      </c>
      <c r="N254" s="865" t="s">
        <v>631</v>
      </c>
      <c r="O254" s="866">
        <v>2004.0</v>
      </c>
      <c r="P254" s="865" t="s">
        <v>593</v>
      </c>
      <c r="Q254" s="865" t="s">
        <v>70</v>
      </c>
      <c r="R254" s="867">
        <v>777982.6599</v>
      </c>
      <c r="S254" s="867">
        <v>839840.1972</v>
      </c>
      <c r="T254" s="868">
        <v>717706.0469</v>
      </c>
      <c r="AN254" s="882"/>
      <c r="AO254" s="882"/>
      <c r="AP254" s="882"/>
      <c r="AY254" s="882"/>
      <c r="AZ254" s="882"/>
      <c r="BA254" s="882"/>
      <c r="BJ254" s="882"/>
      <c r="BK254" s="882"/>
      <c r="BL254" s="882"/>
      <c r="BU254" s="882"/>
      <c r="BV254" s="882"/>
      <c r="BW254" s="882"/>
      <c r="CF254" s="882"/>
      <c r="CG254" s="882"/>
      <c r="CH254" s="882"/>
      <c r="CI254" s="530"/>
    </row>
    <row r="255">
      <c r="A255" s="857"/>
      <c r="B255" s="865" t="s">
        <v>613</v>
      </c>
      <c r="C255" s="865" t="s">
        <v>591</v>
      </c>
      <c r="D255" s="865" t="s">
        <v>633</v>
      </c>
      <c r="E255" s="866">
        <v>2019.0</v>
      </c>
      <c r="F255" s="865" t="s">
        <v>593</v>
      </c>
      <c r="G255" s="865" t="s">
        <v>70</v>
      </c>
      <c r="H255" s="867">
        <v>1185976.266</v>
      </c>
      <c r="I255" s="867">
        <v>1367934.847</v>
      </c>
      <c r="J255" s="868">
        <v>1013061.332</v>
      </c>
      <c r="K255" s="50"/>
      <c r="L255" s="869" t="s">
        <v>613</v>
      </c>
      <c r="M255" s="865" t="s">
        <v>591</v>
      </c>
      <c r="N255" s="865" t="s">
        <v>633</v>
      </c>
      <c r="O255" s="866">
        <v>2004.0</v>
      </c>
      <c r="P255" s="865" t="s">
        <v>593</v>
      </c>
      <c r="Q255" s="865" t="s">
        <v>70</v>
      </c>
      <c r="R255" s="867">
        <v>641868.9312</v>
      </c>
      <c r="S255" s="867">
        <v>692904.0421</v>
      </c>
      <c r="T255" s="868">
        <v>592138.1503</v>
      </c>
      <c r="AN255" s="882"/>
      <c r="AO255" s="882"/>
      <c r="AP255" s="882"/>
      <c r="AY255" s="882"/>
      <c r="AZ255" s="882"/>
      <c r="BA255" s="882"/>
      <c r="BJ255" s="882"/>
      <c r="BK255" s="882"/>
      <c r="BL255" s="882"/>
      <c r="BU255" s="882"/>
      <c r="BV255" s="882"/>
      <c r="BW255" s="882"/>
      <c r="CF255" s="882"/>
      <c r="CG255" s="882"/>
      <c r="CH255" s="882"/>
      <c r="CI255" s="530"/>
    </row>
    <row r="256">
      <c r="A256" s="857"/>
      <c r="B256" s="865" t="s">
        <v>613</v>
      </c>
      <c r="C256" s="865" t="s">
        <v>591</v>
      </c>
      <c r="D256" s="865" t="s">
        <v>635</v>
      </c>
      <c r="E256" s="866">
        <v>2019.0</v>
      </c>
      <c r="F256" s="865" t="s">
        <v>593</v>
      </c>
      <c r="G256" s="865" t="s">
        <v>70</v>
      </c>
      <c r="H256" s="867">
        <v>957029.4317</v>
      </c>
      <c r="I256" s="867">
        <v>1103861.811</v>
      </c>
      <c r="J256" s="868">
        <v>817494.8672</v>
      </c>
      <c r="K256" s="50"/>
      <c r="L256" s="869" t="s">
        <v>613</v>
      </c>
      <c r="M256" s="865" t="s">
        <v>591</v>
      </c>
      <c r="N256" s="865" t="s">
        <v>635</v>
      </c>
      <c r="O256" s="866">
        <v>2004.0</v>
      </c>
      <c r="P256" s="865" t="s">
        <v>593</v>
      </c>
      <c r="Q256" s="865" t="s">
        <v>70</v>
      </c>
      <c r="R256" s="867">
        <v>526881.8108</v>
      </c>
      <c r="S256" s="867">
        <v>568774.2757</v>
      </c>
      <c r="T256" s="868">
        <v>486060.0128</v>
      </c>
      <c r="AN256" s="882"/>
      <c r="AO256" s="882"/>
      <c r="AP256" s="882"/>
      <c r="AY256" s="882"/>
      <c r="AZ256" s="882"/>
      <c r="BA256" s="882"/>
      <c r="BJ256" s="882"/>
      <c r="BK256" s="882"/>
      <c r="BL256" s="882"/>
      <c r="BU256" s="882"/>
      <c r="BV256" s="882"/>
      <c r="BW256" s="882"/>
      <c r="CF256" s="882"/>
      <c r="CG256" s="882"/>
      <c r="CH256" s="882"/>
      <c r="CI256" s="530"/>
    </row>
    <row r="257">
      <c r="A257" s="857"/>
      <c r="B257" s="865" t="s">
        <v>613</v>
      </c>
      <c r="C257" s="865" t="s">
        <v>591</v>
      </c>
      <c r="D257" s="865" t="s">
        <v>637</v>
      </c>
      <c r="E257" s="866">
        <v>2019.0</v>
      </c>
      <c r="F257" s="865" t="s">
        <v>593</v>
      </c>
      <c r="G257" s="865" t="s">
        <v>70</v>
      </c>
      <c r="H257" s="867">
        <v>746864.0086</v>
      </c>
      <c r="I257" s="867">
        <v>861451.7272</v>
      </c>
      <c r="J257" s="868">
        <v>637971.491</v>
      </c>
      <c r="K257" s="50"/>
      <c r="L257" s="869" t="s">
        <v>613</v>
      </c>
      <c r="M257" s="865" t="s">
        <v>591</v>
      </c>
      <c r="N257" s="865" t="s">
        <v>637</v>
      </c>
      <c r="O257" s="866">
        <v>2004.0</v>
      </c>
      <c r="P257" s="865" t="s">
        <v>593</v>
      </c>
      <c r="Q257" s="865" t="s">
        <v>70</v>
      </c>
      <c r="R257" s="867">
        <v>422833.1413</v>
      </c>
      <c r="S257" s="867">
        <v>456452.6782</v>
      </c>
      <c r="T257" s="868">
        <v>390072.8357</v>
      </c>
      <c r="AN257" s="882"/>
      <c r="AO257" s="882"/>
      <c r="AP257" s="882"/>
      <c r="AY257" s="882"/>
      <c r="AZ257" s="882"/>
      <c r="BA257" s="882"/>
      <c r="BJ257" s="882"/>
      <c r="BK257" s="882"/>
      <c r="BL257" s="882"/>
      <c r="BU257" s="882"/>
      <c r="BV257" s="882"/>
      <c r="BW257" s="882"/>
      <c r="CF257" s="882"/>
      <c r="CG257" s="882"/>
      <c r="CH257" s="882"/>
      <c r="CI257" s="530"/>
    </row>
    <row r="258">
      <c r="A258" s="857"/>
      <c r="B258" s="865" t="s">
        <v>613</v>
      </c>
      <c r="C258" s="865" t="s">
        <v>591</v>
      </c>
      <c r="D258" s="865" t="s">
        <v>639</v>
      </c>
      <c r="E258" s="866">
        <v>2019.0</v>
      </c>
      <c r="F258" s="865" t="s">
        <v>593</v>
      </c>
      <c r="G258" s="865" t="s">
        <v>70</v>
      </c>
      <c r="H258" s="867">
        <v>8725458.847</v>
      </c>
      <c r="I258" s="867">
        <v>1.006536643E7</v>
      </c>
      <c r="J258" s="868">
        <v>7452451.618</v>
      </c>
      <c r="K258" s="50"/>
      <c r="L258" s="869" t="s">
        <v>613</v>
      </c>
      <c r="M258" s="865" t="s">
        <v>591</v>
      </c>
      <c r="N258" s="865" t="s">
        <v>639</v>
      </c>
      <c r="O258" s="866">
        <v>2004.0</v>
      </c>
      <c r="P258" s="865" t="s">
        <v>593</v>
      </c>
      <c r="Q258" s="865" t="s">
        <v>70</v>
      </c>
      <c r="R258" s="867">
        <v>5500552.215</v>
      </c>
      <c r="S258" s="867">
        <v>5938079.195</v>
      </c>
      <c r="T258" s="868">
        <v>5074383.707</v>
      </c>
      <c r="AN258" s="882"/>
      <c r="AO258" s="882"/>
      <c r="AP258" s="882"/>
      <c r="AY258" s="882"/>
      <c r="AZ258" s="882"/>
      <c r="BA258" s="882"/>
      <c r="BJ258" s="882"/>
      <c r="BK258" s="882"/>
      <c r="BL258" s="882"/>
      <c r="BU258" s="882"/>
      <c r="BV258" s="882"/>
      <c r="BW258" s="882"/>
      <c r="CF258" s="882"/>
      <c r="CG258" s="882"/>
      <c r="CH258" s="882"/>
      <c r="CI258" s="530"/>
    </row>
    <row r="259">
      <c r="A259" s="857"/>
      <c r="B259" s="865" t="s">
        <v>613</v>
      </c>
      <c r="C259" s="865" t="s">
        <v>591</v>
      </c>
      <c r="D259" s="865" t="s">
        <v>641</v>
      </c>
      <c r="E259" s="866">
        <v>2019.0</v>
      </c>
      <c r="F259" s="865" t="s">
        <v>593</v>
      </c>
      <c r="G259" s="865" t="s">
        <v>70</v>
      </c>
      <c r="H259" s="867">
        <v>3445178.566</v>
      </c>
      <c r="I259" s="867">
        <v>3973755.586</v>
      </c>
      <c r="J259" s="868">
        <v>2942872.707</v>
      </c>
      <c r="K259" s="50"/>
      <c r="L259" s="869" t="s">
        <v>613</v>
      </c>
      <c r="M259" s="865" t="s">
        <v>591</v>
      </c>
      <c r="N259" s="865" t="s">
        <v>641</v>
      </c>
      <c r="O259" s="866">
        <v>2004.0</v>
      </c>
      <c r="P259" s="865" t="s">
        <v>593</v>
      </c>
      <c r="Q259" s="865" t="s">
        <v>70</v>
      </c>
      <c r="R259" s="867">
        <v>2211397.617</v>
      </c>
      <c r="S259" s="867">
        <v>2387226.228</v>
      </c>
      <c r="T259" s="868">
        <v>2040062.747</v>
      </c>
      <c r="AN259" s="882"/>
      <c r="AO259" s="882"/>
      <c r="AP259" s="882"/>
      <c r="AY259" s="882"/>
      <c r="AZ259" s="882"/>
      <c r="BA259" s="882"/>
      <c r="BJ259" s="882"/>
      <c r="BK259" s="882"/>
      <c r="BL259" s="882"/>
      <c r="BU259" s="882"/>
      <c r="BV259" s="882"/>
      <c r="BW259" s="882"/>
      <c r="CF259" s="882"/>
      <c r="CG259" s="882"/>
      <c r="CH259" s="882"/>
      <c r="CI259" s="530"/>
    </row>
    <row r="260">
      <c r="A260" s="857"/>
      <c r="B260" s="865" t="s">
        <v>613</v>
      </c>
      <c r="C260" s="865" t="s">
        <v>591</v>
      </c>
      <c r="D260" s="865" t="s">
        <v>643</v>
      </c>
      <c r="E260" s="866">
        <v>2019.0</v>
      </c>
      <c r="F260" s="865" t="s">
        <v>593</v>
      </c>
      <c r="G260" s="865" t="s">
        <v>70</v>
      </c>
      <c r="H260" s="867">
        <v>591737.2832</v>
      </c>
      <c r="I260" s="867">
        <v>682524.6616</v>
      </c>
      <c r="J260" s="868">
        <v>505462.1893</v>
      </c>
      <c r="K260" s="50"/>
      <c r="L260" s="869" t="s">
        <v>613</v>
      </c>
      <c r="M260" s="865" t="s">
        <v>591</v>
      </c>
      <c r="N260" s="865" t="s">
        <v>643</v>
      </c>
      <c r="O260" s="866">
        <v>2004.0</v>
      </c>
      <c r="P260" s="865" t="s">
        <v>593</v>
      </c>
      <c r="Q260" s="865" t="s">
        <v>70</v>
      </c>
      <c r="R260" s="867">
        <v>332899.6209</v>
      </c>
      <c r="S260" s="867">
        <v>359368.5279</v>
      </c>
      <c r="T260" s="868">
        <v>307107.193</v>
      </c>
      <c r="AN260" s="882"/>
      <c r="AO260" s="882"/>
      <c r="AP260" s="882"/>
      <c r="AY260" s="882"/>
      <c r="AZ260" s="882"/>
      <c r="BA260" s="882"/>
      <c r="BJ260" s="882"/>
      <c r="BK260" s="882"/>
      <c r="BL260" s="882"/>
      <c r="BU260" s="882"/>
      <c r="BV260" s="882"/>
      <c r="BW260" s="882"/>
      <c r="CF260" s="882"/>
      <c r="CG260" s="882"/>
      <c r="CH260" s="882"/>
      <c r="CI260" s="530"/>
    </row>
    <row r="261">
      <c r="A261" s="857"/>
      <c r="B261" s="865" t="s">
        <v>613</v>
      </c>
      <c r="C261" s="865" t="s">
        <v>591</v>
      </c>
      <c r="D261" s="865" t="s">
        <v>645</v>
      </c>
      <c r="E261" s="866">
        <v>2019.0</v>
      </c>
      <c r="F261" s="865" t="s">
        <v>593</v>
      </c>
      <c r="G261" s="865" t="s">
        <v>70</v>
      </c>
      <c r="H261" s="867">
        <v>1667289.956</v>
      </c>
      <c r="I261" s="867">
        <v>1923094.158</v>
      </c>
      <c r="J261" s="868">
        <v>1424199.649</v>
      </c>
      <c r="K261" s="50"/>
      <c r="L261" s="869" t="s">
        <v>613</v>
      </c>
      <c r="M261" s="865" t="s">
        <v>591</v>
      </c>
      <c r="N261" s="865" t="s">
        <v>645</v>
      </c>
      <c r="O261" s="866">
        <v>2004.0</v>
      </c>
      <c r="P261" s="865" t="s">
        <v>593</v>
      </c>
      <c r="Q261" s="865" t="s">
        <v>70</v>
      </c>
      <c r="R261" s="867">
        <v>1003808.365</v>
      </c>
      <c r="S261" s="867">
        <v>1083621.344</v>
      </c>
      <c r="T261" s="868">
        <v>926035.2069</v>
      </c>
      <c r="AN261" s="882"/>
      <c r="AO261" s="882"/>
      <c r="AP261" s="882"/>
      <c r="AY261" s="882"/>
      <c r="AZ261" s="882"/>
      <c r="BA261" s="882"/>
      <c r="BJ261" s="882"/>
      <c r="BK261" s="882"/>
      <c r="BL261" s="882"/>
      <c r="BU261" s="882"/>
      <c r="BV261" s="882"/>
      <c r="BW261" s="882"/>
      <c r="CF261" s="882"/>
      <c r="CG261" s="882"/>
      <c r="CH261" s="882"/>
      <c r="CI261" s="530"/>
    </row>
    <row r="262">
      <c r="A262" s="857"/>
      <c r="B262" s="865" t="s">
        <v>613</v>
      </c>
      <c r="C262" s="865" t="s">
        <v>591</v>
      </c>
      <c r="D262" s="865" t="s">
        <v>604</v>
      </c>
      <c r="E262" s="866">
        <v>2019.0</v>
      </c>
      <c r="F262" s="865" t="s">
        <v>593</v>
      </c>
      <c r="G262" s="865" t="s">
        <v>70</v>
      </c>
      <c r="H262" s="867">
        <v>6348445.622</v>
      </c>
      <c r="I262" s="867">
        <v>7322456.811</v>
      </c>
      <c r="J262" s="868">
        <v>5422844.417</v>
      </c>
      <c r="K262" s="50"/>
      <c r="L262" s="869" t="s">
        <v>613</v>
      </c>
      <c r="M262" s="865" t="s">
        <v>591</v>
      </c>
      <c r="N262" s="865" t="s">
        <v>604</v>
      </c>
      <c r="O262" s="866">
        <v>2004.0</v>
      </c>
      <c r="P262" s="865" t="s">
        <v>593</v>
      </c>
      <c r="Q262" s="865" t="s">
        <v>70</v>
      </c>
      <c r="R262" s="867">
        <v>4032625.075</v>
      </c>
      <c r="S262" s="867">
        <v>4353259.799</v>
      </c>
      <c r="T262" s="868">
        <v>3720184.973</v>
      </c>
      <c r="AN262" s="882"/>
      <c r="AO262" s="882"/>
      <c r="AP262" s="882"/>
      <c r="AY262" s="882"/>
      <c r="AZ262" s="882"/>
      <c r="BA262" s="882"/>
      <c r="BJ262" s="882"/>
      <c r="BK262" s="882"/>
      <c r="BL262" s="882"/>
      <c r="BU262" s="882"/>
      <c r="BV262" s="882"/>
      <c r="BW262" s="882"/>
      <c r="CF262" s="882"/>
      <c r="CG262" s="882"/>
      <c r="CH262" s="882"/>
      <c r="CI262" s="530"/>
    </row>
    <row r="263">
      <c r="A263" s="857"/>
      <c r="B263" s="865" t="s">
        <v>613</v>
      </c>
      <c r="C263" s="865" t="s">
        <v>591</v>
      </c>
      <c r="D263" s="865" t="s">
        <v>647</v>
      </c>
      <c r="E263" s="866">
        <v>2019.0</v>
      </c>
      <c r="F263" s="865" t="s">
        <v>593</v>
      </c>
      <c r="G263" s="865" t="s">
        <v>70</v>
      </c>
      <c r="H263" s="867">
        <v>1466589.488</v>
      </c>
      <c r="I263" s="867">
        <v>1691803.36</v>
      </c>
      <c r="J263" s="868">
        <v>1252620.337</v>
      </c>
      <c r="K263" s="50"/>
      <c r="L263" s="869" t="s">
        <v>613</v>
      </c>
      <c r="M263" s="865" t="s">
        <v>591</v>
      </c>
      <c r="N263" s="865" t="s">
        <v>647</v>
      </c>
      <c r="O263" s="866">
        <v>2004.0</v>
      </c>
      <c r="P263" s="865" t="s">
        <v>593</v>
      </c>
      <c r="Q263" s="865" t="s">
        <v>70</v>
      </c>
      <c r="R263" s="867">
        <v>942294.033</v>
      </c>
      <c r="S263" s="867">
        <v>1017246.337</v>
      </c>
      <c r="T263" s="868">
        <v>869287.5372</v>
      </c>
      <c r="AN263" s="882"/>
      <c r="AO263" s="882"/>
      <c r="AP263" s="882"/>
      <c r="AY263" s="882"/>
      <c r="AZ263" s="882"/>
      <c r="BA263" s="882"/>
      <c r="BJ263" s="882"/>
      <c r="BK263" s="882"/>
      <c r="BL263" s="882"/>
      <c r="BU263" s="882"/>
      <c r="BV263" s="882"/>
      <c r="BW263" s="882"/>
      <c r="CF263" s="882"/>
      <c r="CG263" s="882"/>
      <c r="CH263" s="882"/>
      <c r="CI263" s="530"/>
    </row>
    <row r="264">
      <c r="A264" s="857"/>
      <c r="B264" s="865" t="s">
        <v>613</v>
      </c>
      <c r="C264" s="865" t="s">
        <v>591</v>
      </c>
      <c r="D264" s="865" t="s">
        <v>649</v>
      </c>
      <c r="E264" s="866">
        <v>2019.0</v>
      </c>
      <c r="F264" s="865" t="s">
        <v>593</v>
      </c>
      <c r="G264" s="865" t="s">
        <v>70</v>
      </c>
      <c r="H264" s="867">
        <v>467800.0061</v>
      </c>
      <c r="I264" s="867">
        <v>539572.2897</v>
      </c>
      <c r="J264" s="868">
        <v>399594.9248</v>
      </c>
      <c r="K264" s="50"/>
      <c r="L264" s="869" t="s">
        <v>613</v>
      </c>
      <c r="M264" s="865" t="s">
        <v>591</v>
      </c>
      <c r="N264" s="865" t="s">
        <v>649</v>
      </c>
      <c r="O264" s="866">
        <v>2004.0</v>
      </c>
      <c r="P264" s="865" t="s">
        <v>593</v>
      </c>
      <c r="Q264" s="865" t="s">
        <v>70</v>
      </c>
      <c r="R264" s="867">
        <v>280197.1388</v>
      </c>
      <c r="S264" s="867">
        <v>302475.6623</v>
      </c>
      <c r="T264" s="868">
        <v>258487.9987</v>
      </c>
      <c r="AN264" s="882"/>
      <c r="AO264" s="882"/>
      <c r="AP264" s="882"/>
      <c r="AY264" s="882"/>
      <c r="AZ264" s="882"/>
      <c r="BA264" s="882"/>
      <c r="BJ264" s="882"/>
      <c r="BK264" s="882"/>
      <c r="BL264" s="882"/>
      <c r="BU264" s="882"/>
      <c r="BV264" s="882"/>
      <c r="BW264" s="882"/>
      <c r="CF264" s="882"/>
      <c r="CG264" s="882"/>
      <c r="CH264" s="882"/>
      <c r="CI264" s="530"/>
    </row>
    <row r="265">
      <c r="A265" s="857"/>
      <c r="B265" s="865" t="s">
        <v>613</v>
      </c>
      <c r="C265" s="865" t="s">
        <v>591</v>
      </c>
      <c r="D265" s="865" t="s">
        <v>651</v>
      </c>
      <c r="E265" s="866">
        <v>2019.0</v>
      </c>
      <c r="F265" s="865" t="s">
        <v>593</v>
      </c>
      <c r="G265" s="865" t="s">
        <v>70</v>
      </c>
      <c r="H265" s="867">
        <v>354896.6626</v>
      </c>
      <c r="I265" s="867">
        <v>409346.7344</v>
      </c>
      <c r="J265" s="868">
        <v>303152.8503</v>
      </c>
      <c r="K265" s="50"/>
      <c r="L265" s="869" t="s">
        <v>613</v>
      </c>
      <c r="M265" s="865" t="s">
        <v>591</v>
      </c>
      <c r="N265" s="865" t="s">
        <v>651</v>
      </c>
      <c r="O265" s="866">
        <v>2004.0</v>
      </c>
      <c r="P265" s="865" t="s">
        <v>593</v>
      </c>
      <c r="Q265" s="865" t="s">
        <v>70</v>
      </c>
      <c r="R265" s="867">
        <v>220721.6527</v>
      </c>
      <c r="S265" s="867">
        <v>238271.2698</v>
      </c>
      <c r="T265" s="868">
        <v>203620.5599</v>
      </c>
      <c r="AN265" s="882"/>
      <c r="AO265" s="882"/>
      <c r="AP265" s="882"/>
      <c r="AY265" s="882"/>
      <c r="AZ265" s="882"/>
      <c r="BA265" s="882"/>
      <c r="BJ265" s="882"/>
      <c r="BK265" s="882"/>
      <c r="BL265" s="882"/>
      <c r="BU265" s="882"/>
      <c r="BV265" s="882"/>
      <c r="BW265" s="882"/>
      <c r="CF265" s="882"/>
      <c r="CG265" s="882"/>
      <c r="CH265" s="882"/>
      <c r="CI265" s="530"/>
    </row>
    <row r="266">
      <c r="A266" s="857"/>
      <c r="B266" s="865" t="s">
        <v>613</v>
      </c>
      <c r="C266" s="865" t="s">
        <v>591</v>
      </c>
      <c r="D266" s="865" t="s">
        <v>653</v>
      </c>
      <c r="E266" s="866">
        <v>2019.0</v>
      </c>
      <c r="F266" s="865" t="s">
        <v>593</v>
      </c>
      <c r="G266" s="865" t="s">
        <v>70</v>
      </c>
      <c r="H266" s="867">
        <v>252856.0037</v>
      </c>
      <c r="I266" s="867">
        <v>291650.4727</v>
      </c>
      <c r="J266" s="868">
        <v>215989.6847</v>
      </c>
      <c r="K266" s="50"/>
      <c r="L266" s="869" t="s">
        <v>613</v>
      </c>
      <c r="M266" s="865" t="s">
        <v>591</v>
      </c>
      <c r="N266" s="865" t="s">
        <v>653</v>
      </c>
      <c r="O266" s="866">
        <v>2004.0</v>
      </c>
      <c r="P266" s="865" t="s">
        <v>593</v>
      </c>
      <c r="Q266" s="865" t="s">
        <v>70</v>
      </c>
      <c r="R266" s="867">
        <v>169989.9527</v>
      </c>
      <c r="S266" s="867">
        <v>183505.8835</v>
      </c>
      <c r="T266" s="868">
        <v>156819.4553</v>
      </c>
      <c r="AN266" s="882"/>
      <c r="AO266" s="882"/>
      <c r="AP266" s="882"/>
      <c r="AY266" s="882"/>
      <c r="AZ266" s="882"/>
      <c r="BA266" s="882"/>
      <c r="BJ266" s="882"/>
      <c r="BK266" s="882"/>
      <c r="BL266" s="882"/>
      <c r="BU266" s="882"/>
      <c r="BV266" s="882"/>
      <c r="BW266" s="882"/>
      <c r="CF266" s="882"/>
      <c r="CG266" s="882"/>
      <c r="CH266" s="882"/>
      <c r="CI266" s="530"/>
    </row>
    <row r="267">
      <c r="A267" s="857"/>
      <c r="B267" s="865" t="s">
        <v>613</v>
      </c>
      <c r="C267" s="865" t="s">
        <v>591</v>
      </c>
      <c r="D267" s="865" t="s">
        <v>655</v>
      </c>
      <c r="E267" s="866">
        <v>2019.0</v>
      </c>
      <c r="F267" s="865" t="s">
        <v>593</v>
      </c>
      <c r="G267" s="865" t="s">
        <v>70</v>
      </c>
      <c r="H267" s="867">
        <v>435521.562</v>
      </c>
      <c r="I267" s="867">
        <v>502401.5567</v>
      </c>
      <c r="J267" s="868">
        <v>371980.8237</v>
      </c>
      <c r="K267" s="50"/>
      <c r="L267" s="869" t="s">
        <v>613</v>
      </c>
      <c r="M267" s="865" t="s">
        <v>591</v>
      </c>
      <c r="N267" s="865" t="s">
        <v>655</v>
      </c>
      <c r="O267" s="866">
        <v>2004.0</v>
      </c>
      <c r="P267" s="865" t="s">
        <v>593</v>
      </c>
      <c r="Q267" s="865" t="s">
        <v>70</v>
      </c>
      <c r="R267" s="867">
        <v>295465.9295</v>
      </c>
      <c r="S267" s="867">
        <v>318967.9908</v>
      </c>
      <c r="T267" s="868">
        <v>272573.9962</v>
      </c>
      <c r="AN267" s="882"/>
      <c r="AO267" s="882"/>
      <c r="AP267" s="882"/>
      <c r="AY267" s="882"/>
      <c r="AZ267" s="882"/>
      <c r="BA267" s="882"/>
      <c r="BJ267" s="882"/>
      <c r="BK267" s="882"/>
      <c r="BL267" s="882"/>
      <c r="BU267" s="882"/>
      <c r="BV267" s="882"/>
      <c r="BW267" s="882"/>
      <c r="CF267" s="882"/>
      <c r="CG267" s="882"/>
      <c r="CH267" s="882"/>
      <c r="CI267" s="530"/>
    </row>
    <row r="268">
      <c r="A268" s="857"/>
      <c r="B268" s="865" t="s">
        <v>613</v>
      </c>
      <c r="C268" s="865" t="s">
        <v>591</v>
      </c>
      <c r="D268" s="865" t="s">
        <v>657</v>
      </c>
      <c r="E268" s="866">
        <v>2019.0</v>
      </c>
      <c r="F268" s="865" t="s">
        <v>593</v>
      </c>
      <c r="G268" s="865" t="s">
        <v>70</v>
      </c>
      <c r="H268" s="867">
        <v>182668.6882</v>
      </c>
      <c r="I268" s="867">
        <v>210694.6581</v>
      </c>
      <c r="J268" s="868">
        <v>156035.6558</v>
      </c>
      <c r="K268" s="50"/>
      <c r="L268" s="869" t="s">
        <v>613</v>
      </c>
      <c r="M268" s="865" t="s">
        <v>591</v>
      </c>
      <c r="N268" s="865" t="s">
        <v>657</v>
      </c>
      <c r="O268" s="866">
        <v>2004.0</v>
      </c>
      <c r="P268" s="865" t="s">
        <v>593</v>
      </c>
      <c r="Q268" s="865" t="s">
        <v>70</v>
      </c>
      <c r="R268" s="867">
        <v>125476.7248</v>
      </c>
      <c r="S268" s="867">
        <v>135453.4011</v>
      </c>
      <c r="T268" s="868">
        <v>115755.0274</v>
      </c>
      <c r="AN268" s="882"/>
      <c r="AO268" s="882"/>
      <c r="AP268" s="882"/>
      <c r="AY268" s="882"/>
      <c r="AZ268" s="882"/>
      <c r="BA268" s="882"/>
      <c r="BJ268" s="882"/>
      <c r="BK268" s="882"/>
      <c r="BL268" s="882"/>
      <c r="BU268" s="882"/>
      <c r="BV268" s="882"/>
      <c r="BW268" s="882"/>
      <c r="CF268" s="882"/>
      <c r="CG268" s="882"/>
      <c r="CH268" s="882"/>
      <c r="CI268" s="530"/>
    </row>
    <row r="269">
      <c r="A269" s="857"/>
      <c r="B269" s="865" t="s">
        <v>613</v>
      </c>
      <c r="C269" s="865" t="s">
        <v>591</v>
      </c>
      <c r="D269" s="865" t="s">
        <v>659</v>
      </c>
      <c r="E269" s="866">
        <v>2019.0</v>
      </c>
      <c r="F269" s="865" t="s">
        <v>593</v>
      </c>
      <c r="G269" s="865" t="s">
        <v>70</v>
      </c>
      <c r="H269" s="867">
        <v>391047.3555</v>
      </c>
      <c r="I269" s="867">
        <v>451043.8526</v>
      </c>
      <c r="J269" s="868">
        <v>334032.7845</v>
      </c>
      <c r="K269" s="50"/>
      <c r="L269" s="869" t="s">
        <v>613</v>
      </c>
      <c r="M269" s="865" t="s">
        <v>591</v>
      </c>
      <c r="N269" s="865" t="s">
        <v>659</v>
      </c>
      <c r="O269" s="866">
        <v>2004.0</v>
      </c>
      <c r="P269" s="865" t="s">
        <v>593</v>
      </c>
      <c r="Q269" s="865" t="s">
        <v>70</v>
      </c>
      <c r="R269" s="867">
        <v>271387.6744</v>
      </c>
      <c r="S269" s="867">
        <v>292965.7558</v>
      </c>
      <c r="T269" s="868">
        <v>250361.0749</v>
      </c>
      <c r="AN269" s="882"/>
      <c r="AO269" s="882"/>
      <c r="AP269" s="882"/>
      <c r="AY269" s="882"/>
      <c r="AZ269" s="882"/>
      <c r="BA269" s="882"/>
      <c r="BJ269" s="882"/>
      <c r="BK269" s="882"/>
      <c r="BL269" s="882"/>
      <c r="BU269" s="882"/>
      <c r="BV269" s="882"/>
      <c r="BW269" s="882"/>
      <c r="CF269" s="882"/>
      <c r="CG269" s="882"/>
      <c r="CH269" s="882"/>
      <c r="CI269" s="530"/>
    </row>
    <row r="270">
      <c r="A270" s="857"/>
      <c r="B270" s="865" t="s">
        <v>613</v>
      </c>
      <c r="C270" s="865" t="s">
        <v>591</v>
      </c>
      <c r="D270" s="865" t="s">
        <v>661</v>
      </c>
      <c r="E270" s="866">
        <v>2019.0</v>
      </c>
      <c r="F270" s="865" t="s">
        <v>593</v>
      </c>
      <c r="G270" s="865" t="s">
        <v>70</v>
      </c>
      <c r="H270" s="867">
        <v>208377.1698</v>
      </c>
      <c r="I270" s="867">
        <v>240376.1918</v>
      </c>
      <c r="J270" s="868">
        <v>177975.8296</v>
      </c>
      <c r="K270" s="50"/>
      <c r="L270" s="869" t="s">
        <v>613</v>
      </c>
      <c r="M270" s="865" t="s">
        <v>591</v>
      </c>
      <c r="N270" s="865" t="s">
        <v>661</v>
      </c>
      <c r="O270" s="866">
        <v>2004.0</v>
      </c>
      <c r="P270" s="865" t="s">
        <v>593</v>
      </c>
      <c r="Q270" s="865" t="s">
        <v>70</v>
      </c>
      <c r="R270" s="867">
        <v>145910.5802</v>
      </c>
      <c r="S270" s="867">
        <v>157516.6541</v>
      </c>
      <c r="T270" s="868">
        <v>134605.8072</v>
      </c>
      <c r="AN270" s="882"/>
      <c r="AO270" s="882"/>
      <c r="AP270" s="882"/>
      <c r="AY270" s="882"/>
      <c r="AZ270" s="882"/>
      <c r="BA270" s="882"/>
      <c r="BJ270" s="882"/>
      <c r="BK270" s="882"/>
      <c r="BL270" s="882"/>
      <c r="BU270" s="882"/>
      <c r="BV270" s="882"/>
      <c r="BW270" s="882"/>
      <c r="CF270" s="882"/>
      <c r="CG270" s="882"/>
      <c r="CH270" s="882"/>
      <c r="CI270" s="530"/>
    </row>
    <row r="271">
      <c r="A271" s="857"/>
      <c r="B271" s="865" t="s">
        <v>613</v>
      </c>
      <c r="C271" s="865" t="s">
        <v>591</v>
      </c>
      <c r="D271" s="865" t="s">
        <v>663</v>
      </c>
      <c r="E271" s="866">
        <v>2019.0</v>
      </c>
      <c r="F271" s="865" t="s">
        <v>593</v>
      </c>
      <c r="G271" s="865" t="s">
        <v>70</v>
      </c>
      <c r="H271" s="867">
        <v>112630.4246</v>
      </c>
      <c r="I271" s="867">
        <v>129910.7638</v>
      </c>
      <c r="J271" s="868">
        <v>96208.94711</v>
      </c>
      <c r="K271" s="50"/>
      <c r="L271" s="869" t="s">
        <v>613</v>
      </c>
      <c r="M271" s="865" t="s">
        <v>591</v>
      </c>
      <c r="N271" s="865" t="s">
        <v>663</v>
      </c>
      <c r="O271" s="866">
        <v>2004.0</v>
      </c>
      <c r="P271" s="865" t="s">
        <v>593</v>
      </c>
      <c r="Q271" s="865" t="s">
        <v>70</v>
      </c>
      <c r="R271" s="867">
        <v>80404.24679</v>
      </c>
      <c r="S271" s="867">
        <v>86797.20251</v>
      </c>
      <c r="T271" s="868">
        <v>74174.67907</v>
      </c>
      <c r="AN271" s="882"/>
      <c r="AO271" s="882"/>
      <c r="AP271" s="882"/>
      <c r="AY271" s="882"/>
      <c r="AZ271" s="882"/>
      <c r="BA271" s="882"/>
      <c r="BJ271" s="882"/>
      <c r="BK271" s="882"/>
      <c r="BL271" s="882"/>
      <c r="BU271" s="882"/>
      <c r="BV271" s="882"/>
      <c r="BW271" s="882"/>
      <c r="CF271" s="882"/>
      <c r="CG271" s="882"/>
      <c r="CH271" s="882"/>
      <c r="CI271" s="530"/>
    </row>
    <row r="272">
      <c r="A272" s="857"/>
      <c r="B272" s="865" t="s">
        <v>613</v>
      </c>
      <c r="C272" s="865" t="s">
        <v>591</v>
      </c>
      <c r="D272" s="865" t="s">
        <v>665</v>
      </c>
      <c r="E272" s="866">
        <v>2019.0</v>
      </c>
      <c r="F272" s="865" t="s">
        <v>593</v>
      </c>
      <c r="G272" s="865" t="s">
        <v>70</v>
      </c>
      <c r="H272" s="867">
        <v>172290.0886</v>
      </c>
      <c r="I272" s="867">
        <v>198747.4703</v>
      </c>
      <c r="J272" s="868">
        <v>147153.6995</v>
      </c>
      <c r="K272" s="50"/>
      <c r="L272" s="869" t="s">
        <v>613</v>
      </c>
      <c r="M272" s="865" t="s">
        <v>591</v>
      </c>
      <c r="N272" s="865" t="s">
        <v>665</v>
      </c>
      <c r="O272" s="866">
        <v>2004.0</v>
      </c>
      <c r="P272" s="865" t="s">
        <v>593</v>
      </c>
      <c r="Q272" s="865" t="s">
        <v>70</v>
      </c>
      <c r="R272" s="867">
        <v>122774.4121</v>
      </c>
      <c r="S272" s="867">
        <v>132540.1802</v>
      </c>
      <c r="T272" s="868">
        <v>113262.1693</v>
      </c>
      <c r="AN272" s="882"/>
      <c r="AO272" s="882"/>
      <c r="AP272" s="882"/>
      <c r="AY272" s="882"/>
      <c r="AZ272" s="882"/>
      <c r="BA272" s="882"/>
      <c r="BJ272" s="882"/>
      <c r="BK272" s="882"/>
      <c r="BL272" s="882"/>
      <c r="BU272" s="882"/>
      <c r="BV272" s="882"/>
      <c r="BW272" s="882"/>
      <c r="CF272" s="882"/>
      <c r="CG272" s="882"/>
      <c r="CH272" s="882"/>
      <c r="CI272" s="530"/>
    </row>
    <row r="273">
      <c r="A273" s="857"/>
      <c r="B273" s="865" t="s">
        <v>613</v>
      </c>
      <c r="C273" s="865" t="s">
        <v>591</v>
      </c>
      <c r="D273" s="865" t="s">
        <v>667</v>
      </c>
      <c r="E273" s="866">
        <v>2019.0</v>
      </c>
      <c r="F273" s="865" t="s">
        <v>593</v>
      </c>
      <c r="G273" s="865" t="s">
        <v>70</v>
      </c>
      <c r="H273" s="867">
        <v>95748.24278</v>
      </c>
      <c r="I273" s="867">
        <v>110438.4308</v>
      </c>
      <c r="J273" s="868">
        <v>81788.18166</v>
      </c>
      <c r="K273" s="50"/>
      <c r="L273" s="869" t="s">
        <v>613</v>
      </c>
      <c r="M273" s="865" t="s">
        <v>591</v>
      </c>
      <c r="N273" s="865" t="s">
        <v>667</v>
      </c>
      <c r="O273" s="866">
        <v>2004.0</v>
      </c>
      <c r="P273" s="865" t="s">
        <v>593</v>
      </c>
      <c r="Q273" s="865" t="s">
        <v>70</v>
      </c>
      <c r="R273" s="867">
        <v>65506.7028</v>
      </c>
      <c r="S273" s="867">
        <v>70715.15219</v>
      </c>
      <c r="T273" s="868">
        <v>60431.36837</v>
      </c>
      <c r="AN273" s="882"/>
      <c r="AO273" s="882"/>
      <c r="AP273" s="882"/>
      <c r="AY273" s="882"/>
      <c r="AZ273" s="882"/>
      <c r="BA273" s="882"/>
      <c r="BJ273" s="882"/>
      <c r="BK273" s="882"/>
      <c r="BL273" s="882"/>
      <c r="BU273" s="882"/>
      <c r="BV273" s="882"/>
      <c r="BW273" s="882"/>
      <c r="CF273" s="882"/>
      <c r="CG273" s="882"/>
      <c r="CH273" s="882"/>
      <c r="CI273" s="530"/>
    </row>
    <row r="274">
      <c r="A274" s="857"/>
      <c r="B274" s="865" t="s">
        <v>613</v>
      </c>
      <c r="C274" s="865" t="s">
        <v>591</v>
      </c>
      <c r="D274" s="865" t="s">
        <v>669</v>
      </c>
      <c r="E274" s="866">
        <v>2019.0</v>
      </c>
      <c r="F274" s="865" t="s">
        <v>593</v>
      </c>
      <c r="G274" s="865" t="s">
        <v>70</v>
      </c>
      <c r="H274" s="867">
        <v>59660.90217</v>
      </c>
      <c r="I274" s="867">
        <v>68814.38472</v>
      </c>
      <c r="J274" s="868">
        <v>50962.36299</v>
      </c>
      <c r="K274" s="50"/>
      <c r="L274" s="869" t="s">
        <v>613</v>
      </c>
      <c r="M274" s="865" t="s">
        <v>591</v>
      </c>
      <c r="N274" s="865" t="s">
        <v>669</v>
      </c>
      <c r="O274" s="866">
        <v>2004.0</v>
      </c>
      <c r="P274" s="865" t="s">
        <v>593</v>
      </c>
      <c r="Q274" s="865" t="s">
        <v>70</v>
      </c>
      <c r="R274" s="867">
        <v>42370.4761</v>
      </c>
      <c r="S274" s="867">
        <v>45739.36006</v>
      </c>
      <c r="T274" s="868">
        <v>39087.6924</v>
      </c>
      <c r="AN274" s="882"/>
      <c r="AO274" s="882"/>
      <c r="AP274" s="882"/>
      <c r="AY274" s="882"/>
      <c r="AZ274" s="882"/>
      <c r="BA274" s="882"/>
      <c r="BJ274" s="882"/>
      <c r="BK274" s="882"/>
      <c r="BL274" s="882"/>
      <c r="BU274" s="882"/>
      <c r="BV274" s="882"/>
      <c r="BW274" s="882"/>
      <c r="CF274" s="882"/>
      <c r="CG274" s="882"/>
      <c r="CH274" s="882"/>
      <c r="CI274" s="530"/>
    </row>
    <row r="275">
      <c r="A275" s="857"/>
      <c r="B275" s="865" t="s">
        <v>613</v>
      </c>
      <c r="C275" s="865" t="s">
        <v>591</v>
      </c>
      <c r="D275" s="865" t="s">
        <v>671</v>
      </c>
      <c r="E275" s="866">
        <v>2019.0</v>
      </c>
      <c r="F275" s="865" t="s">
        <v>593</v>
      </c>
      <c r="G275" s="865" t="s">
        <v>70</v>
      </c>
      <c r="H275" s="867">
        <v>36087.08127</v>
      </c>
      <c r="I275" s="867">
        <v>41628.72149</v>
      </c>
      <c r="J275" s="868">
        <v>30822.13003</v>
      </c>
      <c r="K275" s="50"/>
      <c r="L275" s="869" t="s">
        <v>613</v>
      </c>
      <c r="M275" s="865" t="s">
        <v>591</v>
      </c>
      <c r="N275" s="865" t="s">
        <v>671</v>
      </c>
      <c r="O275" s="866">
        <v>2004.0</v>
      </c>
      <c r="P275" s="865" t="s">
        <v>593</v>
      </c>
      <c r="Q275" s="865" t="s">
        <v>70</v>
      </c>
      <c r="R275" s="867">
        <v>23136.16813</v>
      </c>
      <c r="S275" s="867">
        <v>24976.47386</v>
      </c>
      <c r="T275" s="868">
        <v>21343.63788</v>
      </c>
      <c r="AN275" s="882"/>
      <c r="AO275" s="882"/>
      <c r="AP275" s="882"/>
      <c r="AY275" s="882"/>
      <c r="AZ275" s="882"/>
      <c r="BA275" s="882"/>
      <c r="BJ275" s="882"/>
      <c r="BK275" s="882"/>
      <c r="BL275" s="882"/>
      <c r="BU275" s="882"/>
      <c r="BV275" s="882"/>
      <c r="BW275" s="882"/>
      <c r="CF275" s="882"/>
      <c r="CG275" s="882"/>
      <c r="CH275" s="882"/>
      <c r="CI275" s="530"/>
    </row>
    <row r="276">
      <c r="A276" s="857"/>
      <c r="B276" s="865" t="s">
        <v>613</v>
      </c>
      <c r="C276" s="865" t="s">
        <v>591</v>
      </c>
      <c r="D276" s="865" t="s">
        <v>673</v>
      </c>
      <c r="E276" s="866">
        <v>2019.0</v>
      </c>
      <c r="F276" s="865" t="s">
        <v>593</v>
      </c>
      <c r="G276" s="865" t="s">
        <v>70</v>
      </c>
      <c r="H276" s="867">
        <v>25618.96216</v>
      </c>
      <c r="I276" s="867">
        <v>29549.55514</v>
      </c>
      <c r="J276" s="868">
        <v>21883.72622</v>
      </c>
      <c r="K276" s="50"/>
      <c r="L276" s="869" t="s">
        <v>613</v>
      </c>
      <c r="M276" s="865" t="s">
        <v>591</v>
      </c>
      <c r="N276" s="865" t="s">
        <v>673</v>
      </c>
      <c r="O276" s="866">
        <v>2004.0</v>
      </c>
      <c r="P276" s="865" t="s">
        <v>593</v>
      </c>
      <c r="Q276" s="865" t="s">
        <v>70</v>
      </c>
      <c r="R276" s="867">
        <v>16869.97539</v>
      </c>
      <c r="S276" s="867">
        <v>18211.31008</v>
      </c>
      <c r="T276" s="868">
        <v>15562.92187</v>
      </c>
      <c r="AN276" s="882"/>
      <c r="AO276" s="882"/>
      <c r="AP276" s="882"/>
      <c r="AY276" s="882"/>
      <c r="AZ276" s="882"/>
      <c r="BA276" s="882"/>
      <c r="BJ276" s="882"/>
      <c r="BK276" s="882"/>
      <c r="BL276" s="882"/>
      <c r="BU276" s="882"/>
      <c r="BV276" s="882"/>
      <c r="BW276" s="882"/>
      <c r="CF276" s="882"/>
      <c r="CG276" s="882"/>
      <c r="CH276" s="882"/>
      <c r="CI276" s="530"/>
    </row>
    <row r="277">
      <c r="A277" s="857"/>
      <c r="B277" s="865" t="s">
        <v>613</v>
      </c>
      <c r="C277" s="865" t="s">
        <v>591</v>
      </c>
      <c r="D277" s="865" t="s">
        <v>674</v>
      </c>
      <c r="E277" s="866">
        <v>2019.0</v>
      </c>
      <c r="F277" s="865" t="s">
        <v>593</v>
      </c>
      <c r="G277" s="865" t="s">
        <v>70</v>
      </c>
      <c r="H277" s="867">
        <v>8472.011193</v>
      </c>
      <c r="I277" s="867">
        <v>9771.830737</v>
      </c>
      <c r="J277" s="868">
        <v>7236.794852</v>
      </c>
      <c r="K277" s="50"/>
      <c r="L277" s="869" t="s">
        <v>613</v>
      </c>
      <c r="M277" s="865" t="s">
        <v>591</v>
      </c>
      <c r="N277" s="865" t="s">
        <v>674</v>
      </c>
      <c r="O277" s="866">
        <v>2004.0</v>
      </c>
      <c r="P277" s="865" t="s">
        <v>593</v>
      </c>
      <c r="Q277" s="865" t="s">
        <v>70</v>
      </c>
      <c r="R277" s="867">
        <v>5325.988304</v>
      </c>
      <c r="S277" s="867">
        <v>5749.458565</v>
      </c>
      <c r="T277" s="868">
        <v>4913.340886</v>
      </c>
      <c r="AN277" s="882"/>
      <c r="AO277" s="882"/>
      <c r="AP277" s="882"/>
      <c r="AY277" s="882"/>
      <c r="AZ277" s="882"/>
      <c r="BA277" s="882"/>
      <c r="BJ277" s="882"/>
      <c r="BK277" s="882"/>
      <c r="BL277" s="882"/>
      <c r="BU277" s="882"/>
      <c r="BV277" s="882"/>
      <c r="BW277" s="882"/>
      <c r="CF277" s="882"/>
      <c r="CG277" s="882"/>
      <c r="CH277" s="882"/>
      <c r="CI277" s="530"/>
    </row>
    <row r="278">
      <c r="A278" s="857"/>
      <c r="B278" s="865" t="s">
        <v>613</v>
      </c>
      <c r="C278" s="865" t="s">
        <v>591</v>
      </c>
      <c r="D278" s="865" t="s">
        <v>676</v>
      </c>
      <c r="E278" s="866">
        <v>2019.0</v>
      </c>
      <c r="F278" s="865" t="s">
        <v>593</v>
      </c>
      <c r="G278" s="865" t="s">
        <v>70</v>
      </c>
      <c r="H278" s="867">
        <v>1996.367253</v>
      </c>
      <c r="I278" s="867">
        <v>2302.660188</v>
      </c>
      <c r="J278" s="868">
        <v>1705.297589</v>
      </c>
      <c r="K278" s="50"/>
      <c r="L278" s="869" t="s">
        <v>613</v>
      </c>
      <c r="M278" s="865" t="s">
        <v>591</v>
      </c>
      <c r="N278" s="865" t="s">
        <v>676</v>
      </c>
      <c r="O278" s="866">
        <v>2004.0</v>
      </c>
      <c r="P278" s="865" t="s">
        <v>593</v>
      </c>
      <c r="Q278" s="865" t="s">
        <v>70</v>
      </c>
      <c r="R278" s="867">
        <v>940.2630065</v>
      </c>
      <c r="S278" s="867">
        <v>1015.023482</v>
      </c>
      <c r="T278" s="868">
        <v>867.4132217</v>
      </c>
      <c r="AN278" s="882"/>
      <c r="AO278" s="882"/>
      <c r="AP278" s="882"/>
      <c r="AY278" s="882"/>
      <c r="AZ278" s="882"/>
      <c r="BA278" s="882"/>
      <c r="BJ278" s="882"/>
      <c r="BK278" s="882"/>
      <c r="BL278" s="882"/>
      <c r="BU278" s="882"/>
      <c r="BV278" s="882"/>
      <c r="BW278" s="882"/>
      <c r="CF278" s="882"/>
      <c r="CG278" s="882"/>
      <c r="CH278" s="882"/>
      <c r="CI278" s="530"/>
    </row>
    <row r="279">
      <c r="A279" s="857"/>
      <c r="B279" s="865" t="s">
        <v>613</v>
      </c>
      <c r="C279" s="865" t="s">
        <v>591</v>
      </c>
      <c r="D279" s="865" t="s">
        <v>678</v>
      </c>
      <c r="E279" s="866">
        <v>2019.0</v>
      </c>
      <c r="F279" s="865" t="s">
        <v>593</v>
      </c>
      <c r="G279" s="865" t="s">
        <v>70</v>
      </c>
      <c r="H279" s="867">
        <v>2.269177325E7</v>
      </c>
      <c r="I279" s="867">
        <v>2.617326185E7</v>
      </c>
      <c r="J279" s="868">
        <v>1.938332045E7</v>
      </c>
      <c r="K279" s="50"/>
      <c r="L279" s="869" t="s">
        <v>613</v>
      </c>
      <c r="M279" s="865" t="s">
        <v>591</v>
      </c>
      <c r="N279" s="865" t="s">
        <v>678</v>
      </c>
      <c r="O279" s="866">
        <v>2004.0</v>
      </c>
      <c r="P279" s="865" t="s">
        <v>593</v>
      </c>
      <c r="Q279" s="865" t="s">
        <v>70</v>
      </c>
      <c r="R279" s="867">
        <v>1.395818059E7</v>
      </c>
      <c r="S279" s="867">
        <v>1.506799796E7</v>
      </c>
      <c r="T279" s="868">
        <v>1.287672737E7</v>
      </c>
      <c r="AN279" s="882"/>
      <c r="AO279" s="882"/>
      <c r="AP279" s="882"/>
      <c r="AY279" s="882"/>
      <c r="AZ279" s="882"/>
      <c r="BA279" s="882"/>
      <c r="BJ279" s="882"/>
      <c r="BK279" s="882"/>
      <c r="BL279" s="882"/>
      <c r="BU279" s="882"/>
      <c r="BV279" s="882"/>
      <c r="BW279" s="882"/>
      <c r="CF279" s="882"/>
      <c r="CG279" s="882"/>
      <c r="CH279" s="882"/>
      <c r="CI279" s="530"/>
    </row>
    <row r="280">
      <c r="A280" s="857"/>
      <c r="B280" s="865" t="s">
        <v>613</v>
      </c>
      <c r="C280" s="865" t="s">
        <v>591</v>
      </c>
      <c r="D280" s="865" t="s">
        <v>680</v>
      </c>
      <c r="E280" s="866">
        <v>2019.0</v>
      </c>
      <c r="F280" s="865" t="s">
        <v>593</v>
      </c>
      <c r="G280" s="865" t="s">
        <v>70</v>
      </c>
      <c r="H280" s="867">
        <v>937301.375</v>
      </c>
      <c r="I280" s="867">
        <v>1007698.959</v>
      </c>
      <c r="J280" s="868">
        <v>873520.691</v>
      </c>
      <c r="K280" s="50"/>
      <c r="L280" s="869" t="s">
        <v>613</v>
      </c>
      <c r="M280" s="865" t="s">
        <v>591</v>
      </c>
      <c r="N280" s="865" t="s">
        <v>680</v>
      </c>
      <c r="O280" s="866">
        <v>2004.0</v>
      </c>
      <c r="P280" s="865" t="s">
        <v>593</v>
      </c>
      <c r="Q280" s="865" t="s">
        <v>70</v>
      </c>
      <c r="R280" s="867">
        <v>636297.5908</v>
      </c>
      <c r="S280" s="867">
        <v>655563.3096</v>
      </c>
      <c r="T280" s="868">
        <v>616349.9631</v>
      </c>
      <c r="AN280" s="882"/>
      <c r="AO280" s="882"/>
      <c r="AP280" s="882"/>
      <c r="AY280" s="882"/>
      <c r="AZ280" s="882"/>
      <c r="BA280" s="882"/>
      <c r="BJ280" s="882"/>
      <c r="BK280" s="882"/>
      <c r="BL280" s="882"/>
      <c r="BU280" s="882"/>
      <c r="BV280" s="882"/>
      <c r="BW280" s="882"/>
      <c r="CF280" s="882"/>
      <c r="CG280" s="882"/>
      <c r="CH280" s="882"/>
      <c r="CI280" s="530"/>
    </row>
    <row r="281">
      <c r="A281" s="857"/>
      <c r="B281" s="865" t="s">
        <v>613</v>
      </c>
      <c r="C281" s="865" t="s">
        <v>591</v>
      </c>
      <c r="D281" s="865" t="s">
        <v>682</v>
      </c>
      <c r="E281" s="866">
        <v>2019.0</v>
      </c>
      <c r="F281" s="865" t="s">
        <v>593</v>
      </c>
      <c r="G281" s="865" t="s">
        <v>70</v>
      </c>
      <c r="H281" s="867">
        <v>17843.64549</v>
      </c>
      <c r="I281" s="867">
        <v>20581.30938</v>
      </c>
      <c r="J281" s="868">
        <v>15242.04807</v>
      </c>
      <c r="K281" s="50"/>
      <c r="L281" s="869" t="s">
        <v>613</v>
      </c>
      <c r="M281" s="865" t="s">
        <v>591</v>
      </c>
      <c r="N281" s="865" t="s">
        <v>682</v>
      </c>
      <c r="O281" s="866">
        <v>2004.0</v>
      </c>
      <c r="P281" s="865" t="s">
        <v>593</v>
      </c>
      <c r="Q281" s="865" t="s">
        <v>70</v>
      </c>
      <c r="R281" s="867">
        <v>12149.41935</v>
      </c>
      <c r="S281" s="867">
        <v>13115.4218</v>
      </c>
      <c r="T281" s="868">
        <v>11208.1055</v>
      </c>
      <c r="AN281" s="882"/>
      <c r="AO281" s="882"/>
      <c r="AP281" s="882"/>
      <c r="AY281" s="882"/>
      <c r="AZ281" s="882"/>
      <c r="BA281" s="882"/>
      <c r="BJ281" s="882"/>
      <c r="BK281" s="882"/>
      <c r="BL281" s="882"/>
      <c r="BU281" s="882"/>
      <c r="BV281" s="882"/>
      <c r="BW281" s="882"/>
      <c r="CF281" s="882"/>
      <c r="CG281" s="882"/>
      <c r="CH281" s="882"/>
      <c r="CI281" s="530"/>
    </row>
    <row r="282">
      <c r="A282" s="857"/>
      <c r="B282" s="865" t="s">
        <v>613</v>
      </c>
      <c r="C282" s="865" t="s">
        <v>591</v>
      </c>
      <c r="D282" s="865" t="s">
        <v>684</v>
      </c>
      <c r="E282" s="866">
        <v>2019.0</v>
      </c>
      <c r="F282" s="865" t="s">
        <v>593</v>
      </c>
      <c r="G282" s="865" t="s">
        <v>70</v>
      </c>
      <c r="H282" s="867">
        <v>52689.90459</v>
      </c>
      <c r="I282" s="867">
        <v>60773.86084</v>
      </c>
      <c r="J282" s="868">
        <v>45007.73449</v>
      </c>
      <c r="K282" s="50"/>
      <c r="L282" s="869" t="s">
        <v>613</v>
      </c>
      <c r="M282" s="865" t="s">
        <v>591</v>
      </c>
      <c r="N282" s="865" t="s">
        <v>684</v>
      </c>
      <c r="O282" s="866">
        <v>2004.0</v>
      </c>
      <c r="P282" s="865" t="s">
        <v>593</v>
      </c>
      <c r="Q282" s="865" t="s">
        <v>70</v>
      </c>
      <c r="R282" s="867">
        <v>35756.15636</v>
      </c>
      <c r="S282" s="867">
        <v>38599.1346</v>
      </c>
      <c r="T282" s="868">
        <v>32985.83755</v>
      </c>
      <c r="AN282" s="882"/>
      <c r="AO282" s="882"/>
      <c r="AP282" s="882"/>
      <c r="AY282" s="882"/>
      <c r="AZ282" s="882"/>
      <c r="BA282" s="882"/>
      <c r="BJ282" s="882"/>
      <c r="BK282" s="882"/>
      <c r="BL282" s="882"/>
      <c r="BU282" s="882"/>
      <c r="BV282" s="882"/>
      <c r="BW282" s="882"/>
      <c r="CF282" s="882"/>
      <c r="CG282" s="882"/>
      <c r="CH282" s="882"/>
      <c r="CI282" s="530"/>
    </row>
    <row r="283">
      <c r="A283" s="857"/>
      <c r="B283" s="865" t="s">
        <v>613</v>
      </c>
      <c r="C283" s="865" t="s">
        <v>591</v>
      </c>
      <c r="D283" s="865" t="s">
        <v>686</v>
      </c>
      <c r="E283" s="866">
        <v>2019.0</v>
      </c>
      <c r="F283" s="865" t="s">
        <v>593</v>
      </c>
      <c r="G283" s="865" t="s">
        <v>70</v>
      </c>
      <c r="H283" s="867">
        <v>70533.55008</v>
      </c>
      <c r="I283" s="867">
        <v>81355.17022</v>
      </c>
      <c r="J283" s="868">
        <v>60249.78256</v>
      </c>
      <c r="K283" s="50"/>
      <c r="L283" s="869" t="s">
        <v>613</v>
      </c>
      <c r="M283" s="865" t="s">
        <v>591</v>
      </c>
      <c r="N283" s="865" t="s">
        <v>686</v>
      </c>
      <c r="O283" s="866">
        <v>2004.0</v>
      </c>
      <c r="P283" s="865" t="s">
        <v>593</v>
      </c>
      <c r="Q283" s="865" t="s">
        <v>70</v>
      </c>
      <c r="R283" s="867">
        <v>47905.57571</v>
      </c>
      <c r="S283" s="867">
        <v>51714.55641</v>
      </c>
      <c r="T283" s="868">
        <v>44193.94305</v>
      </c>
      <c r="AN283" s="882"/>
      <c r="AO283" s="882"/>
      <c r="AP283" s="882"/>
      <c r="AY283" s="882"/>
      <c r="AZ283" s="882"/>
      <c r="BA283" s="882"/>
      <c r="BJ283" s="882"/>
      <c r="BK283" s="882"/>
      <c r="BL283" s="882"/>
      <c r="BU283" s="882"/>
      <c r="BV283" s="882"/>
      <c r="BW283" s="882"/>
      <c r="CF283" s="882"/>
      <c r="CG283" s="882"/>
      <c r="CH283" s="882"/>
      <c r="CI283" s="530"/>
    </row>
    <row r="284">
      <c r="A284" s="857"/>
      <c r="B284" s="865" t="s">
        <v>613</v>
      </c>
      <c r="C284" s="865" t="s">
        <v>591</v>
      </c>
      <c r="D284" s="865" t="s">
        <v>688</v>
      </c>
      <c r="E284" s="866">
        <v>2019.0</v>
      </c>
      <c r="F284" s="865" t="s">
        <v>593</v>
      </c>
      <c r="G284" s="865" t="s">
        <v>70</v>
      </c>
      <c r="H284" s="867">
        <v>814604.0272</v>
      </c>
      <c r="I284" s="867">
        <v>939584.768</v>
      </c>
      <c r="J284" s="868">
        <v>695835.038</v>
      </c>
      <c r="K284" s="50"/>
      <c r="L284" s="869" t="s">
        <v>613</v>
      </c>
      <c r="M284" s="865" t="s">
        <v>591</v>
      </c>
      <c r="N284" s="865" t="s">
        <v>688</v>
      </c>
      <c r="O284" s="866">
        <v>2004.0</v>
      </c>
      <c r="P284" s="865" t="s">
        <v>593</v>
      </c>
      <c r="Q284" s="865" t="s">
        <v>70</v>
      </c>
      <c r="R284" s="867">
        <v>549043.8902</v>
      </c>
      <c r="S284" s="867">
        <v>592698.4659</v>
      </c>
      <c r="T284" s="868">
        <v>506505.0165</v>
      </c>
      <c r="AN284" s="882"/>
      <c r="AO284" s="882"/>
      <c r="AP284" s="882"/>
      <c r="AY284" s="882"/>
      <c r="AZ284" s="882"/>
      <c r="BA284" s="882"/>
      <c r="BJ284" s="882"/>
      <c r="BK284" s="882"/>
      <c r="BL284" s="882"/>
      <c r="BU284" s="882"/>
      <c r="BV284" s="882"/>
      <c r="BW284" s="882"/>
      <c r="CF284" s="882"/>
      <c r="CG284" s="882"/>
      <c r="CH284" s="882"/>
      <c r="CI284" s="530"/>
    </row>
    <row r="285">
      <c r="A285" s="857"/>
      <c r="B285" s="865" t="s">
        <v>613</v>
      </c>
      <c r="C285" s="865" t="s">
        <v>591</v>
      </c>
      <c r="D285" s="865" t="s">
        <v>689</v>
      </c>
      <c r="E285" s="866">
        <v>2019.0</v>
      </c>
      <c r="F285" s="865" t="s">
        <v>593</v>
      </c>
      <c r="G285" s="865" t="s">
        <v>70</v>
      </c>
      <c r="H285" s="867">
        <v>4044957.311</v>
      </c>
      <c r="I285" s="867">
        <v>4665555.472</v>
      </c>
      <c r="J285" s="868">
        <v>3455203.915</v>
      </c>
      <c r="K285" s="50"/>
      <c r="L285" s="869" t="s">
        <v>613</v>
      </c>
      <c r="M285" s="865" t="s">
        <v>591</v>
      </c>
      <c r="N285" s="865" t="s">
        <v>689</v>
      </c>
      <c r="O285" s="866">
        <v>2004.0</v>
      </c>
      <c r="P285" s="865" t="s">
        <v>593</v>
      </c>
      <c r="Q285" s="865" t="s">
        <v>70</v>
      </c>
      <c r="R285" s="867">
        <v>2661966.787</v>
      </c>
      <c r="S285" s="867">
        <v>2873620.231</v>
      </c>
      <c r="T285" s="868">
        <v>2455722.676</v>
      </c>
      <c r="AN285" s="882"/>
      <c r="AO285" s="882"/>
      <c r="AP285" s="882"/>
      <c r="AY285" s="882"/>
      <c r="AZ285" s="882"/>
      <c r="BA285" s="882"/>
      <c r="BJ285" s="882"/>
      <c r="BK285" s="882"/>
      <c r="BL285" s="882"/>
      <c r="BU285" s="882"/>
      <c r="BV285" s="882"/>
      <c r="BW285" s="882"/>
      <c r="CF285" s="882"/>
      <c r="CG285" s="882"/>
      <c r="CH285" s="882"/>
      <c r="CI285" s="530"/>
    </row>
    <row r="286">
      <c r="A286" s="857"/>
      <c r="B286" s="865" t="s">
        <v>615</v>
      </c>
      <c r="C286" s="865" t="s">
        <v>591</v>
      </c>
      <c r="D286" s="865" t="s">
        <v>592</v>
      </c>
      <c r="E286" s="866">
        <v>2019.0</v>
      </c>
      <c r="F286" s="865" t="s">
        <v>593</v>
      </c>
      <c r="G286" s="865" t="s">
        <v>70</v>
      </c>
      <c r="H286" s="867">
        <v>443511.8373</v>
      </c>
      <c r="I286" s="867">
        <v>502886.5196</v>
      </c>
      <c r="J286" s="868">
        <v>382946.1443</v>
      </c>
      <c r="K286" s="50"/>
      <c r="L286" s="869" t="s">
        <v>615</v>
      </c>
      <c r="M286" s="865" t="s">
        <v>591</v>
      </c>
      <c r="N286" s="865" t="s">
        <v>592</v>
      </c>
      <c r="O286" s="866">
        <v>2004.0</v>
      </c>
      <c r="P286" s="865" t="s">
        <v>593</v>
      </c>
      <c r="Q286" s="865" t="s">
        <v>70</v>
      </c>
      <c r="R286" s="867">
        <v>279850.5218</v>
      </c>
      <c r="S286" s="867">
        <v>306318.6735</v>
      </c>
      <c r="T286" s="868">
        <v>253500.5433</v>
      </c>
      <c r="AN286" s="882"/>
      <c r="AO286" s="882"/>
      <c r="AP286" s="882"/>
      <c r="AY286" s="882"/>
      <c r="AZ286" s="882"/>
      <c r="BA286" s="882"/>
      <c r="BJ286" s="882"/>
      <c r="BK286" s="882"/>
      <c r="BL286" s="882"/>
      <c r="BU286" s="882"/>
      <c r="BV286" s="882"/>
      <c r="BW286" s="882"/>
      <c r="CF286" s="882"/>
      <c r="CG286" s="882"/>
      <c r="CH286" s="882"/>
      <c r="CI286" s="530"/>
    </row>
    <row r="287">
      <c r="A287" s="857"/>
      <c r="B287" s="865" t="s">
        <v>615</v>
      </c>
      <c r="C287" s="865" t="s">
        <v>591</v>
      </c>
      <c r="D287" s="865" t="s">
        <v>601</v>
      </c>
      <c r="E287" s="866">
        <v>2019.0</v>
      </c>
      <c r="F287" s="865" t="s">
        <v>593</v>
      </c>
      <c r="G287" s="865" t="s">
        <v>70</v>
      </c>
      <c r="H287" s="867">
        <v>6660217.153</v>
      </c>
      <c r="I287" s="867">
        <v>7551846.743</v>
      </c>
      <c r="J287" s="868">
        <v>5750702.157</v>
      </c>
      <c r="K287" s="50"/>
      <c r="L287" s="869" t="s">
        <v>615</v>
      </c>
      <c r="M287" s="865" t="s">
        <v>591</v>
      </c>
      <c r="N287" s="865" t="s">
        <v>601</v>
      </c>
      <c r="O287" s="866">
        <v>2004.0</v>
      </c>
      <c r="P287" s="865" t="s">
        <v>593</v>
      </c>
      <c r="Q287" s="865" t="s">
        <v>70</v>
      </c>
      <c r="R287" s="867">
        <v>4148709.507</v>
      </c>
      <c r="S287" s="867">
        <v>4541092.813</v>
      </c>
      <c r="T287" s="868">
        <v>3758078.089</v>
      </c>
      <c r="AN287" s="882"/>
      <c r="AO287" s="882"/>
      <c r="AP287" s="882"/>
      <c r="AY287" s="882"/>
      <c r="AZ287" s="882"/>
      <c r="BA287" s="882"/>
      <c r="BJ287" s="882"/>
      <c r="BK287" s="882"/>
      <c r="BL287" s="882"/>
      <c r="BU287" s="882"/>
      <c r="BV287" s="882"/>
      <c r="BW287" s="882"/>
      <c r="CF287" s="882"/>
      <c r="CG287" s="882"/>
      <c r="CH287" s="882"/>
      <c r="CI287" s="530"/>
    </row>
    <row r="288">
      <c r="A288" s="857"/>
      <c r="B288" s="865" t="s">
        <v>615</v>
      </c>
      <c r="C288" s="865" t="s">
        <v>591</v>
      </c>
      <c r="D288" s="865" t="s">
        <v>606</v>
      </c>
      <c r="E288" s="866">
        <v>2019.0</v>
      </c>
      <c r="F288" s="865" t="s">
        <v>593</v>
      </c>
      <c r="G288" s="865" t="s">
        <v>70</v>
      </c>
      <c r="H288" s="867">
        <v>5401386.455</v>
      </c>
      <c r="I288" s="867">
        <v>6124491.404</v>
      </c>
      <c r="J288" s="868">
        <v>4663776.574</v>
      </c>
      <c r="K288" s="50"/>
      <c r="L288" s="869" t="s">
        <v>615</v>
      </c>
      <c r="M288" s="865" t="s">
        <v>591</v>
      </c>
      <c r="N288" s="865" t="s">
        <v>606</v>
      </c>
      <c r="O288" s="866">
        <v>2004.0</v>
      </c>
      <c r="P288" s="865" t="s">
        <v>593</v>
      </c>
      <c r="Q288" s="865" t="s">
        <v>70</v>
      </c>
      <c r="R288" s="867">
        <v>3315297.449</v>
      </c>
      <c r="S288" s="867">
        <v>3628856.972</v>
      </c>
      <c r="T288" s="868">
        <v>3003137.887</v>
      </c>
      <c r="AN288" s="882"/>
      <c r="AO288" s="882"/>
      <c r="AP288" s="882"/>
      <c r="AY288" s="882"/>
      <c r="AZ288" s="882"/>
      <c r="BA288" s="882"/>
      <c r="BJ288" s="882"/>
      <c r="BK288" s="882"/>
      <c r="BL288" s="882"/>
      <c r="BU288" s="882"/>
      <c r="BV288" s="882"/>
      <c r="BW288" s="882"/>
      <c r="CF288" s="882"/>
      <c r="CG288" s="882"/>
      <c r="CH288" s="882"/>
      <c r="CI288" s="530"/>
    </row>
    <row r="289">
      <c r="A289" s="857"/>
      <c r="B289" s="865" t="s">
        <v>615</v>
      </c>
      <c r="C289" s="865" t="s">
        <v>591</v>
      </c>
      <c r="D289" s="865" t="s">
        <v>608</v>
      </c>
      <c r="E289" s="866">
        <v>2019.0</v>
      </c>
      <c r="F289" s="865" t="s">
        <v>593</v>
      </c>
      <c r="G289" s="865" t="s">
        <v>70</v>
      </c>
      <c r="H289" s="867">
        <v>1635459.193</v>
      </c>
      <c r="I289" s="867">
        <v>1854404.578</v>
      </c>
      <c r="J289" s="868">
        <v>1412121.931</v>
      </c>
      <c r="K289" s="50"/>
      <c r="L289" s="869" t="s">
        <v>615</v>
      </c>
      <c r="M289" s="865" t="s">
        <v>591</v>
      </c>
      <c r="N289" s="865" t="s">
        <v>608</v>
      </c>
      <c r="O289" s="866">
        <v>2004.0</v>
      </c>
      <c r="P289" s="865" t="s">
        <v>593</v>
      </c>
      <c r="Q289" s="865" t="s">
        <v>70</v>
      </c>
      <c r="R289" s="867">
        <v>977587.1125</v>
      </c>
      <c r="S289" s="867">
        <v>1070046.915</v>
      </c>
      <c r="T289" s="868">
        <v>885540.1182</v>
      </c>
      <c r="AN289" s="882"/>
      <c r="AO289" s="882"/>
      <c r="AP289" s="882"/>
      <c r="AY289" s="882"/>
      <c r="AZ289" s="882"/>
      <c r="BA289" s="882"/>
      <c r="BJ289" s="882"/>
      <c r="BK289" s="882"/>
      <c r="BL289" s="882"/>
      <c r="BU289" s="882"/>
      <c r="BV289" s="882"/>
      <c r="BW289" s="882"/>
      <c r="CF289" s="882"/>
      <c r="CG289" s="882"/>
      <c r="CH289" s="882"/>
      <c r="CI289" s="530"/>
    </row>
    <row r="290">
      <c r="A290" s="857"/>
      <c r="B290" s="865" t="s">
        <v>615</v>
      </c>
      <c r="C290" s="865" t="s">
        <v>591</v>
      </c>
      <c r="D290" s="865" t="s">
        <v>610</v>
      </c>
      <c r="E290" s="866">
        <v>2019.0</v>
      </c>
      <c r="F290" s="865" t="s">
        <v>593</v>
      </c>
      <c r="G290" s="865" t="s">
        <v>70</v>
      </c>
      <c r="H290" s="867">
        <v>1533188.107</v>
      </c>
      <c r="I290" s="867">
        <v>1738442.057</v>
      </c>
      <c r="J290" s="868">
        <v>1323816.919</v>
      </c>
      <c r="K290" s="50"/>
      <c r="L290" s="869" t="s">
        <v>615</v>
      </c>
      <c r="M290" s="865" t="s">
        <v>591</v>
      </c>
      <c r="N290" s="865" t="s">
        <v>610</v>
      </c>
      <c r="O290" s="866">
        <v>2004.0</v>
      </c>
      <c r="P290" s="865" t="s">
        <v>593</v>
      </c>
      <c r="Q290" s="865" t="s">
        <v>70</v>
      </c>
      <c r="R290" s="867">
        <v>986709.2439</v>
      </c>
      <c r="S290" s="867">
        <v>1080031.814</v>
      </c>
      <c r="T290" s="868">
        <v>893803.3341</v>
      </c>
      <c r="AN290" s="882"/>
      <c r="AO290" s="882"/>
      <c r="AP290" s="882"/>
      <c r="AY290" s="882"/>
      <c r="AZ290" s="882"/>
      <c r="BA290" s="882"/>
      <c r="BJ290" s="882"/>
      <c r="BK290" s="882"/>
      <c r="BL290" s="882"/>
      <c r="BU290" s="882"/>
      <c r="BV290" s="882"/>
      <c r="BW290" s="882"/>
      <c r="CF290" s="882"/>
      <c r="CG290" s="882"/>
      <c r="CH290" s="882"/>
      <c r="CI290" s="530"/>
    </row>
    <row r="291">
      <c r="A291" s="857"/>
      <c r="B291" s="865" t="s">
        <v>615</v>
      </c>
      <c r="C291" s="865" t="s">
        <v>591</v>
      </c>
      <c r="D291" s="865" t="s">
        <v>612</v>
      </c>
      <c r="E291" s="866">
        <v>2019.0</v>
      </c>
      <c r="F291" s="865" t="s">
        <v>593</v>
      </c>
      <c r="G291" s="865" t="s">
        <v>70</v>
      </c>
      <c r="H291" s="867">
        <v>2792018.805</v>
      </c>
      <c r="I291" s="867">
        <v>3165797.396</v>
      </c>
      <c r="J291" s="868">
        <v>2410742.502</v>
      </c>
      <c r="K291" s="50"/>
      <c r="L291" s="869" t="s">
        <v>615</v>
      </c>
      <c r="M291" s="865" t="s">
        <v>591</v>
      </c>
      <c r="N291" s="865" t="s">
        <v>612</v>
      </c>
      <c r="O291" s="866">
        <v>2004.0</v>
      </c>
      <c r="P291" s="865" t="s">
        <v>593</v>
      </c>
      <c r="Q291" s="865" t="s">
        <v>70</v>
      </c>
      <c r="R291" s="867">
        <v>1820121.302</v>
      </c>
      <c r="S291" s="867">
        <v>1992267.655</v>
      </c>
      <c r="T291" s="868">
        <v>1648743.536</v>
      </c>
      <c r="AN291" s="882"/>
      <c r="AO291" s="882"/>
      <c r="AP291" s="882"/>
      <c r="AY291" s="882"/>
      <c r="AZ291" s="882"/>
      <c r="BA291" s="882"/>
      <c r="BJ291" s="882"/>
      <c r="BK291" s="882"/>
      <c r="BL291" s="882"/>
      <c r="BU291" s="882"/>
      <c r="BV291" s="882"/>
      <c r="BW291" s="882"/>
      <c r="CF291" s="882"/>
      <c r="CG291" s="882"/>
      <c r="CH291" s="882"/>
      <c r="CI291" s="530"/>
    </row>
    <row r="292">
      <c r="A292" s="857"/>
      <c r="B292" s="865" t="s">
        <v>615</v>
      </c>
      <c r="C292" s="865" t="s">
        <v>591</v>
      </c>
      <c r="D292" s="865" t="s">
        <v>614</v>
      </c>
      <c r="E292" s="866">
        <v>2019.0</v>
      </c>
      <c r="F292" s="865" t="s">
        <v>593</v>
      </c>
      <c r="G292" s="865" t="s">
        <v>70</v>
      </c>
      <c r="H292" s="867">
        <v>3832376.882</v>
      </c>
      <c r="I292" s="867">
        <v>4345432.32</v>
      </c>
      <c r="J292" s="868">
        <v>3309029.945</v>
      </c>
      <c r="K292" s="50"/>
      <c r="L292" s="869" t="s">
        <v>615</v>
      </c>
      <c r="M292" s="865" t="s">
        <v>591</v>
      </c>
      <c r="N292" s="865" t="s">
        <v>614</v>
      </c>
      <c r="O292" s="866">
        <v>2004.0</v>
      </c>
      <c r="P292" s="865" t="s">
        <v>593</v>
      </c>
      <c r="Q292" s="865" t="s">
        <v>70</v>
      </c>
      <c r="R292" s="867">
        <v>2451880.527</v>
      </c>
      <c r="S292" s="867">
        <v>2683778.418</v>
      </c>
      <c r="T292" s="868">
        <v>2221017.998</v>
      </c>
      <c r="AN292" s="882"/>
      <c r="AO292" s="882"/>
      <c r="AP292" s="882"/>
      <c r="AY292" s="882"/>
      <c r="AZ292" s="882"/>
      <c r="BA292" s="882"/>
      <c r="BJ292" s="882"/>
      <c r="BK292" s="882"/>
      <c r="BL292" s="882"/>
      <c r="BU292" s="882"/>
      <c r="BV292" s="882"/>
      <c r="BW292" s="882"/>
      <c r="CF292" s="882"/>
      <c r="CG292" s="882"/>
      <c r="CH292" s="882"/>
      <c r="CI292" s="530"/>
    </row>
    <row r="293">
      <c r="A293" s="857"/>
      <c r="B293" s="865" t="s">
        <v>615</v>
      </c>
      <c r="C293" s="865" t="s">
        <v>591</v>
      </c>
      <c r="D293" s="865" t="s">
        <v>616</v>
      </c>
      <c r="E293" s="866">
        <v>2019.0</v>
      </c>
      <c r="F293" s="865" t="s">
        <v>593</v>
      </c>
      <c r="G293" s="865" t="s">
        <v>70</v>
      </c>
      <c r="H293" s="867">
        <v>1258830.699</v>
      </c>
      <c r="I293" s="867">
        <v>1427355.339</v>
      </c>
      <c r="J293" s="868">
        <v>1086925.583</v>
      </c>
      <c r="K293" s="50"/>
      <c r="L293" s="869" t="s">
        <v>615</v>
      </c>
      <c r="M293" s="865" t="s">
        <v>591</v>
      </c>
      <c r="N293" s="865" t="s">
        <v>616</v>
      </c>
      <c r="O293" s="866">
        <v>2004.0</v>
      </c>
      <c r="P293" s="865" t="s">
        <v>593</v>
      </c>
      <c r="Q293" s="865" t="s">
        <v>70</v>
      </c>
      <c r="R293" s="867">
        <v>833412.0577</v>
      </c>
      <c r="S293" s="867">
        <v>912235.8408</v>
      </c>
      <c r="T293" s="868">
        <v>754940.2019</v>
      </c>
      <c r="AN293" s="882"/>
      <c r="AO293" s="882"/>
      <c r="AP293" s="882"/>
      <c r="AY293" s="882"/>
      <c r="AZ293" s="882"/>
      <c r="BA293" s="882"/>
      <c r="BJ293" s="882"/>
      <c r="BK293" s="882"/>
      <c r="BL293" s="882"/>
      <c r="BU293" s="882"/>
      <c r="BV293" s="882"/>
      <c r="BW293" s="882"/>
      <c r="CF293" s="882"/>
      <c r="CG293" s="882"/>
      <c r="CH293" s="882"/>
      <c r="CI293" s="530"/>
    </row>
    <row r="294">
      <c r="A294" s="857"/>
      <c r="B294" s="865" t="s">
        <v>615</v>
      </c>
      <c r="C294" s="865" t="s">
        <v>591</v>
      </c>
      <c r="D294" s="865" t="s">
        <v>618</v>
      </c>
      <c r="E294" s="866">
        <v>2019.0</v>
      </c>
      <c r="F294" s="865" t="s">
        <v>593</v>
      </c>
      <c r="G294" s="865" t="s">
        <v>70</v>
      </c>
      <c r="H294" s="867">
        <v>4620458.231</v>
      </c>
      <c r="I294" s="867">
        <v>5239645.443</v>
      </c>
      <c r="J294" s="868">
        <v>3989705.377</v>
      </c>
      <c r="K294" s="50"/>
      <c r="L294" s="869" t="s">
        <v>615</v>
      </c>
      <c r="M294" s="865" t="s">
        <v>591</v>
      </c>
      <c r="N294" s="865" t="s">
        <v>618</v>
      </c>
      <c r="O294" s="866">
        <v>2004.0</v>
      </c>
      <c r="P294" s="865" t="s">
        <v>593</v>
      </c>
      <c r="Q294" s="865" t="s">
        <v>70</v>
      </c>
      <c r="R294" s="867">
        <v>2648665.7</v>
      </c>
      <c r="S294" s="867">
        <v>2899483.578</v>
      </c>
      <c r="T294" s="868">
        <v>2399474.875</v>
      </c>
      <c r="AN294" s="882"/>
      <c r="AO294" s="882"/>
      <c r="AP294" s="882"/>
      <c r="AY294" s="882"/>
      <c r="AZ294" s="882"/>
      <c r="BA294" s="882"/>
      <c r="BJ294" s="882"/>
      <c r="BK294" s="882"/>
      <c r="BL294" s="882"/>
      <c r="BU294" s="882"/>
      <c r="BV294" s="882"/>
      <c r="BW294" s="882"/>
      <c r="CF294" s="882"/>
      <c r="CG294" s="882"/>
      <c r="CH294" s="882"/>
      <c r="CI294" s="530"/>
    </row>
    <row r="295">
      <c r="A295" s="857"/>
      <c r="B295" s="865" t="s">
        <v>615</v>
      </c>
      <c r="C295" s="865" t="s">
        <v>591</v>
      </c>
      <c r="D295" s="865" t="s">
        <v>620</v>
      </c>
      <c r="E295" s="866">
        <v>2019.0</v>
      </c>
      <c r="F295" s="865" t="s">
        <v>593</v>
      </c>
      <c r="G295" s="865" t="s">
        <v>70</v>
      </c>
      <c r="H295" s="867">
        <v>5480856.71</v>
      </c>
      <c r="I295" s="867">
        <v>6214600.657</v>
      </c>
      <c r="J295" s="868">
        <v>4732394.422</v>
      </c>
      <c r="K295" s="50"/>
      <c r="L295" s="869" t="s">
        <v>615</v>
      </c>
      <c r="M295" s="865" t="s">
        <v>591</v>
      </c>
      <c r="N295" s="865" t="s">
        <v>620</v>
      </c>
      <c r="O295" s="866">
        <v>2004.0</v>
      </c>
      <c r="P295" s="865" t="s">
        <v>593</v>
      </c>
      <c r="Q295" s="865" t="s">
        <v>70</v>
      </c>
      <c r="R295" s="867">
        <v>3201728.418</v>
      </c>
      <c r="S295" s="867">
        <v>3504546.627</v>
      </c>
      <c r="T295" s="868">
        <v>2900262.213</v>
      </c>
      <c r="AN295" s="882"/>
      <c r="AO295" s="882"/>
      <c r="AP295" s="882"/>
      <c r="AY295" s="882"/>
      <c r="AZ295" s="882"/>
      <c r="BA295" s="882"/>
      <c r="BJ295" s="882"/>
      <c r="BK295" s="882"/>
      <c r="BL295" s="882"/>
      <c r="BU295" s="882"/>
      <c r="BV295" s="882"/>
      <c r="BW295" s="882"/>
      <c r="CF295" s="882"/>
      <c r="CG295" s="882"/>
      <c r="CH295" s="882"/>
      <c r="CI295" s="530"/>
    </row>
    <row r="296">
      <c r="A296" s="857"/>
      <c r="B296" s="865" t="s">
        <v>615</v>
      </c>
      <c r="C296" s="865" t="s">
        <v>591</v>
      </c>
      <c r="D296" s="865" t="s">
        <v>622</v>
      </c>
      <c r="E296" s="866">
        <v>2019.0</v>
      </c>
      <c r="F296" s="865" t="s">
        <v>593</v>
      </c>
      <c r="G296" s="865" t="s">
        <v>70</v>
      </c>
      <c r="H296" s="867">
        <v>5273515.995</v>
      </c>
      <c r="I296" s="867">
        <v>5980219.422</v>
      </c>
      <c r="J296" s="868">
        <v>4553612.234</v>
      </c>
      <c r="K296" s="50"/>
      <c r="L296" s="869" t="s">
        <v>615</v>
      </c>
      <c r="M296" s="865" t="s">
        <v>591</v>
      </c>
      <c r="N296" s="865" t="s">
        <v>622</v>
      </c>
      <c r="O296" s="866">
        <v>2004.0</v>
      </c>
      <c r="P296" s="865" t="s">
        <v>593</v>
      </c>
      <c r="Q296" s="865" t="s">
        <v>70</v>
      </c>
      <c r="R296" s="867">
        <v>2960816.522</v>
      </c>
      <c r="S296" s="867">
        <v>3241193.815</v>
      </c>
      <c r="T296" s="868">
        <v>2682258.035</v>
      </c>
      <c r="AN296" s="882"/>
      <c r="AO296" s="882"/>
      <c r="AP296" s="882"/>
      <c r="AY296" s="882"/>
      <c r="AZ296" s="882"/>
      <c r="BA296" s="882"/>
      <c r="BJ296" s="882"/>
      <c r="BK296" s="882"/>
      <c r="BL296" s="882"/>
      <c r="BU296" s="882"/>
      <c r="BV296" s="882"/>
      <c r="BW296" s="882"/>
      <c r="CF296" s="882"/>
      <c r="CG296" s="882"/>
      <c r="CH296" s="882"/>
      <c r="CI296" s="530"/>
    </row>
    <row r="297">
      <c r="A297" s="857"/>
      <c r="B297" s="865" t="s">
        <v>615</v>
      </c>
      <c r="C297" s="865" t="s">
        <v>591</v>
      </c>
      <c r="D297" s="865" t="s">
        <v>624</v>
      </c>
      <c r="E297" s="866">
        <v>2019.0</v>
      </c>
      <c r="F297" s="865" t="s">
        <v>593</v>
      </c>
      <c r="G297" s="865" t="s">
        <v>70</v>
      </c>
      <c r="H297" s="867">
        <v>1040358.077</v>
      </c>
      <c r="I297" s="867">
        <v>1179634.924</v>
      </c>
      <c r="J297" s="868">
        <v>898287.443</v>
      </c>
      <c r="K297" s="50"/>
      <c r="L297" s="869" t="s">
        <v>615</v>
      </c>
      <c r="M297" s="865" t="s">
        <v>591</v>
      </c>
      <c r="N297" s="865" t="s">
        <v>624</v>
      </c>
      <c r="O297" s="866">
        <v>2004.0</v>
      </c>
      <c r="P297" s="865" t="s">
        <v>593</v>
      </c>
      <c r="Q297" s="865" t="s">
        <v>70</v>
      </c>
      <c r="R297" s="867">
        <v>631759.2251</v>
      </c>
      <c r="S297" s="867">
        <v>691510.7629</v>
      </c>
      <c r="T297" s="868">
        <v>572274.462</v>
      </c>
      <c r="AN297" s="882"/>
      <c r="AO297" s="882"/>
      <c r="AP297" s="882"/>
      <c r="AY297" s="882"/>
      <c r="AZ297" s="882"/>
      <c r="BA297" s="882"/>
      <c r="BJ297" s="882"/>
      <c r="BK297" s="882"/>
      <c r="BL297" s="882"/>
      <c r="BU297" s="882"/>
      <c r="BV297" s="882"/>
      <c r="BW297" s="882"/>
      <c r="CF297" s="882"/>
      <c r="CG297" s="882"/>
      <c r="CH297" s="882"/>
      <c r="CI297" s="530"/>
    </row>
    <row r="298">
      <c r="A298" s="857"/>
      <c r="B298" s="865" t="s">
        <v>615</v>
      </c>
      <c r="C298" s="865" t="s">
        <v>591</v>
      </c>
      <c r="D298" s="865" t="s">
        <v>625</v>
      </c>
      <c r="E298" s="866">
        <v>2019.0</v>
      </c>
      <c r="F298" s="865" t="s">
        <v>593</v>
      </c>
      <c r="G298" s="865" t="s">
        <v>70</v>
      </c>
      <c r="H298" s="867">
        <v>4233785.519</v>
      </c>
      <c r="I298" s="867">
        <v>4800579.117</v>
      </c>
      <c r="J298" s="868">
        <v>3655622.475</v>
      </c>
      <c r="K298" s="50"/>
      <c r="L298" s="869" t="s">
        <v>615</v>
      </c>
      <c r="M298" s="865" t="s">
        <v>591</v>
      </c>
      <c r="N298" s="865" t="s">
        <v>625</v>
      </c>
      <c r="O298" s="866">
        <v>2004.0</v>
      </c>
      <c r="P298" s="865" t="s">
        <v>593</v>
      </c>
      <c r="Q298" s="865" t="s">
        <v>70</v>
      </c>
      <c r="R298" s="867">
        <v>2329310.082</v>
      </c>
      <c r="S298" s="867">
        <v>2549615.309</v>
      </c>
      <c r="T298" s="868">
        <v>2109988.459</v>
      </c>
      <c r="AN298" s="882"/>
      <c r="AO298" s="882"/>
      <c r="AP298" s="882"/>
      <c r="AY298" s="882"/>
      <c r="AZ298" s="882"/>
      <c r="BA298" s="882"/>
      <c r="BJ298" s="882"/>
      <c r="BK298" s="882"/>
      <c r="BL298" s="882"/>
      <c r="BU298" s="882"/>
      <c r="BV298" s="882"/>
      <c r="BW298" s="882"/>
      <c r="CF298" s="882"/>
      <c r="CG298" s="882"/>
      <c r="CH298" s="882"/>
      <c r="CI298" s="530"/>
    </row>
    <row r="299">
      <c r="A299" s="857"/>
      <c r="B299" s="865" t="s">
        <v>615</v>
      </c>
      <c r="C299" s="865" t="s">
        <v>591</v>
      </c>
      <c r="D299" s="865" t="s">
        <v>627</v>
      </c>
      <c r="E299" s="866">
        <v>2019.0</v>
      </c>
      <c r="F299" s="865" t="s">
        <v>593</v>
      </c>
      <c r="G299" s="865" t="s">
        <v>70</v>
      </c>
      <c r="H299" s="867">
        <v>882757.5639</v>
      </c>
      <c r="I299" s="867">
        <v>1000935.807</v>
      </c>
      <c r="J299" s="868">
        <v>762208.7554</v>
      </c>
      <c r="K299" s="50"/>
      <c r="L299" s="869" t="s">
        <v>615</v>
      </c>
      <c r="M299" s="865" t="s">
        <v>591</v>
      </c>
      <c r="N299" s="865" t="s">
        <v>627</v>
      </c>
      <c r="O299" s="866">
        <v>2004.0</v>
      </c>
      <c r="P299" s="865" t="s">
        <v>593</v>
      </c>
      <c r="Q299" s="865" t="s">
        <v>70</v>
      </c>
      <c r="R299" s="867">
        <v>472429.9562</v>
      </c>
      <c r="S299" s="867">
        <v>517112.1948</v>
      </c>
      <c r="T299" s="868">
        <v>427947.212</v>
      </c>
      <c r="AN299" s="882"/>
      <c r="AO299" s="882"/>
      <c r="AP299" s="882"/>
      <c r="AY299" s="882"/>
      <c r="AZ299" s="882"/>
      <c r="BA299" s="882"/>
      <c r="BJ299" s="882"/>
      <c r="BK299" s="882"/>
      <c r="BL299" s="882"/>
      <c r="BU299" s="882"/>
      <c r="BV299" s="882"/>
      <c r="BW299" s="882"/>
      <c r="CF299" s="882"/>
      <c r="CG299" s="882"/>
      <c r="CH299" s="882"/>
      <c r="CI299" s="530"/>
    </row>
    <row r="300">
      <c r="A300" s="857"/>
      <c r="B300" s="865" t="s">
        <v>615</v>
      </c>
      <c r="C300" s="865" t="s">
        <v>591</v>
      </c>
      <c r="D300" s="865" t="s">
        <v>629</v>
      </c>
      <c r="E300" s="866">
        <v>2019.0</v>
      </c>
      <c r="F300" s="865" t="s">
        <v>593</v>
      </c>
      <c r="G300" s="865" t="s">
        <v>70</v>
      </c>
      <c r="H300" s="867">
        <v>3181289.33</v>
      </c>
      <c r="I300" s="867">
        <v>3607613.641</v>
      </c>
      <c r="J300" s="868">
        <v>2747001.815</v>
      </c>
      <c r="K300" s="50"/>
      <c r="L300" s="869" t="s">
        <v>615</v>
      </c>
      <c r="M300" s="865" t="s">
        <v>591</v>
      </c>
      <c r="N300" s="865" t="s">
        <v>629</v>
      </c>
      <c r="O300" s="866">
        <v>2004.0</v>
      </c>
      <c r="P300" s="865" t="s">
        <v>593</v>
      </c>
      <c r="Q300" s="865" t="s">
        <v>70</v>
      </c>
      <c r="R300" s="867">
        <v>1736408.887</v>
      </c>
      <c r="S300" s="867">
        <v>1900839.752</v>
      </c>
      <c r="T300" s="868">
        <v>1573044.683</v>
      </c>
      <c r="AN300" s="882"/>
      <c r="AO300" s="882"/>
      <c r="AP300" s="882"/>
      <c r="AY300" s="882"/>
      <c r="AZ300" s="882"/>
      <c r="BA300" s="882"/>
      <c r="BJ300" s="882"/>
      <c r="BK300" s="882"/>
      <c r="BL300" s="882"/>
      <c r="BU300" s="882"/>
      <c r="BV300" s="882"/>
      <c r="BW300" s="882"/>
      <c r="CF300" s="882"/>
      <c r="CG300" s="882"/>
      <c r="CH300" s="882"/>
      <c r="CI300" s="530"/>
    </row>
    <row r="301">
      <c r="A301" s="857"/>
      <c r="B301" s="865" t="s">
        <v>615</v>
      </c>
      <c r="C301" s="865" t="s">
        <v>591</v>
      </c>
      <c r="D301" s="865" t="s">
        <v>631</v>
      </c>
      <c r="E301" s="866">
        <v>2019.0</v>
      </c>
      <c r="F301" s="865" t="s">
        <v>593</v>
      </c>
      <c r="G301" s="865" t="s">
        <v>70</v>
      </c>
      <c r="H301" s="867">
        <v>783353.4629</v>
      </c>
      <c r="I301" s="867">
        <v>888224.0866</v>
      </c>
      <c r="J301" s="868">
        <v>676379.2148</v>
      </c>
      <c r="K301" s="50"/>
      <c r="L301" s="869" t="s">
        <v>615</v>
      </c>
      <c r="M301" s="865" t="s">
        <v>591</v>
      </c>
      <c r="N301" s="865" t="s">
        <v>631</v>
      </c>
      <c r="O301" s="866">
        <v>2004.0</v>
      </c>
      <c r="P301" s="865" t="s">
        <v>593</v>
      </c>
      <c r="Q301" s="865" t="s">
        <v>70</v>
      </c>
      <c r="R301" s="867">
        <v>373476.6069</v>
      </c>
      <c r="S301" s="867">
        <v>408799.8768</v>
      </c>
      <c r="T301" s="868">
        <v>338311.0461</v>
      </c>
      <c r="AN301" s="882"/>
      <c r="AO301" s="882"/>
      <c r="AP301" s="882"/>
      <c r="AY301" s="882"/>
      <c r="AZ301" s="882"/>
      <c r="BA301" s="882"/>
      <c r="BJ301" s="882"/>
      <c r="BK301" s="882"/>
      <c r="BL301" s="882"/>
      <c r="BU301" s="882"/>
      <c r="BV301" s="882"/>
      <c r="BW301" s="882"/>
      <c r="CF301" s="882"/>
      <c r="CG301" s="882"/>
      <c r="CH301" s="882"/>
      <c r="CI301" s="530"/>
    </row>
    <row r="302">
      <c r="A302" s="857"/>
      <c r="B302" s="865" t="s">
        <v>615</v>
      </c>
      <c r="C302" s="865" t="s">
        <v>591</v>
      </c>
      <c r="D302" s="865" t="s">
        <v>633</v>
      </c>
      <c r="E302" s="866">
        <v>2019.0</v>
      </c>
      <c r="F302" s="865" t="s">
        <v>593</v>
      </c>
      <c r="G302" s="865" t="s">
        <v>70</v>
      </c>
      <c r="H302" s="867">
        <v>655708.3081</v>
      </c>
      <c r="I302" s="867">
        <v>743490.5705</v>
      </c>
      <c r="J302" s="868">
        <v>566165.2008</v>
      </c>
      <c r="K302" s="50"/>
      <c r="L302" s="869" t="s">
        <v>615</v>
      </c>
      <c r="M302" s="865" t="s">
        <v>591</v>
      </c>
      <c r="N302" s="865" t="s">
        <v>633</v>
      </c>
      <c r="O302" s="866">
        <v>2004.0</v>
      </c>
      <c r="P302" s="865" t="s">
        <v>593</v>
      </c>
      <c r="Q302" s="865" t="s">
        <v>70</v>
      </c>
      <c r="R302" s="867">
        <v>337813.9882</v>
      </c>
      <c r="S302" s="867">
        <v>369764.3018</v>
      </c>
      <c r="T302" s="868">
        <v>306006.3244</v>
      </c>
      <c r="AN302" s="882"/>
      <c r="AO302" s="882"/>
      <c r="AP302" s="882"/>
      <c r="AY302" s="882"/>
      <c r="AZ302" s="882"/>
      <c r="BA302" s="882"/>
      <c r="BJ302" s="882"/>
      <c r="BK302" s="882"/>
      <c r="BL302" s="882"/>
      <c r="BU302" s="882"/>
      <c r="BV302" s="882"/>
      <c r="BW302" s="882"/>
      <c r="CF302" s="882"/>
      <c r="CG302" s="882"/>
      <c r="CH302" s="882"/>
      <c r="CI302" s="530"/>
    </row>
    <row r="303">
      <c r="A303" s="857"/>
      <c r="B303" s="865" t="s">
        <v>615</v>
      </c>
      <c r="C303" s="865" t="s">
        <v>591</v>
      </c>
      <c r="D303" s="865" t="s">
        <v>635</v>
      </c>
      <c r="E303" s="866">
        <v>2019.0</v>
      </c>
      <c r="F303" s="865" t="s">
        <v>593</v>
      </c>
      <c r="G303" s="865" t="s">
        <v>70</v>
      </c>
      <c r="H303" s="867">
        <v>490660.1021</v>
      </c>
      <c r="I303" s="867">
        <v>556346.7089</v>
      </c>
      <c r="J303" s="868">
        <v>423655.8722</v>
      </c>
      <c r="K303" s="50"/>
      <c r="L303" s="869" t="s">
        <v>615</v>
      </c>
      <c r="M303" s="865" t="s">
        <v>591</v>
      </c>
      <c r="N303" s="865" t="s">
        <v>635</v>
      </c>
      <c r="O303" s="866">
        <v>2004.0</v>
      </c>
      <c r="P303" s="865" t="s">
        <v>593</v>
      </c>
      <c r="Q303" s="865" t="s">
        <v>70</v>
      </c>
      <c r="R303" s="867">
        <v>302111.7257</v>
      </c>
      <c r="S303" s="867">
        <v>330685.3334</v>
      </c>
      <c r="T303" s="868">
        <v>273665.6917</v>
      </c>
      <c r="AN303" s="882"/>
      <c r="AO303" s="882"/>
      <c r="AP303" s="882"/>
      <c r="AY303" s="882"/>
      <c r="AZ303" s="882"/>
      <c r="BA303" s="882"/>
      <c r="BJ303" s="882"/>
      <c r="BK303" s="882"/>
      <c r="BL303" s="882"/>
      <c r="BU303" s="882"/>
      <c r="BV303" s="882"/>
      <c r="BW303" s="882"/>
      <c r="CF303" s="882"/>
      <c r="CG303" s="882"/>
      <c r="CH303" s="882"/>
      <c r="CI303" s="530"/>
    </row>
    <row r="304">
      <c r="A304" s="857"/>
      <c r="B304" s="865" t="s">
        <v>615</v>
      </c>
      <c r="C304" s="865" t="s">
        <v>591</v>
      </c>
      <c r="D304" s="865" t="s">
        <v>637</v>
      </c>
      <c r="E304" s="866">
        <v>2019.0</v>
      </c>
      <c r="F304" s="865" t="s">
        <v>593</v>
      </c>
      <c r="G304" s="865" t="s">
        <v>70</v>
      </c>
      <c r="H304" s="867">
        <v>369188.4977</v>
      </c>
      <c r="I304" s="867">
        <v>418613.2209</v>
      </c>
      <c r="J304" s="868">
        <v>318772.3525</v>
      </c>
      <c r="K304" s="50"/>
      <c r="L304" s="869" t="s">
        <v>615</v>
      </c>
      <c r="M304" s="865" t="s">
        <v>591</v>
      </c>
      <c r="N304" s="865" t="s">
        <v>637</v>
      </c>
      <c r="O304" s="866">
        <v>2004.0</v>
      </c>
      <c r="P304" s="865" t="s">
        <v>593</v>
      </c>
      <c r="Q304" s="865" t="s">
        <v>70</v>
      </c>
      <c r="R304" s="867">
        <v>250724.8585</v>
      </c>
      <c r="S304" s="867">
        <v>274438.3165</v>
      </c>
      <c r="T304" s="868">
        <v>227117.2748</v>
      </c>
      <c r="AN304" s="882"/>
      <c r="AO304" s="882"/>
      <c r="AP304" s="882"/>
      <c r="AY304" s="882"/>
      <c r="AZ304" s="882"/>
      <c r="BA304" s="882"/>
      <c r="BJ304" s="882"/>
      <c r="BK304" s="882"/>
      <c r="BL304" s="882"/>
      <c r="BU304" s="882"/>
      <c r="BV304" s="882"/>
      <c r="BW304" s="882"/>
      <c r="CF304" s="882"/>
      <c r="CG304" s="882"/>
      <c r="CH304" s="882"/>
      <c r="CI304" s="530"/>
    </row>
    <row r="305">
      <c r="A305" s="857"/>
      <c r="B305" s="865" t="s">
        <v>615</v>
      </c>
      <c r="C305" s="865" t="s">
        <v>591</v>
      </c>
      <c r="D305" s="865" t="s">
        <v>639</v>
      </c>
      <c r="E305" s="866">
        <v>2019.0</v>
      </c>
      <c r="F305" s="865" t="s">
        <v>593</v>
      </c>
      <c r="G305" s="865" t="s">
        <v>70</v>
      </c>
      <c r="H305" s="867">
        <v>4580700.975</v>
      </c>
      <c r="I305" s="867">
        <v>5194560.32</v>
      </c>
      <c r="J305" s="868">
        <v>3955375.506</v>
      </c>
      <c r="K305" s="50"/>
      <c r="L305" s="869" t="s">
        <v>615</v>
      </c>
      <c r="M305" s="865" t="s">
        <v>591</v>
      </c>
      <c r="N305" s="865" t="s">
        <v>639</v>
      </c>
      <c r="O305" s="866">
        <v>2004.0</v>
      </c>
      <c r="P305" s="865" t="s">
        <v>593</v>
      </c>
      <c r="Q305" s="865" t="s">
        <v>70</v>
      </c>
      <c r="R305" s="867">
        <v>2891025.047</v>
      </c>
      <c r="S305" s="867">
        <v>3164793.371</v>
      </c>
      <c r="T305" s="868">
        <v>2619032.656</v>
      </c>
      <c r="AN305" s="882"/>
      <c r="AO305" s="882"/>
      <c r="AP305" s="882"/>
      <c r="AY305" s="882"/>
      <c r="AZ305" s="882"/>
      <c r="BA305" s="882"/>
      <c r="BJ305" s="882"/>
      <c r="BK305" s="882"/>
      <c r="BL305" s="882"/>
      <c r="BU305" s="882"/>
      <c r="BV305" s="882"/>
      <c r="BW305" s="882"/>
      <c r="CF305" s="882"/>
      <c r="CG305" s="882"/>
      <c r="CH305" s="882"/>
      <c r="CI305" s="530"/>
    </row>
    <row r="306">
      <c r="A306" s="857"/>
      <c r="B306" s="865" t="s">
        <v>615</v>
      </c>
      <c r="C306" s="865" t="s">
        <v>591</v>
      </c>
      <c r="D306" s="865" t="s">
        <v>641</v>
      </c>
      <c r="E306" s="866">
        <v>2019.0</v>
      </c>
      <c r="F306" s="865" t="s">
        <v>593</v>
      </c>
      <c r="G306" s="865" t="s">
        <v>70</v>
      </c>
      <c r="H306" s="867">
        <v>1789227.318</v>
      </c>
      <c r="I306" s="867">
        <v>2028758.249</v>
      </c>
      <c r="J306" s="868">
        <v>1544891.579</v>
      </c>
      <c r="K306" s="50"/>
      <c r="L306" s="869" t="s">
        <v>615</v>
      </c>
      <c r="M306" s="865" t="s">
        <v>591</v>
      </c>
      <c r="N306" s="865" t="s">
        <v>641</v>
      </c>
      <c r="O306" s="866">
        <v>2004.0</v>
      </c>
      <c r="P306" s="865" t="s">
        <v>593</v>
      </c>
      <c r="Q306" s="865" t="s">
        <v>70</v>
      </c>
      <c r="R306" s="867">
        <v>1071150.571</v>
      </c>
      <c r="S306" s="867">
        <v>1172459.569</v>
      </c>
      <c r="T306" s="868">
        <v>970293.8914</v>
      </c>
      <c r="AN306" s="882"/>
      <c r="AO306" s="882"/>
      <c r="AP306" s="882"/>
      <c r="AY306" s="882"/>
      <c r="AZ306" s="882"/>
      <c r="BA306" s="882"/>
      <c r="BJ306" s="882"/>
      <c r="BK306" s="882"/>
      <c r="BL306" s="882"/>
      <c r="BU306" s="882"/>
      <c r="BV306" s="882"/>
      <c r="BW306" s="882"/>
      <c r="CF306" s="882"/>
      <c r="CG306" s="882"/>
      <c r="CH306" s="882"/>
      <c r="CI306" s="530"/>
    </row>
    <row r="307">
      <c r="A307" s="857"/>
      <c r="B307" s="865" t="s">
        <v>615</v>
      </c>
      <c r="C307" s="865" t="s">
        <v>591</v>
      </c>
      <c r="D307" s="865" t="s">
        <v>643</v>
      </c>
      <c r="E307" s="866">
        <v>2019.0</v>
      </c>
      <c r="F307" s="865" t="s">
        <v>593</v>
      </c>
      <c r="G307" s="865" t="s">
        <v>70</v>
      </c>
      <c r="H307" s="867">
        <v>305461.6802</v>
      </c>
      <c r="I307" s="867">
        <v>346355.0424</v>
      </c>
      <c r="J307" s="868">
        <v>263748.0284</v>
      </c>
      <c r="K307" s="50"/>
      <c r="L307" s="869" t="s">
        <v>615</v>
      </c>
      <c r="M307" s="865" t="s">
        <v>591</v>
      </c>
      <c r="N307" s="865" t="s">
        <v>643</v>
      </c>
      <c r="O307" s="866">
        <v>2004.0</v>
      </c>
      <c r="P307" s="865" t="s">
        <v>593</v>
      </c>
      <c r="Q307" s="865" t="s">
        <v>70</v>
      </c>
      <c r="R307" s="867">
        <v>188734.2412</v>
      </c>
      <c r="S307" s="867">
        <v>206584.6512</v>
      </c>
      <c r="T307" s="868">
        <v>170963.5286</v>
      </c>
      <c r="AN307" s="882"/>
      <c r="AO307" s="882"/>
      <c r="AP307" s="882"/>
      <c r="AY307" s="882"/>
      <c r="AZ307" s="882"/>
      <c r="BA307" s="882"/>
      <c r="BJ307" s="882"/>
      <c r="BK307" s="882"/>
      <c r="BL307" s="882"/>
      <c r="BU307" s="882"/>
      <c r="BV307" s="882"/>
      <c r="BW307" s="882"/>
      <c r="CF307" s="882"/>
      <c r="CG307" s="882"/>
      <c r="CH307" s="882"/>
      <c r="CI307" s="530"/>
    </row>
    <row r="308">
      <c r="A308" s="857"/>
      <c r="B308" s="865" t="s">
        <v>615</v>
      </c>
      <c r="C308" s="865" t="s">
        <v>591</v>
      </c>
      <c r="D308" s="865" t="s">
        <v>645</v>
      </c>
      <c r="E308" s="866">
        <v>2019.0</v>
      </c>
      <c r="F308" s="865" t="s">
        <v>593</v>
      </c>
      <c r="G308" s="865" t="s">
        <v>70</v>
      </c>
      <c r="H308" s="867">
        <v>888519.0879</v>
      </c>
      <c r="I308" s="867">
        <v>1007468.649</v>
      </c>
      <c r="J308" s="868">
        <v>767183.4894</v>
      </c>
      <c r="K308" s="50"/>
      <c r="L308" s="869" t="s">
        <v>615</v>
      </c>
      <c r="M308" s="865" t="s">
        <v>591</v>
      </c>
      <c r="N308" s="865" t="s">
        <v>645</v>
      </c>
      <c r="O308" s="866">
        <v>2004.0</v>
      </c>
      <c r="P308" s="865" t="s">
        <v>593</v>
      </c>
      <c r="Q308" s="865" t="s">
        <v>70</v>
      </c>
      <c r="R308" s="867">
        <v>476053.3332</v>
      </c>
      <c r="S308" s="867">
        <v>521078.2693</v>
      </c>
      <c r="T308" s="868">
        <v>431229.4214</v>
      </c>
      <c r="AN308" s="882"/>
      <c r="AO308" s="882"/>
      <c r="AP308" s="882"/>
      <c r="AY308" s="882"/>
      <c r="AZ308" s="882"/>
      <c r="BA308" s="882"/>
      <c r="BJ308" s="882"/>
      <c r="BK308" s="882"/>
      <c r="BL308" s="882"/>
      <c r="BU308" s="882"/>
      <c r="BV308" s="882"/>
      <c r="BW308" s="882"/>
      <c r="CF308" s="882"/>
      <c r="CG308" s="882"/>
      <c r="CH308" s="882"/>
      <c r="CI308" s="530"/>
    </row>
    <row r="309">
      <c r="A309" s="857"/>
      <c r="B309" s="865" t="s">
        <v>615</v>
      </c>
      <c r="C309" s="865" t="s">
        <v>591</v>
      </c>
      <c r="D309" s="865" t="s">
        <v>604</v>
      </c>
      <c r="E309" s="866">
        <v>2019.0</v>
      </c>
      <c r="F309" s="865" t="s">
        <v>593</v>
      </c>
      <c r="G309" s="865" t="s">
        <v>70</v>
      </c>
      <c r="H309" s="867">
        <v>3322415.424</v>
      </c>
      <c r="I309" s="867">
        <v>3767200.307</v>
      </c>
      <c r="J309" s="868">
        <v>2868708.498</v>
      </c>
      <c r="K309" s="50"/>
      <c r="L309" s="869" t="s">
        <v>615</v>
      </c>
      <c r="M309" s="865" t="s">
        <v>591</v>
      </c>
      <c r="N309" s="865" t="s">
        <v>604</v>
      </c>
      <c r="O309" s="866">
        <v>2004.0</v>
      </c>
      <c r="P309" s="865" t="s">
        <v>593</v>
      </c>
      <c r="Q309" s="865" t="s">
        <v>70</v>
      </c>
      <c r="R309" s="867">
        <v>2057859.815</v>
      </c>
      <c r="S309" s="867">
        <v>2252491.383</v>
      </c>
      <c r="T309" s="868">
        <v>1864097.225</v>
      </c>
      <c r="AN309" s="882"/>
      <c r="AO309" s="882"/>
      <c r="AP309" s="882"/>
      <c r="AY309" s="882"/>
      <c r="AZ309" s="882"/>
      <c r="BA309" s="882"/>
      <c r="BJ309" s="882"/>
      <c r="BK309" s="882"/>
      <c r="BL309" s="882"/>
      <c r="BU309" s="882"/>
      <c r="BV309" s="882"/>
      <c r="BW309" s="882"/>
      <c r="CF309" s="882"/>
      <c r="CG309" s="882"/>
      <c r="CH309" s="882"/>
      <c r="CI309" s="530"/>
    </row>
    <row r="310">
      <c r="A310" s="857"/>
      <c r="B310" s="865" t="s">
        <v>615</v>
      </c>
      <c r="C310" s="865" t="s">
        <v>591</v>
      </c>
      <c r="D310" s="865" t="s">
        <v>647</v>
      </c>
      <c r="E310" s="866">
        <v>2019.0</v>
      </c>
      <c r="F310" s="865" t="s">
        <v>593</v>
      </c>
      <c r="G310" s="865" t="s">
        <v>70</v>
      </c>
      <c r="H310" s="867">
        <v>746567.055</v>
      </c>
      <c r="I310" s="867">
        <v>846614.4421</v>
      </c>
      <c r="J310" s="868">
        <v>644650.908</v>
      </c>
      <c r="K310" s="50"/>
      <c r="L310" s="869" t="s">
        <v>615</v>
      </c>
      <c r="M310" s="865" t="s">
        <v>591</v>
      </c>
      <c r="N310" s="865" t="s">
        <v>647</v>
      </c>
      <c r="O310" s="866">
        <v>2004.0</v>
      </c>
      <c r="P310" s="865" t="s">
        <v>593</v>
      </c>
      <c r="Q310" s="865" t="s">
        <v>70</v>
      </c>
      <c r="R310" s="867">
        <v>403984.2145</v>
      </c>
      <c r="S310" s="867">
        <v>442239.8779</v>
      </c>
      <c r="T310" s="868">
        <v>365976.7151</v>
      </c>
      <c r="AN310" s="882"/>
      <c r="AO310" s="882"/>
      <c r="AP310" s="882"/>
      <c r="AY310" s="882"/>
      <c r="AZ310" s="882"/>
      <c r="BA310" s="882"/>
      <c r="BJ310" s="882"/>
      <c r="BK310" s="882"/>
      <c r="BL310" s="882"/>
      <c r="BU310" s="882"/>
      <c r="BV310" s="882"/>
      <c r="BW310" s="882"/>
      <c r="CF310" s="882"/>
      <c r="CG310" s="882"/>
      <c r="CH310" s="882"/>
      <c r="CI310" s="530"/>
    </row>
    <row r="311">
      <c r="A311" s="857"/>
      <c r="B311" s="865" t="s">
        <v>615</v>
      </c>
      <c r="C311" s="865" t="s">
        <v>591</v>
      </c>
      <c r="D311" s="865" t="s">
        <v>649</v>
      </c>
      <c r="E311" s="866">
        <v>2019.0</v>
      </c>
      <c r="F311" s="865" t="s">
        <v>593</v>
      </c>
      <c r="G311" s="865" t="s">
        <v>70</v>
      </c>
      <c r="H311" s="867">
        <v>253069.4393</v>
      </c>
      <c r="I311" s="867">
        <v>286948.8453</v>
      </c>
      <c r="J311" s="868">
        <v>218510.4385</v>
      </c>
      <c r="K311" s="50"/>
      <c r="L311" s="869" t="s">
        <v>615</v>
      </c>
      <c r="M311" s="865" t="s">
        <v>591</v>
      </c>
      <c r="N311" s="865" t="s">
        <v>649</v>
      </c>
      <c r="O311" s="866">
        <v>2004.0</v>
      </c>
      <c r="P311" s="865" t="s">
        <v>593</v>
      </c>
      <c r="Q311" s="865" t="s">
        <v>70</v>
      </c>
      <c r="R311" s="867">
        <v>122137.265</v>
      </c>
      <c r="S311" s="867">
        <v>133688.9592</v>
      </c>
      <c r="T311" s="868">
        <v>110637.146</v>
      </c>
      <c r="AN311" s="882"/>
      <c r="AO311" s="882"/>
      <c r="AP311" s="882"/>
      <c r="AY311" s="882"/>
      <c r="AZ311" s="882"/>
      <c r="BA311" s="882"/>
      <c r="BJ311" s="882"/>
      <c r="BK311" s="882"/>
      <c r="BL311" s="882"/>
      <c r="BU311" s="882"/>
      <c r="BV311" s="882"/>
      <c r="BW311" s="882"/>
      <c r="CF311" s="882"/>
      <c r="CG311" s="882"/>
      <c r="CH311" s="882"/>
      <c r="CI311" s="530"/>
    </row>
    <row r="312">
      <c r="A312" s="857"/>
      <c r="B312" s="865" t="s">
        <v>615</v>
      </c>
      <c r="C312" s="865" t="s">
        <v>591</v>
      </c>
      <c r="D312" s="865" t="s">
        <v>651</v>
      </c>
      <c r="E312" s="866">
        <v>2019.0</v>
      </c>
      <c r="F312" s="865" t="s">
        <v>593</v>
      </c>
      <c r="G312" s="865" t="s">
        <v>70</v>
      </c>
      <c r="H312" s="867">
        <v>195824.1973</v>
      </c>
      <c r="I312" s="867">
        <v>222039.9564</v>
      </c>
      <c r="J312" s="868">
        <v>169082.5701</v>
      </c>
      <c r="K312" s="50"/>
      <c r="L312" s="869" t="s">
        <v>615</v>
      </c>
      <c r="M312" s="865" t="s">
        <v>591</v>
      </c>
      <c r="N312" s="865" t="s">
        <v>651</v>
      </c>
      <c r="O312" s="866">
        <v>2004.0</v>
      </c>
      <c r="P312" s="865" t="s">
        <v>593</v>
      </c>
      <c r="Q312" s="865" t="s">
        <v>70</v>
      </c>
      <c r="R312" s="867">
        <v>90648.86814</v>
      </c>
      <c r="S312" s="867">
        <v>99222.40227</v>
      </c>
      <c r="T312" s="868">
        <v>82113.61257</v>
      </c>
      <c r="AN312" s="882"/>
      <c r="AO312" s="882"/>
      <c r="AP312" s="882"/>
      <c r="AY312" s="882"/>
      <c r="AZ312" s="882"/>
      <c r="BA312" s="882"/>
      <c r="BJ312" s="882"/>
      <c r="BK312" s="882"/>
      <c r="BL312" s="882"/>
      <c r="BU312" s="882"/>
      <c r="BV312" s="882"/>
      <c r="BW312" s="882"/>
      <c r="CF312" s="882"/>
      <c r="CG312" s="882"/>
      <c r="CH312" s="882"/>
      <c r="CI312" s="530"/>
    </row>
    <row r="313">
      <c r="A313" s="857"/>
      <c r="B313" s="865" t="s">
        <v>615</v>
      </c>
      <c r="C313" s="865" t="s">
        <v>591</v>
      </c>
      <c r="D313" s="865" t="s">
        <v>653</v>
      </c>
      <c r="E313" s="866">
        <v>2019.0</v>
      </c>
      <c r="F313" s="865" t="s">
        <v>593</v>
      </c>
      <c r="G313" s="865" t="s">
        <v>70</v>
      </c>
      <c r="H313" s="867">
        <v>134163.7711</v>
      </c>
      <c r="I313" s="867">
        <v>152124.8053</v>
      </c>
      <c r="J313" s="868">
        <v>115842.4523</v>
      </c>
      <c r="K313" s="50"/>
      <c r="L313" s="869" t="s">
        <v>615</v>
      </c>
      <c r="M313" s="865" t="s">
        <v>591</v>
      </c>
      <c r="N313" s="865" t="s">
        <v>653</v>
      </c>
      <c r="O313" s="866">
        <v>2004.0</v>
      </c>
      <c r="P313" s="865" t="s">
        <v>593</v>
      </c>
      <c r="Q313" s="865" t="s">
        <v>70</v>
      </c>
      <c r="R313" s="867">
        <v>74532.95882</v>
      </c>
      <c r="S313" s="867">
        <v>81582.25661</v>
      </c>
      <c r="T313" s="868">
        <v>67515.13427</v>
      </c>
      <c r="AN313" s="882"/>
      <c r="AO313" s="882"/>
      <c r="AP313" s="882"/>
      <c r="AY313" s="882"/>
      <c r="AZ313" s="882"/>
      <c r="BA313" s="882"/>
      <c r="BJ313" s="882"/>
      <c r="BK313" s="882"/>
      <c r="BL313" s="882"/>
      <c r="BU313" s="882"/>
      <c r="BV313" s="882"/>
      <c r="BW313" s="882"/>
      <c r="CF313" s="882"/>
      <c r="CG313" s="882"/>
      <c r="CH313" s="882"/>
      <c r="CI313" s="530"/>
    </row>
    <row r="314">
      <c r="A314" s="857"/>
      <c r="B314" s="865" t="s">
        <v>615</v>
      </c>
      <c r="C314" s="865" t="s">
        <v>591</v>
      </c>
      <c r="D314" s="865" t="s">
        <v>655</v>
      </c>
      <c r="E314" s="866">
        <v>2019.0</v>
      </c>
      <c r="F314" s="865" t="s">
        <v>593</v>
      </c>
      <c r="G314" s="865" t="s">
        <v>70</v>
      </c>
      <c r="H314" s="867">
        <v>210245.0468</v>
      </c>
      <c r="I314" s="867">
        <v>238419.9675</v>
      </c>
      <c r="J314" s="868">
        <v>181543.8539</v>
      </c>
      <c r="K314" s="50"/>
      <c r="L314" s="869" t="s">
        <v>615</v>
      </c>
      <c r="M314" s="865" t="s">
        <v>591</v>
      </c>
      <c r="N314" s="865" t="s">
        <v>655</v>
      </c>
      <c r="O314" s="866">
        <v>2004.0</v>
      </c>
      <c r="P314" s="865" t="s">
        <v>593</v>
      </c>
      <c r="Q314" s="865" t="s">
        <v>70</v>
      </c>
      <c r="R314" s="867">
        <v>130482.4076</v>
      </c>
      <c r="S314" s="867">
        <v>142838.5614</v>
      </c>
      <c r="T314" s="868">
        <v>118206.4081</v>
      </c>
      <c r="AN314" s="882"/>
      <c r="AO314" s="882"/>
      <c r="AP314" s="882"/>
      <c r="AY314" s="882"/>
      <c r="AZ314" s="882"/>
      <c r="BA314" s="882"/>
      <c r="BJ314" s="882"/>
      <c r="BK314" s="882"/>
      <c r="BL314" s="882"/>
      <c r="BU314" s="882"/>
      <c r="BV314" s="882"/>
      <c r="BW314" s="882"/>
      <c r="CF314" s="882"/>
      <c r="CG314" s="882"/>
      <c r="CH314" s="882"/>
      <c r="CI314" s="530"/>
    </row>
    <row r="315">
      <c r="A315" s="857"/>
      <c r="B315" s="865" t="s">
        <v>615</v>
      </c>
      <c r="C315" s="865" t="s">
        <v>591</v>
      </c>
      <c r="D315" s="865" t="s">
        <v>657</v>
      </c>
      <c r="E315" s="866">
        <v>2019.0</v>
      </c>
      <c r="F315" s="865" t="s">
        <v>593</v>
      </c>
      <c r="G315" s="865" t="s">
        <v>70</v>
      </c>
      <c r="H315" s="867">
        <v>76106.29693</v>
      </c>
      <c r="I315" s="867">
        <v>86294.94766</v>
      </c>
      <c r="J315" s="868">
        <v>65713.26968</v>
      </c>
      <c r="K315" s="50"/>
      <c r="L315" s="869" t="s">
        <v>615</v>
      </c>
      <c r="M315" s="865" t="s">
        <v>591</v>
      </c>
      <c r="N315" s="865" t="s">
        <v>657</v>
      </c>
      <c r="O315" s="866">
        <v>2004.0</v>
      </c>
      <c r="P315" s="865" t="s">
        <v>593</v>
      </c>
      <c r="Q315" s="865" t="s">
        <v>70</v>
      </c>
      <c r="R315" s="867">
        <v>55960.58895</v>
      </c>
      <c r="S315" s="867">
        <v>61253.31934</v>
      </c>
      <c r="T315" s="868">
        <v>50691.4892</v>
      </c>
      <c r="AN315" s="882"/>
      <c r="AO315" s="882"/>
      <c r="AP315" s="882"/>
      <c r="AY315" s="882"/>
      <c r="AZ315" s="882"/>
      <c r="BA315" s="882"/>
      <c r="BJ315" s="882"/>
      <c r="BK315" s="882"/>
      <c r="BL315" s="882"/>
      <c r="BU315" s="882"/>
      <c r="BV315" s="882"/>
      <c r="BW315" s="882"/>
      <c r="CF315" s="882"/>
      <c r="CG315" s="882"/>
      <c r="CH315" s="882"/>
      <c r="CI315" s="530"/>
    </row>
    <row r="316">
      <c r="A316" s="857"/>
      <c r="B316" s="865" t="s">
        <v>615</v>
      </c>
      <c r="C316" s="865" t="s">
        <v>591</v>
      </c>
      <c r="D316" s="865" t="s">
        <v>659</v>
      </c>
      <c r="E316" s="866">
        <v>2019.0</v>
      </c>
      <c r="F316" s="865" t="s">
        <v>593</v>
      </c>
      <c r="G316" s="865" t="s">
        <v>70</v>
      </c>
      <c r="H316" s="867">
        <v>163598.496</v>
      </c>
      <c r="I316" s="867">
        <v>185500.0732</v>
      </c>
      <c r="J316" s="868">
        <v>141257.59</v>
      </c>
      <c r="K316" s="50"/>
      <c r="L316" s="869" t="s">
        <v>615</v>
      </c>
      <c r="M316" s="865" t="s">
        <v>591</v>
      </c>
      <c r="N316" s="865" t="s">
        <v>659</v>
      </c>
      <c r="O316" s="866">
        <v>2004.0</v>
      </c>
      <c r="P316" s="865" t="s">
        <v>593</v>
      </c>
      <c r="Q316" s="865" t="s">
        <v>70</v>
      </c>
      <c r="R316" s="867">
        <v>116699.6134</v>
      </c>
      <c r="S316" s="867">
        <v>127737.0167</v>
      </c>
      <c r="T316" s="868">
        <v>105711.4891</v>
      </c>
      <c r="AN316" s="882"/>
      <c r="AO316" s="882"/>
      <c r="AP316" s="882"/>
      <c r="AY316" s="882"/>
      <c r="AZ316" s="882"/>
      <c r="BA316" s="882"/>
      <c r="BJ316" s="882"/>
      <c r="BK316" s="882"/>
      <c r="BL316" s="882"/>
      <c r="BU316" s="882"/>
      <c r="BV316" s="882"/>
      <c r="BW316" s="882"/>
      <c r="CF316" s="882"/>
      <c r="CG316" s="882"/>
      <c r="CH316" s="882"/>
      <c r="CI316" s="530"/>
    </row>
    <row r="317">
      <c r="A317" s="857"/>
      <c r="B317" s="865" t="s">
        <v>615</v>
      </c>
      <c r="C317" s="865" t="s">
        <v>591</v>
      </c>
      <c r="D317" s="865" t="s">
        <v>661</v>
      </c>
      <c r="E317" s="866">
        <v>2019.0</v>
      </c>
      <c r="F317" s="865" t="s">
        <v>593</v>
      </c>
      <c r="G317" s="865" t="s">
        <v>70</v>
      </c>
      <c r="H317" s="867">
        <v>87481.78787</v>
      </c>
      <c r="I317" s="867">
        <v>99205.21478</v>
      </c>
      <c r="J317" s="868">
        <v>75539.38204</v>
      </c>
      <c r="K317" s="50"/>
      <c r="L317" s="869" t="s">
        <v>615</v>
      </c>
      <c r="M317" s="865" t="s">
        <v>591</v>
      </c>
      <c r="N317" s="865" t="s">
        <v>661</v>
      </c>
      <c r="O317" s="866">
        <v>2004.0</v>
      </c>
      <c r="P317" s="865" t="s">
        <v>593</v>
      </c>
      <c r="Q317" s="865" t="s">
        <v>70</v>
      </c>
      <c r="R317" s="867">
        <v>60733.83915</v>
      </c>
      <c r="S317" s="867">
        <v>66485.08691</v>
      </c>
      <c r="T317" s="868">
        <v>55019.89967</v>
      </c>
      <c r="AN317" s="882"/>
      <c r="AO317" s="882"/>
      <c r="AP317" s="882"/>
      <c r="AY317" s="882"/>
      <c r="AZ317" s="882"/>
      <c r="BA317" s="882"/>
      <c r="BJ317" s="882"/>
      <c r="BK317" s="882"/>
      <c r="BL317" s="882"/>
      <c r="BU317" s="882"/>
      <c r="BV317" s="882"/>
      <c r="BW317" s="882"/>
      <c r="CF317" s="882"/>
      <c r="CG317" s="882"/>
      <c r="CH317" s="882"/>
      <c r="CI317" s="530"/>
    </row>
    <row r="318">
      <c r="A318" s="857"/>
      <c r="B318" s="865" t="s">
        <v>615</v>
      </c>
      <c r="C318" s="865" t="s">
        <v>591</v>
      </c>
      <c r="D318" s="865" t="s">
        <v>663</v>
      </c>
      <c r="E318" s="866">
        <v>2019.0</v>
      </c>
      <c r="F318" s="865" t="s">
        <v>593</v>
      </c>
      <c r="G318" s="865" t="s">
        <v>70</v>
      </c>
      <c r="H318" s="867">
        <v>46369.55203</v>
      </c>
      <c r="I318" s="867">
        <v>52577.2272</v>
      </c>
      <c r="J318" s="868">
        <v>40037.35565</v>
      </c>
      <c r="K318" s="50"/>
      <c r="L318" s="869" t="s">
        <v>615</v>
      </c>
      <c r="M318" s="865" t="s">
        <v>591</v>
      </c>
      <c r="N318" s="865" t="s">
        <v>663</v>
      </c>
      <c r="O318" s="866">
        <v>2004.0</v>
      </c>
      <c r="P318" s="865" t="s">
        <v>593</v>
      </c>
      <c r="Q318" s="865" t="s">
        <v>70</v>
      </c>
      <c r="R318" s="867">
        <v>33812.72193</v>
      </c>
      <c r="S318" s="867">
        <v>37010.71581</v>
      </c>
      <c r="T318" s="868">
        <v>30629.00625</v>
      </c>
      <c r="AN318" s="882"/>
      <c r="AO318" s="882"/>
      <c r="AP318" s="882"/>
      <c r="AY318" s="882"/>
      <c r="AZ318" s="882"/>
      <c r="BA318" s="882"/>
      <c r="BJ318" s="882"/>
      <c r="BK318" s="882"/>
      <c r="BL318" s="882"/>
      <c r="BU318" s="882"/>
      <c r="BV318" s="882"/>
      <c r="BW318" s="882"/>
      <c r="CF318" s="882"/>
      <c r="CG318" s="882"/>
      <c r="CH318" s="882"/>
      <c r="CI318" s="530"/>
    </row>
    <row r="319">
      <c r="A319" s="857"/>
      <c r="B319" s="865" t="s">
        <v>615</v>
      </c>
      <c r="C319" s="865" t="s">
        <v>591</v>
      </c>
      <c r="D319" s="865" t="s">
        <v>665</v>
      </c>
      <c r="E319" s="866">
        <v>2019.0</v>
      </c>
      <c r="F319" s="865" t="s">
        <v>593</v>
      </c>
      <c r="G319" s="865" t="s">
        <v>70</v>
      </c>
      <c r="H319" s="867">
        <v>72611.47234</v>
      </c>
      <c r="I319" s="867">
        <v>82342.12954</v>
      </c>
      <c r="J319" s="868">
        <v>62699.05866</v>
      </c>
      <c r="K319" s="50"/>
      <c r="L319" s="869" t="s">
        <v>615</v>
      </c>
      <c r="M319" s="865" t="s">
        <v>591</v>
      </c>
      <c r="N319" s="865" t="s">
        <v>665</v>
      </c>
      <c r="O319" s="866">
        <v>2004.0</v>
      </c>
      <c r="P319" s="865" t="s">
        <v>593</v>
      </c>
      <c r="Q319" s="865" t="s">
        <v>70</v>
      </c>
      <c r="R319" s="867">
        <v>50954.64186</v>
      </c>
      <c r="S319" s="867">
        <v>55779.83938</v>
      </c>
      <c r="T319" s="868">
        <v>46160.74535</v>
      </c>
      <c r="AN319" s="882"/>
      <c r="AO319" s="882"/>
      <c r="AP319" s="882"/>
      <c r="AY319" s="882"/>
      <c r="AZ319" s="882"/>
      <c r="BA319" s="882"/>
      <c r="BJ319" s="882"/>
      <c r="BK319" s="882"/>
      <c r="BL319" s="882"/>
      <c r="BU319" s="882"/>
      <c r="BV319" s="882"/>
      <c r="BW319" s="882"/>
      <c r="CF319" s="882"/>
      <c r="CG319" s="882"/>
      <c r="CH319" s="882"/>
      <c r="CI319" s="530"/>
    </row>
    <row r="320">
      <c r="A320" s="857"/>
      <c r="B320" s="865" t="s">
        <v>615</v>
      </c>
      <c r="C320" s="865" t="s">
        <v>591</v>
      </c>
      <c r="D320" s="865" t="s">
        <v>667</v>
      </c>
      <c r="E320" s="866">
        <v>2019.0</v>
      </c>
      <c r="F320" s="865" t="s">
        <v>593</v>
      </c>
      <c r="G320" s="865" t="s">
        <v>70</v>
      </c>
      <c r="H320" s="867">
        <v>41122.64704</v>
      </c>
      <c r="I320" s="867">
        <v>46627.8983</v>
      </c>
      <c r="J320" s="868">
        <v>35506.96465</v>
      </c>
      <c r="K320" s="50"/>
      <c r="L320" s="869" t="s">
        <v>615</v>
      </c>
      <c r="M320" s="865" t="s">
        <v>591</v>
      </c>
      <c r="N320" s="865" t="s">
        <v>667</v>
      </c>
      <c r="O320" s="866">
        <v>2004.0</v>
      </c>
      <c r="P320" s="865" t="s">
        <v>593</v>
      </c>
      <c r="Q320" s="865" t="s">
        <v>70</v>
      </c>
      <c r="R320" s="867">
        <v>26926.30247</v>
      </c>
      <c r="S320" s="867">
        <v>29472.98152</v>
      </c>
      <c r="T320" s="868">
        <v>24390.99367</v>
      </c>
      <c r="AN320" s="882"/>
      <c r="AO320" s="882"/>
      <c r="AP320" s="882"/>
      <c r="AY320" s="882"/>
      <c r="AZ320" s="882"/>
      <c r="BA320" s="882"/>
      <c r="BJ320" s="882"/>
      <c r="BK320" s="882"/>
      <c r="BL320" s="882"/>
      <c r="BU320" s="882"/>
      <c r="BV320" s="882"/>
      <c r="BW320" s="882"/>
      <c r="CF320" s="882"/>
      <c r="CG320" s="882"/>
      <c r="CH320" s="882"/>
      <c r="CI320" s="530"/>
    </row>
    <row r="321">
      <c r="A321" s="857"/>
      <c r="B321" s="865" t="s">
        <v>615</v>
      </c>
      <c r="C321" s="865" t="s">
        <v>591</v>
      </c>
      <c r="D321" s="865" t="s">
        <v>669</v>
      </c>
      <c r="E321" s="866">
        <v>2019.0</v>
      </c>
      <c r="F321" s="865" t="s">
        <v>593</v>
      </c>
      <c r="G321" s="865" t="s">
        <v>70</v>
      </c>
      <c r="H321" s="867">
        <v>26250.56179</v>
      </c>
      <c r="I321" s="867">
        <v>29764.82824</v>
      </c>
      <c r="J321" s="868">
        <v>22665.80186</v>
      </c>
      <c r="K321" s="50"/>
      <c r="L321" s="869" t="s">
        <v>615</v>
      </c>
      <c r="M321" s="865" t="s">
        <v>591</v>
      </c>
      <c r="N321" s="865" t="s">
        <v>669</v>
      </c>
      <c r="O321" s="866">
        <v>2004.0</v>
      </c>
      <c r="P321" s="865" t="s">
        <v>593</v>
      </c>
      <c r="Q321" s="865" t="s">
        <v>70</v>
      </c>
      <c r="R321" s="867">
        <v>17146.27026</v>
      </c>
      <c r="S321" s="867">
        <v>18767.95773</v>
      </c>
      <c r="T321" s="868">
        <v>15531.8232</v>
      </c>
      <c r="AN321" s="882"/>
      <c r="AO321" s="882"/>
      <c r="AP321" s="882"/>
      <c r="AY321" s="882"/>
      <c r="AZ321" s="882"/>
      <c r="BA321" s="882"/>
      <c r="BJ321" s="882"/>
      <c r="BK321" s="882"/>
      <c r="BL321" s="882"/>
      <c r="BU321" s="882"/>
      <c r="BV321" s="882"/>
      <c r="BW321" s="882"/>
      <c r="CF321" s="882"/>
      <c r="CG321" s="882"/>
      <c r="CH321" s="882"/>
      <c r="CI321" s="530"/>
    </row>
    <row r="322">
      <c r="A322" s="857"/>
      <c r="B322" s="865" t="s">
        <v>615</v>
      </c>
      <c r="C322" s="865" t="s">
        <v>591</v>
      </c>
      <c r="D322" s="865" t="s">
        <v>671</v>
      </c>
      <c r="E322" s="866">
        <v>2019.0</v>
      </c>
      <c r="F322" s="865" t="s">
        <v>593</v>
      </c>
      <c r="G322" s="865" t="s">
        <v>70</v>
      </c>
      <c r="H322" s="867">
        <v>14870.31553</v>
      </c>
      <c r="I322" s="867">
        <v>16863.08524</v>
      </c>
      <c r="J322" s="868">
        <v>12840.32338</v>
      </c>
      <c r="K322" s="50"/>
      <c r="L322" s="869" t="s">
        <v>615</v>
      </c>
      <c r="M322" s="865" t="s">
        <v>591</v>
      </c>
      <c r="N322" s="865" t="s">
        <v>671</v>
      </c>
      <c r="O322" s="866">
        <v>2004.0</v>
      </c>
      <c r="P322" s="865" t="s">
        <v>593</v>
      </c>
      <c r="Q322" s="865" t="s">
        <v>70</v>
      </c>
      <c r="R322" s="867">
        <v>9779.197291</v>
      </c>
      <c r="S322" s="867">
        <v>10705.24754</v>
      </c>
      <c r="T322" s="868">
        <v>8859.154327</v>
      </c>
      <c r="AN322" s="882"/>
      <c r="AO322" s="882"/>
      <c r="AP322" s="882"/>
      <c r="AY322" s="882"/>
      <c r="AZ322" s="882"/>
      <c r="BA322" s="882"/>
      <c r="BJ322" s="882"/>
      <c r="BK322" s="882"/>
      <c r="BL322" s="882"/>
      <c r="BU322" s="882"/>
      <c r="BV322" s="882"/>
      <c r="BW322" s="882"/>
      <c r="CF322" s="882"/>
      <c r="CG322" s="882"/>
      <c r="CH322" s="882"/>
      <c r="CI322" s="530"/>
    </row>
    <row r="323">
      <c r="A323" s="857"/>
      <c r="B323" s="865" t="s">
        <v>615</v>
      </c>
      <c r="C323" s="865" t="s">
        <v>591</v>
      </c>
      <c r="D323" s="865" t="s">
        <v>673</v>
      </c>
      <c r="E323" s="866">
        <v>2019.0</v>
      </c>
      <c r="F323" s="865" t="s">
        <v>593</v>
      </c>
      <c r="G323" s="865" t="s">
        <v>70</v>
      </c>
      <c r="H323" s="867">
        <v>10958.7975</v>
      </c>
      <c r="I323" s="867">
        <v>12425.89502</v>
      </c>
      <c r="J323" s="868">
        <v>9462.271116</v>
      </c>
      <c r="K323" s="50"/>
      <c r="L323" s="869" t="s">
        <v>615</v>
      </c>
      <c r="M323" s="865" t="s">
        <v>591</v>
      </c>
      <c r="N323" s="865" t="s">
        <v>673</v>
      </c>
      <c r="O323" s="866">
        <v>2004.0</v>
      </c>
      <c r="P323" s="865" t="s">
        <v>593</v>
      </c>
      <c r="Q323" s="865" t="s">
        <v>70</v>
      </c>
      <c r="R323" s="867">
        <v>7223.138099</v>
      </c>
      <c r="S323" s="867">
        <v>7906.299646</v>
      </c>
      <c r="T323" s="868">
        <v>6543.026687</v>
      </c>
      <c r="AN323" s="882"/>
      <c r="AO323" s="882"/>
      <c r="AP323" s="882"/>
      <c r="AY323" s="882"/>
      <c r="AZ323" s="882"/>
      <c r="BA323" s="882"/>
      <c r="BJ323" s="882"/>
      <c r="BK323" s="882"/>
      <c r="BL323" s="882"/>
      <c r="BU323" s="882"/>
      <c r="BV323" s="882"/>
      <c r="BW323" s="882"/>
      <c r="CF323" s="882"/>
      <c r="CG323" s="882"/>
      <c r="CH323" s="882"/>
      <c r="CI323" s="530"/>
    </row>
    <row r="324">
      <c r="A324" s="857"/>
      <c r="B324" s="865" t="s">
        <v>615</v>
      </c>
      <c r="C324" s="865" t="s">
        <v>591</v>
      </c>
      <c r="D324" s="865" t="s">
        <v>674</v>
      </c>
      <c r="E324" s="866">
        <v>2019.0</v>
      </c>
      <c r="F324" s="865" t="s">
        <v>593</v>
      </c>
      <c r="G324" s="865" t="s">
        <v>70</v>
      </c>
      <c r="H324" s="867">
        <v>3197.297798</v>
      </c>
      <c r="I324" s="867">
        <v>3625.332689</v>
      </c>
      <c r="J324" s="868">
        <v>2760.676855</v>
      </c>
      <c r="K324" s="50"/>
      <c r="L324" s="869" t="s">
        <v>615</v>
      </c>
      <c r="M324" s="865" t="s">
        <v>591</v>
      </c>
      <c r="N324" s="865" t="s">
        <v>674</v>
      </c>
      <c r="O324" s="866">
        <v>2004.0</v>
      </c>
      <c r="P324" s="865" t="s">
        <v>593</v>
      </c>
      <c r="Q324" s="865" t="s">
        <v>70</v>
      </c>
      <c r="R324" s="867">
        <v>2125.294273</v>
      </c>
      <c r="S324" s="867">
        <v>2326.303765</v>
      </c>
      <c r="T324" s="868">
        <v>1925.182234</v>
      </c>
      <c r="AN324" s="882"/>
      <c r="AO324" s="882"/>
      <c r="AP324" s="882"/>
      <c r="AY324" s="882"/>
      <c r="AZ324" s="882"/>
      <c r="BA324" s="882"/>
      <c r="BJ324" s="882"/>
      <c r="BK324" s="882"/>
      <c r="BL324" s="882"/>
      <c r="BU324" s="882"/>
      <c r="BV324" s="882"/>
      <c r="BW324" s="882"/>
      <c r="CF324" s="882"/>
      <c r="CG324" s="882"/>
      <c r="CH324" s="882"/>
      <c r="CI324" s="530"/>
    </row>
    <row r="325">
      <c r="A325" s="857"/>
      <c r="B325" s="865" t="s">
        <v>615</v>
      </c>
      <c r="C325" s="865" t="s">
        <v>591</v>
      </c>
      <c r="D325" s="865" t="s">
        <v>676</v>
      </c>
      <c r="E325" s="866">
        <v>2019.0</v>
      </c>
      <c r="F325" s="865" t="s">
        <v>593</v>
      </c>
      <c r="G325" s="865" t="s">
        <v>70</v>
      </c>
      <c r="H325" s="867">
        <v>715.9899497</v>
      </c>
      <c r="I325" s="867">
        <v>811.8423537</v>
      </c>
      <c r="J325" s="868">
        <v>618.2148199</v>
      </c>
      <c r="K325" s="50"/>
      <c r="L325" s="869" t="s">
        <v>615</v>
      </c>
      <c r="M325" s="865" t="s">
        <v>591</v>
      </c>
      <c r="N325" s="865" t="s">
        <v>676</v>
      </c>
      <c r="O325" s="866">
        <v>2004.0</v>
      </c>
      <c r="P325" s="865" t="s">
        <v>593</v>
      </c>
      <c r="Q325" s="865" t="s">
        <v>70</v>
      </c>
      <c r="R325" s="867">
        <v>431.5998347</v>
      </c>
      <c r="S325" s="867">
        <v>472.4203766</v>
      </c>
      <c r="T325" s="868">
        <v>390.9615458</v>
      </c>
      <c r="AN325" s="882"/>
      <c r="AO325" s="882"/>
      <c r="AP325" s="882"/>
      <c r="AY325" s="882"/>
      <c r="AZ325" s="882"/>
      <c r="BA325" s="882"/>
      <c r="BJ325" s="882"/>
      <c r="BK325" s="882"/>
      <c r="BL325" s="882"/>
      <c r="BU325" s="882"/>
      <c r="BV325" s="882"/>
      <c r="BW325" s="882"/>
      <c r="CF325" s="882"/>
      <c r="CG325" s="882"/>
      <c r="CH325" s="882"/>
      <c r="CI325" s="530"/>
    </row>
    <row r="326">
      <c r="A326" s="857"/>
      <c r="B326" s="865" t="s">
        <v>615</v>
      </c>
      <c r="C326" s="865" t="s">
        <v>591</v>
      </c>
      <c r="D326" s="865" t="s">
        <v>678</v>
      </c>
      <c r="E326" s="866">
        <v>2019.0</v>
      </c>
      <c r="F326" s="865" t="s">
        <v>593</v>
      </c>
      <c r="G326" s="865" t="s">
        <v>70</v>
      </c>
      <c r="H326" s="867">
        <v>1.193436075E7</v>
      </c>
      <c r="I326" s="867">
        <v>1.353206078E7</v>
      </c>
      <c r="J326" s="868">
        <v>1.030461208E7</v>
      </c>
      <c r="K326" s="50"/>
      <c r="L326" s="869" t="s">
        <v>615</v>
      </c>
      <c r="M326" s="865" t="s">
        <v>591</v>
      </c>
      <c r="N326" s="865" t="s">
        <v>678</v>
      </c>
      <c r="O326" s="866">
        <v>2004.0</v>
      </c>
      <c r="P326" s="865" t="s">
        <v>593</v>
      </c>
      <c r="Q326" s="865" t="s">
        <v>70</v>
      </c>
      <c r="R326" s="867">
        <v>7109778.814</v>
      </c>
      <c r="S326" s="867">
        <v>7782218.885</v>
      </c>
      <c r="T326" s="868">
        <v>6440341.01</v>
      </c>
      <c r="AN326" s="882"/>
      <c r="AO326" s="882"/>
      <c r="AP326" s="882"/>
      <c r="AY326" s="882"/>
      <c r="AZ326" s="882"/>
      <c r="BA326" s="882"/>
      <c r="BJ326" s="882"/>
      <c r="BK326" s="882"/>
      <c r="BL326" s="882"/>
      <c r="BU326" s="882"/>
      <c r="BV326" s="882"/>
      <c r="BW326" s="882"/>
      <c r="CF326" s="882"/>
      <c r="CG326" s="882"/>
      <c r="CH326" s="882"/>
      <c r="CI326" s="530"/>
    </row>
    <row r="327">
      <c r="A327" s="857"/>
      <c r="B327" s="865" t="s">
        <v>615</v>
      </c>
      <c r="C327" s="865" t="s">
        <v>591</v>
      </c>
      <c r="D327" s="865" t="s">
        <v>680</v>
      </c>
      <c r="E327" s="866">
        <v>2019.0</v>
      </c>
      <c r="F327" s="865" t="s">
        <v>593</v>
      </c>
      <c r="G327" s="865" t="s">
        <v>70</v>
      </c>
      <c r="H327" s="867">
        <v>466221.1984</v>
      </c>
      <c r="I327" s="867">
        <v>499074.1811</v>
      </c>
      <c r="J327" s="868">
        <v>436490.4056</v>
      </c>
      <c r="K327" s="50"/>
      <c r="L327" s="869" t="s">
        <v>615</v>
      </c>
      <c r="M327" s="865" t="s">
        <v>591</v>
      </c>
      <c r="N327" s="865" t="s">
        <v>680</v>
      </c>
      <c r="O327" s="866">
        <v>2004.0</v>
      </c>
      <c r="P327" s="865" t="s">
        <v>593</v>
      </c>
      <c r="Q327" s="865" t="s">
        <v>70</v>
      </c>
      <c r="R327" s="867">
        <v>297879.939</v>
      </c>
      <c r="S327" s="867">
        <v>309256.0545</v>
      </c>
      <c r="T327" s="868">
        <v>286959.2902</v>
      </c>
      <c r="AN327" s="882"/>
      <c r="AO327" s="882"/>
      <c r="AP327" s="882"/>
      <c r="AY327" s="882"/>
      <c r="AZ327" s="882"/>
      <c r="BA327" s="882"/>
      <c r="BJ327" s="882"/>
      <c r="BK327" s="882"/>
      <c r="BL327" s="882"/>
      <c r="BU327" s="882"/>
      <c r="BV327" s="882"/>
      <c r="BW327" s="882"/>
      <c r="CF327" s="882"/>
      <c r="CG327" s="882"/>
      <c r="CH327" s="882"/>
      <c r="CI327" s="530"/>
    </row>
    <row r="328">
      <c r="A328" s="857"/>
      <c r="B328" s="865" t="s">
        <v>615</v>
      </c>
      <c r="C328" s="865" t="s">
        <v>591</v>
      </c>
      <c r="D328" s="865" t="s">
        <v>682</v>
      </c>
      <c r="E328" s="866">
        <v>2019.0</v>
      </c>
      <c r="F328" s="865" t="s">
        <v>593</v>
      </c>
      <c r="G328" s="865" t="s">
        <v>70</v>
      </c>
      <c r="H328" s="867">
        <v>8856.636748</v>
      </c>
      <c r="I328" s="867">
        <v>10042.30971</v>
      </c>
      <c r="J328" s="868">
        <v>7647.180096</v>
      </c>
      <c r="K328" s="50"/>
      <c r="L328" s="869" t="s">
        <v>615</v>
      </c>
      <c r="M328" s="865" t="s">
        <v>591</v>
      </c>
      <c r="N328" s="865" t="s">
        <v>682</v>
      </c>
      <c r="O328" s="866">
        <v>2004.0</v>
      </c>
      <c r="P328" s="865" t="s">
        <v>593</v>
      </c>
      <c r="Q328" s="865" t="s">
        <v>70</v>
      </c>
      <c r="R328" s="867">
        <v>5723.975237</v>
      </c>
      <c r="S328" s="867">
        <v>6265.346554</v>
      </c>
      <c r="T328" s="868">
        <v>5185.021001</v>
      </c>
      <c r="AN328" s="882"/>
      <c r="AO328" s="882"/>
      <c r="AP328" s="882"/>
      <c r="AY328" s="882"/>
      <c r="AZ328" s="882"/>
      <c r="BA328" s="882"/>
      <c r="BJ328" s="882"/>
      <c r="BK328" s="882"/>
      <c r="BL328" s="882"/>
      <c r="BU328" s="882"/>
      <c r="BV328" s="882"/>
      <c r="BW328" s="882"/>
      <c r="CF328" s="882"/>
      <c r="CG328" s="882"/>
      <c r="CH328" s="882"/>
      <c r="CI328" s="530"/>
    </row>
    <row r="329">
      <c r="A329" s="857"/>
      <c r="B329" s="865" t="s">
        <v>615</v>
      </c>
      <c r="C329" s="865" t="s">
        <v>591</v>
      </c>
      <c r="D329" s="865" t="s">
        <v>684</v>
      </c>
      <c r="E329" s="866">
        <v>2019.0</v>
      </c>
      <c r="F329" s="865" t="s">
        <v>593</v>
      </c>
      <c r="G329" s="865" t="s">
        <v>70</v>
      </c>
      <c r="H329" s="867">
        <v>26215.88039</v>
      </c>
      <c r="I329" s="867">
        <v>29725.50389</v>
      </c>
      <c r="J329" s="868">
        <v>22635.85652</v>
      </c>
      <c r="K329" s="50"/>
      <c r="L329" s="869" t="s">
        <v>615</v>
      </c>
      <c r="M329" s="865" t="s">
        <v>591</v>
      </c>
      <c r="N329" s="865" t="s">
        <v>684</v>
      </c>
      <c r="O329" s="866">
        <v>2004.0</v>
      </c>
      <c r="P329" s="865" t="s">
        <v>593</v>
      </c>
      <c r="Q329" s="865" t="s">
        <v>70</v>
      </c>
      <c r="R329" s="867">
        <v>16833.72968</v>
      </c>
      <c r="S329" s="867">
        <v>18425.85718</v>
      </c>
      <c r="T329" s="868">
        <v>15248.71061</v>
      </c>
      <c r="AN329" s="882"/>
      <c r="AO329" s="882"/>
      <c r="AP329" s="882"/>
      <c r="AY329" s="882"/>
      <c r="AZ329" s="882"/>
      <c r="BA329" s="882"/>
      <c r="BJ329" s="882"/>
      <c r="BK329" s="882"/>
      <c r="BL329" s="882"/>
      <c r="BU329" s="882"/>
      <c r="BV329" s="882"/>
      <c r="BW329" s="882"/>
      <c r="CF329" s="882"/>
      <c r="CG329" s="882"/>
      <c r="CH329" s="882"/>
      <c r="CI329" s="530"/>
    </row>
    <row r="330">
      <c r="A330" s="857"/>
      <c r="B330" s="865" t="s">
        <v>615</v>
      </c>
      <c r="C330" s="865" t="s">
        <v>591</v>
      </c>
      <c r="D330" s="865" t="s">
        <v>686</v>
      </c>
      <c r="E330" s="866">
        <v>2019.0</v>
      </c>
      <c r="F330" s="865" t="s">
        <v>593</v>
      </c>
      <c r="G330" s="865" t="s">
        <v>70</v>
      </c>
      <c r="H330" s="867">
        <v>35072.51714</v>
      </c>
      <c r="I330" s="867">
        <v>39767.8136</v>
      </c>
      <c r="J330" s="868">
        <v>30283.03662</v>
      </c>
      <c r="K330" s="50"/>
      <c r="L330" s="869" t="s">
        <v>615</v>
      </c>
      <c r="M330" s="865" t="s">
        <v>591</v>
      </c>
      <c r="N330" s="865" t="s">
        <v>686</v>
      </c>
      <c r="O330" s="866">
        <v>2004.0</v>
      </c>
      <c r="P330" s="865" t="s">
        <v>593</v>
      </c>
      <c r="Q330" s="865" t="s">
        <v>70</v>
      </c>
      <c r="R330" s="867">
        <v>22557.70492</v>
      </c>
      <c r="S330" s="867">
        <v>24691.20373</v>
      </c>
      <c r="T330" s="868">
        <v>20433.73161</v>
      </c>
      <c r="AN330" s="882"/>
      <c r="AO330" s="882"/>
      <c r="AP330" s="882"/>
      <c r="AY330" s="882"/>
      <c r="AZ330" s="882"/>
      <c r="BA330" s="882"/>
      <c r="BJ330" s="882"/>
      <c r="BK330" s="882"/>
      <c r="BL330" s="882"/>
      <c r="BU330" s="882"/>
      <c r="BV330" s="882"/>
      <c r="BW330" s="882"/>
      <c r="CF330" s="882"/>
      <c r="CG330" s="882"/>
      <c r="CH330" s="882"/>
      <c r="CI330" s="530"/>
    </row>
    <row r="331">
      <c r="A331" s="857"/>
      <c r="B331" s="865" t="s">
        <v>615</v>
      </c>
      <c r="C331" s="865" t="s">
        <v>591</v>
      </c>
      <c r="D331" s="865" t="s">
        <v>688</v>
      </c>
      <c r="E331" s="866">
        <v>2019.0</v>
      </c>
      <c r="F331" s="865" t="s">
        <v>593</v>
      </c>
      <c r="G331" s="865" t="s">
        <v>70</v>
      </c>
      <c r="H331" s="867">
        <v>408439.3201</v>
      </c>
      <c r="I331" s="867">
        <v>463118.706</v>
      </c>
      <c r="J331" s="868">
        <v>352663.1077</v>
      </c>
      <c r="K331" s="50"/>
      <c r="L331" s="869" t="s">
        <v>615</v>
      </c>
      <c r="M331" s="865" t="s">
        <v>591</v>
      </c>
      <c r="N331" s="865" t="s">
        <v>688</v>
      </c>
      <c r="O331" s="866">
        <v>2004.0</v>
      </c>
      <c r="P331" s="865" t="s">
        <v>593</v>
      </c>
      <c r="Q331" s="865" t="s">
        <v>70</v>
      </c>
      <c r="R331" s="867">
        <v>257292.8168</v>
      </c>
      <c r="S331" s="867">
        <v>281627.4698</v>
      </c>
      <c r="T331" s="868">
        <v>233066.8117</v>
      </c>
      <c r="AN331" s="882"/>
      <c r="AO331" s="882"/>
      <c r="AP331" s="882"/>
      <c r="AY331" s="882"/>
      <c r="AZ331" s="882"/>
      <c r="BA331" s="882"/>
      <c r="BJ331" s="882"/>
      <c r="BK331" s="882"/>
      <c r="BL331" s="882"/>
      <c r="BU331" s="882"/>
      <c r="BV331" s="882"/>
      <c r="BW331" s="882"/>
      <c r="CF331" s="882"/>
      <c r="CG331" s="882"/>
      <c r="CH331" s="882"/>
      <c r="CI331" s="530"/>
    </row>
    <row r="332">
      <c r="A332" s="857"/>
      <c r="B332" s="865" t="s">
        <v>615</v>
      </c>
      <c r="C332" s="865" t="s">
        <v>591</v>
      </c>
      <c r="D332" s="865" t="s">
        <v>689</v>
      </c>
      <c r="E332" s="866">
        <v>2019.0</v>
      </c>
      <c r="F332" s="865" t="s">
        <v>593</v>
      </c>
      <c r="G332" s="865" t="s">
        <v>70</v>
      </c>
      <c r="H332" s="867">
        <v>2078971.03</v>
      </c>
      <c r="I332" s="867">
        <v>2357291.098</v>
      </c>
      <c r="J332" s="868">
        <v>1795068.076</v>
      </c>
      <c r="K332" s="50"/>
      <c r="L332" s="869" t="s">
        <v>615</v>
      </c>
      <c r="M332" s="865" t="s">
        <v>591</v>
      </c>
      <c r="N332" s="865" t="s">
        <v>689</v>
      </c>
      <c r="O332" s="866">
        <v>2004.0</v>
      </c>
      <c r="P332" s="865" t="s">
        <v>593</v>
      </c>
      <c r="Q332" s="865" t="s">
        <v>70</v>
      </c>
      <c r="R332" s="867">
        <v>1257437.634</v>
      </c>
      <c r="S332" s="867">
        <v>1376365.589</v>
      </c>
      <c r="T332" s="868">
        <v>1139040.662</v>
      </c>
      <c r="AN332" s="882"/>
      <c r="AO332" s="882"/>
      <c r="AP332" s="882"/>
      <c r="AY332" s="882"/>
      <c r="AZ332" s="882"/>
      <c r="BA332" s="882"/>
      <c r="BJ332" s="882"/>
      <c r="BK332" s="882"/>
      <c r="BL332" s="882"/>
      <c r="BU332" s="882"/>
      <c r="BV332" s="882"/>
      <c r="BW332" s="882"/>
      <c r="CF332" s="882"/>
      <c r="CG332" s="882"/>
      <c r="CH332" s="882"/>
      <c r="CI332" s="530"/>
    </row>
    <row r="333">
      <c r="A333" s="857"/>
      <c r="B333" s="865" t="s">
        <v>617</v>
      </c>
      <c r="C333" s="865" t="s">
        <v>591</v>
      </c>
      <c r="D333" s="865" t="s">
        <v>592</v>
      </c>
      <c r="E333" s="866">
        <v>2019.0</v>
      </c>
      <c r="F333" s="865" t="s">
        <v>593</v>
      </c>
      <c r="G333" s="865" t="s">
        <v>70</v>
      </c>
      <c r="H333" s="867">
        <v>846048.2408</v>
      </c>
      <c r="I333" s="867">
        <v>933378.0485</v>
      </c>
      <c r="J333" s="868">
        <v>762049.4465</v>
      </c>
      <c r="K333" s="50"/>
      <c r="L333" s="869" t="s">
        <v>617</v>
      </c>
      <c r="M333" s="865" t="s">
        <v>591</v>
      </c>
      <c r="N333" s="865" t="s">
        <v>592</v>
      </c>
      <c r="O333" s="866">
        <v>2004.0</v>
      </c>
      <c r="P333" s="865" t="s">
        <v>593</v>
      </c>
      <c r="Q333" s="865" t="s">
        <v>70</v>
      </c>
      <c r="R333" s="867">
        <v>742702.8312</v>
      </c>
      <c r="S333" s="867">
        <v>824904.4663</v>
      </c>
      <c r="T333" s="868">
        <v>664231.5338</v>
      </c>
      <c r="AN333" s="882"/>
      <c r="AO333" s="882"/>
      <c r="AP333" s="882"/>
      <c r="AY333" s="882"/>
      <c r="AZ333" s="882"/>
      <c r="BA333" s="882"/>
      <c r="BJ333" s="882"/>
      <c r="BK333" s="882"/>
      <c r="BL333" s="882"/>
      <c r="BU333" s="882"/>
      <c r="BV333" s="882"/>
      <c r="BW333" s="882"/>
      <c r="CF333" s="882"/>
      <c r="CG333" s="882"/>
      <c r="CH333" s="882"/>
      <c r="CI333" s="530"/>
    </row>
    <row r="334">
      <c r="A334" s="857"/>
      <c r="B334" s="865" t="s">
        <v>617</v>
      </c>
      <c r="C334" s="865" t="s">
        <v>591</v>
      </c>
      <c r="D334" s="865" t="s">
        <v>601</v>
      </c>
      <c r="E334" s="866">
        <v>2019.0</v>
      </c>
      <c r="F334" s="865" t="s">
        <v>593</v>
      </c>
      <c r="G334" s="865" t="s">
        <v>70</v>
      </c>
      <c r="H334" s="867">
        <v>1.33252224E7</v>
      </c>
      <c r="I334" s="867">
        <v>1.470066301E7</v>
      </c>
      <c r="J334" s="868">
        <v>1.20022451E7</v>
      </c>
      <c r="K334" s="50"/>
      <c r="L334" s="869" t="s">
        <v>617</v>
      </c>
      <c r="M334" s="865" t="s">
        <v>591</v>
      </c>
      <c r="N334" s="865" t="s">
        <v>601</v>
      </c>
      <c r="O334" s="866">
        <v>2004.0</v>
      </c>
      <c r="P334" s="865" t="s">
        <v>593</v>
      </c>
      <c r="Q334" s="865" t="s">
        <v>70</v>
      </c>
      <c r="R334" s="867">
        <v>1.014743784E7</v>
      </c>
      <c r="S334" s="867">
        <v>1.12705465E7</v>
      </c>
      <c r="T334" s="868">
        <v>9075296.221</v>
      </c>
      <c r="AN334" s="882"/>
      <c r="AO334" s="882"/>
      <c r="AP334" s="882"/>
      <c r="AY334" s="882"/>
      <c r="AZ334" s="882"/>
      <c r="BA334" s="882"/>
      <c r="BJ334" s="882"/>
      <c r="BK334" s="882"/>
      <c r="BL334" s="882"/>
      <c r="BU334" s="882"/>
      <c r="BV334" s="882"/>
      <c r="BW334" s="882"/>
      <c r="CF334" s="882"/>
      <c r="CG334" s="882"/>
      <c r="CH334" s="882"/>
      <c r="CI334" s="530"/>
    </row>
    <row r="335">
      <c r="A335" s="857"/>
      <c r="B335" s="865" t="s">
        <v>617</v>
      </c>
      <c r="C335" s="865" t="s">
        <v>591</v>
      </c>
      <c r="D335" s="865" t="s">
        <v>606</v>
      </c>
      <c r="E335" s="866">
        <v>2019.0</v>
      </c>
      <c r="F335" s="865" t="s">
        <v>593</v>
      </c>
      <c r="G335" s="865" t="s">
        <v>70</v>
      </c>
      <c r="H335" s="867">
        <v>1.068333264E7</v>
      </c>
      <c r="I335" s="867">
        <v>1.178607518E7</v>
      </c>
      <c r="J335" s="868">
        <v>9622651.918</v>
      </c>
      <c r="K335" s="50"/>
      <c r="L335" s="869" t="s">
        <v>617</v>
      </c>
      <c r="M335" s="865" t="s">
        <v>591</v>
      </c>
      <c r="N335" s="865" t="s">
        <v>606</v>
      </c>
      <c r="O335" s="866">
        <v>2004.0</v>
      </c>
      <c r="P335" s="865" t="s">
        <v>593</v>
      </c>
      <c r="Q335" s="865" t="s">
        <v>70</v>
      </c>
      <c r="R335" s="867">
        <v>8116089.967</v>
      </c>
      <c r="S335" s="867">
        <v>9014371.0</v>
      </c>
      <c r="T335" s="868">
        <v>7258573.229</v>
      </c>
      <c r="AN335" s="882"/>
      <c r="AO335" s="882"/>
      <c r="AP335" s="882"/>
      <c r="AY335" s="882"/>
      <c r="AZ335" s="882"/>
      <c r="BA335" s="882"/>
      <c r="BJ335" s="882"/>
      <c r="BK335" s="882"/>
      <c r="BL335" s="882"/>
      <c r="BU335" s="882"/>
      <c r="BV335" s="882"/>
      <c r="BW335" s="882"/>
      <c r="CF335" s="882"/>
      <c r="CG335" s="882"/>
      <c r="CH335" s="882"/>
      <c r="CI335" s="530"/>
    </row>
    <row r="336">
      <c r="A336" s="857"/>
      <c r="B336" s="865" t="s">
        <v>617</v>
      </c>
      <c r="C336" s="865" t="s">
        <v>591</v>
      </c>
      <c r="D336" s="865" t="s">
        <v>608</v>
      </c>
      <c r="E336" s="866">
        <v>2019.0</v>
      </c>
      <c r="F336" s="865" t="s">
        <v>593</v>
      </c>
      <c r="G336" s="865" t="s">
        <v>70</v>
      </c>
      <c r="H336" s="867">
        <v>3165950.281</v>
      </c>
      <c r="I336" s="867">
        <v>3492742.319</v>
      </c>
      <c r="J336" s="868">
        <v>2851623.043</v>
      </c>
      <c r="K336" s="50"/>
      <c r="L336" s="869" t="s">
        <v>617</v>
      </c>
      <c r="M336" s="865" t="s">
        <v>591</v>
      </c>
      <c r="N336" s="865" t="s">
        <v>608</v>
      </c>
      <c r="O336" s="866">
        <v>2004.0</v>
      </c>
      <c r="P336" s="865" t="s">
        <v>593</v>
      </c>
      <c r="Q336" s="865" t="s">
        <v>70</v>
      </c>
      <c r="R336" s="867">
        <v>2558562.757</v>
      </c>
      <c r="S336" s="867">
        <v>2841742.023</v>
      </c>
      <c r="T336" s="868">
        <v>2288234.262</v>
      </c>
      <c r="AN336" s="882"/>
      <c r="AO336" s="882"/>
      <c r="AP336" s="882"/>
      <c r="AY336" s="882"/>
      <c r="AZ336" s="882"/>
      <c r="BA336" s="882"/>
      <c r="BJ336" s="882"/>
      <c r="BK336" s="882"/>
      <c r="BL336" s="882"/>
      <c r="BU336" s="882"/>
      <c r="BV336" s="882"/>
      <c r="BW336" s="882"/>
      <c r="CF336" s="882"/>
      <c r="CG336" s="882"/>
      <c r="CH336" s="882"/>
      <c r="CI336" s="530"/>
    </row>
    <row r="337">
      <c r="A337" s="857"/>
      <c r="B337" s="865" t="s">
        <v>617</v>
      </c>
      <c r="C337" s="865" t="s">
        <v>591</v>
      </c>
      <c r="D337" s="865" t="s">
        <v>610</v>
      </c>
      <c r="E337" s="866">
        <v>2019.0</v>
      </c>
      <c r="F337" s="865" t="s">
        <v>593</v>
      </c>
      <c r="G337" s="865" t="s">
        <v>70</v>
      </c>
      <c r="H337" s="867">
        <v>3089144.155</v>
      </c>
      <c r="I337" s="867">
        <v>3408008.2</v>
      </c>
      <c r="J337" s="868">
        <v>2782442.513</v>
      </c>
      <c r="K337" s="50"/>
      <c r="L337" s="869" t="s">
        <v>617</v>
      </c>
      <c r="M337" s="865" t="s">
        <v>591</v>
      </c>
      <c r="N337" s="865" t="s">
        <v>610</v>
      </c>
      <c r="O337" s="866">
        <v>2004.0</v>
      </c>
      <c r="P337" s="865" t="s">
        <v>593</v>
      </c>
      <c r="Q337" s="865" t="s">
        <v>70</v>
      </c>
      <c r="R337" s="867">
        <v>2194453.146</v>
      </c>
      <c r="S337" s="867">
        <v>2437333.109</v>
      </c>
      <c r="T337" s="868">
        <v>1962595.156</v>
      </c>
      <c r="AN337" s="882"/>
      <c r="AO337" s="882"/>
      <c r="AP337" s="882"/>
      <c r="AY337" s="882"/>
      <c r="AZ337" s="882"/>
      <c r="BA337" s="882"/>
      <c r="BJ337" s="882"/>
      <c r="BK337" s="882"/>
      <c r="BL337" s="882"/>
      <c r="BU337" s="882"/>
      <c r="BV337" s="882"/>
      <c r="BW337" s="882"/>
      <c r="CF337" s="882"/>
      <c r="CG337" s="882"/>
      <c r="CH337" s="882"/>
      <c r="CI337" s="530"/>
    </row>
    <row r="338">
      <c r="A338" s="857"/>
      <c r="B338" s="865" t="s">
        <v>617</v>
      </c>
      <c r="C338" s="865" t="s">
        <v>591</v>
      </c>
      <c r="D338" s="865" t="s">
        <v>612</v>
      </c>
      <c r="E338" s="866">
        <v>2019.0</v>
      </c>
      <c r="F338" s="865" t="s">
        <v>593</v>
      </c>
      <c r="G338" s="865" t="s">
        <v>70</v>
      </c>
      <c r="H338" s="867">
        <v>5731033.913</v>
      </c>
      <c r="I338" s="867">
        <v>6322596.031</v>
      </c>
      <c r="J338" s="868">
        <v>5162035.698</v>
      </c>
      <c r="K338" s="50"/>
      <c r="L338" s="869" t="s">
        <v>617</v>
      </c>
      <c r="M338" s="865" t="s">
        <v>591</v>
      </c>
      <c r="N338" s="865" t="s">
        <v>612</v>
      </c>
      <c r="O338" s="866">
        <v>2004.0</v>
      </c>
      <c r="P338" s="865" t="s">
        <v>593</v>
      </c>
      <c r="Q338" s="865" t="s">
        <v>70</v>
      </c>
      <c r="R338" s="867">
        <v>4225801.014</v>
      </c>
      <c r="S338" s="867">
        <v>4693508.606</v>
      </c>
      <c r="T338" s="868">
        <v>3779318.148</v>
      </c>
      <c r="AN338" s="882"/>
      <c r="AO338" s="882"/>
      <c r="AP338" s="882"/>
      <c r="AY338" s="882"/>
      <c r="AZ338" s="882"/>
      <c r="BA338" s="882"/>
      <c r="BJ338" s="882"/>
      <c r="BK338" s="882"/>
      <c r="BL338" s="882"/>
      <c r="BU338" s="882"/>
      <c r="BV338" s="882"/>
      <c r="BW338" s="882"/>
      <c r="CF338" s="882"/>
      <c r="CG338" s="882"/>
      <c r="CH338" s="882"/>
      <c r="CI338" s="530"/>
    </row>
    <row r="339">
      <c r="A339" s="857"/>
      <c r="B339" s="865" t="s">
        <v>617</v>
      </c>
      <c r="C339" s="865" t="s">
        <v>591</v>
      </c>
      <c r="D339" s="865" t="s">
        <v>614</v>
      </c>
      <c r="E339" s="866">
        <v>2019.0</v>
      </c>
      <c r="F339" s="865" t="s">
        <v>593</v>
      </c>
      <c r="G339" s="865" t="s">
        <v>70</v>
      </c>
      <c r="H339" s="867">
        <v>8071942.812</v>
      </c>
      <c r="I339" s="867">
        <v>8905135.507</v>
      </c>
      <c r="J339" s="868">
        <v>7270530.515</v>
      </c>
      <c r="K339" s="50"/>
      <c r="L339" s="869" t="s">
        <v>617</v>
      </c>
      <c r="M339" s="865" t="s">
        <v>591</v>
      </c>
      <c r="N339" s="865" t="s">
        <v>614</v>
      </c>
      <c r="O339" s="866">
        <v>2004.0</v>
      </c>
      <c r="P339" s="865" t="s">
        <v>593</v>
      </c>
      <c r="Q339" s="865" t="s">
        <v>70</v>
      </c>
      <c r="R339" s="867">
        <v>6168087.878</v>
      </c>
      <c r="S339" s="867">
        <v>6850765.913</v>
      </c>
      <c r="T339" s="868">
        <v>5516390.001</v>
      </c>
      <c r="AN339" s="882"/>
      <c r="AO339" s="882"/>
      <c r="AP339" s="882"/>
      <c r="AY339" s="882"/>
      <c r="AZ339" s="882"/>
      <c r="BA339" s="882"/>
      <c r="BJ339" s="882"/>
      <c r="BK339" s="882"/>
      <c r="BL339" s="882"/>
      <c r="BU339" s="882"/>
      <c r="BV339" s="882"/>
      <c r="BW339" s="882"/>
      <c r="CF339" s="882"/>
      <c r="CG339" s="882"/>
      <c r="CH339" s="882"/>
      <c r="CI339" s="530"/>
    </row>
    <row r="340">
      <c r="A340" s="857"/>
      <c r="B340" s="865" t="s">
        <v>617</v>
      </c>
      <c r="C340" s="865" t="s">
        <v>591</v>
      </c>
      <c r="D340" s="865" t="s">
        <v>616</v>
      </c>
      <c r="E340" s="866">
        <v>2019.0</v>
      </c>
      <c r="F340" s="865" t="s">
        <v>593</v>
      </c>
      <c r="G340" s="865" t="s">
        <v>70</v>
      </c>
      <c r="H340" s="867">
        <v>2641889.758</v>
      </c>
      <c r="I340" s="867">
        <v>2914587.831</v>
      </c>
      <c r="J340" s="868">
        <v>2379593.185</v>
      </c>
      <c r="K340" s="50"/>
      <c r="L340" s="869" t="s">
        <v>617</v>
      </c>
      <c r="M340" s="865" t="s">
        <v>591</v>
      </c>
      <c r="N340" s="865" t="s">
        <v>616</v>
      </c>
      <c r="O340" s="866">
        <v>2004.0</v>
      </c>
      <c r="P340" s="865" t="s">
        <v>593</v>
      </c>
      <c r="Q340" s="865" t="s">
        <v>70</v>
      </c>
      <c r="R340" s="867">
        <v>2031347.868</v>
      </c>
      <c r="S340" s="867">
        <v>2256175.496</v>
      </c>
      <c r="T340" s="868">
        <v>1816722.993</v>
      </c>
      <c r="AN340" s="882"/>
      <c r="AO340" s="882"/>
      <c r="AP340" s="882"/>
      <c r="AY340" s="882"/>
      <c r="AZ340" s="882"/>
      <c r="BA340" s="882"/>
      <c r="BJ340" s="882"/>
      <c r="BK340" s="882"/>
      <c r="BL340" s="882"/>
      <c r="BU340" s="882"/>
      <c r="BV340" s="882"/>
      <c r="BW340" s="882"/>
      <c r="CF340" s="882"/>
      <c r="CG340" s="882"/>
      <c r="CH340" s="882"/>
      <c r="CI340" s="530"/>
    </row>
    <row r="341">
      <c r="A341" s="857"/>
      <c r="B341" s="865" t="s">
        <v>617</v>
      </c>
      <c r="C341" s="865" t="s">
        <v>591</v>
      </c>
      <c r="D341" s="865" t="s">
        <v>618</v>
      </c>
      <c r="E341" s="866">
        <v>2019.0</v>
      </c>
      <c r="F341" s="865" t="s">
        <v>593</v>
      </c>
      <c r="G341" s="865" t="s">
        <v>70</v>
      </c>
      <c r="H341" s="867">
        <v>1.076749293E7</v>
      </c>
      <c r="I341" s="867">
        <v>1.187852644E7</v>
      </c>
      <c r="J341" s="868">
        <v>9697809.334</v>
      </c>
      <c r="K341" s="50"/>
      <c r="L341" s="869" t="s">
        <v>617</v>
      </c>
      <c r="M341" s="865" t="s">
        <v>591</v>
      </c>
      <c r="N341" s="865" t="s">
        <v>618</v>
      </c>
      <c r="O341" s="866">
        <v>2004.0</v>
      </c>
      <c r="P341" s="865" t="s">
        <v>593</v>
      </c>
      <c r="Q341" s="865" t="s">
        <v>70</v>
      </c>
      <c r="R341" s="867">
        <v>7957980.246</v>
      </c>
      <c r="S341" s="867">
        <v>8838577.717</v>
      </c>
      <c r="T341" s="868">
        <v>7116843.486</v>
      </c>
      <c r="AN341" s="882"/>
      <c r="AO341" s="882"/>
      <c r="AP341" s="882"/>
      <c r="AY341" s="882"/>
      <c r="AZ341" s="882"/>
      <c r="BA341" s="882"/>
      <c r="BJ341" s="882"/>
      <c r="BK341" s="882"/>
      <c r="BL341" s="882"/>
      <c r="BU341" s="882"/>
      <c r="BV341" s="882"/>
      <c r="BW341" s="882"/>
      <c r="CF341" s="882"/>
      <c r="CG341" s="882"/>
      <c r="CH341" s="882"/>
      <c r="CI341" s="530"/>
    </row>
    <row r="342">
      <c r="A342" s="857"/>
      <c r="B342" s="865" t="s">
        <v>617</v>
      </c>
      <c r="C342" s="865" t="s">
        <v>591</v>
      </c>
      <c r="D342" s="865" t="s">
        <v>620</v>
      </c>
      <c r="E342" s="866">
        <v>2019.0</v>
      </c>
      <c r="F342" s="865" t="s">
        <v>593</v>
      </c>
      <c r="G342" s="865" t="s">
        <v>70</v>
      </c>
      <c r="H342" s="867">
        <v>1.306080555E7</v>
      </c>
      <c r="I342" s="867">
        <v>1.440895283E7</v>
      </c>
      <c r="J342" s="868">
        <v>1.176408053E7</v>
      </c>
      <c r="K342" s="50"/>
      <c r="L342" s="869" t="s">
        <v>617</v>
      </c>
      <c r="M342" s="865" t="s">
        <v>591</v>
      </c>
      <c r="N342" s="865" t="s">
        <v>620</v>
      </c>
      <c r="O342" s="866">
        <v>2004.0</v>
      </c>
      <c r="P342" s="865" t="s">
        <v>593</v>
      </c>
      <c r="Q342" s="865" t="s">
        <v>70</v>
      </c>
      <c r="R342" s="867">
        <v>9355185.091</v>
      </c>
      <c r="S342" s="867">
        <v>1.039060798E7</v>
      </c>
      <c r="T342" s="868">
        <v>8366750.039</v>
      </c>
      <c r="AN342" s="882"/>
      <c r="AO342" s="882"/>
      <c r="AP342" s="882"/>
      <c r="AY342" s="882"/>
      <c r="AZ342" s="882"/>
      <c r="BA342" s="882"/>
      <c r="BJ342" s="882"/>
      <c r="BK342" s="882"/>
      <c r="BL342" s="882"/>
      <c r="BU342" s="882"/>
      <c r="BV342" s="882"/>
      <c r="BW342" s="882"/>
      <c r="CF342" s="882"/>
      <c r="CG342" s="882"/>
      <c r="CH342" s="882"/>
      <c r="CI342" s="530"/>
    </row>
    <row r="343">
      <c r="A343" s="857"/>
      <c r="B343" s="865" t="s">
        <v>617</v>
      </c>
      <c r="C343" s="865" t="s">
        <v>591</v>
      </c>
      <c r="D343" s="865" t="s">
        <v>622</v>
      </c>
      <c r="E343" s="866">
        <v>2019.0</v>
      </c>
      <c r="F343" s="865" t="s">
        <v>593</v>
      </c>
      <c r="G343" s="865" t="s">
        <v>70</v>
      </c>
      <c r="H343" s="867">
        <v>1.284677775E7</v>
      </c>
      <c r="I343" s="867">
        <v>1.417236028E7</v>
      </c>
      <c r="J343" s="868">
        <v>1.157053012E7</v>
      </c>
      <c r="K343" s="50"/>
      <c r="L343" s="869" t="s">
        <v>617</v>
      </c>
      <c r="M343" s="865" t="s">
        <v>591</v>
      </c>
      <c r="N343" s="865" t="s">
        <v>622</v>
      </c>
      <c r="O343" s="866">
        <v>2004.0</v>
      </c>
      <c r="P343" s="865" t="s">
        <v>593</v>
      </c>
      <c r="Q343" s="865" t="s">
        <v>70</v>
      </c>
      <c r="R343" s="867">
        <v>8797529.513</v>
      </c>
      <c r="S343" s="867">
        <v>9771028.064</v>
      </c>
      <c r="T343" s="868">
        <v>7867654.69</v>
      </c>
      <c r="AN343" s="882"/>
      <c r="AO343" s="882"/>
      <c r="AP343" s="882"/>
      <c r="AY343" s="882"/>
      <c r="AZ343" s="882"/>
      <c r="BA343" s="882"/>
      <c r="BJ343" s="882"/>
      <c r="BK343" s="882"/>
      <c r="BL343" s="882"/>
      <c r="BU343" s="882"/>
      <c r="BV343" s="882"/>
      <c r="BW343" s="882"/>
      <c r="CF343" s="882"/>
      <c r="CG343" s="882"/>
      <c r="CH343" s="882"/>
      <c r="CI343" s="530"/>
    </row>
    <row r="344">
      <c r="A344" s="857"/>
      <c r="B344" s="865" t="s">
        <v>617</v>
      </c>
      <c r="C344" s="865" t="s">
        <v>591</v>
      </c>
      <c r="D344" s="865" t="s">
        <v>624</v>
      </c>
      <c r="E344" s="866">
        <v>2019.0</v>
      </c>
      <c r="F344" s="865" t="s">
        <v>593</v>
      </c>
      <c r="G344" s="865" t="s">
        <v>70</v>
      </c>
      <c r="H344" s="867">
        <v>2340908.9</v>
      </c>
      <c r="I344" s="867">
        <v>2582539.476</v>
      </c>
      <c r="J344" s="868">
        <v>2108494.818</v>
      </c>
      <c r="K344" s="50"/>
      <c r="L344" s="869" t="s">
        <v>617</v>
      </c>
      <c r="M344" s="865" t="s">
        <v>591</v>
      </c>
      <c r="N344" s="865" t="s">
        <v>624</v>
      </c>
      <c r="O344" s="866">
        <v>2004.0</v>
      </c>
      <c r="P344" s="865" t="s">
        <v>593</v>
      </c>
      <c r="Q344" s="865" t="s">
        <v>70</v>
      </c>
      <c r="R344" s="867">
        <v>1942286.865</v>
      </c>
      <c r="S344" s="867">
        <v>2157257.307</v>
      </c>
      <c r="T344" s="868">
        <v>1737071.853</v>
      </c>
      <c r="AN344" s="882"/>
      <c r="AO344" s="882"/>
      <c r="AP344" s="882"/>
      <c r="AY344" s="882"/>
      <c r="AZ344" s="882"/>
      <c r="BA344" s="882"/>
      <c r="BJ344" s="882"/>
      <c r="BK344" s="882"/>
      <c r="BL344" s="882"/>
      <c r="BU344" s="882"/>
      <c r="BV344" s="882"/>
      <c r="BW344" s="882"/>
      <c r="CF344" s="882"/>
      <c r="CG344" s="882"/>
      <c r="CH344" s="882"/>
      <c r="CI344" s="530"/>
    </row>
    <row r="345">
      <c r="A345" s="857"/>
      <c r="B345" s="865" t="s">
        <v>617</v>
      </c>
      <c r="C345" s="865" t="s">
        <v>591</v>
      </c>
      <c r="D345" s="865" t="s">
        <v>625</v>
      </c>
      <c r="E345" s="866">
        <v>2019.0</v>
      </c>
      <c r="F345" s="865" t="s">
        <v>593</v>
      </c>
      <c r="G345" s="865" t="s">
        <v>70</v>
      </c>
      <c r="H345" s="867">
        <v>1.05054003E7</v>
      </c>
      <c r="I345" s="867">
        <v>1.158977652E7</v>
      </c>
      <c r="J345" s="868">
        <v>9462385.358</v>
      </c>
      <c r="K345" s="50"/>
      <c r="L345" s="869" t="s">
        <v>617</v>
      </c>
      <c r="M345" s="865" t="s">
        <v>591</v>
      </c>
      <c r="N345" s="865" t="s">
        <v>625</v>
      </c>
      <c r="O345" s="866">
        <v>2004.0</v>
      </c>
      <c r="P345" s="865" t="s">
        <v>593</v>
      </c>
      <c r="Q345" s="865" t="s">
        <v>70</v>
      </c>
      <c r="R345" s="867">
        <v>6854907.335</v>
      </c>
      <c r="S345" s="867">
        <v>7613601.887</v>
      </c>
      <c r="T345" s="868">
        <v>6130642.596</v>
      </c>
      <c r="AN345" s="882"/>
      <c r="AO345" s="882"/>
      <c r="AP345" s="882"/>
      <c r="AY345" s="882"/>
      <c r="AZ345" s="882"/>
      <c r="BA345" s="882"/>
      <c r="BJ345" s="882"/>
      <c r="BK345" s="882"/>
      <c r="BL345" s="882"/>
      <c r="BU345" s="882"/>
      <c r="BV345" s="882"/>
      <c r="BW345" s="882"/>
      <c r="CF345" s="882"/>
      <c r="CG345" s="882"/>
      <c r="CH345" s="882"/>
      <c r="CI345" s="530"/>
    </row>
    <row r="346">
      <c r="A346" s="857"/>
      <c r="B346" s="865" t="s">
        <v>617</v>
      </c>
      <c r="C346" s="865" t="s">
        <v>591</v>
      </c>
      <c r="D346" s="865" t="s">
        <v>627</v>
      </c>
      <c r="E346" s="866">
        <v>2019.0</v>
      </c>
      <c r="F346" s="865" t="s">
        <v>593</v>
      </c>
      <c r="G346" s="865" t="s">
        <v>70</v>
      </c>
      <c r="H346" s="867">
        <v>2142196.405</v>
      </c>
      <c r="I346" s="867">
        <v>2363315.711</v>
      </c>
      <c r="J346" s="868">
        <v>1929511.233</v>
      </c>
      <c r="K346" s="50"/>
      <c r="L346" s="869" t="s">
        <v>617</v>
      </c>
      <c r="M346" s="865" t="s">
        <v>591</v>
      </c>
      <c r="N346" s="865" t="s">
        <v>627</v>
      </c>
      <c r="O346" s="866">
        <v>2004.0</v>
      </c>
      <c r="P346" s="865" t="s">
        <v>593</v>
      </c>
      <c r="Q346" s="865" t="s">
        <v>70</v>
      </c>
      <c r="R346" s="867">
        <v>1668359.553</v>
      </c>
      <c r="S346" s="867">
        <v>1853011.983</v>
      </c>
      <c r="T346" s="868">
        <v>1492086.711</v>
      </c>
      <c r="AN346" s="882"/>
      <c r="AO346" s="882"/>
      <c r="AP346" s="882"/>
      <c r="AY346" s="882"/>
      <c r="AZ346" s="882"/>
      <c r="BA346" s="882"/>
      <c r="BJ346" s="882"/>
      <c r="BK346" s="882"/>
      <c r="BL346" s="882"/>
      <c r="BU346" s="882"/>
      <c r="BV346" s="882"/>
      <c r="BW346" s="882"/>
      <c r="CF346" s="882"/>
      <c r="CG346" s="882"/>
      <c r="CH346" s="882"/>
      <c r="CI346" s="530"/>
    </row>
    <row r="347">
      <c r="A347" s="857"/>
      <c r="B347" s="865" t="s">
        <v>617</v>
      </c>
      <c r="C347" s="865" t="s">
        <v>591</v>
      </c>
      <c r="D347" s="865" t="s">
        <v>629</v>
      </c>
      <c r="E347" s="866">
        <v>2019.0</v>
      </c>
      <c r="F347" s="865" t="s">
        <v>593</v>
      </c>
      <c r="G347" s="865" t="s">
        <v>70</v>
      </c>
      <c r="H347" s="867">
        <v>8078301.523</v>
      </c>
      <c r="I347" s="867">
        <v>8911853.373</v>
      </c>
      <c r="J347" s="868">
        <v>7275772.403</v>
      </c>
      <c r="K347" s="50"/>
      <c r="L347" s="869" t="s">
        <v>617</v>
      </c>
      <c r="M347" s="865" t="s">
        <v>591</v>
      </c>
      <c r="N347" s="865" t="s">
        <v>629</v>
      </c>
      <c r="O347" s="866">
        <v>2004.0</v>
      </c>
      <c r="P347" s="865" t="s">
        <v>593</v>
      </c>
      <c r="Q347" s="865" t="s">
        <v>70</v>
      </c>
      <c r="R347" s="867">
        <v>5381755.481</v>
      </c>
      <c r="S347" s="867">
        <v>5977278.481</v>
      </c>
      <c r="T347" s="868">
        <v>4812918.637</v>
      </c>
      <c r="AN347" s="882"/>
      <c r="AO347" s="882"/>
      <c r="AP347" s="882"/>
      <c r="AY347" s="882"/>
      <c r="AZ347" s="882"/>
      <c r="BA347" s="882"/>
      <c r="BJ347" s="882"/>
      <c r="BK347" s="882"/>
      <c r="BL347" s="882"/>
      <c r="BU347" s="882"/>
      <c r="BV347" s="882"/>
      <c r="BW347" s="882"/>
      <c r="CF347" s="882"/>
      <c r="CG347" s="882"/>
      <c r="CH347" s="882"/>
      <c r="CI347" s="530"/>
    </row>
    <row r="348">
      <c r="A348" s="857"/>
      <c r="B348" s="865" t="s">
        <v>617</v>
      </c>
      <c r="C348" s="865" t="s">
        <v>591</v>
      </c>
      <c r="D348" s="865" t="s">
        <v>631</v>
      </c>
      <c r="E348" s="866">
        <v>2019.0</v>
      </c>
      <c r="F348" s="865" t="s">
        <v>593</v>
      </c>
      <c r="G348" s="865" t="s">
        <v>70</v>
      </c>
      <c r="H348" s="867">
        <v>1964045.575</v>
      </c>
      <c r="I348" s="867">
        <v>2166776.004</v>
      </c>
      <c r="J348" s="868">
        <v>1769047.876</v>
      </c>
      <c r="K348" s="50"/>
      <c r="L348" s="869" t="s">
        <v>617</v>
      </c>
      <c r="M348" s="865" t="s">
        <v>591</v>
      </c>
      <c r="N348" s="865" t="s">
        <v>631</v>
      </c>
      <c r="O348" s="866">
        <v>2004.0</v>
      </c>
      <c r="P348" s="865" t="s">
        <v>593</v>
      </c>
      <c r="Q348" s="865" t="s">
        <v>70</v>
      </c>
      <c r="R348" s="867">
        <v>1305842.813</v>
      </c>
      <c r="S348" s="867">
        <v>1450372.239</v>
      </c>
      <c r="T348" s="868">
        <v>1167872.18</v>
      </c>
      <c r="AN348" s="882"/>
      <c r="AO348" s="882"/>
      <c r="AP348" s="882"/>
      <c r="AY348" s="882"/>
      <c r="AZ348" s="882"/>
      <c r="BA348" s="882"/>
      <c r="BJ348" s="882"/>
      <c r="BK348" s="882"/>
      <c r="BL348" s="882"/>
      <c r="BU348" s="882"/>
      <c r="BV348" s="882"/>
      <c r="BW348" s="882"/>
      <c r="CF348" s="882"/>
      <c r="CG348" s="882"/>
      <c r="CH348" s="882"/>
      <c r="CI348" s="530"/>
    </row>
    <row r="349">
      <c r="A349" s="857"/>
      <c r="B349" s="865" t="s">
        <v>617</v>
      </c>
      <c r="C349" s="865" t="s">
        <v>591</v>
      </c>
      <c r="D349" s="865" t="s">
        <v>633</v>
      </c>
      <c r="E349" s="866">
        <v>2019.0</v>
      </c>
      <c r="F349" s="865" t="s">
        <v>593</v>
      </c>
      <c r="G349" s="865" t="s">
        <v>70</v>
      </c>
      <c r="H349" s="867">
        <v>1678059.577</v>
      </c>
      <c r="I349" s="867">
        <v>1851270.292</v>
      </c>
      <c r="J349" s="868">
        <v>1511455.624</v>
      </c>
      <c r="K349" s="50"/>
      <c r="L349" s="869" t="s">
        <v>617</v>
      </c>
      <c r="M349" s="865" t="s">
        <v>591</v>
      </c>
      <c r="N349" s="865" t="s">
        <v>633</v>
      </c>
      <c r="O349" s="866">
        <v>2004.0</v>
      </c>
      <c r="P349" s="865" t="s">
        <v>593</v>
      </c>
      <c r="Q349" s="865" t="s">
        <v>70</v>
      </c>
      <c r="R349" s="867">
        <v>1009839.834</v>
      </c>
      <c r="S349" s="867">
        <v>1121607.936</v>
      </c>
      <c r="T349" s="868">
        <v>903143.8062</v>
      </c>
      <c r="AN349" s="882"/>
      <c r="AO349" s="882"/>
      <c r="AP349" s="882"/>
      <c r="AY349" s="882"/>
      <c r="AZ349" s="882"/>
      <c r="BA349" s="882"/>
      <c r="BJ349" s="882"/>
      <c r="BK349" s="882"/>
      <c r="BL349" s="882"/>
      <c r="BU349" s="882"/>
      <c r="BV349" s="882"/>
      <c r="BW349" s="882"/>
      <c r="CF349" s="882"/>
      <c r="CG349" s="882"/>
      <c r="CH349" s="882"/>
      <c r="CI349" s="530"/>
    </row>
    <row r="350">
      <c r="A350" s="857"/>
      <c r="B350" s="865" t="s">
        <v>617</v>
      </c>
      <c r="C350" s="865" t="s">
        <v>591</v>
      </c>
      <c r="D350" s="865" t="s">
        <v>635</v>
      </c>
      <c r="E350" s="866">
        <v>2019.0</v>
      </c>
      <c r="F350" s="865" t="s">
        <v>593</v>
      </c>
      <c r="G350" s="865" t="s">
        <v>70</v>
      </c>
      <c r="H350" s="867">
        <v>1306734.274</v>
      </c>
      <c r="I350" s="867">
        <v>1441616.48</v>
      </c>
      <c r="J350" s="868">
        <v>1176996.869</v>
      </c>
      <c r="K350" s="50"/>
      <c r="L350" s="869" t="s">
        <v>617</v>
      </c>
      <c r="M350" s="865" t="s">
        <v>591</v>
      </c>
      <c r="N350" s="865" t="s">
        <v>635</v>
      </c>
      <c r="O350" s="866">
        <v>2004.0</v>
      </c>
      <c r="P350" s="865" t="s">
        <v>593</v>
      </c>
      <c r="Q350" s="865" t="s">
        <v>70</v>
      </c>
      <c r="R350" s="867">
        <v>790167.5279</v>
      </c>
      <c r="S350" s="867">
        <v>877622.51</v>
      </c>
      <c r="T350" s="868">
        <v>706681.2822</v>
      </c>
      <c r="AN350" s="882"/>
      <c r="AO350" s="882"/>
      <c r="AP350" s="882"/>
      <c r="AY350" s="882"/>
      <c r="AZ350" s="882"/>
      <c r="BA350" s="882"/>
      <c r="BJ350" s="882"/>
      <c r="BK350" s="882"/>
      <c r="BL350" s="882"/>
      <c r="BU350" s="882"/>
      <c r="BV350" s="882"/>
      <c r="BW350" s="882"/>
      <c r="CF350" s="882"/>
      <c r="CG350" s="882"/>
      <c r="CH350" s="882"/>
      <c r="CI350" s="530"/>
    </row>
    <row r="351">
      <c r="A351" s="857"/>
      <c r="B351" s="865" t="s">
        <v>617</v>
      </c>
      <c r="C351" s="865" t="s">
        <v>591</v>
      </c>
      <c r="D351" s="865" t="s">
        <v>637</v>
      </c>
      <c r="E351" s="866">
        <v>2019.0</v>
      </c>
      <c r="F351" s="865" t="s">
        <v>593</v>
      </c>
      <c r="G351" s="865" t="s">
        <v>70</v>
      </c>
      <c r="H351" s="867">
        <v>986971.0565</v>
      </c>
      <c r="I351" s="867">
        <v>1088847.035</v>
      </c>
      <c r="J351" s="868">
        <v>888980.9245</v>
      </c>
      <c r="K351" s="50"/>
      <c r="L351" s="869" t="s">
        <v>617</v>
      </c>
      <c r="M351" s="865" t="s">
        <v>591</v>
      </c>
      <c r="N351" s="865" t="s">
        <v>637</v>
      </c>
      <c r="O351" s="866">
        <v>2004.0</v>
      </c>
      <c r="P351" s="865" t="s">
        <v>593</v>
      </c>
      <c r="Q351" s="865" t="s">
        <v>70</v>
      </c>
      <c r="R351" s="867">
        <v>607340.6312</v>
      </c>
      <c r="S351" s="867">
        <v>674560.5082</v>
      </c>
      <c r="T351" s="868">
        <v>543171.2147</v>
      </c>
      <c r="AN351" s="882"/>
      <c r="AO351" s="882"/>
      <c r="AP351" s="882"/>
      <c r="AY351" s="882"/>
      <c r="AZ351" s="882"/>
      <c r="BA351" s="882"/>
      <c r="BJ351" s="882"/>
      <c r="BK351" s="882"/>
      <c r="BL351" s="882"/>
      <c r="BU351" s="882"/>
      <c r="BV351" s="882"/>
      <c r="BW351" s="882"/>
      <c r="CF351" s="882"/>
      <c r="CG351" s="882"/>
      <c r="CH351" s="882"/>
      <c r="CI351" s="530"/>
    </row>
    <row r="352">
      <c r="A352" s="857"/>
      <c r="B352" s="865" t="s">
        <v>617</v>
      </c>
      <c r="C352" s="865" t="s">
        <v>591</v>
      </c>
      <c r="D352" s="865" t="s">
        <v>639</v>
      </c>
      <c r="E352" s="866">
        <v>2019.0</v>
      </c>
      <c r="F352" s="865" t="s">
        <v>593</v>
      </c>
      <c r="G352" s="865" t="s">
        <v>70</v>
      </c>
      <c r="H352" s="867">
        <v>9313563.567</v>
      </c>
      <c r="I352" s="867">
        <v>1.027457475E7</v>
      </c>
      <c r="J352" s="868">
        <v>8388318.829</v>
      </c>
      <c r="K352" s="50"/>
      <c r="L352" s="869" t="s">
        <v>617</v>
      </c>
      <c r="M352" s="865" t="s">
        <v>591</v>
      </c>
      <c r="N352" s="865" t="s">
        <v>639</v>
      </c>
      <c r="O352" s="866">
        <v>2004.0</v>
      </c>
      <c r="P352" s="865" t="s">
        <v>593</v>
      </c>
      <c r="Q352" s="865" t="s">
        <v>70</v>
      </c>
      <c r="R352" s="867">
        <v>6846433.195</v>
      </c>
      <c r="S352" s="867">
        <v>7604031.426</v>
      </c>
      <c r="T352" s="868">
        <v>6122783.92</v>
      </c>
      <c r="AN352" s="882"/>
      <c r="AO352" s="882"/>
      <c r="AP352" s="882"/>
      <c r="AY352" s="882"/>
      <c r="AZ352" s="882"/>
      <c r="BA352" s="882"/>
      <c r="BJ352" s="882"/>
      <c r="BK352" s="882"/>
      <c r="BL352" s="882"/>
      <c r="BU352" s="882"/>
      <c r="BV352" s="882"/>
      <c r="BW352" s="882"/>
      <c r="CF352" s="882"/>
      <c r="CG352" s="882"/>
      <c r="CH352" s="882"/>
      <c r="CI352" s="530"/>
    </row>
    <row r="353">
      <c r="A353" s="857"/>
      <c r="B353" s="865" t="s">
        <v>617</v>
      </c>
      <c r="C353" s="865" t="s">
        <v>591</v>
      </c>
      <c r="D353" s="865" t="s">
        <v>641</v>
      </c>
      <c r="E353" s="866">
        <v>2019.0</v>
      </c>
      <c r="F353" s="865" t="s">
        <v>593</v>
      </c>
      <c r="G353" s="865" t="s">
        <v>70</v>
      </c>
      <c r="H353" s="867">
        <v>3582189.966</v>
      </c>
      <c r="I353" s="867">
        <v>3951946.613</v>
      </c>
      <c r="J353" s="868">
        <v>3226536.915</v>
      </c>
      <c r="K353" s="50"/>
      <c r="L353" s="869" t="s">
        <v>617</v>
      </c>
      <c r="M353" s="865" t="s">
        <v>591</v>
      </c>
      <c r="N353" s="865" t="s">
        <v>641</v>
      </c>
      <c r="O353" s="866">
        <v>2004.0</v>
      </c>
      <c r="P353" s="865" t="s">
        <v>593</v>
      </c>
      <c r="Q353" s="865" t="s">
        <v>70</v>
      </c>
      <c r="R353" s="867">
        <v>2620371.233</v>
      </c>
      <c r="S353" s="867">
        <v>2910391.401</v>
      </c>
      <c r="T353" s="868">
        <v>2343512.277</v>
      </c>
      <c r="AN353" s="882"/>
      <c r="AO353" s="882"/>
      <c r="AP353" s="882"/>
      <c r="AY353" s="882"/>
      <c r="AZ353" s="882"/>
      <c r="BA353" s="882"/>
      <c r="BJ353" s="882"/>
      <c r="BK353" s="882"/>
      <c r="BL353" s="882"/>
      <c r="BU353" s="882"/>
      <c r="BV353" s="882"/>
      <c r="BW353" s="882"/>
      <c r="CF353" s="882"/>
      <c r="CG353" s="882"/>
      <c r="CH353" s="882"/>
      <c r="CI353" s="530"/>
    </row>
    <row r="354">
      <c r="A354" s="857"/>
      <c r="B354" s="865" t="s">
        <v>617</v>
      </c>
      <c r="C354" s="865" t="s">
        <v>591</v>
      </c>
      <c r="D354" s="865" t="s">
        <v>643</v>
      </c>
      <c r="E354" s="866">
        <v>2019.0</v>
      </c>
      <c r="F354" s="865" t="s">
        <v>593</v>
      </c>
      <c r="G354" s="865" t="s">
        <v>70</v>
      </c>
      <c r="H354" s="867">
        <v>746178.0857</v>
      </c>
      <c r="I354" s="867">
        <v>823199.2124</v>
      </c>
      <c r="J354" s="868">
        <v>672094.7693</v>
      </c>
      <c r="K354" s="50"/>
      <c r="L354" s="869" t="s">
        <v>617</v>
      </c>
      <c r="M354" s="865" t="s">
        <v>591</v>
      </c>
      <c r="N354" s="865" t="s">
        <v>643</v>
      </c>
      <c r="O354" s="866">
        <v>2004.0</v>
      </c>
      <c r="P354" s="865" t="s">
        <v>593</v>
      </c>
      <c r="Q354" s="865" t="s">
        <v>70</v>
      </c>
      <c r="R354" s="867">
        <v>448998.1867</v>
      </c>
      <c r="S354" s="867">
        <v>498692.8742</v>
      </c>
      <c r="T354" s="868">
        <v>401558.6607</v>
      </c>
      <c r="AN354" s="882"/>
      <c r="AO354" s="882"/>
      <c r="AP354" s="882"/>
      <c r="AY354" s="882"/>
      <c r="AZ354" s="882"/>
      <c r="BA354" s="882"/>
      <c r="BJ354" s="882"/>
      <c r="BK354" s="882"/>
      <c r="BL354" s="882"/>
      <c r="BU354" s="882"/>
      <c r="BV354" s="882"/>
      <c r="BW354" s="882"/>
      <c r="CF354" s="882"/>
      <c r="CG354" s="882"/>
      <c r="CH354" s="882"/>
      <c r="CI354" s="530"/>
    </row>
    <row r="355">
      <c r="A355" s="857"/>
      <c r="B355" s="865" t="s">
        <v>617</v>
      </c>
      <c r="C355" s="865" t="s">
        <v>591</v>
      </c>
      <c r="D355" s="865" t="s">
        <v>645</v>
      </c>
      <c r="E355" s="866">
        <v>2019.0</v>
      </c>
      <c r="F355" s="865" t="s">
        <v>593</v>
      </c>
      <c r="G355" s="865" t="s">
        <v>70</v>
      </c>
      <c r="H355" s="867">
        <v>2030405.111</v>
      </c>
      <c r="I355" s="867">
        <v>2239985.226</v>
      </c>
      <c r="J355" s="868">
        <v>1828818.992</v>
      </c>
      <c r="K355" s="50"/>
      <c r="L355" s="869" t="s">
        <v>617</v>
      </c>
      <c r="M355" s="865" t="s">
        <v>591</v>
      </c>
      <c r="N355" s="865" t="s">
        <v>645</v>
      </c>
      <c r="O355" s="866">
        <v>2004.0</v>
      </c>
      <c r="P355" s="865" t="s">
        <v>593</v>
      </c>
      <c r="Q355" s="865" t="s">
        <v>70</v>
      </c>
      <c r="R355" s="867">
        <v>1219907.067</v>
      </c>
      <c r="S355" s="867">
        <v>1354925.208</v>
      </c>
      <c r="T355" s="868">
        <v>1091016.095</v>
      </c>
      <c r="AN355" s="882"/>
      <c r="AO355" s="882"/>
      <c r="AP355" s="882"/>
      <c r="AY355" s="882"/>
      <c r="AZ355" s="882"/>
      <c r="BA355" s="882"/>
      <c r="BJ355" s="882"/>
      <c r="BK355" s="882"/>
      <c r="BL355" s="882"/>
      <c r="BU355" s="882"/>
      <c r="BV355" s="882"/>
      <c r="BW355" s="882"/>
      <c r="CF355" s="882"/>
      <c r="CG355" s="882"/>
      <c r="CH355" s="882"/>
      <c r="CI355" s="530"/>
    </row>
    <row r="356">
      <c r="A356" s="857"/>
      <c r="B356" s="865" t="s">
        <v>617</v>
      </c>
      <c r="C356" s="865" t="s">
        <v>591</v>
      </c>
      <c r="D356" s="865" t="s">
        <v>604</v>
      </c>
      <c r="E356" s="866">
        <v>2019.0</v>
      </c>
      <c r="F356" s="865" t="s">
        <v>593</v>
      </c>
      <c r="G356" s="865" t="s">
        <v>70</v>
      </c>
      <c r="H356" s="867">
        <v>6671334.12</v>
      </c>
      <c r="I356" s="867">
        <v>7359954.813</v>
      </c>
      <c r="J356" s="868">
        <v>6008979.428</v>
      </c>
      <c r="K356" s="50"/>
      <c r="L356" s="869" t="s">
        <v>617</v>
      </c>
      <c r="M356" s="865" t="s">
        <v>591</v>
      </c>
      <c r="N356" s="865" t="s">
        <v>604</v>
      </c>
      <c r="O356" s="866">
        <v>2004.0</v>
      </c>
      <c r="P356" s="865" t="s">
        <v>593</v>
      </c>
      <c r="Q356" s="865" t="s">
        <v>70</v>
      </c>
      <c r="R356" s="867">
        <v>4814824.379</v>
      </c>
      <c r="S356" s="867">
        <v>5347724.511</v>
      </c>
      <c r="T356" s="868">
        <v>4306107.433</v>
      </c>
      <c r="AN356" s="882"/>
      <c r="AO356" s="882"/>
      <c r="AP356" s="882"/>
      <c r="AY356" s="882"/>
      <c r="AZ356" s="882"/>
      <c r="BA356" s="882"/>
      <c r="BJ356" s="882"/>
      <c r="BK356" s="882"/>
      <c r="BL356" s="882"/>
      <c r="BU356" s="882"/>
      <c r="BV356" s="882"/>
      <c r="BW356" s="882"/>
      <c r="CF356" s="882"/>
      <c r="CG356" s="882"/>
      <c r="CH356" s="882"/>
      <c r="CI356" s="530"/>
    </row>
    <row r="357">
      <c r="A357" s="857"/>
      <c r="B357" s="865" t="s">
        <v>617</v>
      </c>
      <c r="C357" s="865" t="s">
        <v>591</v>
      </c>
      <c r="D357" s="865" t="s">
        <v>647</v>
      </c>
      <c r="E357" s="866">
        <v>2019.0</v>
      </c>
      <c r="F357" s="865" t="s">
        <v>593</v>
      </c>
      <c r="G357" s="865" t="s">
        <v>70</v>
      </c>
      <c r="H357" s="867">
        <v>1681276.649</v>
      </c>
      <c r="I357" s="867">
        <v>1854757.579</v>
      </c>
      <c r="J357" s="868">
        <v>1514252.248</v>
      </c>
      <c r="K357" s="50"/>
      <c r="L357" s="869" t="s">
        <v>617</v>
      </c>
      <c r="M357" s="865" t="s">
        <v>591</v>
      </c>
      <c r="N357" s="865" t="s">
        <v>647</v>
      </c>
      <c r="O357" s="866">
        <v>2004.0</v>
      </c>
      <c r="P357" s="865" t="s">
        <v>593</v>
      </c>
      <c r="Q357" s="865" t="s">
        <v>70</v>
      </c>
      <c r="R357" s="867">
        <v>1024397.834</v>
      </c>
      <c r="S357" s="867">
        <v>1137753.499</v>
      </c>
      <c r="T357" s="868">
        <v>916121.7833</v>
      </c>
      <c r="AN357" s="882"/>
      <c r="AO357" s="882"/>
      <c r="AP357" s="882"/>
      <c r="AY357" s="882"/>
      <c r="AZ357" s="882"/>
      <c r="BA357" s="882"/>
      <c r="BJ357" s="882"/>
      <c r="BK357" s="882"/>
      <c r="BL357" s="882"/>
      <c r="BU357" s="882"/>
      <c r="BV357" s="882"/>
      <c r="BW357" s="882"/>
      <c r="CF357" s="882"/>
      <c r="CG357" s="882"/>
      <c r="CH357" s="882"/>
      <c r="CI357" s="530"/>
    </row>
    <row r="358">
      <c r="A358" s="857"/>
      <c r="B358" s="865" t="s">
        <v>617</v>
      </c>
      <c r="C358" s="865" t="s">
        <v>591</v>
      </c>
      <c r="D358" s="865" t="s">
        <v>649</v>
      </c>
      <c r="E358" s="866">
        <v>2019.0</v>
      </c>
      <c r="F358" s="865" t="s">
        <v>593</v>
      </c>
      <c r="G358" s="865" t="s">
        <v>70</v>
      </c>
      <c r="H358" s="867">
        <v>575344.5859</v>
      </c>
      <c r="I358" s="867">
        <v>634732.1357</v>
      </c>
      <c r="J358" s="868">
        <v>518222.2503</v>
      </c>
      <c r="K358" s="50"/>
      <c r="L358" s="869" t="s">
        <v>617</v>
      </c>
      <c r="M358" s="865" t="s">
        <v>591</v>
      </c>
      <c r="N358" s="865" t="s">
        <v>649</v>
      </c>
      <c r="O358" s="866">
        <v>2004.0</v>
      </c>
      <c r="P358" s="865" t="s">
        <v>593</v>
      </c>
      <c r="Q358" s="865" t="s">
        <v>70</v>
      </c>
      <c r="R358" s="867">
        <v>333866.9438</v>
      </c>
      <c r="S358" s="867">
        <v>370819.0161</v>
      </c>
      <c r="T358" s="868">
        <v>298591.7689</v>
      </c>
      <c r="AN358" s="882"/>
      <c r="AO358" s="882"/>
      <c r="AP358" s="882"/>
      <c r="AY358" s="882"/>
      <c r="AZ358" s="882"/>
      <c r="BA358" s="882"/>
      <c r="BJ358" s="882"/>
      <c r="BK358" s="882"/>
      <c r="BL358" s="882"/>
      <c r="BU358" s="882"/>
      <c r="BV358" s="882"/>
      <c r="BW358" s="882"/>
      <c r="CF358" s="882"/>
      <c r="CG358" s="882"/>
      <c r="CH358" s="882"/>
      <c r="CI358" s="530"/>
    </row>
    <row r="359">
      <c r="A359" s="857"/>
      <c r="B359" s="865" t="s">
        <v>617</v>
      </c>
      <c r="C359" s="865" t="s">
        <v>591</v>
      </c>
      <c r="D359" s="865" t="s">
        <v>651</v>
      </c>
      <c r="E359" s="866">
        <v>2019.0</v>
      </c>
      <c r="F359" s="865" t="s">
        <v>593</v>
      </c>
      <c r="G359" s="865" t="s">
        <v>70</v>
      </c>
      <c r="H359" s="867">
        <v>421249.3229</v>
      </c>
      <c r="I359" s="867">
        <v>464731.0306</v>
      </c>
      <c r="J359" s="868">
        <v>379426.1342</v>
      </c>
      <c r="K359" s="50"/>
      <c r="L359" s="869" t="s">
        <v>617</v>
      </c>
      <c r="M359" s="865" t="s">
        <v>591</v>
      </c>
      <c r="N359" s="865" t="s">
        <v>651</v>
      </c>
      <c r="O359" s="866">
        <v>2004.0</v>
      </c>
      <c r="P359" s="865" t="s">
        <v>593</v>
      </c>
      <c r="Q359" s="865" t="s">
        <v>70</v>
      </c>
      <c r="R359" s="867">
        <v>252590.9437</v>
      </c>
      <c r="S359" s="867">
        <v>280547.4664</v>
      </c>
      <c r="T359" s="868">
        <v>225903.0973</v>
      </c>
      <c r="AN359" s="882"/>
      <c r="AO359" s="882"/>
      <c r="AP359" s="882"/>
      <c r="AY359" s="882"/>
      <c r="AZ359" s="882"/>
      <c r="BA359" s="882"/>
      <c r="BJ359" s="882"/>
      <c r="BK359" s="882"/>
      <c r="BL359" s="882"/>
      <c r="BU359" s="882"/>
      <c r="BV359" s="882"/>
      <c r="BW359" s="882"/>
      <c r="CF359" s="882"/>
      <c r="CG359" s="882"/>
      <c r="CH359" s="882"/>
      <c r="CI359" s="530"/>
    </row>
    <row r="360">
      <c r="A360" s="857"/>
      <c r="B360" s="865" t="s">
        <v>617</v>
      </c>
      <c r="C360" s="865" t="s">
        <v>591</v>
      </c>
      <c r="D360" s="865" t="s">
        <v>653</v>
      </c>
      <c r="E360" s="866">
        <v>2019.0</v>
      </c>
      <c r="F360" s="865" t="s">
        <v>593</v>
      </c>
      <c r="G360" s="865" t="s">
        <v>70</v>
      </c>
      <c r="H360" s="867">
        <v>287633.1163</v>
      </c>
      <c r="I360" s="867">
        <v>317322.8474</v>
      </c>
      <c r="J360" s="868">
        <v>259075.8381</v>
      </c>
      <c r="K360" s="50"/>
      <c r="L360" s="869" t="s">
        <v>617</v>
      </c>
      <c r="M360" s="865" t="s">
        <v>591</v>
      </c>
      <c r="N360" s="865" t="s">
        <v>653</v>
      </c>
      <c r="O360" s="866">
        <v>2004.0</v>
      </c>
      <c r="P360" s="865" t="s">
        <v>593</v>
      </c>
      <c r="Q360" s="865" t="s">
        <v>70</v>
      </c>
      <c r="R360" s="867">
        <v>184450.9929</v>
      </c>
      <c r="S360" s="867">
        <v>204865.8514</v>
      </c>
      <c r="T360" s="868">
        <v>164962.5675</v>
      </c>
      <c r="AN360" s="882"/>
      <c r="AO360" s="882"/>
      <c r="AP360" s="882"/>
      <c r="AY360" s="882"/>
      <c r="AZ360" s="882"/>
      <c r="BA360" s="882"/>
      <c r="BJ360" s="882"/>
      <c r="BK360" s="882"/>
      <c r="BL360" s="882"/>
      <c r="BU360" s="882"/>
      <c r="BV360" s="882"/>
      <c r="BW360" s="882"/>
      <c r="CF360" s="882"/>
      <c r="CG360" s="882"/>
      <c r="CH360" s="882"/>
      <c r="CI360" s="530"/>
    </row>
    <row r="361">
      <c r="A361" s="857"/>
      <c r="B361" s="865" t="s">
        <v>617</v>
      </c>
      <c r="C361" s="865" t="s">
        <v>591</v>
      </c>
      <c r="D361" s="865" t="s">
        <v>655</v>
      </c>
      <c r="E361" s="866">
        <v>2019.0</v>
      </c>
      <c r="F361" s="865" t="s">
        <v>593</v>
      </c>
      <c r="G361" s="865" t="s">
        <v>70</v>
      </c>
      <c r="H361" s="867">
        <v>475121.6685</v>
      </c>
      <c r="I361" s="867">
        <v>524146.6454</v>
      </c>
      <c r="J361" s="868">
        <v>427921.2795</v>
      </c>
      <c r="K361" s="50"/>
      <c r="L361" s="869" t="s">
        <v>617</v>
      </c>
      <c r="M361" s="865" t="s">
        <v>591</v>
      </c>
      <c r="N361" s="865" t="s">
        <v>655</v>
      </c>
      <c r="O361" s="866">
        <v>2004.0</v>
      </c>
      <c r="P361" s="865" t="s">
        <v>593</v>
      </c>
      <c r="Q361" s="865" t="s">
        <v>70</v>
      </c>
      <c r="R361" s="867">
        <v>312730.1865</v>
      </c>
      <c r="S361" s="867">
        <v>347335.627</v>
      </c>
      <c r="T361" s="868">
        <v>279675.4606</v>
      </c>
      <c r="AN361" s="882"/>
      <c r="AO361" s="882"/>
      <c r="AP361" s="882"/>
      <c r="AY361" s="882"/>
      <c r="AZ361" s="882"/>
      <c r="BA361" s="882"/>
      <c r="BJ361" s="882"/>
      <c r="BK361" s="882"/>
      <c r="BL361" s="882"/>
      <c r="BU361" s="882"/>
      <c r="BV361" s="882"/>
      <c r="BW361" s="882"/>
      <c r="CF361" s="882"/>
      <c r="CG361" s="882"/>
      <c r="CH361" s="882"/>
      <c r="CI361" s="530"/>
    </row>
    <row r="362">
      <c r="A362" s="857"/>
      <c r="B362" s="865" t="s">
        <v>617</v>
      </c>
      <c r="C362" s="865" t="s">
        <v>591</v>
      </c>
      <c r="D362" s="865" t="s">
        <v>657</v>
      </c>
      <c r="E362" s="866">
        <v>2019.0</v>
      </c>
      <c r="F362" s="865" t="s">
        <v>593</v>
      </c>
      <c r="G362" s="865" t="s">
        <v>70</v>
      </c>
      <c r="H362" s="867">
        <v>187471.2234</v>
      </c>
      <c r="I362" s="867">
        <v>206822.16</v>
      </c>
      <c r="J362" s="868">
        <v>168858.3879</v>
      </c>
      <c r="K362" s="50"/>
      <c r="L362" s="869" t="s">
        <v>617</v>
      </c>
      <c r="M362" s="865" t="s">
        <v>591</v>
      </c>
      <c r="N362" s="865" t="s">
        <v>657</v>
      </c>
      <c r="O362" s="866">
        <v>2004.0</v>
      </c>
      <c r="P362" s="865" t="s">
        <v>593</v>
      </c>
      <c r="Q362" s="865" t="s">
        <v>70</v>
      </c>
      <c r="R362" s="867">
        <v>128267.2741</v>
      </c>
      <c r="S362" s="867">
        <v>142463.7726</v>
      </c>
      <c r="T362" s="868">
        <v>114715.0174</v>
      </c>
      <c r="AN362" s="882"/>
      <c r="AO362" s="882"/>
      <c r="AP362" s="882"/>
      <c r="AY362" s="882"/>
      <c r="AZ362" s="882"/>
      <c r="BA362" s="882"/>
      <c r="BJ362" s="882"/>
      <c r="BK362" s="882"/>
      <c r="BL362" s="882"/>
      <c r="BU362" s="882"/>
      <c r="BV362" s="882"/>
      <c r="BW362" s="882"/>
      <c r="CF362" s="882"/>
      <c r="CG362" s="882"/>
      <c r="CH362" s="882"/>
      <c r="CI362" s="530"/>
    </row>
    <row r="363">
      <c r="A363" s="857"/>
      <c r="B363" s="865" t="s">
        <v>617</v>
      </c>
      <c r="C363" s="865" t="s">
        <v>591</v>
      </c>
      <c r="D363" s="865" t="s">
        <v>659</v>
      </c>
      <c r="E363" s="866">
        <v>2019.0</v>
      </c>
      <c r="F363" s="865" t="s">
        <v>593</v>
      </c>
      <c r="G363" s="865" t="s">
        <v>70</v>
      </c>
      <c r="H363" s="867">
        <v>396988.3035</v>
      </c>
      <c r="I363" s="867">
        <v>437965.7685</v>
      </c>
      <c r="J363" s="868">
        <v>357573.8384</v>
      </c>
      <c r="K363" s="50"/>
      <c r="L363" s="869" t="s">
        <v>617</v>
      </c>
      <c r="M363" s="865" t="s">
        <v>591</v>
      </c>
      <c r="N363" s="865" t="s">
        <v>659</v>
      </c>
      <c r="O363" s="866">
        <v>2004.0</v>
      </c>
      <c r="P363" s="865" t="s">
        <v>593</v>
      </c>
      <c r="Q363" s="865" t="s">
        <v>70</v>
      </c>
      <c r="R363" s="867">
        <v>253449.9096</v>
      </c>
      <c r="S363" s="867">
        <v>281501.5019</v>
      </c>
      <c r="T363" s="868">
        <v>226671.308</v>
      </c>
      <c r="AN363" s="882"/>
      <c r="AO363" s="882"/>
      <c r="AP363" s="882"/>
      <c r="AY363" s="882"/>
      <c r="AZ363" s="882"/>
      <c r="BA363" s="882"/>
      <c r="BJ363" s="882"/>
      <c r="BK363" s="882"/>
      <c r="BL363" s="882"/>
      <c r="BU363" s="882"/>
      <c r="BV363" s="882"/>
      <c r="BW363" s="882"/>
      <c r="CF363" s="882"/>
      <c r="CG363" s="882"/>
      <c r="CH363" s="882"/>
      <c r="CI363" s="530"/>
    </row>
    <row r="364">
      <c r="A364" s="857"/>
      <c r="B364" s="865" t="s">
        <v>617</v>
      </c>
      <c r="C364" s="865" t="s">
        <v>591</v>
      </c>
      <c r="D364" s="865" t="s">
        <v>661</v>
      </c>
      <c r="E364" s="866">
        <v>2019.0</v>
      </c>
      <c r="F364" s="865" t="s">
        <v>593</v>
      </c>
      <c r="G364" s="865" t="s">
        <v>70</v>
      </c>
      <c r="H364" s="867">
        <v>209524.7219</v>
      </c>
      <c r="I364" s="867">
        <v>231144.3308</v>
      </c>
      <c r="J364" s="868">
        <v>188709.7412</v>
      </c>
      <c r="K364" s="50"/>
      <c r="L364" s="869" t="s">
        <v>617</v>
      </c>
      <c r="M364" s="865" t="s">
        <v>591</v>
      </c>
      <c r="N364" s="865" t="s">
        <v>661</v>
      </c>
      <c r="O364" s="866">
        <v>2004.0</v>
      </c>
      <c r="P364" s="865" t="s">
        <v>593</v>
      </c>
      <c r="Q364" s="865" t="s">
        <v>70</v>
      </c>
      <c r="R364" s="867">
        <v>125187.407</v>
      </c>
      <c r="S364" s="867">
        <v>139040.1323</v>
      </c>
      <c r="T364" s="868">
        <v>111955.4403</v>
      </c>
      <c r="AN364" s="882"/>
      <c r="AO364" s="882"/>
      <c r="AP364" s="882"/>
      <c r="AY364" s="882"/>
      <c r="AZ364" s="882"/>
      <c r="BA364" s="882"/>
      <c r="BJ364" s="882"/>
      <c r="BK364" s="882"/>
      <c r="BL364" s="882"/>
      <c r="BU364" s="882"/>
      <c r="BV364" s="882"/>
      <c r="BW364" s="882"/>
      <c r="CF364" s="882"/>
      <c r="CG364" s="882"/>
      <c r="CH364" s="882"/>
      <c r="CI364" s="530"/>
    </row>
    <row r="365">
      <c r="A365" s="857"/>
      <c r="B365" s="865" t="s">
        <v>617</v>
      </c>
      <c r="C365" s="865" t="s">
        <v>591</v>
      </c>
      <c r="D365" s="865" t="s">
        <v>663</v>
      </c>
      <c r="E365" s="866">
        <v>2019.0</v>
      </c>
      <c r="F365" s="865" t="s">
        <v>593</v>
      </c>
      <c r="G365" s="865" t="s">
        <v>70</v>
      </c>
      <c r="H365" s="867">
        <v>113675.0223</v>
      </c>
      <c r="I365" s="867">
        <v>125408.6532</v>
      </c>
      <c r="J365" s="868">
        <v>102388.9462</v>
      </c>
      <c r="K365" s="50"/>
      <c r="L365" s="869" t="s">
        <v>617</v>
      </c>
      <c r="M365" s="865" t="s">
        <v>591</v>
      </c>
      <c r="N365" s="865" t="s">
        <v>663</v>
      </c>
      <c r="O365" s="866">
        <v>2004.0</v>
      </c>
      <c r="P365" s="865" t="s">
        <v>593</v>
      </c>
      <c r="Q365" s="865" t="s">
        <v>70</v>
      </c>
      <c r="R365" s="867">
        <v>74127.86858</v>
      </c>
      <c r="S365" s="867">
        <v>82332.26978</v>
      </c>
      <c r="T365" s="868">
        <v>66295.78584</v>
      </c>
      <c r="AN365" s="882"/>
      <c r="AO365" s="882"/>
      <c r="AP365" s="882"/>
      <c r="AY365" s="882"/>
      <c r="AZ365" s="882"/>
      <c r="BA365" s="882"/>
      <c r="BJ365" s="882"/>
      <c r="BK365" s="882"/>
      <c r="BL365" s="882"/>
      <c r="BU365" s="882"/>
      <c r="BV365" s="882"/>
      <c r="BW365" s="882"/>
      <c r="CF365" s="882"/>
      <c r="CG365" s="882"/>
      <c r="CH365" s="882"/>
      <c r="CI365" s="530"/>
    </row>
    <row r="366">
      <c r="A366" s="857"/>
      <c r="B366" s="865" t="s">
        <v>617</v>
      </c>
      <c r="C366" s="865" t="s">
        <v>591</v>
      </c>
      <c r="D366" s="865" t="s">
        <v>665</v>
      </c>
      <c r="E366" s="866">
        <v>2019.0</v>
      </c>
      <c r="F366" s="865" t="s">
        <v>593</v>
      </c>
      <c r="G366" s="865" t="s">
        <v>70</v>
      </c>
      <c r="H366" s="867">
        <v>173353.0755</v>
      </c>
      <c r="I366" s="867">
        <v>191240.3475</v>
      </c>
      <c r="J366" s="868">
        <v>156131.5233</v>
      </c>
      <c r="K366" s="50"/>
      <c r="L366" s="869" t="s">
        <v>617</v>
      </c>
      <c r="M366" s="865" t="s">
        <v>591</v>
      </c>
      <c r="N366" s="865" t="s">
        <v>665</v>
      </c>
      <c r="O366" s="866">
        <v>2004.0</v>
      </c>
      <c r="P366" s="865" t="s">
        <v>593</v>
      </c>
      <c r="Q366" s="865" t="s">
        <v>70</v>
      </c>
      <c r="R366" s="867">
        <v>109419.6662</v>
      </c>
      <c r="S366" s="867">
        <v>121527.5979</v>
      </c>
      <c r="T366" s="868">
        <v>97854.30653</v>
      </c>
      <c r="AN366" s="882"/>
      <c r="AO366" s="882"/>
      <c r="AP366" s="882"/>
      <c r="AY366" s="882"/>
      <c r="AZ366" s="882"/>
      <c r="BA366" s="882"/>
      <c r="BJ366" s="882"/>
      <c r="BK366" s="882"/>
      <c r="BL366" s="882"/>
      <c r="BU366" s="882"/>
      <c r="BV366" s="882"/>
      <c r="BW366" s="882"/>
      <c r="CF366" s="882"/>
      <c r="CG366" s="882"/>
      <c r="CH366" s="882"/>
      <c r="CI366" s="530"/>
    </row>
    <row r="367">
      <c r="A367" s="857"/>
      <c r="B367" s="865" t="s">
        <v>617</v>
      </c>
      <c r="C367" s="865" t="s">
        <v>591</v>
      </c>
      <c r="D367" s="865" t="s">
        <v>667</v>
      </c>
      <c r="E367" s="866">
        <v>2019.0</v>
      </c>
      <c r="F367" s="865" t="s">
        <v>593</v>
      </c>
      <c r="G367" s="865" t="s">
        <v>70</v>
      </c>
      <c r="H367" s="867">
        <v>95842.05782</v>
      </c>
      <c r="I367" s="867">
        <v>105734.9553</v>
      </c>
      <c r="J367" s="868">
        <v>86326.50431</v>
      </c>
      <c r="K367" s="50"/>
      <c r="L367" s="869" t="s">
        <v>617</v>
      </c>
      <c r="M367" s="865" t="s">
        <v>591</v>
      </c>
      <c r="N367" s="865" t="s">
        <v>667</v>
      </c>
      <c r="O367" s="866">
        <v>2004.0</v>
      </c>
      <c r="P367" s="865" t="s">
        <v>593</v>
      </c>
      <c r="Q367" s="865" t="s">
        <v>70</v>
      </c>
      <c r="R367" s="867">
        <v>51054.76699</v>
      </c>
      <c r="S367" s="867">
        <v>56705.4595</v>
      </c>
      <c r="T367" s="868">
        <v>45660.50479</v>
      </c>
      <c r="AN367" s="882"/>
      <c r="AO367" s="882"/>
      <c r="AP367" s="882"/>
      <c r="AY367" s="882"/>
      <c r="AZ367" s="882"/>
      <c r="BA367" s="882"/>
      <c r="BJ367" s="882"/>
      <c r="BK367" s="882"/>
      <c r="BL367" s="882"/>
      <c r="BU367" s="882"/>
      <c r="BV367" s="882"/>
      <c r="BW367" s="882"/>
      <c r="CF367" s="882"/>
      <c r="CG367" s="882"/>
      <c r="CH367" s="882"/>
      <c r="CI367" s="530"/>
    </row>
    <row r="368">
      <c r="A368" s="857"/>
      <c r="B368" s="865" t="s">
        <v>617</v>
      </c>
      <c r="C368" s="865" t="s">
        <v>591</v>
      </c>
      <c r="D368" s="865" t="s">
        <v>669</v>
      </c>
      <c r="E368" s="866">
        <v>2019.0</v>
      </c>
      <c r="F368" s="865" t="s">
        <v>593</v>
      </c>
      <c r="G368" s="865" t="s">
        <v>70</v>
      </c>
      <c r="H368" s="867">
        <v>59671.73062</v>
      </c>
      <c r="I368" s="867">
        <v>65831.09661</v>
      </c>
      <c r="J368" s="868">
        <v>53747.3008</v>
      </c>
      <c r="K368" s="50"/>
      <c r="L368" s="869" t="s">
        <v>617</v>
      </c>
      <c r="M368" s="865" t="s">
        <v>591</v>
      </c>
      <c r="N368" s="865" t="s">
        <v>669</v>
      </c>
      <c r="O368" s="866">
        <v>2004.0</v>
      </c>
      <c r="P368" s="865" t="s">
        <v>593</v>
      </c>
      <c r="Q368" s="865" t="s">
        <v>70</v>
      </c>
      <c r="R368" s="867">
        <v>35287.62712</v>
      </c>
      <c r="S368" s="867">
        <v>39193.22775</v>
      </c>
      <c r="T368" s="868">
        <v>31559.26395</v>
      </c>
      <c r="AN368" s="882"/>
      <c r="AO368" s="882"/>
      <c r="AP368" s="882"/>
      <c r="AY368" s="882"/>
      <c r="AZ368" s="882"/>
      <c r="BA368" s="882"/>
      <c r="BJ368" s="882"/>
      <c r="BK368" s="882"/>
      <c r="BL368" s="882"/>
      <c r="BU368" s="882"/>
      <c r="BV368" s="882"/>
      <c r="BW368" s="882"/>
      <c r="CF368" s="882"/>
      <c r="CG368" s="882"/>
      <c r="CH368" s="882"/>
      <c r="CI368" s="530"/>
    </row>
    <row r="369">
      <c r="A369" s="857"/>
      <c r="B369" s="865" t="s">
        <v>617</v>
      </c>
      <c r="C369" s="865" t="s">
        <v>591</v>
      </c>
      <c r="D369" s="865" t="s">
        <v>671</v>
      </c>
      <c r="E369" s="866">
        <v>2019.0</v>
      </c>
      <c r="F369" s="865" t="s">
        <v>593</v>
      </c>
      <c r="G369" s="865" t="s">
        <v>70</v>
      </c>
      <c r="H369" s="867">
        <v>36171.64646</v>
      </c>
      <c r="I369" s="867">
        <v>39903.98336</v>
      </c>
      <c r="J369" s="868">
        <v>32578.21788</v>
      </c>
      <c r="K369" s="50"/>
      <c r="L369" s="869" t="s">
        <v>617</v>
      </c>
      <c r="M369" s="865" t="s">
        <v>591</v>
      </c>
      <c r="N369" s="865" t="s">
        <v>671</v>
      </c>
      <c r="O369" s="866">
        <v>2004.0</v>
      </c>
      <c r="P369" s="865" t="s">
        <v>593</v>
      </c>
      <c r="Q369" s="865" t="s">
        <v>70</v>
      </c>
      <c r="R369" s="867">
        <v>15767.74085</v>
      </c>
      <c r="S369" s="867">
        <v>17512.53441</v>
      </c>
      <c r="T369" s="868">
        <v>14101.13374</v>
      </c>
      <c r="AN369" s="882"/>
      <c r="AO369" s="882"/>
      <c r="AP369" s="882"/>
      <c r="AY369" s="882"/>
      <c r="AZ369" s="882"/>
      <c r="BA369" s="882"/>
      <c r="BJ369" s="882"/>
      <c r="BK369" s="882"/>
      <c r="BL369" s="882"/>
      <c r="BU369" s="882"/>
      <c r="BV369" s="882"/>
      <c r="BW369" s="882"/>
      <c r="CF369" s="882"/>
      <c r="CG369" s="882"/>
      <c r="CH369" s="882"/>
      <c r="CI369" s="530"/>
    </row>
    <row r="370">
      <c r="A370" s="857"/>
      <c r="B370" s="865" t="s">
        <v>617</v>
      </c>
      <c r="C370" s="865" t="s">
        <v>591</v>
      </c>
      <c r="D370" s="865" t="s">
        <v>673</v>
      </c>
      <c r="E370" s="866">
        <v>2019.0</v>
      </c>
      <c r="F370" s="865" t="s">
        <v>593</v>
      </c>
      <c r="G370" s="865" t="s">
        <v>70</v>
      </c>
      <c r="H370" s="867">
        <v>26384.13331</v>
      </c>
      <c r="I370" s="867">
        <v>29107.52564</v>
      </c>
      <c r="J370" s="868">
        <v>23764.6191</v>
      </c>
      <c r="K370" s="50"/>
      <c r="L370" s="869" t="s">
        <v>617</v>
      </c>
      <c r="M370" s="865" t="s">
        <v>591</v>
      </c>
      <c r="N370" s="865" t="s">
        <v>673</v>
      </c>
      <c r="O370" s="866">
        <v>2004.0</v>
      </c>
      <c r="P370" s="865" t="s">
        <v>593</v>
      </c>
      <c r="Q370" s="865" t="s">
        <v>70</v>
      </c>
      <c r="R370" s="867">
        <v>11903.85027</v>
      </c>
      <c r="S370" s="867">
        <v>13221.35697</v>
      </c>
      <c r="T370" s="868">
        <v>10646.13247</v>
      </c>
      <c r="AN370" s="882"/>
      <c r="AO370" s="882"/>
      <c r="AP370" s="882"/>
      <c r="AY370" s="882"/>
      <c r="AZ370" s="882"/>
      <c r="BA370" s="882"/>
      <c r="BJ370" s="882"/>
      <c r="BK370" s="882"/>
      <c r="BL370" s="882"/>
      <c r="BU370" s="882"/>
      <c r="BV370" s="882"/>
      <c r="BW370" s="882"/>
      <c r="CF370" s="882"/>
      <c r="CG370" s="882"/>
      <c r="CH370" s="882"/>
      <c r="CI370" s="530"/>
    </row>
    <row r="371">
      <c r="A371" s="857"/>
      <c r="B371" s="865" t="s">
        <v>617</v>
      </c>
      <c r="C371" s="865" t="s">
        <v>591</v>
      </c>
      <c r="D371" s="865" t="s">
        <v>674</v>
      </c>
      <c r="E371" s="866">
        <v>2019.0</v>
      </c>
      <c r="F371" s="865" t="s">
        <v>593</v>
      </c>
      <c r="G371" s="865" t="s">
        <v>70</v>
      </c>
      <c r="H371" s="867">
        <v>8069.200703</v>
      </c>
      <c r="I371" s="867">
        <v>8902.110355</v>
      </c>
      <c r="J371" s="868">
        <v>7268.060653</v>
      </c>
      <c r="K371" s="50"/>
      <c r="L371" s="869" t="s">
        <v>617</v>
      </c>
      <c r="M371" s="865" t="s">
        <v>591</v>
      </c>
      <c r="N371" s="865" t="s">
        <v>674</v>
      </c>
      <c r="O371" s="866">
        <v>2004.0</v>
      </c>
      <c r="P371" s="865" t="s">
        <v>593</v>
      </c>
      <c r="Q371" s="865" t="s">
        <v>70</v>
      </c>
      <c r="R371" s="867">
        <v>3145.558481</v>
      </c>
      <c r="S371" s="867">
        <v>3493.705869</v>
      </c>
      <c r="T371" s="868">
        <v>2813.210139</v>
      </c>
      <c r="AN371" s="882"/>
      <c r="AO371" s="882"/>
      <c r="AP371" s="882"/>
      <c r="AY371" s="882"/>
      <c r="AZ371" s="882"/>
      <c r="BA371" s="882"/>
      <c r="BJ371" s="882"/>
      <c r="BK371" s="882"/>
      <c r="BL371" s="882"/>
      <c r="BU371" s="882"/>
      <c r="BV371" s="882"/>
      <c r="BW371" s="882"/>
      <c r="CF371" s="882"/>
      <c r="CG371" s="882"/>
      <c r="CH371" s="882"/>
      <c r="CI371" s="530"/>
    </row>
    <row r="372">
      <c r="A372" s="857"/>
      <c r="B372" s="865" t="s">
        <v>617</v>
      </c>
      <c r="C372" s="865" t="s">
        <v>591</v>
      </c>
      <c r="D372" s="865" t="s">
        <v>676</v>
      </c>
      <c r="E372" s="866">
        <v>2019.0</v>
      </c>
      <c r="F372" s="865" t="s">
        <v>593</v>
      </c>
      <c r="G372" s="865" t="s">
        <v>70</v>
      </c>
      <c r="H372" s="867">
        <v>1716.993185</v>
      </c>
      <c r="I372" s="867">
        <v>1894.222659</v>
      </c>
      <c r="J372" s="868">
        <v>1546.52376</v>
      </c>
      <c r="K372" s="50"/>
      <c r="L372" s="869" t="s">
        <v>617</v>
      </c>
      <c r="M372" s="865" t="s">
        <v>591</v>
      </c>
      <c r="N372" s="865" t="s">
        <v>676</v>
      </c>
      <c r="O372" s="866">
        <v>2004.0</v>
      </c>
      <c r="P372" s="865" t="s">
        <v>593</v>
      </c>
      <c r="Q372" s="865" t="s">
        <v>70</v>
      </c>
      <c r="R372" s="867">
        <v>717.7311153</v>
      </c>
      <c r="S372" s="867">
        <v>797.1689049</v>
      </c>
      <c r="T372" s="868">
        <v>641.8982392</v>
      </c>
      <c r="AN372" s="882"/>
      <c r="AO372" s="882"/>
      <c r="AP372" s="882"/>
      <c r="AY372" s="882"/>
      <c r="AZ372" s="882"/>
      <c r="BA372" s="882"/>
      <c r="BJ372" s="882"/>
      <c r="BK372" s="882"/>
      <c r="BL372" s="882"/>
      <c r="BU372" s="882"/>
      <c r="BV372" s="882"/>
      <c r="BW372" s="882"/>
      <c r="CF372" s="882"/>
      <c r="CG372" s="882"/>
      <c r="CH372" s="882"/>
      <c r="CI372" s="530"/>
    </row>
    <row r="373">
      <c r="A373" s="857"/>
      <c r="B373" s="865" t="s">
        <v>617</v>
      </c>
      <c r="C373" s="865" t="s">
        <v>591</v>
      </c>
      <c r="D373" s="865" t="s">
        <v>678</v>
      </c>
      <c r="E373" s="866">
        <v>2019.0</v>
      </c>
      <c r="F373" s="865" t="s">
        <v>593</v>
      </c>
      <c r="G373" s="865" t="s">
        <v>70</v>
      </c>
      <c r="H373" s="867">
        <v>2.61715316E7</v>
      </c>
      <c r="I373" s="867">
        <v>2.8872979E7</v>
      </c>
      <c r="J373" s="868">
        <v>2.357312528E7</v>
      </c>
      <c r="K373" s="50"/>
      <c r="L373" s="869" t="s">
        <v>617</v>
      </c>
      <c r="M373" s="865" t="s">
        <v>591</v>
      </c>
      <c r="N373" s="865" t="s">
        <v>678</v>
      </c>
      <c r="O373" s="866">
        <v>2004.0</v>
      </c>
      <c r="P373" s="865" t="s">
        <v>593</v>
      </c>
      <c r="Q373" s="865" t="s">
        <v>70</v>
      </c>
      <c r="R373" s="867">
        <v>1.894463204E7</v>
      </c>
      <c r="S373" s="867">
        <v>2.104140569E7</v>
      </c>
      <c r="T373" s="868">
        <v>1.694301067E7</v>
      </c>
      <c r="AN373" s="882"/>
      <c r="AO373" s="882"/>
      <c r="AP373" s="882"/>
      <c r="AY373" s="882"/>
      <c r="AZ373" s="882"/>
      <c r="BA373" s="882"/>
      <c r="BJ373" s="882"/>
      <c r="BK373" s="882"/>
      <c r="BL373" s="882"/>
      <c r="BU373" s="882"/>
      <c r="BV373" s="882"/>
      <c r="BW373" s="882"/>
      <c r="CF373" s="882"/>
      <c r="CG373" s="882"/>
      <c r="CH373" s="882"/>
      <c r="CI373" s="530"/>
    </row>
    <row r="374">
      <c r="A374" s="857"/>
      <c r="B374" s="865" t="s">
        <v>617</v>
      </c>
      <c r="C374" s="865" t="s">
        <v>591</v>
      </c>
      <c r="D374" s="865" t="s">
        <v>680</v>
      </c>
      <c r="E374" s="866">
        <v>2019.0</v>
      </c>
      <c r="F374" s="865" t="s">
        <v>593</v>
      </c>
      <c r="G374" s="865" t="s">
        <v>70</v>
      </c>
      <c r="H374" s="867">
        <v>892344.3311</v>
      </c>
      <c r="I374" s="867">
        <v>981641.8433</v>
      </c>
      <c r="J374" s="868">
        <v>813083.3819</v>
      </c>
      <c r="K374" s="50"/>
      <c r="L374" s="869" t="s">
        <v>617</v>
      </c>
      <c r="M374" s="865" t="s">
        <v>591</v>
      </c>
      <c r="N374" s="865" t="s">
        <v>680</v>
      </c>
      <c r="O374" s="866">
        <v>2004.0</v>
      </c>
      <c r="P374" s="865" t="s">
        <v>593</v>
      </c>
      <c r="Q374" s="865" t="s">
        <v>70</v>
      </c>
      <c r="R374" s="867">
        <v>805225.1212</v>
      </c>
      <c r="S374" s="867">
        <v>849268.1426</v>
      </c>
      <c r="T374" s="868">
        <v>760683.2249</v>
      </c>
      <c r="AN374" s="882"/>
      <c r="AO374" s="882"/>
      <c r="AP374" s="882"/>
      <c r="AY374" s="882"/>
      <c r="AZ374" s="882"/>
      <c r="BA374" s="882"/>
      <c r="BJ374" s="882"/>
      <c r="BK374" s="882"/>
      <c r="BL374" s="882"/>
      <c r="BU374" s="882"/>
      <c r="BV374" s="882"/>
      <c r="BW374" s="882"/>
      <c r="CF374" s="882"/>
      <c r="CG374" s="882"/>
      <c r="CH374" s="882"/>
      <c r="CI374" s="530"/>
    </row>
    <row r="375">
      <c r="A375" s="857"/>
      <c r="B375" s="865" t="s">
        <v>617</v>
      </c>
      <c r="C375" s="865" t="s">
        <v>591</v>
      </c>
      <c r="D375" s="865" t="s">
        <v>682</v>
      </c>
      <c r="E375" s="866">
        <v>2019.0</v>
      </c>
      <c r="F375" s="865" t="s">
        <v>593</v>
      </c>
      <c r="G375" s="865" t="s">
        <v>70</v>
      </c>
      <c r="H375" s="867">
        <v>16785.83148</v>
      </c>
      <c r="I375" s="867">
        <v>18518.47906</v>
      </c>
      <c r="J375" s="868">
        <v>15119.27213</v>
      </c>
      <c r="K375" s="50"/>
      <c r="L375" s="869" t="s">
        <v>617</v>
      </c>
      <c r="M375" s="865" t="s">
        <v>591</v>
      </c>
      <c r="N375" s="865" t="s">
        <v>682</v>
      </c>
      <c r="O375" s="866">
        <v>2004.0</v>
      </c>
      <c r="P375" s="865" t="s">
        <v>593</v>
      </c>
      <c r="Q375" s="865" t="s">
        <v>70</v>
      </c>
      <c r="R375" s="867">
        <v>15048.35758</v>
      </c>
      <c r="S375" s="867">
        <v>16713.89533</v>
      </c>
      <c r="T375" s="868">
        <v>13458.4025</v>
      </c>
      <c r="AN375" s="882"/>
      <c r="AO375" s="882"/>
      <c r="AP375" s="882"/>
      <c r="AY375" s="882"/>
      <c r="AZ375" s="882"/>
      <c r="BA375" s="882"/>
      <c r="BJ375" s="882"/>
      <c r="BK375" s="882"/>
      <c r="BL375" s="882"/>
      <c r="BU375" s="882"/>
      <c r="BV375" s="882"/>
      <c r="BW375" s="882"/>
      <c r="CF375" s="882"/>
      <c r="CG375" s="882"/>
      <c r="CH375" s="882"/>
      <c r="CI375" s="530"/>
    </row>
    <row r="376">
      <c r="A376" s="857"/>
      <c r="B376" s="865" t="s">
        <v>617</v>
      </c>
      <c r="C376" s="865" t="s">
        <v>591</v>
      </c>
      <c r="D376" s="865" t="s">
        <v>684</v>
      </c>
      <c r="E376" s="866">
        <v>2019.0</v>
      </c>
      <c r="F376" s="865" t="s">
        <v>593</v>
      </c>
      <c r="G376" s="865" t="s">
        <v>70</v>
      </c>
      <c r="H376" s="867">
        <v>49458.32404</v>
      </c>
      <c r="I376" s="867">
        <v>54563.45365</v>
      </c>
      <c r="J376" s="868">
        <v>44547.91895</v>
      </c>
      <c r="K376" s="50"/>
      <c r="L376" s="869" t="s">
        <v>617</v>
      </c>
      <c r="M376" s="865" t="s">
        <v>591</v>
      </c>
      <c r="N376" s="865" t="s">
        <v>684</v>
      </c>
      <c r="O376" s="866">
        <v>2004.0</v>
      </c>
      <c r="P376" s="865" t="s">
        <v>593</v>
      </c>
      <c r="Q376" s="865" t="s">
        <v>70</v>
      </c>
      <c r="R376" s="867">
        <v>44053.56221</v>
      </c>
      <c r="S376" s="867">
        <v>48929.36811</v>
      </c>
      <c r="T376" s="868">
        <v>39399.02201</v>
      </c>
      <c r="AN376" s="882"/>
      <c r="AO376" s="882"/>
      <c r="AP376" s="882"/>
      <c r="AY376" s="882"/>
      <c r="AZ376" s="882"/>
      <c r="BA376" s="882"/>
      <c r="BJ376" s="882"/>
      <c r="BK376" s="882"/>
      <c r="BL376" s="882"/>
      <c r="BU376" s="882"/>
      <c r="BV376" s="882"/>
      <c r="BW376" s="882"/>
      <c r="CF376" s="882"/>
      <c r="CG376" s="882"/>
      <c r="CH376" s="882"/>
      <c r="CI376" s="530"/>
    </row>
    <row r="377">
      <c r="A377" s="857"/>
      <c r="B377" s="865" t="s">
        <v>617</v>
      </c>
      <c r="C377" s="865" t="s">
        <v>591</v>
      </c>
      <c r="D377" s="865" t="s">
        <v>686</v>
      </c>
      <c r="E377" s="866">
        <v>2019.0</v>
      </c>
      <c r="F377" s="865" t="s">
        <v>593</v>
      </c>
      <c r="G377" s="865" t="s">
        <v>70</v>
      </c>
      <c r="H377" s="867">
        <v>66244.15552</v>
      </c>
      <c r="I377" s="867">
        <v>73081.93271</v>
      </c>
      <c r="J377" s="868">
        <v>59667.19108</v>
      </c>
      <c r="K377" s="50"/>
      <c r="L377" s="869" t="s">
        <v>617</v>
      </c>
      <c r="M377" s="865" t="s">
        <v>591</v>
      </c>
      <c r="N377" s="865" t="s">
        <v>686</v>
      </c>
      <c r="O377" s="866">
        <v>2004.0</v>
      </c>
      <c r="P377" s="865" t="s">
        <v>593</v>
      </c>
      <c r="Q377" s="865" t="s">
        <v>70</v>
      </c>
      <c r="R377" s="867">
        <v>59101.91979</v>
      </c>
      <c r="S377" s="867">
        <v>65643.26343</v>
      </c>
      <c r="T377" s="868">
        <v>52857.42451</v>
      </c>
      <c r="AN377" s="882"/>
      <c r="AO377" s="882"/>
      <c r="AP377" s="882"/>
      <c r="AY377" s="882"/>
      <c r="AZ377" s="882"/>
      <c r="BA377" s="882"/>
      <c r="BJ377" s="882"/>
      <c r="BK377" s="882"/>
      <c r="BL377" s="882"/>
      <c r="BU377" s="882"/>
      <c r="BV377" s="882"/>
      <c r="BW377" s="882"/>
      <c r="CF377" s="882"/>
      <c r="CG377" s="882"/>
      <c r="CH377" s="882"/>
      <c r="CI377" s="530"/>
    </row>
    <row r="378">
      <c r="A378" s="857"/>
      <c r="B378" s="865" t="s">
        <v>617</v>
      </c>
      <c r="C378" s="865" t="s">
        <v>591</v>
      </c>
      <c r="D378" s="865" t="s">
        <v>688</v>
      </c>
      <c r="E378" s="866">
        <v>2019.0</v>
      </c>
      <c r="F378" s="865" t="s">
        <v>593</v>
      </c>
      <c r="G378" s="865" t="s">
        <v>70</v>
      </c>
      <c r="H378" s="867">
        <v>779804.0853</v>
      </c>
      <c r="I378" s="867">
        <v>860296.1158</v>
      </c>
      <c r="J378" s="868">
        <v>702382.2554</v>
      </c>
      <c r="K378" s="50"/>
      <c r="L378" s="869" t="s">
        <v>617</v>
      </c>
      <c r="M378" s="865" t="s">
        <v>591</v>
      </c>
      <c r="N378" s="865" t="s">
        <v>688</v>
      </c>
      <c r="O378" s="866">
        <v>2004.0</v>
      </c>
      <c r="P378" s="865" t="s">
        <v>593</v>
      </c>
      <c r="Q378" s="865" t="s">
        <v>70</v>
      </c>
      <c r="R378" s="867">
        <v>683600.9114</v>
      </c>
      <c r="S378" s="867">
        <v>759261.2028</v>
      </c>
      <c r="T378" s="868">
        <v>611374.1093</v>
      </c>
      <c r="AN378" s="882"/>
      <c r="AO378" s="882"/>
      <c r="AP378" s="882"/>
      <c r="AY378" s="882"/>
      <c r="AZ378" s="882"/>
      <c r="BA378" s="882"/>
      <c r="BJ378" s="882"/>
      <c r="BK378" s="882"/>
      <c r="BL378" s="882"/>
      <c r="BU378" s="882"/>
      <c r="BV378" s="882"/>
      <c r="BW378" s="882"/>
      <c r="CF378" s="882"/>
      <c r="CG378" s="882"/>
      <c r="CH378" s="882"/>
      <c r="CI378" s="530"/>
    </row>
    <row r="379">
      <c r="A379" s="857"/>
      <c r="B379" s="865" t="s">
        <v>617</v>
      </c>
      <c r="C379" s="865" t="s">
        <v>591</v>
      </c>
      <c r="D379" s="865" t="s">
        <v>689</v>
      </c>
      <c r="E379" s="866">
        <v>2019.0</v>
      </c>
      <c r="F379" s="865" t="s">
        <v>593</v>
      </c>
      <c r="G379" s="865" t="s">
        <v>70</v>
      </c>
      <c r="H379" s="867">
        <v>4011998.522</v>
      </c>
      <c r="I379" s="867">
        <v>4426120.368</v>
      </c>
      <c r="J379" s="868">
        <v>3613672.49</v>
      </c>
      <c r="K379" s="50"/>
      <c r="L379" s="869" t="s">
        <v>617</v>
      </c>
      <c r="M379" s="865" t="s">
        <v>591</v>
      </c>
      <c r="N379" s="865" t="s">
        <v>689</v>
      </c>
      <c r="O379" s="866">
        <v>2004.0</v>
      </c>
      <c r="P379" s="865" t="s">
        <v>593</v>
      </c>
      <c r="Q379" s="865" t="s">
        <v>70</v>
      </c>
      <c r="R379" s="867">
        <v>3301265.588</v>
      </c>
      <c r="S379" s="867">
        <v>3666646.489</v>
      </c>
      <c r="T379" s="868">
        <v>2952465.795</v>
      </c>
      <c r="AN379" s="882"/>
      <c r="AO379" s="882"/>
      <c r="AP379" s="882"/>
      <c r="AY379" s="882"/>
      <c r="AZ379" s="882"/>
      <c r="BA379" s="882"/>
      <c r="BJ379" s="882"/>
      <c r="BK379" s="882"/>
      <c r="BL379" s="882"/>
      <c r="BU379" s="882"/>
      <c r="BV379" s="882"/>
      <c r="BW379" s="882"/>
      <c r="CF379" s="882"/>
      <c r="CG379" s="882"/>
      <c r="CH379" s="882"/>
      <c r="CI379" s="530"/>
    </row>
    <row r="380">
      <c r="A380" s="857"/>
      <c r="B380" s="865" t="s">
        <v>619</v>
      </c>
      <c r="C380" s="865" t="s">
        <v>591</v>
      </c>
      <c r="D380" s="865" t="s">
        <v>592</v>
      </c>
      <c r="E380" s="866">
        <v>2019.0</v>
      </c>
      <c r="F380" s="865" t="s">
        <v>593</v>
      </c>
      <c r="G380" s="865" t="s">
        <v>70</v>
      </c>
      <c r="H380" s="867">
        <v>10593.50739</v>
      </c>
      <c r="I380" s="867">
        <v>11882.65261</v>
      </c>
      <c r="J380" s="868">
        <v>9296.250034</v>
      </c>
      <c r="K380" s="50"/>
      <c r="L380" s="869" t="s">
        <v>619</v>
      </c>
      <c r="M380" s="865" t="s">
        <v>591</v>
      </c>
      <c r="N380" s="865" t="s">
        <v>592</v>
      </c>
      <c r="O380" s="866">
        <v>2004.0</v>
      </c>
      <c r="P380" s="865" t="s">
        <v>593</v>
      </c>
      <c r="Q380" s="865" t="s">
        <v>70</v>
      </c>
      <c r="R380" s="867">
        <v>12137.44708</v>
      </c>
      <c r="S380" s="867">
        <v>13270.69087</v>
      </c>
      <c r="T380" s="868">
        <v>10994.25653</v>
      </c>
      <c r="AN380" s="882"/>
      <c r="AO380" s="882"/>
      <c r="AP380" s="882"/>
      <c r="AY380" s="882"/>
      <c r="AZ380" s="882"/>
      <c r="BA380" s="882"/>
      <c r="BJ380" s="882"/>
      <c r="BK380" s="882"/>
      <c r="BL380" s="882"/>
      <c r="BU380" s="882"/>
      <c r="BV380" s="882"/>
      <c r="BW380" s="882"/>
      <c r="CF380" s="882"/>
      <c r="CG380" s="882"/>
      <c r="CH380" s="882"/>
      <c r="CI380" s="530"/>
    </row>
    <row r="381">
      <c r="A381" s="857"/>
      <c r="B381" s="865" t="s">
        <v>619</v>
      </c>
      <c r="C381" s="865" t="s">
        <v>591</v>
      </c>
      <c r="D381" s="865" t="s">
        <v>601</v>
      </c>
      <c r="E381" s="866">
        <v>2019.0</v>
      </c>
      <c r="F381" s="865" t="s">
        <v>593</v>
      </c>
      <c r="G381" s="865" t="s">
        <v>70</v>
      </c>
      <c r="H381" s="867">
        <v>209039.8442</v>
      </c>
      <c r="I381" s="867">
        <v>234478.3233</v>
      </c>
      <c r="J381" s="868">
        <v>183441.2897</v>
      </c>
      <c r="K381" s="50"/>
      <c r="L381" s="869" t="s">
        <v>619</v>
      </c>
      <c r="M381" s="865" t="s">
        <v>591</v>
      </c>
      <c r="N381" s="865" t="s">
        <v>601</v>
      </c>
      <c r="O381" s="866">
        <v>2004.0</v>
      </c>
      <c r="P381" s="865" t="s">
        <v>593</v>
      </c>
      <c r="Q381" s="865" t="s">
        <v>70</v>
      </c>
      <c r="R381" s="867">
        <v>242760.7324</v>
      </c>
      <c r="S381" s="867">
        <v>265426.7091</v>
      </c>
      <c r="T381" s="868">
        <v>219895.8109</v>
      </c>
      <c r="AN381" s="882"/>
      <c r="AO381" s="882"/>
      <c r="AP381" s="882"/>
      <c r="AY381" s="882"/>
      <c r="AZ381" s="882"/>
      <c r="BA381" s="882"/>
      <c r="BJ381" s="882"/>
      <c r="BK381" s="882"/>
      <c r="BL381" s="882"/>
      <c r="BU381" s="882"/>
      <c r="BV381" s="882"/>
      <c r="BW381" s="882"/>
      <c r="CF381" s="882"/>
      <c r="CG381" s="882"/>
      <c r="CH381" s="882"/>
      <c r="CI381" s="530"/>
    </row>
    <row r="382">
      <c r="A382" s="857"/>
      <c r="B382" s="865" t="s">
        <v>619</v>
      </c>
      <c r="C382" s="865" t="s">
        <v>591</v>
      </c>
      <c r="D382" s="865" t="s">
        <v>606</v>
      </c>
      <c r="E382" s="866">
        <v>2019.0</v>
      </c>
      <c r="F382" s="865" t="s">
        <v>593</v>
      </c>
      <c r="G382" s="865" t="s">
        <v>70</v>
      </c>
      <c r="H382" s="867">
        <v>158984.0677</v>
      </c>
      <c r="I382" s="867">
        <v>178331.1587</v>
      </c>
      <c r="J382" s="868">
        <v>139515.2323</v>
      </c>
      <c r="K382" s="50"/>
      <c r="L382" s="869" t="s">
        <v>619</v>
      </c>
      <c r="M382" s="865" t="s">
        <v>591</v>
      </c>
      <c r="N382" s="865" t="s">
        <v>606</v>
      </c>
      <c r="O382" s="866">
        <v>2004.0</v>
      </c>
      <c r="P382" s="865" t="s">
        <v>593</v>
      </c>
      <c r="Q382" s="865" t="s">
        <v>70</v>
      </c>
      <c r="R382" s="867">
        <v>182400.7764</v>
      </c>
      <c r="S382" s="867">
        <v>199431.0913</v>
      </c>
      <c r="T382" s="868">
        <v>165220.9821</v>
      </c>
      <c r="AN382" s="882"/>
      <c r="AO382" s="882"/>
      <c r="AP382" s="882"/>
      <c r="AY382" s="882"/>
      <c r="AZ382" s="882"/>
      <c r="BA382" s="882"/>
      <c r="BJ382" s="882"/>
      <c r="BK382" s="882"/>
      <c r="BL382" s="882"/>
      <c r="BU382" s="882"/>
      <c r="BV382" s="882"/>
      <c r="BW382" s="882"/>
      <c r="CF382" s="882"/>
      <c r="CG382" s="882"/>
      <c r="CH382" s="882"/>
      <c r="CI382" s="530"/>
    </row>
    <row r="383">
      <c r="A383" s="857"/>
      <c r="B383" s="865" t="s">
        <v>619</v>
      </c>
      <c r="C383" s="865" t="s">
        <v>591</v>
      </c>
      <c r="D383" s="865" t="s">
        <v>608</v>
      </c>
      <c r="E383" s="866">
        <v>2019.0</v>
      </c>
      <c r="F383" s="865" t="s">
        <v>593</v>
      </c>
      <c r="G383" s="865" t="s">
        <v>70</v>
      </c>
      <c r="H383" s="867">
        <v>42558.99622</v>
      </c>
      <c r="I383" s="867">
        <v>47738.08607</v>
      </c>
      <c r="J383" s="868">
        <v>37347.31618</v>
      </c>
      <c r="K383" s="50"/>
      <c r="L383" s="869" t="s">
        <v>619</v>
      </c>
      <c r="M383" s="865" t="s">
        <v>591</v>
      </c>
      <c r="N383" s="865" t="s">
        <v>608</v>
      </c>
      <c r="O383" s="866">
        <v>2004.0</v>
      </c>
      <c r="P383" s="865" t="s">
        <v>593</v>
      </c>
      <c r="Q383" s="865" t="s">
        <v>70</v>
      </c>
      <c r="R383" s="867">
        <v>46441.52532</v>
      </c>
      <c r="S383" s="867">
        <v>50777.6571</v>
      </c>
      <c r="T383" s="868">
        <v>42067.33423</v>
      </c>
      <c r="AN383" s="882"/>
      <c r="AO383" s="882"/>
      <c r="AP383" s="882"/>
      <c r="AY383" s="882"/>
      <c r="AZ383" s="882"/>
      <c r="BA383" s="882"/>
      <c r="BJ383" s="882"/>
      <c r="BK383" s="882"/>
      <c r="BL383" s="882"/>
      <c r="BU383" s="882"/>
      <c r="BV383" s="882"/>
      <c r="BW383" s="882"/>
      <c r="CF383" s="882"/>
      <c r="CG383" s="882"/>
      <c r="CH383" s="882"/>
      <c r="CI383" s="530"/>
    </row>
    <row r="384">
      <c r="A384" s="857"/>
      <c r="B384" s="865" t="s">
        <v>619</v>
      </c>
      <c r="C384" s="865" t="s">
        <v>591</v>
      </c>
      <c r="D384" s="865" t="s">
        <v>610</v>
      </c>
      <c r="E384" s="866">
        <v>2019.0</v>
      </c>
      <c r="F384" s="865" t="s">
        <v>593</v>
      </c>
      <c r="G384" s="865" t="s">
        <v>70</v>
      </c>
      <c r="H384" s="867">
        <v>52432.69726</v>
      </c>
      <c r="I384" s="867">
        <v>58813.33765</v>
      </c>
      <c r="J384" s="868">
        <v>46011.90576</v>
      </c>
      <c r="K384" s="50"/>
      <c r="L384" s="869" t="s">
        <v>619</v>
      </c>
      <c r="M384" s="865" t="s">
        <v>591</v>
      </c>
      <c r="N384" s="865" t="s">
        <v>610</v>
      </c>
      <c r="O384" s="866">
        <v>2004.0</v>
      </c>
      <c r="P384" s="865" t="s">
        <v>593</v>
      </c>
      <c r="Q384" s="865" t="s">
        <v>70</v>
      </c>
      <c r="R384" s="867">
        <v>63596.13392</v>
      </c>
      <c r="S384" s="867">
        <v>69533.94961</v>
      </c>
      <c r="T384" s="868">
        <v>57606.20055</v>
      </c>
      <c r="AN384" s="882"/>
      <c r="AO384" s="882"/>
      <c r="AP384" s="882"/>
      <c r="AY384" s="882"/>
      <c r="AZ384" s="882"/>
      <c r="BA384" s="882"/>
      <c r="BJ384" s="882"/>
      <c r="BK384" s="882"/>
      <c r="BL384" s="882"/>
      <c r="BU384" s="882"/>
      <c r="BV384" s="882"/>
      <c r="BW384" s="882"/>
      <c r="CF384" s="882"/>
      <c r="CG384" s="882"/>
      <c r="CH384" s="882"/>
      <c r="CI384" s="530"/>
    </row>
    <row r="385">
      <c r="A385" s="857"/>
      <c r="B385" s="865" t="s">
        <v>619</v>
      </c>
      <c r="C385" s="865" t="s">
        <v>591</v>
      </c>
      <c r="D385" s="865" t="s">
        <v>612</v>
      </c>
      <c r="E385" s="866">
        <v>2019.0</v>
      </c>
      <c r="F385" s="865" t="s">
        <v>593</v>
      </c>
      <c r="G385" s="865" t="s">
        <v>70</v>
      </c>
      <c r="H385" s="867">
        <v>102488.4738</v>
      </c>
      <c r="I385" s="867">
        <v>114960.5023</v>
      </c>
      <c r="J385" s="868">
        <v>89937.96318</v>
      </c>
      <c r="K385" s="50"/>
      <c r="L385" s="869" t="s">
        <v>619</v>
      </c>
      <c r="M385" s="865" t="s">
        <v>591</v>
      </c>
      <c r="N385" s="865" t="s">
        <v>612</v>
      </c>
      <c r="O385" s="866">
        <v>2004.0</v>
      </c>
      <c r="P385" s="865" t="s">
        <v>593</v>
      </c>
      <c r="Q385" s="865" t="s">
        <v>70</v>
      </c>
      <c r="R385" s="867">
        <v>123956.09</v>
      </c>
      <c r="S385" s="867">
        <v>135529.5673</v>
      </c>
      <c r="T385" s="868">
        <v>112281.0293</v>
      </c>
      <c r="AN385" s="882"/>
      <c r="AO385" s="882"/>
      <c r="AP385" s="882"/>
      <c r="AY385" s="882"/>
      <c r="AZ385" s="882"/>
      <c r="BA385" s="882"/>
      <c r="BJ385" s="882"/>
      <c r="BK385" s="882"/>
      <c r="BL385" s="882"/>
      <c r="BU385" s="882"/>
      <c r="BV385" s="882"/>
      <c r="BW385" s="882"/>
      <c r="CF385" s="882"/>
      <c r="CG385" s="882"/>
      <c r="CH385" s="882"/>
      <c r="CI385" s="530"/>
    </row>
    <row r="386">
      <c r="A386" s="857"/>
      <c r="B386" s="865" t="s">
        <v>619</v>
      </c>
      <c r="C386" s="865" t="s">
        <v>591</v>
      </c>
      <c r="D386" s="865" t="s">
        <v>614</v>
      </c>
      <c r="E386" s="866">
        <v>2019.0</v>
      </c>
      <c r="F386" s="865" t="s">
        <v>593</v>
      </c>
      <c r="G386" s="865" t="s">
        <v>70</v>
      </c>
      <c r="H386" s="867">
        <v>153834.3223</v>
      </c>
      <c r="I386" s="867">
        <v>172554.7304</v>
      </c>
      <c r="J386" s="868">
        <v>134996.1133</v>
      </c>
      <c r="K386" s="50"/>
      <c r="L386" s="869" t="s">
        <v>619</v>
      </c>
      <c r="M386" s="865" t="s">
        <v>591</v>
      </c>
      <c r="N386" s="865" t="s">
        <v>614</v>
      </c>
      <c r="O386" s="866">
        <v>2004.0</v>
      </c>
      <c r="P386" s="865" t="s">
        <v>593</v>
      </c>
      <c r="Q386" s="865" t="s">
        <v>70</v>
      </c>
      <c r="R386" s="867">
        <v>169951.564</v>
      </c>
      <c r="S386" s="867">
        <v>185819.5264</v>
      </c>
      <c r="T386" s="868">
        <v>153944.3245</v>
      </c>
      <c r="AN386" s="882"/>
      <c r="AO386" s="882"/>
      <c r="AP386" s="882"/>
      <c r="AY386" s="882"/>
      <c r="AZ386" s="882"/>
      <c r="BA386" s="882"/>
      <c r="BJ386" s="882"/>
      <c r="BK386" s="882"/>
      <c r="BL386" s="882"/>
      <c r="BU386" s="882"/>
      <c r="BV386" s="882"/>
      <c r="BW386" s="882"/>
      <c r="CF386" s="882"/>
      <c r="CG386" s="882"/>
      <c r="CH386" s="882"/>
      <c r="CI386" s="530"/>
    </row>
    <row r="387">
      <c r="A387" s="857"/>
      <c r="B387" s="865" t="s">
        <v>619</v>
      </c>
      <c r="C387" s="865" t="s">
        <v>591</v>
      </c>
      <c r="D387" s="865" t="s">
        <v>616</v>
      </c>
      <c r="E387" s="866">
        <v>2019.0</v>
      </c>
      <c r="F387" s="865" t="s">
        <v>593</v>
      </c>
      <c r="G387" s="865" t="s">
        <v>70</v>
      </c>
      <c r="H387" s="867">
        <v>50055.7765</v>
      </c>
      <c r="I387" s="867">
        <v>56147.16462</v>
      </c>
      <c r="J387" s="868">
        <v>43926.05742</v>
      </c>
      <c r="K387" s="50"/>
      <c r="L387" s="869" t="s">
        <v>619</v>
      </c>
      <c r="M387" s="865" t="s">
        <v>591</v>
      </c>
      <c r="N387" s="865" t="s">
        <v>616</v>
      </c>
      <c r="O387" s="866">
        <v>2004.0</v>
      </c>
      <c r="P387" s="865" t="s">
        <v>593</v>
      </c>
      <c r="Q387" s="865" t="s">
        <v>70</v>
      </c>
      <c r="R387" s="867">
        <v>60359.95606</v>
      </c>
      <c r="S387" s="867">
        <v>65995.61773</v>
      </c>
      <c r="T387" s="868">
        <v>54674.8288</v>
      </c>
      <c r="AN387" s="882"/>
      <c r="AO387" s="882"/>
      <c r="AP387" s="882"/>
      <c r="AY387" s="882"/>
      <c r="AZ387" s="882"/>
      <c r="BA387" s="882"/>
      <c r="BJ387" s="882"/>
      <c r="BK387" s="882"/>
      <c r="BL387" s="882"/>
      <c r="BU387" s="882"/>
      <c r="BV387" s="882"/>
      <c r="BW387" s="882"/>
      <c r="CF387" s="882"/>
      <c r="CG387" s="882"/>
      <c r="CH387" s="882"/>
      <c r="CI387" s="530"/>
    </row>
    <row r="388">
      <c r="A388" s="857"/>
      <c r="B388" s="865" t="s">
        <v>619</v>
      </c>
      <c r="C388" s="865" t="s">
        <v>591</v>
      </c>
      <c r="D388" s="865" t="s">
        <v>618</v>
      </c>
      <c r="E388" s="866">
        <v>2019.0</v>
      </c>
      <c r="F388" s="865" t="s">
        <v>593</v>
      </c>
      <c r="G388" s="865" t="s">
        <v>70</v>
      </c>
      <c r="H388" s="867">
        <v>248740.1146</v>
      </c>
      <c r="I388" s="867">
        <v>279029.0495</v>
      </c>
      <c r="J388" s="868">
        <v>218272.2568</v>
      </c>
      <c r="K388" s="50"/>
      <c r="L388" s="869" t="s">
        <v>619</v>
      </c>
      <c r="M388" s="865" t="s">
        <v>591</v>
      </c>
      <c r="N388" s="865" t="s">
        <v>618</v>
      </c>
      <c r="O388" s="866">
        <v>2004.0</v>
      </c>
      <c r="P388" s="865" t="s">
        <v>593</v>
      </c>
      <c r="Q388" s="865" t="s">
        <v>70</v>
      </c>
      <c r="R388" s="867">
        <v>199799.3582</v>
      </c>
      <c r="S388" s="867">
        <v>218451.4509</v>
      </c>
      <c r="T388" s="868">
        <v>180966.1517</v>
      </c>
      <c r="AN388" s="882"/>
      <c r="AO388" s="882"/>
      <c r="AP388" s="882"/>
      <c r="AY388" s="882"/>
      <c r="AZ388" s="882"/>
      <c r="BA388" s="882"/>
      <c r="BJ388" s="882"/>
      <c r="BK388" s="882"/>
      <c r="BL388" s="882"/>
      <c r="BU388" s="882"/>
      <c r="BV388" s="882"/>
      <c r="BW388" s="882"/>
      <c r="CF388" s="882"/>
      <c r="CG388" s="882"/>
      <c r="CH388" s="882"/>
      <c r="CI388" s="530"/>
    </row>
    <row r="389">
      <c r="A389" s="857"/>
      <c r="B389" s="865" t="s">
        <v>619</v>
      </c>
      <c r="C389" s="865" t="s">
        <v>591</v>
      </c>
      <c r="D389" s="865" t="s">
        <v>620</v>
      </c>
      <c r="E389" s="866">
        <v>2019.0</v>
      </c>
      <c r="F389" s="865" t="s">
        <v>593</v>
      </c>
      <c r="G389" s="865" t="s">
        <v>70</v>
      </c>
      <c r="H389" s="867">
        <v>307770.9897</v>
      </c>
      <c r="I389" s="867">
        <v>345224.2605</v>
      </c>
      <c r="J389" s="868">
        <v>270082.0387</v>
      </c>
      <c r="K389" s="50"/>
      <c r="L389" s="869" t="s">
        <v>619</v>
      </c>
      <c r="M389" s="865" t="s">
        <v>591</v>
      </c>
      <c r="N389" s="865" t="s">
        <v>620</v>
      </c>
      <c r="O389" s="866">
        <v>2004.0</v>
      </c>
      <c r="P389" s="865" t="s">
        <v>593</v>
      </c>
      <c r="Q389" s="865" t="s">
        <v>70</v>
      </c>
      <c r="R389" s="867">
        <v>241002.3151</v>
      </c>
      <c r="S389" s="867">
        <v>263504.1126</v>
      </c>
      <c r="T389" s="868">
        <v>218303.0137</v>
      </c>
      <c r="AN389" s="882"/>
      <c r="AO389" s="882"/>
      <c r="AP389" s="882"/>
      <c r="AY389" s="882"/>
      <c r="AZ389" s="882"/>
      <c r="BA389" s="882"/>
      <c r="BJ389" s="882"/>
      <c r="BK389" s="882"/>
      <c r="BL389" s="882"/>
      <c r="BU389" s="882"/>
      <c r="BV389" s="882"/>
      <c r="BW389" s="882"/>
      <c r="CF389" s="882"/>
      <c r="CG389" s="882"/>
      <c r="CH389" s="882"/>
      <c r="CI389" s="530"/>
    </row>
    <row r="390">
      <c r="A390" s="857"/>
      <c r="B390" s="865" t="s">
        <v>619</v>
      </c>
      <c r="C390" s="865" t="s">
        <v>591</v>
      </c>
      <c r="D390" s="865" t="s">
        <v>622</v>
      </c>
      <c r="E390" s="866">
        <v>2019.0</v>
      </c>
      <c r="F390" s="865" t="s">
        <v>593</v>
      </c>
      <c r="G390" s="865" t="s">
        <v>70</v>
      </c>
      <c r="H390" s="867">
        <v>354530.2659</v>
      </c>
      <c r="I390" s="867">
        <v>397701.2042</v>
      </c>
      <c r="J390" s="868">
        <v>311104.3081</v>
      </c>
      <c r="K390" s="50"/>
      <c r="L390" s="869" t="s">
        <v>619</v>
      </c>
      <c r="M390" s="865" t="s">
        <v>591</v>
      </c>
      <c r="N390" s="865" t="s">
        <v>622</v>
      </c>
      <c r="O390" s="866">
        <v>2004.0</v>
      </c>
      <c r="P390" s="865" t="s">
        <v>593</v>
      </c>
      <c r="Q390" s="865" t="s">
        <v>70</v>
      </c>
      <c r="R390" s="867">
        <v>235321.4965</v>
      </c>
      <c r="S390" s="867">
        <v>257289.727</v>
      </c>
      <c r="T390" s="868">
        <v>213139.952</v>
      </c>
      <c r="AN390" s="882"/>
      <c r="AO390" s="882"/>
      <c r="AP390" s="882"/>
      <c r="AY390" s="882"/>
      <c r="AZ390" s="882"/>
      <c r="BA390" s="882"/>
      <c r="BJ390" s="882"/>
      <c r="BK390" s="882"/>
      <c r="BL390" s="882"/>
      <c r="BU390" s="882"/>
      <c r="BV390" s="882"/>
      <c r="BW390" s="882"/>
      <c r="CF390" s="882"/>
      <c r="CG390" s="882"/>
      <c r="CH390" s="882"/>
      <c r="CI390" s="530"/>
    </row>
    <row r="391">
      <c r="A391" s="857"/>
      <c r="B391" s="865" t="s">
        <v>619</v>
      </c>
      <c r="C391" s="865" t="s">
        <v>591</v>
      </c>
      <c r="D391" s="865" t="s">
        <v>624</v>
      </c>
      <c r="E391" s="866">
        <v>2019.0</v>
      </c>
      <c r="F391" s="865" t="s">
        <v>593</v>
      </c>
      <c r="G391" s="865" t="s">
        <v>70</v>
      </c>
      <c r="H391" s="867">
        <v>51345.84852</v>
      </c>
      <c r="I391" s="867">
        <v>57594.2281</v>
      </c>
      <c r="J391" s="868">
        <v>45058.1501</v>
      </c>
      <c r="K391" s="50"/>
      <c r="L391" s="869" t="s">
        <v>619</v>
      </c>
      <c r="M391" s="865" t="s">
        <v>591</v>
      </c>
      <c r="N391" s="865" t="s">
        <v>624</v>
      </c>
      <c r="O391" s="866">
        <v>2004.0</v>
      </c>
      <c r="P391" s="865" t="s">
        <v>593</v>
      </c>
      <c r="Q391" s="865" t="s">
        <v>70</v>
      </c>
      <c r="R391" s="867">
        <v>45995.474</v>
      </c>
      <c r="S391" s="867">
        <v>50289.95907</v>
      </c>
      <c r="T391" s="868">
        <v>41663.29518</v>
      </c>
      <c r="AN391" s="882"/>
      <c r="AO391" s="882"/>
      <c r="AP391" s="882"/>
      <c r="AY391" s="882"/>
      <c r="AZ391" s="882"/>
      <c r="BA391" s="882"/>
      <c r="BJ391" s="882"/>
      <c r="BK391" s="882"/>
      <c r="BL391" s="882"/>
      <c r="BU391" s="882"/>
      <c r="BV391" s="882"/>
      <c r="BW391" s="882"/>
      <c r="CF391" s="882"/>
      <c r="CG391" s="882"/>
      <c r="CH391" s="882"/>
      <c r="CI391" s="530"/>
    </row>
    <row r="392">
      <c r="A392" s="857"/>
      <c r="B392" s="865" t="s">
        <v>619</v>
      </c>
      <c r="C392" s="865" t="s">
        <v>591</v>
      </c>
      <c r="D392" s="865" t="s">
        <v>625</v>
      </c>
      <c r="E392" s="866">
        <v>2019.0</v>
      </c>
      <c r="F392" s="865" t="s">
        <v>593</v>
      </c>
      <c r="G392" s="865" t="s">
        <v>70</v>
      </c>
      <c r="H392" s="867">
        <v>303177.3947</v>
      </c>
      <c r="I392" s="867">
        <v>340071.6616</v>
      </c>
      <c r="J392" s="868">
        <v>266050.9651</v>
      </c>
      <c r="K392" s="50"/>
      <c r="L392" s="869" t="s">
        <v>619</v>
      </c>
      <c r="M392" s="865" t="s">
        <v>591</v>
      </c>
      <c r="N392" s="865" t="s">
        <v>625</v>
      </c>
      <c r="O392" s="866">
        <v>2004.0</v>
      </c>
      <c r="P392" s="865" t="s">
        <v>593</v>
      </c>
      <c r="Q392" s="865" t="s">
        <v>70</v>
      </c>
      <c r="R392" s="867">
        <v>189322.3097</v>
      </c>
      <c r="S392" s="867">
        <v>206998.8714</v>
      </c>
      <c r="T392" s="868">
        <v>171490.5965</v>
      </c>
      <c r="AN392" s="882"/>
      <c r="AO392" s="882"/>
      <c r="AP392" s="882"/>
      <c r="AY392" s="882"/>
      <c r="AZ392" s="882"/>
      <c r="BA392" s="882"/>
      <c r="BJ392" s="882"/>
      <c r="BK392" s="882"/>
      <c r="BL392" s="882"/>
      <c r="BU392" s="882"/>
      <c r="BV392" s="882"/>
      <c r="BW392" s="882"/>
      <c r="CF392" s="882"/>
      <c r="CG392" s="882"/>
      <c r="CH392" s="882"/>
      <c r="CI392" s="530"/>
    </row>
    <row r="393">
      <c r="A393" s="857"/>
      <c r="B393" s="865" t="s">
        <v>619</v>
      </c>
      <c r="C393" s="865" t="s">
        <v>591</v>
      </c>
      <c r="D393" s="865" t="s">
        <v>627</v>
      </c>
      <c r="E393" s="866">
        <v>2019.0</v>
      </c>
      <c r="F393" s="865" t="s">
        <v>593</v>
      </c>
      <c r="G393" s="865" t="s">
        <v>70</v>
      </c>
      <c r="H393" s="867">
        <v>52690.86943</v>
      </c>
      <c r="I393" s="867">
        <v>59102.9273</v>
      </c>
      <c r="J393" s="868">
        <v>46238.46273</v>
      </c>
      <c r="K393" s="50"/>
      <c r="L393" s="869" t="s">
        <v>619</v>
      </c>
      <c r="M393" s="865" t="s">
        <v>591</v>
      </c>
      <c r="N393" s="865" t="s">
        <v>627</v>
      </c>
      <c r="O393" s="866">
        <v>2004.0</v>
      </c>
      <c r="P393" s="865" t="s">
        <v>593</v>
      </c>
      <c r="Q393" s="865" t="s">
        <v>70</v>
      </c>
      <c r="R393" s="867">
        <v>34319.69868</v>
      </c>
      <c r="S393" s="867">
        <v>37524.04512</v>
      </c>
      <c r="T393" s="868">
        <v>31087.2269</v>
      </c>
      <c r="AN393" s="882"/>
      <c r="AO393" s="882"/>
      <c r="AP393" s="882"/>
      <c r="AY393" s="882"/>
      <c r="AZ393" s="882"/>
      <c r="BA393" s="882"/>
      <c r="BJ393" s="882"/>
      <c r="BK393" s="882"/>
      <c r="BL393" s="882"/>
      <c r="BU393" s="882"/>
      <c r="BV393" s="882"/>
      <c r="BW393" s="882"/>
      <c r="CF393" s="882"/>
      <c r="CG393" s="882"/>
      <c r="CH393" s="882"/>
      <c r="CI393" s="530"/>
    </row>
    <row r="394">
      <c r="A394" s="857"/>
      <c r="B394" s="865" t="s">
        <v>619</v>
      </c>
      <c r="C394" s="865" t="s">
        <v>591</v>
      </c>
      <c r="D394" s="865" t="s">
        <v>629</v>
      </c>
      <c r="E394" s="866">
        <v>2019.0</v>
      </c>
      <c r="F394" s="865" t="s">
        <v>593</v>
      </c>
      <c r="G394" s="865" t="s">
        <v>70</v>
      </c>
      <c r="H394" s="867">
        <v>206373.4526</v>
      </c>
      <c r="I394" s="867">
        <v>231503.4245</v>
      </c>
      <c r="J394" s="868">
        <v>181095.033</v>
      </c>
      <c r="K394" s="50"/>
      <c r="L394" s="869" t="s">
        <v>619</v>
      </c>
      <c r="M394" s="865" t="s">
        <v>591</v>
      </c>
      <c r="N394" s="865" t="s">
        <v>629</v>
      </c>
      <c r="O394" s="866">
        <v>2004.0</v>
      </c>
      <c r="P394" s="865" t="s">
        <v>593</v>
      </c>
      <c r="Q394" s="865" t="s">
        <v>70</v>
      </c>
      <c r="R394" s="867">
        <v>134649.0094</v>
      </c>
      <c r="S394" s="867">
        <v>147219.0488</v>
      </c>
      <c r="T394" s="868">
        <v>121956.9136</v>
      </c>
      <c r="AN394" s="882"/>
      <c r="AO394" s="882"/>
      <c r="AP394" s="882"/>
      <c r="AY394" s="882"/>
      <c r="AZ394" s="882"/>
      <c r="BA394" s="882"/>
      <c r="BJ394" s="882"/>
      <c r="BK394" s="882"/>
      <c r="BL394" s="882"/>
      <c r="BU394" s="882"/>
      <c r="BV394" s="882"/>
      <c r="BW394" s="882"/>
      <c r="CF394" s="882"/>
      <c r="CG394" s="882"/>
      <c r="CH394" s="882"/>
      <c r="CI394" s="530"/>
    </row>
    <row r="395">
      <c r="A395" s="857"/>
      <c r="B395" s="865" t="s">
        <v>619</v>
      </c>
      <c r="C395" s="865" t="s">
        <v>591</v>
      </c>
      <c r="D395" s="865" t="s">
        <v>631</v>
      </c>
      <c r="E395" s="866">
        <v>2019.0</v>
      </c>
      <c r="F395" s="865" t="s">
        <v>593</v>
      </c>
      <c r="G395" s="865" t="s">
        <v>70</v>
      </c>
      <c r="H395" s="867">
        <v>52140.74553</v>
      </c>
      <c r="I395" s="867">
        <v>58485.85773</v>
      </c>
      <c r="J395" s="868">
        <v>45755.70578</v>
      </c>
      <c r="K395" s="50"/>
      <c r="L395" s="869" t="s">
        <v>619</v>
      </c>
      <c r="M395" s="865" t="s">
        <v>591</v>
      </c>
      <c r="N395" s="865" t="s">
        <v>631</v>
      </c>
      <c r="O395" s="866">
        <v>2004.0</v>
      </c>
      <c r="P395" s="865" t="s">
        <v>593</v>
      </c>
      <c r="Q395" s="865" t="s">
        <v>70</v>
      </c>
      <c r="R395" s="867">
        <v>30942.0252</v>
      </c>
      <c r="S395" s="867">
        <v>33831.00652</v>
      </c>
      <c r="T395" s="868">
        <v>28027.68658</v>
      </c>
      <c r="AN395" s="882"/>
      <c r="AO395" s="882"/>
      <c r="AP395" s="882"/>
      <c r="AY395" s="882"/>
      <c r="AZ395" s="882"/>
      <c r="BA395" s="882"/>
      <c r="BJ395" s="882"/>
      <c r="BK395" s="882"/>
      <c r="BL395" s="882"/>
      <c r="BU395" s="882"/>
      <c r="BV395" s="882"/>
      <c r="BW395" s="882"/>
      <c r="CF395" s="882"/>
      <c r="CG395" s="882"/>
      <c r="CH395" s="882"/>
      <c r="CI395" s="530"/>
    </row>
    <row r="396">
      <c r="A396" s="857"/>
      <c r="B396" s="865" t="s">
        <v>619</v>
      </c>
      <c r="C396" s="865" t="s">
        <v>591</v>
      </c>
      <c r="D396" s="865" t="s">
        <v>633</v>
      </c>
      <c r="E396" s="866">
        <v>2019.0</v>
      </c>
      <c r="F396" s="865" t="s">
        <v>593</v>
      </c>
      <c r="G396" s="865" t="s">
        <v>70</v>
      </c>
      <c r="H396" s="867">
        <v>42501.94744</v>
      </c>
      <c r="I396" s="867">
        <v>47674.09491</v>
      </c>
      <c r="J396" s="868">
        <v>37297.25347</v>
      </c>
      <c r="K396" s="50"/>
      <c r="L396" s="869" t="s">
        <v>619</v>
      </c>
      <c r="M396" s="865" t="s">
        <v>591</v>
      </c>
      <c r="N396" s="865" t="s">
        <v>633</v>
      </c>
      <c r="O396" s="866">
        <v>2004.0</v>
      </c>
      <c r="P396" s="865" t="s">
        <v>593</v>
      </c>
      <c r="Q396" s="865" t="s">
        <v>70</v>
      </c>
      <c r="R396" s="867">
        <v>28179.052</v>
      </c>
      <c r="S396" s="867">
        <v>30810.06125</v>
      </c>
      <c r="T396" s="868">
        <v>25524.94972</v>
      </c>
      <c r="AN396" s="882"/>
      <c r="AO396" s="882"/>
      <c r="AP396" s="882"/>
      <c r="AY396" s="882"/>
      <c r="AZ396" s="882"/>
      <c r="BA396" s="882"/>
      <c r="BJ396" s="882"/>
      <c r="BK396" s="882"/>
      <c r="BL396" s="882"/>
      <c r="BU396" s="882"/>
      <c r="BV396" s="882"/>
      <c r="BW396" s="882"/>
      <c r="CF396" s="882"/>
      <c r="CG396" s="882"/>
      <c r="CH396" s="882"/>
      <c r="CI396" s="530"/>
    </row>
    <row r="397">
      <c r="A397" s="857"/>
      <c r="B397" s="865" t="s">
        <v>619</v>
      </c>
      <c r="C397" s="865" t="s">
        <v>591</v>
      </c>
      <c r="D397" s="865" t="s">
        <v>635</v>
      </c>
      <c r="E397" s="866">
        <v>2019.0</v>
      </c>
      <c r="F397" s="865" t="s">
        <v>593</v>
      </c>
      <c r="G397" s="865" t="s">
        <v>70</v>
      </c>
      <c r="H397" s="867">
        <v>31869.68043</v>
      </c>
      <c r="I397" s="867">
        <v>35747.96594</v>
      </c>
      <c r="J397" s="868">
        <v>27966.99024</v>
      </c>
      <c r="K397" s="50"/>
      <c r="L397" s="869" t="s">
        <v>619</v>
      </c>
      <c r="M397" s="865" t="s">
        <v>591</v>
      </c>
      <c r="N397" s="865" t="s">
        <v>635</v>
      </c>
      <c r="O397" s="866">
        <v>2004.0</v>
      </c>
      <c r="P397" s="865" t="s">
        <v>593</v>
      </c>
      <c r="Q397" s="865" t="s">
        <v>70</v>
      </c>
      <c r="R397" s="867">
        <v>23320.96494</v>
      </c>
      <c r="S397" s="867">
        <v>25498.38647</v>
      </c>
      <c r="T397" s="868">
        <v>21124.43163</v>
      </c>
      <c r="AN397" s="882"/>
      <c r="AO397" s="882"/>
      <c r="AP397" s="882"/>
      <c r="AY397" s="882"/>
      <c r="AZ397" s="882"/>
      <c r="BA397" s="882"/>
      <c r="BJ397" s="882"/>
      <c r="BK397" s="882"/>
      <c r="BL397" s="882"/>
      <c r="BU397" s="882"/>
      <c r="BV397" s="882"/>
      <c r="BW397" s="882"/>
      <c r="CF397" s="882"/>
      <c r="CG397" s="882"/>
      <c r="CH397" s="882"/>
      <c r="CI397" s="530"/>
    </row>
    <row r="398">
      <c r="A398" s="857"/>
      <c r="B398" s="865" t="s">
        <v>619</v>
      </c>
      <c r="C398" s="865" t="s">
        <v>591</v>
      </c>
      <c r="D398" s="865" t="s">
        <v>637</v>
      </c>
      <c r="E398" s="866">
        <v>2019.0</v>
      </c>
      <c r="F398" s="865" t="s">
        <v>593</v>
      </c>
      <c r="G398" s="865" t="s">
        <v>70</v>
      </c>
      <c r="H398" s="867">
        <v>27166.12186</v>
      </c>
      <c r="I398" s="867">
        <v>30472.02187</v>
      </c>
      <c r="J398" s="868">
        <v>23839.41899</v>
      </c>
      <c r="K398" s="50"/>
      <c r="L398" s="869" t="s">
        <v>619</v>
      </c>
      <c r="M398" s="865" t="s">
        <v>591</v>
      </c>
      <c r="N398" s="865" t="s">
        <v>637</v>
      </c>
      <c r="O398" s="866">
        <v>2004.0</v>
      </c>
      <c r="P398" s="865" t="s">
        <v>593</v>
      </c>
      <c r="Q398" s="865" t="s">
        <v>70</v>
      </c>
      <c r="R398" s="867">
        <v>17885.14421</v>
      </c>
      <c r="S398" s="867">
        <v>19555.03644</v>
      </c>
      <c r="T398" s="868">
        <v>16200.59492</v>
      </c>
      <c r="AN398" s="882"/>
      <c r="AO398" s="882"/>
      <c r="AP398" s="882"/>
      <c r="AY398" s="882"/>
      <c r="AZ398" s="882"/>
      <c r="BA398" s="882"/>
      <c r="BJ398" s="882"/>
      <c r="BK398" s="882"/>
      <c r="BL398" s="882"/>
      <c r="BU398" s="882"/>
      <c r="BV398" s="882"/>
      <c r="BW398" s="882"/>
      <c r="CF398" s="882"/>
      <c r="CG398" s="882"/>
      <c r="CH398" s="882"/>
      <c r="CI398" s="530"/>
    </row>
    <row r="399">
      <c r="A399" s="857"/>
      <c r="B399" s="865" t="s">
        <v>619</v>
      </c>
      <c r="C399" s="865" t="s">
        <v>591</v>
      </c>
      <c r="D399" s="865" t="s">
        <v>639</v>
      </c>
      <c r="E399" s="866">
        <v>2019.0</v>
      </c>
      <c r="F399" s="865" t="s">
        <v>593</v>
      </c>
      <c r="G399" s="865" t="s">
        <v>70</v>
      </c>
      <c r="H399" s="867">
        <v>155890.4286</v>
      </c>
      <c r="I399" s="867">
        <v>174873.1127</v>
      </c>
      <c r="J399" s="868">
        <v>136795.6098</v>
      </c>
      <c r="K399" s="50"/>
      <c r="L399" s="869" t="s">
        <v>619</v>
      </c>
      <c r="M399" s="865" t="s">
        <v>591</v>
      </c>
      <c r="N399" s="865" t="s">
        <v>639</v>
      </c>
      <c r="O399" s="866">
        <v>2004.0</v>
      </c>
      <c r="P399" s="865" t="s">
        <v>593</v>
      </c>
      <c r="Q399" s="865" t="s">
        <v>70</v>
      </c>
      <c r="R399" s="867">
        <v>184184.666</v>
      </c>
      <c r="S399" s="867">
        <v>201379.0629</v>
      </c>
      <c r="T399" s="868">
        <v>166823.3096</v>
      </c>
      <c r="AN399" s="882"/>
      <c r="AO399" s="882"/>
      <c r="AP399" s="882"/>
      <c r="AY399" s="882"/>
      <c r="AZ399" s="882"/>
      <c r="BA399" s="882"/>
      <c r="BJ399" s="882"/>
      <c r="BK399" s="882"/>
      <c r="BL399" s="882"/>
      <c r="BU399" s="882"/>
      <c r="BV399" s="882"/>
      <c r="BW399" s="882"/>
      <c r="CF399" s="882"/>
      <c r="CG399" s="882"/>
      <c r="CH399" s="882"/>
      <c r="CI399" s="530"/>
    </row>
    <row r="400">
      <c r="A400" s="857"/>
      <c r="B400" s="865" t="s">
        <v>619</v>
      </c>
      <c r="C400" s="865" t="s">
        <v>591</v>
      </c>
      <c r="D400" s="865" t="s">
        <v>641</v>
      </c>
      <c r="E400" s="866">
        <v>2019.0</v>
      </c>
      <c r="F400" s="865" t="s">
        <v>593</v>
      </c>
      <c r="G400" s="865" t="s">
        <v>70</v>
      </c>
      <c r="H400" s="867">
        <v>53398.86682</v>
      </c>
      <c r="I400" s="867">
        <v>59897.08233</v>
      </c>
      <c r="J400" s="868">
        <v>46859.76034</v>
      </c>
      <c r="K400" s="50"/>
      <c r="L400" s="869" t="s">
        <v>619</v>
      </c>
      <c r="M400" s="865" t="s">
        <v>591</v>
      </c>
      <c r="N400" s="865" t="s">
        <v>641</v>
      </c>
      <c r="O400" s="866">
        <v>2004.0</v>
      </c>
      <c r="P400" s="865" t="s">
        <v>593</v>
      </c>
      <c r="Q400" s="865" t="s">
        <v>70</v>
      </c>
      <c r="R400" s="867">
        <v>60225.67006</v>
      </c>
      <c r="S400" s="867">
        <v>65848.79377</v>
      </c>
      <c r="T400" s="868">
        <v>54553.1908</v>
      </c>
      <c r="AN400" s="882"/>
      <c r="AO400" s="882"/>
      <c r="AP400" s="882"/>
      <c r="AY400" s="882"/>
      <c r="AZ400" s="882"/>
      <c r="BA400" s="882"/>
      <c r="BJ400" s="882"/>
      <c r="BK400" s="882"/>
      <c r="BL400" s="882"/>
      <c r="BU400" s="882"/>
      <c r="BV400" s="882"/>
      <c r="BW400" s="882"/>
      <c r="CF400" s="882"/>
      <c r="CG400" s="882"/>
      <c r="CH400" s="882"/>
      <c r="CI400" s="530"/>
    </row>
    <row r="401">
      <c r="A401" s="857"/>
      <c r="B401" s="865" t="s">
        <v>619</v>
      </c>
      <c r="C401" s="865" t="s">
        <v>591</v>
      </c>
      <c r="D401" s="865" t="s">
        <v>643</v>
      </c>
      <c r="E401" s="866">
        <v>2019.0</v>
      </c>
      <c r="F401" s="865" t="s">
        <v>593</v>
      </c>
      <c r="G401" s="865" t="s">
        <v>70</v>
      </c>
      <c r="H401" s="867">
        <v>25185.85519</v>
      </c>
      <c r="I401" s="867">
        <v>28250.77256</v>
      </c>
      <c r="J401" s="868">
        <v>22101.65137</v>
      </c>
      <c r="K401" s="50"/>
      <c r="L401" s="869" t="s">
        <v>619</v>
      </c>
      <c r="M401" s="865" t="s">
        <v>591</v>
      </c>
      <c r="N401" s="865" t="s">
        <v>643</v>
      </c>
      <c r="O401" s="866">
        <v>2004.0</v>
      </c>
      <c r="P401" s="865" t="s">
        <v>593</v>
      </c>
      <c r="Q401" s="865" t="s">
        <v>70</v>
      </c>
      <c r="R401" s="867">
        <v>11078.04406</v>
      </c>
      <c r="S401" s="867">
        <v>12112.37397</v>
      </c>
      <c r="T401" s="868">
        <v>10034.63557</v>
      </c>
      <c r="AN401" s="882"/>
      <c r="AO401" s="882"/>
      <c r="AP401" s="882"/>
      <c r="AY401" s="882"/>
      <c r="AZ401" s="882"/>
      <c r="BA401" s="882"/>
      <c r="BJ401" s="882"/>
      <c r="BK401" s="882"/>
      <c r="BL401" s="882"/>
      <c r="BU401" s="882"/>
      <c r="BV401" s="882"/>
      <c r="BW401" s="882"/>
      <c r="CF401" s="882"/>
      <c r="CG401" s="882"/>
      <c r="CH401" s="882"/>
      <c r="CI401" s="530"/>
    </row>
    <row r="402">
      <c r="A402" s="857"/>
      <c r="B402" s="865" t="s">
        <v>619</v>
      </c>
      <c r="C402" s="865" t="s">
        <v>591</v>
      </c>
      <c r="D402" s="865" t="s">
        <v>645</v>
      </c>
      <c r="E402" s="866">
        <v>2019.0</v>
      </c>
      <c r="F402" s="865" t="s">
        <v>593</v>
      </c>
      <c r="G402" s="865" t="s">
        <v>70</v>
      </c>
      <c r="H402" s="867">
        <v>75858.38361</v>
      </c>
      <c r="I402" s="867">
        <v>85089.74289</v>
      </c>
      <c r="J402" s="868">
        <v>66568.93465</v>
      </c>
      <c r="K402" s="50"/>
      <c r="L402" s="869" t="s">
        <v>619</v>
      </c>
      <c r="M402" s="865" t="s">
        <v>591</v>
      </c>
      <c r="N402" s="865" t="s">
        <v>645</v>
      </c>
      <c r="O402" s="866">
        <v>2004.0</v>
      </c>
      <c r="P402" s="865" t="s">
        <v>593</v>
      </c>
      <c r="Q402" s="865" t="s">
        <v>70</v>
      </c>
      <c r="R402" s="867">
        <v>35168.83493</v>
      </c>
      <c r="S402" s="867">
        <v>38452.46315</v>
      </c>
      <c r="T402" s="868">
        <v>31856.3855</v>
      </c>
      <c r="AN402" s="882"/>
      <c r="AO402" s="882"/>
      <c r="AP402" s="882"/>
      <c r="AY402" s="882"/>
      <c r="AZ402" s="882"/>
      <c r="BA402" s="882"/>
      <c r="BJ402" s="882"/>
      <c r="BK402" s="882"/>
      <c r="BL402" s="882"/>
      <c r="BU402" s="882"/>
      <c r="BV402" s="882"/>
      <c r="BW402" s="882"/>
      <c r="CF402" s="882"/>
      <c r="CG402" s="882"/>
      <c r="CH402" s="882"/>
      <c r="CI402" s="530"/>
    </row>
    <row r="403">
      <c r="A403" s="857"/>
      <c r="B403" s="865" t="s">
        <v>619</v>
      </c>
      <c r="C403" s="865" t="s">
        <v>591</v>
      </c>
      <c r="D403" s="865" t="s">
        <v>604</v>
      </c>
      <c r="E403" s="866">
        <v>2019.0</v>
      </c>
      <c r="F403" s="865" t="s">
        <v>593</v>
      </c>
      <c r="G403" s="865" t="s">
        <v>70</v>
      </c>
      <c r="H403" s="867">
        <v>105831.5641</v>
      </c>
      <c r="I403" s="867">
        <v>118710.42</v>
      </c>
      <c r="J403" s="868">
        <v>92871.6661</v>
      </c>
      <c r="K403" s="50"/>
      <c r="L403" s="869" t="s">
        <v>619</v>
      </c>
      <c r="M403" s="865" t="s">
        <v>591</v>
      </c>
      <c r="N403" s="865" t="s">
        <v>604</v>
      </c>
      <c r="O403" s="866">
        <v>2004.0</v>
      </c>
      <c r="P403" s="865" t="s">
        <v>593</v>
      </c>
      <c r="Q403" s="865" t="s">
        <v>70</v>
      </c>
      <c r="R403" s="867">
        <v>123821.804</v>
      </c>
      <c r="S403" s="867">
        <v>135382.7434</v>
      </c>
      <c r="T403" s="868">
        <v>112159.3913</v>
      </c>
      <c r="AN403" s="882"/>
      <c r="AO403" s="882"/>
      <c r="AP403" s="882"/>
      <c r="AY403" s="882"/>
      <c r="AZ403" s="882"/>
      <c r="BA403" s="882"/>
      <c r="BJ403" s="882"/>
      <c r="BK403" s="882"/>
      <c r="BL403" s="882"/>
      <c r="BU403" s="882"/>
      <c r="BV403" s="882"/>
      <c r="BW403" s="882"/>
      <c r="CF403" s="882"/>
      <c r="CG403" s="882"/>
      <c r="CH403" s="882"/>
      <c r="CI403" s="530"/>
    </row>
    <row r="404">
      <c r="A404" s="857"/>
      <c r="B404" s="865" t="s">
        <v>619</v>
      </c>
      <c r="C404" s="865" t="s">
        <v>591</v>
      </c>
      <c r="D404" s="865" t="s">
        <v>647</v>
      </c>
      <c r="E404" s="866">
        <v>2019.0</v>
      </c>
      <c r="F404" s="865" t="s">
        <v>593</v>
      </c>
      <c r="G404" s="865" t="s">
        <v>70</v>
      </c>
      <c r="H404" s="867">
        <v>71623.59356</v>
      </c>
      <c r="I404" s="867">
        <v>80345.15568</v>
      </c>
      <c r="J404" s="868">
        <v>62850.51139</v>
      </c>
      <c r="K404" s="50"/>
      <c r="L404" s="869" t="s">
        <v>619</v>
      </c>
      <c r="M404" s="865" t="s">
        <v>591</v>
      </c>
      <c r="N404" s="865" t="s">
        <v>647</v>
      </c>
      <c r="O404" s="866">
        <v>2004.0</v>
      </c>
      <c r="P404" s="865" t="s">
        <v>593</v>
      </c>
      <c r="Q404" s="865" t="s">
        <v>70</v>
      </c>
      <c r="R404" s="867">
        <v>43598.06851</v>
      </c>
      <c r="S404" s="867">
        <v>47668.1277</v>
      </c>
      <c r="T404" s="868">
        <v>39488.48859</v>
      </c>
      <c r="AN404" s="882"/>
      <c r="AO404" s="882"/>
      <c r="AP404" s="882"/>
      <c r="AY404" s="882"/>
      <c r="AZ404" s="882"/>
      <c r="BA404" s="882"/>
      <c r="BJ404" s="882"/>
      <c r="BK404" s="882"/>
      <c r="BL404" s="882"/>
      <c r="BU404" s="882"/>
      <c r="BV404" s="882"/>
      <c r="BW404" s="882"/>
      <c r="CF404" s="882"/>
      <c r="CG404" s="882"/>
      <c r="CH404" s="882"/>
      <c r="CI404" s="530"/>
    </row>
    <row r="405">
      <c r="A405" s="857"/>
      <c r="B405" s="865" t="s">
        <v>619</v>
      </c>
      <c r="C405" s="865" t="s">
        <v>591</v>
      </c>
      <c r="D405" s="865" t="s">
        <v>649</v>
      </c>
      <c r="E405" s="866">
        <v>2019.0</v>
      </c>
      <c r="F405" s="865" t="s">
        <v>593</v>
      </c>
      <c r="G405" s="865" t="s">
        <v>70</v>
      </c>
      <c r="H405" s="867">
        <v>21823.70445</v>
      </c>
      <c r="I405" s="867">
        <v>24479.47494</v>
      </c>
      <c r="J405" s="868">
        <v>19151.22213</v>
      </c>
      <c r="K405" s="50"/>
      <c r="L405" s="869" t="s">
        <v>619</v>
      </c>
      <c r="M405" s="865" t="s">
        <v>591</v>
      </c>
      <c r="N405" s="865" t="s">
        <v>649</v>
      </c>
      <c r="O405" s="866">
        <v>2004.0</v>
      </c>
      <c r="P405" s="865" t="s">
        <v>593</v>
      </c>
      <c r="Q405" s="865" t="s">
        <v>70</v>
      </c>
      <c r="R405" s="867">
        <v>6915.997715</v>
      </c>
      <c r="S405" s="867">
        <v>7561.727529</v>
      </c>
      <c r="T405" s="868">
        <v>6264.60017</v>
      </c>
      <c r="AN405" s="882"/>
      <c r="AO405" s="882"/>
      <c r="AP405" s="882"/>
      <c r="AY405" s="882"/>
      <c r="AZ405" s="882"/>
      <c r="BA405" s="882"/>
      <c r="BJ405" s="882"/>
      <c r="BK405" s="882"/>
      <c r="BL405" s="882"/>
      <c r="BU405" s="882"/>
      <c r="BV405" s="882"/>
      <c r="BW405" s="882"/>
      <c r="CF405" s="882"/>
      <c r="CG405" s="882"/>
      <c r="CH405" s="882"/>
      <c r="CI405" s="530"/>
    </row>
    <row r="406">
      <c r="A406" s="857"/>
      <c r="B406" s="865" t="s">
        <v>619</v>
      </c>
      <c r="C406" s="865" t="s">
        <v>591</v>
      </c>
      <c r="D406" s="865" t="s">
        <v>651</v>
      </c>
      <c r="E406" s="866">
        <v>2019.0</v>
      </c>
      <c r="F406" s="865" t="s">
        <v>593</v>
      </c>
      <c r="G406" s="865" t="s">
        <v>70</v>
      </c>
      <c r="H406" s="867">
        <v>17548.33844</v>
      </c>
      <c r="I406" s="867">
        <v>19683.83104</v>
      </c>
      <c r="J406" s="868">
        <v>15399.40794</v>
      </c>
      <c r="K406" s="50"/>
      <c r="L406" s="869" t="s">
        <v>619</v>
      </c>
      <c r="M406" s="865" t="s">
        <v>591</v>
      </c>
      <c r="N406" s="865" t="s">
        <v>651</v>
      </c>
      <c r="O406" s="866">
        <v>2004.0</v>
      </c>
      <c r="P406" s="865" t="s">
        <v>593</v>
      </c>
      <c r="Q406" s="865" t="s">
        <v>70</v>
      </c>
      <c r="R406" s="867">
        <v>7311.041942</v>
      </c>
      <c r="S406" s="867">
        <v>7993.656071</v>
      </c>
      <c r="T406" s="868">
        <v>6622.43634</v>
      </c>
      <c r="AN406" s="882"/>
      <c r="AO406" s="882"/>
      <c r="AP406" s="882"/>
      <c r="AY406" s="882"/>
      <c r="AZ406" s="882"/>
      <c r="BA406" s="882"/>
      <c r="BJ406" s="882"/>
      <c r="BK406" s="882"/>
      <c r="BL406" s="882"/>
      <c r="BU406" s="882"/>
      <c r="BV406" s="882"/>
      <c r="BW406" s="882"/>
      <c r="CF406" s="882"/>
      <c r="CG406" s="882"/>
      <c r="CH406" s="882"/>
      <c r="CI406" s="530"/>
    </row>
    <row r="407">
      <c r="A407" s="857"/>
      <c r="B407" s="865" t="s">
        <v>619</v>
      </c>
      <c r="C407" s="865" t="s">
        <v>591</v>
      </c>
      <c r="D407" s="865" t="s">
        <v>653</v>
      </c>
      <c r="E407" s="866">
        <v>2019.0</v>
      </c>
      <c r="F407" s="865" t="s">
        <v>593</v>
      </c>
      <c r="G407" s="865" t="s">
        <v>70</v>
      </c>
      <c r="H407" s="867">
        <v>11300.48554</v>
      </c>
      <c r="I407" s="867">
        <v>12675.66435</v>
      </c>
      <c r="J407" s="868">
        <v>9916.653208</v>
      </c>
      <c r="K407" s="50"/>
      <c r="L407" s="869" t="s">
        <v>619</v>
      </c>
      <c r="M407" s="865" t="s">
        <v>591</v>
      </c>
      <c r="N407" s="865" t="s">
        <v>653</v>
      </c>
      <c r="O407" s="866">
        <v>2004.0</v>
      </c>
      <c r="P407" s="865" t="s">
        <v>593</v>
      </c>
      <c r="Q407" s="865" t="s">
        <v>70</v>
      </c>
      <c r="R407" s="867">
        <v>9863.751218</v>
      </c>
      <c r="S407" s="867">
        <v>10784.70558</v>
      </c>
      <c r="T407" s="868">
        <v>8934.713414</v>
      </c>
      <c r="AN407" s="882"/>
      <c r="AO407" s="882"/>
      <c r="AP407" s="882"/>
      <c r="AY407" s="882"/>
      <c r="AZ407" s="882"/>
      <c r="BA407" s="882"/>
      <c r="BJ407" s="882"/>
      <c r="BK407" s="882"/>
      <c r="BL407" s="882"/>
      <c r="BU407" s="882"/>
      <c r="BV407" s="882"/>
      <c r="BW407" s="882"/>
      <c r="CF407" s="882"/>
      <c r="CG407" s="882"/>
      <c r="CH407" s="882"/>
      <c r="CI407" s="530"/>
    </row>
    <row r="408">
      <c r="A408" s="857"/>
      <c r="B408" s="865" t="s">
        <v>619</v>
      </c>
      <c r="C408" s="865" t="s">
        <v>591</v>
      </c>
      <c r="D408" s="865" t="s">
        <v>655</v>
      </c>
      <c r="E408" s="866">
        <v>2019.0</v>
      </c>
      <c r="F408" s="865" t="s">
        <v>593</v>
      </c>
      <c r="G408" s="865" t="s">
        <v>70</v>
      </c>
      <c r="H408" s="867">
        <v>17899.52121</v>
      </c>
      <c r="I408" s="867">
        <v>20079.1352</v>
      </c>
      <c r="J408" s="868">
        <v>15707.0318</v>
      </c>
      <c r="K408" s="50"/>
      <c r="L408" s="869" t="s">
        <v>619</v>
      </c>
      <c r="M408" s="865" t="s">
        <v>591</v>
      </c>
      <c r="N408" s="865" t="s">
        <v>655</v>
      </c>
      <c r="O408" s="866">
        <v>2004.0</v>
      </c>
      <c r="P408" s="865" t="s">
        <v>593</v>
      </c>
      <c r="Q408" s="865" t="s">
        <v>70</v>
      </c>
      <c r="R408" s="867">
        <v>17799.36722</v>
      </c>
      <c r="S408" s="867">
        <v>19461.01144</v>
      </c>
      <c r="T408" s="868">
        <v>16121.58826</v>
      </c>
      <c r="AN408" s="882"/>
      <c r="AO408" s="882"/>
      <c r="AP408" s="882"/>
      <c r="AY408" s="882"/>
      <c r="AZ408" s="882"/>
      <c r="BA408" s="882"/>
      <c r="BJ408" s="882"/>
      <c r="BK408" s="882"/>
      <c r="BL408" s="882"/>
      <c r="BU408" s="882"/>
      <c r="BV408" s="882"/>
      <c r="BW408" s="882"/>
      <c r="CF408" s="882"/>
      <c r="CG408" s="882"/>
      <c r="CH408" s="882"/>
      <c r="CI408" s="530"/>
    </row>
    <row r="409">
      <c r="A409" s="857"/>
      <c r="B409" s="865" t="s">
        <v>619</v>
      </c>
      <c r="C409" s="865" t="s">
        <v>591</v>
      </c>
      <c r="D409" s="865" t="s">
        <v>657</v>
      </c>
      <c r="E409" s="866">
        <v>2019.0</v>
      </c>
      <c r="F409" s="865" t="s">
        <v>593</v>
      </c>
      <c r="G409" s="865" t="s">
        <v>70</v>
      </c>
      <c r="H409" s="867">
        <v>6598.681112</v>
      </c>
      <c r="I409" s="867">
        <v>7401.687889</v>
      </c>
      <c r="J409" s="868">
        <v>5790.621298</v>
      </c>
      <c r="K409" s="50"/>
      <c r="L409" s="869" t="s">
        <v>619</v>
      </c>
      <c r="M409" s="865" t="s">
        <v>591</v>
      </c>
      <c r="N409" s="865" t="s">
        <v>657</v>
      </c>
      <c r="O409" s="866">
        <v>2004.0</v>
      </c>
      <c r="P409" s="865" t="s">
        <v>593</v>
      </c>
      <c r="Q409" s="865" t="s">
        <v>70</v>
      </c>
      <c r="R409" s="867">
        <v>7935.335181</v>
      </c>
      <c r="S409" s="867">
        <v>8676.238045</v>
      </c>
      <c r="T409" s="868">
        <v>7187.929229</v>
      </c>
      <c r="AN409" s="882"/>
      <c r="AO409" s="882"/>
      <c r="AP409" s="882"/>
      <c r="AY409" s="882"/>
      <c r="AZ409" s="882"/>
      <c r="BA409" s="882"/>
      <c r="BJ409" s="882"/>
      <c r="BK409" s="882"/>
      <c r="BL409" s="882"/>
      <c r="BU409" s="882"/>
      <c r="BV409" s="882"/>
      <c r="BW409" s="882"/>
      <c r="CF409" s="882"/>
      <c r="CG409" s="882"/>
      <c r="CH409" s="882"/>
      <c r="CI409" s="530"/>
    </row>
    <row r="410">
      <c r="A410" s="857"/>
      <c r="B410" s="865" t="s">
        <v>619</v>
      </c>
      <c r="C410" s="865" t="s">
        <v>591</v>
      </c>
      <c r="D410" s="865" t="s">
        <v>659</v>
      </c>
      <c r="E410" s="866">
        <v>2019.0</v>
      </c>
      <c r="F410" s="865" t="s">
        <v>593</v>
      </c>
      <c r="G410" s="865" t="s">
        <v>70</v>
      </c>
      <c r="H410" s="867">
        <v>20949.64637</v>
      </c>
      <c r="I410" s="867">
        <v>23499.05098</v>
      </c>
      <c r="J410" s="868">
        <v>18384.19927</v>
      </c>
      <c r="K410" s="50"/>
      <c r="L410" s="869" t="s">
        <v>619</v>
      </c>
      <c r="M410" s="865" t="s">
        <v>591</v>
      </c>
      <c r="N410" s="865" t="s">
        <v>659</v>
      </c>
      <c r="O410" s="866">
        <v>2004.0</v>
      </c>
      <c r="P410" s="865" t="s">
        <v>593</v>
      </c>
      <c r="Q410" s="865" t="s">
        <v>70</v>
      </c>
      <c r="R410" s="867">
        <v>19506.58977</v>
      </c>
      <c r="S410" s="867">
        <v>21327.87242</v>
      </c>
      <c r="T410" s="868">
        <v>17669.32128</v>
      </c>
      <c r="AN410" s="882"/>
      <c r="AO410" s="882"/>
      <c r="AP410" s="882"/>
      <c r="AY410" s="882"/>
      <c r="AZ410" s="882"/>
      <c r="BA410" s="882"/>
      <c r="BJ410" s="882"/>
      <c r="BK410" s="882"/>
      <c r="BL410" s="882"/>
      <c r="BU410" s="882"/>
      <c r="BV410" s="882"/>
      <c r="BW410" s="882"/>
      <c r="CF410" s="882"/>
      <c r="CG410" s="882"/>
      <c r="CH410" s="882"/>
      <c r="CI410" s="530"/>
    </row>
    <row r="411">
      <c r="A411" s="857"/>
      <c r="B411" s="865" t="s">
        <v>619</v>
      </c>
      <c r="C411" s="865" t="s">
        <v>591</v>
      </c>
      <c r="D411" s="865" t="s">
        <v>661</v>
      </c>
      <c r="E411" s="866">
        <v>2019.0</v>
      </c>
      <c r="F411" s="865" t="s">
        <v>593</v>
      </c>
      <c r="G411" s="865" t="s">
        <v>70</v>
      </c>
      <c r="H411" s="867">
        <v>14351.24954</v>
      </c>
      <c r="I411" s="867">
        <v>16098.79261</v>
      </c>
      <c r="J411" s="868">
        <v>12593.38338</v>
      </c>
      <c r="K411" s="50"/>
      <c r="L411" s="869" t="s">
        <v>619</v>
      </c>
      <c r="M411" s="865" t="s">
        <v>591</v>
      </c>
      <c r="N411" s="865" t="s">
        <v>661</v>
      </c>
      <c r="O411" s="866">
        <v>2004.0</v>
      </c>
      <c r="P411" s="865" t="s">
        <v>593</v>
      </c>
      <c r="Q411" s="865" t="s">
        <v>70</v>
      </c>
      <c r="R411" s="867">
        <v>11571.43716</v>
      </c>
      <c r="S411" s="867">
        <v>12651.67846</v>
      </c>
      <c r="T411" s="868">
        <v>10480.7066</v>
      </c>
      <c r="AN411" s="882"/>
      <c r="AO411" s="882"/>
      <c r="AP411" s="882"/>
      <c r="AY411" s="882"/>
      <c r="AZ411" s="882"/>
      <c r="BA411" s="882"/>
      <c r="BJ411" s="882"/>
      <c r="BK411" s="882"/>
      <c r="BL411" s="882"/>
      <c r="BU411" s="882"/>
      <c r="BV411" s="882"/>
      <c r="BW411" s="882"/>
      <c r="CF411" s="882"/>
      <c r="CG411" s="882"/>
      <c r="CH411" s="882"/>
      <c r="CI411" s="530"/>
    </row>
    <row r="412">
      <c r="A412" s="857"/>
      <c r="B412" s="865" t="s">
        <v>619</v>
      </c>
      <c r="C412" s="865" t="s">
        <v>591</v>
      </c>
      <c r="D412" s="865" t="s">
        <v>663</v>
      </c>
      <c r="E412" s="866">
        <v>2019.0</v>
      </c>
      <c r="F412" s="865" t="s">
        <v>593</v>
      </c>
      <c r="G412" s="865" t="s">
        <v>70</v>
      </c>
      <c r="H412" s="867">
        <v>5045.348613</v>
      </c>
      <c r="I412" s="867">
        <v>5659.327234</v>
      </c>
      <c r="J412" s="868">
        <v>4427.506442</v>
      </c>
      <c r="K412" s="50"/>
      <c r="L412" s="869" t="s">
        <v>619</v>
      </c>
      <c r="M412" s="865" t="s">
        <v>591</v>
      </c>
      <c r="N412" s="865" t="s">
        <v>663</v>
      </c>
      <c r="O412" s="866">
        <v>2004.0</v>
      </c>
      <c r="P412" s="865" t="s">
        <v>593</v>
      </c>
      <c r="Q412" s="865" t="s">
        <v>70</v>
      </c>
      <c r="R412" s="867">
        <v>5261.657498</v>
      </c>
      <c r="S412" s="867">
        <v>5752.925607</v>
      </c>
      <c r="T412" s="868">
        <v>4766.077407</v>
      </c>
      <c r="AN412" s="882"/>
      <c r="AO412" s="882"/>
      <c r="AP412" s="882"/>
      <c r="AY412" s="882"/>
      <c r="AZ412" s="882"/>
      <c r="BA412" s="882"/>
      <c r="BJ412" s="882"/>
      <c r="BK412" s="882"/>
      <c r="BL412" s="882"/>
      <c r="BU412" s="882"/>
      <c r="BV412" s="882"/>
      <c r="BW412" s="882"/>
      <c r="CF412" s="882"/>
      <c r="CG412" s="882"/>
      <c r="CH412" s="882"/>
      <c r="CI412" s="530"/>
    </row>
    <row r="413">
      <c r="A413" s="857"/>
      <c r="B413" s="865" t="s">
        <v>619</v>
      </c>
      <c r="C413" s="865" t="s">
        <v>591</v>
      </c>
      <c r="D413" s="865" t="s">
        <v>665</v>
      </c>
      <c r="E413" s="866">
        <v>2019.0</v>
      </c>
      <c r="F413" s="865" t="s">
        <v>593</v>
      </c>
      <c r="G413" s="865" t="s">
        <v>70</v>
      </c>
      <c r="H413" s="867">
        <v>10150.03327</v>
      </c>
      <c r="I413" s="867">
        <v>11385.99675</v>
      </c>
      <c r="J413" s="868">
        <v>8906.768706</v>
      </c>
      <c r="K413" s="50"/>
      <c r="L413" s="869" t="s">
        <v>619</v>
      </c>
      <c r="M413" s="865" t="s">
        <v>591</v>
      </c>
      <c r="N413" s="865" t="s">
        <v>665</v>
      </c>
      <c r="O413" s="866">
        <v>2004.0</v>
      </c>
      <c r="P413" s="865" t="s">
        <v>593</v>
      </c>
      <c r="Q413" s="865" t="s">
        <v>70</v>
      </c>
      <c r="R413" s="867">
        <v>8268.217014</v>
      </c>
      <c r="S413" s="867">
        <v>9040.089114</v>
      </c>
      <c r="T413" s="868">
        <v>7488.849952</v>
      </c>
      <c r="AN413" s="882"/>
      <c r="AO413" s="882"/>
      <c r="AP413" s="882"/>
      <c r="AY413" s="882"/>
      <c r="AZ413" s="882"/>
      <c r="BA413" s="882"/>
      <c r="BJ413" s="882"/>
      <c r="BK413" s="882"/>
      <c r="BL413" s="882"/>
      <c r="BU413" s="882"/>
      <c r="BV413" s="882"/>
      <c r="BW413" s="882"/>
      <c r="CF413" s="882"/>
      <c r="CG413" s="882"/>
      <c r="CH413" s="882"/>
      <c r="CI413" s="530"/>
    </row>
    <row r="414">
      <c r="A414" s="857"/>
      <c r="B414" s="865" t="s">
        <v>619</v>
      </c>
      <c r="C414" s="865" t="s">
        <v>591</v>
      </c>
      <c r="D414" s="865" t="s">
        <v>667</v>
      </c>
      <c r="E414" s="866">
        <v>2019.0</v>
      </c>
      <c r="F414" s="865" t="s">
        <v>593</v>
      </c>
      <c r="G414" s="865" t="s">
        <v>70</v>
      </c>
      <c r="H414" s="867">
        <v>9305.616649</v>
      </c>
      <c r="I414" s="867">
        <v>10438.03586</v>
      </c>
      <c r="J414" s="868">
        <v>8166.071528</v>
      </c>
      <c r="K414" s="50"/>
      <c r="L414" s="869" t="s">
        <v>619</v>
      </c>
      <c r="M414" s="865" t="s">
        <v>591</v>
      </c>
      <c r="N414" s="865" t="s">
        <v>667</v>
      </c>
      <c r="O414" s="866">
        <v>2004.0</v>
      </c>
      <c r="P414" s="865" t="s">
        <v>593</v>
      </c>
      <c r="Q414" s="865" t="s">
        <v>70</v>
      </c>
      <c r="R414" s="867">
        <v>6309.597094</v>
      </c>
      <c r="S414" s="867">
        <v>6898.708764</v>
      </c>
      <c r="T414" s="868">
        <v>5715.314646</v>
      </c>
      <c r="AN414" s="882"/>
      <c r="AO414" s="882"/>
      <c r="AP414" s="882"/>
      <c r="AY414" s="882"/>
      <c r="AZ414" s="882"/>
      <c r="BA414" s="882"/>
      <c r="BJ414" s="882"/>
      <c r="BK414" s="882"/>
      <c r="BL414" s="882"/>
      <c r="BU414" s="882"/>
      <c r="BV414" s="882"/>
      <c r="BW414" s="882"/>
      <c r="CF414" s="882"/>
      <c r="CG414" s="882"/>
      <c r="CH414" s="882"/>
      <c r="CI414" s="530"/>
    </row>
    <row r="415">
      <c r="A415" s="857"/>
      <c r="B415" s="865" t="s">
        <v>619</v>
      </c>
      <c r="C415" s="865" t="s">
        <v>591</v>
      </c>
      <c r="D415" s="865" t="s">
        <v>669</v>
      </c>
      <c r="E415" s="866">
        <v>2019.0</v>
      </c>
      <c r="F415" s="865" t="s">
        <v>593</v>
      </c>
      <c r="G415" s="865" t="s">
        <v>70</v>
      </c>
      <c r="H415" s="867">
        <v>5104.4836</v>
      </c>
      <c r="I415" s="867">
        <v>5725.658476</v>
      </c>
      <c r="J415" s="868">
        <v>4479.399889</v>
      </c>
      <c r="K415" s="50"/>
      <c r="L415" s="869" t="s">
        <v>619</v>
      </c>
      <c r="M415" s="865" t="s">
        <v>591</v>
      </c>
      <c r="N415" s="865" t="s">
        <v>669</v>
      </c>
      <c r="O415" s="866">
        <v>2004.0</v>
      </c>
      <c r="P415" s="865" t="s">
        <v>593</v>
      </c>
      <c r="Q415" s="865" t="s">
        <v>70</v>
      </c>
      <c r="R415" s="867">
        <v>3006.429066</v>
      </c>
      <c r="S415" s="867">
        <v>3287.132005</v>
      </c>
      <c r="T415" s="868">
        <v>2723.262328</v>
      </c>
      <c r="AN415" s="882"/>
      <c r="AO415" s="882"/>
      <c r="AP415" s="882"/>
      <c r="AY415" s="882"/>
      <c r="AZ415" s="882"/>
      <c r="BA415" s="882"/>
      <c r="BJ415" s="882"/>
      <c r="BK415" s="882"/>
      <c r="BL415" s="882"/>
      <c r="BU415" s="882"/>
      <c r="BV415" s="882"/>
      <c r="BW415" s="882"/>
      <c r="CF415" s="882"/>
      <c r="CG415" s="882"/>
      <c r="CH415" s="882"/>
      <c r="CI415" s="530"/>
    </row>
    <row r="416">
      <c r="A416" s="857"/>
      <c r="B416" s="865" t="s">
        <v>619</v>
      </c>
      <c r="C416" s="865" t="s">
        <v>591</v>
      </c>
      <c r="D416" s="865" t="s">
        <v>671</v>
      </c>
      <c r="E416" s="866">
        <v>2019.0</v>
      </c>
      <c r="F416" s="865" t="s">
        <v>593</v>
      </c>
      <c r="G416" s="865" t="s">
        <v>70</v>
      </c>
      <c r="H416" s="867">
        <v>4201.216269</v>
      </c>
      <c r="I416" s="867">
        <v>4712.79586</v>
      </c>
      <c r="J416" s="868">
        <v>3686.614674</v>
      </c>
      <c r="K416" s="50"/>
      <c r="L416" s="869" t="s">
        <v>619</v>
      </c>
      <c r="M416" s="865" t="s">
        <v>591</v>
      </c>
      <c r="N416" s="865" t="s">
        <v>671</v>
      </c>
      <c r="O416" s="866">
        <v>2004.0</v>
      </c>
      <c r="P416" s="865" t="s">
        <v>593</v>
      </c>
      <c r="Q416" s="865" t="s">
        <v>70</v>
      </c>
      <c r="R416" s="867">
        <v>3303.220144</v>
      </c>
      <c r="S416" s="867">
        <v>3611.589344</v>
      </c>
      <c r="T416" s="868">
        <v>2991.856645</v>
      </c>
      <c r="AN416" s="882"/>
      <c r="AO416" s="882"/>
      <c r="AP416" s="882"/>
      <c r="AY416" s="882"/>
      <c r="AZ416" s="882"/>
      <c r="BA416" s="882"/>
      <c r="BJ416" s="882"/>
      <c r="BK416" s="882"/>
      <c r="BL416" s="882"/>
      <c r="BU416" s="882"/>
      <c r="BV416" s="882"/>
      <c r="BW416" s="882"/>
      <c r="CF416" s="882"/>
      <c r="CG416" s="882"/>
      <c r="CH416" s="882"/>
      <c r="CI416" s="530"/>
    </row>
    <row r="417">
      <c r="A417" s="857"/>
      <c r="B417" s="865" t="s">
        <v>619</v>
      </c>
      <c r="C417" s="865" t="s">
        <v>591</v>
      </c>
      <c r="D417" s="865" t="s">
        <v>673</v>
      </c>
      <c r="E417" s="866">
        <v>2019.0</v>
      </c>
      <c r="F417" s="865" t="s">
        <v>593</v>
      </c>
      <c r="G417" s="865" t="s">
        <v>70</v>
      </c>
      <c r="H417" s="867">
        <v>2747.621979</v>
      </c>
      <c r="I417" s="867">
        <v>3081.985624</v>
      </c>
      <c r="J417" s="868">
        <v>2411.154302</v>
      </c>
      <c r="K417" s="50"/>
      <c r="L417" s="869" t="s">
        <v>619</v>
      </c>
      <c r="M417" s="865" t="s">
        <v>591</v>
      </c>
      <c r="N417" s="865" t="s">
        <v>673</v>
      </c>
      <c r="O417" s="866">
        <v>2004.0</v>
      </c>
      <c r="P417" s="865" t="s">
        <v>593</v>
      </c>
      <c r="Q417" s="865" t="s">
        <v>70</v>
      </c>
      <c r="R417" s="867">
        <v>1868.536165</v>
      </c>
      <c r="S417" s="867">
        <v>2042.996823</v>
      </c>
      <c r="T417" s="868">
        <v>1692.544223</v>
      </c>
      <c r="AN417" s="882"/>
      <c r="AO417" s="882"/>
      <c r="AP417" s="882"/>
      <c r="AY417" s="882"/>
      <c r="AZ417" s="882"/>
      <c r="BA417" s="882"/>
      <c r="BJ417" s="882"/>
      <c r="BK417" s="882"/>
      <c r="BL417" s="882"/>
      <c r="BU417" s="882"/>
      <c r="BV417" s="882"/>
      <c r="BW417" s="882"/>
      <c r="CF417" s="882"/>
      <c r="CG417" s="882"/>
      <c r="CH417" s="882"/>
      <c r="CI417" s="530"/>
    </row>
    <row r="418">
      <c r="A418" s="857"/>
      <c r="B418" s="865" t="s">
        <v>619</v>
      </c>
      <c r="C418" s="865" t="s">
        <v>591</v>
      </c>
      <c r="D418" s="865" t="s">
        <v>674</v>
      </c>
      <c r="E418" s="866">
        <v>2019.0</v>
      </c>
      <c r="F418" s="865" t="s">
        <v>593</v>
      </c>
      <c r="G418" s="865" t="s">
        <v>70</v>
      </c>
      <c r="H418" s="867">
        <v>1056.386716</v>
      </c>
      <c r="I418" s="867">
        <v>1184.94054</v>
      </c>
      <c r="J418" s="868">
        <v>927.0239481</v>
      </c>
      <c r="K418" s="50"/>
      <c r="L418" s="869" t="s">
        <v>619</v>
      </c>
      <c r="M418" s="865" t="s">
        <v>591</v>
      </c>
      <c r="N418" s="865" t="s">
        <v>674</v>
      </c>
      <c r="O418" s="866">
        <v>2004.0</v>
      </c>
      <c r="P418" s="865" t="s">
        <v>593</v>
      </c>
      <c r="Q418" s="865" t="s">
        <v>70</v>
      </c>
      <c r="R418" s="867">
        <v>1016.044138</v>
      </c>
      <c r="S418" s="867">
        <v>1110.909698</v>
      </c>
      <c r="T418" s="868">
        <v>920.3459203</v>
      </c>
      <c r="AN418" s="882"/>
      <c r="AO418" s="882"/>
      <c r="AP418" s="882"/>
      <c r="AY418" s="882"/>
      <c r="AZ418" s="882"/>
      <c r="BA418" s="882"/>
      <c r="BJ418" s="882"/>
      <c r="BK418" s="882"/>
      <c r="BL418" s="882"/>
      <c r="BU418" s="882"/>
      <c r="BV418" s="882"/>
      <c r="BW418" s="882"/>
      <c r="CF418" s="882"/>
      <c r="CG418" s="882"/>
      <c r="CH418" s="882"/>
      <c r="CI418" s="530"/>
    </row>
    <row r="419">
      <c r="A419" s="857"/>
      <c r="B419" s="865" t="s">
        <v>619</v>
      </c>
      <c r="C419" s="865" t="s">
        <v>591</v>
      </c>
      <c r="D419" s="865" t="s">
        <v>676</v>
      </c>
      <c r="E419" s="866">
        <v>2019.0</v>
      </c>
      <c r="F419" s="865" t="s">
        <v>593</v>
      </c>
      <c r="G419" s="865" t="s">
        <v>70</v>
      </c>
      <c r="H419" s="867">
        <v>397.124354</v>
      </c>
      <c r="I419" s="867">
        <v>445.4512154</v>
      </c>
      <c r="J419" s="868">
        <v>348.4933888</v>
      </c>
      <c r="K419" s="50"/>
      <c r="L419" s="869" t="s">
        <v>619</v>
      </c>
      <c r="M419" s="865" t="s">
        <v>591</v>
      </c>
      <c r="N419" s="865" t="s">
        <v>676</v>
      </c>
      <c r="O419" s="866">
        <v>2004.0</v>
      </c>
      <c r="P419" s="865" t="s">
        <v>593</v>
      </c>
      <c r="Q419" s="865" t="s">
        <v>70</v>
      </c>
      <c r="R419" s="867">
        <v>418.5877251</v>
      </c>
      <c r="S419" s="867">
        <v>457.6702386</v>
      </c>
      <c r="T419" s="868">
        <v>379.1621748</v>
      </c>
      <c r="AN419" s="882"/>
      <c r="AO419" s="882"/>
      <c r="AP419" s="882"/>
      <c r="AY419" s="882"/>
      <c r="AZ419" s="882"/>
      <c r="BA419" s="882"/>
      <c r="BJ419" s="882"/>
      <c r="BK419" s="882"/>
      <c r="BL419" s="882"/>
      <c r="BU419" s="882"/>
      <c r="BV419" s="882"/>
      <c r="BW419" s="882"/>
      <c r="CF419" s="882"/>
      <c r="CG419" s="882"/>
      <c r="CH419" s="882"/>
      <c r="CI419" s="530"/>
    </row>
    <row r="420">
      <c r="A420" s="857"/>
      <c r="B420" s="865" t="s">
        <v>619</v>
      </c>
      <c r="C420" s="865" t="s">
        <v>591</v>
      </c>
      <c r="D420" s="865" t="s">
        <v>678</v>
      </c>
      <c r="E420" s="866">
        <v>2019.0</v>
      </c>
      <c r="F420" s="865" t="s">
        <v>593</v>
      </c>
      <c r="G420" s="865" t="s">
        <v>70</v>
      </c>
      <c r="H420" s="867">
        <v>563563.0874</v>
      </c>
      <c r="I420" s="867">
        <v>632144.213</v>
      </c>
      <c r="J420" s="868">
        <v>494550.405</v>
      </c>
      <c r="K420" s="50"/>
      <c r="L420" s="869" t="s">
        <v>619</v>
      </c>
      <c r="M420" s="865" t="s">
        <v>591</v>
      </c>
      <c r="N420" s="865" t="s">
        <v>678</v>
      </c>
      <c r="O420" s="866">
        <v>2004.0</v>
      </c>
      <c r="P420" s="865" t="s">
        <v>593</v>
      </c>
      <c r="Q420" s="865" t="s">
        <v>70</v>
      </c>
      <c r="R420" s="867">
        <v>478078.5162</v>
      </c>
      <c r="S420" s="867">
        <v>522715.5395</v>
      </c>
      <c r="T420" s="868">
        <v>433049.7026</v>
      </c>
      <c r="AN420" s="882"/>
      <c r="AO420" s="882"/>
      <c r="AP420" s="882"/>
      <c r="AY420" s="882"/>
      <c r="AZ420" s="882"/>
      <c r="BA420" s="882"/>
      <c r="BJ420" s="882"/>
      <c r="BK420" s="882"/>
      <c r="BL420" s="882"/>
      <c r="BU420" s="882"/>
      <c r="BV420" s="882"/>
      <c r="BW420" s="882"/>
      <c r="CF420" s="882"/>
      <c r="CG420" s="882"/>
      <c r="CH420" s="882"/>
      <c r="CI420" s="530"/>
    </row>
    <row r="421">
      <c r="A421" s="857"/>
      <c r="B421" s="865" t="s">
        <v>619</v>
      </c>
      <c r="C421" s="865" t="s">
        <v>591</v>
      </c>
      <c r="D421" s="865" t="s">
        <v>680</v>
      </c>
      <c r="E421" s="866">
        <v>2019.0</v>
      </c>
      <c r="F421" s="865" t="s">
        <v>593</v>
      </c>
      <c r="G421" s="865" t="s">
        <v>70</v>
      </c>
      <c r="H421" s="867">
        <v>10814.2322</v>
      </c>
      <c r="I421" s="867">
        <v>12773.34055</v>
      </c>
      <c r="J421" s="868">
        <v>9103.187801</v>
      </c>
      <c r="K421" s="50"/>
      <c r="L421" s="869" t="s">
        <v>619</v>
      </c>
      <c r="M421" s="865" t="s">
        <v>591</v>
      </c>
      <c r="N421" s="865" t="s">
        <v>680</v>
      </c>
      <c r="O421" s="866">
        <v>2004.0</v>
      </c>
      <c r="P421" s="865" t="s">
        <v>593</v>
      </c>
      <c r="Q421" s="865" t="s">
        <v>70</v>
      </c>
      <c r="R421" s="867">
        <v>12751.41173</v>
      </c>
      <c r="S421" s="867">
        <v>14059.09144</v>
      </c>
      <c r="T421" s="868">
        <v>11521.33163</v>
      </c>
      <c r="AN421" s="882"/>
      <c r="AO421" s="882"/>
      <c r="AP421" s="882"/>
      <c r="AY421" s="882"/>
      <c r="AZ421" s="882"/>
      <c r="BA421" s="882"/>
      <c r="BJ421" s="882"/>
      <c r="BK421" s="882"/>
      <c r="BL421" s="882"/>
      <c r="BU421" s="882"/>
      <c r="BV421" s="882"/>
      <c r="BW421" s="882"/>
      <c r="CF421" s="882"/>
      <c r="CG421" s="882"/>
      <c r="CH421" s="882"/>
      <c r="CI421" s="530"/>
    </row>
    <row r="422">
      <c r="A422" s="857"/>
      <c r="B422" s="865" t="s">
        <v>619</v>
      </c>
      <c r="C422" s="865" t="s">
        <v>591</v>
      </c>
      <c r="D422" s="865" t="s">
        <v>682</v>
      </c>
      <c r="E422" s="866">
        <v>2019.0</v>
      </c>
      <c r="F422" s="865" t="s">
        <v>593</v>
      </c>
      <c r="G422" s="865" t="s">
        <v>70</v>
      </c>
      <c r="H422" s="867">
        <v>204.2382567</v>
      </c>
      <c r="I422" s="867">
        <v>229.0924209</v>
      </c>
      <c r="J422" s="868">
        <v>179.2276939</v>
      </c>
      <c r="K422" s="50"/>
      <c r="L422" s="869" t="s">
        <v>619</v>
      </c>
      <c r="M422" s="865" t="s">
        <v>591</v>
      </c>
      <c r="N422" s="865" t="s">
        <v>682</v>
      </c>
      <c r="O422" s="866">
        <v>2004.0</v>
      </c>
      <c r="P422" s="865" t="s">
        <v>593</v>
      </c>
      <c r="Q422" s="865" t="s">
        <v>70</v>
      </c>
      <c r="R422" s="867">
        <v>236.6217018</v>
      </c>
      <c r="S422" s="867">
        <v>258.7144921</v>
      </c>
      <c r="T422" s="868">
        <v>214.3349975</v>
      </c>
      <c r="AN422" s="882"/>
      <c r="AO422" s="882"/>
      <c r="AP422" s="882"/>
      <c r="AY422" s="882"/>
      <c r="AZ422" s="882"/>
      <c r="BA422" s="882"/>
      <c r="BJ422" s="882"/>
      <c r="BK422" s="882"/>
      <c r="BL422" s="882"/>
      <c r="BU422" s="882"/>
      <c r="BV422" s="882"/>
      <c r="BW422" s="882"/>
      <c r="CF422" s="882"/>
      <c r="CG422" s="882"/>
      <c r="CH422" s="882"/>
      <c r="CI422" s="530"/>
    </row>
    <row r="423">
      <c r="A423" s="857"/>
      <c r="B423" s="865" t="s">
        <v>619</v>
      </c>
      <c r="C423" s="865" t="s">
        <v>591</v>
      </c>
      <c r="D423" s="865" t="s">
        <v>684</v>
      </c>
      <c r="E423" s="866">
        <v>2019.0</v>
      </c>
      <c r="F423" s="865" t="s">
        <v>593</v>
      </c>
      <c r="G423" s="865" t="s">
        <v>70</v>
      </c>
      <c r="H423" s="867">
        <v>609.8964969</v>
      </c>
      <c r="I423" s="867">
        <v>684.1160283</v>
      </c>
      <c r="J423" s="868">
        <v>535.2099282</v>
      </c>
      <c r="K423" s="50"/>
      <c r="L423" s="869" t="s">
        <v>619</v>
      </c>
      <c r="M423" s="865" t="s">
        <v>591</v>
      </c>
      <c r="N423" s="865" t="s">
        <v>684</v>
      </c>
      <c r="O423" s="866">
        <v>2004.0</v>
      </c>
      <c r="P423" s="865" t="s">
        <v>593</v>
      </c>
      <c r="Q423" s="865" t="s">
        <v>70</v>
      </c>
      <c r="R423" s="867">
        <v>703.6760058</v>
      </c>
      <c r="S423" s="867">
        <v>769.3765158</v>
      </c>
      <c r="T423" s="868">
        <v>637.3988263</v>
      </c>
      <c r="AN423" s="882"/>
      <c r="AO423" s="882"/>
      <c r="AP423" s="882"/>
      <c r="AY423" s="882"/>
      <c r="AZ423" s="882"/>
      <c r="BA423" s="882"/>
      <c r="BJ423" s="882"/>
      <c r="BK423" s="882"/>
      <c r="BL423" s="882"/>
      <c r="BU423" s="882"/>
      <c r="BV423" s="882"/>
      <c r="BW423" s="882"/>
      <c r="CF423" s="882"/>
      <c r="CG423" s="882"/>
      <c r="CH423" s="882"/>
      <c r="CI423" s="530"/>
    </row>
    <row r="424">
      <c r="A424" s="857"/>
      <c r="B424" s="865" t="s">
        <v>619</v>
      </c>
      <c r="C424" s="865" t="s">
        <v>591</v>
      </c>
      <c r="D424" s="865" t="s">
        <v>686</v>
      </c>
      <c r="E424" s="866">
        <v>2019.0</v>
      </c>
      <c r="F424" s="865" t="s">
        <v>593</v>
      </c>
      <c r="G424" s="865" t="s">
        <v>70</v>
      </c>
      <c r="H424" s="867">
        <v>814.1347536</v>
      </c>
      <c r="I424" s="867">
        <v>913.2084492</v>
      </c>
      <c r="J424" s="868">
        <v>714.4376221</v>
      </c>
      <c r="K424" s="50"/>
      <c r="L424" s="869" t="s">
        <v>619</v>
      </c>
      <c r="M424" s="865" t="s">
        <v>591</v>
      </c>
      <c r="N424" s="865" t="s">
        <v>686</v>
      </c>
      <c r="O424" s="866">
        <v>2004.0</v>
      </c>
      <c r="P424" s="865" t="s">
        <v>593</v>
      </c>
      <c r="Q424" s="865" t="s">
        <v>70</v>
      </c>
      <c r="R424" s="867">
        <v>940.2977076</v>
      </c>
      <c r="S424" s="867">
        <v>1028.091008</v>
      </c>
      <c r="T424" s="868">
        <v>851.7338238</v>
      </c>
      <c r="AN424" s="882"/>
      <c r="AO424" s="882"/>
      <c r="AP424" s="882"/>
      <c r="AY424" s="882"/>
      <c r="AZ424" s="882"/>
      <c r="BA424" s="882"/>
      <c r="BJ424" s="882"/>
      <c r="BK424" s="882"/>
      <c r="BL424" s="882"/>
      <c r="BU424" s="882"/>
      <c r="BV424" s="882"/>
      <c r="BW424" s="882"/>
      <c r="CF424" s="882"/>
      <c r="CG424" s="882"/>
      <c r="CH424" s="882"/>
      <c r="CI424" s="530"/>
    </row>
    <row r="425">
      <c r="A425" s="857"/>
      <c r="B425" s="865" t="s">
        <v>619</v>
      </c>
      <c r="C425" s="865" t="s">
        <v>591</v>
      </c>
      <c r="D425" s="865" t="s">
        <v>688</v>
      </c>
      <c r="E425" s="866">
        <v>2019.0</v>
      </c>
      <c r="F425" s="865" t="s">
        <v>593</v>
      </c>
      <c r="G425" s="865" t="s">
        <v>70</v>
      </c>
      <c r="H425" s="867">
        <v>9779.372638</v>
      </c>
      <c r="I425" s="867">
        <v>10969.44416</v>
      </c>
      <c r="J425" s="868">
        <v>8581.812412</v>
      </c>
      <c r="K425" s="50"/>
      <c r="L425" s="869" t="s">
        <v>619</v>
      </c>
      <c r="M425" s="865" t="s">
        <v>591</v>
      </c>
      <c r="N425" s="865" t="s">
        <v>688</v>
      </c>
      <c r="O425" s="866">
        <v>2004.0</v>
      </c>
      <c r="P425" s="865" t="s">
        <v>593</v>
      </c>
      <c r="Q425" s="865" t="s">
        <v>70</v>
      </c>
      <c r="R425" s="867">
        <v>11197.14937</v>
      </c>
      <c r="S425" s="867">
        <v>12242.59986</v>
      </c>
      <c r="T425" s="868">
        <v>10142.5227</v>
      </c>
      <c r="AN425" s="882"/>
      <c r="AO425" s="882"/>
      <c r="AP425" s="882"/>
      <c r="AY425" s="882"/>
      <c r="AZ425" s="882"/>
      <c r="BA425" s="882"/>
      <c r="BJ425" s="882"/>
      <c r="BK425" s="882"/>
      <c r="BL425" s="882"/>
      <c r="BU425" s="882"/>
      <c r="BV425" s="882"/>
      <c r="BW425" s="882"/>
      <c r="CF425" s="882"/>
      <c r="CG425" s="882"/>
      <c r="CH425" s="882"/>
      <c r="CI425" s="530"/>
    </row>
    <row r="426">
      <c r="A426" s="857"/>
      <c r="B426" s="865" t="s">
        <v>619</v>
      </c>
      <c r="C426" s="865" t="s">
        <v>591</v>
      </c>
      <c r="D426" s="865" t="s">
        <v>689</v>
      </c>
      <c r="E426" s="866">
        <v>2019.0</v>
      </c>
      <c r="F426" s="865" t="s">
        <v>593</v>
      </c>
      <c r="G426" s="865" t="s">
        <v>70</v>
      </c>
      <c r="H426" s="867">
        <v>53152.50361</v>
      </c>
      <c r="I426" s="867">
        <v>59620.73868</v>
      </c>
      <c r="J426" s="868">
        <v>46643.56622</v>
      </c>
      <c r="K426" s="50"/>
      <c r="L426" s="869" t="s">
        <v>619</v>
      </c>
      <c r="M426" s="865" t="s">
        <v>591</v>
      </c>
      <c r="N426" s="865" t="s">
        <v>689</v>
      </c>
      <c r="O426" s="866">
        <v>2004.0</v>
      </c>
      <c r="P426" s="865" t="s">
        <v>593</v>
      </c>
      <c r="Q426" s="865" t="s">
        <v>70</v>
      </c>
      <c r="R426" s="867">
        <v>58578.97239</v>
      </c>
      <c r="S426" s="867">
        <v>64048.34797</v>
      </c>
      <c r="T426" s="868">
        <v>53061.59076</v>
      </c>
      <c r="AN426" s="882"/>
      <c r="AO426" s="882"/>
      <c r="AP426" s="882"/>
      <c r="AY426" s="882"/>
      <c r="AZ426" s="882"/>
      <c r="BA426" s="882"/>
      <c r="BJ426" s="882"/>
      <c r="BK426" s="882"/>
      <c r="BL426" s="882"/>
      <c r="BU426" s="882"/>
      <c r="BV426" s="882"/>
      <c r="BW426" s="882"/>
      <c r="CF426" s="882"/>
      <c r="CG426" s="882"/>
      <c r="CH426" s="882"/>
      <c r="CI426" s="530"/>
    </row>
    <row r="427">
      <c r="A427" s="857"/>
      <c r="B427" s="865" t="s">
        <v>621</v>
      </c>
      <c r="C427" s="865" t="s">
        <v>591</v>
      </c>
      <c r="D427" s="865" t="s">
        <v>592</v>
      </c>
      <c r="E427" s="866">
        <v>2019.0</v>
      </c>
      <c r="F427" s="865" t="s">
        <v>593</v>
      </c>
      <c r="G427" s="865" t="s">
        <v>70</v>
      </c>
      <c r="H427" s="867">
        <v>864058.6672</v>
      </c>
      <c r="I427" s="867">
        <v>997754.7552</v>
      </c>
      <c r="J427" s="868">
        <v>735826.6912</v>
      </c>
      <c r="K427" s="50"/>
      <c r="L427" s="869" t="s">
        <v>621</v>
      </c>
      <c r="M427" s="865" t="s">
        <v>591</v>
      </c>
      <c r="N427" s="865" t="s">
        <v>592</v>
      </c>
      <c r="O427" s="866">
        <v>2004.0</v>
      </c>
      <c r="P427" s="865" t="s">
        <v>593</v>
      </c>
      <c r="Q427" s="865" t="s">
        <v>70</v>
      </c>
      <c r="R427" s="867">
        <v>703955.2649</v>
      </c>
      <c r="S427" s="867">
        <v>758014.4192</v>
      </c>
      <c r="T427" s="868">
        <v>650445.3137</v>
      </c>
      <c r="AN427" s="882"/>
      <c r="AO427" s="882"/>
      <c r="AP427" s="882"/>
      <c r="AY427" s="882"/>
      <c r="AZ427" s="882"/>
      <c r="BA427" s="882"/>
      <c r="BJ427" s="882"/>
      <c r="BK427" s="882"/>
      <c r="BL427" s="882"/>
      <c r="BU427" s="882"/>
      <c r="BV427" s="882"/>
      <c r="BW427" s="882"/>
      <c r="CF427" s="882"/>
      <c r="CG427" s="882"/>
      <c r="CH427" s="882"/>
      <c r="CI427" s="530"/>
    </row>
    <row r="428">
      <c r="A428" s="857"/>
      <c r="B428" s="865" t="s">
        <v>621</v>
      </c>
      <c r="C428" s="865" t="s">
        <v>591</v>
      </c>
      <c r="D428" s="865" t="s">
        <v>601</v>
      </c>
      <c r="E428" s="866">
        <v>2019.0</v>
      </c>
      <c r="F428" s="865" t="s">
        <v>593</v>
      </c>
      <c r="G428" s="865" t="s">
        <v>70</v>
      </c>
      <c r="H428" s="867">
        <v>1.525178418E7</v>
      </c>
      <c r="I428" s="867">
        <v>1.761169787E7</v>
      </c>
      <c r="J428" s="868">
        <v>1.298831933E7</v>
      </c>
      <c r="K428" s="50"/>
      <c r="L428" s="869" t="s">
        <v>621</v>
      </c>
      <c r="M428" s="865" t="s">
        <v>591</v>
      </c>
      <c r="N428" s="865" t="s">
        <v>601</v>
      </c>
      <c r="O428" s="866">
        <v>2004.0</v>
      </c>
      <c r="P428" s="865" t="s">
        <v>593</v>
      </c>
      <c r="Q428" s="865" t="s">
        <v>70</v>
      </c>
      <c r="R428" s="867">
        <v>9810699.678</v>
      </c>
      <c r="S428" s="867">
        <v>1.056409717E7</v>
      </c>
      <c r="T428" s="868">
        <v>9064956.182</v>
      </c>
      <c r="AN428" s="882"/>
      <c r="AO428" s="882"/>
      <c r="AP428" s="882"/>
      <c r="AY428" s="882"/>
      <c r="AZ428" s="882"/>
      <c r="BA428" s="882"/>
      <c r="BJ428" s="882"/>
      <c r="BK428" s="882"/>
      <c r="BL428" s="882"/>
      <c r="BU428" s="882"/>
      <c r="BV428" s="882"/>
      <c r="BW428" s="882"/>
      <c r="CF428" s="882"/>
      <c r="CG428" s="882"/>
      <c r="CH428" s="882"/>
      <c r="CI428" s="530"/>
    </row>
    <row r="429">
      <c r="A429" s="857"/>
      <c r="B429" s="865" t="s">
        <v>621</v>
      </c>
      <c r="C429" s="865" t="s">
        <v>591</v>
      </c>
      <c r="D429" s="865" t="s">
        <v>606</v>
      </c>
      <c r="E429" s="866">
        <v>2019.0</v>
      </c>
      <c r="F429" s="865" t="s">
        <v>593</v>
      </c>
      <c r="G429" s="865" t="s">
        <v>70</v>
      </c>
      <c r="H429" s="867">
        <v>1.203780894E7</v>
      </c>
      <c r="I429" s="867">
        <v>1.390042316E7</v>
      </c>
      <c r="J429" s="868">
        <v>1.02513191E7</v>
      </c>
      <c r="K429" s="50"/>
      <c r="L429" s="869" t="s">
        <v>621</v>
      </c>
      <c r="M429" s="865" t="s">
        <v>591</v>
      </c>
      <c r="N429" s="865" t="s">
        <v>606</v>
      </c>
      <c r="O429" s="866">
        <v>2004.0</v>
      </c>
      <c r="P429" s="865" t="s">
        <v>593</v>
      </c>
      <c r="Q429" s="865" t="s">
        <v>70</v>
      </c>
      <c r="R429" s="867">
        <v>7860016.558</v>
      </c>
      <c r="S429" s="867">
        <v>8463614.357</v>
      </c>
      <c r="T429" s="868">
        <v>7262550.891</v>
      </c>
      <c r="AN429" s="882"/>
      <c r="AO429" s="882"/>
      <c r="AP429" s="882"/>
      <c r="AY429" s="882"/>
      <c r="AZ429" s="882"/>
      <c r="BA429" s="882"/>
      <c r="BJ429" s="882"/>
      <c r="BK429" s="882"/>
      <c r="BL429" s="882"/>
      <c r="BU429" s="882"/>
      <c r="BV429" s="882"/>
      <c r="BW429" s="882"/>
      <c r="CF429" s="882"/>
      <c r="CG429" s="882"/>
      <c r="CH429" s="882"/>
      <c r="CI429" s="530"/>
    </row>
    <row r="430">
      <c r="A430" s="857"/>
      <c r="B430" s="865" t="s">
        <v>621</v>
      </c>
      <c r="C430" s="865" t="s">
        <v>591</v>
      </c>
      <c r="D430" s="865" t="s">
        <v>608</v>
      </c>
      <c r="E430" s="866">
        <v>2019.0</v>
      </c>
      <c r="F430" s="865" t="s">
        <v>593</v>
      </c>
      <c r="G430" s="865" t="s">
        <v>70</v>
      </c>
      <c r="H430" s="867">
        <v>3343050.582</v>
      </c>
      <c r="I430" s="867">
        <v>3860321.922</v>
      </c>
      <c r="J430" s="868">
        <v>2846919.939</v>
      </c>
      <c r="K430" s="50"/>
      <c r="L430" s="869" t="s">
        <v>621</v>
      </c>
      <c r="M430" s="865" t="s">
        <v>591</v>
      </c>
      <c r="N430" s="865" t="s">
        <v>608</v>
      </c>
      <c r="O430" s="866">
        <v>2004.0</v>
      </c>
      <c r="P430" s="865" t="s">
        <v>593</v>
      </c>
      <c r="Q430" s="865" t="s">
        <v>70</v>
      </c>
      <c r="R430" s="867">
        <v>2418704.629</v>
      </c>
      <c r="S430" s="867">
        <v>2604445.305</v>
      </c>
      <c r="T430" s="868">
        <v>2234850.948</v>
      </c>
      <c r="AN430" s="882"/>
      <c r="AO430" s="882"/>
      <c r="AP430" s="882"/>
      <c r="AY430" s="882"/>
      <c r="AZ430" s="882"/>
      <c r="BA430" s="882"/>
      <c r="BJ430" s="882"/>
      <c r="BK430" s="882"/>
      <c r="BL430" s="882"/>
      <c r="BU430" s="882"/>
      <c r="BV430" s="882"/>
      <c r="BW430" s="882"/>
      <c r="CF430" s="882"/>
      <c r="CG430" s="882"/>
      <c r="CH430" s="882"/>
      <c r="CI430" s="530"/>
    </row>
    <row r="431">
      <c r="A431" s="857"/>
      <c r="B431" s="865" t="s">
        <v>621</v>
      </c>
      <c r="C431" s="865" t="s">
        <v>591</v>
      </c>
      <c r="D431" s="865" t="s">
        <v>610</v>
      </c>
      <c r="E431" s="866">
        <v>2019.0</v>
      </c>
      <c r="F431" s="865" t="s">
        <v>593</v>
      </c>
      <c r="G431" s="865" t="s">
        <v>70</v>
      </c>
      <c r="H431" s="867">
        <v>3758336.909</v>
      </c>
      <c r="I431" s="867">
        <v>4339865.642</v>
      </c>
      <c r="J431" s="868">
        <v>3200575.05</v>
      </c>
      <c r="K431" s="50"/>
      <c r="L431" s="869" t="s">
        <v>621</v>
      </c>
      <c r="M431" s="865" t="s">
        <v>591</v>
      </c>
      <c r="N431" s="865" t="s">
        <v>610</v>
      </c>
      <c r="O431" s="866">
        <v>2004.0</v>
      </c>
      <c r="P431" s="865" t="s">
        <v>593</v>
      </c>
      <c r="Q431" s="865" t="s">
        <v>70</v>
      </c>
      <c r="R431" s="867">
        <v>2213644.358</v>
      </c>
      <c r="S431" s="867">
        <v>2383637.748</v>
      </c>
      <c r="T431" s="868">
        <v>2045377.982</v>
      </c>
      <c r="AN431" s="882"/>
      <c r="AO431" s="882"/>
      <c r="AP431" s="882"/>
      <c r="AY431" s="882"/>
      <c r="AZ431" s="882"/>
      <c r="BA431" s="882"/>
      <c r="BJ431" s="882"/>
      <c r="BK431" s="882"/>
      <c r="BL431" s="882"/>
      <c r="BU431" s="882"/>
      <c r="BV431" s="882"/>
      <c r="BW431" s="882"/>
      <c r="CF431" s="882"/>
      <c r="CG431" s="882"/>
      <c r="CH431" s="882"/>
      <c r="CI431" s="530"/>
    </row>
    <row r="432">
      <c r="A432" s="857"/>
      <c r="B432" s="865" t="s">
        <v>621</v>
      </c>
      <c r="C432" s="865" t="s">
        <v>591</v>
      </c>
      <c r="D432" s="865" t="s">
        <v>612</v>
      </c>
      <c r="E432" s="866">
        <v>2019.0</v>
      </c>
      <c r="F432" s="865" t="s">
        <v>593</v>
      </c>
      <c r="G432" s="865" t="s">
        <v>70</v>
      </c>
      <c r="H432" s="867">
        <v>6972312.149</v>
      </c>
      <c r="I432" s="867">
        <v>8051140.352</v>
      </c>
      <c r="J432" s="868">
        <v>5937575.276</v>
      </c>
      <c r="K432" s="50"/>
      <c r="L432" s="869" t="s">
        <v>621</v>
      </c>
      <c r="M432" s="865" t="s">
        <v>591</v>
      </c>
      <c r="N432" s="865" t="s">
        <v>612</v>
      </c>
      <c r="O432" s="866">
        <v>2004.0</v>
      </c>
      <c r="P432" s="865" t="s">
        <v>593</v>
      </c>
      <c r="Q432" s="865" t="s">
        <v>70</v>
      </c>
      <c r="R432" s="867">
        <v>4164327.478</v>
      </c>
      <c r="S432" s="867">
        <v>4484120.557</v>
      </c>
      <c r="T432" s="868">
        <v>3847783.272</v>
      </c>
      <c r="AN432" s="882"/>
      <c r="AO432" s="882"/>
      <c r="AP432" s="882"/>
      <c r="AY432" s="882"/>
      <c r="AZ432" s="882"/>
      <c r="BA432" s="882"/>
      <c r="BJ432" s="882"/>
      <c r="BK432" s="882"/>
      <c r="BL432" s="882"/>
      <c r="BU432" s="882"/>
      <c r="BV432" s="882"/>
      <c r="BW432" s="882"/>
      <c r="CF432" s="882"/>
      <c r="CG432" s="882"/>
      <c r="CH432" s="882"/>
      <c r="CI432" s="530"/>
    </row>
    <row r="433">
      <c r="A433" s="857"/>
      <c r="B433" s="865" t="s">
        <v>621</v>
      </c>
      <c r="C433" s="865" t="s">
        <v>591</v>
      </c>
      <c r="D433" s="865" t="s">
        <v>614</v>
      </c>
      <c r="E433" s="866">
        <v>2019.0</v>
      </c>
      <c r="F433" s="865" t="s">
        <v>593</v>
      </c>
      <c r="G433" s="865" t="s">
        <v>70</v>
      </c>
      <c r="H433" s="867">
        <v>9691595.427</v>
      </c>
      <c r="I433" s="867">
        <v>1.119117924E7</v>
      </c>
      <c r="J433" s="868">
        <v>8253299.071</v>
      </c>
      <c r="K433" s="50"/>
      <c r="L433" s="869" t="s">
        <v>621</v>
      </c>
      <c r="M433" s="865" t="s">
        <v>591</v>
      </c>
      <c r="N433" s="865" t="s">
        <v>614</v>
      </c>
      <c r="O433" s="866">
        <v>2004.0</v>
      </c>
      <c r="P433" s="865" t="s">
        <v>593</v>
      </c>
      <c r="Q433" s="865" t="s">
        <v>70</v>
      </c>
      <c r="R433" s="867">
        <v>5821282.555</v>
      </c>
      <c r="S433" s="867">
        <v>6268318.933</v>
      </c>
      <c r="T433" s="868">
        <v>5378787.753</v>
      </c>
      <c r="AN433" s="882"/>
      <c r="AO433" s="882"/>
      <c r="AP433" s="882"/>
      <c r="AY433" s="882"/>
      <c r="AZ433" s="882"/>
      <c r="BA433" s="882"/>
      <c r="BJ433" s="882"/>
      <c r="BK433" s="882"/>
      <c r="BL433" s="882"/>
      <c r="BU433" s="882"/>
      <c r="BV433" s="882"/>
      <c r="BW433" s="882"/>
      <c r="CF433" s="882"/>
      <c r="CG433" s="882"/>
      <c r="CH433" s="882"/>
      <c r="CI433" s="530"/>
    </row>
    <row r="434">
      <c r="A434" s="857"/>
      <c r="B434" s="865" t="s">
        <v>621</v>
      </c>
      <c r="C434" s="865" t="s">
        <v>591</v>
      </c>
      <c r="D434" s="865" t="s">
        <v>616</v>
      </c>
      <c r="E434" s="866">
        <v>2019.0</v>
      </c>
      <c r="F434" s="865" t="s">
        <v>593</v>
      </c>
      <c r="G434" s="865" t="s">
        <v>70</v>
      </c>
      <c r="H434" s="867">
        <v>3213975.241</v>
      </c>
      <c r="I434" s="867">
        <v>3711274.71</v>
      </c>
      <c r="J434" s="868">
        <v>2737000.225</v>
      </c>
      <c r="K434" s="50"/>
      <c r="L434" s="869" t="s">
        <v>621</v>
      </c>
      <c r="M434" s="865" t="s">
        <v>591</v>
      </c>
      <c r="N434" s="865" t="s">
        <v>616</v>
      </c>
      <c r="O434" s="866">
        <v>2004.0</v>
      </c>
      <c r="P434" s="865" t="s">
        <v>593</v>
      </c>
      <c r="Q434" s="865" t="s">
        <v>70</v>
      </c>
      <c r="R434" s="867">
        <v>1950683.12</v>
      </c>
      <c r="S434" s="867">
        <v>2100482.809</v>
      </c>
      <c r="T434" s="868">
        <v>1802405.291</v>
      </c>
      <c r="AN434" s="882"/>
      <c r="AO434" s="882"/>
      <c r="AP434" s="882"/>
      <c r="AY434" s="882"/>
      <c r="AZ434" s="882"/>
      <c r="BA434" s="882"/>
      <c r="BJ434" s="882"/>
      <c r="BK434" s="882"/>
      <c r="BL434" s="882"/>
      <c r="BU434" s="882"/>
      <c r="BV434" s="882"/>
      <c r="BW434" s="882"/>
      <c r="CF434" s="882"/>
      <c r="CG434" s="882"/>
      <c r="CH434" s="882"/>
      <c r="CI434" s="530"/>
    </row>
    <row r="435">
      <c r="A435" s="857"/>
      <c r="B435" s="865" t="s">
        <v>621</v>
      </c>
      <c r="C435" s="865" t="s">
        <v>591</v>
      </c>
      <c r="D435" s="865" t="s">
        <v>618</v>
      </c>
      <c r="E435" s="866">
        <v>2019.0</v>
      </c>
      <c r="F435" s="865" t="s">
        <v>593</v>
      </c>
      <c r="G435" s="865" t="s">
        <v>70</v>
      </c>
      <c r="H435" s="867">
        <v>1.208267774E7</v>
      </c>
      <c r="I435" s="867">
        <v>1.395399152E7</v>
      </c>
      <c r="J435" s="868">
        <v>1.028994537E7</v>
      </c>
      <c r="K435" s="50"/>
      <c r="L435" s="869" t="s">
        <v>621</v>
      </c>
      <c r="M435" s="865" t="s">
        <v>591</v>
      </c>
      <c r="N435" s="865" t="s">
        <v>618</v>
      </c>
      <c r="O435" s="866">
        <v>2004.0</v>
      </c>
      <c r="P435" s="865" t="s">
        <v>593</v>
      </c>
      <c r="Q435" s="865" t="s">
        <v>70</v>
      </c>
      <c r="R435" s="867">
        <v>6890584.103</v>
      </c>
      <c r="S435" s="867">
        <v>7420087.204</v>
      </c>
      <c r="T435" s="868">
        <v>6366939.931</v>
      </c>
      <c r="AN435" s="882"/>
      <c r="AO435" s="882"/>
      <c r="AP435" s="882"/>
      <c r="AY435" s="882"/>
      <c r="AZ435" s="882"/>
      <c r="BA435" s="882"/>
      <c r="BJ435" s="882"/>
      <c r="BK435" s="882"/>
      <c r="BL435" s="882"/>
      <c r="BU435" s="882"/>
      <c r="BV435" s="882"/>
      <c r="BW435" s="882"/>
      <c r="CF435" s="882"/>
      <c r="CG435" s="882"/>
      <c r="CH435" s="882"/>
      <c r="CI435" s="530"/>
    </row>
    <row r="436">
      <c r="A436" s="857"/>
      <c r="B436" s="865" t="s">
        <v>621</v>
      </c>
      <c r="C436" s="865" t="s">
        <v>591</v>
      </c>
      <c r="D436" s="865" t="s">
        <v>620</v>
      </c>
      <c r="E436" s="866">
        <v>2019.0</v>
      </c>
      <c r="F436" s="865" t="s">
        <v>593</v>
      </c>
      <c r="G436" s="865" t="s">
        <v>70</v>
      </c>
      <c r="H436" s="867">
        <v>1.437716529E7</v>
      </c>
      <c r="I436" s="867">
        <v>1.660174891E7</v>
      </c>
      <c r="J436" s="868">
        <v>1.224349963E7</v>
      </c>
      <c r="K436" s="50"/>
      <c r="L436" s="869" t="s">
        <v>621</v>
      </c>
      <c r="M436" s="865" t="s">
        <v>591</v>
      </c>
      <c r="N436" s="865" t="s">
        <v>620</v>
      </c>
      <c r="O436" s="866">
        <v>2004.0</v>
      </c>
      <c r="P436" s="865" t="s">
        <v>593</v>
      </c>
      <c r="Q436" s="865" t="s">
        <v>70</v>
      </c>
      <c r="R436" s="867">
        <v>8155665.857</v>
      </c>
      <c r="S436" s="867">
        <v>8781967.586</v>
      </c>
      <c r="T436" s="868">
        <v>7535726.916</v>
      </c>
      <c r="AN436" s="882"/>
      <c r="AO436" s="882"/>
      <c r="AP436" s="882"/>
      <c r="AY436" s="882"/>
      <c r="AZ436" s="882"/>
      <c r="BA436" s="882"/>
      <c r="BJ436" s="882"/>
      <c r="BK436" s="882"/>
      <c r="BL436" s="882"/>
      <c r="BU436" s="882"/>
      <c r="BV436" s="882"/>
      <c r="BW436" s="882"/>
      <c r="CF436" s="882"/>
      <c r="CG436" s="882"/>
      <c r="CH436" s="882"/>
      <c r="CI436" s="530"/>
    </row>
    <row r="437">
      <c r="A437" s="857"/>
      <c r="B437" s="865" t="s">
        <v>621</v>
      </c>
      <c r="C437" s="865" t="s">
        <v>591</v>
      </c>
      <c r="D437" s="865" t="s">
        <v>622</v>
      </c>
      <c r="E437" s="866">
        <v>2019.0</v>
      </c>
      <c r="F437" s="865" t="s">
        <v>593</v>
      </c>
      <c r="G437" s="865" t="s">
        <v>70</v>
      </c>
      <c r="H437" s="867">
        <v>1.384938661E7</v>
      </c>
      <c r="I437" s="867">
        <v>1.599432075E7</v>
      </c>
      <c r="J437" s="868">
        <v>1.179452392E7</v>
      </c>
      <c r="K437" s="50"/>
      <c r="L437" s="869" t="s">
        <v>621</v>
      </c>
      <c r="M437" s="865" t="s">
        <v>591</v>
      </c>
      <c r="N437" s="865" t="s">
        <v>622</v>
      </c>
      <c r="O437" s="866">
        <v>2004.0</v>
      </c>
      <c r="P437" s="865" t="s">
        <v>593</v>
      </c>
      <c r="Q437" s="865" t="s">
        <v>70</v>
      </c>
      <c r="R437" s="867">
        <v>7750725.185</v>
      </c>
      <c r="S437" s="867">
        <v>8346325.35</v>
      </c>
      <c r="T437" s="868">
        <v>7161715.312</v>
      </c>
      <c r="AN437" s="882"/>
      <c r="AO437" s="882"/>
      <c r="AP437" s="882"/>
      <c r="AY437" s="882"/>
      <c r="AZ437" s="882"/>
      <c r="BA437" s="882"/>
      <c r="BJ437" s="882"/>
      <c r="BK437" s="882"/>
      <c r="BL437" s="882"/>
      <c r="BU437" s="882"/>
      <c r="BV437" s="882"/>
      <c r="BW437" s="882"/>
      <c r="CF437" s="882"/>
      <c r="CG437" s="882"/>
      <c r="CH437" s="882"/>
      <c r="CI437" s="530"/>
    </row>
    <row r="438">
      <c r="A438" s="857"/>
      <c r="B438" s="865" t="s">
        <v>621</v>
      </c>
      <c r="C438" s="865" t="s">
        <v>591</v>
      </c>
      <c r="D438" s="865" t="s">
        <v>624</v>
      </c>
      <c r="E438" s="866">
        <v>2019.0</v>
      </c>
      <c r="F438" s="865" t="s">
        <v>593</v>
      </c>
      <c r="G438" s="865" t="s">
        <v>70</v>
      </c>
      <c r="H438" s="867">
        <v>2719283.278</v>
      </c>
      <c r="I438" s="867">
        <v>3140038.893</v>
      </c>
      <c r="J438" s="868">
        <v>2315723.796</v>
      </c>
      <c r="K438" s="50"/>
      <c r="L438" s="869" t="s">
        <v>621</v>
      </c>
      <c r="M438" s="865" t="s">
        <v>591</v>
      </c>
      <c r="N438" s="865" t="s">
        <v>624</v>
      </c>
      <c r="O438" s="866">
        <v>2004.0</v>
      </c>
      <c r="P438" s="865" t="s">
        <v>593</v>
      </c>
      <c r="Q438" s="865" t="s">
        <v>70</v>
      </c>
      <c r="R438" s="867">
        <v>1656955.077</v>
      </c>
      <c r="S438" s="867">
        <v>1784198.376</v>
      </c>
      <c r="T438" s="868">
        <v>1531004.481</v>
      </c>
      <c r="AN438" s="882"/>
      <c r="AO438" s="882"/>
      <c r="AP438" s="882"/>
      <c r="AY438" s="882"/>
      <c r="AZ438" s="882"/>
      <c r="BA438" s="882"/>
      <c r="BJ438" s="882"/>
      <c r="BK438" s="882"/>
      <c r="BL438" s="882"/>
      <c r="BU438" s="882"/>
      <c r="BV438" s="882"/>
      <c r="BW438" s="882"/>
      <c r="CF438" s="882"/>
      <c r="CG438" s="882"/>
      <c r="CH438" s="882"/>
      <c r="CI438" s="530"/>
    </row>
    <row r="439">
      <c r="A439" s="857"/>
      <c r="B439" s="865" t="s">
        <v>621</v>
      </c>
      <c r="C439" s="865" t="s">
        <v>591</v>
      </c>
      <c r="D439" s="865" t="s">
        <v>625</v>
      </c>
      <c r="E439" s="866">
        <v>2019.0</v>
      </c>
      <c r="F439" s="865" t="s">
        <v>593</v>
      </c>
      <c r="G439" s="865" t="s">
        <v>70</v>
      </c>
      <c r="H439" s="867">
        <v>1.113080092E7</v>
      </c>
      <c r="I439" s="867">
        <v>1.285307349E7</v>
      </c>
      <c r="J439" s="868">
        <v>9478917.028</v>
      </c>
      <c r="K439" s="50"/>
      <c r="L439" s="869" t="s">
        <v>621</v>
      </c>
      <c r="M439" s="865" t="s">
        <v>591</v>
      </c>
      <c r="N439" s="865" t="s">
        <v>625</v>
      </c>
      <c r="O439" s="866">
        <v>2004.0</v>
      </c>
      <c r="P439" s="865" t="s">
        <v>593</v>
      </c>
      <c r="Q439" s="865" t="s">
        <v>70</v>
      </c>
      <c r="R439" s="867">
        <v>6093958.011</v>
      </c>
      <c r="S439" s="867">
        <v>6561934.079</v>
      </c>
      <c r="T439" s="868">
        <v>5630736.253</v>
      </c>
      <c r="AN439" s="882"/>
      <c r="AO439" s="882"/>
      <c r="AP439" s="882"/>
      <c r="AY439" s="882"/>
      <c r="AZ439" s="882"/>
      <c r="BA439" s="882"/>
      <c r="BJ439" s="882"/>
      <c r="BK439" s="882"/>
      <c r="BL439" s="882"/>
      <c r="BU439" s="882"/>
      <c r="BV439" s="882"/>
      <c r="BW439" s="882"/>
      <c r="CF439" s="882"/>
      <c r="CG439" s="882"/>
      <c r="CH439" s="882"/>
      <c r="CI439" s="530"/>
    </row>
    <row r="440">
      <c r="A440" s="857"/>
      <c r="B440" s="865" t="s">
        <v>621</v>
      </c>
      <c r="C440" s="865" t="s">
        <v>591</v>
      </c>
      <c r="D440" s="865" t="s">
        <v>627</v>
      </c>
      <c r="E440" s="866">
        <v>2019.0</v>
      </c>
      <c r="F440" s="865" t="s">
        <v>593</v>
      </c>
      <c r="G440" s="865" t="s">
        <v>70</v>
      </c>
      <c r="H440" s="867">
        <v>2401313.774</v>
      </c>
      <c r="I440" s="867">
        <v>2772869.861</v>
      </c>
      <c r="J440" s="868">
        <v>2044943.053</v>
      </c>
      <c r="K440" s="50"/>
      <c r="L440" s="869" t="s">
        <v>621</v>
      </c>
      <c r="M440" s="865" t="s">
        <v>591</v>
      </c>
      <c r="N440" s="865" t="s">
        <v>627</v>
      </c>
      <c r="O440" s="866">
        <v>2004.0</v>
      </c>
      <c r="P440" s="865" t="s">
        <v>593</v>
      </c>
      <c r="Q440" s="865" t="s">
        <v>70</v>
      </c>
      <c r="R440" s="867">
        <v>1356339.89</v>
      </c>
      <c r="S440" s="867">
        <v>1460497.911</v>
      </c>
      <c r="T440" s="868">
        <v>1253240.041</v>
      </c>
      <c r="AN440" s="882"/>
      <c r="AO440" s="882"/>
      <c r="AP440" s="882"/>
      <c r="AY440" s="882"/>
      <c r="AZ440" s="882"/>
      <c r="BA440" s="882"/>
      <c r="BJ440" s="882"/>
      <c r="BK440" s="882"/>
      <c r="BL440" s="882"/>
      <c r="BU440" s="882"/>
      <c r="BV440" s="882"/>
      <c r="BW440" s="882"/>
      <c r="CF440" s="882"/>
      <c r="CG440" s="882"/>
      <c r="CH440" s="882"/>
      <c r="CI440" s="530"/>
    </row>
    <row r="441">
      <c r="A441" s="857"/>
      <c r="B441" s="865" t="s">
        <v>621</v>
      </c>
      <c r="C441" s="865" t="s">
        <v>591</v>
      </c>
      <c r="D441" s="865" t="s">
        <v>629</v>
      </c>
      <c r="E441" s="866">
        <v>2019.0</v>
      </c>
      <c r="F441" s="865" t="s">
        <v>593</v>
      </c>
      <c r="G441" s="865" t="s">
        <v>70</v>
      </c>
      <c r="H441" s="867">
        <v>8443481.481</v>
      </c>
      <c r="I441" s="867">
        <v>9751172.009</v>
      </c>
      <c r="J441" s="868">
        <v>7190704.329</v>
      </c>
      <c r="K441" s="50"/>
      <c r="L441" s="869" t="s">
        <v>621</v>
      </c>
      <c r="M441" s="865" t="s">
        <v>591</v>
      </c>
      <c r="N441" s="865" t="s">
        <v>629</v>
      </c>
      <c r="O441" s="866">
        <v>2004.0</v>
      </c>
      <c r="P441" s="865" t="s">
        <v>593</v>
      </c>
      <c r="Q441" s="865" t="s">
        <v>70</v>
      </c>
      <c r="R441" s="867">
        <v>4547917.404</v>
      </c>
      <c r="S441" s="867">
        <v>4897399.586</v>
      </c>
      <c r="T441" s="868">
        <v>4202302.227</v>
      </c>
      <c r="AN441" s="882"/>
      <c r="AO441" s="882"/>
      <c r="AP441" s="882"/>
      <c r="AY441" s="882"/>
      <c r="AZ441" s="882"/>
      <c r="BA441" s="882"/>
      <c r="BJ441" s="882"/>
      <c r="BK441" s="882"/>
      <c r="BL441" s="882"/>
      <c r="BU441" s="882"/>
      <c r="BV441" s="882"/>
      <c r="BW441" s="882"/>
      <c r="CF441" s="882"/>
      <c r="CG441" s="882"/>
      <c r="CH441" s="882"/>
      <c r="CI441" s="530"/>
    </row>
    <row r="442">
      <c r="A442" s="857"/>
      <c r="B442" s="865" t="s">
        <v>621</v>
      </c>
      <c r="C442" s="865" t="s">
        <v>591</v>
      </c>
      <c r="D442" s="865" t="s">
        <v>631</v>
      </c>
      <c r="E442" s="866">
        <v>2019.0</v>
      </c>
      <c r="F442" s="865" t="s">
        <v>593</v>
      </c>
      <c r="G442" s="865" t="s">
        <v>70</v>
      </c>
      <c r="H442" s="867">
        <v>2074996.811</v>
      </c>
      <c r="I442" s="867">
        <v>2396061.765</v>
      </c>
      <c r="J442" s="868">
        <v>1767053.668</v>
      </c>
      <c r="K442" s="50"/>
      <c r="L442" s="869" t="s">
        <v>621</v>
      </c>
      <c r="M442" s="865" t="s">
        <v>591</v>
      </c>
      <c r="N442" s="865" t="s">
        <v>631</v>
      </c>
      <c r="O442" s="866">
        <v>2004.0</v>
      </c>
      <c r="P442" s="865" t="s">
        <v>593</v>
      </c>
      <c r="Q442" s="865" t="s">
        <v>70</v>
      </c>
      <c r="R442" s="867">
        <v>1073749.871</v>
      </c>
      <c r="S442" s="867">
        <v>1156206.83</v>
      </c>
      <c r="T442" s="868">
        <v>992130.618</v>
      </c>
      <c r="AN442" s="882"/>
      <c r="AO442" s="882"/>
      <c r="AP442" s="882"/>
      <c r="AY442" s="882"/>
      <c r="AZ442" s="882"/>
      <c r="BA442" s="882"/>
      <c r="BJ442" s="882"/>
      <c r="BK442" s="882"/>
      <c r="BL442" s="882"/>
      <c r="BU442" s="882"/>
      <c r="BV442" s="882"/>
      <c r="BW442" s="882"/>
      <c r="CF442" s="882"/>
      <c r="CG442" s="882"/>
      <c r="CH442" s="882"/>
      <c r="CI442" s="530"/>
    </row>
    <row r="443">
      <c r="A443" s="857"/>
      <c r="B443" s="865" t="s">
        <v>621</v>
      </c>
      <c r="C443" s="865" t="s">
        <v>591</v>
      </c>
      <c r="D443" s="865" t="s">
        <v>633</v>
      </c>
      <c r="E443" s="866">
        <v>2019.0</v>
      </c>
      <c r="F443" s="865" t="s">
        <v>593</v>
      </c>
      <c r="G443" s="865" t="s">
        <v>70</v>
      </c>
      <c r="H443" s="867">
        <v>1673717.239</v>
      </c>
      <c r="I443" s="867">
        <v>1932692.07</v>
      </c>
      <c r="J443" s="868">
        <v>1425326.618</v>
      </c>
      <c r="K443" s="50"/>
      <c r="L443" s="869" t="s">
        <v>621</v>
      </c>
      <c r="M443" s="865" t="s">
        <v>591</v>
      </c>
      <c r="N443" s="865" t="s">
        <v>633</v>
      </c>
      <c r="O443" s="866">
        <v>2004.0</v>
      </c>
      <c r="P443" s="865" t="s">
        <v>593</v>
      </c>
      <c r="Q443" s="865" t="s">
        <v>70</v>
      </c>
      <c r="R443" s="867">
        <v>853023.195</v>
      </c>
      <c r="S443" s="867">
        <v>918529.7902</v>
      </c>
      <c r="T443" s="868">
        <v>788182.101</v>
      </c>
      <c r="AN443" s="882"/>
      <c r="AO443" s="882"/>
      <c r="AP443" s="882"/>
      <c r="AY443" s="882"/>
      <c r="AZ443" s="882"/>
      <c r="BA443" s="882"/>
      <c r="BJ443" s="882"/>
      <c r="BK443" s="882"/>
      <c r="BL443" s="882"/>
      <c r="BU443" s="882"/>
      <c r="BV443" s="882"/>
      <c r="BW443" s="882"/>
      <c r="CF443" s="882"/>
      <c r="CG443" s="882"/>
      <c r="CH443" s="882"/>
      <c r="CI443" s="530"/>
    </row>
    <row r="444">
      <c r="A444" s="857"/>
      <c r="B444" s="865" t="s">
        <v>621</v>
      </c>
      <c r="C444" s="865" t="s">
        <v>591</v>
      </c>
      <c r="D444" s="865" t="s">
        <v>635</v>
      </c>
      <c r="E444" s="866">
        <v>2019.0</v>
      </c>
      <c r="F444" s="865" t="s">
        <v>593</v>
      </c>
      <c r="G444" s="865" t="s">
        <v>70</v>
      </c>
      <c r="H444" s="867">
        <v>1295935.709</v>
      </c>
      <c r="I444" s="867">
        <v>1496456.277</v>
      </c>
      <c r="J444" s="868">
        <v>1103610.346</v>
      </c>
      <c r="K444" s="50"/>
      <c r="L444" s="869" t="s">
        <v>621</v>
      </c>
      <c r="M444" s="865" t="s">
        <v>591</v>
      </c>
      <c r="N444" s="865" t="s">
        <v>635</v>
      </c>
      <c r="O444" s="866">
        <v>2004.0</v>
      </c>
      <c r="P444" s="865" t="s">
        <v>593</v>
      </c>
      <c r="Q444" s="865" t="s">
        <v>70</v>
      </c>
      <c r="R444" s="867">
        <v>700092.1072</v>
      </c>
      <c r="S444" s="867">
        <v>753854.5963</v>
      </c>
      <c r="T444" s="868">
        <v>646875.8073</v>
      </c>
      <c r="AN444" s="882"/>
      <c r="AO444" s="882"/>
      <c r="AP444" s="882"/>
      <c r="AY444" s="882"/>
      <c r="AZ444" s="882"/>
      <c r="BA444" s="882"/>
      <c r="BJ444" s="882"/>
      <c r="BK444" s="882"/>
      <c r="BL444" s="882"/>
      <c r="BU444" s="882"/>
      <c r="BV444" s="882"/>
      <c r="BW444" s="882"/>
      <c r="CF444" s="882"/>
      <c r="CG444" s="882"/>
      <c r="CH444" s="882"/>
      <c r="CI444" s="530"/>
    </row>
    <row r="445">
      <c r="A445" s="857"/>
      <c r="B445" s="865" t="s">
        <v>621</v>
      </c>
      <c r="C445" s="865" t="s">
        <v>591</v>
      </c>
      <c r="D445" s="865" t="s">
        <v>637</v>
      </c>
      <c r="E445" s="866">
        <v>2019.0</v>
      </c>
      <c r="F445" s="865" t="s">
        <v>593</v>
      </c>
      <c r="G445" s="865" t="s">
        <v>70</v>
      </c>
      <c r="H445" s="867">
        <v>997943.2438</v>
      </c>
      <c r="I445" s="867">
        <v>1152355.337</v>
      </c>
      <c r="J445" s="868">
        <v>849841.9181</v>
      </c>
      <c r="K445" s="50"/>
      <c r="L445" s="869" t="s">
        <v>621</v>
      </c>
      <c r="M445" s="865" t="s">
        <v>591</v>
      </c>
      <c r="N445" s="865" t="s">
        <v>637</v>
      </c>
      <c r="O445" s="866">
        <v>2004.0</v>
      </c>
      <c r="P445" s="865" t="s">
        <v>593</v>
      </c>
      <c r="Q445" s="865" t="s">
        <v>70</v>
      </c>
      <c r="R445" s="867">
        <v>564822.5968</v>
      </c>
      <c r="S445" s="867">
        <v>608197.2734</v>
      </c>
      <c r="T445" s="868">
        <v>521888.5766</v>
      </c>
      <c r="AN445" s="882"/>
      <c r="AO445" s="882"/>
      <c r="AP445" s="882"/>
      <c r="AY445" s="882"/>
      <c r="AZ445" s="882"/>
      <c r="BA445" s="882"/>
      <c r="BJ445" s="882"/>
      <c r="BK445" s="882"/>
      <c r="BL445" s="882"/>
      <c r="BU445" s="882"/>
      <c r="BV445" s="882"/>
      <c r="BW445" s="882"/>
      <c r="CF445" s="882"/>
      <c r="CG445" s="882"/>
      <c r="CH445" s="882"/>
      <c r="CI445" s="530"/>
    </row>
    <row r="446">
      <c r="A446" s="857"/>
      <c r="B446" s="865" t="s">
        <v>621</v>
      </c>
      <c r="C446" s="865" t="s">
        <v>591</v>
      </c>
      <c r="D446" s="865" t="s">
        <v>639</v>
      </c>
      <c r="E446" s="866">
        <v>2019.0</v>
      </c>
      <c r="F446" s="865" t="s">
        <v>593</v>
      </c>
      <c r="G446" s="865" t="s">
        <v>70</v>
      </c>
      <c r="H446" s="867">
        <v>1.104411864E7</v>
      </c>
      <c r="I446" s="867">
        <v>1.27545848E7</v>
      </c>
      <c r="J446" s="868">
        <v>9405479.472</v>
      </c>
      <c r="K446" s="50"/>
      <c r="L446" s="869" t="s">
        <v>621</v>
      </c>
      <c r="M446" s="865" t="s">
        <v>591</v>
      </c>
      <c r="N446" s="865" t="s">
        <v>639</v>
      </c>
      <c r="O446" s="866">
        <v>2004.0</v>
      </c>
      <c r="P446" s="865" t="s">
        <v>593</v>
      </c>
      <c r="Q446" s="865" t="s">
        <v>70</v>
      </c>
      <c r="R446" s="867">
        <v>6687877.649</v>
      </c>
      <c r="S446" s="867">
        <v>7201803.885</v>
      </c>
      <c r="T446" s="868">
        <v>6179637.984</v>
      </c>
      <c r="AN446" s="882"/>
      <c r="AO446" s="882"/>
      <c r="AP446" s="882"/>
      <c r="AY446" s="882"/>
      <c r="AZ446" s="882"/>
      <c r="BA446" s="882"/>
      <c r="BJ446" s="882"/>
      <c r="BK446" s="882"/>
      <c r="BL446" s="882"/>
      <c r="BU446" s="882"/>
      <c r="BV446" s="882"/>
      <c r="BW446" s="882"/>
      <c r="CF446" s="882"/>
      <c r="CG446" s="882"/>
      <c r="CH446" s="882"/>
      <c r="CI446" s="530"/>
    </row>
    <row r="447">
      <c r="A447" s="857"/>
      <c r="B447" s="865" t="s">
        <v>621</v>
      </c>
      <c r="C447" s="865" t="s">
        <v>591</v>
      </c>
      <c r="D447" s="865" t="s">
        <v>641</v>
      </c>
      <c r="E447" s="866">
        <v>2019.0</v>
      </c>
      <c r="F447" s="865" t="s">
        <v>593</v>
      </c>
      <c r="G447" s="865" t="s">
        <v>70</v>
      </c>
      <c r="H447" s="867">
        <v>4072362.782</v>
      </c>
      <c r="I447" s="867">
        <v>4702480.844</v>
      </c>
      <c r="J447" s="868">
        <v>3467997.423</v>
      </c>
      <c r="K447" s="50"/>
      <c r="L447" s="869" t="s">
        <v>621</v>
      </c>
      <c r="M447" s="865" t="s">
        <v>591</v>
      </c>
      <c r="N447" s="865" t="s">
        <v>641</v>
      </c>
      <c r="O447" s="866">
        <v>2004.0</v>
      </c>
      <c r="P447" s="865" t="s">
        <v>593</v>
      </c>
      <c r="Q447" s="865" t="s">
        <v>70</v>
      </c>
      <c r="R447" s="867">
        <v>2523712.307</v>
      </c>
      <c r="S447" s="867">
        <v>2717516.885</v>
      </c>
      <c r="T447" s="868">
        <v>2331876.648</v>
      </c>
      <c r="AN447" s="882"/>
      <c r="AO447" s="882"/>
      <c r="AP447" s="882"/>
      <c r="AY447" s="882"/>
      <c r="AZ447" s="882"/>
      <c r="BA447" s="882"/>
      <c r="BJ447" s="882"/>
      <c r="BK447" s="882"/>
      <c r="BL447" s="882"/>
      <c r="BU447" s="882"/>
      <c r="BV447" s="882"/>
      <c r="BW447" s="882"/>
      <c r="CF447" s="882"/>
      <c r="CG447" s="882"/>
      <c r="CH447" s="882"/>
      <c r="CI447" s="530"/>
    </row>
    <row r="448">
      <c r="A448" s="857"/>
      <c r="B448" s="865" t="s">
        <v>621</v>
      </c>
      <c r="C448" s="865" t="s">
        <v>591</v>
      </c>
      <c r="D448" s="865" t="s">
        <v>643</v>
      </c>
      <c r="E448" s="866">
        <v>2019.0</v>
      </c>
      <c r="F448" s="865" t="s">
        <v>593</v>
      </c>
      <c r="G448" s="865" t="s">
        <v>70</v>
      </c>
      <c r="H448" s="867">
        <v>779368.9153</v>
      </c>
      <c r="I448" s="867">
        <v>899960.9295</v>
      </c>
      <c r="J448" s="868">
        <v>663705.4542</v>
      </c>
      <c r="K448" s="50"/>
      <c r="L448" s="869" t="s">
        <v>621</v>
      </c>
      <c r="M448" s="865" t="s">
        <v>591</v>
      </c>
      <c r="N448" s="865" t="s">
        <v>643</v>
      </c>
      <c r="O448" s="866">
        <v>2004.0</v>
      </c>
      <c r="P448" s="865" t="s">
        <v>593</v>
      </c>
      <c r="Q448" s="865" t="s">
        <v>70</v>
      </c>
      <c r="R448" s="867">
        <v>432662.719</v>
      </c>
      <c r="S448" s="867">
        <v>465888.3825</v>
      </c>
      <c r="T448" s="868">
        <v>399774.6051</v>
      </c>
      <c r="AN448" s="882"/>
      <c r="AO448" s="882"/>
      <c r="AP448" s="882"/>
      <c r="AY448" s="882"/>
      <c r="AZ448" s="882"/>
      <c r="BA448" s="882"/>
      <c r="BJ448" s="882"/>
      <c r="BK448" s="882"/>
      <c r="BL448" s="882"/>
      <c r="BU448" s="882"/>
      <c r="BV448" s="882"/>
      <c r="BW448" s="882"/>
      <c r="CF448" s="882"/>
      <c r="CG448" s="882"/>
      <c r="CH448" s="882"/>
      <c r="CI448" s="530"/>
    </row>
    <row r="449">
      <c r="A449" s="857"/>
      <c r="B449" s="865" t="s">
        <v>621</v>
      </c>
      <c r="C449" s="865" t="s">
        <v>591</v>
      </c>
      <c r="D449" s="865" t="s">
        <v>645</v>
      </c>
      <c r="E449" s="866">
        <v>2019.0</v>
      </c>
      <c r="F449" s="865" t="s">
        <v>593</v>
      </c>
      <c r="G449" s="865" t="s">
        <v>70</v>
      </c>
      <c r="H449" s="867">
        <v>2197722.595</v>
      </c>
      <c r="I449" s="867">
        <v>2537776.951</v>
      </c>
      <c r="J449" s="868">
        <v>1871566.141</v>
      </c>
      <c r="K449" s="50"/>
      <c r="L449" s="869" t="s">
        <v>621</v>
      </c>
      <c r="M449" s="865" t="s">
        <v>591</v>
      </c>
      <c r="N449" s="865" t="s">
        <v>645</v>
      </c>
      <c r="O449" s="866">
        <v>2004.0</v>
      </c>
      <c r="P449" s="865" t="s">
        <v>593</v>
      </c>
      <c r="Q449" s="865" t="s">
        <v>70</v>
      </c>
      <c r="R449" s="867">
        <v>1245749.679</v>
      </c>
      <c r="S449" s="867">
        <v>1341415.096</v>
      </c>
      <c r="T449" s="868">
        <v>1151056.155</v>
      </c>
      <c r="AN449" s="882"/>
      <c r="AO449" s="882"/>
      <c r="AP449" s="882"/>
      <c r="AY449" s="882"/>
      <c r="AZ449" s="882"/>
      <c r="BA449" s="882"/>
      <c r="BJ449" s="882"/>
      <c r="BK449" s="882"/>
      <c r="BL449" s="882"/>
      <c r="BU449" s="882"/>
      <c r="BV449" s="882"/>
      <c r="BW449" s="882"/>
      <c r="CF449" s="882"/>
      <c r="CG449" s="882"/>
      <c r="CH449" s="882"/>
      <c r="CI449" s="530"/>
    </row>
    <row r="450">
      <c r="A450" s="857"/>
      <c r="B450" s="865" t="s">
        <v>621</v>
      </c>
      <c r="C450" s="865" t="s">
        <v>591</v>
      </c>
      <c r="D450" s="865" t="s">
        <v>604</v>
      </c>
      <c r="E450" s="866">
        <v>2019.0</v>
      </c>
      <c r="F450" s="865" t="s">
        <v>593</v>
      </c>
      <c r="G450" s="865" t="s">
        <v>70</v>
      </c>
      <c r="H450" s="867">
        <v>7830699.691</v>
      </c>
      <c r="I450" s="867">
        <v>9042346.486</v>
      </c>
      <c r="J450" s="868">
        <v>6668572.473</v>
      </c>
      <c r="K450" s="50"/>
      <c r="L450" s="869" t="s">
        <v>621</v>
      </c>
      <c r="M450" s="865" t="s">
        <v>591</v>
      </c>
      <c r="N450" s="865" t="s">
        <v>604</v>
      </c>
      <c r="O450" s="866">
        <v>2004.0</v>
      </c>
      <c r="P450" s="865" t="s">
        <v>593</v>
      </c>
      <c r="Q450" s="865" t="s">
        <v>70</v>
      </c>
      <c r="R450" s="867">
        <v>4737356.665</v>
      </c>
      <c r="S450" s="867">
        <v>5101154.633</v>
      </c>
      <c r="T450" s="868">
        <v>4377254.629</v>
      </c>
      <c r="AN450" s="882"/>
      <c r="AO450" s="882"/>
      <c r="AP450" s="882"/>
      <c r="AY450" s="882"/>
      <c r="AZ450" s="882"/>
      <c r="BA450" s="882"/>
      <c r="BJ450" s="882"/>
      <c r="BK450" s="882"/>
      <c r="BL450" s="882"/>
      <c r="BU450" s="882"/>
      <c r="BV450" s="882"/>
      <c r="BW450" s="882"/>
      <c r="CF450" s="882"/>
      <c r="CG450" s="882"/>
      <c r="CH450" s="882"/>
      <c r="CI450" s="530"/>
    </row>
    <row r="451">
      <c r="A451" s="857"/>
      <c r="B451" s="865" t="s">
        <v>621</v>
      </c>
      <c r="C451" s="865" t="s">
        <v>591</v>
      </c>
      <c r="D451" s="865" t="s">
        <v>647</v>
      </c>
      <c r="E451" s="866">
        <v>2019.0</v>
      </c>
      <c r="F451" s="865" t="s">
        <v>593</v>
      </c>
      <c r="G451" s="865" t="s">
        <v>70</v>
      </c>
      <c r="H451" s="867">
        <v>1907429.154</v>
      </c>
      <c r="I451" s="867">
        <v>2202843.675</v>
      </c>
      <c r="J451" s="868">
        <v>1624419.868</v>
      </c>
      <c r="K451" s="50"/>
      <c r="L451" s="869" t="s">
        <v>621</v>
      </c>
      <c r="M451" s="865" t="s">
        <v>591</v>
      </c>
      <c r="N451" s="865" t="s">
        <v>647</v>
      </c>
      <c r="O451" s="866">
        <v>2004.0</v>
      </c>
      <c r="P451" s="865" t="s">
        <v>593</v>
      </c>
      <c r="Q451" s="865" t="s">
        <v>70</v>
      </c>
      <c r="R451" s="867">
        <v>1113240.643</v>
      </c>
      <c r="S451" s="867">
        <v>1198787.001</v>
      </c>
      <c r="T451" s="868">
        <v>1028640.852</v>
      </c>
      <c r="AN451" s="882"/>
      <c r="AO451" s="882"/>
      <c r="AP451" s="882"/>
      <c r="AY451" s="882"/>
      <c r="AZ451" s="882"/>
      <c r="BA451" s="882"/>
      <c r="BJ451" s="882"/>
      <c r="BK451" s="882"/>
      <c r="BL451" s="882"/>
      <c r="BU451" s="882"/>
      <c r="BV451" s="882"/>
      <c r="BW451" s="882"/>
      <c r="CF451" s="882"/>
      <c r="CG451" s="882"/>
      <c r="CH451" s="882"/>
      <c r="CI451" s="530"/>
    </row>
    <row r="452">
      <c r="A452" s="857"/>
      <c r="B452" s="865" t="s">
        <v>621</v>
      </c>
      <c r="C452" s="865" t="s">
        <v>591</v>
      </c>
      <c r="D452" s="865" t="s">
        <v>649</v>
      </c>
      <c r="E452" s="866">
        <v>2019.0</v>
      </c>
      <c r="F452" s="865" t="s">
        <v>593</v>
      </c>
      <c r="G452" s="865" t="s">
        <v>70</v>
      </c>
      <c r="H452" s="867">
        <v>618800.9722</v>
      </c>
      <c r="I452" s="867">
        <v>714548.2546</v>
      </c>
      <c r="J452" s="868">
        <v>526966.8475</v>
      </c>
      <c r="K452" s="50"/>
      <c r="L452" s="869" t="s">
        <v>621</v>
      </c>
      <c r="M452" s="865" t="s">
        <v>591</v>
      </c>
      <c r="N452" s="865" t="s">
        <v>649</v>
      </c>
      <c r="O452" s="866">
        <v>2004.0</v>
      </c>
      <c r="P452" s="865" t="s">
        <v>593</v>
      </c>
      <c r="Q452" s="865" t="s">
        <v>70</v>
      </c>
      <c r="R452" s="867">
        <v>336975.1886</v>
      </c>
      <c r="S452" s="867">
        <v>362852.6764</v>
      </c>
      <c r="T452" s="868">
        <v>311360.5981</v>
      </c>
      <c r="AN452" s="882"/>
      <c r="AO452" s="882"/>
      <c r="AP452" s="882"/>
      <c r="AY452" s="882"/>
      <c r="AZ452" s="882"/>
      <c r="BA452" s="882"/>
      <c r="BJ452" s="882"/>
      <c r="BK452" s="882"/>
      <c r="BL452" s="882"/>
      <c r="BU452" s="882"/>
      <c r="BV452" s="882"/>
      <c r="BW452" s="882"/>
      <c r="CF452" s="882"/>
      <c r="CG452" s="882"/>
      <c r="CH452" s="882"/>
      <c r="CI452" s="530"/>
    </row>
    <row r="453">
      <c r="A453" s="857"/>
      <c r="B453" s="865" t="s">
        <v>621</v>
      </c>
      <c r="C453" s="865" t="s">
        <v>591</v>
      </c>
      <c r="D453" s="865" t="s">
        <v>651</v>
      </c>
      <c r="E453" s="866">
        <v>2019.0</v>
      </c>
      <c r="F453" s="865" t="s">
        <v>593</v>
      </c>
      <c r="G453" s="865" t="s">
        <v>70</v>
      </c>
      <c r="H453" s="867">
        <v>469290.6358</v>
      </c>
      <c r="I453" s="867">
        <v>541904.1336</v>
      </c>
      <c r="J453" s="868">
        <v>399644.826</v>
      </c>
      <c r="K453" s="50"/>
      <c r="L453" s="869" t="s">
        <v>621</v>
      </c>
      <c r="M453" s="865" t="s">
        <v>591</v>
      </c>
      <c r="N453" s="865" t="s">
        <v>651</v>
      </c>
      <c r="O453" s="866">
        <v>2004.0</v>
      </c>
      <c r="P453" s="865" t="s">
        <v>593</v>
      </c>
      <c r="Q453" s="865" t="s">
        <v>70</v>
      </c>
      <c r="R453" s="867">
        <v>264402.2459</v>
      </c>
      <c r="S453" s="867">
        <v>284706.6069</v>
      </c>
      <c r="T453" s="868">
        <v>244304.163</v>
      </c>
      <c r="AN453" s="882"/>
      <c r="AO453" s="882"/>
      <c r="AP453" s="882"/>
      <c r="AY453" s="882"/>
      <c r="AZ453" s="882"/>
      <c r="BA453" s="882"/>
      <c r="BJ453" s="882"/>
      <c r="BK453" s="882"/>
      <c r="BL453" s="882"/>
      <c r="BU453" s="882"/>
      <c r="BV453" s="882"/>
      <c r="BW453" s="882"/>
      <c r="CF453" s="882"/>
      <c r="CG453" s="882"/>
      <c r="CH453" s="882"/>
      <c r="CI453" s="530"/>
    </row>
    <row r="454">
      <c r="A454" s="857"/>
      <c r="B454" s="865" t="s">
        <v>621</v>
      </c>
      <c r="C454" s="865" t="s">
        <v>591</v>
      </c>
      <c r="D454" s="865" t="s">
        <v>653</v>
      </c>
      <c r="E454" s="866">
        <v>2019.0</v>
      </c>
      <c r="F454" s="865" t="s">
        <v>593</v>
      </c>
      <c r="G454" s="865" t="s">
        <v>70</v>
      </c>
      <c r="H454" s="867">
        <v>330262.072</v>
      </c>
      <c r="I454" s="867">
        <v>381363.6334</v>
      </c>
      <c r="J454" s="868">
        <v>281249.0134</v>
      </c>
      <c r="K454" s="50"/>
      <c r="L454" s="869" t="s">
        <v>621</v>
      </c>
      <c r="M454" s="865" t="s">
        <v>591</v>
      </c>
      <c r="N454" s="865" t="s">
        <v>653</v>
      </c>
      <c r="O454" s="866">
        <v>2004.0</v>
      </c>
      <c r="P454" s="865" t="s">
        <v>593</v>
      </c>
      <c r="Q454" s="865" t="s">
        <v>70</v>
      </c>
      <c r="R454" s="867">
        <v>211709.5252</v>
      </c>
      <c r="S454" s="867">
        <v>227967.4303</v>
      </c>
      <c r="T454" s="868">
        <v>195616.789</v>
      </c>
      <c r="AN454" s="882"/>
      <c r="AO454" s="882"/>
      <c r="AP454" s="882"/>
      <c r="AY454" s="882"/>
      <c r="AZ454" s="882"/>
      <c r="BA454" s="882"/>
      <c r="BJ454" s="882"/>
      <c r="BK454" s="882"/>
      <c r="BL454" s="882"/>
      <c r="BU454" s="882"/>
      <c r="BV454" s="882"/>
      <c r="BW454" s="882"/>
      <c r="CF454" s="882"/>
      <c r="CG454" s="882"/>
      <c r="CH454" s="882"/>
      <c r="CI454" s="530"/>
    </row>
    <row r="455">
      <c r="A455" s="857"/>
      <c r="B455" s="865" t="s">
        <v>621</v>
      </c>
      <c r="C455" s="865" t="s">
        <v>591</v>
      </c>
      <c r="D455" s="865" t="s">
        <v>655</v>
      </c>
      <c r="E455" s="866">
        <v>2019.0</v>
      </c>
      <c r="F455" s="865" t="s">
        <v>593</v>
      </c>
      <c r="G455" s="865" t="s">
        <v>70</v>
      </c>
      <c r="H455" s="867">
        <v>556614.8668</v>
      </c>
      <c r="I455" s="867">
        <v>642821.0118</v>
      </c>
      <c r="J455" s="868">
        <v>474028.7453</v>
      </c>
      <c r="K455" s="50"/>
      <c r="L455" s="869" t="s">
        <v>621</v>
      </c>
      <c r="M455" s="865" t="s">
        <v>591</v>
      </c>
      <c r="N455" s="865" t="s">
        <v>655</v>
      </c>
      <c r="O455" s="866">
        <v>2004.0</v>
      </c>
      <c r="P455" s="865" t="s">
        <v>593</v>
      </c>
      <c r="Q455" s="865" t="s">
        <v>70</v>
      </c>
      <c r="R455" s="867">
        <v>362925.5218</v>
      </c>
      <c r="S455" s="867">
        <v>390814.3316</v>
      </c>
      <c r="T455" s="868">
        <v>335345.3005</v>
      </c>
      <c r="AN455" s="882"/>
      <c r="AO455" s="882"/>
      <c r="AP455" s="882"/>
      <c r="AY455" s="882"/>
      <c r="AZ455" s="882"/>
      <c r="BA455" s="882"/>
      <c r="BJ455" s="882"/>
      <c r="BK455" s="882"/>
      <c r="BL455" s="882"/>
      <c r="BU455" s="882"/>
      <c r="BV455" s="882"/>
      <c r="BW455" s="882"/>
      <c r="CF455" s="882"/>
      <c r="CG455" s="882"/>
      <c r="CH455" s="882"/>
      <c r="CI455" s="530"/>
    </row>
    <row r="456">
      <c r="A456" s="857"/>
      <c r="B456" s="865" t="s">
        <v>621</v>
      </c>
      <c r="C456" s="865" t="s">
        <v>591</v>
      </c>
      <c r="D456" s="865" t="s">
        <v>657</v>
      </c>
      <c r="E456" s="866">
        <v>2019.0</v>
      </c>
      <c r="F456" s="865" t="s">
        <v>593</v>
      </c>
      <c r="G456" s="865" t="s">
        <v>70</v>
      </c>
      <c r="H456" s="867">
        <v>226380.8313</v>
      </c>
      <c r="I456" s="867">
        <v>261408.8134</v>
      </c>
      <c r="J456" s="868">
        <v>192784.4305</v>
      </c>
      <c r="K456" s="50"/>
      <c r="L456" s="869" t="s">
        <v>621</v>
      </c>
      <c r="M456" s="865" t="s">
        <v>591</v>
      </c>
      <c r="N456" s="865" t="s">
        <v>657</v>
      </c>
      <c r="O456" s="866">
        <v>2004.0</v>
      </c>
      <c r="P456" s="865" t="s">
        <v>593</v>
      </c>
      <c r="Q456" s="865" t="s">
        <v>70</v>
      </c>
      <c r="R456" s="867">
        <v>151224.7951</v>
      </c>
      <c r="S456" s="867">
        <v>162837.869</v>
      </c>
      <c r="T456" s="868">
        <v>139729.7019</v>
      </c>
      <c r="AN456" s="882"/>
      <c r="AO456" s="882"/>
      <c r="AP456" s="882"/>
      <c r="AY456" s="882"/>
      <c r="AZ456" s="882"/>
      <c r="BA456" s="882"/>
      <c r="BJ456" s="882"/>
      <c r="BK456" s="882"/>
      <c r="BL456" s="882"/>
      <c r="BU456" s="882"/>
      <c r="BV456" s="882"/>
      <c r="BW456" s="882"/>
      <c r="CF456" s="882"/>
      <c r="CG456" s="882"/>
      <c r="CH456" s="882"/>
      <c r="CI456" s="530"/>
    </row>
    <row r="457">
      <c r="A457" s="857"/>
      <c r="B457" s="865" t="s">
        <v>621</v>
      </c>
      <c r="C457" s="865" t="s">
        <v>591</v>
      </c>
      <c r="D457" s="865" t="s">
        <v>659</v>
      </c>
      <c r="E457" s="866">
        <v>2019.0</v>
      </c>
      <c r="F457" s="865" t="s">
        <v>593</v>
      </c>
      <c r="G457" s="865" t="s">
        <v>70</v>
      </c>
      <c r="H457" s="867">
        <v>489171.5508</v>
      </c>
      <c r="I457" s="867">
        <v>564861.2293</v>
      </c>
      <c r="J457" s="868">
        <v>416575.2828</v>
      </c>
      <c r="K457" s="50"/>
      <c r="L457" s="869" t="s">
        <v>621</v>
      </c>
      <c r="M457" s="865" t="s">
        <v>591</v>
      </c>
      <c r="N457" s="865" t="s">
        <v>659</v>
      </c>
      <c r="O457" s="866">
        <v>2004.0</v>
      </c>
      <c r="P457" s="865" t="s">
        <v>593</v>
      </c>
      <c r="Q457" s="865" t="s">
        <v>70</v>
      </c>
      <c r="R457" s="867">
        <v>300180.6719</v>
      </c>
      <c r="S457" s="867">
        <v>323232.5817</v>
      </c>
      <c r="T457" s="868">
        <v>277362.9534</v>
      </c>
      <c r="AN457" s="882"/>
      <c r="AO457" s="882"/>
      <c r="AP457" s="882"/>
      <c r="AY457" s="882"/>
      <c r="AZ457" s="882"/>
      <c r="BA457" s="882"/>
      <c r="BJ457" s="882"/>
      <c r="BK457" s="882"/>
      <c r="BL457" s="882"/>
      <c r="BU457" s="882"/>
      <c r="BV457" s="882"/>
      <c r="BW457" s="882"/>
      <c r="CF457" s="882"/>
      <c r="CG457" s="882"/>
      <c r="CH457" s="882"/>
      <c r="CI457" s="530"/>
    </row>
    <row r="458">
      <c r="A458" s="857"/>
      <c r="B458" s="865" t="s">
        <v>621</v>
      </c>
      <c r="C458" s="865" t="s">
        <v>591</v>
      </c>
      <c r="D458" s="865" t="s">
        <v>661</v>
      </c>
      <c r="E458" s="866">
        <v>2019.0</v>
      </c>
      <c r="F458" s="865" t="s">
        <v>593</v>
      </c>
      <c r="G458" s="865" t="s">
        <v>70</v>
      </c>
      <c r="H458" s="867">
        <v>262777.4835</v>
      </c>
      <c r="I458" s="867">
        <v>303475.3433</v>
      </c>
      <c r="J458" s="868">
        <v>223788.6341</v>
      </c>
      <c r="K458" s="50"/>
      <c r="L458" s="869" t="s">
        <v>621</v>
      </c>
      <c r="M458" s="865" t="s">
        <v>591</v>
      </c>
      <c r="N458" s="865" t="s">
        <v>661</v>
      </c>
      <c r="O458" s="866">
        <v>2004.0</v>
      </c>
      <c r="P458" s="865" t="s">
        <v>593</v>
      </c>
      <c r="Q458" s="865" t="s">
        <v>70</v>
      </c>
      <c r="R458" s="867">
        <v>148952.2657</v>
      </c>
      <c r="S458" s="867">
        <v>160398.4197</v>
      </c>
      <c r="T458" s="868">
        <v>137632.7629</v>
      </c>
      <c r="AN458" s="882"/>
      <c r="AO458" s="882"/>
      <c r="AP458" s="882"/>
      <c r="AY458" s="882"/>
      <c r="AZ458" s="882"/>
      <c r="BA458" s="882"/>
      <c r="BJ458" s="882"/>
      <c r="BK458" s="882"/>
      <c r="BL458" s="882"/>
      <c r="BU458" s="882"/>
      <c r="BV458" s="882"/>
      <c r="BW458" s="882"/>
      <c r="CF458" s="882"/>
      <c r="CG458" s="882"/>
      <c r="CH458" s="882"/>
      <c r="CI458" s="530"/>
    </row>
    <row r="459">
      <c r="A459" s="857"/>
      <c r="B459" s="865" t="s">
        <v>621</v>
      </c>
      <c r="C459" s="865" t="s">
        <v>591</v>
      </c>
      <c r="D459" s="865" t="s">
        <v>663</v>
      </c>
      <c r="E459" s="866">
        <v>2019.0</v>
      </c>
      <c r="F459" s="865" t="s">
        <v>593</v>
      </c>
      <c r="G459" s="865" t="s">
        <v>70</v>
      </c>
      <c r="H459" s="867">
        <v>141528.044</v>
      </c>
      <c r="I459" s="867">
        <v>163426.7259</v>
      </c>
      <c r="J459" s="868">
        <v>120524.3536</v>
      </c>
      <c r="K459" s="50"/>
      <c r="L459" s="869" t="s">
        <v>621</v>
      </c>
      <c r="M459" s="865" t="s">
        <v>591</v>
      </c>
      <c r="N459" s="865" t="s">
        <v>663</v>
      </c>
      <c r="O459" s="866">
        <v>2004.0</v>
      </c>
      <c r="P459" s="865" t="s">
        <v>593</v>
      </c>
      <c r="Q459" s="865" t="s">
        <v>70</v>
      </c>
      <c r="R459" s="867">
        <v>90367.388</v>
      </c>
      <c r="S459" s="867">
        <v>97307.01161</v>
      </c>
      <c r="T459" s="868">
        <v>83498.26611</v>
      </c>
      <c r="AN459" s="882"/>
      <c r="AO459" s="882"/>
      <c r="AP459" s="882"/>
      <c r="AY459" s="882"/>
      <c r="AZ459" s="882"/>
      <c r="BA459" s="882"/>
      <c r="BJ459" s="882"/>
      <c r="BK459" s="882"/>
      <c r="BL459" s="882"/>
      <c r="BU459" s="882"/>
      <c r="BV459" s="882"/>
      <c r="BW459" s="882"/>
      <c r="CF459" s="882"/>
      <c r="CG459" s="882"/>
      <c r="CH459" s="882"/>
      <c r="CI459" s="530"/>
    </row>
    <row r="460">
      <c r="A460" s="857"/>
      <c r="B460" s="865" t="s">
        <v>621</v>
      </c>
      <c r="C460" s="865" t="s">
        <v>591</v>
      </c>
      <c r="D460" s="865" t="s">
        <v>665</v>
      </c>
      <c r="E460" s="866">
        <v>2019.0</v>
      </c>
      <c r="F460" s="865" t="s">
        <v>593</v>
      </c>
      <c r="G460" s="865" t="s">
        <v>70</v>
      </c>
      <c r="H460" s="867">
        <v>218978.7641</v>
      </c>
      <c r="I460" s="867">
        <v>252893.2645</v>
      </c>
      <c r="J460" s="868">
        <v>186488.4231</v>
      </c>
      <c r="K460" s="50"/>
      <c r="L460" s="869" t="s">
        <v>621</v>
      </c>
      <c r="M460" s="865" t="s">
        <v>591</v>
      </c>
      <c r="N460" s="865" t="s">
        <v>665</v>
      </c>
      <c r="O460" s="866">
        <v>2004.0</v>
      </c>
      <c r="P460" s="865" t="s">
        <v>593</v>
      </c>
      <c r="Q460" s="865" t="s">
        <v>70</v>
      </c>
      <c r="R460" s="867">
        <v>128620.0263</v>
      </c>
      <c r="S460" s="867">
        <v>138503.7607</v>
      </c>
      <c r="T460" s="868">
        <v>118845.6551</v>
      </c>
      <c r="AN460" s="882"/>
      <c r="AO460" s="882"/>
      <c r="AP460" s="882"/>
      <c r="AY460" s="882"/>
      <c r="AZ460" s="882"/>
      <c r="BA460" s="882"/>
      <c r="BJ460" s="882"/>
      <c r="BK460" s="882"/>
      <c r="BL460" s="882"/>
      <c r="BU460" s="882"/>
      <c r="BV460" s="882"/>
      <c r="BW460" s="882"/>
      <c r="CF460" s="882"/>
      <c r="CG460" s="882"/>
      <c r="CH460" s="882"/>
      <c r="CI460" s="530"/>
    </row>
    <row r="461">
      <c r="A461" s="857"/>
      <c r="B461" s="865" t="s">
        <v>621</v>
      </c>
      <c r="C461" s="865" t="s">
        <v>591</v>
      </c>
      <c r="D461" s="865" t="s">
        <v>667</v>
      </c>
      <c r="E461" s="866">
        <v>2019.0</v>
      </c>
      <c r="F461" s="865" t="s">
        <v>593</v>
      </c>
      <c r="G461" s="865" t="s">
        <v>70</v>
      </c>
      <c r="H461" s="867">
        <v>121262.6754</v>
      </c>
      <c r="I461" s="867">
        <v>140025.69</v>
      </c>
      <c r="J461" s="868">
        <v>103266.4987</v>
      </c>
      <c r="K461" s="50"/>
      <c r="L461" s="869" t="s">
        <v>621</v>
      </c>
      <c r="M461" s="865" t="s">
        <v>591</v>
      </c>
      <c r="N461" s="865" t="s">
        <v>667</v>
      </c>
      <c r="O461" s="866">
        <v>2004.0</v>
      </c>
      <c r="P461" s="865" t="s">
        <v>593</v>
      </c>
      <c r="Q461" s="865" t="s">
        <v>70</v>
      </c>
      <c r="R461" s="867">
        <v>58588.48878</v>
      </c>
      <c r="S461" s="867">
        <v>63087.70104</v>
      </c>
      <c r="T461" s="868">
        <v>54134.98537</v>
      </c>
      <c r="AN461" s="882"/>
      <c r="AO461" s="882"/>
      <c r="AP461" s="882"/>
      <c r="AY461" s="882"/>
      <c r="AZ461" s="882"/>
      <c r="BA461" s="882"/>
      <c r="BJ461" s="882"/>
      <c r="BK461" s="882"/>
      <c r="BL461" s="882"/>
      <c r="BU461" s="882"/>
      <c r="BV461" s="882"/>
      <c r="BW461" s="882"/>
      <c r="CF461" s="882"/>
      <c r="CG461" s="882"/>
      <c r="CH461" s="882"/>
      <c r="CI461" s="530"/>
    </row>
    <row r="462">
      <c r="A462" s="857"/>
      <c r="B462" s="865" t="s">
        <v>621</v>
      </c>
      <c r="C462" s="865" t="s">
        <v>591</v>
      </c>
      <c r="D462" s="865" t="s">
        <v>669</v>
      </c>
      <c r="E462" s="866">
        <v>2019.0</v>
      </c>
      <c r="F462" s="865" t="s">
        <v>593</v>
      </c>
      <c r="G462" s="865" t="s">
        <v>70</v>
      </c>
      <c r="H462" s="867">
        <v>77461.74997</v>
      </c>
      <c r="I462" s="867">
        <v>89447.43257</v>
      </c>
      <c r="J462" s="868">
        <v>65965.91798</v>
      </c>
      <c r="K462" s="50"/>
      <c r="L462" s="869" t="s">
        <v>621</v>
      </c>
      <c r="M462" s="865" t="s">
        <v>591</v>
      </c>
      <c r="N462" s="865" t="s">
        <v>669</v>
      </c>
      <c r="O462" s="866">
        <v>2004.0</v>
      </c>
      <c r="P462" s="865" t="s">
        <v>593</v>
      </c>
      <c r="Q462" s="865" t="s">
        <v>70</v>
      </c>
      <c r="R462" s="867">
        <v>38255.7565</v>
      </c>
      <c r="S462" s="867">
        <v>41193.54807</v>
      </c>
      <c r="T462" s="868">
        <v>35347.81083</v>
      </c>
      <c r="AN462" s="882"/>
      <c r="AO462" s="882"/>
      <c r="AP462" s="882"/>
      <c r="AY462" s="882"/>
      <c r="AZ462" s="882"/>
      <c r="BA462" s="882"/>
      <c r="BJ462" s="882"/>
      <c r="BK462" s="882"/>
      <c r="BL462" s="882"/>
      <c r="BU462" s="882"/>
      <c r="BV462" s="882"/>
      <c r="BW462" s="882"/>
      <c r="CF462" s="882"/>
      <c r="CG462" s="882"/>
      <c r="CH462" s="882"/>
      <c r="CI462" s="530"/>
    </row>
    <row r="463">
      <c r="A463" s="857"/>
      <c r="B463" s="865" t="s">
        <v>621</v>
      </c>
      <c r="C463" s="865" t="s">
        <v>591</v>
      </c>
      <c r="D463" s="865" t="s">
        <v>671</v>
      </c>
      <c r="E463" s="866">
        <v>2019.0</v>
      </c>
      <c r="F463" s="865" t="s">
        <v>593</v>
      </c>
      <c r="G463" s="865" t="s">
        <v>70</v>
      </c>
      <c r="H463" s="867">
        <v>43798.71934</v>
      </c>
      <c r="I463" s="867">
        <v>50582.07885</v>
      </c>
      <c r="J463" s="868">
        <v>37300.211</v>
      </c>
      <c r="K463" s="50"/>
      <c r="L463" s="869" t="s">
        <v>621</v>
      </c>
      <c r="M463" s="865" t="s">
        <v>591</v>
      </c>
      <c r="N463" s="865" t="s">
        <v>671</v>
      </c>
      <c r="O463" s="866">
        <v>2004.0</v>
      </c>
      <c r="P463" s="865" t="s">
        <v>593</v>
      </c>
      <c r="Q463" s="865" t="s">
        <v>70</v>
      </c>
      <c r="R463" s="867">
        <v>20332.23936</v>
      </c>
      <c r="S463" s="867">
        <v>21894.65898</v>
      </c>
      <c r="T463" s="868">
        <v>18787.10785</v>
      </c>
      <c r="AN463" s="882"/>
      <c r="AO463" s="882"/>
      <c r="AP463" s="882"/>
      <c r="AY463" s="882"/>
      <c r="AZ463" s="882"/>
      <c r="BA463" s="882"/>
      <c r="BJ463" s="882"/>
      <c r="BK463" s="882"/>
      <c r="BL463" s="882"/>
      <c r="BU463" s="882"/>
      <c r="BV463" s="882"/>
      <c r="BW463" s="882"/>
      <c r="CF463" s="882"/>
      <c r="CG463" s="882"/>
      <c r="CH463" s="882"/>
      <c r="CI463" s="530"/>
    </row>
    <row r="464">
      <c r="A464" s="857"/>
      <c r="B464" s="865" t="s">
        <v>621</v>
      </c>
      <c r="C464" s="865" t="s">
        <v>591</v>
      </c>
      <c r="D464" s="865" t="s">
        <v>673</v>
      </c>
      <c r="E464" s="866">
        <v>2019.0</v>
      </c>
      <c r="F464" s="865" t="s">
        <v>593</v>
      </c>
      <c r="G464" s="865" t="s">
        <v>70</v>
      </c>
      <c r="H464" s="867">
        <v>32188.09878</v>
      </c>
      <c r="I464" s="867">
        <v>37168.57413</v>
      </c>
      <c r="J464" s="868">
        <v>27411.17371</v>
      </c>
      <c r="K464" s="50"/>
      <c r="L464" s="869" t="s">
        <v>621</v>
      </c>
      <c r="M464" s="865" t="s">
        <v>591</v>
      </c>
      <c r="N464" s="865" t="s">
        <v>673</v>
      </c>
      <c r="O464" s="866">
        <v>2004.0</v>
      </c>
      <c r="P464" s="865" t="s">
        <v>593</v>
      </c>
      <c r="Q464" s="865" t="s">
        <v>70</v>
      </c>
      <c r="R464" s="867">
        <v>14889.05669</v>
      </c>
      <c r="S464" s="867">
        <v>16032.43874</v>
      </c>
      <c r="T464" s="868">
        <v>13757.2906</v>
      </c>
      <c r="AN464" s="882"/>
      <c r="AO464" s="882"/>
      <c r="AP464" s="882"/>
      <c r="AY464" s="882"/>
      <c r="AZ464" s="882"/>
      <c r="BA464" s="882"/>
      <c r="BJ464" s="882"/>
      <c r="BK464" s="882"/>
      <c r="BL464" s="882"/>
      <c r="BU464" s="882"/>
      <c r="BV464" s="882"/>
      <c r="BW464" s="882"/>
      <c r="CF464" s="882"/>
      <c r="CG464" s="882"/>
      <c r="CH464" s="882"/>
      <c r="CI464" s="530"/>
    </row>
    <row r="465">
      <c r="A465" s="857"/>
      <c r="B465" s="865" t="s">
        <v>621</v>
      </c>
      <c r="C465" s="865" t="s">
        <v>591</v>
      </c>
      <c r="D465" s="865" t="s">
        <v>674</v>
      </c>
      <c r="E465" s="866">
        <v>2019.0</v>
      </c>
      <c r="F465" s="865" t="s">
        <v>593</v>
      </c>
      <c r="G465" s="865" t="s">
        <v>70</v>
      </c>
      <c r="H465" s="867">
        <v>9762.04</v>
      </c>
      <c r="I465" s="867">
        <v>11272.52373</v>
      </c>
      <c r="J465" s="868">
        <v>8313.289207</v>
      </c>
      <c r="K465" s="50"/>
      <c r="L465" s="869" t="s">
        <v>621</v>
      </c>
      <c r="M465" s="865" t="s">
        <v>591</v>
      </c>
      <c r="N465" s="865" t="s">
        <v>674</v>
      </c>
      <c r="O465" s="866">
        <v>2004.0</v>
      </c>
      <c r="P465" s="865" t="s">
        <v>593</v>
      </c>
      <c r="Q465" s="865" t="s">
        <v>70</v>
      </c>
      <c r="R465" s="867">
        <v>4391.139991</v>
      </c>
      <c r="S465" s="867">
        <v>4728.350786</v>
      </c>
      <c r="T465" s="868">
        <v>4057.355022</v>
      </c>
      <c r="AN465" s="882"/>
      <c r="AO465" s="882"/>
      <c r="AP465" s="882"/>
      <c r="AY465" s="882"/>
      <c r="AZ465" s="882"/>
      <c r="BA465" s="882"/>
      <c r="BJ465" s="882"/>
      <c r="BK465" s="882"/>
      <c r="BL465" s="882"/>
      <c r="BU465" s="882"/>
      <c r="BV465" s="882"/>
      <c r="BW465" s="882"/>
      <c r="CF465" s="882"/>
      <c r="CG465" s="882"/>
      <c r="CH465" s="882"/>
      <c r="CI465" s="530"/>
    </row>
    <row r="466">
      <c r="A466" s="857"/>
      <c r="B466" s="865" t="s">
        <v>621</v>
      </c>
      <c r="C466" s="865" t="s">
        <v>591</v>
      </c>
      <c r="D466" s="865" t="s">
        <v>676</v>
      </c>
      <c r="E466" s="866">
        <v>2019.0</v>
      </c>
      <c r="F466" s="865" t="s">
        <v>593</v>
      </c>
      <c r="G466" s="865" t="s">
        <v>70</v>
      </c>
      <c r="H466" s="867">
        <v>1850.786687</v>
      </c>
      <c r="I466" s="867">
        <v>2137.159533</v>
      </c>
      <c r="J466" s="868">
        <v>1576.117798</v>
      </c>
      <c r="K466" s="50"/>
      <c r="L466" s="869" t="s">
        <v>621</v>
      </c>
      <c r="M466" s="865" t="s">
        <v>591</v>
      </c>
      <c r="N466" s="865" t="s">
        <v>676</v>
      </c>
      <c r="O466" s="866">
        <v>2004.0</v>
      </c>
      <c r="P466" s="865" t="s">
        <v>593</v>
      </c>
      <c r="Q466" s="865" t="s">
        <v>70</v>
      </c>
      <c r="R466" s="867">
        <v>1052.535604</v>
      </c>
      <c r="S466" s="867">
        <v>1133.363446</v>
      </c>
      <c r="T466" s="868">
        <v>972.5289171</v>
      </c>
      <c r="AN466" s="882"/>
      <c r="AO466" s="882"/>
      <c r="AP466" s="882"/>
      <c r="AY466" s="882"/>
      <c r="AZ466" s="882"/>
      <c r="BA466" s="882"/>
      <c r="BJ466" s="882"/>
      <c r="BK466" s="882"/>
      <c r="BL466" s="882"/>
      <c r="BU466" s="882"/>
      <c r="BV466" s="882"/>
      <c r="BW466" s="882"/>
      <c r="CF466" s="882"/>
      <c r="CG466" s="882"/>
      <c r="CH466" s="882"/>
      <c r="CI466" s="530"/>
    </row>
    <row r="467">
      <c r="A467" s="857"/>
      <c r="B467" s="865" t="s">
        <v>621</v>
      </c>
      <c r="C467" s="865" t="s">
        <v>591</v>
      </c>
      <c r="D467" s="865" t="s">
        <v>678</v>
      </c>
      <c r="E467" s="866">
        <v>2019.0</v>
      </c>
      <c r="F467" s="865" t="s">
        <v>593</v>
      </c>
      <c r="G467" s="865" t="s">
        <v>70</v>
      </c>
      <c r="H467" s="867">
        <v>2.910186838E7</v>
      </c>
      <c r="I467" s="867">
        <v>3.360481026E7</v>
      </c>
      <c r="J467" s="868">
        <v>2.478296015E7</v>
      </c>
      <c r="K467" s="50"/>
      <c r="L467" s="869" t="s">
        <v>621</v>
      </c>
      <c r="M467" s="865" t="s">
        <v>591</v>
      </c>
      <c r="N467" s="865" t="s">
        <v>678</v>
      </c>
      <c r="O467" s="866">
        <v>2004.0</v>
      </c>
      <c r="P467" s="865" t="s">
        <v>593</v>
      </c>
      <c r="Q467" s="865" t="s">
        <v>70</v>
      </c>
      <c r="R467" s="867">
        <v>1.756161277E7</v>
      </c>
      <c r="S467" s="867">
        <v>1.891022962E7</v>
      </c>
      <c r="T467" s="868">
        <v>1.622669692E7</v>
      </c>
      <c r="AN467" s="882"/>
      <c r="AO467" s="882"/>
      <c r="AP467" s="882"/>
      <c r="AY467" s="882"/>
      <c r="AZ467" s="882"/>
      <c r="BA467" s="882"/>
      <c r="BJ467" s="882"/>
      <c r="BK467" s="882"/>
      <c r="BL467" s="882"/>
      <c r="BU467" s="882"/>
      <c r="BV467" s="882"/>
      <c r="BW467" s="882"/>
      <c r="CF467" s="882"/>
      <c r="CG467" s="882"/>
      <c r="CH467" s="882"/>
      <c r="CI467" s="530"/>
    </row>
    <row r="468">
      <c r="A468" s="857"/>
      <c r="B468" s="865" t="s">
        <v>621</v>
      </c>
      <c r="C468" s="865" t="s">
        <v>591</v>
      </c>
      <c r="D468" s="865" t="s">
        <v>680</v>
      </c>
      <c r="E468" s="866">
        <v>2019.0</v>
      </c>
      <c r="F468" s="865" t="s">
        <v>593</v>
      </c>
      <c r="G468" s="865" t="s">
        <v>70</v>
      </c>
      <c r="H468" s="867">
        <v>903799.5556</v>
      </c>
      <c r="I468" s="867">
        <v>1027670.15</v>
      </c>
      <c r="J468" s="868">
        <v>797314.1258</v>
      </c>
      <c r="K468" s="50"/>
      <c r="L468" s="869" t="s">
        <v>621</v>
      </c>
      <c r="M468" s="865" t="s">
        <v>591</v>
      </c>
      <c r="N468" s="865" t="s">
        <v>680</v>
      </c>
      <c r="O468" s="866">
        <v>2004.0</v>
      </c>
      <c r="P468" s="865" t="s">
        <v>593</v>
      </c>
      <c r="Q468" s="865" t="s">
        <v>70</v>
      </c>
      <c r="R468" s="867">
        <v>749956.0463</v>
      </c>
      <c r="S468" s="867">
        <v>777548.3585</v>
      </c>
      <c r="T468" s="868">
        <v>721059.397</v>
      </c>
      <c r="AN468" s="882"/>
      <c r="AO468" s="882"/>
      <c r="AP468" s="882"/>
      <c r="AY468" s="882"/>
      <c r="AZ468" s="882"/>
      <c r="BA468" s="882"/>
      <c r="BJ468" s="882"/>
      <c r="BK468" s="882"/>
      <c r="BL468" s="882"/>
      <c r="BU468" s="882"/>
      <c r="BV468" s="882"/>
      <c r="BW468" s="882"/>
      <c r="CF468" s="882"/>
      <c r="CG468" s="882"/>
      <c r="CH468" s="882"/>
      <c r="CI468" s="530"/>
    </row>
    <row r="469">
      <c r="A469" s="857"/>
      <c r="B469" s="865" t="s">
        <v>621</v>
      </c>
      <c r="C469" s="865" t="s">
        <v>591</v>
      </c>
      <c r="D469" s="865" t="s">
        <v>682</v>
      </c>
      <c r="E469" s="866">
        <v>2019.0</v>
      </c>
      <c r="F469" s="865" t="s">
        <v>593</v>
      </c>
      <c r="G469" s="865" t="s">
        <v>70</v>
      </c>
      <c r="H469" s="867">
        <v>17159.83022</v>
      </c>
      <c r="I469" s="867">
        <v>19814.97652</v>
      </c>
      <c r="J469" s="868">
        <v>14613.19881</v>
      </c>
      <c r="K469" s="50"/>
      <c r="L469" s="869" t="s">
        <v>621</v>
      </c>
      <c r="M469" s="865" t="s">
        <v>591</v>
      </c>
      <c r="N469" s="865" t="s">
        <v>682</v>
      </c>
      <c r="O469" s="866">
        <v>2004.0</v>
      </c>
      <c r="P469" s="865" t="s">
        <v>593</v>
      </c>
      <c r="Q469" s="865" t="s">
        <v>70</v>
      </c>
      <c r="R469" s="867">
        <v>14300.05042</v>
      </c>
      <c r="S469" s="867">
        <v>15398.20064</v>
      </c>
      <c r="T469" s="868">
        <v>13213.05663</v>
      </c>
      <c r="AN469" s="882"/>
      <c r="AO469" s="882"/>
      <c r="AP469" s="882"/>
      <c r="AY469" s="882"/>
      <c r="AZ469" s="882"/>
      <c r="BA469" s="882"/>
      <c r="BJ469" s="882"/>
      <c r="BK469" s="882"/>
      <c r="BL469" s="882"/>
      <c r="BU469" s="882"/>
      <c r="BV469" s="882"/>
      <c r="BW469" s="882"/>
      <c r="CF469" s="882"/>
      <c r="CG469" s="882"/>
      <c r="CH469" s="882"/>
      <c r="CI469" s="530"/>
    </row>
    <row r="470">
      <c r="A470" s="857"/>
      <c r="B470" s="865" t="s">
        <v>621</v>
      </c>
      <c r="C470" s="865" t="s">
        <v>591</v>
      </c>
      <c r="D470" s="865" t="s">
        <v>684</v>
      </c>
      <c r="E470" s="866">
        <v>2019.0</v>
      </c>
      <c r="F470" s="865" t="s">
        <v>593</v>
      </c>
      <c r="G470" s="865" t="s">
        <v>70</v>
      </c>
      <c r="H470" s="867">
        <v>50815.78343</v>
      </c>
      <c r="I470" s="867">
        <v>58678.52668</v>
      </c>
      <c r="J470" s="868">
        <v>43274.38772</v>
      </c>
      <c r="K470" s="50"/>
      <c r="L470" s="869" t="s">
        <v>621</v>
      </c>
      <c r="M470" s="865" t="s">
        <v>591</v>
      </c>
      <c r="N470" s="865" t="s">
        <v>684</v>
      </c>
      <c r="O470" s="866">
        <v>2004.0</v>
      </c>
      <c r="P470" s="865" t="s">
        <v>593</v>
      </c>
      <c r="Q470" s="865" t="s">
        <v>70</v>
      </c>
      <c r="R470" s="867">
        <v>42154.69142</v>
      </c>
      <c r="S470" s="867">
        <v>45391.89566</v>
      </c>
      <c r="T470" s="868">
        <v>38950.37491</v>
      </c>
      <c r="AN470" s="882"/>
      <c r="AO470" s="882"/>
      <c r="AP470" s="882"/>
      <c r="AY470" s="882"/>
      <c r="AZ470" s="882"/>
      <c r="BA470" s="882"/>
      <c r="BJ470" s="882"/>
      <c r="BK470" s="882"/>
      <c r="BL470" s="882"/>
      <c r="BU470" s="882"/>
      <c r="BV470" s="882"/>
      <c r="BW470" s="882"/>
      <c r="CF470" s="882"/>
      <c r="CG470" s="882"/>
      <c r="CH470" s="882"/>
      <c r="CI470" s="530"/>
    </row>
    <row r="471">
      <c r="A471" s="857"/>
      <c r="B471" s="865" t="s">
        <v>621</v>
      </c>
      <c r="C471" s="865" t="s">
        <v>591</v>
      </c>
      <c r="D471" s="865" t="s">
        <v>686</v>
      </c>
      <c r="E471" s="866">
        <v>2019.0</v>
      </c>
      <c r="F471" s="865" t="s">
        <v>593</v>
      </c>
      <c r="G471" s="865" t="s">
        <v>70</v>
      </c>
      <c r="H471" s="867">
        <v>67975.61365</v>
      </c>
      <c r="I471" s="867">
        <v>78493.50319</v>
      </c>
      <c r="J471" s="868">
        <v>57887.58654</v>
      </c>
      <c r="K471" s="50"/>
      <c r="L471" s="869" t="s">
        <v>621</v>
      </c>
      <c r="M471" s="865" t="s">
        <v>591</v>
      </c>
      <c r="N471" s="865" t="s">
        <v>686</v>
      </c>
      <c r="O471" s="866">
        <v>2004.0</v>
      </c>
      <c r="P471" s="865" t="s">
        <v>593</v>
      </c>
      <c r="Q471" s="865" t="s">
        <v>70</v>
      </c>
      <c r="R471" s="867">
        <v>56454.74184</v>
      </c>
      <c r="S471" s="867">
        <v>60790.09631</v>
      </c>
      <c r="T471" s="868">
        <v>52163.43154</v>
      </c>
      <c r="AN471" s="882"/>
      <c r="AO471" s="882"/>
      <c r="AP471" s="882"/>
      <c r="AY471" s="882"/>
      <c r="AZ471" s="882"/>
      <c r="BA471" s="882"/>
      <c r="BJ471" s="882"/>
      <c r="BK471" s="882"/>
      <c r="BL471" s="882"/>
      <c r="BU471" s="882"/>
      <c r="BV471" s="882"/>
      <c r="BW471" s="882"/>
      <c r="CF471" s="882"/>
      <c r="CG471" s="882"/>
      <c r="CH471" s="882"/>
      <c r="CI471" s="530"/>
    </row>
    <row r="472">
      <c r="A472" s="857"/>
      <c r="B472" s="865" t="s">
        <v>621</v>
      </c>
      <c r="C472" s="865" t="s">
        <v>591</v>
      </c>
      <c r="D472" s="865" t="s">
        <v>688</v>
      </c>
      <c r="E472" s="866">
        <v>2019.0</v>
      </c>
      <c r="F472" s="865" t="s">
        <v>593</v>
      </c>
      <c r="G472" s="865" t="s">
        <v>70</v>
      </c>
      <c r="H472" s="867">
        <v>796083.0535</v>
      </c>
      <c r="I472" s="867">
        <v>919261.252</v>
      </c>
      <c r="J472" s="868">
        <v>677939.1047</v>
      </c>
      <c r="K472" s="50"/>
      <c r="L472" s="869" t="s">
        <v>621</v>
      </c>
      <c r="M472" s="865" t="s">
        <v>591</v>
      </c>
      <c r="N472" s="865" t="s">
        <v>688</v>
      </c>
      <c r="O472" s="866">
        <v>2004.0</v>
      </c>
      <c r="P472" s="865" t="s">
        <v>593</v>
      </c>
      <c r="Q472" s="865" t="s">
        <v>70</v>
      </c>
      <c r="R472" s="867">
        <v>647500.523</v>
      </c>
      <c r="S472" s="867">
        <v>697224.3229</v>
      </c>
      <c r="T472" s="868">
        <v>598281.8822</v>
      </c>
      <c r="AN472" s="882"/>
      <c r="AO472" s="882"/>
      <c r="AP472" s="882"/>
      <c r="AY472" s="882"/>
      <c r="AZ472" s="882"/>
      <c r="BA472" s="882"/>
      <c r="BJ472" s="882"/>
      <c r="BK472" s="882"/>
      <c r="BL472" s="882"/>
      <c r="BU472" s="882"/>
      <c r="BV472" s="882"/>
      <c r="BW472" s="882"/>
      <c r="CF472" s="882"/>
      <c r="CG472" s="882"/>
      <c r="CH472" s="882"/>
      <c r="CI472" s="530"/>
    </row>
    <row r="473">
      <c r="A473" s="857"/>
      <c r="B473" s="865" t="s">
        <v>621</v>
      </c>
      <c r="C473" s="865" t="s">
        <v>591</v>
      </c>
      <c r="D473" s="865" t="s">
        <v>689</v>
      </c>
      <c r="E473" s="866">
        <v>2019.0</v>
      </c>
      <c r="F473" s="865" t="s">
        <v>593</v>
      </c>
      <c r="G473" s="865" t="s">
        <v>70</v>
      </c>
      <c r="H473" s="867">
        <v>4207109.249</v>
      </c>
      <c r="I473" s="867">
        <v>4858076.678</v>
      </c>
      <c r="J473" s="868">
        <v>3582746.631</v>
      </c>
      <c r="K473" s="50"/>
      <c r="L473" s="869" t="s">
        <v>621</v>
      </c>
      <c r="M473" s="865" t="s">
        <v>591</v>
      </c>
      <c r="N473" s="865" t="s">
        <v>689</v>
      </c>
      <c r="O473" s="866">
        <v>2004.0</v>
      </c>
      <c r="P473" s="865" t="s">
        <v>593</v>
      </c>
      <c r="Q473" s="865" t="s">
        <v>70</v>
      </c>
      <c r="R473" s="867">
        <v>3122659.894</v>
      </c>
      <c r="S473" s="867">
        <v>3362459.724</v>
      </c>
      <c r="T473" s="868">
        <v>2885296.262</v>
      </c>
      <c r="AN473" s="882"/>
      <c r="AO473" s="882"/>
      <c r="AP473" s="882"/>
      <c r="AY473" s="882"/>
      <c r="AZ473" s="882"/>
      <c r="BA473" s="882"/>
      <c r="BJ473" s="882"/>
      <c r="BK473" s="882"/>
      <c r="BL473" s="882"/>
      <c r="BU473" s="882"/>
      <c r="BV473" s="882"/>
      <c r="BW473" s="882"/>
      <c r="CF473" s="882"/>
      <c r="CG473" s="882"/>
      <c r="CH473" s="882"/>
      <c r="CI473" s="530"/>
    </row>
    <row r="474">
      <c r="A474" s="857"/>
      <c r="B474" s="865" t="s">
        <v>623</v>
      </c>
      <c r="C474" s="865" t="s">
        <v>591</v>
      </c>
      <c r="D474" s="865" t="s">
        <v>592</v>
      </c>
      <c r="E474" s="866">
        <v>2019.0</v>
      </c>
      <c r="F474" s="865" t="s">
        <v>593</v>
      </c>
      <c r="G474" s="865" t="s">
        <v>70</v>
      </c>
      <c r="H474" s="867">
        <v>184054.7455</v>
      </c>
      <c r="I474" s="867">
        <v>215056.3864</v>
      </c>
      <c r="J474" s="868">
        <v>154863.1144</v>
      </c>
      <c r="K474" s="50"/>
      <c r="L474" s="869" t="s">
        <v>623</v>
      </c>
      <c r="M474" s="865" t="s">
        <v>591</v>
      </c>
      <c r="N474" s="865" t="s">
        <v>592</v>
      </c>
      <c r="O474" s="866">
        <v>2004.0</v>
      </c>
      <c r="P474" s="865" t="s">
        <v>593</v>
      </c>
      <c r="Q474" s="865" t="s">
        <v>70</v>
      </c>
      <c r="R474" s="867">
        <v>158051.029</v>
      </c>
      <c r="S474" s="867">
        <v>169236.4004</v>
      </c>
      <c r="T474" s="868">
        <v>146686.2611</v>
      </c>
      <c r="AN474" s="882"/>
      <c r="AO474" s="882"/>
      <c r="AP474" s="882"/>
      <c r="AY474" s="882"/>
      <c r="AZ474" s="882"/>
      <c r="BA474" s="882"/>
      <c r="BJ474" s="882"/>
      <c r="BK474" s="882"/>
      <c r="BL474" s="882"/>
      <c r="BU474" s="882"/>
      <c r="BV474" s="882"/>
      <c r="BW474" s="882"/>
      <c r="CF474" s="882"/>
      <c r="CG474" s="882"/>
      <c r="CH474" s="882"/>
      <c r="CI474" s="530"/>
    </row>
    <row r="475">
      <c r="A475" s="857"/>
      <c r="B475" s="865" t="s">
        <v>623</v>
      </c>
      <c r="C475" s="865" t="s">
        <v>591</v>
      </c>
      <c r="D475" s="865" t="s">
        <v>601</v>
      </c>
      <c r="E475" s="866">
        <v>2019.0</v>
      </c>
      <c r="F475" s="865" t="s">
        <v>593</v>
      </c>
      <c r="G475" s="865" t="s">
        <v>70</v>
      </c>
      <c r="H475" s="867">
        <v>2818694.968</v>
      </c>
      <c r="I475" s="867">
        <v>3293467.671</v>
      </c>
      <c r="J475" s="868">
        <v>2371641.547</v>
      </c>
      <c r="K475" s="50"/>
      <c r="L475" s="869" t="s">
        <v>623</v>
      </c>
      <c r="M475" s="865" t="s">
        <v>591</v>
      </c>
      <c r="N475" s="865" t="s">
        <v>601</v>
      </c>
      <c r="O475" s="866">
        <v>2004.0</v>
      </c>
      <c r="P475" s="865" t="s">
        <v>593</v>
      </c>
      <c r="Q475" s="865" t="s">
        <v>70</v>
      </c>
      <c r="R475" s="867">
        <v>2204967.363</v>
      </c>
      <c r="S475" s="867">
        <v>2361014.299</v>
      </c>
      <c r="T475" s="868">
        <v>2046417.67</v>
      </c>
      <c r="AN475" s="882"/>
      <c r="AO475" s="882"/>
      <c r="AP475" s="882"/>
      <c r="AY475" s="882"/>
      <c r="AZ475" s="882"/>
      <c r="BA475" s="882"/>
      <c r="BJ475" s="882"/>
      <c r="BK475" s="882"/>
      <c r="BL475" s="882"/>
      <c r="BU475" s="882"/>
      <c r="BV475" s="882"/>
      <c r="BW475" s="882"/>
      <c r="CF475" s="882"/>
      <c r="CG475" s="882"/>
      <c r="CH475" s="882"/>
      <c r="CI475" s="530"/>
    </row>
    <row r="476">
      <c r="A476" s="857"/>
      <c r="B476" s="865" t="s">
        <v>623</v>
      </c>
      <c r="C476" s="865" t="s">
        <v>591</v>
      </c>
      <c r="D476" s="865" t="s">
        <v>606</v>
      </c>
      <c r="E476" s="866">
        <v>2019.0</v>
      </c>
      <c r="F476" s="865" t="s">
        <v>593</v>
      </c>
      <c r="G476" s="865" t="s">
        <v>70</v>
      </c>
      <c r="H476" s="867">
        <v>2233367.637</v>
      </c>
      <c r="I476" s="867">
        <v>2609549.524</v>
      </c>
      <c r="J476" s="868">
        <v>1879148.875</v>
      </c>
      <c r="K476" s="50"/>
      <c r="L476" s="869" t="s">
        <v>623</v>
      </c>
      <c r="M476" s="865" t="s">
        <v>591</v>
      </c>
      <c r="N476" s="865" t="s">
        <v>606</v>
      </c>
      <c r="O476" s="866">
        <v>2004.0</v>
      </c>
      <c r="P476" s="865" t="s">
        <v>593</v>
      </c>
      <c r="Q476" s="865" t="s">
        <v>70</v>
      </c>
      <c r="R476" s="867">
        <v>1771964.698</v>
      </c>
      <c r="S476" s="867">
        <v>1897367.761</v>
      </c>
      <c r="T476" s="868">
        <v>1644550.358</v>
      </c>
      <c r="AN476" s="882"/>
      <c r="AO476" s="882"/>
      <c r="AP476" s="882"/>
      <c r="AY476" s="882"/>
      <c r="AZ476" s="882"/>
      <c r="BA476" s="882"/>
      <c r="BJ476" s="882"/>
      <c r="BK476" s="882"/>
      <c r="BL476" s="882"/>
      <c r="BU476" s="882"/>
      <c r="BV476" s="882"/>
      <c r="BW476" s="882"/>
      <c r="CF476" s="882"/>
      <c r="CG476" s="882"/>
      <c r="CH476" s="882"/>
      <c r="CI476" s="530"/>
    </row>
    <row r="477">
      <c r="A477" s="857"/>
      <c r="B477" s="865" t="s">
        <v>623</v>
      </c>
      <c r="C477" s="865" t="s">
        <v>591</v>
      </c>
      <c r="D477" s="865" t="s">
        <v>608</v>
      </c>
      <c r="E477" s="866">
        <v>2019.0</v>
      </c>
      <c r="F477" s="865" t="s">
        <v>593</v>
      </c>
      <c r="G477" s="865" t="s">
        <v>70</v>
      </c>
      <c r="H477" s="867">
        <v>657391.823</v>
      </c>
      <c r="I477" s="867">
        <v>768120.9714</v>
      </c>
      <c r="J477" s="868">
        <v>553127.5211</v>
      </c>
      <c r="K477" s="50"/>
      <c r="L477" s="869" t="s">
        <v>623</v>
      </c>
      <c r="M477" s="865" t="s">
        <v>591</v>
      </c>
      <c r="N477" s="865" t="s">
        <v>608</v>
      </c>
      <c r="O477" s="866">
        <v>2004.0</v>
      </c>
      <c r="P477" s="865" t="s">
        <v>593</v>
      </c>
      <c r="Q477" s="865" t="s">
        <v>70</v>
      </c>
      <c r="R477" s="867">
        <v>537064.1555</v>
      </c>
      <c r="S477" s="867">
        <v>575072.5258</v>
      </c>
      <c r="T477" s="868">
        <v>498446.1882</v>
      </c>
      <c r="AN477" s="882"/>
      <c r="AO477" s="882"/>
      <c r="AP477" s="882"/>
      <c r="AY477" s="882"/>
      <c r="AZ477" s="882"/>
      <c r="BA477" s="882"/>
      <c r="BJ477" s="882"/>
      <c r="BK477" s="882"/>
      <c r="BL477" s="882"/>
      <c r="BU477" s="882"/>
      <c r="BV477" s="882"/>
      <c r="BW477" s="882"/>
      <c r="CF477" s="882"/>
      <c r="CG477" s="882"/>
      <c r="CH477" s="882"/>
      <c r="CI477" s="530"/>
    </row>
    <row r="478">
      <c r="A478" s="857"/>
      <c r="B478" s="865" t="s">
        <v>623</v>
      </c>
      <c r="C478" s="865" t="s">
        <v>591</v>
      </c>
      <c r="D478" s="865" t="s">
        <v>610</v>
      </c>
      <c r="E478" s="866">
        <v>2019.0</v>
      </c>
      <c r="F478" s="865" t="s">
        <v>593</v>
      </c>
      <c r="G478" s="865" t="s">
        <v>70</v>
      </c>
      <c r="H478" s="867">
        <v>659960.9975</v>
      </c>
      <c r="I478" s="867">
        <v>771122.89</v>
      </c>
      <c r="J478" s="868">
        <v>555289.2168</v>
      </c>
      <c r="K478" s="50"/>
      <c r="L478" s="869" t="s">
        <v>623</v>
      </c>
      <c r="M478" s="865" t="s">
        <v>591</v>
      </c>
      <c r="N478" s="865" t="s">
        <v>610</v>
      </c>
      <c r="O478" s="866">
        <v>2004.0</v>
      </c>
      <c r="P478" s="865" t="s">
        <v>593</v>
      </c>
      <c r="Q478" s="865" t="s">
        <v>70</v>
      </c>
      <c r="R478" s="867">
        <v>499257.3569</v>
      </c>
      <c r="S478" s="867">
        <v>534590.1161</v>
      </c>
      <c r="T478" s="868">
        <v>463357.9135</v>
      </c>
      <c r="AN478" s="882"/>
      <c r="AO478" s="882"/>
      <c r="AP478" s="882"/>
      <c r="AY478" s="882"/>
      <c r="AZ478" s="882"/>
      <c r="BA478" s="882"/>
      <c r="BJ478" s="882"/>
      <c r="BK478" s="882"/>
      <c r="BL478" s="882"/>
      <c r="BU478" s="882"/>
      <c r="BV478" s="882"/>
      <c r="BW478" s="882"/>
      <c r="CF478" s="882"/>
      <c r="CG478" s="882"/>
      <c r="CH478" s="882"/>
      <c r="CI478" s="530"/>
    </row>
    <row r="479">
      <c r="A479" s="857"/>
      <c r="B479" s="865" t="s">
        <v>623</v>
      </c>
      <c r="C479" s="865" t="s">
        <v>591</v>
      </c>
      <c r="D479" s="865" t="s">
        <v>612</v>
      </c>
      <c r="E479" s="866">
        <v>2019.0</v>
      </c>
      <c r="F479" s="865" t="s">
        <v>593</v>
      </c>
      <c r="G479" s="865" t="s">
        <v>70</v>
      </c>
      <c r="H479" s="867">
        <v>1245288.328</v>
      </c>
      <c r="I479" s="867">
        <v>1455041.037</v>
      </c>
      <c r="J479" s="868">
        <v>1047781.888</v>
      </c>
      <c r="K479" s="50"/>
      <c r="L479" s="869" t="s">
        <v>623</v>
      </c>
      <c r="M479" s="865" t="s">
        <v>591</v>
      </c>
      <c r="N479" s="865" t="s">
        <v>612</v>
      </c>
      <c r="O479" s="866">
        <v>2004.0</v>
      </c>
      <c r="P479" s="865" t="s">
        <v>593</v>
      </c>
      <c r="Q479" s="865" t="s">
        <v>70</v>
      </c>
      <c r="R479" s="867">
        <v>932260.0227</v>
      </c>
      <c r="S479" s="867">
        <v>998236.6546</v>
      </c>
      <c r="T479" s="868">
        <v>865225.225</v>
      </c>
      <c r="AN479" s="882"/>
      <c r="AO479" s="882"/>
      <c r="AP479" s="882"/>
      <c r="AY479" s="882"/>
      <c r="AZ479" s="882"/>
      <c r="BA479" s="882"/>
      <c r="BJ479" s="882"/>
      <c r="BK479" s="882"/>
      <c r="BL479" s="882"/>
      <c r="BU479" s="882"/>
      <c r="BV479" s="882"/>
      <c r="BW479" s="882"/>
      <c r="CF479" s="882"/>
      <c r="CG479" s="882"/>
      <c r="CH479" s="882"/>
      <c r="CI479" s="530"/>
    </row>
    <row r="480">
      <c r="A480" s="857"/>
      <c r="B480" s="865" t="s">
        <v>623</v>
      </c>
      <c r="C480" s="865" t="s">
        <v>591</v>
      </c>
      <c r="D480" s="865" t="s">
        <v>614</v>
      </c>
      <c r="E480" s="866">
        <v>2019.0</v>
      </c>
      <c r="F480" s="865" t="s">
        <v>593</v>
      </c>
      <c r="G480" s="865" t="s">
        <v>70</v>
      </c>
      <c r="H480" s="867">
        <v>1750169.698</v>
      </c>
      <c r="I480" s="867">
        <v>2044963.143</v>
      </c>
      <c r="J480" s="868">
        <v>1472587.569</v>
      </c>
      <c r="K480" s="50"/>
      <c r="L480" s="869" t="s">
        <v>623</v>
      </c>
      <c r="M480" s="865" t="s">
        <v>591</v>
      </c>
      <c r="N480" s="865" t="s">
        <v>614</v>
      </c>
      <c r="O480" s="866">
        <v>2004.0</v>
      </c>
      <c r="P480" s="865" t="s">
        <v>593</v>
      </c>
      <c r="Q480" s="865" t="s">
        <v>70</v>
      </c>
      <c r="R480" s="867">
        <v>1301162.978</v>
      </c>
      <c r="S480" s="867">
        <v>1393247.106</v>
      </c>
      <c r="T480" s="868">
        <v>1207601.96</v>
      </c>
      <c r="AN480" s="882"/>
      <c r="AO480" s="882"/>
      <c r="AP480" s="882"/>
      <c r="AY480" s="882"/>
      <c r="AZ480" s="882"/>
      <c r="BA480" s="882"/>
      <c r="BJ480" s="882"/>
      <c r="BK480" s="882"/>
      <c r="BL480" s="882"/>
      <c r="BU480" s="882"/>
      <c r="BV480" s="882"/>
      <c r="BW480" s="882"/>
      <c r="CF480" s="882"/>
      <c r="CG480" s="882"/>
      <c r="CH480" s="882"/>
      <c r="CI480" s="530"/>
    </row>
    <row r="481">
      <c r="A481" s="857"/>
      <c r="B481" s="865" t="s">
        <v>623</v>
      </c>
      <c r="C481" s="865" t="s">
        <v>591</v>
      </c>
      <c r="D481" s="865" t="s">
        <v>616</v>
      </c>
      <c r="E481" s="866">
        <v>2019.0</v>
      </c>
      <c r="F481" s="865" t="s">
        <v>593</v>
      </c>
      <c r="G481" s="865" t="s">
        <v>70</v>
      </c>
      <c r="H481" s="867">
        <v>585327.3303</v>
      </c>
      <c r="I481" s="867">
        <v>683918.1471</v>
      </c>
      <c r="J481" s="868">
        <v>492492.6716</v>
      </c>
      <c r="K481" s="50"/>
      <c r="L481" s="869" t="s">
        <v>623</v>
      </c>
      <c r="M481" s="865" t="s">
        <v>591</v>
      </c>
      <c r="N481" s="865" t="s">
        <v>616</v>
      </c>
      <c r="O481" s="866">
        <v>2004.0</v>
      </c>
      <c r="P481" s="865" t="s">
        <v>593</v>
      </c>
      <c r="Q481" s="865" t="s">
        <v>70</v>
      </c>
      <c r="R481" s="867">
        <v>433002.6657</v>
      </c>
      <c r="S481" s="867">
        <v>463646.5385</v>
      </c>
      <c r="T481" s="868">
        <v>401867.3114</v>
      </c>
      <c r="AN481" s="882"/>
      <c r="AO481" s="882"/>
      <c r="AP481" s="882"/>
      <c r="AY481" s="882"/>
      <c r="AZ481" s="882"/>
      <c r="BA481" s="882"/>
      <c r="BJ481" s="882"/>
      <c r="BK481" s="882"/>
      <c r="BL481" s="882"/>
      <c r="BU481" s="882"/>
      <c r="BV481" s="882"/>
      <c r="BW481" s="882"/>
      <c r="CF481" s="882"/>
      <c r="CG481" s="882"/>
      <c r="CH481" s="882"/>
      <c r="CI481" s="530"/>
    </row>
    <row r="482">
      <c r="A482" s="857"/>
      <c r="B482" s="865" t="s">
        <v>623</v>
      </c>
      <c r="C482" s="865" t="s">
        <v>591</v>
      </c>
      <c r="D482" s="865" t="s">
        <v>618</v>
      </c>
      <c r="E482" s="866">
        <v>2019.0</v>
      </c>
      <c r="F482" s="865" t="s">
        <v>593</v>
      </c>
      <c r="G482" s="865" t="s">
        <v>70</v>
      </c>
      <c r="H482" s="867">
        <v>2110176.69</v>
      </c>
      <c r="I482" s="867">
        <v>2465561.566</v>
      </c>
      <c r="J482" s="868">
        <v>1775359.005</v>
      </c>
      <c r="K482" s="50"/>
      <c r="L482" s="869" t="s">
        <v>623</v>
      </c>
      <c r="M482" s="865" t="s">
        <v>591</v>
      </c>
      <c r="N482" s="865" t="s">
        <v>618</v>
      </c>
      <c r="O482" s="866">
        <v>2004.0</v>
      </c>
      <c r="P482" s="865" t="s">
        <v>593</v>
      </c>
      <c r="Q482" s="865" t="s">
        <v>70</v>
      </c>
      <c r="R482" s="867">
        <v>1591917.419</v>
      </c>
      <c r="S482" s="867">
        <v>1704554.961</v>
      </c>
      <c r="T482" s="868">
        <v>1477419.284</v>
      </c>
      <c r="AN482" s="882"/>
      <c r="AO482" s="882"/>
      <c r="AP482" s="882"/>
      <c r="AY482" s="882"/>
      <c r="AZ482" s="882"/>
      <c r="BA482" s="882"/>
      <c r="BJ482" s="882"/>
      <c r="BK482" s="882"/>
      <c r="BL482" s="882"/>
      <c r="BU482" s="882"/>
      <c r="BV482" s="882"/>
      <c r="BW482" s="882"/>
      <c r="CF482" s="882"/>
      <c r="CG482" s="882"/>
      <c r="CH482" s="882"/>
      <c r="CI482" s="530"/>
    </row>
    <row r="483">
      <c r="A483" s="857"/>
      <c r="B483" s="865" t="s">
        <v>623</v>
      </c>
      <c r="C483" s="865" t="s">
        <v>591</v>
      </c>
      <c r="D483" s="865" t="s">
        <v>620</v>
      </c>
      <c r="E483" s="866">
        <v>2019.0</v>
      </c>
      <c r="F483" s="865" t="s">
        <v>593</v>
      </c>
      <c r="G483" s="865" t="s">
        <v>70</v>
      </c>
      <c r="H483" s="867">
        <v>2561891.699</v>
      </c>
      <c r="I483" s="867">
        <v>2993409.214</v>
      </c>
      <c r="J483" s="868">
        <v>2155568.042</v>
      </c>
      <c r="K483" s="50"/>
      <c r="L483" s="869" t="s">
        <v>623</v>
      </c>
      <c r="M483" s="865" t="s">
        <v>591</v>
      </c>
      <c r="N483" s="865" t="s">
        <v>620</v>
      </c>
      <c r="O483" s="866">
        <v>2004.0</v>
      </c>
      <c r="P483" s="865" t="s">
        <v>593</v>
      </c>
      <c r="Q483" s="865" t="s">
        <v>70</v>
      </c>
      <c r="R483" s="867">
        <v>1904634.177</v>
      </c>
      <c r="S483" s="867">
        <v>2039426.343</v>
      </c>
      <c r="T483" s="868">
        <v>1767680.147</v>
      </c>
      <c r="AN483" s="882"/>
      <c r="AO483" s="882"/>
      <c r="AP483" s="882"/>
      <c r="AY483" s="882"/>
      <c r="AZ483" s="882"/>
      <c r="BA483" s="882"/>
      <c r="BJ483" s="882"/>
      <c r="BK483" s="882"/>
      <c r="BL483" s="882"/>
      <c r="BU483" s="882"/>
      <c r="BV483" s="882"/>
      <c r="BW483" s="882"/>
      <c r="CF483" s="882"/>
      <c r="CG483" s="882"/>
      <c r="CH483" s="882"/>
      <c r="CI483" s="530"/>
    </row>
    <row r="484">
      <c r="A484" s="857"/>
      <c r="B484" s="865" t="s">
        <v>623</v>
      </c>
      <c r="C484" s="865" t="s">
        <v>591</v>
      </c>
      <c r="D484" s="865" t="s">
        <v>622</v>
      </c>
      <c r="E484" s="866">
        <v>2019.0</v>
      </c>
      <c r="F484" s="865" t="s">
        <v>593</v>
      </c>
      <c r="G484" s="865" t="s">
        <v>70</v>
      </c>
      <c r="H484" s="867">
        <v>2481268.686</v>
      </c>
      <c r="I484" s="867">
        <v>2899150.927</v>
      </c>
      <c r="J484" s="868">
        <v>2087570.546</v>
      </c>
      <c r="K484" s="50"/>
      <c r="L484" s="869" t="s">
        <v>623</v>
      </c>
      <c r="M484" s="865" t="s">
        <v>591</v>
      </c>
      <c r="N484" s="865" t="s">
        <v>622</v>
      </c>
      <c r="O484" s="866">
        <v>2004.0</v>
      </c>
      <c r="P484" s="865" t="s">
        <v>593</v>
      </c>
      <c r="Q484" s="865" t="s">
        <v>70</v>
      </c>
      <c r="R484" s="867">
        <v>1800726.264</v>
      </c>
      <c r="S484" s="867">
        <v>1928138.262</v>
      </c>
      <c r="T484" s="868">
        <v>1671209.622</v>
      </c>
      <c r="AN484" s="882"/>
      <c r="AO484" s="882"/>
      <c r="AP484" s="882"/>
      <c r="AY484" s="882"/>
      <c r="AZ484" s="882"/>
      <c r="BA484" s="882"/>
      <c r="BJ484" s="882"/>
      <c r="BK484" s="882"/>
      <c r="BL484" s="882"/>
      <c r="BU484" s="882"/>
      <c r="BV484" s="882"/>
      <c r="BW484" s="882"/>
      <c r="CF484" s="882"/>
      <c r="CG484" s="882"/>
      <c r="CH484" s="882"/>
      <c r="CI484" s="530"/>
    </row>
    <row r="485">
      <c r="A485" s="857"/>
      <c r="B485" s="865" t="s">
        <v>623</v>
      </c>
      <c r="C485" s="865" t="s">
        <v>591</v>
      </c>
      <c r="D485" s="865" t="s">
        <v>624</v>
      </c>
      <c r="E485" s="866">
        <v>2019.0</v>
      </c>
      <c r="F485" s="865" t="s">
        <v>593</v>
      </c>
      <c r="G485" s="865" t="s">
        <v>70</v>
      </c>
      <c r="H485" s="867">
        <v>504881.3701</v>
      </c>
      <c r="I485" s="867">
        <v>589922.1056</v>
      </c>
      <c r="J485" s="868">
        <v>424805.6804</v>
      </c>
      <c r="K485" s="50"/>
      <c r="L485" s="869" t="s">
        <v>623</v>
      </c>
      <c r="M485" s="865" t="s">
        <v>591</v>
      </c>
      <c r="N485" s="865" t="s">
        <v>624</v>
      </c>
      <c r="O485" s="866">
        <v>2004.0</v>
      </c>
      <c r="P485" s="865" t="s">
        <v>593</v>
      </c>
      <c r="Q485" s="865" t="s">
        <v>70</v>
      </c>
      <c r="R485" s="867">
        <v>368902.9555</v>
      </c>
      <c r="S485" s="867">
        <v>395010.4512</v>
      </c>
      <c r="T485" s="868">
        <v>342376.735</v>
      </c>
      <c r="AN485" s="882"/>
      <c r="AO485" s="882"/>
      <c r="AP485" s="882"/>
      <c r="AY485" s="882"/>
      <c r="AZ485" s="882"/>
      <c r="BA485" s="882"/>
      <c r="BJ485" s="882"/>
      <c r="BK485" s="882"/>
      <c r="BL485" s="882"/>
      <c r="BU485" s="882"/>
      <c r="BV485" s="882"/>
      <c r="BW485" s="882"/>
      <c r="CF485" s="882"/>
      <c r="CG485" s="882"/>
      <c r="CH485" s="882"/>
      <c r="CI485" s="530"/>
    </row>
    <row r="486">
      <c r="A486" s="857"/>
      <c r="B486" s="865" t="s">
        <v>623</v>
      </c>
      <c r="C486" s="865" t="s">
        <v>591</v>
      </c>
      <c r="D486" s="865" t="s">
        <v>625</v>
      </c>
      <c r="E486" s="866">
        <v>2019.0</v>
      </c>
      <c r="F486" s="865" t="s">
        <v>593</v>
      </c>
      <c r="G486" s="865" t="s">
        <v>70</v>
      </c>
      <c r="H486" s="867">
        <v>1976286.81</v>
      </c>
      <c r="I486" s="867">
        <v>2309166.757</v>
      </c>
      <c r="J486" s="868">
        <v>1662841.833</v>
      </c>
      <c r="K486" s="50"/>
      <c r="L486" s="869" t="s">
        <v>623</v>
      </c>
      <c r="M486" s="865" t="s">
        <v>591</v>
      </c>
      <c r="N486" s="865" t="s">
        <v>625</v>
      </c>
      <c r="O486" s="866">
        <v>2004.0</v>
      </c>
      <c r="P486" s="865" t="s">
        <v>593</v>
      </c>
      <c r="Q486" s="865" t="s">
        <v>70</v>
      </c>
      <c r="R486" s="867">
        <v>1431795.459</v>
      </c>
      <c r="S486" s="867">
        <v>1533124.53</v>
      </c>
      <c r="T486" s="868">
        <v>1328841.222</v>
      </c>
      <c r="AN486" s="882"/>
      <c r="AO486" s="882"/>
      <c r="AP486" s="882"/>
      <c r="AY486" s="882"/>
      <c r="AZ486" s="882"/>
      <c r="BA486" s="882"/>
      <c r="BJ486" s="882"/>
      <c r="BK486" s="882"/>
      <c r="BL486" s="882"/>
      <c r="BU486" s="882"/>
      <c r="BV486" s="882"/>
      <c r="BW486" s="882"/>
      <c r="CF486" s="882"/>
      <c r="CG486" s="882"/>
      <c r="CH486" s="882"/>
      <c r="CI486" s="530"/>
    </row>
    <row r="487">
      <c r="A487" s="857"/>
      <c r="B487" s="865" t="s">
        <v>623</v>
      </c>
      <c r="C487" s="865" t="s">
        <v>591</v>
      </c>
      <c r="D487" s="865" t="s">
        <v>627</v>
      </c>
      <c r="E487" s="866">
        <v>2019.0</v>
      </c>
      <c r="F487" s="865" t="s">
        <v>593</v>
      </c>
      <c r="G487" s="865" t="s">
        <v>70</v>
      </c>
      <c r="H487" s="867">
        <v>394676.6344</v>
      </c>
      <c r="I487" s="867">
        <v>461154.8079</v>
      </c>
      <c r="J487" s="868">
        <v>332079.7442</v>
      </c>
      <c r="K487" s="50"/>
      <c r="L487" s="869" t="s">
        <v>623</v>
      </c>
      <c r="M487" s="865" t="s">
        <v>591</v>
      </c>
      <c r="N487" s="865" t="s">
        <v>627</v>
      </c>
      <c r="O487" s="866">
        <v>2004.0</v>
      </c>
      <c r="P487" s="865" t="s">
        <v>593</v>
      </c>
      <c r="Q487" s="865" t="s">
        <v>70</v>
      </c>
      <c r="R487" s="867">
        <v>312757.5936</v>
      </c>
      <c r="S487" s="867">
        <v>334891.6465</v>
      </c>
      <c r="T487" s="868">
        <v>290268.5439</v>
      </c>
      <c r="AN487" s="882"/>
      <c r="AO487" s="882"/>
      <c r="AP487" s="882"/>
      <c r="AY487" s="882"/>
      <c r="AZ487" s="882"/>
      <c r="BA487" s="882"/>
      <c r="BJ487" s="882"/>
      <c r="BK487" s="882"/>
      <c r="BL487" s="882"/>
      <c r="BU487" s="882"/>
      <c r="BV487" s="882"/>
      <c r="BW487" s="882"/>
      <c r="CF487" s="882"/>
      <c r="CG487" s="882"/>
      <c r="CH487" s="882"/>
      <c r="CI487" s="530"/>
    </row>
    <row r="488">
      <c r="A488" s="857"/>
      <c r="B488" s="865" t="s">
        <v>623</v>
      </c>
      <c r="C488" s="865" t="s">
        <v>591</v>
      </c>
      <c r="D488" s="865" t="s">
        <v>629</v>
      </c>
      <c r="E488" s="866">
        <v>2019.0</v>
      </c>
      <c r="F488" s="865" t="s">
        <v>593</v>
      </c>
      <c r="G488" s="865" t="s">
        <v>70</v>
      </c>
      <c r="H488" s="867">
        <v>1471742.612</v>
      </c>
      <c r="I488" s="867">
        <v>1719605.774</v>
      </c>
      <c r="J488" s="868">
        <v>1238224.037</v>
      </c>
      <c r="K488" s="50"/>
      <c r="L488" s="869" t="s">
        <v>623</v>
      </c>
      <c r="M488" s="865" t="s">
        <v>591</v>
      </c>
      <c r="N488" s="865" t="s">
        <v>629</v>
      </c>
      <c r="O488" s="866">
        <v>2004.0</v>
      </c>
      <c r="P488" s="865" t="s">
        <v>593</v>
      </c>
      <c r="Q488" s="865" t="s">
        <v>70</v>
      </c>
      <c r="R488" s="867">
        <v>1102745.61</v>
      </c>
      <c r="S488" s="867">
        <v>1180771.363</v>
      </c>
      <c r="T488" s="868">
        <v>1023430.996</v>
      </c>
      <c r="AN488" s="882"/>
      <c r="AO488" s="882"/>
      <c r="AP488" s="882"/>
      <c r="AY488" s="882"/>
      <c r="AZ488" s="882"/>
      <c r="BA488" s="882"/>
      <c r="BJ488" s="882"/>
      <c r="BK488" s="882"/>
      <c r="BL488" s="882"/>
      <c r="BU488" s="882"/>
      <c r="BV488" s="882"/>
      <c r="BW488" s="882"/>
      <c r="CF488" s="882"/>
      <c r="CG488" s="882"/>
      <c r="CH488" s="882"/>
      <c r="CI488" s="530"/>
    </row>
    <row r="489">
      <c r="A489" s="857"/>
      <c r="B489" s="865" t="s">
        <v>623</v>
      </c>
      <c r="C489" s="865" t="s">
        <v>591</v>
      </c>
      <c r="D489" s="865" t="s">
        <v>631</v>
      </c>
      <c r="E489" s="866">
        <v>2019.0</v>
      </c>
      <c r="F489" s="865" t="s">
        <v>593</v>
      </c>
      <c r="G489" s="865" t="s">
        <v>70</v>
      </c>
      <c r="H489" s="867">
        <v>335493.4073</v>
      </c>
      <c r="I489" s="867">
        <v>392002.9317</v>
      </c>
      <c r="J489" s="868">
        <v>282283.1533</v>
      </c>
      <c r="K489" s="50"/>
      <c r="L489" s="869" t="s">
        <v>623</v>
      </c>
      <c r="M489" s="865" t="s">
        <v>591</v>
      </c>
      <c r="N489" s="865" t="s">
        <v>631</v>
      </c>
      <c r="O489" s="866">
        <v>2004.0</v>
      </c>
      <c r="P489" s="865" t="s">
        <v>593</v>
      </c>
      <c r="Q489" s="865" t="s">
        <v>70</v>
      </c>
      <c r="R489" s="867">
        <v>259999.7696</v>
      </c>
      <c r="S489" s="867">
        <v>278400.1179</v>
      </c>
      <c r="T489" s="868">
        <v>241304.3074</v>
      </c>
      <c r="AN489" s="882"/>
      <c r="AO489" s="882"/>
      <c r="AP489" s="882"/>
      <c r="AY489" s="882"/>
      <c r="AZ489" s="882"/>
      <c r="BA489" s="882"/>
      <c r="BJ489" s="882"/>
      <c r="BK489" s="882"/>
      <c r="BL489" s="882"/>
      <c r="BU489" s="882"/>
      <c r="BV489" s="882"/>
      <c r="BW489" s="882"/>
      <c r="CF489" s="882"/>
      <c r="CG489" s="882"/>
      <c r="CH489" s="882"/>
      <c r="CI489" s="530"/>
    </row>
    <row r="490">
      <c r="A490" s="857"/>
      <c r="B490" s="865" t="s">
        <v>623</v>
      </c>
      <c r="C490" s="865" t="s">
        <v>591</v>
      </c>
      <c r="D490" s="865" t="s">
        <v>633</v>
      </c>
      <c r="E490" s="866">
        <v>2019.0</v>
      </c>
      <c r="F490" s="865" t="s">
        <v>593</v>
      </c>
      <c r="G490" s="865" t="s">
        <v>70</v>
      </c>
      <c r="H490" s="867">
        <v>289712.473</v>
      </c>
      <c r="I490" s="867">
        <v>338510.7912</v>
      </c>
      <c r="J490" s="868">
        <v>243763.2115</v>
      </c>
      <c r="K490" s="50"/>
      <c r="L490" s="869" t="s">
        <v>623</v>
      </c>
      <c r="M490" s="865" t="s">
        <v>591</v>
      </c>
      <c r="N490" s="865" t="s">
        <v>633</v>
      </c>
      <c r="O490" s="866">
        <v>2004.0</v>
      </c>
      <c r="P490" s="865" t="s">
        <v>593</v>
      </c>
      <c r="Q490" s="865" t="s">
        <v>70</v>
      </c>
      <c r="R490" s="867">
        <v>217229.8145</v>
      </c>
      <c r="S490" s="867">
        <v>232603.306</v>
      </c>
      <c r="T490" s="868">
        <v>201609.7554</v>
      </c>
      <c r="AN490" s="882"/>
      <c r="AO490" s="882"/>
      <c r="AP490" s="882"/>
      <c r="AY490" s="882"/>
      <c r="AZ490" s="882"/>
      <c r="BA490" s="882"/>
      <c r="BJ490" s="882"/>
      <c r="BK490" s="882"/>
      <c r="BL490" s="882"/>
      <c r="BU490" s="882"/>
      <c r="BV490" s="882"/>
      <c r="BW490" s="882"/>
      <c r="CF490" s="882"/>
      <c r="CG490" s="882"/>
      <c r="CH490" s="882"/>
      <c r="CI490" s="530"/>
    </row>
    <row r="491">
      <c r="A491" s="857"/>
      <c r="B491" s="865" t="s">
        <v>623</v>
      </c>
      <c r="C491" s="865" t="s">
        <v>591</v>
      </c>
      <c r="D491" s="865" t="s">
        <v>635</v>
      </c>
      <c r="E491" s="866">
        <v>2019.0</v>
      </c>
      <c r="F491" s="865" t="s">
        <v>593</v>
      </c>
      <c r="G491" s="865" t="s">
        <v>70</v>
      </c>
      <c r="H491" s="867">
        <v>246677.7299</v>
      </c>
      <c r="I491" s="867">
        <v>288227.4024</v>
      </c>
      <c r="J491" s="868">
        <v>207553.9069</v>
      </c>
      <c r="K491" s="50"/>
      <c r="L491" s="869" t="s">
        <v>623</v>
      </c>
      <c r="M491" s="865" t="s">
        <v>591</v>
      </c>
      <c r="N491" s="865" t="s">
        <v>635</v>
      </c>
      <c r="O491" s="866">
        <v>2004.0</v>
      </c>
      <c r="P491" s="865" t="s">
        <v>593</v>
      </c>
      <c r="Q491" s="865" t="s">
        <v>70</v>
      </c>
      <c r="R491" s="867">
        <v>173706.6711</v>
      </c>
      <c r="S491" s="867">
        <v>186000.0022</v>
      </c>
      <c r="T491" s="868">
        <v>161216.1735</v>
      </c>
      <c r="AN491" s="882"/>
      <c r="AO491" s="882"/>
      <c r="AP491" s="882"/>
      <c r="AY491" s="882"/>
      <c r="AZ491" s="882"/>
      <c r="BA491" s="882"/>
      <c r="BJ491" s="882"/>
      <c r="BK491" s="882"/>
      <c r="BL491" s="882"/>
      <c r="BU491" s="882"/>
      <c r="BV491" s="882"/>
      <c r="BW491" s="882"/>
      <c r="CF491" s="882"/>
      <c r="CG491" s="882"/>
      <c r="CH491" s="882"/>
      <c r="CI491" s="530"/>
    </row>
    <row r="492">
      <c r="A492" s="857"/>
      <c r="B492" s="865" t="s">
        <v>623</v>
      </c>
      <c r="C492" s="865" t="s">
        <v>591</v>
      </c>
      <c r="D492" s="865" t="s">
        <v>637</v>
      </c>
      <c r="E492" s="866">
        <v>2019.0</v>
      </c>
      <c r="F492" s="865" t="s">
        <v>593</v>
      </c>
      <c r="G492" s="865" t="s">
        <v>70</v>
      </c>
      <c r="H492" s="867">
        <v>205122.7537</v>
      </c>
      <c r="I492" s="867">
        <v>239673.028</v>
      </c>
      <c r="J492" s="868">
        <v>172589.6738</v>
      </c>
      <c r="K492" s="50"/>
      <c r="L492" s="869" t="s">
        <v>623</v>
      </c>
      <c r="M492" s="865" t="s">
        <v>591</v>
      </c>
      <c r="N492" s="865" t="s">
        <v>637</v>
      </c>
      <c r="O492" s="866">
        <v>2004.0</v>
      </c>
      <c r="P492" s="865" t="s">
        <v>593</v>
      </c>
      <c r="Q492" s="865" t="s">
        <v>70</v>
      </c>
      <c r="R492" s="867">
        <v>139034.7068</v>
      </c>
      <c r="S492" s="867">
        <v>148874.281</v>
      </c>
      <c r="T492" s="868">
        <v>129037.3206</v>
      </c>
      <c r="AN492" s="882"/>
      <c r="AO492" s="882"/>
      <c r="AP492" s="882"/>
      <c r="AY492" s="882"/>
      <c r="AZ492" s="882"/>
      <c r="BA492" s="882"/>
      <c r="BJ492" s="882"/>
      <c r="BK492" s="882"/>
      <c r="BL492" s="882"/>
      <c r="BU492" s="882"/>
      <c r="BV492" s="882"/>
      <c r="BW492" s="882"/>
      <c r="CF492" s="882"/>
      <c r="CG492" s="882"/>
      <c r="CH492" s="882"/>
      <c r="CI492" s="530"/>
    </row>
    <row r="493">
      <c r="A493" s="857"/>
      <c r="B493" s="865" t="s">
        <v>623</v>
      </c>
      <c r="C493" s="865" t="s">
        <v>591</v>
      </c>
      <c r="D493" s="865" t="s">
        <v>639</v>
      </c>
      <c r="E493" s="866">
        <v>2019.0</v>
      </c>
      <c r="F493" s="865" t="s">
        <v>593</v>
      </c>
      <c r="G493" s="865" t="s">
        <v>70</v>
      </c>
      <c r="H493" s="867">
        <v>1977328.492</v>
      </c>
      <c r="I493" s="867">
        <v>2310339.773</v>
      </c>
      <c r="J493" s="868">
        <v>1663589.576</v>
      </c>
      <c r="K493" s="50"/>
      <c r="L493" s="869" t="s">
        <v>623</v>
      </c>
      <c r="M493" s="865" t="s">
        <v>591</v>
      </c>
      <c r="N493" s="865" t="s">
        <v>639</v>
      </c>
      <c r="O493" s="866">
        <v>2004.0</v>
      </c>
      <c r="P493" s="865" t="s">
        <v>593</v>
      </c>
      <c r="Q493" s="865" t="s">
        <v>70</v>
      </c>
      <c r="R493" s="867">
        <v>1509875.53</v>
      </c>
      <c r="S493" s="867">
        <v>1616708.124</v>
      </c>
      <c r="T493" s="868">
        <v>1401278.231</v>
      </c>
      <c r="AN493" s="882"/>
      <c r="AO493" s="882"/>
      <c r="AP493" s="882"/>
      <c r="AY493" s="882"/>
      <c r="AZ493" s="882"/>
      <c r="BA493" s="882"/>
      <c r="BJ493" s="882"/>
      <c r="BK493" s="882"/>
      <c r="BL493" s="882"/>
      <c r="BU493" s="882"/>
      <c r="BV493" s="882"/>
      <c r="BW493" s="882"/>
      <c r="CF493" s="882"/>
      <c r="CG493" s="882"/>
      <c r="CH493" s="882"/>
      <c r="CI493" s="530"/>
    </row>
    <row r="494">
      <c r="A494" s="857"/>
      <c r="B494" s="865" t="s">
        <v>623</v>
      </c>
      <c r="C494" s="865" t="s">
        <v>591</v>
      </c>
      <c r="D494" s="865" t="s">
        <v>641</v>
      </c>
      <c r="E494" s="866">
        <v>2019.0</v>
      </c>
      <c r="F494" s="865" t="s">
        <v>593</v>
      </c>
      <c r="G494" s="865" t="s">
        <v>70</v>
      </c>
      <c r="H494" s="867">
        <v>731960.0713</v>
      </c>
      <c r="I494" s="867">
        <v>855249.2765</v>
      </c>
      <c r="J494" s="868">
        <v>615869.023</v>
      </c>
      <c r="K494" s="50"/>
      <c r="L494" s="869" t="s">
        <v>623</v>
      </c>
      <c r="M494" s="865" t="s">
        <v>591</v>
      </c>
      <c r="N494" s="865" t="s">
        <v>641</v>
      </c>
      <c r="O494" s="866">
        <v>2004.0</v>
      </c>
      <c r="P494" s="865" t="s">
        <v>593</v>
      </c>
      <c r="Q494" s="865" t="s">
        <v>70</v>
      </c>
      <c r="R494" s="867">
        <v>577592.1562</v>
      </c>
      <c r="S494" s="867">
        <v>618468.7187</v>
      </c>
      <c r="T494" s="868">
        <v>536059.9952</v>
      </c>
      <c r="AN494" s="882"/>
      <c r="AO494" s="882"/>
      <c r="AP494" s="882"/>
      <c r="AY494" s="882"/>
      <c r="AZ494" s="882"/>
      <c r="BA494" s="882"/>
      <c r="BJ494" s="882"/>
      <c r="BK494" s="882"/>
      <c r="BL494" s="882"/>
      <c r="BU494" s="882"/>
      <c r="BV494" s="882"/>
      <c r="BW494" s="882"/>
      <c r="CF494" s="882"/>
      <c r="CG494" s="882"/>
      <c r="CH494" s="882"/>
      <c r="CI494" s="530"/>
    </row>
    <row r="495">
      <c r="A495" s="857"/>
      <c r="B495" s="865" t="s">
        <v>623</v>
      </c>
      <c r="C495" s="865" t="s">
        <v>591</v>
      </c>
      <c r="D495" s="865" t="s">
        <v>643</v>
      </c>
      <c r="E495" s="866">
        <v>2019.0</v>
      </c>
      <c r="F495" s="865" t="s">
        <v>593</v>
      </c>
      <c r="G495" s="865" t="s">
        <v>70</v>
      </c>
      <c r="H495" s="867">
        <v>165501.3538</v>
      </c>
      <c r="I495" s="867">
        <v>193377.9159</v>
      </c>
      <c r="J495" s="868">
        <v>139252.346</v>
      </c>
      <c r="K495" s="50"/>
      <c r="L495" s="869" t="s">
        <v>623</v>
      </c>
      <c r="M495" s="865" t="s">
        <v>591</v>
      </c>
      <c r="N495" s="865" t="s">
        <v>643</v>
      </c>
      <c r="O495" s="866">
        <v>2004.0</v>
      </c>
      <c r="P495" s="865" t="s">
        <v>593</v>
      </c>
      <c r="Q495" s="865" t="s">
        <v>70</v>
      </c>
      <c r="R495" s="867">
        <v>99552.22269</v>
      </c>
      <c r="S495" s="867">
        <v>106597.5965</v>
      </c>
      <c r="T495" s="868">
        <v>92393.85169</v>
      </c>
      <c r="AN495" s="882"/>
      <c r="AO495" s="882"/>
      <c r="AP495" s="882"/>
      <c r="AY495" s="882"/>
      <c r="AZ495" s="882"/>
      <c r="BA495" s="882"/>
      <c r="BJ495" s="882"/>
      <c r="BK495" s="882"/>
      <c r="BL495" s="882"/>
      <c r="BU495" s="882"/>
      <c r="BV495" s="882"/>
      <c r="BW495" s="882"/>
      <c r="CF495" s="882"/>
      <c r="CG495" s="882"/>
      <c r="CH495" s="882"/>
      <c r="CI495" s="530"/>
    </row>
    <row r="496">
      <c r="A496" s="857"/>
      <c r="B496" s="865" t="s">
        <v>623</v>
      </c>
      <c r="C496" s="865" t="s">
        <v>591</v>
      </c>
      <c r="D496" s="865" t="s">
        <v>645</v>
      </c>
      <c r="E496" s="866">
        <v>2019.0</v>
      </c>
      <c r="F496" s="865" t="s">
        <v>593</v>
      </c>
      <c r="G496" s="865" t="s">
        <v>70</v>
      </c>
      <c r="H496" s="867">
        <v>437256.0231</v>
      </c>
      <c r="I496" s="867">
        <v>510906.1438</v>
      </c>
      <c r="J496" s="868">
        <v>367905.915</v>
      </c>
      <c r="K496" s="50"/>
      <c r="L496" s="869" t="s">
        <v>623</v>
      </c>
      <c r="M496" s="865" t="s">
        <v>591</v>
      </c>
      <c r="N496" s="865" t="s">
        <v>645</v>
      </c>
      <c r="O496" s="866">
        <v>2004.0</v>
      </c>
      <c r="P496" s="865" t="s">
        <v>593</v>
      </c>
      <c r="Q496" s="865" t="s">
        <v>70</v>
      </c>
      <c r="R496" s="867">
        <v>278489.2125</v>
      </c>
      <c r="S496" s="867">
        <v>298198.0704</v>
      </c>
      <c r="T496" s="868">
        <v>258464.2543</v>
      </c>
      <c r="AN496" s="882"/>
      <c r="AO496" s="882"/>
      <c r="AP496" s="882"/>
      <c r="AY496" s="882"/>
      <c r="AZ496" s="882"/>
      <c r="BA496" s="882"/>
      <c r="BJ496" s="882"/>
      <c r="BK496" s="882"/>
      <c r="BL496" s="882"/>
      <c r="BU496" s="882"/>
      <c r="BV496" s="882"/>
      <c r="BW496" s="882"/>
      <c r="CF496" s="882"/>
      <c r="CG496" s="882"/>
      <c r="CH496" s="882"/>
      <c r="CI496" s="530"/>
    </row>
    <row r="497">
      <c r="A497" s="857"/>
      <c r="B497" s="865" t="s">
        <v>623</v>
      </c>
      <c r="C497" s="865" t="s">
        <v>591</v>
      </c>
      <c r="D497" s="865" t="s">
        <v>604</v>
      </c>
      <c r="E497" s="866">
        <v>2019.0</v>
      </c>
      <c r="F497" s="865" t="s">
        <v>593</v>
      </c>
      <c r="G497" s="865" t="s">
        <v>70</v>
      </c>
      <c r="H497" s="867">
        <v>1391921.069</v>
      </c>
      <c r="I497" s="867">
        <v>1626372.167</v>
      </c>
      <c r="J497" s="868">
        <v>1171158.24</v>
      </c>
      <c r="K497" s="50"/>
      <c r="L497" s="869" t="s">
        <v>623</v>
      </c>
      <c r="M497" s="865" t="s">
        <v>591</v>
      </c>
      <c r="N497" s="865" t="s">
        <v>604</v>
      </c>
      <c r="O497" s="866">
        <v>2004.0</v>
      </c>
      <c r="P497" s="865" t="s">
        <v>593</v>
      </c>
      <c r="Q497" s="865" t="s">
        <v>70</v>
      </c>
      <c r="R497" s="867">
        <v>1076849.513</v>
      </c>
      <c r="S497" s="867">
        <v>1153058.835</v>
      </c>
      <c r="T497" s="868">
        <v>999417.9087</v>
      </c>
      <c r="AN497" s="882"/>
      <c r="AO497" s="882"/>
      <c r="AP497" s="882"/>
      <c r="AY497" s="882"/>
      <c r="AZ497" s="882"/>
      <c r="BA497" s="882"/>
      <c r="BJ497" s="882"/>
      <c r="BK497" s="882"/>
      <c r="BL497" s="882"/>
      <c r="BU497" s="882"/>
      <c r="BV497" s="882"/>
      <c r="BW497" s="882"/>
      <c r="CF497" s="882"/>
      <c r="CG497" s="882"/>
      <c r="CH497" s="882"/>
      <c r="CI497" s="530"/>
    </row>
    <row r="498">
      <c r="A498" s="857"/>
      <c r="B498" s="865" t="s">
        <v>623</v>
      </c>
      <c r="C498" s="865" t="s">
        <v>591</v>
      </c>
      <c r="D498" s="865" t="s">
        <v>647</v>
      </c>
      <c r="E498" s="866">
        <v>2019.0</v>
      </c>
      <c r="F498" s="865" t="s">
        <v>593</v>
      </c>
      <c r="G498" s="865" t="s">
        <v>70</v>
      </c>
      <c r="H498" s="867">
        <v>339116.1937</v>
      </c>
      <c r="I498" s="867">
        <v>396228.3621</v>
      </c>
      <c r="J498" s="868">
        <v>285309.2782</v>
      </c>
      <c r="K498" s="50"/>
      <c r="L498" s="869" t="s">
        <v>623</v>
      </c>
      <c r="M498" s="865" t="s">
        <v>591</v>
      </c>
      <c r="N498" s="865" t="s">
        <v>647</v>
      </c>
      <c r="O498" s="866">
        <v>2004.0</v>
      </c>
      <c r="P498" s="865" t="s">
        <v>593</v>
      </c>
      <c r="Q498" s="865" t="s">
        <v>70</v>
      </c>
      <c r="R498" s="867">
        <v>229518.23</v>
      </c>
      <c r="S498" s="867">
        <v>245757.9978</v>
      </c>
      <c r="T498" s="868">
        <v>213010.2071</v>
      </c>
      <c r="AN498" s="882"/>
      <c r="AO498" s="882"/>
      <c r="AP498" s="882"/>
      <c r="AY498" s="882"/>
      <c r="AZ498" s="882"/>
      <c r="BA498" s="882"/>
      <c r="BJ498" s="882"/>
      <c r="BK498" s="882"/>
      <c r="BL498" s="882"/>
      <c r="BU498" s="882"/>
      <c r="BV498" s="882"/>
      <c r="BW498" s="882"/>
      <c r="CF498" s="882"/>
      <c r="CG498" s="882"/>
      <c r="CH498" s="882"/>
      <c r="CI498" s="530"/>
    </row>
    <row r="499">
      <c r="A499" s="857"/>
      <c r="B499" s="865" t="s">
        <v>623</v>
      </c>
      <c r="C499" s="865" t="s">
        <v>591</v>
      </c>
      <c r="D499" s="865" t="s">
        <v>649</v>
      </c>
      <c r="E499" s="866">
        <v>2019.0</v>
      </c>
      <c r="F499" s="865" t="s">
        <v>593</v>
      </c>
      <c r="G499" s="865" t="s">
        <v>70</v>
      </c>
      <c r="H499" s="867">
        <v>124405.7717</v>
      </c>
      <c r="I499" s="867">
        <v>145360.3146</v>
      </c>
      <c r="J499" s="868">
        <v>104674.6456</v>
      </c>
      <c r="K499" s="50"/>
      <c r="L499" s="869" t="s">
        <v>623</v>
      </c>
      <c r="M499" s="865" t="s">
        <v>591</v>
      </c>
      <c r="N499" s="865" t="s">
        <v>649</v>
      </c>
      <c r="O499" s="866">
        <v>2004.0</v>
      </c>
      <c r="P499" s="865" t="s">
        <v>593</v>
      </c>
      <c r="Q499" s="865" t="s">
        <v>70</v>
      </c>
      <c r="R499" s="867">
        <v>75849.99394</v>
      </c>
      <c r="S499" s="867">
        <v>81217.94603</v>
      </c>
      <c r="T499" s="868">
        <v>70395.94799</v>
      </c>
      <c r="AN499" s="882"/>
      <c r="AO499" s="882"/>
      <c r="AP499" s="882"/>
      <c r="AY499" s="882"/>
      <c r="AZ499" s="882"/>
      <c r="BA499" s="882"/>
      <c r="BJ499" s="882"/>
      <c r="BK499" s="882"/>
      <c r="BL499" s="882"/>
      <c r="BU499" s="882"/>
      <c r="BV499" s="882"/>
      <c r="BW499" s="882"/>
      <c r="CF499" s="882"/>
      <c r="CG499" s="882"/>
      <c r="CH499" s="882"/>
      <c r="CI499" s="530"/>
    </row>
    <row r="500">
      <c r="A500" s="857"/>
      <c r="B500" s="865" t="s">
        <v>623</v>
      </c>
      <c r="C500" s="865" t="s">
        <v>591</v>
      </c>
      <c r="D500" s="865" t="s">
        <v>651</v>
      </c>
      <c r="E500" s="866">
        <v>2019.0</v>
      </c>
      <c r="F500" s="865" t="s">
        <v>593</v>
      </c>
      <c r="G500" s="865" t="s">
        <v>70</v>
      </c>
      <c r="H500" s="867">
        <v>90409.04611</v>
      </c>
      <c r="I500" s="867">
        <v>105637.2804</v>
      </c>
      <c r="J500" s="868">
        <v>76069.90201</v>
      </c>
      <c r="K500" s="50"/>
      <c r="L500" s="869" t="s">
        <v>623</v>
      </c>
      <c r="M500" s="865" t="s">
        <v>591</v>
      </c>
      <c r="N500" s="865" t="s">
        <v>651</v>
      </c>
      <c r="O500" s="866">
        <v>2004.0</v>
      </c>
      <c r="P500" s="865" t="s">
        <v>593</v>
      </c>
      <c r="Q500" s="865" t="s">
        <v>70</v>
      </c>
      <c r="R500" s="867">
        <v>59448.12189</v>
      </c>
      <c r="S500" s="867">
        <v>63655.3031</v>
      </c>
      <c r="T500" s="868">
        <v>55173.46382</v>
      </c>
      <c r="AN500" s="882"/>
      <c r="AO500" s="882"/>
      <c r="AP500" s="882"/>
      <c r="AY500" s="882"/>
      <c r="AZ500" s="882"/>
      <c r="BA500" s="882"/>
      <c r="BJ500" s="882"/>
      <c r="BK500" s="882"/>
      <c r="BL500" s="882"/>
      <c r="BU500" s="882"/>
      <c r="BV500" s="882"/>
      <c r="BW500" s="882"/>
      <c r="CF500" s="882"/>
      <c r="CG500" s="882"/>
      <c r="CH500" s="882"/>
      <c r="CI500" s="530"/>
    </row>
    <row r="501">
      <c r="A501" s="857"/>
      <c r="B501" s="865" t="s">
        <v>623</v>
      </c>
      <c r="C501" s="865" t="s">
        <v>591</v>
      </c>
      <c r="D501" s="865" t="s">
        <v>653</v>
      </c>
      <c r="E501" s="866">
        <v>2019.0</v>
      </c>
      <c r="F501" s="865" t="s">
        <v>593</v>
      </c>
      <c r="G501" s="865" t="s">
        <v>70</v>
      </c>
      <c r="H501" s="867">
        <v>56939.85149</v>
      </c>
      <c r="I501" s="867">
        <v>66530.63289</v>
      </c>
      <c r="J501" s="868">
        <v>47909.02138</v>
      </c>
      <c r="K501" s="50"/>
      <c r="L501" s="869" t="s">
        <v>623</v>
      </c>
      <c r="M501" s="865" t="s">
        <v>591</v>
      </c>
      <c r="N501" s="865" t="s">
        <v>653</v>
      </c>
      <c r="O501" s="866">
        <v>2004.0</v>
      </c>
      <c r="P501" s="865" t="s">
        <v>593</v>
      </c>
      <c r="Q501" s="865" t="s">
        <v>70</v>
      </c>
      <c r="R501" s="867">
        <v>43638.874</v>
      </c>
      <c r="S501" s="867">
        <v>46727.22474</v>
      </c>
      <c r="T501" s="868">
        <v>40500.99077</v>
      </c>
      <c r="AN501" s="882"/>
      <c r="AO501" s="882"/>
      <c r="AP501" s="882"/>
      <c r="AY501" s="882"/>
      <c r="AZ501" s="882"/>
      <c r="BA501" s="882"/>
      <c r="BJ501" s="882"/>
      <c r="BK501" s="882"/>
      <c r="BL501" s="882"/>
      <c r="BU501" s="882"/>
      <c r="BV501" s="882"/>
      <c r="BW501" s="882"/>
      <c r="CF501" s="882"/>
      <c r="CG501" s="882"/>
      <c r="CH501" s="882"/>
      <c r="CI501" s="530"/>
    </row>
    <row r="502">
      <c r="A502" s="857"/>
      <c r="B502" s="865" t="s">
        <v>623</v>
      </c>
      <c r="C502" s="865" t="s">
        <v>591</v>
      </c>
      <c r="D502" s="865" t="s">
        <v>655</v>
      </c>
      <c r="E502" s="866">
        <v>2019.0</v>
      </c>
      <c r="F502" s="865" t="s">
        <v>593</v>
      </c>
      <c r="G502" s="865" t="s">
        <v>70</v>
      </c>
      <c r="H502" s="867">
        <v>91371.56204</v>
      </c>
      <c r="I502" s="867">
        <v>106759.8807</v>
      </c>
      <c r="J502" s="868">
        <v>76873.81169</v>
      </c>
      <c r="K502" s="50"/>
      <c r="L502" s="869" t="s">
        <v>623</v>
      </c>
      <c r="M502" s="865" t="s">
        <v>591</v>
      </c>
      <c r="N502" s="865" t="s">
        <v>655</v>
      </c>
      <c r="O502" s="866">
        <v>2004.0</v>
      </c>
      <c r="P502" s="865" t="s">
        <v>593</v>
      </c>
      <c r="Q502" s="865" t="s">
        <v>70</v>
      </c>
      <c r="R502" s="867">
        <v>70398.08233</v>
      </c>
      <c r="S502" s="867">
        <v>75379.16164</v>
      </c>
      <c r="T502" s="868">
        <v>65334.7235</v>
      </c>
      <c r="AN502" s="882"/>
      <c r="AO502" s="882"/>
      <c r="AP502" s="882"/>
      <c r="AY502" s="882"/>
      <c r="AZ502" s="882"/>
      <c r="BA502" s="882"/>
      <c r="BJ502" s="882"/>
      <c r="BK502" s="882"/>
      <c r="BL502" s="882"/>
      <c r="BU502" s="882"/>
      <c r="BV502" s="882"/>
      <c r="BW502" s="882"/>
      <c r="CF502" s="882"/>
      <c r="CG502" s="882"/>
      <c r="CH502" s="882"/>
      <c r="CI502" s="530"/>
    </row>
    <row r="503">
      <c r="A503" s="857"/>
      <c r="B503" s="865" t="s">
        <v>623</v>
      </c>
      <c r="C503" s="865" t="s">
        <v>591</v>
      </c>
      <c r="D503" s="865" t="s">
        <v>657</v>
      </c>
      <c r="E503" s="866">
        <v>2019.0</v>
      </c>
      <c r="F503" s="865" t="s">
        <v>593</v>
      </c>
      <c r="G503" s="865" t="s">
        <v>70</v>
      </c>
      <c r="H503" s="867">
        <v>34428.00946</v>
      </c>
      <c r="I503" s="867">
        <v>40226.96229</v>
      </c>
      <c r="J503" s="868">
        <v>28967.62458</v>
      </c>
      <c r="K503" s="50"/>
      <c r="L503" s="869" t="s">
        <v>623</v>
      </c>
      <c r="M503" s="865" t="s">
        <v>591</v>
      </c>
      <c r="N503" s="865" t="s">
        <v>657</v>
      </c>
      <c r="O503" s="866">
        <v>2004.0</v>
      </c>
      <c r="P503" s="865" t="s">
        <v>593</v>
      </c>
      <c r="Q503" s="865" t="s">
        <v>70</v>
      </c>
      <c r="R503" s="867">
        <v>26758.11956</v>
      </c>
      <c r="S503" s="867">
        <v>28651.80862</v>
      </c>
      <c r="T503" s="868">
        <v>24834.05859</v>
      </c>
      <c r="AN503" s="882"/>
      <c r="AO503" s="882"/>
      <c r="AP503" s="882"/>
      <c r="AY503" s="882"/>
      <c r="AZ503" s="882"/>
      <c r="BA503" s="882"/>
      <c r="BJ503" s="882"/>
      <c r="BK503" s="882"/>
      <c r="BL503" s="882"/>
      <c r="BU503" s="882"/>
      <c r="BV503" s="882"/>
      <c r="BW503" s="882"/>
      <c r="CF503" s="882"/>
      <c r="CG503" s="882"/>
      <c r="CH503" s="882"/>
      <c r="CI503" s="530"/>
    </row>
    <row r="504">
      <c r="A504" s="857"/>
      <c r="B504" s="865" t="s">
        <v>623</v>
      </c>
      <c r="C504" s="865" t="s">
        <v>591</v>
      </c>
      <c r="D504" s="865" t="s">
        <v>659</v>
      </c>
      <c r="E504" s="866">
        <v>2019.0</v>
      </c>
      <c r="F504" s="865" t="s">
        <v>593</v>
      </c>
      <c r="G504" s="865" t="s">
        <v>70</v>
      </c>
      <c r="H504" s="867">
        <v>67347.78815</v>
      </c>
      <c r="I504" s="867">
        <v>78691.65183</v>
      </c>
      <c r="J504" s="868">
        <v>56666.22827</v>
      </c>
      <c r="K504" s="50"/>
      <c r="L504" s="869" t="s">
        <v>623</v>
      </c>
      <c r="M504" s="865" t="s">
        <v>591</v>
      </c>
      <c r="N504" s="865" t="s">
        <v>659</v>
      </c>
      <c r="O504" s="866">
        <v>2004.0</v>
      </c>
      <c r="P504" s="865" t="s">
        <v>593</v>
      </c>
      <c r="Q504" s="865" t="s">
        <v>70</v>
      </c>
      <c r="R504" s="867">
        <v>50577.69055</v>
      </c>
      <c r="S504" s="867">
        <v>54157.10573</v>
      </c>
      <c r="T504" s="868">
        <v>46940.86695</v>
      </c>
      <c r="AN504" s="882"/>
      <c r="AO504" s="882"/>
      <c r="AP504" s="882"/>
      <c r="AY504" s="882"/>
      <c r="AZ504" s="882"/>
      <c r="BA504" s="882"/>
      <c r="BJ504" s="882"/>
      <c r="BK504" s="882"/>
      <c r="BL504" s="882"/>
      <c r="BU504" s="882"/>
      <c r="BV504" s="882"/>
      <c r="BW504" s="882"/>
      <c r="CF504" s="882"/>
      <c r="CG504" s="882"/>
      <c r="CH504" s="882"/>
      <c r="CI504" s="530"/>
    </row>
    <row r="505">
      <c r="A505" s="857"/>
      <c r="B505" s="865" t="s">
        <v>623</v>
      </c>
      <c r="C505" s="865" t="s">
        <v>591</v>
      </c>
      <c r="D505" s="865" t="s">
        <v>661</v>
      </c>
      <c r="E505" s="866">
        <v>2019.0</v>
      </c>
      <c r="F505" s="865" t="s">
        <v>593</v>
      </c>
      <c r="G505" s="865" t="s">
        <v>70</v>
      </c>
      <c r="H505" s="867">
        <v>32921.11218</v>
      </c>
      <c r="I505" s="867">
        <v>38465.513</v>
      </c>
      <c r="J505" s="868">
        <v>27697.58251</v>
      </c>
      <c r="K505" s="50"/>
      <c r="L505" s="869" t="s">
        <v>623</v>
      </c>
      <c r="M505" s="865" t="s">
        <v>591</v>
      </c>
      <c r="N505" s="865" t="s">
        <v>661</v>
      </c>
      <c r="O505" s="866">
        <v>2004.0</v>
      </c>
      <c r="P505" s="865" t="s">
        <v>593</v>
      </c>
      <c r="Q505" s="865" t="s">
        <v>70</v>
      </c>
      <c r="R505" s="867">
        <v>23819.93938</v>
      </c>
      <c r="S505" s="867">
        <v>25505.3405</v>
      </c>
      <c r="T505" s="868">
        <v>22106.6981</v>
      </c>
      <c r="AN505" s="882"/>
      <c r="AO505" s="882"/>
      <c r="AP505" s="882"/>
      <c r="AY505" s="882"/>
      <c r="AZ505" s="882"/>
      <c r="BA505" s="882"/>
      <c r="BJ505" s="882"/>
      <c r="BK505" s="882"/>
      <c r="BL505" s="882"/>
      <c r="BU505" s="882"/>
      <c r="BV505" s="882"/>
      <c r="BW505" s="882"/>
      <c r="CF505" s="882"/>
      <c r="CG505" s="882"/>
      <c r="CH505" s="882"/>
      <c r="CI505" s="530"/>
    </row>
    <row r="506">
      <c r="A506" s="857"/>
      <c r="B506" s="865" t="s">
        <v>623</v>
      </c>
      <c r="C506" s="865" t="s">
        <v>591</v>
      </c>
      <c r="D506" s="865" t="s">
        <v>663</v>
      </c>
      <c r="E506" s="866">
        <v>2019.0</v>
      </c>
      <c r="F506" s="865" t="s">
        <v>593</v>
      </c>
      <c r="G506" s="865" t="s">
        <v>70</v>
      </c>
      <c r="H506" s="867">
        <v>19585.27621</v>
      </c>
      <c r="I506" s="867">
        <v>22884.16263</v>
      </c>
      <c r="J506" s="868">
        <v>16478.99305</v>
      </c>
      <c r="K506" s="50"/>
      <c r="L506" s="869" t="s">
        <v>623</v>
      </c>
      <c r="M506" s="865" t="s">
        <v>591</v>
      </c>
      <c r="N506" s="865" t="s">
        <v>663</v>
      </c>
      <c r="O506" s="866">
        <v>2004.0</v>
      </c>
      <c r="P506" s="865" t="s">
        <v>593</v>
      </c>
      <c r="Q506" s="865" t="s">
        <v>70</v>
      </c>
      <c r="R506" s="867">
        <v>14305.32526</v>
      </c>
      <c r="S506" s="867">
        <v>15317.72219</v>
      </c>
      <c r="T506" s="868">
        <v>13276.69102</v>
      </c>
      <c r="AN506" s="882"/>
      <c r="AO506" s="882"/>
      <c r="AP506" s="882"/>
      <c r="AY506" s="882"/>
      <c r="AZ506" s="882"/>
      <c r="BA506" s="882"/>
      <c r="BJ506" s="882"/>
      <c r="BK506" s="882"/>
      <c r="BL506" s="882"/>
      <c r="BU506" s="882"/>
      <c r="BV506" s="882"/>
      <c r="BW506" s="882"/>
      <c r="CF506" s="882"/>
      <c r="CG506" s="882"/>
      <c r="CH506" s="882"/>
      <c r="CI506" s="530"/>
    </row>
    <row r="507">
      <c r="A507" s="857"/>
      <c r="B507" s="865" t="s">
        <v>623</v>
      </c>
      <c r="C507" s="865" t="s">
        <v>591</v>
      </c>
      <c r="D507" s="865" t="s">
        <v>665</v>
      </c>
      <c r="E507" s="866">
        <v>2019.0</v>
      </c>
      <c r="F507" s="865" t="s">
        <v>593</v>
      </c>
      <c r="G507" s="865" t="s">
        <v>70</v>
      </c>
      <c r="H507" s="867">
        <v>28787.35613</v>
      </c>
      <c r="I507" s="867">
        <v>33635.57147</v>
      </c>
      <c r="J507" s="868">
        <v>24219.7216</v>
      </c>
      <c r="K507" s="50"/>
      <c r="L507" s="869" t="s">
        <v>623</v>
      </c>
      <c r="M507" s="865" t="s">
        <v>591</v>
      </c>
      <c r="N507" s="865" t="s">
        <v>665</v>
      </c>
      <c r="O507" s="866">
        <v>2004.0</v>
      </c>
      <c r="P507" s="865" t="s">
        <v>593</v>
      </c>
      <c r="Q507" s="865" t="s">
        <v>70</v>
      </c>
      <c r="R507" s="867">
        <v>20797.30573</v>
      </c>
      <c r="S507" s="867">
        <v>22268.83771</v>
      </c>
      <c r="T507" s="868">
        <v>19301.46639</v>
      </c>
      <c r="AN507" s="882"/>
      <c r="AO507" s="882"/>
      <c r="AP507" s="882"/>
      <c r="AY507" s="882"/>
      <c r="AZ507" s="882"/>
      <c r="BA507" s="882"/>
      <c r="BJ507" s="882"/>
      <c r="BK507" s="882"/>
      <c r="BL507" s="882"/>
      <c r="BU507" s="882"/>
      <c r="BV507" s="882"/>
      <c r="BW507" s="882"/>
      <c r="CF507" s="882"/>
      <c r="CG507" s="882"/>
      <c r="CH507" s="882"/>
      <c r="CI507" s="530"/>
    </row>
    <row r="508">
      <c r="A508" s="857"/>
      <c r="B508" s="865" t="s">
        <v>623</v>
      </c>
      <c r="C508" s="865" t="s">
        <v>591</v>
      </c>
      <c r="D508" s="865" t="s">
        <v>667</v>
      </c>
      <c r="E508" s="866">
        <v>2019.0</v>
      </c>
      <c r="F508" s="865" t="s">
        <v>593</v>
      </c>
      <c r="G508" s="865" t="s">
        <v>70</v>
      </c>
      <c r="H508" s="867">
        <v>13334.50247</v>
      </c>
      <c r="I508" s="867">
        <v>15580.52691</v>
      </c>
      <c r="J508" s="868">
        <v>11219.61065</v>
      </c>
      <c r="K508" s="50"/>
      <c r="L508" s="869" t="s">
        <v>623</v>
      </c>
      <c r="M508" s="865" t="s">
        <v>591</v>
      </c>
      <c r="N508" s="865" t="s">
        <v>667</v>
      </c>
      <c r="O508" s="866">
        <v>2004.0</v>
      </c>
      <c r="P508" s="865" t="s">
        <v>593</v>
      </c>
      <c r="Q508" s="865" t="s">
        <v>70</v>
      </c>
      <c r="R508" s="867">
        <v>9514.245723</v>
      </c>
      <c r="S508" s="867">
        <v>10187.57492</v>
      </c>
      <c r="T508" s="868">
        <v>8830.117345</v>
      </c>
      <c r="AN508" s="882"/>
      <c r="AO508" s="882"/>
      <c r="AP508" s="882"/>
      <c r="AY508" s="882"/>
      <c r="AZ508" s="882"/>
      <c r="BA508" s="882"/>
      <c r="BJ508" s="882"/>
      <c r="BK508" s="882"/>
      <c r="BL508" s="882"/>
      <c r="BU508" s="882"/>
      <c r="BV508" s="882"/>
      <c r="BW508" s="882"/>
      <c r="CF508" s="882"/>
      <c r="CG508" s="882"/>
      <c r="CH508" s="882"/>
      <c r="CI508" s="530"/>
    </row>
    <row r="509">
      <c r="A509" s="857"/>
      <c r="B509" s="865" t="s">
        <v>623</v>
      </c>
      <c r="C509" s="865" t="s">
        <v>591</v>
      </c>
      <c r="D509" s="865" t="s">
        <v>669</v>
      </c>
      <c r="E509" s="866">
        <v>2019.0</v>
      </c>
      <c r="F509" s="865" t="s">
        <v>593</v>
      </c>
      <c r="G509" s="865" t="s">
        <v>70</v>
      </c>
      <c r="H509" s="867">
        <v>9200.913862</v>
      </c>
      <c r="I509" s="867">
        <v>10750.68878</v>
      </c>
      <c r="J509" s="868">
        <v>7741.621508</v>
      </c>
      <c r="K509" s="50"/>
      <c r="L509" s="869" t="s">
        <v>623</v>
      </c>
      <c r="M509" s="865" t="s">
        <v>591</v>
      </c>
      <c r="N509" s="865" t="s">
        <v>669</v>
      </c>
      <c r="O509" s="866">
        <v>2004.0</v>
      </c>
      <c r="P509" s="865" t="s">
        <v>593</v>
      </c>
      <c r="Q509" s="865" t="s">
        <v>70</v>
      </c>
      <c r="R509" s="867">
        <v>6491.658827</v>
      </c>
      <c r="S509" s="867">
        <v>6951.077632</v>
      </c>
      <c r="T509" s="868">
        <v>6024.871637</v>
      </c>
      <c r="AN509" s="882"/>
      <c r="AO509" s="882"/>
      <c r="AP509" s="882"/>
      <c r="AY509" s="882"/>
      <c r="AZ509" s="882"/>
      <c r="BA509" s="882"/>
      <c r="BJ509" s="882"/>
      <c r="BK509" s="882"/>
      <c r="BL509" s="882"/>
      <c r="BU509" s="882"/>
      <c r="BV509" s="882"/>
      <c r="BW509" s="882"/>
      <c r="CF509" s="882"/>
      <c r="CG509" s="882"/>
      <c r="CH509" s="882"/>
      <c r="CI509" s="530"/>
    </row>
    <row r="510">
      <c r="A510" s="857"/>
      <c r="B510" s="865" t="s">
        <v>623</v>
      </c>
      <c r="C510" s="865" t="s">
        <v>591</v>
      </c>
      <c r="D510" s="865" t="s">
        <v>671</v>
      </c>
      <c r="E510" s="866">
        <v>2019.0</v>
      </c>
      <c r="F510" s="865" t="s">
        <v>593</v>
      </c>
      <c r="G510" s="865" t="s">
        <v>70</v>
      </c>
      <c r="H510" s="867">
        <v>4133.756049</v>
      </c>
      <c r="I510" s="867">
        <v>4829.941534</v>
      </c>
      <c r="J510" s="868">
        <v>3477.860912</v>
      </c>
      <c r="K510" s="50"/>
      <c r="L510" s="869" t="s">
        <v>623</v>
      </c>
      <c r="M510" s="865" t="s">
        <v>591</v>
      </c>
      <c r="N510" s="865" t="s">
        <v>671</v>
      </c>
      <c r="O510" s="866">
        <v>2004.0</v>
      </c>
      <c r="P510" s="865" t="s">
        <v>593</v>
      </c>
      <c r="Q510" s="865" t="s">
        <v>70</v>
      </c>
      <c r="R510" s="867">
        <v>3022.633643</v>
      </c>
      <c r="S510" s="867">
        <v>3236.502791</v>
      </c>
      <c r="T510" s="868">
        <v>2805.231716</v>
      </c>
      <c r="AN510" s="882"/>
      <c r="AO510" s="882"/>
      <c r="AP510" s="882"/>
      <c r="AY510" s="882"/>
      <c r="AZ510" s="882"/>
      <c r="BA510" s="882"/>
      <c r="BJ510" s="882"/>
      <c r="BK510" s="882"/>
      <c r="BL510" s="882"/>
      <c r="BU510" s="882"/>
      <c r="BV510" s="882"/>
      <c r="BW510" s="882"/>
      <c r="CF510" s="882"/>
      <c r="CG510" s="882"/>
      <c r="CH510" s="882"/>
      <c r="CI510" s="530"/>
    </row>
    <row r="511">
      <c r="A511" s="857"/>
      <c r="B511" s="865" t="s">
        <v>623</v>
      </c>
      <c r="C511" s="865" t="s">
        <v>591</v>
      </c>
      <c r="D511" s="865" t="s">
        <v>673</v>
      </c>
      <c r="E511" s="866">
        <v>2019.0</v>
      </c>
      <c r="F511" s="865" t="s">
        <v>593</v>
      </c>
      <c r="G511" s="865" t="s">
        <v>70</v>
      </c>
      <c r="H511" s="867">
        <v>3166.128137</v>
      </c>
      <c r="I511" s="867">
        <v>3699.421464</v>
      </c>
      <c r="J511" s="868">
        <v>2663.970781</v>
      </c>
      <c r="K511" s="50"/>
      <c r="L511" s="869" t="s">
        <v>623</v>
      </c>
      <c r="M511" s="865" t="s">
        <v>591</v>
      </c>
      <c r="N511" s="865" t="s">
        <v>673</v>
      </c>
      <c r="O511" s="866">
        <v>2004.0</v>
      </c>
      <c r="P511" s="865" t="s">
        <v>593</v>
      </c>
      <c r="Q511" s="865" t="s">
        <v>70</v>
      </c>
      <c r="R511" s="867">
        <v>2360.370528</v>
      </c>
      <c r="S511" s="867">
        <v>2527.415444</v>
      </c>
      <c r="T511" s="868">
        <v>2190.646462</v>
      </c>
      <c r="AN511" s="882"/>
      <c r="AO511" s="882"/>
      <c r="AP511" s="882"/>
      <c r="AY511" s="882"/>
      <c r="AZ511" s="882"/>
      <c r="BA511" s="882"/>
      <c r="BJ511" s="882"/>
      <c r="BK511" s="882"/>
      <c r="BL511" s="882"/>
      <c r="BU511" s="882"/>
      <c r="BV511" s="882"/>
      <c r="BW511" s="882"/>
      <c r="CF511" s="882"/>
      <c r="CG511" s="882"/>
      <c r="CH511" s="882"/>
      <c r="CI511" s="530"/>
    </row>
    <row r="512">
      <c r="A512" s="857"/>
      <c r="B512" s="865" t="s">
        <v>623</v>
      </c>
      <c r="C512" s="865" t="s">
        <v>591</v>
      </c>
      <c r="D512" s="865" t="s">
        <v>674</v>
      </c>
      <c r="E512" s="866">
        <v>2019.0</v>
      </c>
      <c r="F512" s="865" t="s">
        <v>593</v>
      </c>
      <c r="G512" s="865" t="s">
        <v>70</v>
      </c>
      <c r="H512" s="867">
        <v>800.2950777</v>
      </c>
      <c r="I512" s="867">
        <v>935.0944307</v>
      </c>
      <c r="J512" s="868">
        <v>673.3658938</v>
      </c>
      <c r="K512" s="50"/>
      <c r="L512" s="869" t="s">
        <v>623</v>
      </c>
      <c r="M512" s="865" t="s">
        <v>591</v>
      </c>
      <c r="N512" s="865" t="s">
        <v>674</v>
      </c>
      <c r="O512" s="866">
        <v>2004.0</v>
      </c>
      <c r="P512" s="865" t="s">
        <v>593</v>
      </c>
      <c r="Q512" s="865" t="s">
        <v>70</v>
      </c>
      <c r="R512" s="867">
        <v>566.2685892</v>
      </c>
      <c r="S512" s="867">
        <v>606.3437757</v>
      </c>
      <c r="T512" s="868">
        <v>525.550657</v>
      </c>
      <c r="AN512" s="882"/>
      <c r="AO512" s="882"/>
      <c r="AP512" s="882"/>
      <c r="AY512" s="882"/>
      <c r="AZ512" s="882"/>
      <c r="BA512" s="882"/>
      <c r="BJ512" s="882"/>
      <c r="BK512" s="882"/>
      <c r="BL512" s="882"/>
      <c r="BU512" s="882"/>
      <c r="BV512" s="882"/>
      <c r="BW512" s="882"/>
      <c r="CF512" s="882"/>
      <c r="CG512" s="882"/>
      <c r="CH512" s="882"/>
      <c r="CI512" s="530"/>
    </row>
    <row r="513">
      <c r="A513" s="857"/>
      <c r="B513" s="865" t="s">
        <v>623</v>
      </c>
      <c r="C513" s="865" t="s">
        <v>591</v>
      </c>
      <c r="D513" s="865" t="s">
        <v>676</v>
      </c>
      <c r="E513" s="866">
        <v>2019.0</v>
      </c>
      <c r="F513" s="865" t="s">
        <v>593</v>
      </c>
      <c r="G513" s="865" t="s">
        <v>70</v>
      </c>
      <c r="H513" s="867">
        <v>167.1653928</v>
      </c>
      <c r="I513" s="867">
        <v>195.3222408</v>
      </c>
      <c r="J513" s="868">
        <v>140.6524634</v>
      </c>
      <c r="K513" s="50"/>
      <c r="L513" s="869" t="s">
        <v>623</v>
      </c>
      <c r="M513" s="865" t="s">
        <v>591</v>
      </c>
      <c r="N513" s="865" t="s">
        <v>676</v>
      </c>
      <c r="O513" s="866">
        <v>2004.0</v>
      </c>
      <c r="P513" s="865" t="s">
        <v>593</v>
      </c>
      <c r="Q513" s="865" t="s">
        <v>70</v>
      </c>
      <c r="R513" s="867">
        <v>95.94777899</v>
      </c>
      <c r="S513" s="867">
        <v>102.738064</v>
      </c>
      <c r="T513" s="868">
        <v>89.048588</v>
      </c>
      <c r="AN513" s="882"/>
      <c r="AO513" s="882"/>
      <c r="AP513" s="882"/>
      <c r="AY513" s="882"/>
      <c r="AZ513" s="882"/>
      <c r="BA513" s="882"/>
      <c r="BJ513" s="882"/>
      <c r="BK513" s="882"/>
      <c r="BL513" s="882"/>
      <c r="BU513" s="882"/>
      <c r="BV513" s="882"/>
      <c r="BW513" s="882"/>
      <c r="CF513" s="882"/>
      <c r="CG513" s="882"/>
      <c r="CH513" s="882"/>
      <c r="CI513" s="530"/>
    </row>
    <row r="514">
      <c r="A514" s="857"/>
      <c r="B514" s="865" t="s">
        <v>623</v>
      </c>
      <c r="C514" s="865" t="s">
        <v>591</v>
      </c>
      <c r="D514" s="865" t="s">
        <v>678</v>
      </c>
      <c r="E514" s="866">
        <v>2019.0</v>
      </c>
      <c r="F514" s="865" t="s">
        <v>593</v>
      </c>
      <c r="G514" s="865" t="s">
        <v>70</v>
      </c>
      <c r="H514" s="867">
        <v>5299863.147</v>
      </c>
      <c r="I514" s="867">
        <v>6192556.534</v>
      </c>
      <c r="J514" s="868">
        <v>4459289.06</v>
      </c>
      <c r="K514" s="50"/>
      <c r="L514" s="869" t="s">
        <v>623</v>
      </c>
      <c r="M514" s="865" t="s">
        <v>591</v>
      </c>
      <c r="N514" s="865" t="s">
        <v>678</v>
      </c>
      <c r="O514" s="866">
        <v>2004.0</v>
      </c>
      <c r="P514" s="865" t="s">
        <v>593</v>
      </c>
      <c r="Q514" s="865" t="s">
        <v>70</v>
      </c>
      <c r="R514" s="867">
        <v>4005665.778</v>
      </c>
      <c r="S514" s="867">
        <v>4289149.28</v>
      </c>
      <c r="T514" s="868">
        <v>3717635.627</v>
      </c>
      <c r="AN514" s="882"/>
      <c r="AO514" s="882"/>
      <c r="AP514" s="882"/>
      <c r="AY514" s="882"/>
      <c r="AZ514" s="882"/>
      <c r="BA514" s="882"/>
      <c r="BJ514" s="882"/>
      <c r="BK514" s="882"/>
      <c r="BL514" s="882"/>
      <c r="BU514" s="882"/>
      <c r="BV514" s="882"/>
      <c r="BW514" s="882"/>
      <c r="CF514" s="882"/>
      <c r="CG514" s="882"/>
      <c r="CH514" s="882"/>
      <c r="CI514" s="530"/>
    </row>
    <row r="515">
      <c r="A515" s="857"/>
      <c r="B515" s="865" t="s">
        <v>623</v>
      </c>
      <c r="C515" s="865" t="s">
        <v>591</v>
      </c>
      <c r="D515" s="865" t="s">
        <v>680</v>
      </c>
      <c r="E515" s="866">
        <v>2019.0</v>
      </c>
      <c r="F515" s="865" t="s">
        <v>593</v>
      </c>
      <c r="G515" s="865" t="s">
        <v>70</v>
      </c>
      <c r="H515" s="867">
        <v>197517.1504</v>
      </c>
      <c r="I515" s="867">
        <v>212995.4627</v>
      </c>
      <c r="J515" s="868">
        <v>181975.301</v>
      </c>
      <c r="K515" s="50"/>
      <c r="L515" s="869" t="s">
        <v>623</v>
      </c>
      <c r="M515" s="865" t="s">
        <v>591</v>
      </c>
      <c r="N515" s="865" t="s">
        <v>680</v>
      </c>
      <c r="O515" s="866">
        <v>2004.0</v>
      </c>
      <c r="P515" s="865" t="s">
        <v>593</v>
      </c>
      <c r="Q515" s="865" t="s">
        <v>70</v>
      </c>
      <c r="R515" s="867">
        <v>172925.602</v>
      </c>
      <c r="S515" s="867">
        <v>184605.3602</v>
      </c>
      <c r="T515" s="868">
        <v>159758.5125</v>
      </c>
      <c r="AN515" s="882"/>
      <c r="AO515" s="882"/>
      <c r="AP515" s="882"/>
      <c r="AY515" s="882"/>
      <c r="AZ515" s="882"/>
      <c r="BA515" s="882"/>
      <c r="BJ515" s="882"/>
      <c r="BK515" s="882"/>
      <c r="BL515" s="882"/>
      <c r="BU515" s="882"/>
      <c r="BV515" s="882"/>
      <c r="BW515" s="882"/>
      <c r="CF515" s="882"/>
      <c r="CG515" s="882"/>
      <c r="CH515" s="882"/>
      <c r="CI515" s="530"/>
    </row>
    <row r="516">
      <c r="A516" s="857"/>
      <c r="B516" s="865" t="s">
        <v>623</v>
      </c>
      <c r="C516" s="865" t="s">
        <v>591</v>
      </c>
      <c r="D516" s="865" t="s">
        <v>682</v>
      </c>
      <c r="E516" s="866">
        <v>2019.0</v>
      </c>
      <c r="F516" s="865" t="s">
        <v>593</v>
      </c>
      <c r="G516" s="865" t="s">
        <v>70</v>
      </c>
      <c r="H516" s="867">
        <v>3743.17752</v>
      </c>
      <c r="I516" s="867">
        <v>4373.667351</v>
      </c>
      <c r="J516" s="868">
        <v>3149.498412</v>
      </c>
      <c r="K516" s="50"/>
      <c r="L516" s="869" t="s">
        <v>623</v>
      </c>
      <c r="M516" s="865" t="s">
        <v>591</v>
      </c>
      <c r="N516" s="865" t="s">
        <v>682</v>
      </c>
      <c r="O516" s="866">
        <v>2004.0</v>
      </c>
      <c r="P516" s="865" t="s">
        <v>593</v>
      </c>
      <c r="Q516" s="865" t="s">
        <v>70</v>
      </c>
      <c r="R516" s="867">
        <v>3251.721513</v>
      </c>
      <c r="S516" s="867">
        <v>3481.847902</v>
      </c>
      <c r="T516" s="868">
        <v>3017.904242</v>
      </c>
      <c r="AN516" s="882"/>
      <c r="AO516" s="882"/>
      <c r="AP516" s="882"/>
      <c r="AY516" s="882"/>
      <c r="AZ516" s="882"/>
      <c r="BA516" s="882"/>
      <c r="BJ516" s="882"/>
      <c r="BK516" s="882"/>
      <c r="BL516" s="882"/>
      <c r="BU516" s="882"/>
      <c r="BV516" s="882"/>
      <c r="BW516" s="882"/>
      <c r="CF516" s="882"/>
      <c r="CG516" s="882"/>
      <c r="CH516" s="882"/>
      <c r="CI516" s="530"/>
    </row>
    <row r="517">
      <c r="A517" s="857"/>
      <c r="B517" s="865" t="s">
        <v>623</v>
      </c>
      <c r="C517" s="865" t="s">
        <v>591</v>
      </c>
      <c r="D517" s="865" t="s">
        <v>684</v>
      </c>
      <c r="E517" s="866">
        <v>2019.0</v>
      </c>
      <c r="F517" s="865" t="s">
        <v>593</v>
      </c>
      <c r="G517" s="865" t="s">
        <v>70</v>
      </c>
      <c r="H517" s="867">
        <v>10993.20365</v>
      </c>
      <c r="I517" s="867">
        <v>12844.86659</v>
      </c>
      <c r="J517" s="868">
        <v>9249.648795</v>
      </c>
      <c r="K517" s="50"/>
      <c r="L517" s="869" t="s">
        <v>623</v>
      </c>
      <c r="M517" s="865" t="s">
        <v>591</v>
      </c>
      <c r="N517" s="865" t="s">
        <v>684</v>
      </c>
      <c r="O517" s="866">
        <v>2004.0</v>
      </c>
      <c r="P517" s="865" t="s">
        <v>593</v>
      </c>
      <c r="Q517" s="865" t="s">
        <v>70</v>
      </c>
      <c r="R517" s="867">
        <v>9512.466603</v>
      </c>
      <c r="S517" s="867">
        <v>10185.66989</v>
      </c>
      <c r="T517" s="868">
        <v>8828.466153</v>
      </c>
      <c r="AN517" s="882"/>
      <c r="AO517" s="882"/>
      <c r="AP517" s="882"/>
      <c r="AY517" s="882"/>
      <c r="AZ517" s="882"/>
      <c r="BA517" s="882"/>
      <c r="BJ517" s="882"/>
      <c r="BK517" s="882"/>
      <c r="BL517" s="882"/>
      <c r="BU517" s="882"/>
      <c r="BV517" s="882"/>
      <c r="BW517" s="882"/>
      <c r="CF517" s="882"/>
      <c r="CG517" s="882"/>
      <c r="CH517" s="882"/>
      <c r="CI517" s="530"/>
    </row>
    <row r="518">
      <c r="A518" s="857"/>
      <c r="B518" s="865" t="s">
        <v>623</v>
      </c>
      <c r="C518" s="865" t="s">
        <v>591</v>
      </c>
      <c r="D518" s="865" t="s">
        <v>686</v>
      </c>
      <c r="E518" s="866">
        <v>2019.0</v>
      </c>
      <c r="F518" s="865" t="s">
        <v>593</v>
      </c>
      <c r="G518" s="865" t="s">
        <v>70</v>
      </c>
      <c r="H518" s="867">
        <v>14736.38117</v>
      </c>
      <c r="I518" s="867">
        <v>17218.53394</v>
      </c>
      <c r="J518" s="868">
        <v>12399.14721</v>
      </c>
      <c r="K518" s="50"/>
      <c r="L518" s="869" t="s">
        <v>623</v>
      </c>
      <c r="M518" s="865" t="s">
        <v>591</v>
      </c>
      <c r="N518" s="865" t="s">
        <v>686</v>
      </c>
      <c r="O518" s="866">
        <v>2004.0</v>
      </c>
      <c r="P518" s="865" t="s">
        <v>593</v>
      </c>
      <c r="Q518" s="865" t="s">
        <v>70</v>
      </c>
      <c r="R518" s="867">
        <v>12764.18812</v>
      </c>
      <c r="S518" s="867">
        <v>13667.51779</v>
      </c>
      <c r="T518" s="868">
        <v>11846.3704</v>
      </c>
      <c r="AN518" s="882"/>
      <c r="AO518" s="882"/>
      <c r="AP518" s="882"/>
      <c r="AY518" s="882"/>
      <c r="AZ518" s="882"/>
      <c r="BA518" s="882"/>
      <c r="BJ518" s="882"/>
      <c r="BK518" s="882"/>
      <c r="BL518" s="882"/>
      <c r="BU518" s="882"/>
      <c r="BV518" s="882"/>
      <c r="BW518" s="882"/>
      <c r="CF518" s="882"/>
      <c r="CG518" s="882"/>
      <c r="CH518" s="882"/>
      <c r="CI518" s="530"/>
    </row>
    <row r="519">
      <c r="A519" s="857"/>
      <c r="B519" s="865" t="s">
        <v>623</v>
      </c>
      <c r="C519" s="865" t="s">
        <v>591</v>
      </c>
      <c r="D519" s="865" t="s">
        <v>688</v>
      </c>
      <c r="E519" s="866">
        <v>2019.0</v>
      </c>
      <c r="F519" s="865" t="s">
        <v>593</v>
      </c>
      <c r="G519" s="865" t="s">
        <v>70</v>
      </c>
      <c r="H519" s="867">
        <v>169318.3643</v>
      </c>
      <c r="I519" s="867">
        <v>197837.8524</v>
      </c>
      <c r="J519" s="868">
        <v>142463.9672</v>
      </c>
      <c r="K519" s="50"/>
      <c r="L519" s="869" t="s">
        <v>623</v>
      </c>
      <c r="M519" s="865" t="s">
        <v>591</v>
      </c>
      <c r="N519" s="865" t="s">
        <v>688</v>
      </c>
      <c r="O519" s="866">
        <v>2004.0</v>
      </c>
      <c r="P519" s="865" t="s">
        <v>593</v>
      </c>
      <c r="Q519" s="865" t="s">
        <v>70</v>
      </c>
      <c r="R519" s="867">
        <v>145286.8409</v>
      </c>
      <c r="S519" s="867">
        <v>155568.8826</v>
      </c>
      <c r="T519" s="868">
        <v>134839.8907</v>
      </c>
      <c r="AN519" s="882"/>
      <c r="AO519" s="882"/>
      <c r="AP519" s="882"/>
      <c r="AY519" s="882"/>
      <c r="AZ519" s="882"/>
      <c r="BA519" s="882"/>
      <c r="BJ519" s="882"/>
      <c r="BK519" s="882"/>
      <c r="BL519" s="882"/>
      <c r="BU519" s="882"/>
      <c r="BV519" s="882"/>
      <c r="BW519" s="882"/>
      <c r="CF519" s="882"/>
      <c r="CG519" s="882"/>
      <c r="CH519" s="882"/>
      <c r="CI519" s="530"/>
    </row>
    <row r="520">
      <c r="A520" s="857"/>
      <c r="B520" s="865" t="s">
        <v>623</v>
      </c>
      <c r="C520" s="865" t="s">
        <v>591</v>
      </c>
      <c r="D520" s="865" t="s">
        <v>689</v>
      </c>
      <c r="E520" s="866">
        <v>2019.0</v>
      </c>
      <c r="F520" s="865" t="s">
        <v>593</v>
      </c>
      <c r="G520" s="865" t="s">
        <v>70</v>
      </c>
      <c r="H520" s="867">
        <v>841446.5685</v>
      </c>
      <c r="I520" s="867">
        <v>983177.3578</v>
      </c>
      <c r="J520" s="868">
        <v>707990.6355</v>
      </c>
      <c r="K520" s="50"/>
      <c r="L520" s="869" t="s">
        <v>623</v>
      </c>
      <c r="M520" s="865" t="s">
        <v>591</v>
      </c>
      <c r="N520" s="865" t="s">
        <v>689</v>
      </c>
      <c r="O520" s="866">
        <v>2004.0</v>
      </c>
      <c r="P520" s="865" t="s">
        <v>593</v>
      </c>
      <c r="Q520" s="865" t="s">
        <v>70</v>
      </c>
      <c r="R520" s="867">
        <v>695115.1845</v>
      </c>
      <c r="S520" s="867">
        <v>744308.9261</v>
      </c>
      <c r="T520" s="868">
        <v>645132.4494</v>
      </c>
      <c r="AN520" s="882"/>
      <c r="AO520" s="882"/>
      <c r="AP520" s="882"/>
      <c r="AY520" s="882"/>
      <c r="AZ520" s="882"/>
      <c r="BA520" s="882"/>
      <c r="BJ520" s="882"/>
      <c r="BK520" s="882"/>
      <c r="BL520" s="882"/>
      <c r="BU520" s="882"/>
      <c r="BV520" s="882"/>
      <c r="BW520" s="882"/>
      <c r="CF520" s="882"/>
      <c r="CG520" s="882"/>
      <c r="CH520" s="882"/>
      <c r="CI520" s="530"/>
    </row>
    <row r="521">
      <c r="A521" s="857"/>
      <c r="B521" s="865" t="s">
        <v>118</v>
      </c>
      <c r="C521" s="865" t="s">
        <v>591</v>
      </c>
      <c r="D521" s="865" t="s">
        <v>592</v>
      </c>
      <c r="E521" s="866">
        <v>2019.0</v>
      </c>
      <c r="F521" s="865" t="s">
        <v>593</v>
      </c>
      <c r="G521" s="865" t="s">
        <v>70</v>
      </c>
      <c r="H521" s="867">
        <v>738926.3835</v>
      </c>
      <c r="I521" s="867">
        <v>841718.023</v>
      </c>
      <c r="J521" s="868">
        <v>645586.7941</v>
      </c>
      <c r="K521" s="50"/>
      <c r="L521" s="869" t="s">
        <v>118</v>
      </c>
      <c r="M521" s="865" t="s">
        <v>591</v>
      </c>
      <c r="N521" s="865" t="s">
        <v>592</v>
      </c>
      <c r="O521" s="866">
        <v>2004.0</v>
      </c>
      <c r="P521" s="865" t="s">
        <v>593</v>
      </c>
      <c r="Q521" s="865" t="s">
        <v>70</v>
      </c>
      <c r="R521" s="867">
        <v>459194.0517</v>
      </c>
      <c r="S521" s="867">
        <v>509879.1862</v>
      </c>
      <c r="T521" s="868">
        <v>414825.0689</v>
      </c>
      <c r="AN521" s="882"/>
      <c r="AO521" s="882"/>
      <c r="AP521" s="882"/>
      <c r="AY521" s="882"/>
      <c r="AZ521" s="882"/>
      <c r="BA521" s="882"/>
      <c r="BJ521" s="882"/>
      <c r="BK521" s="882"/>
      <c r="BL521" s="882"/>
      <c r="BU521" s="882"/>
      <c r="BV521" s="882"/>
      <c r="BW521" s="882"/>
      <c r="CF521" s="882"/>
      <c r="CG521" s="882"/>
      <c r="CH521" s="882"/>
      <c r="CI521" s="530"/>
    </row>
    <row r="522">
      <c r="A522" s="857"/>
      <c r="B522" s="865" t="s">
        <v>118</v>
      </c>
      <c r="C522" s="865" t="s">
        <v>591</v>
      </c>
      <c r="D522" s="865" t="s">
        <v>601</v>
      </c>
      <c r="E522" s="866">
        <v>2019.0</v>
      </c>
      <c r="F522" s="865" t="s">
        <v>593</v>
      </c>
      <c r="G522" s="865" t="s">
        <v>70</v>
      </c>
      <c r="H522" s="867">
        <v>1.009027633E7</v>
      </c>
      <c r="I522" s="867">
        <v>1.149392907E7</v>
      </c>
      <c r="J522" s="868">
        <v>8815694.353</v>
      </c>
      <c r="K522" s="50"/>
      <c r="L522" s="869" t="s">
        <v>118</v>
      </c>
      <c r="M522" s="865" t="s">
        <v>591</v>
      </c>
      <c r="N522" s="865" t="s">
        <v>601</v>
      </c>
      <c r="O522" s="866">
        <v>2004.0</v>
      </c>
      <c r="P522" s="865" t="s">
        <v>593</v>
      </c>
      <c r="Q522" s="865" t="s">
        <v>70</v>
      </c>
      <c r="R522" s="867">
        <v>5733067.786</v>
      </c>
      <c r="S522" s="867">
        <v>6365875.007</v>
      </c>
      <c r="T522" s="868">
        <v>5179118.132</v>
      </c>
      <c r="AN522" s="882"/>
      <c r="AO522" s="882"/>
      <c r="AP522" s="882"/>
      <c r="AY522" s="882"/>
      <c r="AZ522" s="882"/>
      <c r="BA522" s="882"/>
      <c r="BJ522" s="882"/>
      <c r="BK522" s="882"/>
      <c r="BL522" s="882"/>
      <c r="BU522" s="882"/>
      <c r="BV522" s="882"/>
      <c r="BW522" s="882"/>
      <c r="CF522" s="882"/>
      <c r="CG522" s="882"/>
      <c r="CH522" s="882"/>
      <c r="CI522" s="530"/>
    </row>
    <row r="523">
      <c r="A523" s="857"/>
      <c r="B523" s="865" t="s">
        <v>118</v>
      </c>
      <c r="C523" s="865" t="s">
        <v>591</v>
      </c>
      <c r="D523" s="865" t="s">
        <v>606</v>
      </c>
      <c r="E523" s="866">
        <v>2019.0</v>
      </c>
      <c r="F523" s="865" t="s">
        <v>593</v>
      </c>
      <c r="G523" s="865" t="s">
        <v>70</v>
      </c>
      <c r="H523" s="867">
        <v>8310087.563</v>
      </c>
      <c r="I523" s="867">
        <v>9466099.236</v>
      </c>
      <c r="J523" s="868">
        <v>7260375.199</v>
      </c>
      <c r="K523" s="50"/>
      <c r="L523" s="869" t="s">
        <v>118</v>
      </c>
      <c r="M523" s="865" t="s">
        <v>591</v>
      </c>
      <c r="N523" s="865" t="s">
        <v>606</v>
      </c>
      <c r="O523" s="866">
        <v>2004.0</v>
      </c>
      <c r="P523" s="865" t="s">
        <v>593</v>
      </c>
      <c r="Q523" s="865" t="s">
        <v>70</v>
      </c>
      <c r="R523" s="867">
        <v>4781344.627</v>
      </c>
      <c r="S523" s="867">
        <v>5309102.107</v>
      </c>
      <c r="T523" s="868">
        <v>4319353.893</v>
      </c>
      <c r="AN523" s="882"/>
      <c r="AO523" s="882"/>
      <c r="AP523" s="882"/>
      <c r="AY523" s="882"/>
      <c r="AZ523" s="882"/>
      <c r="BA523" s="882"/>
      <c r="BJ523" s="882"/>
      <c r="BK523" s="882"/>
      <c r="BL523" s="882"/>
      <c r="BU523" s="882"/>
      <c r="BV523" s="882"/>
      <c r="BW523" s="882"/>
      <c r="CF523" s="882"/>
      <c r="CG523" s="882"/>
      <c r="CH523" s="882"/>
      <c r="CI523" s="530"/>
    </row>
    <row r="524">
      <c r="A524" s="857"/>
      <c r="B524" s="865" t="s">
        <v>118</v>
      </c>
      <c r="C524" s="865" t="s">
        <v>591</v>
      </c>
      <c r="D524" s="865" t="s">
        <v>608</v>
      </c>
      <c r="E524" s="866">
        <v>2019.0</v>
      </c>
      <c r="F524" s="865" t="s">
        <v>593</v>
      </c>
      <c r="G524" s="865" t="s">
        <v>70</v>
      </c>
      <c r="H524" s="867">
        <v>2593740.178</v>
      </c>
      <c r="I524" s="867">
        <v>2954553.936</v>
      </c>
      <c r="J524" s="868">
        <v>2266104.505</v>
      </c>
      <c r="K524" s="50"/>
      <c r="L524" s="869" t="s">
        <v>118</v>
      </c>
      <c r="M524" s="865" t="s">
        <v>591</v>
      </c>
      <c r="N524" s="865" t="s">
        <v>608</v>
      </c>
      <c r="O524" s="866">
        <v>2004.0</v>
      </c>
      <c r="P524" s="865" t="s">
        <v>593</v>
      </c>
      <c r="Q524" s="865" t="s">
        <v>70</v>
      </c>
      <c r="R524" s="867">
        <v>1557241.454</v>
      </c>
      <c r="S524" s="867">
        <v>1729127.375</v>
      </c>
      <c r="T524" s="868">
        <v>1406775.177</v>
      </c>
      <c r="AN524" s="882"/>
      <c r="AO524" s="882"/>
      <c r="AP524" s="882"/>
      <c r="AY524" s="882"/>
      <c r="AZ524" s="882"/>
      <c r="BA524" s="882"/>
      <c r="BJ524" s="882"/>
      <c r="BK524" s="882"/>
      <c r="BL524" s="882"/>
      <c r="BU524" s="882"/>
      <c r="BV524" s="882"/>
      <c r="BW524" s="882"/>
      <c r="CF524" s="882"/>
      <c r="CG524" s="882"/>
      <c r="CH524" s="882"/>
      <c r="CI524" s="530"/>
    </row>
    <row r="525">
      <c r="A525" s="857"/>
      <c r="B525" s="865" t="s">
        <v>118</v>
      </c>
      <c r="C525" s="865" t="s">
        <v>591</v>
      </c>
      <c r="D525" s="865" t="s">
        <v>610</v>
      </c>
      <c r="E525" s="866">
        <v>2019.0</v>
      </c>
      <c r="F525" s="865" t="s">
        <v>593</v>
      </c>
      <c r="G525" s="865" t="s">
        <v>70</v>
      </c>
      <c r="H525" s="867">
        <v>2226082.475</v>
      </c>
      <c r="I525" s="867">
        <v>2535751.574</v>
      </c>
      <c r="J525" s="868">
        <v>1944888.531</v>
      </c>
      <c r="K525" s="50"/>
      <c r="L525" s="869" t="s">
        <v>118</v>
      </c>
      <c r="M525" s="865" t="s">
        <v>591</v>
      </c>
      <c r="N525" s="865" t="s">
        <v>610</v>
      </c>
      <c r="O525" s="866">
        <v>2004.0</v>
      </c>
      <c r="P525" s="865" t="s">
        <v>593</v>
      </c>
      <c r="Q525" s="865" t="s">
        <v>70</v>
      </c>
      <c r="R525" s="867">
        <v>1203045.911</v>
      </c>
      <c r="S525" s="867">
        <v>1335836.271</v>
      </c>
      <c r="T525" s="868">
        <v>1086803.283</v>
      </c>
      <c r="AN525" s="882"/>
      <c r="AO525" s="882"/>
      <c r="AP525" s="882"/>
      <c r="AY525" s="882"/>
      <c r="AZ525" s="882"/>
      <c r="BA525" s="882"/>
      <c r="BJ525" s="882"/>
      <c r="BK525" s="882"/>
      <c r="BL525" s="882"/>
      <c r="BU525" s="882"/>
      <c r="BV525" s="882"/>
      <c r="BW525" s="882"/>
      <c r="CF525" s="882"/>
      <c r="CG525" s="882"/>
      <c r="CH525" s="882"/>
      <c r="CI525" s="530"/>
    </row>
    <row r="526">
      <c r="A526" s="857"/>
      <c r="B526" s="865" t="s">
        <v>118</v>
      </c>
      <c r="C526" s="865" t="s">
        <v>591</v>
      </c>
      <c r="D526" s="865" t="s">
        <v>612</v>
      </c>
      <c r="E526" s="866">
        <v>2019.0</v>
      </c>
      <c r="F526" s="865" t="s">
        <v>593</v>
      </c>
      <c r="G526" s="865" t="s">
        <v>70</v>
      </c>
      <c r="H526" s="867">
        <v>4006271.241</v>
      </c>
      <c r="I526" s="867">
        <v>4563581.411</v>
      </c>
      <c r="J526" s="868">
        <v>3500207.685</v>
      </c>
      <c r="K526" s="50"/>
      <c r="L526" s="869" t="s">
        <v>118</v>
      </c>
      <c r="M526" s="865" t="s">
        <v>591</v>
      </c>
      <c r="N526" s="865" t="s">
        <v>612</v>
      </c>
      <c r="O526" s="866">
        <v>2004.0</v>
      </c>
      <c r="P526" s="865" t="s">
        <v>593</v>
      </c>
      <c r="Q526" s="865" t="s">
        <v>70</v>
      </c>
      <c r="R526" s="867">
        <v>2154769.069</v>
      </c>
      <c r="S526" s="867">
        <v>2392609.171</v>
      </c>
      <c r="T526" s="868">
        <v>1946567.522</v>
      </c>
      <c r="AN526" s="882"/>
      <c r="AO526" s="882"/>
      <c r="AP526" s="882"/>
      <c r="AY526" s="882"/>
      <c r="AZ526" s="882"/>
      <c r="BA526" s="882"/>
      <c r="BJ526" s="882"/>
      <c r="BK526" s="882"/>
      <c r="BL526" s="882"/>
      <c r="BU526" s="882"/>
      <c r="BV526" s="882"/>
      <c r="BW526" s="882"/>
      <c r="CF526" s="882"/>
      <c r="CG526" s="882"/>
      <c r="CH526" s="882"/>
      <c r="CI526" s="530"/>
    </row>
    <row r="527">
      <c r="A527" s="857"/>
      <c r="B527" s="865" t="s">
        <v>118</v>
      </c>
      <c r="C527" s="865" t="s">
        <v>591</v>
      </c>
      <c r="D527" s="865" t="s">
        <v>614</v>
      </c>
      <c r="E527" s="866">
        <v>2019.0</v>
      </c>
      <c r="F527" s="865" t="s">
        <v>593</v>
      </c>
      <c r="G527" s="865" t="s">
        <v>70</v>
      </c>
      <c r="H527" s="867">
        <v>5366163.489</v>
      </c>
      <c r="I527" s="867">
        <v>6112647.516</v>
      </c>
      <c r="J527" s="868">
        <v>4688321.274</v>
      </c>
      <c r="K527" s="50"/>
      <c r="L527" s="869" t="s">
        <v>118</v>
      </c>
      <c r="M527" s="865" t="s">
        <v>591</v>
      </c>
      <c r="N527" s="865" t="s">
        <v>614</v>
      </c>
      <c r="O527" s="866">
        <v>2004.0</v>
      </c>
      <c r="P527" s="865" t="s">
        <v>593</v>
      </c>
      <c r="Q527" s="865" t="s">
        <v>70</v>
      </c>
      <c r="R527" s="867">
        <v>2921883.853</v>
      </c>
      <c r="S527" s="867">
        <v>3244396.907</v>
      </c>
      <c r="T527" s="868">
        <v>2639560.914</v>
      </c>
      <c r="AN527" s="882"/>
      <c r="AO527" s="882"/>
      <c r="AP527" s="882"/>
      <c r="AY527" s="882"/>
      <c r="AZ527" s="882"/>
      <c r="BA527" s="882"/>
      <c r="BJ527" s="882"/>
      <c r="BK527" s="882"/>
      <c r="BL527" s="882"/>
      <c r="BU527" s="882"/>
      <c r="BV527" s="882"/>
      <c r="BW527" s="882"/>
      <c r="CF527" s="882"/>
      <c r="CG527" s="882"/>
      <c r="CH527" s="882"/>
      <c r="CI527" s="530"/>
    </row>
    <row r="528">
      <c r="A528" s="857"/>
      <c r="B528" s="865" t="s">
        <v>118</v>
      </c>
      <c r="C528" s="865" t="s">
        <v>591</v>
      </c>
      <c r="D528" s="865" t="s">
        <v>616</v>
      </c>
      <c r="E528" s="866">
        <v>2019.0</v>
      </c>
      <c r="F528" s="865" t="s">
        <v>593</v>
      </c>
      <c r="G528" s="865" t="s">
        <v>70</v>
      </c>
      <c r="H528" s="867">
        <v>1780188.765</v>
      </c>
      <c r="I528" s="867">
        <v>2027829.838</v>
      </c>
      <c r="J528" s="868">
        <v>1555319.154</v>
      </c>
      <c r="K528" s="50"/>
      <c r="L528" s="869" t="s">
        <v>118</v>
      </c>
      <c r="M528" s="865" t="s">
        <v>591</v>
      </c>
      <c r="N528" s="865" t="s">
        <v>616</v>
      </c>
      <c r="O528" s="866">
        <v>2004.0</v>
      </c>
      <c r="P528" s="865" t="s">
        <v>593</v>
      </c>
      <c r="Q528" s="865" t="s">
        <v>70</v>
      </c>
      <c r="R528" s="867">
        <v>951723.1582</v>
      </c>
      <c r="S528" s="867">
        <v>1056772.899</v>
      </c>
      <c r="T528" s="868">
        <v>859764.2396</v>
      </c>
      <c r="AN528" s="882"/>
      <c r="AO528" s="882"/>
      <c r="AP528" s="882"/>
      <c r="AY528" s="882"/>
      <c r="AZ528" s="882"/>
      <c r="BA528" s="882"/>
      <c r="BJ528" s="882"/>
      <c r="BK528" s="882"/>
      <c r="BL528" s="882"/>
      <c r="BU528" s="882"/>
      <c r="BV528" s="882"/>
      <c r="BW528" s="882"/>
      <c r="CF528" s="882"/>
      <c r="CG528" s="882"/>
      <c r="CH528" s="882"/>
      <c r="CI528" s="530"/>
    </row>
    <row r="529">
      <c r="A529" s="857"/>
      <c r="B529" s="865" t="s">
        <v>118</v>
      </c>
      <c r="C529" s="865" t="s">
        <v>591</v>
      </c>
      <c r="D529" s="865" t="s">
        <v>618</v>
      </c>
      <c r="E529" s="866">
        <v>2019.0</v>
      </c>
      <c r="F529" s="865" t="s">
        <v>593</v>
      </c>
      <c r="G529" s="865" t="s">
        <v>70</v>
      </c>
      <c r="H529" s="867">
        <v>5789750.252</v>
      </c>
      <c r="I529" s="867">
        <v>6595025.06</v>
      </c>
      <c r="J529" s="868">
        <v>5057938.918</v>
      </c>
      <c r="K529" s="50"/>
      <c r="L529" s="869" t="s">
        <v>118</v>
      </c>
      <c r="M529" s="865" t="s">
        <v>591</v>
      </c>
      <c r="N529" s="865" t="s">
        <v>618</v>
      </c>
      <c r="O529" s="866">
        <v>2004.0</v>
      </c>
      <c r="P529" s="865" t="s">
        <v>593</v>
      </c>
      <c r="Q529" s="865" t="s">
        <v>70</v>
      </c>
      <c r="R529" s="867">
        <v>3291288.341</v>
      </c>
      <c r="S529" s="867">
        <v>3654547.544</v>
      </c>
      <c r="T529" s="868">
        <v>2973197.722</v>
      </c>
      <c r="AN529" s="882"/>
      <c r="AO529" s="882"/>
      <c r="AP529" s="882"/>
      <c r="AY529" s="882"/>
      <c r="AZ529" s="882"/>
      <c r="BA529" s="882"/>
      <c r="BJ529" s="882"/>
      <c r="BK529" s="882"/>
      <c r="BL529" s="882"/>
      <c r="BU529" s="882"/>
      <c r="BV529" s="882"/>
      <c r="BW529" s="882"/>
      <c r="CF529" s="882"/>
      <c r="CG529" s="882"/>
      <c r="CH529" s="882"/>
      <c r="CI529" s="530"/>
    </row>
    <row r="530">
      <c r="A530" s="857"/>
      <c r="B530" s="865" t="s">
        <v>118</v>
      </c>
      <c r="C530" s="865" t="s">
        <v>591</v>
      </c>
      <c r="D530" s="865" t="s">
        <v>620</v>
      </c>
      <c r="E530" s="866">
        <v>2019.0</v>
      </c>
      <c r="F530" s="865" t="s">
        <v>593</v>
      </c>
      <c r="G530" s="865" t="s">
        <v>70</v>
      </c>
      <c r="H530" s="867">
        <v>6837810.285</v>
      </c>
      <c r="I530" s="867">
        <v>7789014.282</v>
      </c>
      <c r="J530" s="868">
        <v>5974072.816</v>
      </c>
      <c r="K530" s="50"/>
      <c r="L530" s="869" t="s">
        <v>118</v>
      </c>
      <c r="M530" s="865" t="s">
        <v>591</v>
      </c>
      <c r="N530" s="865" t="s">
        <v>620</v>
      </c>
      <c r="O530" s="866">
        <v>2004.0</v>
      </c>
      <c r="P530" s="865" t="s">
        <v>593</v>
      </c>
      <c r="Q530" s="865" t="s">
        <v>70</v>
      </c>
      <c r="R530" s="867">
        <v>3910489.155</v>
      </c>
      <c r="S530" s="867">
        <v>4342122.945</v>
      </c>
      <c r="T530" s="868">
        <v>3532643.612</v>
      </c>
      <c r="AN530" s="882"/>
      <c r="AO530" s="882"/>
      <c r="AP530" s="882"/>
      <c r="AY530" s="882"/>
      <c r="AZ530" s="882"/>
      <c r="BA530" s="882"/>
      <c r="BJ530" s="882"/>
      <c r="BK530" s="882"/>
      <c r="BL530" s="882"/>
      <c r="BU530" s="882"/>
      <c r="BV530" s="882"/>
      <c r="BW530" s="882"/>
      <c r="CF530" s="882"/>
      <c r="CG530" s="882"/>
      <c r="CH530" s="882"/>
      <c r="CI530" s="530"/>
    </row>
    <row r="531">
      <c r="A531" s="857"/>
      <c r="B531" s="865" t="s">
        <v>118</v>
      </c>
      <c r="C531" s="865" t="s">
        <v>591</v>
      </c>
      <c r="D531" s="865" t="s">
        <v>622</v>
      </c>
      <c r="E531" s="866">
        <v>2019.0</v>
      </c>
      <c r="F531" s="865" t="s">
        <v>593</v>
      </c>
      <c r="G531" s="865" t="s">
        <v>70</v>
      </c>
      <c r="H531" s="867">
        <v>6308736.293</v>
      </c>
      <c r="I531" s="867">
        <v>7186194.937</v>
      </c>
      <c r="J531" s="868">
        <v>5511326.298</v>
      </c>
      <c r="K531" s="50"/>
      <c r="L531" s="869" t="s">
        <v>118</v>
      </c>
      <c r="M531" s="865" t="s">
        <v>591</v>
      </c>
      <c r="N531" s="865" t="s">
        <v>622</v>
      </c>
      <c r="O531" s="866">
        <v>2004.0</v>
      </c>
      <c r="P531" s="865" t="s">
        <v>593</v>
      </c>
      <c r="Q531" s="865" t="s">
        <v>70</v>
      </c>
      <c r="R531" s="867">
        <v>3753041.905</v>
      </c>
      <c r="S531" s="867">
        <v>4167264.807</v>
      </c>
      <c r="T531" s="868">
        <v>3390324.544</v>
      </c>
      <c r="AN531" s="882"/>
      <c r="AO531" s="882"/>
      <c r="AP531" s="882"/>
      <c r="AY531" s="882"/>
      <c r="AZ531" s="882"/>
      <c r="BA531" s="882"/>
      <c r="BJ531" s="882"/>
      <c r="BK531" s="882"/>
      <c r="BL531" s="882"/>
      <c r="BU531" s="882"/>
      <c r="BV531" s="882"/>
      <c r="BW531" s="882"/>
      <c r="CF531" s="882"/>
      <c r="CG531" s="882"/>
      <c r="CH531" s="882"/>
      <c r="CI531" s="530"/>
    </row>
    <row r="532">
      <c r="A532" s="857"/>
      <c r="B532" s="865" t="s">
        <v>118</v>
      </c>
      <c r="C532" s="865" t="s">
        <v>591</v>
      </c>
      <c r="D532" s="865" t="s">
        <v>624</v>
      </c>
      <c r="E532" s="866">
        <v>2019.0</v>
      </c>
      <c r="F532" s="865" t="s">
        <v>593</v>
      </c>
      <c r="G532" s="865" t="s">
        <v>70</v>
      </c>
      <c r="H532" s="867">
        <v>1359892.248</v>
      </c>
      <c r="I532" s="867">
        <v>1549066.105</v>
      </c>
      <c r="J532" s="868">
        <v>1188113.588</v>
      </c>
      <c r="K532" s="50"/>
      <c r="L532" s="869" t="s">
        <v>118</v>
      </c>
      <c r="M532" s="865" t="s">
        <v>591</v>
      </c>
      <c r="N532" s="865" t="s">
        <v>624</v>
      </c>
      <c r="O532" s="866">
        <v>2004.0</v>
      </c>
      <c r="P532" s="865" t="s">
        <v>593</v>
      </c>
      <c r="Q532" s="865" t="s">
        <v>70</v>
      </c>
      <c r="R532" s="867">
        <v>767114.7844</v>
      </c>
      <c r="S532" s="867">
        <v>851787.7366</v>
      </c>
      <c r="T532" s="868">
        <v>692993.3916</v>
      </c>
      <c r="AN532" s="882"/>
      <c r="AO532" s="882"/>
      <c r="AP532" s="882"/>
      <c r="AY532" s="882"/>
      <c r="AZ532" s="882"/>
      <c r="BA532" s="882"/>
      <c r="BJ532" s="882"/>
      <c r="BK532" s="882"/>
      <c r="BL532" s="882"/>
      <c r="BU532" s="882"/>
      <c r="BV532" s="882"/>
      <c r="BW532" s="882"/>
      <c r="CF532" s="882"/>
      <c r="CG532" s="882"/>
      <c r="CH532" s="882"/>
      <c r="CI532" s="530"/>
    </row>
    <row r="533">
      <c r="A533" s="857"/>
      <c r="B533" s="865" t="s">
        <v>118</v>
      </c>
      <c r="C533" s="865" t="s">
        <v>591</v>
      </c>
      <c r="D533" s="865" t="s">
        <v>625</v>
      </c>
      <c r="E533" s="866">
        <v>2019.0</v>
      </c>
      <c r="F533" s="865" t="s">
        <v>593</v>
      </c>
      <c r="G533" s="865" t="s">
        <v>70</v>
      </c>
      <c r="H533" s="867">
        <v>4948691.165</v>
      </c>
      <c r="I533" s="867">
        <v>5637100.849</v>
      </c>
      <c r="J533" s="868">
        <v>4323583.155</v>
      </c>
      <c r="K533" s="50"/>
      <c r="L533" s="869" t="s">
        <v>118</v>
      </c>
      <c r="M533" s="865" t="s">
        <v>591</v>
      </c>
      <c r="N533" s="865" t="s">
        <v>625</v>
      </c>
      <c r="O533" s="866">
        <v>2004.0</v>
      </c>
      <c r="P533" s="865" t="s">
        <v>593</v>
      </c>
      <c r="Q533" s="865" t="s">
        <v>70</v>
      </c>
      <c r="R533" s="867">
        <v>2985857.061</v>
      </c>
      <c r="S533" s="867">
        <v>3315431.38</v>
      </c>
      <c r="T533" s="868">
        <v>2697352.8</v>
      </c>
      <c r="AN533" s="882"/>
      <c r="AO533" s="882"/>
      <c r="AP533" s="882"/>
      <c r="AY533" s="882"/>
      <c r="AZ533" s="882"/>
      <c r="BA533" s="882"/>
      <c r="BJ533" s="882"/>
      <c r="BK533" s="882"/>
      <c r="BL533" s="882"/>
      <c r="BU533" s="882"/>
      <c r="BV533" s="882"/>
      <c r="BW533" s="882"/>
      <c r="CF533" s="882"/>
      <c r="CG533" s="882"/>
      <c r="CH533" s="882"/>
      <c r="CI533" s="530"/>
    </row>
    <row r="534">
      <c r="A534" s="857"/>
      <c r="B534" s="865" t="s">
        <v>118</v>
      </c>
      <c r="C534" s="865" t="s">
        <v>591</v>
      </c>
      <c r="D534" s="865" t="s">
        <v>627</v>
      </c>
      <c r="E534" s="866">
        <v>2019.0</v>
      </c>
      <c r="F534" s="865" t="s">
        <v>593</v>
      </c>
      <c r="G534" s="865" t="s">
        <v>70</v>
      </c>
      <c r="H534" s="867">
        <v>1078672.226</v>
      </c>
      <c r="I534" s="867">
        <v>1228725.722</v>
      </c>
      <c r="J534" s="868">
        <v>942416.6738</v>
      </c>
      <c r="K534" s="50"/>
      <c r="L534" s="869" t="s">
        <v>118</v>
      </c>
      <c r="M534" s="865" t="s">
        <v>591</v>
      </c>
      <c r="N534" s="865" t="s">
        <v>627</v>
      </c>
      <c r="O534" s="866">
        <v>2004.0</v>
      </c>
      <c r="P534" s="865" t="s">
        <v>593</v>
      </c>
      <c r="Q534" s="865" t="s">
        <v>70</v>
      </c>
      <c r="R534" s="867">
        <v>631707.015</v>
      </c>
      <c r="S534" s="867">
        <v>701433.8655</v>
      </c>
      <c r="T534" s="868">
        <v>570669.2085</v>
      </c>
      <c r="AN534" s="882"/>
      <c r="AO534" s="882"/>
      <c r="AP534" s="882"/>
      <c r="AY534" s="882"/>
      <c r="AZ534" s="882"/>
      <c r="BA534" s="882"/>
      <c r="BJ534" s="882"/>
      <c r="BK534" s="882"/>
      <c r="BL534" s="882"/>
      <c r="BU534" s="882"/>
      <c r="BV534" s="882"/>
      <c r="BW534" s="882"/>
      <c r="CF534" s="882"/>
      <c r="CG534" s="882"/>
      <c r="CH534" s="882"/>
      <c r="CI534" s="530"/>
    </row>
    <row r="535">
      <c r="A535" s="857"/>
      <c r="B535" s="865" t="s">
        <v>118</v>
      </c>
      <c r="C535" s="865" t="s">
        <v>591</v>
      </c>
      <c r="D535" s="865" t="s">
        <v>629</v>
      </c>
      <c r="E535" s="866">
        <v>2019.0</v>
      </c>
      <c r="F535" s="865" t="s">
        <v>593</v>
      </c>
      <c r="G535" s="865" t="s">
        <v>70</v>
      </c>
      <c r="H535" s="867">
        <v>3697818.881</v>
      </c>
      <c r="I535" s="867">
        <v>4212134.742</v>
      </c>
      <c r="J535" s="868">
        <v>3230422.94</v>
      </c>
      <c r="K535" s="50"/>
      <c r="L535" s="869" t="s">
        <v>118</v>
      </c>
      <c r="M535" s="865" t="s">
        <v>591</v>
      </c>
      <c r="N535" s="865" t="s">
        <v>629</v>
      </c>
      <c r="O535" s="866">
        <v>2004.0</v>
      </c>
      <c r="P535" s="865" t="s">
        <v>593</v>
      </c>
      <c r="Q535" s="865" t="s">
        <v>70</v>
      </c>
      <c r="R535" s="867">
        <v>2191692.125</v>
      </c>
      <c r="S535" s="867">
        <v>2433588.991</v>
      </c>
      <c r="T535" s="868">
        <v>1979873.338</v>
      </c>
      <c r="AN535" s="882"/>
      <c r="AO535" s="882"/>
      <c r="AP535" s="882"/>
      <c r="AY535" s="882"/>
      <c r="AZ535" s="882"/>
      <c r="BA535" s="882"/>
      <c r="BJ535" s="882"/>
      <c r="BK535" s="882"/>
      <c r="BL535" s="882"/>
      <c r="BU535" s="882"/>
      <c r="BV535" s="882"/>
      <c r="BW535" s="882"/>
      <c r="CF535" s="882"/>
      <c r="CG535" s="882"/>
      <c r="CH535" s="882"/>
      <c r="CI535" s="530"/>
    </row>
    <row r="536">
      <c r="A536" s="857"/>
      <c r="B536" s="865" t="s">
        <v>118</v>
      </c>
      <c r="C536" s="865" t="s">
        <v>591</v>
      </c>
      <c r="D536" s="865" t="s">
        <v>631</v>
      </c>
      <c r="E536" s="866">
        <v>2019.0</v>
      </c>
      <c r="F536" s="865" t="s">
        <v>593</v>
      </c>
      <c r="G536" s="865" t="s">
        <v>70</v>
      </c>
      <c r="H536" s="867">
        <v>864082.1868</v>
      </c>
      <c r="I536" s="867">
        <v>984284.1807</v>
      </c>
      <c r="J536" s="868">
        <v>754933.1859</v>
      </c>
      <c r="K536" s="50"/>
      <c r="L536" s="869" t="s">
        <v>118</v>
      </c>
      <c r="M536" s="865" t="s">
        <v>591</v>
      </c>
      <c r="N536" s="865" t="s">
        <v>631</v>
      </c>
      <c r="O536" s="866">
        <v>2004.0</v>
      </c>
      <c r="P536" s="865" t="s">
        <v>593</v>
      </c>
      <c r="Q536" s="865" t="s">
        <v>70</v>
      </c>
      <c r="R536" s="867">
        <v>518938.7431</v>
      </c>
      <c r="S536" s="867">
        <v>576218.4049</v>
      </c>
      <c r="T536" s="868">
        <v>468797.0131</v>
      </c>
      <c r="AN536" s="882"/>
      <c r="AO536" s="882"/>
      <c r="AP536" s="882"/>
      <c r="AY536" s="882"/>
      <c r="AZ536" s="882"/>
      <c r="BA536" s="882"/>
      <c r="BJ536" s="882"/>
      <c r="BK536" s="882"/>
      <c r="BL536" s="882"/>
      <c r="BU536" s="882"/>
      <c r="BV536" s="882"/>
      <c r="BW536" s="882"/>
      <c r="CF536" s="882"/>
      <c r="CG536" s="882"/>
      <c r="CH536" s="882"/>
      <c r="CI536" s="530"/>
    </row>
    <row r="537">
      <c r="A537" s="857"/>
      <c r="B537" s="865" t="s">
        <v>118</v>
      </c>
      <c r="C537" s="865" t="s">
        <v>591</v>
      </c>
      <c r="D537" s="865" t="s">
        <v>633</v>
      </c>
      <c r="E537" s="866">
        <v>2019.0</v>
      </c>
      <c r="F537" s="865" t="s">
        <v>593</v>
      </c>
      <c r="G537" s="865" t="s">
        <v>70</v>
      </c>
      <c r="H537" s="867">
        <v>706774.5219</v>
      </c>
      <c r="I537" s="867">
        <v>805093.5338</v>
      </c>
      <c r="J537" s="868">
        <v>617496.2865</v>
      </c>
      <c r="K537" s="50"/>
      <c r="L537" s="869" t="s">
        <v>118</v>
      </c>
      <c r="M537" s="865" t="s">
        <v>591</v>
      </c>
      <c r="N537" s="865" t="s">
        <v>633</v>
      </c>
      <c r="O537" s="866">
        <v>2004.0</v>
      </c>
      <c r="P537" s="865" t="s">
        <v>593</v>
      </c>
      <c r="Q537" s="865" t="s">
        <v>70</v>
      </c>
      <c r="R537" s="867">
        <v>421743.2009</v>
      </c>
      <c r="S537" s="867">
        <v>468294.5679</v>
      </c>
      <c r="T537" s="868">
        <v>380992.8541</v>
      </c>
      <c r="AN537" s="882"/>
      <c r="AO537" s="882"/>
      <c r="AP537" s="882"/>
      <c r="AY537" s="882"/>
      <c r="AZ537" s="882"/>
      <c r="BA537" s="882"/>
      <c r="BJ537" s="882"/>
      <c r="BK537" s="882"/>
      <c r="BL537" s="882"/>
      <c r="BU537" s="882"/>
      <c r="BV537" s="882"/>
      <c r="BW537" s="882"/>
      <c r="CF537" s="882"/>
      <c r="CG537" s="882"/>
      <c r="CH537" s="882"/>
      <c r="CI537" s="530"/>
    </row>
    <row r="538">
      <c r="A538" s="857"/>
      <c r="B538" s="865" t="s">
        <v>118</v>
      </c>
      <c r="C538" s="865" t="s">
        <v>591</v>
      </c>
      <c r="D538" s="865" t="s">
        <v>635</v>
      </c>
      <c r="E538" s="866">
        <v>2019.0</v>
      </c>
      <c r="F538" s="865" t="s">
        <v>593</v>
      </c>
      <c r="G538" s="865" t="s">
        <v>70</v>
      </c>
      <c r="H538" s="867">
        <v>580925.0286</v>
      </c>
      <c r="I538" s="867">
        <v>661737.1872</v>
      </c>
      <c r="J538" s="868">
        <v>507543.8301</v>
      </c>
      <c r="K538" s="50"/>
      <c r="L538" s="869" t="s">
        <v>118</v>
      </c>
      <c r="M538" s="865" t="s">
        <v>591</v>
      </c>
      <c r="N538" s="865" t="s">
        <v>635</v>
      </c>
      <c r="O538" s="866">
        <v>2004.0</v>
      </c>
      <c r="P538" s="865" t="s">
        <v>593</v>
      </c>
      <c r="Q538" s="865" t="s">
        <v>70</v>
      </c>
      <c r="R538" s="867">
        <v>345259.2914</v>
      </c>
      <c r="S538" s="867">
        <v>383368.482</v>
      </c>
      <c r="T538" s="868">
        <v>311899.0954</v>
      </c>
      <c r="AN538" s="882"/>
      <c r="AO538" s="882"/>
      <c r="AP538" s="882"/>
      <c r="AY538" s="882"/>
      <c r="AZ538" s="882"/>
      <c r="BA538" s="882"/>
      <c r="BJ538" s="882"/>
      <c r="BK538" s="882"/>
      <c r="BL538" s="882"/>
      <c r="BU538" s="882"/>
      <c r="BV538" s="882"/>
      <c r="BW538" s="882"/>
      <c r="CF538" s="882"/>
      <c r="CG538" s="882"/>
      <c r="CH538" s="882"/>
      <c r="CI538" s="530"/>
    </row>
    <row r="539">
      <c r="A539" s="857"/>
      <c r="B539" s="865" t="s">
        <v>118</v>
      </c>
      <c r="C539" s="865" t="s">
        <v>591</v>
      </c>
      <c r="D539" s="865" t="s">
        <v>637</v>
      </c>
      <c r="E539" s="866">
        <v>2019.0</v>
      </c>
      <c r="F539" s="865" t="s">
        <v>593</v>
      </c>
      <c r="G539" s="865" t="s">
        <v>70</v>
      </c>
      <c r="H539" s="867">
        <v>467275.3077</v>
      </c>
      <c r="I539" s="867">
        <v>532277.7166</v>
      </c>
      <c r="J539" s="868">
        <v>408250.0971</v>
      </c>
      <c r="K539" s="50"/>
      <c r="L539" s="869" t="s">
        <v>118</v>
      </c>
      <c r="M539" s="865" t="s">
        <v>591</v>
      </c>
      <c r="N539" s="865" t="s">
        <v>637</v>
      </c>
      <c r="O539" s="866">
        <v>2004.0</v>
      </c>
      <c r="P539" s="865" t="s">
        <v>593</v>
      </c>
      <c r="Q539" s="865" t="s">
        <v>70</v>
      </c>
      <c r="R539" s="867">
        <v>274002.9622</v>
      </c>
      <c r="S539" s="867">
        <v>304246.9886</v>
      </c>
      <c r="T539" s="868">
        <v>247527.8094</v>
      </c>
      <c r="AN539" s="882"/>
      <c r="AO539" s="882"/>
      <c r="AP539" s="882"/>
      <c r="AY539" s="882"/>
      <c r="AZ539" s="882"/>
      <c r="BA539" s="882"/>
      <c r="BJ539" s="882"/>
      <c r="BK539" s="882"/>
      <c r="BL539" s="882"/>
      <c r="BU539" s="882"/>
      <c r="BV539" s="882"/>
      <c r="BW539" s="882"/>
      <c r="CF539" s="882"/>
      <c r="CG539" s="882"/>
      <c r="CH539" s="882"/>
      <c r="CI539" s="530"/>
    </row>
    <row r="540">
      <c r="A540" s="857"/>
      <c r="B540" s="865" t="s">
        <v>118</v>
      </c>
      <c r="C540" s="865" t="s">
        <v>591</v>
      </c>
      <c r="D540" s="865" t="s">
        <v>639</v>
      </c>
      <c r="E540" s="866">
        <v>2019.0</v>
      </c>
      <c r="F540" s="865" t="s">
        <v>593</v>
      </c>
      <c r="G540" s="865" t="s">
        <v>70</v>
      </c>
      <c r="H540" s="867">
        <v>6757773.528</v>
      </c>
      <c r="I540" s="867">
        <v>7697687.089</v>
      </c>
      <c r="J540" s="868">
        <v>5903606.242</v>
      </c>
      <c r="K540" s="50"/>
      <c r="L540" s="869" t="s">
        <v>118</v>
      </c>
      <c r="M540" s="865" t="s">
        <v>591</v>
      </c>
      <c r="N540" s="865" t="s">
        <v>639</v>
      </c>
      <c r="O540" s="866">
        <v>2004.0</v>
      </c>
      <c r="P540" s="865" t="s">
        <v>593</v>
      </c>
      <c r="Q540" s="865" t="s">
        <v>70</v>
      </c>
      <c r="R540" s="867">
        <v>3716701.661</v>
      </c>
      <c r="S540" s="867">
        <v>4126913.694</v>
      </c>
      <c r="T540" s="868">
        <v>3357496.447</v>
      </c>
      <c r="AN540" s="882"/>
      <c r="AO540" s="882"/>
      <c r="AP540" s="882"/>
      <c r="AY540" s="882"/>
      <c r="AZ540" s="882"/>
      <c r="BA540" s="882"/>
      <c r="BJ540" s="882"/>
      <c r="BK540" s="882"/>
      <c r="BL540" s="882"/>
      <c r="BU540" s="882"/>
      <c r="BV540" s="882"/>
      <c r="BW540" s="882"/>
      <c r="CF540" s="882"/>
      <c r="CG540" s="882"/>
      <c r="CH540" s="882"/>
      <c r="CI540" s="530"/>
    </row>
    <row r="541">
      <c r="A541" s="857"/>
      <c r="B541" s="865" t="s">
        <v>118</v>
      </c>
      <c r="C541" s="865" t="s">
        <v>591</v>
      </c>
      <c r="D541" s="865" t="s">
        <v>641</v>
      </c>
      <c r="E541" s="866">
        <v>2019.0</v>
      </c>
      <c r="F541" s="865" t="s">
        <v>593</v>
      </c>
      <c r="G541" s="865" t="s">
        <v>70</v>
      </c>
      <c r="H541" s="867">
        <v>2751338.527</v>
      </c>
      <c r="I541" s="867">
        <v>3134075.703</v>
      </c>
      <c r="J541" s="868">
        <v>2403795.369</v>
      </c>
      <c r="K541" s="50"/>
      <c r="L541" s="869" t="s">
        <v>118</v>
      </c>
      <c r="M541" s="865" t="s">
        <v>591</v>
      </c>
      <c r="N541" s="865" t="s">
        <v>641</v>
      </c>
      <c r="O541" s="866">
        <v>2004.0</v>
      </c>
      <c r="P541" s="865" t="s">
        <v>593</v>
      </c>
      <c r="Q541" s="865" t="s">
        <v>70</v>
      </c>
      <c r="R541" s="867">
        <v>1561863.211</v>
      </c>
      <c r="S541" s="867">
        <v>1734259.275</v>
      </c>
      <c r="T541" s="868">
        <v>1410950.364</v>
      </c>
      <c r="AN541" s="882"/>
      <c r="AO541" s="882"/>
      <c r="AP541" s="882"/>
      <c r="AY541" s="882"/>
      <c r="AZ541" s="882"/>
      <c r="BA541" s="882"/>
      <c r="BJ541" s="882"/>
      <c r="BK541" s="882"/>
      <c r="BL541" s="882"/>
      <c r="BU541" s="882"/>
      <c r="BV541" s="882"/>
      <c r="BW541" s="882"/>
      <c r="CF541" s="882"/>
      <c r="CG541" s="882"/>
      <c r="CH541" s="882"/>
      <c r="CI541" s="530"/>
    </row>
    <row r="542">
      <c r="A542" s="857"/>
      <c r="B542" s="865" t="s">
        <v>118</v>
      </c>
      <c r="C542" s="865" t="s">
        <v>591</v>
      </c>
      <c r="D542" s="865" t="s">
        <v>643</v>
      </c>
      <c r="E542" s="866">
        <v>2019.0</v>
      </c>
      <c r="F542" s="865" t="s">
        <v>593</v>
      </c>
      <c r="G542" s="865" t="s">
        <v>70</v>
      </c>
      <c r="H542" s="867">
        <v>361451.6297</v>
      </c>
      <c r="I542" s="867">
        <v>411732.9654</v>
      </c>
      <c r="J542" s="868">
        <v>315793.8382</v>
      </c>
      <c r="K542" s="50"/>
      <c r="L542" s="869" t="s">
        <v>118</v>
      </c>
      <c r="M542" s="865" t="s">
        <v>591</v>
      </c>
      <c r="N542" s="865" t="s">
        <v>643</v>
      </c>
      <c r="O542" s="866">
        <v>2004.0</v>
      </c>
      <c r="P542" s="865" t="s">
        <v>593</v>
      </c>
      <c r="Q542" s="865" t="s">
        <v>70</v>
      </c>
      <c r="R542" s="867">
        <v>217221.3164</v>
      </c>
      <c r="S542" s="867">
        <v>241197.8718</v>
      </c>
      <c r="T542" s="868">
        <v>196232.6106</v>
      </c>
      <c r="AN542" s="882"/>
      <c r="AO542" s="882"/>
      <c r="AP542" s="882"/>
      <c r="AY542" s="882"/>
      <c r="AZ542" s="882"/>
      <c r="BA542" s="882"/>
      <c r="BJ542" s="882"/>
      <c r="BK542" s="882"/>
      <c r="BL542" s="882"/>
      <c r="BU542" s="882"/>
      <c r="BV542" s="882"/>
      <c r="BW542" s="882"/>
      <c r="CF542" s="882"/>
      <c r="CG542" s="882"/>
      <c r="CH542" s="882"/>
      <c r="CI542" s="530"/>
    </row>
    <row r="543">
      <c r="A543" s="857"/>
      <c r="B543" s="865" t="s">
        <v>118</v>
      </c>
      <c r="C543" s="865" t="s">
        <v>591</v>
      </c>
      <c r="D543" s="865" t="s">
        <v>645</v>
      </c>
      <c r="E543" s="866">
        <v>2019.0</v>
      </c>
      <c r="F543" s="865" t="s">
        <v>593</v>
      </c>
      <c r="G543" s="865" t="s">
        <v>70</v>
      </c>
      <c r="H543" s="867">
        <v>1007464.127</v>
      </c>
      <c r="I543" s="867">
        <v>1147611.903</v>
      </c>
      <c r="J543" s="868">
        <v>880203.4281</v>
      </c>
      <c r="K543" s="50"/>
      <c r="L543" s="869" t="s">
        <v>118</v>
      </c>
      <c r="M543" s="865" t="s">
        <v>591</v>
      </c>
      <c r="N543" s="865" t="s">
        <v>645</v>
      </c>
      <c r="O543" s="866">
        <v>2004.0</v>
      </c>
      <c r="P543" s="865" t="s">
        <v>593</v>
      </c>
      <c r="Q543" s="865" t="s">
        <v>70</v>
      </c>
      <c r="R543" s="867">
        <v>614834.596</v>
      </c>
      <c r="S543" s="867">
        <v>682699.0949</v>
      </c>
      <c r="T543" s="868">
        <v>555427.0634</v>
      </c>
      <c r="AN543" s="882"/>
      <c r="AO543" s="882"/>
      <c r="AP543" s="882"/>
      <c r="AY543" s="882"/>
      <c r="AZ543" s="882"/>
      <c r="BA543" s="882"/>
      <c r="BJ543" s="882"/>
      <c r="BK543" s="882"/>
      <c r="BL543" s="882"/>
      <c r="BU543" s="882"/>
      <c r="BV543" s="882"/>
      <c r="BW543" s="882"/>
      <c r="CF543" s="882"/>
      <c r="CG543" s="882"/>
      <c r="CH543" s="882"/>
      <c r="CI543" s="530"/>
    </row>
    <row r="544">
      <c r="A544" s="857"/>
      <c r="B544" s="865" t="s">
        <v>118</v>
      </c>
      <c r="C544" s="865" t="s">
        <v>591</v>
      </c>
      <c r="D544" s="865" t="s">
        <v>604</v>
      </c>
      <c r="E544" s="866">
        <v>2019.0</v>
      </c>
      <c r="F544" s="865" t="s">
        <v>593</v>
      </c>
      <c r="G544" s="865" t="s">
        <v>70</v>
      </c>
      <c r="H544" s="867">
        <v>4977421.002</v>
      </c>
      <c r="I544" s="867">
        <v>5669827.277</v>
      </c>
      <c r="J544" s="868">
        <v>4348683.9</v>
      </c>
      <c r="K544" s="50"/>
      <c r="L544" s="869" t="s">
        <v>118</v>
      </c>
      <c r="M544" s="865" t="s">
        <v>591</v>
      </c>
      <c r="N544" s="865" t="s">
        <v>604</v>
      </c>
      <c r="O544" s="866">
        <v>2004.0</v>
      </c>
      <c r="P544" s="865" t="s">
        <v>593</v>
      </c>
      <c r="Q544" s="865" t="s">
        <v>70</v>
      </c>
      <c r="R544" s="867">
        <v>2764909.122</v>
      </c>
      <c r="S544" s="867">
        <v>3070095.546</v>
      </c>
      <c r="T544" s="868">
        <v>2497753.646</v>
      </c>
      <c r="AN544" s="882"/>
      <c r="AO544" s="882"/>
      <c r="AP544" s="882"/>
      <c r="AY544" s="882"/>
      <c r="AZ544" s="882"/>
      <c r="BA544" s="882"/>
      <c r="BJ544" s="882"/>
      <c r="BK544" s="882"/>
      <c r="BL544" s="882"/>
      <c r="BU544" s="882"/>
      <c r="BV544" s="882"/>
      <c r="BW544" s="882"/>
      <c r="CF544" s="882"/>
      <c r="CG544" s="882"/>
      <c r="CH544" s="882"/>
      <c r="CI544" s="530"/>
    </row>
    <row r="545">
      <c r="A545" s="857"/>
      <c r="B545" s="865" t="s">
        <v>118</v>
      </c>
      <c r="C545" s="865" t="s">
        <v>591</v>
      </c>
      <c r="D545" s="865" t="s">
        <v>647</v>
      </c>
      <c r="E545" s="866">
        <v>2019.0</v>
      </c>
      <c r="F545" s="865" t="s">
        <v>593</v>
      </c>
      <c r="G545" s="865" t="s">
        <v>70</v>
      </c>
      <c r="H545" s="867">
        <v>889531.8201</v>
      </c>
      <c r="I545" s="867">
        <v>1013253.489</v>
      </c>
      <c r="J545" s="868">
        <v>777097.0104</v>
      </c>
      <c r="K545" s="50"/>
      <c r="L545" s="869" t="s">
        <v>118</v>
      </c>
      <c r="M545" s="865" t="s">
        <v>591</v>
      </c>
      <c r="N545" s="865" t="s">
        <v>647</v>
      </c>
      <c r="O545" s="866">
        <v>2004.0</v>
      </c>
      <c r="P545" s="865" t="s">
        <v>593</v>
      </c>
      <c r="Q545" s="865" t="s">
        <v>70</v>
      </c>
      <c r="R545" s="867">
        <v>576995.3033</v>
      </c>
      <c r="S545" s="867">
        <v>640678.2238</v>
      </c>
      <c r="T545" s="868">
        <v>521230.881</v>
      </c>
      <c r="AN545" s="882"/>
      <c r="AO545" s="882"/>
      <c r="AP545" s="882"/>
      <c r="AY545" s="882"/>
      <c r="AZ545" s="882"/>
      <c r="BA545" s="882"/>
      <c r="BJ545" s="882"/>
      <c r="BK545" s="882"/>
      <c r="BL545" s="882"/>
      <c r="BU545" s="882"/>
      <c r="BV545" s="882"/>
      <c r="BW545" s="882"/>
      <c r="CF545" s="882"/>
      <c r="CG545" s="882"/>
      <c r="CH545" s="882"/>
      <c r="CI545" s="530"/>
    </row>
    <row r="546">
      <c r="A546" s="857"/>
      <c r="B546" s="865" t="s">
        <v>118</v>
      </c>
      <c r="C546" s="865" t="s">
        <v>591</v>
      </c>
      <c r="D546" s="865" t="s">
        <v>649</v>
      </c>
      <c r="E546" s="866">
        <v>2019.0</v>
      </c>
      <c r="F546" s="865" t="s">
        <v>593</v>
      </c>
      <c r="G546" s="865" t="s">
        <v>70</v>
      </c>
      <c r="H546" s="867">
        <v>278235.5133</v>
      </c>
      <c r="I546" s="867">
        <v>316940.7013</v>
      </c>
      <c r="J546" s="868">
        <v>243089.4025</v>
      </c>
      <c r="K546" s="50"/>
      <c r="L546" s="869" t="s">
        <v>118</v>
      </c>
      <c r="M546" s="865" t="s">
        <v>591</v>
      </c>
      <c r="N546" s="865" t="s">
        <v>649</v>
      </c>
      <c r="O546" s="866">
        <v>2004.0</v>
      </c>
      <c r="P546" s="865" t="s">
        <v>593</v>
      </c>
      <c r="Q546" s="865" t="s">
        <v>70</v>
      </c>
      <c r="R546" s="867">
        <v>165556.248</v>
      </c>
      <c r="S546" s="867">
        <v>183830.0925</v>
      </c>
      <c r="T546" s="868">
        <v>149559.6071</v>
      </c>
      <c r="AN546" s="882"/>
      <c r="AO546" s="882"/>
      <c r="AP546" s="882"/>
      <c r="AY546" s="882"/>
      <c r="AZ546" s="882"/>
      <c r="BA546" s="882"/>
      <c r="BJ546" s="882"/>
      <c r="BK546" s="882"/>
      <c r="BL546" s="882"/>
      <c r="BU546" s="882"/>
      <c r="BV546" s="882"/>
      <c r="BW546" s="882"/>
      <c r="CF546" s="882"/>
      <c r="CG546" s="882"/>
      <c r="CH546" s="882"/>
      <c r="CI546" s="530"/>
    </row>
    <row r="547">
      <c r="A547" s="857"/>
      <c r="B547" s="865" t="s">
        <v>118</v>
      </c>
      <c r="C547" s="865" t="s">
        <v>591</v>
      </c>
      <c r="D547" s="865" t="s">
        <v>651</v>
      </c>
      <c r="E547" s="866">
        <v>2019.0</v>
      </c>
      <c r="F547" s="865" t="s">
        <v>593</v>
      </c>
      <c r="G547" s="865" t="s">
        <v>70</v>
      </c>
      <c r="H547" s="867">
        <v>208663.0235</v>
      </c>
      <c r="I547" s="867">
        <v>237690.021</v>
      </c>
      <c r="J547" s="868">
        <v>182305.1597</v>
      </c>
      <c r="K547" s="50"/>
      <c r="L547" s="869" t="s">
        <v>118</v>
      </c>
      <c r="M547" s="865" t="s">
        <v>591</v>
      </c>
      <c r="N547" s="865" t="s">
        <v>651</v>
      </c>
      <c r="O547" s="866">
        <v>2004.0</v>
      </c>
      <c r="P547" s="865" t="s">
        <v>593</v>
      </c>
      <c r="Q547" s="865" t="s">
        <v>70</v>
      </c>
      <c r="R547" s="867">
        <v>129004.5101</v>
      </c>
      <c r="S547" s="867">
        <v>143243.8299</v>
      </c>
      <c r="T547" s="868">
        <v>116539.6298</v>
      </c>
      <c r="AN547" s="882"/>
      <c r="AO547" s="882"/>
      <c r="AP547" s="882"/>
      <c r="AY547" s="882"/>
      <c r="AZ547" s="882"/>
      <c r="BA547" s="882"/>
      <c r="BJ547" s="882"/>
      <c r="BK547" s="882"/>
      <c r="BL547" s="882"/>
      <c r="BU547" s="882"/>
      <c r="BV547" s="882"/>
      <c r="BW547" s="882"/>
      <c r="CF547" s="882"/>
      <c r="CG547" s="882"/>
      <c r="CH547" s="882"/>
      <c r="CI547" s="530"/>
    </row>
    <row r="548">
      <c r="A548" s="857"/>
      <c r="B548" s="865" t="s">
        <v>118</v>
      </c>
      <c r="C548" s="865" t="s">
        <v>591</v>
      </c>
      <c r="D548" s="865" t="s">
        <v>653</v>
      </c>
      <c r="E548" s="866">
        <v>2019.0</v>
      </c>
      <c r="F548" s="865" t="s">
        <v>593</v>
      </c>
      <c r="G548" s="865" t="s">
        <v>70</v>
      </c>
      <c r="H548" s="867">
        <v>159113.9605</v>
      </c>
      <c r="I548" s="867">
        <v>181248.2153</v>
      </c>
      <c r="J548" s="868">
        <v>139015.0277</v>
      </c>
      <c r="K548" s="50"/>
      <c r="L548" s="869" t="s">
        <v>118</v>
      </c>
      <c r="M548" s="865" t="s">
        <v>591</v>
      </c>
      <c r="N548" s="865" t="s">
        <v>653</v>
      </c>
      <c r="O548" s="866">
        <v>2004.0</v>
      </c>
      <c r="P548" s="865" t="s">
        <v>593</v>
      </c>
      <c r="Q548" s="865" t="s">
        <v>70</v>
      </c>
      <c r="R548" s="867">
        <v>103052.5216</v>
      </c>
      <c r="S548" s="867">
        <v>114427.3007</v>
      </c>
      <c r="T548" s="868">
        <v>93095.21585</v>
      </c>
      <c r="AN548" s="882"/>
      <c r="AO548" s="882"/>
      <c r="AP548" s="882"/>
      <c r="AY548" s="882"/>
      <c r="AZ548" s="882"/>
      <c r="BA548" s="882"/>
      <c r="BJ548" s="882"/>
      <c r="BK548" s="882"/>
      <c r="BL548" s="882"/>
      <c r="BU548" s="882"/>
      <c r="BV548" s="882"/>
      <c r="BW548" s="882"/>
      <c r="CF548" s="882"/>
      <c r="CG548" s="882"/>
      <c r="CH548" s="882"/>
      <c r="CI548" s="530"/>
    </row>
    <row r="549">
      <c r="A549" s="857"/>
      <c r="B549" s="865" t="s">
        <v>118</v>
      </c>
      <c r="C549" s="865" t="s">
        <v>591</v>
      </c>
      <c r="D549" s="865" t="s">
        <v>655</v>
      </c>
      <c r="E549" s="866">
        <v>2019.0</v>
      </c>
      <c r="F549" s="865" t="s">
        <v>593</v>
      </c>
      <c r="G549" s="865" t="s">
        <v>70</v>
      </c>
      <c r="H549" s="867">
        <v>270626.7387</v>
      </c>
      <c r="I549" s="867">
        <v>308267.2042</v>
      </c>
      <c r="J549" s="868">
        <v>236420.1311</v>
      </c>
      <c r="K549" s="50"/>
      <c r="L549" s="869" t="s">
        <v>118</v>
      </c>
      <c r="M549" s="865" t="s">
        <v>591</v>
      </c>
      <c r="N549" s="865" t="s">
        <v>655</v>
      </c>
      <c r="O549" s="866">
        <v>2004.0</v>
      </c>
      <c r="P549" s="865" t="s">
        <v>593</v>
      </c>
      <c r="Q549" s="865" t="s">
        <v>70</v>
      </c>
      <c r="R549" s="867">
        <v>190185.1122</v>
      </c>
      <c r="S549" s="867">
        <v>211175.8261</v>
      </c>
      <c r="T549" s="868">
        <v>171804.4376</v>
      </c>
      <c r="AN549" s="882"/>
      <c r="AO549" s="882"/>
      <c r="AP549" s="882"/>
      <c r="AY549" s="882"/>
      <c r="AZ549" s="882"/>
      <c r="BA549" s="882"/>
      <c r="BJ549" s="882"/>
      <c r="BK549" s="882"/>
      <c r="BL549" s="882"/>
      <c r="BU549" s="882"/>
      <c r="BV549" s="882"/>
      <c r="BW549" s="882"/>
      <c r="CF549" s="882"/>
      <c r="CG549" s="882"/>
      <c r="CH549" s="882"/>
      <c r="CI549" s="530"/>
    </row>
    <row r="550">
      <c r="A550" s="857"/>
      <c r="B550" s="865" t="s">
        <v>118</v>
      </c>
      <c r="C550" s="865" t="s">
        <v>591</v>
      </c>
      <c r="D550" s="865" t="s">
        <v>657</v>
      </c>
      <c r="E550" s="866">
        <v>2019.0</v>
      </c>
      <c r="F550" s="865" t="s">
        <v>593</v>
      </c>
      <c r="G550" s="865" t="s">
        <v>70</v>
      </c>
      <c r="H550" s="867">
        <v>111506.2201</v>
      </c>
      <c r="I550" s="867">
        <v>127017.7885</v>
      </c>
      <c r="J550" s="868">
        <v>97420.99451</v>
      </c>
      <c r="K550" s="50"/>
      <c r="L550" s="869" t="s">
        <v>118</v>
      </c>
      <c r="M550" s="865" t="s">
        <v>591</v>
      </c>
      <c r="N550" s="865" t="s">
        <v>657</v>
      </c>
      <c r="O550" s="866">
        <v>2004.0</v>
      </c>
      <c r="P550" s="865" t="s">
        <v>593</v>
      </c>
      <c r="Q550" s="865" t="s">
        <v>70</v>
      </c>
      <c r="R550" s="867">
        <v>87129.04036</v>
      </c>
      <c r="S550" s="867">
        <v>96746.21008</v>
      </c>
      <c r="T550" s="868">
        <v>78710.31874</v>
      </c>
      <c r="AN550" s="882"/>
      <c r="AO550" s="882"/>
      <c r="AP550" s="882"/>
      <c r="AY550" s="882"/>
      <c r="AZ550" s="882"/>
      <c r="BA550" s="882"/>
      <c r="BJ550" s="882"/>
      <c r="BK550" s="882"/>
      <c r="BL550" s="882"/>
      <c r="BU550" s="882"/>
      <c r="BV550" s="882"/>
      <c r="BW550" s="882"/>
      <c r="CF550" s="882"/>
      <c r="CG550" s="882"/>
      <c r="CH550" s="882"/>
      <c r="CI550" s="530"/>
    </row>
    <row r="551">
      <c r="A551" s="857"/>
      <c r="B551" s="865" t="s">
        <v>118</v>
      </c>
      <c r="C551" s="865" t="s">
        <v>591</v>
      </c>
      <c r="D551" s="865" t="s">
        <v>659</v>
      </c>
      <c r="E551" s="866">
        <v>2019.0</v>
      </c>
      <c r="F551" s="865" t="s">
        <v>593</v>
      </c>
      <c r="G551" s="865" t="s">
        <v>70</v>
      </c>
      <c r="H551" s="867">
        <v>243497.7668</v>
      </c>
      <c r="I551" s="867">
        <v>277370.6061</v>
      </c>
      <c r="J551" s="868">
        <v>212739.6533</v>
      </c>
      <c r="K551" s="50"/>
      <c r="L551" s="869" t="s">
        <v>118</v>
      </c>
      <c r="M551" s="865" t="s">
        <v>591</v>
      </c>
      <c r="N551" s="865" t="s">
        <v>659</v>
      </c>
      <c r="O551" s="866">
        <v>2004.0</v>
      </c>
      <c r="P551" s="865" t="s">
        <v>593</v>
      </c>
      <c r="Q551" s="865" t="s">
        <v>70</v>
      </c>
      <c r="R551" s="867">
        <v>179371.2528</v>
      </c>
      <c r="S551" s="867">
        <v>199169.9763</v>
      </c>
      <c r="T551" s="868">
        <v>162039.7564</v>
      </c>
      <c r="AN551" s="882"/>
      <c r="AO551" s="882"/>
      <c r="AP551" s="882"/>
      <c r="AY551" s="882"/>
      <c r="AZ551" s="882"/>
      <c r="BA551" s="882"/>
      <c r="BJ551" s="882"/>
      <c r="BK551" s="882"/>
      <c r="BL551" s="882"/>
      <c r="BU551" s="882"/>
      <c r="BV551" s="882"/>
      <c r="BW551" s="882"/>
      <c r="CF551" s="882"/>
      <c r="CG551" s="882"/>
      <c r="CH551" s="882"/>
      <c r="CI551" s="530"/>
    </row>
    <row r="552">
      <c r="A552" s="857"/>
      <c r="B552" s="865" t="s">
        <v>118</v>
      </c>
      <c r="C552" s="865" t="s">
        <v>591</v>
      </c>
      <c r="D552" s="865" t="s">
        <v>661</v>
      </c>
      <c r="E552" s="866">
        <v>2019.0</v>
      </c>
      <c r="F552" s="865" t="s">
        <v>593</v>
      </c>
      <c r="G552" s="865" t="s">
        <v>70</v>
      </c>
      <c r="H552" s="867">
        <v>131994.7453</v>
      </c>
      <c r="I552" s="867">
        <v>150353.403</v>
      </c>
      <c r="J552" s="868">
        <v>115310.9081</v>
      </c>
      <c r="K552" s="50"/>
      <c r="L552" s="869" t="s">
        <v>118</v>
      </c>
      <c r="M552" s="865" t="s">
        <v>591</v>
      </c>
      <c r="N552" s="865" t="s">
        <v>661</v>
      </c>
      <c r="O552" s="866">
        <v>2004.0</v>
      </c>
      <c r="P552" s="865" t="s">
        <v>593</v>
      </c>
      <c r="Q552" s="865" t="s">
        <v>70</v>
      </c>
      <c r="R552" s="867">
        <v>92243.93434</v>
      </c>
      <c r="S552" s="867">
        <v>102424.8892</v>
      </c>
      <c r="T552" s="868">
        <v>83328.9056</v>
      </c>
      <c r="AN552" s="882"/>
      <c r="AO552" s="882"/>
      <c r="AP552" s="882"/>
      <c r="AY552" s="882"/>
      <c r="AZ552" s="882"/>
      <c r="BA552" s="882"/>
      <c r="BJ552" s="882"/>
      <c r="BK552" s="882"/>
      <c r="BL552" s="882"/>
      <c r="BU552" s="882"/>
      <c r="BV552" s="882"/>
      <c r="BW552" s="882"/>
      <c r="CF552" s="882"/>
      <c r="CG552" s="882"/>
      <c r="CH552" s="882"/>
      <c r="CI552" s="530"/>
    </row>
    <row r="553">
      <c r="A553" s="857"/>
      <c r="B553" s="865" t="s">
        <v>118</v>
      </c>
      <c r="C553" s="865" t="s">
        <v>591</v>
      </c>
      <c r="D553" s="865" t="s">
        <v>663</v>
      </c>
      <c r="E553" s="866">
        <v>2019.0</v>
      </c>
      <c r="F553" s="865" t="s">
        <v>593</v>
      </c>
      <c r="G553" s="865" t="s">
        <v>70</v>
      </c>
      <c r="H553" s="867">
        <v>70880.20294</v>
      </c>
      <c r="I553" s="867">
        <v>80740.30867</v>
      </c>
      <c r="J553" s="868">
        <v>61926.76836</v>
      </c>
      <c r="K553" s="50"/>
      <c r="L553" s="869" t="s">
        <v>118</v>
      </c>
      <c r="M553" s="865" t="s">
        <v>591</v>
      </c>
      <c r="N553" s="865" t="s">
        <v>663</v>
      </c>
      <c r="O553" s="866">
        <v>2004.0</v>
      </c>
      <c r="P553" s="865" t="s">
        <v>593</v>
      </c>
      <c r="Q553" s="865" t="s">
        <v>70</v>
      </c>
      <c r="R553" s="867">
        <v>47990.15302</v>
      </c>
      <c r="S553" s="867">
        <v>53287.23244</v>
      </c>
      <c r="T553" s="868">
        <v>43353.17163</v>
      </c>
      <c r="AN553" s="882"/>
      <c r="AO553" s="882"/>
      <c r="AP553" s="882"/>
      <c r="AY553" s="882"/>
      <c r="AZ553" s="882"/>
      <c r="BA553" s="882"/>
      <c r="BJ553" s="882"/>
      <c r="BK553" s="882"/>
      <c r="BL553" s="882"/>
      <c r="BU553" s="882"/>
      <c r="BV553" s="882"/>
      <c r="BW553" s="882"/>
      <c r="CF553" s="882"/>
      <c r="CG553" s="882"/>
      <c r="CH553" s="882"/>
      <c r="CI553" s="530"/>
    </row>
    <row r="554">
      <c r="A554" s="857"/>
      <c r="B554" s="865" t="s">
        <v>118</v>
      </c>
      <c r="C554" s="865" t="s">
        <v>591</v>
      </c>
      <c r="D554" s="865" t="s">
        <v>665</v>
      </c>
      <c r="E554" s="866">
        <v>2019.0</v>
      </c>
      <c r="F554" s="865" t="s">
        <v>593</v>
      </c>
      <c r="G554" s="865" t="s">
        <v>70</v>
      </c>
      <c r="H554" s="867">
        <v>108657.5927</v>
      </c>
      <c r="I554" s="867">
        <v>123770.3727</v>
      </c>
      <c r="J554" s="868">
        <v>94923.51881</v>
      </c>
      <c r="K554" s="50"/>
      <c r="L554" s="869" t="s">
        <v>118</v>
      </c>
      <c r="M554" s="865" t="s">
        <v>591</v>
      </c>
      <c r="N554" s="865" t="s">
        <v>665</v>
      </c>
      <c r="O554" s="866">
        <v>2004.0</v>
      </c>
      <c r="P554" s="865" t="s">
        <v>593</v>
      </c>
      <c r="Q554" s="865" t="s">
        <v>70</v>
      </c>
      <c r="R554" s="867">
        <v>76022.43222</v>
      </c>
      <c r="S554" s="867">
        <v>84413.02133</v>
      </c>
      <c r="T554" s="868">
        <v>68675.15054</v>
      </c>
      <c r="AN554" s="882"/>
      <c r="AO554" s="882"/>
      <c r="AP554" s="882"/>
      <c r="AY554" s="882"/>
      <c r="AZ554" s="882"/>
      <c r="BA554" s="882"/>
      <c r="BJ554" s="882"/>
      <c r="BK554" s="882"/>
      <c r="BL554" s="882"/>
      <c r="BU554" s="882"/>
      <c r="BV554" s="882"/>
      <c r="BW554" s="882"/>
      <c r="CF554" s="882"/>
      <c r="CG554" s="882"/>
      <c r="CH554" s="882"/>
      <c r="CI554" s="530"/>
    </row>
    <row r="555">
      <c r="A555" s="857"/>
      <c r="B555" s="865" t="s">
        <v>118</v>
      </c>
      <c r="C555" s="865" t="s">
        <v>591</v>
      </c>
      <c r="D555" s="865" t="s">
        <v>667</v>
      </c>
      <c r="E555" s="866">
        <v>2019.0</v>
      </c>
      <c r="F555" s="865" t="s">
        <v>593</v>
      </c>
      <c r="G555" s="865" t="s">
        <v>70</v>
      </c>
      <c r="H555" s="867">
        <v>61111.34375</v>
      </c>
      <c r="I555" s="867">
        <v>69612.50889</v>
      </c>
      <c r="J555" s="868">
        <v>53391.89042</v>
      </c>
      <c r="K555" s="50"/>
      <c r="L555" s="869" t="s">
        <v>118</v>
      </c>
      <c r="M555" s="865" t="s">
        <v>591</v>
      </c>
      <c r="N555" s="865" t="s">
        <v>667</v>
      </c>
      <c r="O555" s="866">
        <v>2004.0</v>
      </c>
      <c r="P555" s="865" t="s">
        <v>593</v>
      </c>
      <c r="Q555" s="865" t="s">
        <v>70</v>
      </c>
      <c r="R555" s="867">
        <v>44252.05937</v>
      </c>
      <c r="S555" s="867">
        <v>49136.53376</v>
      </c>
      <c r="T555" s="868">
        <v>39976.26605</v>
      </c>
      <c r="AN555" s="882"/>
      <c r="AO555" s="882"/>
      <c r="AP555" s="882"/>
      <c r="AY555" s="882"/>
      <c r="AZ555" s="882"/>
      <c r="BA555" s="882"/>
      <c r="BJ555" s="882"/>
      <c r="BK555" s="882"/>
      <c r="BL555" s="882"/>
      <c r="BU555" s="882"/>
      <c r="BV555" s="882"/>
      <c r="BW555" s="882"/>
      <c r="CF555" s="882"/>
      <c r="CG555" s="882"/>
      <c r="CH555" s="882"/>
      <c r="CI555" s="530"/>
    </row>
    <row r="556">
      <c r="A556" s="857"/>
      <c r="B556" s="865" t="s">
        <v>118</v>
      </c>
      <c r="C556" s="865" t="s">
        <v>591</v>
      </c>
      <c r="D556" s="865" t="s">
        <v>669</v>
      </c>
      <c r="E556" s="866">
        <v>2019.0</v>
      </c>
      <c r="F556" s="865" t="s">
        <v>593</v>
      </c>
      <c r="G556" s="865" t="s">
        <v>70</v>
      </c>
      <c r="H556" s="867">
        <v>37774.75666</v>
      </c>
      <c r="I556" s="867">
        <v>43029.58212</v>
      </c>
      <c r="J556" s="868">
        <v>33003.13075</v>
      </c>
      <c r="K556" s="50"/>
      <c r="L556" s="869" t="s">
        <v>118</v>
      </c>
      <c r="M556" s="865" t="s">
        <v>591</v>
      </c>
      <c r="N556" s="865" t="s">
        <v>669</v>
      </c>
      <c r="O556" s="866">
        <v>2004.0</v>
      </c>
      <c r="P556" s="865" t="s">
        <v>593</v>
      </c>
      <c r="Q556" s="865" t="s">
        <v>70</v>
      </c>
      <c r="R556" s="867">
        <v>28030.86006</v>
      </c>
      <c r="S556" s="867">
        <v>31124.86336</v>
      </c>
      <c r="T556" s="868">
        <v>25322.41743</v>
      </c>
      <c r="AN556" s="882"/>
      <c r="AO556" s="882"/>
      <c r="AP556" s="882"/>
      <c r="AY556" s="882"/>
      <c r="AZ556" s="882"/>
      <c r="BA556" s="882"/>
      <c r="BJ556" s="882"/>
      <c r="BK556" s="882"/>
      <c r="BL556" s="882"/>
      <c r="BU556" s="882"/>
      <c r="BV556" s="882"/>
      <c r="BW556" s="882"/>
      <c r="CF556" s="882"/>
      <c r="CG556" s="882"/>
      <c r="CH556" s="882"/>
      <c r="CI556" s="530"/>
    </row>
    <row r="557">
      <c r="A557" s="857"/>
      <c r="B557" s="865" t="s">
        <v>118</v>
      </c>
      <c r="C557" s="865" t="s">
        <v>591</v>
      </c>
      <c r="D557" s="865" t="s">
        <v>671</v>
      </c>
      <c r="E557" s="866">
        <v>2019.0</v>
      </c>
      <c r="F557" s="865" t="s">
        <v>593</v>
      </c>
      <c r="G557" s="865" t="s">
        <v>70</v>
      </c>
      <c r="H557" s="867">
        <v>23337.15262</v>
      </c>
      <c r="I557" s="867">
        <v>26583.03029</v>
      </c>
      <c r="J557" s="868">
        <v>20387.38932</v>
      </c>
      <c r="K557" s="50"/>
      <c r="L557" s="869" t="s">
        <v>118</v>
      </c>
      <c r="M557" s="865" t="s">
        <v>591</v>
      </c>
      <c r="N557" s="865" t="s">
        <v>671</v>
      </c>
      <c r="O557" s="866">
        <v>2004.0</v>
      </c>
      <c r="P557" s="865" t="s">
        <v>593</v>
      </c>
      <c r="Q557" s="865" t="s">
        <v>70</v>
      </c>
      <c r="R557" s="867">
        <v>16221.50213</v>
      </c>
      <c r="S557" s="867">
        <v>18011.86788</v>
      </c>
      <c r="T557" s="868">
        <v>14653.75506</v>
      </c>
      <c r="AN557" s="882"/>
      <c r="AO557" s="882"/>
      <c r="AP557" s="882"/>
      <c r="AY557" s="882"/>
      <c r="AZ557" s="882"/>
      <c r="BA557" s="882"/>
      <c r="BJ557" s="882"/>
      <c r="BK557" s="882"/>
      <c r="BL557" s="882"/>
      <c r="BU557" s="882"/>
      <c r="BV557" s="882"/>
      <c r="BW557" s="882"/>
      <c r="CF557" s="882"/>
      <c r="CG557" s="882"/>
      <c r="CH557" s="882"/>
      <c r="CI557" s="530"/>
    </row>
    <row r="558">
      <c r="A558" s="857"/>
      <c r="B558" s="865" t="s">
        <v>118</v>
      </c>
      <c r="C558" s="865" t="s">
        <v>591</v>
      </c>
      <c r="D558" s="865" t="s">
        <v>673</v>
      </c>
      <c r="E558" s="866">
        <v>2019.0</v>
      </c>
      <c r="F558" s="865" t="s">
        <v>593</v>
      </c>
      <c r="G558" s="865" t="s">
        <v>70</v>
      </c>
      <c r="H558" s="867">
        <v>17611.99692</v>
      </c>
      <c r="I558" s="867">
        <v>20061.99205</v>
      </c>
      <c r="J558" s="868">
        <v>15387.2874</v>
      </c>
      <c r="K558" s="50"/>
      <c r="L558" s="869" t="s">
        <v>118</v>
      </c>
      <c r="M558" s="865" t="s">
        <v>591</v>
      </c>
      <c r="N558" s="865" t="s">
        <v>673</v>
      </c>
      <c r="O558" s="866">
        <v>2004.0</v>
      </c>
      <c r="P558" s="865" t="s">
        <v>593</v>
      </c>
      <c r="Q558" s="865" t="s">
        <v>70</v>
      </c>
      <c r="R558" s="867">
        <v>11805.67263</v>
      </c>
      <c r="S558" s="867">
        <v>13108.76465</v>
      </c>
      <c r="T558" s="868">
        <v>10664.96603</v>
      </c>
      <c r="AN558" s="882"/>
      <c r="AO558" s="882"/>
      <c r="AP558" s="882"/>
      <c r="AY558" s="882"/>
      <c r="AZ558" s="882"/>
      <c r="BA558" s="882"/>
      <c r="BJ558" s="882"/>
      <c r="BK558" s="882"/>
      <c r="BL558" s="882"/>
      <c r="BU558" s="882"/>
      <c r="BV558" s="882"/>
      <c r="BW558" s="882"/>
      <c r="CF558" s="882"/>
      <c r="CG558" s="882"/>
      <c r="CH558" s="882"/>
      <c r="CI558" s="530"/>
    </row>
    <row r="559">
      <c r="A559" s="857"/>
      <c r="B559" s="865" t="s">
        <v>118</v>
      </c>
      <c r="C559" s="865" t="s">
        <v>591</v>
      </c>
      <c r="D559" s="865" t="s">
        <v>674</v>
      </c>
      <c r="E559" s="866">
        <v>2019.0</v>
      </c>
      <c r="F559" s="865" t="s">
        <v>593</v>
      </c>
      <c r="G559" s="865" t="s">
        <v>70</v>
      </c>
      <c r="H559" s="867">
        <v>4591.237694</v>
      </c>
      <c r="I559" s="867">
        <v>5229.922223</v>
      </c>
      <c r="J559" s="868">
        <v>4011.282436</v>
      </c>
      <c r="K559" s="50"/>
      <c r="L559" s="869" t="s">
        <v>118</v>
      </c>
      <c r="M559" s="865" t="s">
        <v>591</v>
      </c>
      <c r="N559" s="865" t="s">
        <v>674</v>
      </c>
      <c r="O559" s="866">
        <v>2004.0</v>
      </c>
      <c r="P559" s="865" t="s">
        <v>593</v>
      </c>
      <c r="Q559" s="865" t="s">
        <v>70</v>
      </c>
      <c r="R559" s="867">
        <v>3624.321453</v>
      </c>
      <c r="S559" s="867">
        <v>4024.368491</v>
      </c>
      <c r="T559" s="868">
        <v>3274.126463</v>
      </c>
      <c r="AN559" s="882"/>
      <c r="AO559" s="882"/>
      <c r="AP559" s="882"/>
      <c r="AY559" s="882"/>
      <c r="AZ559" s="882"/>
      <c r="BA559" s="882"/>
      <c r="BJ559" s="882"/>
      <c r="BK559" s="882"/>
      <c r="BL559" s="882"/>
      <c r="BU559" s="882"/>
      <c r="BV559" s="882"/>
      <c r="BW559" s="882"/>
      <c r="CF559" s="882"/>
      <c r="CG559" s="882"/>
      <c r="CH559" s="882"/>
      <c r="CI559" s="530"/>
    </row>
    <row r="560">
      <c r="A560" s="857"/>
      <c r="B560" s="865" t="s">
        <v>118</v>
      </c>
      <c r="C560" s="865" t="s">
        <v>591</v>
      </c>
      <c r="D560" s="865" t="s">
        <v>676</v>
      </c>
      <c r="E560" s="866">
        <v>2019.0</v>
      </c>
      <c r="F560" s="865" t="s">
        <v>593</v>
      </c>
      <c r="G560" s="865" t="s">
        <v>70</v>
      </c>
      <c r="H560" s="867">
        <v>1133.352475</v>
      </c>
      <c r="I560" s="867">
        <v>1291.012509</v>
      </c>
      <c r="J560" s="868">
        <v>990.1898307</v>
      </c>
      <c r="K560" s="50"/>
      <c r="L560" s="869" t="s">
        <v>118</v>
      </c>
      <c r="M560" s="865" t="s">
        <v>591</v>
      </c>
      <c r="N560" s="865" t="s">
        <v>676</v>
      </c>
      <c r="O560" s="866">
        <v>2004.0</v>
      </c>
      <c r="P560" s="865" t="s">
        <v>593</v>
      </c>
      <c r="Q560" s="865" t="s">
        <v>70</v>
      </c>
      <c r="R560" s="867">
        <v>791.2052298</v>
      </c>
      <c r="S560" s="867">
        <v>878.5372485</v>
      </c>
      <c r="T560" s="868">
        <v>714.7561315</v>
      </c>
      <c r="AN560" s="882"/>
      <c r="AO560" s="882"/>
      <c r="AP560" s="882"/>
      <c r="AY560" s="882"/>
      <c r="AZ560" s="882"/>
      <c r="BA560" s="882"/>
      <c r="BJ560" s="882"/>
      <c r="BK560" s="882"/>
      <c r="BL560" s="882"/>
      <c r="BU560" s="882"/>
      <c r="BV560" s="882"/>
      <c r="BW560" s="882"/>
      <c r="CF560" s="882"/>
      <c r="CG560" s="882"/>
      <c r="CH560" s="882"/>
      <c r="CI560" s="530"/>
    </row>
    <row r="561">
      <c r="A561" s="857"/>
      <c r="B561" s="865" t="s">
        <v>118</v>
      </c>
      <c r="C561" s="865" t="s">
        <v>591</v>
      </c>
      <c r="D561" s="865" t="s">
        <v>678</v>
      </c>
      <c r="E561" s="866">
        <v>2019.0</v>
      </c>
      <c r="F561" s="865" t="s">
        <v>593</v>
      </c>
      <c r="G561" s="865" t="s">
        <v>70</v>
      </c>
      <c r="H561" s="867">
        <v>1.639885974E7</v>
      </c>
      <c r="I561" s="867">
        <v>1.868009603E7</v>
      </c>
      <c r="J561" s="868">
        <v>1.43273911E7</v>
      </c>
      <c r="K561" s="50"/>
      <c r="L561" s="869" t="s">
        <v>118</v>
      </c>
      <c r="M561" s="865" t="s">
        <v>591</v>
      </c>
      <c r="N561" s="865" t="s">
        <v>678</v>
      </c>
      <c r="O561" s="866">
        <v>2004.0</v>
      </c>
      <c r="P561" s="865" t="s">
        <v>593</v>
      </c>
      <c r="Q561" s="865" t="s">
        <v>70</v>
      </c>
      <c r="R561" s="867">
        <v>9486039.631</v>
      </c>
      <c r="S561" s="867">
        <v>1.053309412E7</v>
      </c>
      <c r="T561" s="868">
        <v>8569464.324</v>
      </c>
      <c r="AN561" s="882"/>
      <c r="AO561" s="882"/>
      <c r="AP561" s="882"/>
      <c r="AY561" s="882"/>
      <c r="AZ561" s="882"/>
      <c r="BA561" s="882"/>
      <c r="BJ561" s="882"/>
      <c r="BK561" s="882"/>
      <c r="BL561" s="882"/>
      <c r="BU561" s="882"/>
      <c r="BV561" s="882"/>
      <c r="BW561" s="882"/>
      <c r="CF561" s="882"/>
      <c r="CG561" s="882"/>
      <c r="CH561" s="882"/>
      <c r="CI561" s="530"/>
    </row>
    <row r="562">
      <c r="A562" s="857"/>
      <c r="B562" s="865" t="s">
        <v>118</v>
      </c>
      <c r="C562" s="865" t="s">
        <v>591</v>
      </c>
      <c r="D562" s="865" t="s">
        <v>680</v>
      </c>
      <c r="E562" s="866">
        <v>2019.0</v>
      </c>
      <c r="F562" s="865" t="s">
        <v>593</v>
      </c>
      <c r="G562" s="865" t="s">
        <v>70</v>
      </c>
      <c r="H562" s="867">
        <v>787569.7785</v>
      </c>
      <c r="I562" s="867">
        <v>823666.1688</v>
      </c>
      <c r="J562" s="868">
        <v>753496.5472</v>
      </c>
      <c r="K562" s="50"/>
      <c r="L562" s="869" t="s">
        <v>118</v>
      </c>
      <c r="M562" s="865" t="s">
        <v>591</v>
      </c>
      <c r="N562" s="865" t="s">
        <v>680</v>
      </c>
      <c r="O562" s="866">
        <v>2004.0</v>
      </c>
      <c r="P562" s="865" t="s">
        <v>593</v>
      </c>
      <c r="Q562" s="865" t="s">
        <v>70</v>
      </c>
      <c r="R562" s="867">
        <v>493868.6105</v>
      </c>
      <c r="S562" s="867">
        <v>505749.4923</v>
      </c>
      <c r="T562" s="868">
        <v>481711.5499</v>
      </c>
      <c r="AN562" s="882"/>
      <c r="AO562" s="882"/>
      <c r="AP562" s="882"/>
      <c r="AY562" s="882"/>
      <c r="AZ562" s="882"/>
      <c r="BA562" s="882"/>
      <c r="BJ562" s="882"/>
      <c r="BK562" s="882"/>
      <c r="BL562" s="882"/>
      <c r="BU562" s="882"/>
      <c r="BV562" s="882"/>
      <c r="BW562" s="882"/>
      <c r="CF562" s="882"/>
      <c r="CG562" s="882"/>
      <c r="CH562" s="882"/>
      <c r="CI562" s="530"/>
    </row>
    <row r="563">
      <c r="A563" s="857"/>
      <c r="B563" s="865" t="s">
        <v>118</v>
      </c>
      <c r="C563" s="865" t="s">
        <v>591</v>
      </c>
      <c r="D563" s="865" t="s">
        <v>682</v>
      </c>
      <c r="E563" s="866">
        <v>2019.0</v>
      </c>
      <c r="F563" s="865" t="s">
        <v>593</v>
      </c>
      <c r="G563" s="865" t="s">
        <v>70</v>
      </c>
      <c r="H563" s="867">
        <v>14990.29575</v>
      </c>
      <c r="I563" s="867">
        <v>17075.58748</v>
      </c>
      <c r="J563" s="868">
        <v>13096.75387</v>
      </c>
      <c r="K563" s="50"/>
      <c r="L563" s="869" t="s">
        <v>118</v>
      </c>
      <c r="M563" s="865" t="s">
        <v>591</v>
      </c>
      <c r="N563" s="865" t="s">
        <v>682</v>
      </c>
      <c r="O563" s="866">
        <v>2004.0</v>
      </c>
      <c r="P563" s="865" t="s">
        <v>593</v>
      </c>
      <c r="Q563" s="865" t="s">
        <v>70</v>
      </c>
      <c r="R563" s="867">
        <v>9435.449502</v>
      </c>
      <c r="S563" s="867">
        <v>10476.91993</v>
      </c>
      <c r="T563" s="868">
        <v>8523.762396</v>
      </c>
      <c r="AN563" s="882"/>
      <c r="AO563" s="882"/>
      <c r="AP563" s="882"/>
      <c r="AY563" s="882"/>
      <c r="AZ563" s="882"/>
      <c r="BA563" s="882"/>
      <c r="BJ563" s="882"/>
      <c r="BK563" s="882"/>
      <c r="BL563" s="882"/>
      <c r="BU563" s="882"/>
      <c r="BV563" s="882"/>
      <c r="BW563" s="882"/>
      <c r="CF563" s="882"/>
      <c r="CG563" s="882"/>
      <c r="CH563" s="882"/>
      <c r="CI563" s="530"/>
    </row>
    <row r="564">
      <c r="A564" s="857"/>
      <c r="B564" s="865" t="s">
        <v>118</v>
      </c>
      <c r="C564" s="865" t="s">
        <v>591</v>
      </c>
      <c r="D564" s="865" t="s">
        <v>684</v>
      </c>
      <c r="E564" s="866">
        <v>2019.0</v>
      </c>
      <c r="F564" s="865" t="s">
        <v>593</v>
      </c>
      <c r="G564" s="865" t="s">
        <v>70</v>
      </c>
      <c r="H564" s="867">
        <v>44170.50325</v>
      </c>
      <c r="I564" s="867">
        <v>50315.03746</v>
      </c>
      <c r="J564" s="868">
        <v>38590.9804</v>
      </c>
      <c r="K564" s="50"/>
      <c r="L564" s="869" t="s">
        <v>118</v>
      </c>
      <c r="M564" s="865" t="s">
        <v>591</v>
      </c>
      <c r="N564" s="865" t="s">
        <v>684</v>
      </c>
      <c r="O564" s="866">
        <v>2004.0</v>
      </c>
      <c r="P564" s="865" t="s">
        <v>593</v>
      </c>
      <c r="Q564" s="865" t="s">
        <v>70</v>
      </c>
      <c r="R564" s="867">
        <v>27703.4911</v>
      </c>
      <c r="S564" s="867">
        <v>30761.35992</v>
      </c>
      <c r="T564" s="868">
        <v>25026.68003</v>
      </c>
      <c r="AN564" s="882"/>
      <c r="AO564" s="882"/>
      <c r="AP564" s="882"/>
      <c r="AY564" s="882"/>
      <c r="AZ564" s="882"/>
      <c r="BA564" s="882"/>
      <c r="BJ564" s="882"/>
      <c r="BK564" s="882"/>
      <c r="BL564" s="882"/>
      <c r="BU564" s="882"/>
      <c r="BV564" s="882"/>
      <c r="BW564" s="882"/>
      <c r="CF564" s="882"/>
      <c r="CG564" s="882"/>
      <c r="CH564" s="882"/>
      <c r="CI564" s="530"/>
    </row>
    <row r="565">
      <c r="A565" s="857"/>
      <c r="B565" s="865" t="s">
        <v>118</v>
      </c>
      <c r="C565" s="865" t="s">
        <v>591</v>
      </c>
      <c r="D565" s="865" t="s">
        <v>686</v>
      </c>
      <c r="E565" s="866">
        <v>2019.0</v>
      </c>
      <c r="F565" s="865" t="s">
        <v>593</v>
      </c>
      <c r="G565" s="865" t="s">
        <v>70</v>
      </c>
      <c r="H565" s="867">
        <v>59160.799</v>
      </c>
      <c r="I565" s="867">
        <v>67390.62494</v>
      </c>
      <c r="J565" s="868">
        <v>51687.73428</v>
      </c>
      <c r="K565" s="50"/>
      <c r="L565" s="869" t="s">
        <v>118</v>
      </c>
      <c r="M565" s="865" t="s">
        <v>591</v>
      </c>
      <c r="N565" s="865" t="s">
        <v>686</v>
      </c>
      <c r="O565" s="866">
        <v>2004.0</v>
      </c>
      <c r="P565" s="865" t="s">
        <v>593</v>
      </c>
      <c r="Q565" s="865" t="s">
        <v>70</v>
      </c>
      <c r="R565" s="867">
        <v>37138.9406</v>
      </c>
      <c r="S565" s="867">
        <v>41238.27985</v>
      </c>
      <c r="T565" s="868">
        <v>33550.44243</v>
      </c>
      <c r="AN565" s="882"/>
      <c r="AO565" s="882"/>
      <c r="AP565" s="882"/>
      <c r="AY565" s="882"/>
      <c r="AZ565" s="882"/>
      <c r="BA565" s="882"/>
      <c r="BJ565" s="882"/>
      <c r="BK565" s="882"/>
      <c r="BL565" s="882"/>
      <c r="BU565" s="882"/>
      <c r="BV565" s="882"/>
      <c r="BW565" s="882"/>
      <c r="CF565" s="882"/>
      <c r="CG565" s="882"/>
      <c r="CH565" s="882"/>
      <c r="CI565" s="530"/>
    </row>
    <row r="566">
      <c r="A566" s="857"/>
      <c r="B566" s="865" t="s">
        <v>118</v>
      </c>
      <c r="C566" s="865" t="s">
        <v>591</v>
      </c>
      <c r="D566" s="865" t="s">
        <v>688</v>
      </c>
      <c r="E566" s="866">
        <v>2019.0</v>
      </c>
      <c r="F566" s="865" t="s">
        <v>593</v>
      </c>
      <c r="G566" s="865" t="s">
        <v>70</v>
      </c>
      <c r="H566" s="867">
        <v>679765.5845</v>
      </c>
      <c r="I566" s="867">
        <v>774327.3981</v>
      </c>
      <c r="J566" s="868">
        <v>593899.0598</v>
      </c>
      <c r="K566" s="50"/>
      <c r="L566" s="869" t="s">
        <v>118</v>
      </c>
      <c r="M566" s="865" t="s">
        <v>591</v>
      </c>
      <c r="N566" s="865" t="s">
        <v>688</v>
      </c>
      <c r="O566" s="866">
        <v>2004.0</v>
      </c>
      <c r="P566" s="865" t="s">
        <v>593</v>
      </c>
      <c r="Q566" s="865" t="s">
        <v>70</v>
      </c>
      <c r="R566" s="867">
        <v>422055.1111</v>
      </c>
      <c r="S566" s="867">
        <v>468640.9064</v>
      </c>
      <c r="T566" s="868">
        <v>381274.6265</v>
      </c>
      <c r="AN566" s="882"/>
      <c r="AO566" s="882"/>
      <c r="AP566" s="882"/>
      <c r="AY566" s="882"/>
      <c r="AZ566" s="882"/>
      <c r="BA566" s="882"/>
      <c r="BJ566" s="882"/>
      <c r="BK566" s="882"/>
      <c r="BL566" s="882"/>
      <c r="BU566" s="882"/>
      <c r="BV566" s="882"/>
      <c r="BW566" s="882"/>
      <c r="CF566" s="882"/>
      <c r="CG566" s="882"/>
      <c r="CH566" s="882"/>
      <c r="CI566" s="530"/>
    </row>
    <row r="567">
      <c r="A567" s="857"/>
      <c r="B567" s="865" t="s">
        <v>118</v>
      </c>
      <c r="C567" s="865" t="s">
        <v>591</v>
      </c>
      <c r="D567" s="865" t="s">
        <v>689</v>
      </c>
      <c r="E567" s="866">
        <v>2019.0</v>
      </c>
      <c r="F567" s="865" t="s">
        <v>593</v>
      </c>
      <c r="G567" s="865" t="s">
        <v>70</v>
      </c>
      <c r="H567" s="867">
        <v>3332666.562</v>
      </c>
      <c r="I567" s="867">
        <v>3796271.959</v>
      </c>
      <c r="J567" s="868">
        <v>2911691.299</v>
      </c>
      <c r="K567" s="50"/>
      <c r="L567" s="869" t="s">
        <v>118</v>
      </c>
      <c r="M567" s="865" t="s">
        <v>591</v>
      </c>
      <c r="N567" s="865" t="s">
        <v>689</v>
      </c>
      <c r="O567" s="866">
        <v>2004.0</v>
      </c>
      <c r="P567" s="865" t="s">
        <v>593</v>
      </c>
      <c r="Q567" s="865" t="s">
        <v>70</v>
      </c>
      <c r="R567" s="867">
        <v>2016435.506</v>
      </c>
      <c r="S567" s="867">
        <v>2239006.561</v>
      </c>
      <c r="T567" s="868">
        <v>1821600.246</v>
      </c>
      <c r="AN567" s="882"/>
      <c r="AO567" s="882"/>
      <c r="AP567" s="882"/>
      <c r="AY567" s="882"/>
      <c r="AZ567" s="882"/>
      <c r="BA567" s="882"/>
      <c r="BJ567" s="882"/>
      <c r="BK567" s="882"/>
      <c r="BL567" s="882"/>
      <c r="BU567" s="882"/>
      <c r="BV567" s="882"/>
      <c r="BW567" s="882"/>
      <c r="CF567" s="882"/>
      <c r="CG567" s="882"/>
      <c r="CH567" s="882"/>
      <c r="CI567" s="530"/>
    </row>
    <row r="568">
      <c r="A568" s="857"/>
      <c r="B568" s="865" t="s">
        <v>626</v>
      </c>
      <c r="C568" s="865" t="s">
        <v>591</v>
      </c>
      <c r="D568" s="865" t="s">
        <v>592</v>
      </c>
      <c r="E568" s="866">
        <v>2019.0</v>
      </c>
      <c r="F568" s="865" t="s">
        <v>593</v>
      </c>
      <c r="G568" s="865" t="s">
        <v>70</v>
      </c>
      <c r="H568" s="867">
        <v>15962.66683</v>
      </c>
      <c r="I568" s="867">
        <v>18708.55578</v>
      </c>
      <c r="J568" s="868">
        <v>13257.48928</v>
      </c>
      <c r="K568" s="50"/>
      <c r="L568" s="869" t="s">
        <v>626</v>
      </c>
      <c r="M568" s="865" t="s">
        <v>591</v>
      </c>
      <c r="N568" s="865" t="s">
        <v>592</v>
      </c>
      <c r="O568" s="866">
        <v>2004.0</v>
      </c>
      <c r="P568" s="865" t="s">
        <v>593</v>
      </c>
      <c r="Q568" s="865" t="s">
        <v>70</v>
      </c>
      <c r="R568" s="867">
        <v>18558.72706</v>
      </c>
      <c r="S568" s="867">
        <v>19874.56109</v>
      </c>
      <c r="T568" s="868">
        <v>17201.44078</v>
      </c>
      <c r="AN568" s="882"/>
      <c r="AO568" s="882"/>
      <c r="AP568" s="882"/>
      <c r="AY568" s="882"/>
      <c r="AZ568" s="882"/>
      <c r="BA568" s="882"/>
      <c r="BJ568" s="882"/>
      <c r="BK568" s="882"/>
      <c r="BL568" s="882"/>
      <c r="BU568" s="882"/>
      <c r="BV568" s="882"/>
      <c r="BW568" s="882"/>
      <c r="CF568" s="882"/>
      <c r="CG568" s="882"/>
      <c r="CH568" s="882"/>
      <c r="CI568" s="530"/>
    </row>
    <row r="569">
      <c r="A569" s="857"/>
      <c r="B569" s="865" t="s">
        <v>626</v>
      </c>
      <c r="C569" s="865" t="s">
        <v>591</v>
      </c>
      <c r="D569" s="865" t="s">
        <v>601</v>
      </c>
      <c r="E569" s="866">
        <v>2019.0</v>
      </c>
      <c r="F569" s="865" t="s">
        <v>593</v>
      </c>
      <c r="G569" s="865" t="s">
        <v>70</v>
      </c>
      <c r="H569" s="867">
        <v>304803.236</v>
      </c>
      <c r="I569" s="867">
        <v>357235.3167</v>
      </c>
      <c r="J569" s="868">
        <v>253148.5294</v>
      </c>
      <c r="K569" s="50"/>
      <c r="L569" s="869" t="s">
        <v>626</v>
      </c>
      <c r="M569" s="865" t="s">
        <v>591</v>
      </c>
      <c r="N569" s="865" t="s">
        <v>601</v>
      </c>
      <c r="O569" s="866">
        <v>2004.0</v>
      </c>
      <c r="P569" s="865" t="s">
        <v>593</v>
      </c>
      <c r="Q569" s="865" t="s">
        <v>70</v>
      </c>
      <c r="R569" s="867">
        <v>296989.7554</v>
      </c>
      <c r="S569" s="867">
        <v>318046.6537</v>
      </c>
      <c r="T569" s="868">
        <v>275269.5092</v>
      </c>
      <c r="AN569" s="882"/>
      <c r="AO569" s="882"/>
      <c r="AP569" s="882"/>
      <c r="AY569" s="882"/>
      <c r="AZ569" s="882"/>
      <c r="BA569" s="882"/>
      <c r="BJ569" s="882"/>
      <c r="BK569" s="882"/>
      <c r="BL569" s="882"/>
      <c r="BU569" s="882"/>
      <c r="BV569" s="882"/>
      <c r="BW569" s="882"/>
      <c r="CF569" s="882"/>
      <c r="CG569" s="882"/>
      <c r="CH569" s="882"/>
      <c r="CI569" s="530"/>
    </row>
    <row r="570">
      <c r="A570" s="857"/>
      <c r="B570" s="865" t="s">
        <v>626</v>
      </c>
      <c r="C570" s="865" t="s">
        <v>591</v>
      </c>
      <c r="D570" s="865" t="s">
        <v>606</v>
      </c>
      <c r="E570" s="866">
        <v>2019.0</v>
      </c>
      <c r="F570" s="865" t="s">
        <v>593</v>
      </c>
      <c r="G570" s="865" t="s">
        <v>70</v>
      </c>
      <c r="H570" s="867">
        <v>232785.1238</v>
      </c>
      <c r="I570" s="867">
        <v>272828.6895</v>
      </c>
      <c r="J570" s="868">
        <v>193335.2563</v>
      </c>
      <c r="K570" s="50"/>
      <c r="L570" s="869" t="s">
        <v>626</v>
      </c>
      <c r="M570" s="865" t="s">
        <v>591</v>
      </c>
      <c r="N570" s="865" t="s">
        <v>606</v>
      </c>
      <c r="O570" s="866">
        <v>2004.0</v>
      </c>
      <c r="P570" s="865" t="s">
        <v>593</v>
      </c>
      <c r="Q570" s="865" t="s">
        <v>70</v>
      </c>
      <c r="R570" s="867">
        <v>236215.4072</v>
      </c>
      <c r="S570" s="867">
        <v>252963.3378</v>
      </c>
      <c r="T570" s="868">
        <v>218939.8726</v>
      </c>
      <c r="AN570" s="882"/>
      <c r="AO570" s="882"/>
      <c r="AP570" s="882"/>
      <c r="AY570" s="882"/>
      <c r="AZ570" s="882"/>
      <c r="BA570" s="882"/>
      <c r="BJ570" s="882"/>
      <c r="BK570" s="882"/>
      <c r="BL570" s="882"/>
      <c r="BU570" s="882"/>
      <c r="BV570" s="882"/>
      <c r="BW570" s="882"/>
      <c r="CF570" s="882"/>
      <c r="CG570" s="882"/>
      <c r="CH570" s="882"/>
      <c r="CI570" s="530"/>
    </row>
    <row r="571">
      <c r="A571" s="857"/>
      <c r="B571" s="865" t="s">
        <v>626</v>
      </c>
      <c r="C571" s="865" t="s">
        <v>591</v>
      </c>
      <c r="D571" s="865" t="s">
        <v>608</v>
      </c>
      <c r="E571" s="866">
        <v>2019.0</v>
      </c>
      <c r="F571" s="865" t="s">
        <v>593</v>
      </c>
      <c r="G571" s="865" t="s">
        <v>70</v>
      </c>
      <c r="H571" s="867">
        <v>62143.72491</v>
      </c>
      <c r="I571" s="867">
        <v>72833.65341</v>
      </c>
      <c r="J571" s="868">
        <v>51612.28857</v>
      </c>
      <c r="K571" s="50"/>
      <c r="L571" s="869" t="s">
        <v>626</v>
      </c>
      <c r="M571" s="865" t="s">
        <v>591</v>
      </c>
      <c r="N571" s="865" t="s">
        <v>608</v>
      </c>
      <c r="O571" s="866">
        <v>2004.0</v>
      </c>
      <c r="P571" s="865" t="s">
        <v>593</v>
      </c>
      <c r="Q571" s="865" t="s">
        <v>70</v>
      </c>
      <c r="R571" s="867">
        <v>68607.93377</v>
      </c>
      <c r="S571" s="867">
        <v>73472.31127</v>
      </c>
      <c r="T571" s="868">
        <v>63590.31553</v>
      </c>
      <c r="AN571" s="882"/>
      <c r="AO571" s="882"/>
      <c r="AP571" s="882"/>
      <c r="AY571" s="882"/>
      <c r="AZ571" s="882"/>
      <c r="BA571" s="882"/>
      <c r="BJ571" s="882"/>
      <c r="BK571" s="882"/>
      <c r="BL571" s="882"/>
      <c r="BU571" s="882"/>
      <c r="BV571" s="882"/>
      <c r="BW571" s="882"/>
      <c r="CF571" s="882"/>
      <c r="CG571" s="882"/>
      <c r="CH571" s="882"/>
      <c r="CI571" s="530"/>
    </row>
    <row r="572">
      <c r="A572" s="857"/>
      <c r="B572" s="865" t="s">
        <v>626</v>
      </c>
      <c r="C572" s="865" t="s">
        <v>591</v>
      </c>
      <c r="D572" s="865" t="s">
        <v>610</v>
      </c>
      <c r="E572" s="866">
        <v>2019.0</v>
      </c>
      <c r="F572" s="865" t="s">
        <v>593</v>
      </c>
      <c r="G572" s="865" t="s">
        <v>70</v>
      </c>
      <c r="H572" s="867">
        <v>76815.47559</v>
      </c>
      <c r="I572" s="867">
        <v>90029.23037</v>
      </c>
      <c r="J572" s="868">
        <v>63797.632</v>
      </c>
      <c r="K572" s="50"/>
      <c r="L572" s="869" t="s">
        <v>626</v>
      </c>
      <c r="M572" s="865" t="s">
        <v>591</v>
      </c>
      <c r="N572" s="865" t="s">
        <v>610</v>
      </c>
      <c r="O572" s="866">
        <v>2004.0</v>
      </c>
      <c r="P572" s="865" t="s">
        <v>593</v>
      </c>
      <c r="Q572" s="865" t="s">
        <v>70</v>
      </c>
      <c r="R572" s="867">
        <v>70689.59457</v>
      </c>
      <c r="S572" s="867">
        <v>75701.56409</v>
      </c>
      <c r="T572" s="868">
        <v>65519.73476</v>
      </c>
      <c r="AN572" s="882"/>
      <c r="AO572" s="882"/>
      <c r="AP572" s="882"/>
      <c r="AY572" s="882"/>
      <c r="AZ572" s="882"/>
      <c r="BA572" s="882"/>
      <c r="BJ572" s="882"/>
      <c r="BK572" s="882"/>
      <c r="BL572" s="882"/>
      <c r="BU572" s="882"/>
      <c r="BV572" s="882"/>
      <c r="BW572" s="882"/>
      <c r="CF572" s="882"/>
      <c r="CG572" s="882"/>
      <c r="CH572" s="882"/>
      <c r="CI572" s="530"/>
    </row>
    <row r="573">
      <c r="A573" s="857"/>
      <c r="B573" s="865" t="s">
        <v>626</v>
      </c>
      <c r="C573" s="865" t="s">
        <v>591</v>
      </c>
      <c r="D573" s="865" t="s">
        <v>612</v>
      </c>
      <c r="E573" s="866">
        <v>2019.0</v>
      </c>
      <c r="F573" s="865" t="s">
        <v>593</v>
      </c>
      <c r="G573" s="865" t="s">
        <v>70</v>
      </c>
      <c r="H573" s="867">
        <v>148833.5877</v>
      </c>
      <c r="I573" s="867">
        <v>174435.8575</v>
      </c>
      <c r="J573" s="868">
        <v>123610.905</v>
      </c>
      <c r="K573" s="50"/>
      <c r="L573" s="869" t="s">
        <v>626</v>
      </c>
      <c r="M573" s="865" t="s">
        <v>591</v>
      </c>
      <c r="N573" s="865" t="s">
        <v>612</v>
      </c>
      <c r="O573" s="866">
        <v>2004.0</v>
      </c>
      <c r="P573" s="865" t="s">
        <v>593</v>
      </c>
      <c r="Q573" s="865" t="s">
        <v>70</v>
      </c>
      <c r="R573" s="867">
        <v>131463.9427</v>
      </c>
      <c r="S573" s="867">
        <v>140784.88</v>
      </c>
      <c r="T573" s="868">
        <v>121849.3713</v>
      </c>
      <c r="AN573" s="882"/>
      <c r="AO573" s="882"/>
      <c r="AP573" s="882"/>
      <c r="AY573" s="882"/>
      <c r="AZ573" s="882"/>
      <c r="BA573" s="882"/>
      <c r="BJ573" s="882"/>
      <c r="BK573" s="882"/>
      <c r="BL573" s="882"/>
      <c r="BU573" s="882"/>
      <c r="BV573" s="882"/>
      <c r="BW573" s="882"/>
      <c r="CF573" s="882"/>
      <c r="CG573" s="882"/>
      <c r="CH573" s="882"/>
      <c r="CI573" s="530"/>
    </row>
    <row r="574">
      <c r="A574" s="857"/>
      <c r="B574" s="865" t="s">
        <v>626</v>
      </c>
      <c r="C574" s="865" t="s">
        <v>591</v>
      </c>
      <c r="D574" s="865" t="s">
        <v>614</v>
      </c>
      <c r="E574" s="866">
        <v>2019.0</v>
      </c>
      <c r="F574" s="865" t="s">
        <v>593</v>
      </c>
      <c r="G574" s="865" t="s">
        <v>70</v>
      </c>
      <c r="H574" s="867">
        <v>214678.8853</v>
      </c>
      <c r="I574" s="867">
        <v>251607.826</v>
      </c>
      <c r="J574" s="868">
        <v>178297.4643</v>
      </c>
      <c r="K574" s="50"/>
      <c r="L574" s="869" t="s">
        <v>626</v>
      </c>
      <c r="M574" s="865" t="s">
        <v>591</v>
      </c>
      <c r="N574" s="865" t="s">
        <v>614</v>
      </c>
      <c r="O574" s="866">
        <v>2004.0</v>
      </c>
      <c r="P574" s="865" t="s">
        <v>593</v>
      </c>
      <c r="Q574" s="865" t="s">
        <v>70</v>
      </c>
      <c r="R574" s="867">
        <v>183892.8793</v>
      </c>
      <c r="S574" s="867">
        <v>196931.0855</v>
      </c>
      <c r="T574" s="868">
        <v>170443.9352</v>
      </c>
      <c r="AN574" s="882"/>
      <c r="AO574" s="882"/>
      <c r="AP574" s="882"/>
      <c r="AY574" s="882"/>
      <c r="AZ574" s="882"/>
      <c r="BA574" s="882"/>
      <c r="BJ574" s="882"/>
      <c r="BK574" s="882"/>
      <c r="BL574" s="882"/>
      <c r="BU574" s="882"/>
      <c r="BV574" s="882"/>
      <c r="BW574" s="882"/>
      <c r="CF574" s="882"/>
      <c r="CG574" s="882"/>
      <c r="CH574" s="882"/>
      <c r="CI574" s="530"/>
    </row>
    <row r="575">
      <c r="A575" s="857"/>
      <c r="B575" s="865" t="s">
        <v>626</v>
      </c>
      <c r="C575" s="865" t="s">
        <v>591</v>
      </c>
      <c r="D575" s="865" t="s">
        <v>616</v>
      </c>
      <c r="E575" s="866">
        <v>2019.0</v>
      </c>
      <c r="F575" s="865" t="s">
        <v>593</v>
      </c>
      <c r="G575" s="865" t="s">
        <v>70</v>
      </c>
      <c r="H575" s="867">
        <v>72018.11215</v>
      </c>
      <c r="I575" s="867">
        <v>84406.62717</v>
      </c>
      <c r="J575" s="868">
        <v>59813.27305</v>
      </c>
      <c r="K575" s="50"/>
      <c r="L575" s="869" t="s">
        <v>626</v>
      </c>
      <c r="M575" s="865" t="s">
        <v>591</v>
      </c>
      <c r="N575" s="865" t="s">
        <v>616</v>
      </c>
      <c r="O575" s="866">
        <v>2004.0</v>
      </c>
      <c r="P575" s="865" t="s">
        <v>593</v>
      </c>
      <c r="Q575" s="865" t="s">
        <v>70</v>
      </c>
      <c r="R575" s="867">
        <v>60774.34816</v>
      </c>
      <c r="S575" s="867">
        <v>65083.31588</v>
      </c>
      <c r="T575" s="868">
        <v>56329.63658</v>
      </c>
      <c r="AN575" s="882"/>
      <c r="AO575" s="882"/>
      <c r="AP575" s="882"/>
      <c r="AY575" s="882"/>
      <c r="AZ575" s="882"/>
      <c r="BA575" s="882"/>
      <c r="BJ575" s="882"/>
      <c r="BK575" s="882"/>
      <c r="BL575" s="882"/>
      <c r="BU575" s="882"/>
      <c r="BV575" s="882"/>
      <c r="BW575" s="882"/>
      <c r="CF575" s="882"/>
      <c r="CG575" s="882"/>
      <c r="CH575" s="882"/>
      <c r="CI575" s="530"/>
    </row>
    <row r="576">
      <c r="A576" s="857"/>
      <c r="B576" s="865" t="s">
        <v>626</v>
      </c>
      <c r="C576" s="865" t="s">
        <v>591</v>
      </c>
      <c r="D576" s="865" t="s">
        <v>618</v>
      </c>
      <c r="E576" s="866">
        <v>2019.0</v>
      </c>
      <c r="F576" s="865" t="s">
        <v>593</v>
      </c>
      <c r="G576" s="865" t="s">
        <v>70</v>
      </c>
      <c r="H576" s="867">
        <v>296303.4335</v>
      </c>
      <c r="I576" s="867">
        <v>347233.8701</v>
      </c>
      <c r="J576" s="868">
        <v>246055.9571</v>
      </c>
      <c r="K576" s="50"/>
      <c r="L576" s="869" t="s">
        <v>626</v>
      </c>
      <c r="M576" s="865" t="s">
        <v>591</v>
      </c>
      <c r="N576" s="865" t="s">
        <v>618</v>
      </c>
      <c r="O576" s="866">
        <v>2004.0</v>
      </c>
      <c r="P576" s="865" t="s">
        <v>593</v>
      </c>
      <c r="Q576" s="865" t="s">
        <v>70</v>
      </c>
      <c r="R576" s="867">
        <v>234965.0779</v>
      </c>
      <c r="S576" s="867">
        <v>251614.7496</v>
      </c>
      <c r="T576" s="868">
        <v>217761.5045</v>
      </c>
      <c r="AN576" s="882"/>
      <c r="AO576" s="882"/>
      <c r="AP576" s="882"/>
      <c r="AY576" s="882"/>
      <c r="AZ576" s="882"/>
      <c r="BA576" s="882"/>
      <c r="BJ576" s="882"/>
      <c r="BK576" s="882"/>
      <c r="BL576" s="882"/>
      <c r="BU576" s="882"/>
      <c r="BV576" s="882"/>
      <c r="BW576" s="882"/>
      <c r="CF576" s="882"/>
      <c r="CG576" s="882"/>
      <c r="CH576" s="882"/>
      <c r="CI576" s="530"/>
    </row>
    <row r="577">
      <c r="A577" s="857"/>
      <c r="B577" s="865" t="s">
        <v>626</v>
      </c>
      <c r="C577" s="865" t="s">
        <v>591</v>
      </c>
      <c r="D577" s="865" t="s">
        <v>620</v>
      </c>
      <c r="E577" s="866">
        <v>2019.0</v>
      </c>
      <c r="F577" s="865" t="s">
        <v>593</v>
      </c>
      <c r="G577" s="865" t="s">
        <v>70</v>
      </c>
      <c r="H577" s="867">
        <v>373585.0707</v>
      </c>
      <c r="I577" s="867">
        <v>437848.9638</v>
      </c>
      <c r="J577" s="868">
        <v>310273.9738</v>
      </c>
      <c r="K577" s="50"/>
      <c r="L577" s="869" t="s">
        <v>626</v>
      </c>
      <c r="M577" s="865" t="s">
        <v>591</v>
      </c>
      <c r="N577" s="865" t="s">
        <v>620</v>
      </c>
      <c r="O577" s="866">
        <v>2004.0</v>
      </c>
      <c r="P577" s="865" t="s">
        <v>593</v>
      </c>
      <c r="Q577" s="865" t="s">
        <v>70</v>
      </c>
      <c r="R577" s="867">
        <v>281967.8493</v>
      </c>
      <c r="S577" s="867">
        <v>301959.6781</v>
      </c>
      <c r="T577" s="868">
        <v>261346.2252</v>
      </c>
      <c r="AN577" s="882"/>
      <c r="AO577" s="882"/>
      <c r="AP577" s="882"/>
      <c r="AY577" s="882"/>
      <c r="AZ577" s="882"/>
      <c r="BA577" s="882"/>
      <c r="BJ577" s="882"/>
      <c r="BK577" s="882"/>
      <c r="BL577" s="882"/>
      <c r="BU577" s="882"/>
      <c r="BV577" s="882"/>
      <c r="BW577" s="882"/>
      <c r="CF577" s="882"/>
      <c r="CG577" s="882"/>
      <c r="CH577" s="882"/>
      <c r="CI577" s="530"/>
    </row>
    <row r="578">
      <c r="A578" s="857"/>
      <c r="B578" s="865" t="s">
        <v>626</v>
      </c>
      <c r="C578" s="865" t="s">
        <v>591</v>
      </c>
      <c r="D578" s="865" t="s">
        <v>622</v>
      </c>
      <c r="E578" s="866">
        <v>2019.0</v>
      </c>
      <c r="F578" s="865" t="s">
        <v>593</v>
      </c>
      <c r="G578" s="865" t="s">
        <v>70</v>
      </c>
      <c r="H578" s="867">
        <v>409599.0458</v>
      </c>
      <c r="I578" s="867">
        <v>480003.4215</v>
      </c>
      <c r="J578" s="868">
        <v>340138.7694</v>
      </c>
      <c r="K578" s="50"/>
      <c r="L578" s="869" t="s">
        <v>626</v>
      </c>
      <c r="M578" s="865" t="s">
        <v>591</v>
      </c>
      <c r="N578" s="865" t="s">
        <v>622</v>
      </c>
      <c r="O578" s="866">
        <v>2004.0</v>
      </c>
      <c r="P578" s="865" t="s">
        <v>593</v>
      </c>
      <c r="Q578" s="865" t="s">
        <v>70</v>
      </c>
      <c r="R578" s="867">
        <v>290043.3979</v>
      </c>
      <c r="S578" s="867">
        <v>310595.9303</v>
      </c>
      <c r="T578" s="868">
        <v>268807.1235</v>
      </c>
      <c r="AN578" s="882"/>
      <c r="AO578" s="882"/>
      <c r="AP578" s="882"/>
      <c r="AY578" s="882"/>
      <c r="AZ578" s="882"/>
      <c r="BA578" s="882"/>
      <c r="BJ578" s="882"/>
      <c r="BK578" s="882"/>
      <c r="BL578" s="882"/>
      <c r="BU578" s="882"/>
      <c r="BV578" s="882"/>
      <c r="BW578" s="882"/>
      <c r="CF578" s="882"/>
      <c r="CG578" s="882"/>
      <c r="CH578" s="882"/>
      <c r="CI578" s="530"/>
    </row>
    <row r="579">
      <c r="A579" s="857"/>
      <c r="B579" s="865" t="s">
        <v>626</v>
      </c>
      <c r="C579" s="865" t="s">
        <v>591</v>
      </c>
      <c r="D579" s="865" t="s">
        <v>624</v>
      </c>
      <c r="E579" s="866">
        <v>2019.0</v>
      </c>
      <c r="F579" s="865" t="s">
        <v>593</v>
      </c>
      <c r="G579" s="865" t="s">
        <v>70</v>
      </c>
      <c r="H579" s="867">
        <v>65845.29754</v>
      </c>
      <c r="I579" s="867">
        <v>77171.96847</v>
      </c>
      <c r="J579" s="868">
        <v>54686.5593</v>
      </c>
      <c r="K579" s="50"/>
      <c r="L579" s="869" t="s">
        <v>626</v>
      </c>
      <c r="M579" s="865" t="s">
        <v>591</v>
      </c>
      <c r="N579" s="865" t="s">
        <v>624</v>
      </c>
      <c r="O579" s="866">
        <v>2004.0</v>
      </c>
      <c r="P579" s="865" t="s">
        <v>593</v>
      </c>
      <c r="Q579" s="865" t="s">
        <v>70</v>
      </c>
      <c r="R579" s="867">
        <v>52428.93661</v>
      </c>
      <c r="S579" s="867">
        <v>56146.20552</v>
      </c>
      <c r="T579" s="868">
        <v>48594.5639</v>
      </c>
      <c r="AN579" s="882"/>
      <c r="AO579" s="882"/>
      <c r="AP579" s="882"/>
      <c r="AY579" s="882"/>
      <c r="AZ579" s="882"/>
      <c r="BA579" s="882"/>
      <c r="BJ579" s="882"/>
      <c r="BK579" s="882"/>
      <c r="BL579" s="882"/>
      <c r="BU579" s="882"/>
      <c r="BV579" s="882"/>
      <c r="BW579" s="882"/>
      <c r="CF579" s="882"/>
      <c r="CG579" s="882"/>
      <c r="CH579" s="882"/>
      <c r="CI579" s="530"/>
    </row>
    <row r="580">
      <c r="A580" s="857"/>
      <c r="B580" s="865" t="s">
        <v>626</v>
      </c>
      <c r="C580" s="865" t="s">
        <v>591</v>
      </c>
      <c r="D580" s="865" t="s">
        <v>625</v>
      </c>
      <c r="E580" s="866">
        <v>2019.0</v>
      </c>
      <c r="F580" s="865" t="s">
        <v>593</v>
      </c>
      <c r="G580" s="865" t="s">
        <v>70</v>
      </c>
      <c r="H580" s="867">
        <v>343702.5367</v>
      </c>
      <c r="I580" s="867">
        <v>402826.0532</v>
      </c>
      <c r="J580" s="868">
        <v>285455.6036</v>
      </c>
      <c r="K580" s="50"/>
      <c r="L580" s="869" t="s">
        <v>626</v>
      </c>
      <c r="M580" s="865" t="s">
        <v>591</v>
      </c>
      <c r="N580" s="865" t="s">
        <v>625</v>
      </c>
      <c r="O580" s="866">
        <v>2004.0</v>
      </c>
      <c r="P580" s="865" t="s">
        <v>593</v>
      </c>
      <c r="Q580" s="865" t="s">
        <v>70</v>
      </c>
      <c r="R580" s="867">
        <v>237598.7516</v>
      </c>
      <c r="S580" s="867">
        <v>254444.7629</v>
      </c>
      <c r="T580" s="868">
        <v>220222.0466</v>
      </c>
      <c r="AN580" s="882"/>
      <c r="AO580" s="882"/>
      <c r="AP580" s="882"/>
      <c r="AY580" s="882"/>
      <c r="AZ580" s="882"/>
      <c r="BA580" s="882"/>
      <c r="BJ580" s="882"/>
      <c r="BK580" s="882"/>
      <c r="BL580" s="882"/>
      <c r="BU580" s="882"/>
      <c r="BV580" s="882"/>
      <c r="BW580" s="882"/>
      <c r="CF580" s="882"/>
      <c r="CG580" s="882"/>
      <c r="CH580" s="882"/>
      <c r="CI580" s="530"/>
    </row>
    <row r="581">
      <c r="A581" s="857"/>
      <c r="B581" s="865" t="s">
        <v>626</v>
      </c>
      <c r="C581" s="865" t="s">
        <v>591</v>
      </c>
      <c r="D581" s="865" t="s">
        <v>627</v>
      </c>
      <c r="E581" s="866">
        <v>2019.0</v>
      </c>
      <c r="F581" s="865" t="s">
        <v>593</v>
      </c>
      <c r="G581" s="865" t="s">
        <v>70</v>
      </c>
      <c r="H581" s="867">
        <v>59878.49481</v>
      </c>
      <c r="I581" s="867">
        <v>70178.75971</v>
      </c>
      <c r="J581" s="868">
        <v>49730.9448</v>
      </c>
      <c r="K581" s="50"/>
      <c r="L581" s="869" t="s">
        <v>626</v>
      </c>
      <c r="M581" s="865" t="s">
        <v>591</v>
      </c>
      <c r="N581" s="865" t="s">
        <v>627</v>
      </c>
      <c r="O581" s="866">
        <v>2004.0</v>
      </c>
      <c r="P581" s="865" t="s">
        <v>593</v>
      </c>
      <c r="Q581" s="865" t="s">
        <v>70</v>
      </c>
      <c r="R581" s="867">
        <v>47373.92713</v>
      </c>
      <c r="S581" s="867">
        <v>50732.79035</v>
      </c>
      <c r="T581" s="868">
        <v>43909.25085</v>
      </c>
      <c r="AN581" s="882"/>
      <c r="AO581" s="882"/>
      <c r="AP581" s="882"/>
      <c r="AY581" s="882"/>
      <c r="AZ581" s="882"/>
      <c r="BA581" s="882"/>
      <c r="BJ581" s="882"/>
      <c r="BK581" s="882"/>
      <c r="BL581" s="882"/>
      <c r="BU581" s="882"/>
      <c r="BV581" s="882"/>
      <c r="BW581" s="882"/>
      <c r="CF581" s="882"/>
      <c r="CG581" s="882"/>
      <c r="CH581" s="882"/>
      <c r="CI581" s="530"/>
    </row>
    <row r="582">
      <c r="A582" s="857"/>
      <c r="B582" s="865" t="s">
        <v>626</v>
      </c>
      <c r="C582" s="865" t="s">
        <v>591</v>
      </c>
      <c r="D582" s="865" t="s">
        <v>629</v>
      </c>
      <c r="E582" s="866">
        <v>2019.0</v>
      </c>
      <c r="F582" s="865" t="s">
        <v>593</v>
      </c>
      <c r="G582" s="865" t="s">
        <v>70</v>
      </c>
      <c r="H582" s="867">
        <v>235751.1366</v>
      </c>
      <c r="I582" s="867">
        <v>276273.4761</v>
      </c>
      <c r="J582" s="868">
        <v>195772.1882</v>
      </c>
      <c r="K582" s="50"/>
      <c r="L582" s="869" t="s">
        <v>626</v>
      </c>
      <c r="M582" s="865" t="s">
        <v>591</v>
      </c>
      <c r="N582" s="865" t="s">
        <v>629</v>
      </c>
      <c r="O582" s="866">
        <v>2004.0</v>
      </c>
      <c r="P582" s="865" t="s">
        <v>593</v>
      </c>
      <c r="Q582" s="865" t="s">
        <v>70</v>
      </c>
      <c r="R582" s="867">
        <v>168773.7059</v>
      </c>
      <c r="S582" s="867">
        <v>180733.044</v>
      </c>
      <c r="T582" s="868">
        <v>156416.5043</v>
      </c>
      <c r="AN582" s="882"/>
      <c r="AO582" s="882"/>
      <c r="AP582" s="882"/>
      <c r="AY582" s="882"/>
      <c r="AZ582" s="882"/>
      <c r="BA582" s="882"/>
      <c r="BJ582" s="882"/>
      <c r="BK582" s="882"/>
      <c r="BL582" s="882"/>
      <c r="BU582" s="882"/>
      <c r="BV582" s="882"/>
      <c r="BW582" s="882"/>
      <c r="CF582" s="882"/>
      <c r="CG582" s="882"/>
      <c r="CH582" s="882"/>
      <c r="CI582" s="530"/>
    </row>
    <row r="583">
      <c r="A583" s="857"/>
      <c r="B583" s="865" t="s">
        <v>626</v>
      </c>
      <c r="C583" s="865" t="s">
        <v>591</v>
      </c>
      <c r="D583" s="865" t="s">
        <v>631</v>
      </c>
      <c r="E583" s="866">
        <v>2019.0</v>
      </c>
      <c r="F583" s="865" t="s">
        <v>593</v>
      </c>
      <c r="G583" s="865" t="s">
        <v>70</v>
      </c>
      <c r="H583" s="867">
        <v>52453.63178</v>
      </c>
      <c r="I583" s="867">
        <v>61476.67593</v>
      </c>
      <c r="J583" s="868">
        <v>43564.36606</v>
      </c>
      <c r="K583" s="50"/>
      <c r="L583" s="869" t="s">
        <v>626</v>
      </c>
      <c r="M583" s="865" t="s">
        <v>591</v>
      </c>
      <c r="N583" s="865" t="s">
        <v>631</v>
      </c>
      <c r="O583" s="866">
        <v>2004.0</v>
      </c>
      <c r="P583" s="865" t="s">
        <v>593</v>
      </c>
      <c r="Q583" s="865" t="s">
        <v>70</v>
      </c>
      <c r="R583" s="867">
        <v>40876.34517</v>
      </c>
      <c r="S583" s="867">
        <v>43774.52272</v>
      </c>
      <c r="T583" s="868">
        <v>37886.86736</v>
      </c>
      <c r="AN583" s="882"/>
      <c r="AO583" s="882"/>
      <c r="AP583" s="882"/>
      <c r="AY583" s="882"/>
      <c r="AZ583" s="882"/>
      <c r="BA583" s="882"/>
      <c r="BJ583" s="882"/>
      <c r="BK583" s="882"/>
      <c r="BL583" s="882"/>
      <c r="BU583" s="882"/>
      <c r="BV583" s="882"/>
      <c r="BW583" s="882"/>
      <c r="CF583" s="882"/>
      <c r="CG583" s="882"/>
      <c r="CH583" s="882"/>
      <c r="CI583" s="530"/>
    </row>
    <row r="584">
      <c r="A584" s="857"/>
      <c r="B584" s="865" t="s">
        <v>626</v>
      </c>
      <c r="C584" s="865" t="s">
        <v>591</v>
      </c>
      <c r="D584" s="865" t="s">
        <v>633</v>
      </c>
      <c r="E584" s="866">
        <v>2019.0</v>
      </c>
      <c r="F584" s="865" t="s">
        <v>593</v>
      </c>
      <c r="G584" s="865" t="s">
        <v>70</v>
      </c>
      <c r="H584" s="867">
        <v>46070.85082</v>
      </c>
      <c r="I584" s="867">
        <v>53995.93259</v>
      </c>
      <c r="J584" s="868">
        <v>38263.26875</v>
      </c>
      <c r="K584" s="50"/>
      <c r="L584" s="869" t="s">
        <v>626</v>
      </c>
      <c r="M584" s="865" t="s">
        <v>591</v>
      </c>
      <c r="N584" s="865" t="s">
        <v>633</v>
      </c>
      <c r="O584" s="866">
        <v>2004.0</v>
      </c>
      <c r="P584" s="865" t="s">
        <v>593</v>
      </c>
      <c r="Q584" s="865" t="s">
        <v>70</v>
      </c>
      <c r="R584" s="867">
        <v>33498.79438</v>
      </c>
      <c r="S584" s="867">
        <v>35873.89552</v>
      </c>
      <c r="T584" s="868">
        <v>31048.87128</v>
      </c>
      <c r="AN584" s="882"/>
      <c r="AO584" s="882"/>
      <c r="AP584" s="882"/>
      <c r="AY584" s="882"/>
      <c r="AZ584" s="882"/>
      <c r="BA584" s="882"/>
      <c r="BJ584" s="882"/>
      <c r="BK584" s="882"/>
      <c r="BL584" s="882"/>
      <c r="BU584" s="882"/>
      <c r="BV584" s="882"/>
      <c r="BW584" s="882"/>
      <c r="CF584" s="882"/>
      <c r="CG584" s="882"/>
      <c r="CH584" s="882"/>
      <c r="CI584" s="530"/>
    </row>
    <row r="585">
      <c r="A585" s="857"/>
      <c r="B585" s="865" t="s">
        <v>626</v>
      </c>
      <c r="C585" s="865" t="s">
        <v>591</v>
      </c>
      <c r="D585" s="865" t="s">
        <v>635</v>
      </c>
      <c r="E585" s="866">
        <v>2019.0</v>
      </c>
      <c r="F585" s="865" t="s">
        <v>593</v>
      </c>
      <c r="G585" s="865" t="s">
        <v>70</v>
      </c>
      <c r="H585" s="867">
        <v>41443.51921</v>
      </c>
      <c r="I585" s="867">
        <v>48572.61</v>
      </c>
      <c r="J585" s="868">
        <v>34420.1265</v>
      </c>
      <c r="K585" s="50"/>
      <c r="L585" s="869" t="s">
        <v>626</v>
      </c>
      <c r="M585" s="865" t="s">
        <v>591</v>
      </c>
      <c r="N585" s="865" t="s">
        <v>635</v>
      </c>
      <c r="O585" s="866">
        <v>2004.0</v>
      </c>
      <c r="P585" s="865" t="s">
        <v>593</v>
      </c>
      <c r="Q585" s="865" t="s">
        <v>70</v>
      </c>
      <c r="R585" s="867">
        <v>26243.37877</v>
      </c>
      <c r="S585" s="867">
        <v>28104.06302</v>
      </c>
      <c r="T585" s="868">
        <v>24324.07806</v>
      </c>
      <c r="AN585" s="882"/>
      <c r="AO585" s="882"/>
      <c r="AP585" s="882"/>
      <c r="AY585" s="882"/>
      <c r="AZ585" s="882"/>
      <c r="BA585" s="882"/>
      <c r="BJ585" s="882"/>
      <c r="BK585" s="882"/>
      <c r="BL585" s="882"/>
      <c r="BU585" s="882"/>
      <c r="BV585" s="882"/>
      <c r="BW585" s="882"/>
      <c r="CF585" s="882"/>
      <c r="CG585" s="882"/>
      <c r="CH585" s="882"/>
      <c r="CI585" s="530"/>
    </row>
    <row r="586">
      <c r="A586" s="857"/>
      <c r="B586" s="865" t="s">
        <v>626</v>
      </c>
      <c r="C586" s="865" t="s">
        <v>591</v>
      </c>
      <c r="D586" s="865" t="s">
        <v>637</v>
      </c>
      <c r="E586" s="866">
        <v>2019.0</v>
      </c>
      <c r="F586" s="865" t="s">
        <v>593</v>
      </c>
      <c r="G586" s="865" t="s">
        <v>70</v>
      </c>
      <c r="H586" s="867">
        <v>35875.16437</v>
      </c>
      <c r="I586" s="867">
        <v>42046.38991</v>
      </c>
      <c r="J586" s="868">
        <v>29795.43532</v>
      </c>
      <c r="K586" s="50"/>
      <c r="L586" s="869" t="s">
        <v>626</v>
      </c>
      <c r="M586" s="865" t="s">
        <v>591</v>
      </c>
      <c r="N586" s="865" t="s">
        <v>637</v>
      </c>
      <c r="O586" s="866">
        <v>2004.0</v>
      </c>
      <c r="P586" s="865" t="s">
        <v>593</v>
      </c>
      <c r="Q586" s="865" t="s">
        <v>70</v>
      </c>
      <c r="R586" s="867">
        <v>20772.11912</v>
      </c>
      <c r="S586" s="867">
        <v>22244.88507</v>
      </c>
      <c r="T586" s="868">
        <v>19252.95715</v>
      </c>
      <c r="AN586" s="882"/>
      <c r="AO586" s="882"/>
      <c r="AP586" s="882"/>
      <c r="AY586" s="882"/>
      <c r="AZ586" s="882"/>
      <c r="BA586" s="882"/>
      <c r="BJ586" s="882"/>
      <c r="BK586" s="882"/>
      <c r="BL586" s="882"/>
      <c r="BU586" s="882"/>
      <c r="BV586" s="882"/>
      <c r="BW586" s="882"/>
      <c r="CF586" s="882"/>
      <c r="CG586" s="882"/>
      <c r="CH586" s="882"/>
      <c r="CI586" s="530"/>
    </row>
    <row r="587">
      <c r="A587" s="857"/>
      <c r="B587" s="865" t="s">
        <v>626</v>
      </c>
      <c r="C587" s="865" t="s">
        <v>591</v>
      </c>
      <c r="D587" s="865" t="s">
        <v>639</v>
      </c>
      <c r="E587" s="866">
        <v>2019.0</v>
      </c>
      <c r="F587" s="865" t="s">
        <v>593</v>
      </c>
      <c r="G587" s="865" t="s">
        <v>70</v>
      </c>
      <c r="H587" s="867">
        <v>226725.1913</v>
      </c>
      <c r="I587" s="867">
        <v>265696.0965</v>
      </c>
      <c r="J587" s="868">
        <v>188276.8731</v>
      </c>
      <c r="K587" s="50"/>
      <c r="L587" s="869" t="s">
        <v>626</v>
      </c>
      <c r="M587" s="865" t="s">
        <v>591</v>
      </c>
      <c r="N587" s="865" t="s">
        <v>639</v>
      </c>
      <c r="O587" s="866">
        <v>2004.0</v>
      </c>
      <c r="P587" s="865" t="s">
        <v>593</v>
      </c>
      <c r="Q587" s="865" t="s">
        <v>70</v>
      </c>
      <c r="R587" s="867">
        <v>209834.4599</v>
      </c>
      <c r="S587" s="867">
        <v>224703.3711</v>
      </c>
      <c r="T587" s="868">
        <v>194470.8894</v>
      </c>
      <c r="AN587" s="882"/>
      <c r="AO587" s="882"/>
      <c r="AP587" s="882"/>
      <c r="AY587" s="882"/>
      <c r="AZ587" s="882"/>
      <c r="BA587" s="882"/>
      <c r="BJ587" s="882"/>
      <c r="BK587" s="882"/>
      <c r="BL587" s="882"/>
      <c r="BU587" s="882"/>
      <c r="BV587" s="882"/>
      <c r="BW587" s="882"/>
      <c r="CF587" s="882"/>
      <c r="CG587" s="882"/>
      <c r="CH587" s="882"/>
      <c r="CI587" s="530"/>
    </row>
    <row r="588">
      <c r="A588" s="857"/>
      <c r="B588" s="865" t="s">
        <v>626</v>
      </c>
      <c r="C588" s="865" t="s">
        <v>591</v>
      </c>
      <c r="D588" s="865" t="s">
        <v>641</v>
      </c>
      <c r="E588" s="866">
        <v>2019.0</v>
      </c>
      <c r="F588" s="865" t="s">
        <v>593</v>
      </c>
      <c r="G588" s="865" t="s">
        <v>70</v>
      </c>
      <c r="H588" s="867">
        <v>77863.2565</v>
      </c>
      <c r="I588" s="867">
        <v>91257.24995</v>
      </c>
      <c r="J588" s="868">
        <v>64667.8465</v>
      </c>
      <c r="K588" s="50"/>
      <c r="L588" s="869" t="s">
        <v>626</v>
      </c>
      <c r="M588" s="865" t="s">
        <v>591</v>
      </c>
      <c r="N588" s="865" t="s">
        <v>641</v>
      </c>
      <c r="O588" s="866">
        <v>2004.0</v>
      </c>
      <c r="P588" s="865" t="s">
        <v>593</v>
      </c>
      <c r="Q588" s="865" t="s">
        <v>70</v>
      </c>
      <c r="R588" s="867">
        <v>78359.15185</v>
      </c>
      <c r="S588" s="867">
        <v>83914.90137</v>
      </c>
      <c r="T588" s="868">
        <v>72628.38154</v>
      </c>
      <c r="AN588" s="882"/>
      <c r="AO588" s="882"/>
      <c r="AP588" s="882"/>
      <c r="AY588" s="882"/>
      <c r="AZ588" s="882"/>
      <c r="BA588" s="882"/>
      <c r="BJ588" s="882"/>
      <c r="BK588" s="882"/>
      <c r="BL588" s="882"/>
      <c r="BU588" s="882"/>
      <c r="BV588" s="882"/>
      <c r="BW588" s="882"/>
      <c r="CF588" s="882"/>
      <c r="CG588" s="882"/>
      <c r="CH588" s="882"/>
      <c r="CI588" s="530"/>
    </row>
    <row r="589">
      <c r="A589" s="857"/>
      <c r="B589" s="865" t="s">
        <v>626</v>
      </c>
      <c r="C589" s="865" t="s">
        <v>591</v>
      </c>
      <c r="D589" s="865" t="s">
        <v>643</v>
      </c>
      <c r="E589" s="866">
        <v>2019.0</v>
      </c>
      <c r="F589" s="865" t="s">
        <v>593</v>
      </c>
      <c r="G589" s="865" t="s">
        <v>70</v>
      </c>
      <c r="H589" s="867">
        <v>29221.91604</v>
      </c>
      <c r="I589" s="867">
        <v>34248.65356</v>
      </c>
      <c r="J589" s="868">
        <v>24269.70648</v>
      </c>
      <c r="K589" s="50"/>
      <c r="L589" s="869" t="s">
        <v>626</v>
      </c>
      <c r="M589" s="865" t="s">
        <v>591</v>
      </c>
      <c r="N589" s="865" t="s">
        <v>643</v>
      </c>
      <c r="O589" s="866">
        <v>2004.0</v>
      </c>
      <c r="P589" s="865" t="s">
        <v>593</v>
      </c>
      <c r="Q589" s="865" t="s">
        <v>70</v>
      </c>
      <c r="R589" s="867">
        <v>16254.99058</v>
      </c>
      <c r="S589" s="867">
        <v>17407.48718</v>
      </c>
      <c r="T589" s="868">
        <v>15066.18729</v>
      </c>
      <c r="AN589" s="882"/>
      <c r="AO589" s="882"/>
      <c r="AP589" s="882"/>
      <c r="AY589" s="882"/>
      <c r="AZ589" s="882"/>
      <c r="BA589" s="882"/>
      <c r="BJ589" s="882"/>
      <c r="BK589" s="882"/>
      <c r="BL589" s="882"/>
      <c r="BU589" s="882"/>
      <c r="BV589" s="882"/>
      <c r="BW589" s="882"/>
      <c r="CF589" s="882"/>
      <c r="CG589" s="882"/>
      <c r="CH589" s="882"/>
      <c r="CI589" s="530"/>
    </row>
    <row r="590">
      <c r="A590" s="857"/>
      <c r="B590" s="865" t="s">
        <v>626</v>
      </c>
      <c r="C590" s="865" t="s">
        <v>591</v>
      </c>
      <c r="D590" s="865" t="s">
        <v>645</v>
      </c>
      <c r="E590" s="866">
        <v>2019.0</v>
      </c>
      <c r="F590" s="865" t="s">
        <v>593</v>
      </c>
      <c r="G590" s="865" t="s">
        <v>70</v>
      </c>
      <c r="H590" s="867">
        <v>82616.12248</v>
      </c>
      <c r="I590" s="867">
        <v>96827.70126</v>
      </c>
      <c r="J590" s="868">
        <v>68615.24893</v>
      </c>
      <c r="K590" s="50"/>
      <c r="L590" s="869" t="s">
        <v>626</v>
      </c>
      <c r="M590" s="865" t="s">
        <v>591</v>
      </c>
      <c r="N590" s="865" t="s">
        <v>645</v>
      </c>
      <c r="O590" s="866">
        <v>2004.0</v>
      </c>
      <c r="P590" s="865" t="s">
        <v>593</v>
      </c>
      <c r="Q590" s="865" t="s">
        <v>70</v>
      </c>
      <c r="R590" s="867">
        <v>52242.41223</v>
      </c>
      <c r="S590" s="867">
        <v>55946.45637</v>
      </c>
      <c r="T590" s="868">
        <v>48421.68093</v>
      </c>
      <c r="AN590" s="882"/>
      <c r="AO590" s="882"/>
      <c r="AP590" s="882"/>
      <c r="AY590" s="882"/>
      <c r="AZ590" s="882"/>
      <c r="BA590" s="882"/>
      <c r="BJ590" s="882"/>
      <c r="BK590" s="882"/>
      <c r="BL590" s="882"/>
      <c r="BU590" s="882"/>
      <c r="BV590" s="882"/>
      <c r="BW590" s="882"/>
      <c r="CF590" s="882"/>
      <c r="CG590" s="882"/>
      <c r="CH590" s="882"/>
      <c r="CI590" s="530"/>
    </row>
    <row r="591">
      <c r="A591" s="857"/>
      <c r="B591" s="865" t="s">
        <v>626</v>
      </c>
      <c r="C591" s="865" t="s">
        <v>591</v>
      </c>
      <c r="D591" s="865" t="s">
        <v>604</v>
      </c>
      <c r="E591" s="866">
        <v>2019.0</v>
      </c>
      <c r="F591" s="865" t="s">
        <v>593</v>
      </c>
      <c r="G591" s="865" t="s">
        <v>70</v>
      </c>
      <c r="H591" s="867">
        <v>154678.7321</v>
      </c>
      <c r="I591" s="867">
        <v>181286.4803</v>
      </c>
      <c r="J591" s="868">
        <v>128465.4785</v>
      </c>
      <c r="K591" s="50"/>
      <c r="L591" s="869" t="s">
        <v>626</v>
      </c>
      <c r="M591" s="865" t="s">
        <v>591</v>
      </c>
      <c r="N591" s="865" t="s">
        <v>604</v>
      </c>
      <c r="O591" s="866">
        <v>2004.0</v>
      </c>
      <c r="P591" s="865" t="s">
        <v>593</v>
      </c>
      <c r="Q591" s="865" t="s">
        <v>70</v>
      </c>
      <c r="R591" s="867">
        <v>149048.7464</v>
      </c>
      <c r="S591" s="867">
        <v>159616.4655</v>
      </c>
      <c r="T591" s="868">
        <v>138148.1163</v>
      </c>
      <c r="AN591" s="882"/>
      <c r="AO591" s="882"/>
      <c r="AP591" s="882"/>
      <c r="AY591" s="882"/>
      <c r="AZ591" s="882"/>
      <c r="BA591" s="882"/>
      <c r="BJ591" s="882"/>
      <c r="BK591" s="882"/>
      <c r="BL591" s="882"/>
      <c r="BU591" s="882"/>
      <c r="BV591" s="882"/>
      <c r="BW591" s="882"/>
      <c r="CF591" s="882"/>
      <c r="CG591" s="882"/>
      <c r="CH591" s="882"/>
      <c r="CI591" s="530"/>
    </row>
    <row r="592">
      <c r="A592" s="857"/>
      <c r="B592" s="865" t="s">
        <v>626</v>
      </c>
      <c r="C592" s="865" t="s">
        <v>591</v>
      </c>
      <c r="D592" s="865" t="s">
        <v>647</v>
      </c>
      <c r="E592" s="866">
        <v>2019.0</v>
      </c>
      <c r="F592" s="865" t="s">
        <v>593</v>
      </c>
      <c r="G592" s="865" t="s">
        <v>70</v>
      </c>
      <c r="H592" s="867">
        <v>78768.80801</v>
      </c>
      <c r="I592" s="867">
        <v>92308.06991</v>
      </c>
      <c r="J592" s="868">
        <v>65411.10313</v>
      </c>
      <c r="K592" s="50"/>
      <c r="L592" s="869" t="s">
        <v>626</v>
      </c>
      <c r="M592" s="865" t="s">
        <v>591</v>
      </c>
      <c r="N592" s="865" t="s">
        <v>647</v>
      </c>
      <c r="O592" s="866">
        <v>2004.0</v>
      </c>
      <c r="P592" s="865" t="s">
        <v>593</v>
      </c>
      <c r="Q592" s="865" t="s">
        <v>70</v>
      </c>
      <c r="R592" s="867">
        <v>52582.04451</v>
      </c>
      <c r="S592" s="867">
        <v>56308.01856</v>
      </c>
      <c r="T592" s="868">
        <v>48732.11469</v>
      </c>
      <c r="AN592" s="882"/>
      <c r="AO592" s="882"/>
      <c r="AP592" s="882"/>
      <c r="AY592" s="882"/>
      <c r="AZ592" s="882"/>
      <c r="BA592" s="882"/>
      <c r="BJ592" s="882"/>
      <c r="BK592" s="882"/>
      <c r="BL592" s="882"/>
      <c r="BU592" s="882"/>
      <c r="BV592" s="882"/>
      <c r="BW592" s="882"/>
      <c r="CF592" s="882"/>
      <c r="CG592" s="882"/>
      <c r="CH592" s="882"/>
      <c r="CI592" s="530"/>
    </row>
    <row r="593">
      <c r="A593" s="857"/>
      <c r="B593" s="865" t="s">
        <v>626</v>
      </c>
      <c r="C593" s="865" t="s">
        <v>591</v>
      </c>
      <c r="D593" s="865" t="s">
        <v>649</v>
      </c>
      <c r="E593" s="866">
        <v>2019.0</v>
      </c>
      <c r="F593" s="865" t="s">
        <v>593</v>
      </c>
      <c r="G593" s="865" t="s">
        <v>70</v>
      </c>
      <c r="H593" s="867">
        <v>22663.01175</v>
      </c>
      <c r="I593" s="867">
        <v>26561.49025</v>
      </c>
      <c r="J593" s="868">
        <v>18822.3333</v>
      </c>
      <c r="K593" s="50"/>
      <c r="L593" s="869" t="s">
        <v>626</v>
      </c>
      <c r="M593" s="865" t="s">
        <v>591</v>
      </c>
      <c r="N593" s="865" t="s">
        <v>649</v>
      </c>
      <c r="O593" s="866">
        <v>2004.0</v>
      </c>
      <c r="P593" s="865" t="s">
        <v>593</v>
      </c>
      <c r="Q593" s="865" t="s">
        <v>70</v>
      </c>
      <c r="R593" s="867">
        <v>14810.71977</v>
      </c>
      <c r="S593" s="867">
        <v>15860.81599</v>
      </c>
      <c r="T593" s="868">
        <v>13727.54274</v>
      </c>
      <c r="AN593" s="882"/>
      <c r="AO593" s="882"/>
      <c r="AP593" s="882"/>
      <c r="AY593" s="882"/>
      <c r="AZ593" s="882"/>
      <c r="BA593" s="882"/>
      <c r="BJ593" s="882"/>
      <c r="BK593" s="882"/>
      <c r="BL593" s="882"/>
      <c r="BU593" s="882"/>
      <c r="BV593" s="882"/>
      <c r="BW593" s="882"/>
      <c r="CF593" s="882"/>
      <c r="CG593" s="882"/>
      <c r="CH593" s="882"/>
      <c r="CI593" s="530"/>
    </row>
    <row r="594">
      <c r="A594" s="857"/>
      <c r="B594" s="865" t="s">
        <v>626</v>
      </c>
      <c r="C594" s="865" t="s">
        <v>591</v>
      </c>
      <c r="D594" s="865" t="s">
        <v>651</v>
      </c>
      <c r="E594" s="866">
        <v>2019.0</v>
      </c>
      <c r="F594" s="865" t="s">
        <v>593</v>
      </c>
      <c r="G594" s="865" t="s">
        <v>70</v>
      </c>
      <c r="H594" s="867">
        <v>17591.72679</v>
      </c>
      <c r="I594" s="867">
        <v>20617.84571</v>
      </c>
      <c r="J594" s="868">
        <v>14610.47404</v>
      </c>
      <c r="K594" s="50"/>
      <c r="L594" s="869" t="s">
        <v>626</v>
      </c>
      <c r="M594" s="865" t="s">
        <v>591</v>
      </c>
      <c r="N594" s="865" t="s">
        <v>651</v>
      </c>
      <c r="O594" s="866">
        <v>2004.0</v>
      </c>
      <c r="P594" s="865" t="s">
        <v>593</v>
      </c>
      <c r="Q594" s="865" t="s">
        <v>70</v>
      </c>
      <c r="R594" s="867">
        <v>11627.59037</v>
      </c>
      <c r="S594" s="867">
        <v>12451.99923</v>
      </c>
      <c r="T594" s="868">
        <v>10777.21044</v>
      </c>
      <c r="AN594" s="882"/>
      <c r="AO594" s="882"/>
      <c r="AP594" s="882"/>
      <c r="AY594" s="882"/>
      <c r="AZ594" s="882"/>
      <c r="BA594" s="882"/>
      <c r="BJ594" s="882"/>
      <c r="BK594" s="882"/>
      <c r="BL594" s="882"/>
      <c r="BU594" s="882"/>
      <c r="BV594" s="882"/>
      <c r="BW594" s="882"/>
      <c r="CF594" s="882"/>
      <c r="CG594" s="882"/>
      <c r="CH594" s="882"/>
      <c r="CI594" s="530"/>
    </row>
    <row r="595">
      <c r="A595" s="857"/>
      <c r="B595" s="865" t="s">
        <v>626</v>
      </c>
      <c r="C595" s="865" t="s">
        <v>591</v>
      </c>
      <c r="D595" s="865" t="s">
        <v>653</v>
      </c>
      <c r="E595" s="866">
        <v>2019.0</v>
      </c>
      <c r="F595" s="865" t="s">
        <v>593</v>
      </c>
      <c r="G595" s="865" t="s">
        <v>70</v>
      </c>
      <c r="H595" s="867">
        <v>13139.4679</v>
      </c>
      <c r="I595" s="867">
        <v>15399.71175</v>
      </c>
      <c r="J595" s="868">
        <v>10912.73511</v>
      </c>
      <c r="K595" s="50"/>
      <c r="L595" s="869" t="s">
        <v>626</v>
      </c>
      <c r="M595" s="865" t="s">
        <v>591</v>
      </c>
      <c r="N595" s="865" t="s">
        <v>653</v>
      </c>
      <c r="O595" s="866">
        <v>2004.0</v>
      </c>
      <c r="P595" s="865" t="s">
        <v>593</v>
      </c>
      <c r="Q595" s="865" t="s">
        <v>70</v>
      </c>
      <c r="R595" s="867">
        <v>9549.111517</v>
      </c>
      <c r="S595" s="867">
        <v>10226.15396</v>
      </c>
      <c r="T595" s="868">
        <v>8850.740447</v>
      </c>
      <c r="AN595" s="882"/>
      <c r="AO595" s="882"/>
      <c r="AP595" s="882"/>
      <c r="AY595" s="882"/>
      <c r="AZ595" s="882"/>
      <c r="BA595" s="882"/>
      <c r="BJ595" s="882"/>
      <c r="BK595" s="882"/>
      <c r="BL595" s="882"/>
      <c r="BU595" s="882"/>
      <c r="BV595" s="882"/>
      <c r="BW595" s="882"/>
      <c r="CF595" s="882"/>
      <c r="CG595" s="882"/>
      <c r="CH595" s="882"/>
      <c r="CI595" s="530"/>
    </row>
    <row r="596">
      <c r="A596" s="857"/>
      <c r="B596" s="865" t="s">
        <v>626</v>
      </c>
      <c r="C596" s="865" t="s">
        <v>591</v>
      </c>
      <c r="D596" s="865" t="s">
        <v>655</v>
      </c>
      <c r="E596" s="866">
        <v>2019.0</v>
      </c>
      <c r="F596" s="865" t="s">
        <v>593</v>
      </c>
      <c r="G596" s="865" t="s">
        <v>70</v>
      </c>
      <c r="H596" s="867">
        <v>24142.57398</v>
      </c>
      <c r="I596" s="867">
        <v>28292.34647</v>
      </c>
      <c r="J596" s="868">
        <v>20048.44857</v>
      </c>
      <c r="K596" s="50"/>
      <c r="L596" s="869" t="s">
        <v>626</v>
      </c>
      <c r="M596" s="865" t="s">
        <v>591</v>
      </c>
      <c r="N596" s="865" t="s">
        <v>655</v>
      </c>
      <c r="O596" s="866">
        <v>2004.0</v>
      </c>
      <c r="P596" s="865" t="s">
        <v>593</v>
      </c>
      <c r="Q596" s="865" t="s">
        <v>70</v>
      </c>
      <c r="R596" s="867">
        <v>16787.75005</v>
      </c>
      <c r="S596" s="867">
        <v>17977.33333</v>
      </c>
      <c r="T596" s="868">
        <v>15558.59169</v>
      </c>
      <c r="AN596" s="882"/>
      <c r="AO596" s="882"/>
      <c r="AP596" s="882"/>
      <c r="AY596" s="882"/>
      <c r="AZ596" s="882"/>
      <c r="BA596" s="882"/>
      <c r="BJ596" s="882"/>
      <c r="BK596" s="882"/>
      <c r="BL596" s="882"/>
      <c r="BU596" s="882"/>
      <c r="BV596" s="882"/>
      <c r="BW596" s="882"/>
      <c r="CF596" s="882"/>
      <c r="CG596" s="882"/>
      <c r="CH596" s="882"/>
      <c r="CI596" s="530"/>
    </row>
    <row r="597">
      <c r="A597" s="857"/>
      <c r="B597" s="865" t="s">
        <v>626</v>
      </c>
      <c r="C597" s="865" t="s">
        <v>591</v>
      </c>
      <c r="D597" s="865" t="s">
        <v>657</v>
      </c>
      <c r="E597" s="866">
        <v>2019.0</v>
      </c>
      <c r="F597" s="865" t="s">
        <v>593</v>
      </c>
      <c r="G597" s="865" t="s">
        <v>70</v>
      </c>
      <c r="H597" s="867">
        <v>11000.08758</v>
      </c>
      <c r="I597" s="867">
        <v>12892.31644</v>
      </c>
      <c r="J597" s="868">
        <v>9135.913485</v>
      </c>
      <c r="K597" s="50"/>
      <c r="L597" s="869" t="s">
        <v>626</v>
      </c>
      <c r="M597" s="865" t="s">
        <v>591</v>
      </c>
      <c r="N597" s="865" t="s">
        <v>657</v>
      </c>
      <c r="O597" s="866">
        <v>2004.0</v>
      </c>
      <c r="P597" s="865" t="s">
        <v>593</v>
      </c>
      <c r="Q597" s="865" t="s">
        <v>70</v>
      </c>
      <c r="R597" s="867">
        <v>7237.729254</v>
      </c>
      <c r="S597" s="867">
        <v>7750.89217</v>
      </c>
      <c r="T597" s="868">
        <v>6708.400351</v>
      </c>
      <c r="AN597" s="882"/>
      <c r="AO597" s="882"/>
      <c r="AP597" s="882"/>
      <c r="AY597" s="882"/>
      <c r="AZ597" s="882"/>
      <c r="BA597" s="882"/>
      <c r="BJ597" s="882"/>
      <c r="BK597" s="882"/>
      <c r="BL597" s="882"/>
      <c r="BU597" s="882"/>
      <c r="BV597" s="882"/>
      <c r="BW597" s="882"/>
      <c r="CF597" s="882"/>
      <c r="CG597" s="882"/>
      <c r="CH597" s="882"/>
      <c r="CI597" s="530"/>
    </row>
    <row r="598">
      <c r="A598" s="857"/>
      <c r="B598" s="865" t="s">
        <v>626</v>
      </c>
      <c r="C598" s="865" t="s">
        <v>591</v>
      </c>
      <c r="D598" s="865" t="s">
        <v>659</v>
      </c>
      <c r="E598" s="866">
        <v>2019.0</v>
      </c>
      <c r="F598" s="865" t="s">
        <v>593</v>
      </c>
      <c r="G598" s="865" t="s">
        <v>70</v>
      </c>
      <c r="H598" s="867">
        <v>25364.75323</v>
      </c>
      <c r="I598" s="867">
        <v>29727.98378</v>
      </c>
      <c r="J598" s="868">
        <v>21066.21329</v>
      </c>
      <c r="K598" s="50"/>
      <c r="L598" s="869" t="s">
        <v>626</v>
      </c>
      <c r="M598" s="865" t="s">
        <v>591</v>
      </c>
      <c r="N598" s="865" t="s">
        <v>659</v>
      </c>
      <c r="O598" s="866">
        <v>2004.0</v>
      </c>
      <c r="P598" s="865" t="s">
        <v>593</v>
      </c>
      <c r="Q598" s="865" t="s">
        <v>70</v>
      </c>
      <c r="R598" s="867">
        <v>16591.77485</v>
      </c>
      <c r="S598" s="867">
        <v>17768.14982</v>
      </c>
      <c r="T598" s="868">
        <v>15378.34096</v>
      </c>
      <c r="AN598" s="882"/>
      <c r="AO598" s="882"/>
      <c r="AP598" s="882"/>
      <c r="AY598" s="882"/>
      <c r="AZ598" s="882"/>
      <c r="BA598" s="882"/>
      <c r="BJ598" s="882"/>
      <c r="BK598" s="882"/>
      <c r="BL598" s="882"/>
      <c r="BU598" s="882"/>
      <c r="BV598" s="882"/>
      <c r="BW598" s="882"/>
      <c r="CF598" s="882"/>
      <c r="CG598" s="882"/>
      <c r="CH598" s="882"/>
      <c r="CI598" s="530"/>
    </row>
    <row r="599">
      <c r="A599" s="857"/>
      <c r="B599" s="865" t="s">
        <v>626</v>
      </c>
      <c r="C599" s="865" t="s">
        <v>591</v>
      </c>
      <c r="D599" s="865" t="s">
        <v>661</v>
      </c>
      <c r="E599" s="866">
        <v>2019.0</v>
      </c>
      <c r="F599" s="865" t="s">
        <v>593</v>
      </c>
      <c r="G599" s="865" t="s">
        <v>70</v>
      </c>
      <c r="H599" s="867">
        <v>14366.46187</v>
      </c>
      <c r="I599" s="867">
        <v>16835.85673</v>
      </c>
      <c r="J599" s="868">
        <v>11930.18077</v>
      </c>
      <c r="K599" s="50"/>
      <c r="L599" s="869" t="s">
        <v>626</v>
      </c>
      <c r="M599" s="865" t="s">
        <v>591</v>
      </c>
      <c r="N599" s="865" t="s">
        <v>661</v>
      </c>
      <c r="O599" s="866">
        <v>2004.0</v>
      </c>
      <c r="P599" s="865" t="s">
        <v>593</v>
      </c>
      <c r="Q599" s="865" t="s">
        <v>70</v>
      </c>
      <c r="R599" s="867">
        <v>9354.552268</v>
      </c>
      <c r="S599" s="867">
        <v>10017.41769</v>
      </c>
      <c r="T599" s="868">
        <v>8669.63463</v>
      </c>
      <c r="AN599" s="882"/>
      <c r="AO599" s="882"/>
      <c r="AP599" s="882"/>
      <c r="AY599" s="882"/>
      <c r="AZ599" s="882"/>
      <c r="BA599" s="882"/>
      <c r="BJ599" s="882"/>
      <c r="BK599" s="882"/>
      <c r="BL599" s="882"/>
      <c r="BU599" s="882"/>
      <c r="BV599" s="882"/>
      <c r="BW599" s="882"/>
      <c r="CF599" s="882"/>
      <c r="CG599" s="882"/>
      <c r="CH599" s="882"/>
      <c r="CI599" s="530"/>
    </row>
    <row r="600">
      <c r="A600" s="857"/>
      <c r="B600" s="865" t="s">
        <v>626</v>
      </c>
      <c r="C600" s="865" t="s">
        <v>591</v>
      </c>
      <c r="D600" s="865" t="s">
        <v>663</v>
      </c>
      <c r="E600" s="866">
        <v>2019.0</v>
      </c>
      <c r="F600" s="865" t="s">
        <v>593</v>
      </c>
      <c r="G600" s="865" t="s">
        <v>70</v>
      </c>
      <c r="H600" s="867">
        <v>7354.135984</v>
      </c>
      <c r="I600" s="867">
        <v>8619.190307</v>
      </c>
      <c r="J600" s="868">
        <v>6107.837744</v>
      </c>
      <c r="K600" s="50"/>
      <c r="L600" s="869" t="s">
        <v>626</v>
      </c>
      <c r="M600" s="865" t="s">
        <v>591</v>
      </c>
      <c r="N600" s="865" t="s">
        <v>663</v>
      </c>
      <c r="O600" s="866">
        <v>2004.0</v>
      </c>
      <c r="P600" s="865" t="s">
        <v>593</v>
      </c>
      <c r="Q600" s="865" t="s">
        <v>70</v>
      </c>
      <c r="R600" s="867">
        <v>5019.896731</v>
      </c>
      <c r="S600" s="867">
        <v>5375.812897</v>
      </c>
      <c r="T600" s="868">
        <v>4652.768266</v>
      </c>
      <c r="AN600" s="882"/>
      <c r="AO600" s="882"/>
      <c r="AP600" s="882"/>
      <c r="AY600" s="882"/>
      <c r="AZ600" s="882"/>
      <c r="BA600" s="882"/>
      <c r="BJ600" s="882"/>
      <c r="BK600" s="882"/>
      <c r="BL600" s="882"/>
      <c r="BU600" s="882"/>
      <c r="BV600" s="882"/>
      <c r="BW600" s="882"/>
      <c r="CF600" s="882"/>
      <c r="CG600" s="882"/>
      <c r="CH600" s="882"/>
      <c r="CI600" s="530"/>
    </row>
    <row r="601">
      <c r="A601" s="857"/>
      <c r="B601" s="865" t="s">
        <v>626</v>
      </c>
      <c r="C601" s="865" t="s">
        <v>591</v>
      </c>
      <c r="D601" s="865" t="s">
        <v>665</v>
      </c>
      <c r="E601" s="866">
        <v>2019.0</v>
      </c>
      <c r="F601" s="865" t="s">
        <v>593</v>
      </c>
      <c r="G601" s="865" t="s">
        <v>70</v>
      </c>
      <c r="H601" s="867">
        <v>11682.48188</v>
      </c>
      <c r="I601" s="867">
        <v>13690.53793</v>
      </c>
      <c r="J601" s="868">
        <v>9701.35319</v>
      </c>
      <c r="K601" s="50"/>
      <c r="L601" s="869" t="s">
        <v>626</v>
      </c>
      <c r="M601" s="865" t="s">
        <v>591</v>
      </c>
      <c r="N601" s="865" t="s">
        <v>665</v>
      </c>
      <c r="O601" s="866">
        <v>2004.0</v>
      </c>
      <c r="P601" s="865" t="s">
        <v>593</v>
      </c>
      <c r="Q601" s="865" t="s">
        <v>70</v>
      </c>
      <c r="R601" s="867">
        <v>7756.352621</v>
      </c>
      <c r="S601" s="867">
        <v>8305.969298</v>
      </c>
      <c r="T601" s="868">
        <v>7188.451286</v>
      </c>
      <c r="AN601" s="882"/>
      <c r="AO601" s="882"/>
      <c r="AP601" s="882"/>
      <c r="AY601" s="882"/>
      <c r="AZ601" s="882"/>
      <c r="BA601" s="882"/>
      <c r="BJ601" s="882"/>
      <c r="BK601" s="882"/>
      <c r="BL601" s="882"/>
      <c r="BU601" s="882"/>
      <c r="BV601" s="882"/>
      <c r="BW601" s="882"/>
      <c r="CF601" s="882"/>
      <c r="CG601" s="882"/>
      <c r="CH601" s="882"/>
      <c r="CI601" s="530"/>
    </row>
    <row r="602">
      <c r="A602" s="857"/>
      <c r="B602" s="865" t="s">
        <v>626</v>
      </c>
      <c r="C602" s="865" t="s">
        <v>591</v>
      </c>
      <c r="D602" s="865" t="s">
        <v>667</v>
      </c>
      <c r="E602" s="866">
        <v>2019.0</v>
      </c>
      <c r="F602" s="865" t="s">
        <v>593</v>
      </c>
      <c r="G602" s="865" t="s">
        <v>70</v>
      </c>
      <c r="H602" s="867">
        <v>7010.52967</v>
      </c>
      <c r="I602" s="867">
        <v>8216.477028</v>
      </c>
      <c r="J602" s="868">
        <v>5822.462056</v>
      </c>
      <c r="K602" s="50"/>
      <c r="L602" s="869" t="s">
        <v>626</v>
      </c>
      <c r="M602" s="865" t="s">
        <v>591</v>
      </c>
      <c r="N602" s="865" t="s">
        <v>667</v>
      </c>
      <c r="O602" s="866">
        <v>2004.0</v>
      </c>
      <c r="P602" s="865" t="s">
        <v>593</v>
      </c>
      <c r="Q602" s="865" t="s">
        <v>70</v>
      </c>
      <c r="R602" s="867">
        <v>4334.148865</v>
      </c>
      <c r="S602" s="867">
        <v>4641.444758</v>
      </c>
      <c r="T602" s="868">
        <v>4017.172341</v>
      </c>
      <c r="AN602" s="882"/>
      <c r="AO602" s="882"/>
      <c r="AP602" s="882"/>
      <c r="AY602" s="882"/>
      <c r="AZ602" s="882"/>
      <c r="BA602" s="882"/>
      <c r="BJ602" s="882"/>
      <c r="BK602" s="882"/>
      <c r="BL602" s="882"/>
      <c r="BU602" s="882"/>
      <c r="BV602" s="882"/>
      <c r="BW602" s="882"/>
      <c r="CF602" s="882"/>
      <c r="CG602" s="882"/>
      <c r="CH602" s="882"/>
      <c r="CI602" s="530"/>
    </row>
    <row r="603">
      <c r="A603" s="857"/>
      <c r="B603" s="865" t="s">
        <v>626</v>
      </c>
      <c r="C603" s="865" t="s">
        <v>591</v>
      </c>
      <c r="D603" s="865" t="s">
        <v>669</v>
      </c>
      <c r="E603" s="866">
        <v>2019.0</v>
      </c>
      <c r="F603" s="865" t="s">
        <v>593</v>
      </c>
      <c r="G603" s="865" t="s">
        <v>70</v>
      </c>
      <c r="H603" s="867">
        <v>4326.885252</v>
      </c>
      <c r="I603" s="867">
        <v>5071.193612</v>
      </c>
      <c r="J603" s="868">
        <v>3593.612236</v>
      </c>
      <c r="K603" s="50"/>
      <c r="L603" s="869" t="s">
        <v>626</v>
      </c>
      <c r="M603" s="865" t="s">
        <v>591</v>
      </c>
      <c r="N603" s="865" t="s">
        <v>669</v>
      </c>
      <c r="O603" s="866">
        <v>2004.0</v>
      </c>
      <c r="P603" s="865" t="s">
        <v>593</v>
      </c>
      <c r="Q603" s="865" t="s">
        <v>70</v>
      </c>
      <c r="R603" s="867">
        <v>2736.035782</v>
      </c>
      <c r="S603" s="867">
        <v>2930.023709</v>
      </c>
      <c r="T603" s="868">
        <v>2535.936722</v>
      </c>
      <c r="AN603" s="882"/>
      <c r="AO603" s="882"/>
      <c r="AP603" s="882"/>
      <c r="AY603" s="882"/>
      <c r="AZ603" s="882"/>
      <c r="BA603" s="882"/>
      <c r="BJ603" s="882"/>
      <c r="BK603" s="882"/>
      <c r="BL603" s="882"/>
      <c r="BU603" s="882"/>
      <c r="BV603" s="882"/>
      <c r="BW603" s="882"/>
      <c r="CF603" s="882"/>
      <c r="CG603" s="882"/>
      <c r="CH603" s="882"/>
      <c r="CI603" s="530"/>
    </row>
    <row r="604">
      <c r="A604" s="857"/>
      <c r="B604" s="865" t="s">
        <v>626</v>
      </c>
      <c r="C604" s="865" t="s">
        <v>591</v>
      </c>
      <c r="D604" s="865" t="s">
        <v>671</v>
      </c>
      <c r="E604" s="866">
        <v>2019.0</v>
      </c>
      <c r="F604" s="865" t="s">
        <v>593</v>
      </c>
      <c r="G604" s="865" t="s">
        <v>70</v>
      </c>
      <c r="H604" s="867">
        <v>2683.979991</v>
      </c>
      <c r="I604" s="867">
        <v>3145.3188</v>
      </c>
      <c r="J604" s="868">
        <v>2228.827583</v>
      </c>
      <c r="K604" s="50"/>
      <c r="L604" s="869" t="s">
        <v>626</v>
      </c>
      <c r="M604" s="865" t="s">
        <v>591</v>
      </c>
      <c r="N604" s="865" t="s">
        <v>671</v>
      </c>
      <c r="O604" s="866">
        <v>2004.0</v>
      </c>
      <c r="P604" s="865" t="s">
        <v>593</v>
      </c>
      <c r="Q604" s="865" t="s">
        <v>70</v>
      </c>
      <c r="R604" s="867">
        <v>1598.199647</v>
      </c>
      <c r="S604" s="867">
        <v>1711.44839</v>
      </c>
      <c r="T604" s="868">
        <v>1481.183344</v>
      </c>
      <c r="AN604" s="882"/>
      <c r="AO604" s="882"/>
      <c r="AP604" s="882"/>
      <c r="AY604" s="882"/>
      <c r="AZ604" s="882"/>
      <c r="BA604" s="882"/>
      <c r="BJ604" s="882"/>
      <c r="BK604" s="882"/>
      <c r="BL604" s="882"/>
      <c r="BU604" s="882"/>
      <c r="BV604" s="882"/>
      <c r="BW604" s="882"/>
      <c r="CF604" s="882"/>
      <c r="CG604" s="882"/>
      <c r="CH604" s="882"/>
      <c r="CI604" s="530"/>
    </row>
    <row r="605">
      <c r="A605" s="857"/>
      <c r="B605" s="865" t="s">
        <v>626</v>
      </c>
      <c r="C605" s="865" t="s">
        <v>591</v>
      </c>
      <c r="D605" s="865" t="s">
        <v>673</v>
      </c>
      <c r="E605" s="866">
        <v>2019.0</v>
      </c>
      <c r="F605" s="865" t="s">
        <v>593</v>
      </c>
      <c r="G605" s="865" t="s">
        <v>70</v>
      </c>
      <c r="H605" s="867">
        <v>1885.48217</v>
      </c>
      <c r="I605" s="867">
        <v>2209.821749</v>
      </c>
      <c r="J605" s="868">
        <v>1565.951349</v>
      </c>
      <c r="K605" s="50"/>
      <c r="L605" s="869" t="s">
        <v>626</v>
      </c>
      <c r="M605" s="865" t="s">
        <v>591</v>
      </c>
      <c r="N605" s="865" t="s">
        <v>673</v>
      </c>
      <c r="O605" s="866">
        <v>2004.0</v>
      </c>
      <c r="P605" s="865" t="s">
        <v>593</v>
      </c>
      <c r="Q605" s="865" t="s">
        <v>70</v>
      </c>
      <c r="R605" s="867">
        <v>1199.340712</v>
      </c>
      <c r="S605" s="867">
        <v>1284.37528</v>
      </c>
      <c r="T605" s="868">
        <v>1111.627332</v>
      </c>
      <c r="AN605" s="882"/>
      <c r="AO605" s="882"/>
      <c r="AP605" s="882"/>
      <c r="AY605" s="882"/>
      <c r="AZ605" s="882"/>
      <c r="BA605" s="882"/>
      <c r="BJ605" s="882"/>
      <c r="BK605" s="882"/>
      <c r="BL605" s="882"/>
      <c r="BU605" s="882"/>
      <c r="BV605" s="882"/>
      <c r="BW605" s="882"/>
      <c r="CF605" s="882"/>
      <c r="CG605" s="882"/>
      <c r="CH605" s="882"/>
      <c r="CI605" s="530"/>
    </row>
    <row r="606">
      <c r="A606" s="857"/>
      <c r="B606" s="865" t="s">
        <v>626</v>
      </c>
      <c r="C606" s="865" t="s">
        <v>591</v>
      </c>
      <c r="D606" s="865" t="s">
        <v>674</v>
      </c>
      <c r="E606" s="866">
        <v>2019.0</v>
      </c>
      <c r="F606" s="865" t="s">
        <v>593</v>
      </c>
      <c r="G606" s="865" t="s">
        <v>70</v>
      </c>
      <c r="H606" s="867">
        <v>638.1227013</v>
      </c>
      <c r="I606" s="867">
        <v>747.8922084</v>
      </c>
      <c r="J606" s="868">
        <v>529.9806706</v>
      </c>
      <c r="K606" s="50"/>
      <c r="L606" s="869" t="s">
        <v>626</v>
      </c>
      <c r="M606" s="865" t="s">
        <v>591</v>
      </c>
      <c r="N606" s="865" t="s">
        <v>674</v>
      </c>
      <c r="O606" s="866">
        <v>2004.0</v>
      </c>
      <c r="P606" s="865" t="s">
        <v>593</v>
      </c>
      <c r="Q606" s="865" t="s">
        <v>70</v>
      </c>
      <c r="R606" s="867">
        <v>336.0878779</v>
      </c>
      <c r="S606" s="867">
        <v>359.9168758</v>
      </c>
      <c r="T606" s="868">
        <v>311.5082036</v>
      </c>
      <c r="AN606" s="882"/>
      <c r="AO606" s="882"/>
      <c r="AP606" s="882"/>
      <c r="AY606" s="882"/>
      <c r="AZ606" s="882"/>
      <c r="BA606" s="882"/>
      <c r="BJ606" s="882"/>
      <c r="BK606" s="882"/>
      <c r="BL606" s="882"/>
      <c r="BU606" s="882"/>
      <c r="BV606" s="882"/>
      <c r="BW606" s="882"/>
      <c r="CF606" s="882"/>
      <c r="CG606" s="882"/>
      <c r="CH606" s="882"/>
      <c r="CI606" s="530"/>
    </row>
    <row r="607">
      <c r="A607" s="857"/>
      <c r="B607" s="865" t="s">
        <v>626</v>
      </c>
      <c r="C607" s="865" t="s">
        <v>591</v>
      </c>
      <c r="D607" s="865" t="s">
        <v>676</v>
      </c>
      <c r="E607" s="866">
        <v>2019.0</v>
      </c>
      <c r="F607" s="865" t="s">
        <v>593</v>
      </c>
      <c r="G607" s="865" t="s">
        <v>70</v>
      </c>
      <c r="H607" s="867">
        <v>160.0395461</v>
      </c>
      <c r="I607" s="867">
        <v>187.5694585</v>
      </c>
      <c r="J607" s="868">
        <v>132.9178006</v>
      </c>
      <c r="K607" s="50"/>
      <c r="L607" s="869" t="s">
        <v>626</v>
      </c>
      <c r="M607" s="865" t="s">
        <v>591</v>
      </c>
      <c r="N607" s="865" t="s">
        <v>676</v>
      </c>
      <c r="O607" s="866">
        <v>2004.0</v>
      </c>
      <c r="P607" s="865" t="s">
        <v>593</v>
      </c>
      <c r="Q607" s="865" t="s">
        <v>70</v>
      </c>
      <c r="R607" s="867">
        <v>62.68449343</v>
      </c>
      <c r="S607" s="867">
        <v>67.12889253</v>
      </c>
      <c r="T607" s="868">
        <v>58.10008401</v>
      </c>
      <c r="AN607" s="882"/>
      <c r="AO607" s="882"/>
      <c r="AP607" s="882"/>
      <c r="AY607" s="882"/>
      <c r="AZ607" s="882"/>
      <c r="BA607" s="882"/>
      <c r="BJ607" s="882"/>
      <c r="BK607" s="882"/>
      <c r="BL607" s="882"/>
      <c r="BU607" s="882"/>
      <c r="BV607" s="882"/>
      <c r="BW607" s="882"/>
      <c r="CF607" s="882"/>
      <c r="CG607" s="882"/>
      <c r="CH607" s="882"/>
      <c r="CI607" s="530"/>
    </row>
    <row r="608">
      <c r="A608" s="857"/>
      <c r="B608" s="865" t="s">
        <v>626</v>
      </c>
      <c r="C608" s="865" t="s">
        <v>591</v>
      </c>
      <c r="D608" s="865" t="s">
        <v>678</v>
      </c>
      <c r="E608" s="866">
        <v>2019.0</v>
      </c>
      <c r="F608" s="865" t="s">
        <v>593</v>
      </c>
      <c r="G608" s="865" t="s">
        <v>70</v>
      </c>
      <c r="H608" s="867">
        <v>714351.0703</v>
      </c>
      <c r="I608" s="867">
        <v>837233.3383</v>
      </c>
      <c r="J608" s="868">
        <v>593290.6923</v>
      </c>
      <c r="K608" s="50"/>
      <c r="L608" s="869" t="s">
        <v>626</v>
      </c>
      <c r="M608" s="865" t="s">
        <v>591</v>
      </c>
      <c r="N608" s="865" t="s">
        <v>678</v>
      </c>
      <c r="O608" s="866">
        <v>2004.0</v>
      </c>
      <c r="P608" s="865" t="s">
        <v>593</v>
      </c>
      <c r="Q608" s="865" t="s">
        <v>70</v>
      </c>
      <c r="R608" s="867">
        <v>587017.4437</v>
      </c>
      <c r="S608" s="867">
        <v>628637.6221</v>
      </c>
      <c r="T608" s="868">
        <v>544086.1197</v>
      </c>
      <c r="AN608" s="882"/>
      <c r="AO608" s="882"/>
      <c r="AP608" s="882"/>
      <c r="AY608" s="882"/>
      <c r="AZ608" s="882"/>
      <c r="BA608" s="882"/>
      <c r="BJ608" s="882"/>
      <c r="BK608" s="882"/>
      <c r="BL608" s="882"/>
      <c r="BU608" s="882"/>
      <c r="BV608" s="882"/>
      <c r="BW608" s="882"/>
      <c r="CF608" s="882"/>
      <c r="CG608" s="882"/>
      <c r="CH608" s="882"/>
      <c r="CI608" s="530"/>
    </row>
    <row r="609">
      <c r="A609" s="857"/>
      <c r="B609" s="865" t="s">
        <v>626</v>
      </c>
      <c r="C609" s="865" t="s">
        <v>591</v>
      </c>
      <c r="D609" s="865" t="s">
        <v>680</v>
      </c>
      <c r="E609" s="866">
        <v>2019.0</v>
      </c>
      <c r="F609" s="865" t="s">
        <v>593</v>
      </c>
      <c r="G609" s="865" t="s">
        <v>70</v>
      </c>
      <c r="H609" s="867">
        <v>16790.02707</v>
      </c>
      <c r="I609" s="867">
        <v>19509.71923</v>
      </c>
      <c r="J609" s="868">
        <v>14361.26309</v>
      </c>
      <c r="K609" s="50"/>
      <c r="L609" s="869" t="s">
        <v>626</v>
      </c>
      <c r="M609" s="865" t="s">
        <v>591</v>
      </c>
      <c r="N609" s="865" t="s">
        <v>680</v>
      </c>
      <c r="O609" s="866">
        <v>2004.0</v>
      </c>
      <c r="P609" s="865" t="s">
        <v>593</v>
      </c>
      <c r="Q609" s="865" t="s">
        <v>70</v>
      </c>
      <c r="R609" s="867">
        <v>19985.35299</v>
      </c>
      <c r="S609" s="867">
        <v>21914.45614</v>
      </c>
      <c r="T609" s="868">
        <v>17981.70018</v>
      </c>
      <c r="AN609" s="882"/>
      <c r="AO609" s="882"/>
      <c r="AP609" s="882"/>
      <c r="AY609" s="882"/>
      <c r="AZ609" s="882"/>
      <c r="BA609" s="882"/>
      <c r="BJ609" s="882"/>
      <c r="BK609" s="882"/>
      <c r="BL609" s="882"/>
      <c r="BU609" s="882"/>
      <c r="BV609" s="882"/>
      <c r="BW609" s="882"/>
      <c r="CF609" s="882"/>
      <c r="CG609" s="882"/>
      <c r="CH609" s="882"/>
      <c r="CI609" s="530"/>
    </row>
    <row r="610">
      <c r="A610" s="857"/>
      <c r="B610" s="865" t="s">
        <v>626</v>
      </c>
      <c r="C610" s="865" t="s">
        <v>591</v>
      </c>
      <c r="D610" s="865" t="s">
        <v>682</v>
      </c>
      <c r="E610" s="866">
        <v>2019.0</v>
      </c>
      <c r="F610" s="865" t="s">
        <v>593</v>
      </c>
      <c r="G610" s="865" t="s">
        <v>70</v>
      </c>
      <c r="H610" s="867">
        <v>314.1768493</v>
      </c>
      <c r="I610" s="867">
        <v>368.2213737</v>
      </c>
      <c r="J610" s="868">
        <v>260.9336057</v>
      </c>
      <c r="K610" s="50"/>
      <c r="L610" s="869" t="s">
        <v>626</v>
      </c>
      <c r="M610" s="865" t="s">
        <v>591</v>
      </c>
      <c r="N610" s="865" t="s">
        <v>682</v>
      </c>
      <c r="O610" s="866">
        <v>2004.0</v>
      </c>
      <c r="P610" s="865" t="s">
        <v>593</v>
      </c>
      <c r="Q610" s="865" t="s">
        <v>70</v>
      </c>
      <c r="R610" s="867">
        <v>368.8561568</v>
      </c>
      <c r="S610" s="867">
        <v>395.0084615</v>
      </c>
      <c r="T610" s="868">
        <v>341.8799854</v>
      </c>
      <c r="AN610" s="882"/>
      <c r="AO610" s="882"/>
      <c r="AP610" s="882"/>
      <c r="AY610" s="882"/>
      <c r="AZ610" s="882"/>
      <c r="BA610" s="882"/>
      <c r="BJ610" s="882"/>
      <c r="BK610" s="882"/>
      <c r="BL610" s="882"/>
      <c r="BU610" s="882"/>
      <c r="BV610" s="882"/>
      <c r="BW610" s="882"/>
      <c r="CF610" s="882"/>
      <c r="CG610" s="882"/>
      <c r="CH610" s="882"/>
      <c r="CI610" s="530"/>
    </row>
    <row r="611">
      <c r="A611" s="857"/>
      <c r="B611" s="865" t="s">
        <v>626</v>
      </c>
      <c r="C611" s="865" t="s">
        <v>591</v>
      </c>
      <c r="D611" s="865" t="s">
        <v>684</v>
      </c>
      <c r="E611" s="866">
        <v>2019.0</v>
      </c>
      <c r="F611" s="865" t="s">
        <v>593</v>
      </c>
      <c r="G611" s="865" t="s">
        <v>70</v>
      </c>
      <c r="H611" s="867">
        <v>928.915853</v>
      </c>
      <c r="I611" s="867">
        <v>1088.707434</v>
      </c>
      <c r="J611" s="868">
        <v>771.493391</v>
      </c>
      <c r="K611" s="50"/>
      <c r="L611" s="869" t="s">
        <v>626</v>
      </c>
      <c r="M611" s="865" t="s">
        <v>591</v>
      </c>
      <c r="N611" s="865" t="s">
        <v>684</v>
      </c>
      <c r="O611" s="866">
        <v>2004.0</v>
      </c>
      <c r="P611" s="865" t="s">
        <v>593</v>
      </c>
      <c r="Q611" s="865" t="s">
        <v>70</v>
      </c>
      <c r="R611" s="867">
        <v>1082.991823</v>
      </c>
      <c r="S611" s="867">
        <v>1159.777128</v>
      </c>
      <c r="T611" s="868">
        <v>1003.78758</v>
      </c>
      <c r="AN611" s="882"/>
      <c r="AO611" s="882"/>
      <c r="AP611" s="882"/>
      <c r="AY611" s="882"/>
      <c r="AZ611" s="882"/>
      <c r="BA611" s="882"/>
      <c r="BJ611" s="882"/>
      <c r="BK611" s="882"/>
      <c r="BL611" s="882"/>
      <c r="BU611" s="882"/>
      <c r="BV611" s="882"/>
      <c r="BW611" s="882"/>
      <c r="CF611" s="882"/>
      <c r="CG611" s="882"/>
      <c r="CH611" s="882"/>
      <c r="CI611" s="530"/>
    </row>
    <row r="612">
      <c r="A612" s="857"/>
      <c r="B612" s="865" t="s">
        <v>626</v>
      </c>
      <c r="C612" s="865" t="s">
        <v>591</v>
      </c>
      <c r="D612" s="865" t="s">
        <v>686</v>
      </c>
      <c r="E612" s="866">
        <v>2019.0</v>
      </c>
      <c r="F612" s="865" t="s">
        <v>593</v>
      </c>
      <c r="G612" s="865" t="s">
        <v>70</v>
      </c>
      <c r="H612" s="867">
        <v>1243.092702</v>
      </c>
      <c r="I612" s="867">
        <v>1456.928808</v>
      </c>
      <c r="J612" s="868">
        <v>1032.426997</v>
      </c>
      <c r="K612" s="50"/>
      <c r="L612" s="869" t="s">
        <v>626</v>
      </c>
      <c r="M612" s="865" t="s">
        <v>591</v>
      </c>
      <c r="N612" s="865" t="s">
        <v>686</v>
      </c>
      <c r="O612" s="866">
        <v>2004.0</v>
      </c>
      <c r="P612" s="865" t="s">
        <v>593</v>
      </c>
      <c r="Q612" s="865" t="s">
        <v>70</v>
      </c>
      <c r="R612" s="867">
        <v>1451.84798</v>
      </c>
      <c r="S612" s="867">
        <v>1554.785589</v>
      </c>
      <c r="T612" s="868">
        <v>1345.667565</v>
      </c>
      <c r="AN612" s="882"/>
      <c r="AO612" s="882"/>
      <c r="AP612" s="882"/>
      <c r="AY612" s="882"/>
      <c r="AZ612" s="882"/>
      <c r="BA612" s="882"/>
      <c r="BJ612" s="882"/>
      <c r="BK612" s="882"/>
      <c r="BL612" s="882"/>
      <c r="BU612" s="882"/>
      <c r="BV612" s="882"/>
      <c r="BW612" s="882"/>
      <c r="CF612" s="882"/>
      <c r="CG612" s="882"/>
      <c r="CH612" s="882"/>
      <c r="CI612" s="530"/>
    </row>
    <row r="613">
      <c r="A613" s="857"/>
      <c r="B613" s="865" t="s">
        <v>626</v>
      </c>
      <c r="C613" s="865" t="s">
        <v>591</v>
      </c>
      <c r="D613" s="865" t="s">
        <v>688</v>
      </c>
      <c r="E613" s="866">
        <v>2019.0</v>
      </c>
      <c r="F613" s="865" t="s">
        <v>593</v>
      </c>
      <c r="G613" s="865" t="s">
        <v>70</v>
      </c>
      <c r="H613" s="867">
        <v>14719.57413</v>
      </c>
      <c r="I613" s="867">
        <v>17251.62697</v>
      </c>
      <c r="J613" s="868">
        <v>12225.06228</v>
      </c>
      <c r="K613" s="50"/>
      <c r="L613" s="869" t="s">
        <v>626</v>
      </c>
      <c r="M613" s="865" t="s">
        <v>591</v>
      </c>
      <c r="N613" s="865" t="s">
        <v>688</v>
      </c>
      <c r="O613" s="866">
        <v>2004.0</v>
      </c>
      <c r="P613" s="865" t="s">
        <v>593</v>
      </c>
      <c r="Q613" s="865" t="s">
        <v>70</v>
      </c>
      <c r="R613" s="867">
        <v>17106.87908</v>
      </c>
      <c r="S613" s="867">
        <v>18319.7755</v>
      </c>
      <c r="T613" s="868">
        <v>15855.77321</v>
      </c>
      <c r="AN613" s="882"/>
      <c r="AO613" s="882"/>
      <c r="AP613" s="882"/>
      <c r="AY613" s="882"/>
      <c r="AZ613" s="882"/>
      <c r="BA613" s="882"/>
      <c r="BJ613" s="882"/>
      <c r="BK613" s="882"/>
      <c r="BL613" s="882"/>
      <c r="BU613" s="882"/>
      <c r="BV613" s="882"/>
      <c r="BW613" s="882"/>
      <c r="CF613" s="882"/>
      <c r="CG613" s="882"/>
      <c r="CH613" s="882"/>
      <c r="CI613" s="530"/>
    </row>
    <row r="614">
      <c r="A614" s="857"/>
      <c r="B614" s="865" t="s">
        <v>626</v>
      </c>
      <c r="C614" s="865" t="s">
        <v>591</v>
      </c>
      <c r="D614" s="865" t="s">
        <v>689</v>
      </c>
      <c r="E614" s="866">
        <v>2019.0</v>
      </c>
      <c r="F614" s="865" t="s">
        <v>593</v>
      </c>
      <c r="G614" s="865" t="s">
        <v>70</v>
      </c>
      <c r="H614" s="867">
        <v>78106.39174</v>
      </c>
      <c r="I614" s="867">
        <v>91542.20919</v>
      </c>
      <c r="J614" s="868">
        <v>64869.77785</v>
      </c>
      <c r="K614" s="50"/>
      <c r="L614" s="869" t="s">
        <v>626</v>
      </c>
      <c r="M614" s="865" t="s">
        <v>591</v>
      </c>
      <c r="N614" s="865" t="s">
        <v>689</v>
      </c>
      <c r="O614" s="866">
        <v>2004.0</v>
      </c>
      <c r="P614" s="865" t="s">
        <v>593</v>
      </c>
      <c r="Q614" s="865" t="s">
        <v>70</v>
      </c>
      <c r="R614" s="867">
        <v>87166.66082</v>
      </c>
      <c r="S614" s="867">
        <v>93346.87236</v>
      </c>
      <c r="T614" s="868">
        <v>80791.7563</v>
      </c>
      <c r="AN614" s="882"/>
      <c r="AO614" s="882"/>
      <c r="AP614" s="882"/>
      <c r="AY614" s="882"/>
      <c r="AZ614" s="882"/>
      <c r="BA614" s="882"/>
      <c r="BJ614" s="882"/>
      <c r="BK614" s="882"/>
      <c r="BL614" s="882"/>
      <c r="BU614" s="882"/>
      <c r="BV614" s="882"/>
      <c r="BW614" s="882"/>
      <c r="CF614" s="882"/>
      <c r="CG614" s="882"/>
      <c r="CH614" s="882"/>
      <c r="CI614" s="530"/>
    </row>
    <row r="615">
      <c r="A615" s="857"/>
      <c r="B615" s="865" t="s">
        <v>628</v>
      </c>
      <c r="C615" s="865" t="s">
        <v>591</v>
      </c>
      <c r="D615" s="865" t="s">
        <v>592</v>
      </c>
      <c r="E615" s="866">
        <v>2019.0</v>
      </c>
      <c r="F615" s="865" t="s">
        <v>593</v>
      </c>
      <c r="G615" s="865" t="s">
        <v>70</v>
      </c>
      <c r="H615" s="867">
        <v>140068.7367</v>
      </c>
      <c r="I615" s="867">
        <v>159830.8967</v>
      </c>
      <c r="J615" s="868">
        <v>119885.6369</v>
      </c>
      <c r="K615" s="50"/>
      <c r="L615" s="869" t="s">
        <v>628</v>
      </c>
      <c r="M615" s="865" t="s">
        <v>591</v>
      </c>
      <c r="N615" s="865" t="s">
        <v>592</v>
      </c>
      <c r="O615" s="866">
        <v>2004.0</v>
      </c>
      <c r="P615" s="865" t="s">
        <v>593</v>
      </c>
      <c r="Q615" s="865" t="s">
        <v>70</v>
      </c>
      <c r="R615" s="867">
        <v>128615.1152</v>
      </c>
      <c r="S615" s="867">
        <v>140131.8765</v>
      </c>
      <c r="T615" s="868">
        <v>117294.4694</v>
      </c>
      <c r="AN615" s="882"/>
      <c r="AO615" s="882"/>
      <c r="AP615" s="882"/>
      <c r="AY615" s="882"/>
      <c r="AZ615" s="882"/>
      <c r="BA615" s="882"/>
      <c r="BJ615" s="882"/>
      <c r="BK615" s="882"/>
      <c r="BL615" s="882"/>
      <c r="BU615" s="882"/>
      <c r="BV615" s="882"/>
      <c r="BW615" s="882"/>
      <c r="CF615" s="882"/>
      <c r="CG615" s="882"/>
      <c r="CH615" s="882"/>
      <c r="CI615" s="530"/>
    </row>
    <row r="616">
      <c r="A616" s="857"/>
      <c r="B616" s="865" t="s">
        <v>628</v>
      </c>
      <c r="C616" s="865" t="s">
        <v>591</v>
      </c>
      <c r="D616" s="865" t="s">
        <v>601</v>
      </c>
      <c r="E616" s="866">
        <v>2019.0</v>
      </c>
      <c r="F616" s="865" t="s">
        <v>593</v>
      </c>
      <c r="G616" s="865" t="s">
        <v>70</v>
      </c>
      <c r="H616" s="867">
        <v>2498564.611</v>
      </c>
      <c r="I616" s="867">
        <v>2851084.63</v>
      </c>
      <c r="J616" s="868">
        <v>2138535.813</v>
      </c>
      <c r="K616" s="50"/>
      <c r="L616" s="869" t="s">
        <v>628</v>
      </c>
      <c r="M616" s="865" t="s">
        <v>591</v>
      </c>
      <c r="N616" s="865" t="s">
        <v>601</v>
      </c>
      <c r="O616" s="866">
        <v>2004.0</v>
      </c>
      <c r="P616" s="865" t="s">
        <v>593</v>
      </c>
      <c r="Q616" s="865" t="s">
        <v>70</v>
      </c>
      <c r="R616" s="867">
        <v>1800752.169</v>
      </c>
      <c r="S616" s="867">
        <v>1961999.414</v>
      </c>
      <c r="T616" s="868">
        <v>1642250.757</v>
      </c>
      <c r="AN616" s="882"/>
      <c r="AO616" s="882"/>
      <c r="AP616" s="882"/>
      <c r="AY616" s="882"/>
      <c r="AZ616" s="882"/>
      <c r="BA616" s="882"/>
      <c r="BJ616" s="882"/>
      <c r="BK616" s="882"/>
      <c r="BL616" s="882"/>
      <c r="BU616" s="882"/>
      <c r="BV616" s="882"/>
      <c r="BW616" s="882"/>
      <c r="CF616" s="882"/>
      <c r="CG616" s="882"/>
      <c r="CH616" s="882"/>
      <c r="CI616" s="530"/>
    </row>
    <row r="617">
      <c r="A617" s="857"/>
      <c r="B617" s="865" t="s">
        <v>628</v>
      </c>
      <c r="C617" s="865" t="s">
        <v>591</v>
      </c>
      <c r="D617" s="865" t="s">
        <v>606</v>
      </c>
      <c r="E617" s="866">
        <v>2019.0</v>
      </c>
      <c r="F617" s="865" t="s">
        <v>593</v>
      </c>
      <c r="G617" s="865" t="s">
        <v>70</v>
      </c>
      <c r="H617" s="867">
        <v>1987842.681</v>
      </c>
      <c r="I617" s="867">
        <v>2268305.445</v>
      </c>
      <c r="J617" s="868">
        <v>1701405.977</v>
      </c>
      <c r="K617" s="50"/>
      <c r="L617" s="869" t="s">
        <v>628</v>
      </c>
      <c r="M617" s="865" t="s">
        <v>591</v>
      </c>
      <c r="N617" s="865" t="s">
        <v>606</v>
      </c>
      <c r="O617" s="866">
        <v>2004.0</v>
      </c>
      <c r="P617" s="865" t="s">
        <v>593</v>
      </c>
      <c r="Q617" s="865" t="s">
        <v>70</v>
      </c>
      <c r="R617" s="867">
        <v>1422602.415</v>
      </c>
      <c r="S617" s="867">
        <v>1549988.473</v>
      </c>
      <c r="T617" s="868">
        <v>1297385.578</v>
      </c>
      <c r="AN617" s="882"/>
      <c r="AO617" s="882"/>
      <c r="AP617" s="882"/>
      <c r="AY617" s="882"/>
      <c r="AZ617" s="882"/>
      <c r="BA617" s="882"/>
      <c r="BJ617" s="882"/>
      <c r="BK617" s="882"/>
      <c r="BL617" s="882"/>
      <c r="BU617" s="882"/>
      <c r="BV617" s="882"/>
      <c r="BW617" s="882"/>
      <c r="CF617" s="882"/>
      <c r="CG617" s="882"/>
      <c r="CH617" s="882"/>
      <c r="CI617" s="530"/>
    </row>
    <row r="618">
      <c r="A618" s="857"/>
      <c r="B618" s="865" t="s">
        <v>628</v>
      </c>
      <c r="C618" s="865" t="s">
        <v>591</v>
      </c>
      <c r="D618" s="865" t="s">
        <v>608</v>
      </c>
      <c r="E618" s="866">
        <v>2019.0</v>
      </c>
      <c r="F618" s="865" t="s">
        <v>593</v>
      </c>
      <c r="G618" s="865" t="s">
        <v>70</v>
      </c>
      <c r="H618" s="867">
        <v>555188.3779</v>
      </c>
      <c r="I618" s="867">
        <v>633519.359</v>
      </c>
      <c r="J618" s="868">
        <v>475188.924</v>
      </c>
      <c r="K618" s="50"/>
      <c r="L618" s="869" t="s">
        <v>628</v>
      </c>
      <c r="M618" s="865" t="s">
        <v>591</v>
      </c>
      <c r="N618" s="865" t="s">
        <v>608</v>
      </c>
      <c r="O618" s="866">
        <v>2004.0</v>
      </c>
      <c r="P618" s="865" t="s">
        <v>593</v>
      </c>
      <c r="Q618" s="865" t="s">
        <v>70</v>
      </c>
      <c r="R618" s="867">
        <v>439183.47</v>
      </c>
      <c r="S618" s="867">
        <v>478509.8835</v>
      </c>
      <c r="T618" s="868">
        <v>400526.7346</v>
      </c>
      <c r="AN618" s="882"/>
      <c r="AO618" s="882"/>
      <c r="AP618" s="882"/>
      <c r="AY618" s="882"/>
      <c r="AZ618" s="882"/>
      <c r="BA618" s="882"/>
      <c r="BJ618" s="882"/>
      <c r="BK618" s="882"/>
      <c r="BL618" s="882"/>
      <c r="BU618" s="882"/>
      <c r="BV618" s="882"/>
      <c r="BW618" s="882"/>
      <c r="CF618" s="882"/>
      <c r="CG618" s="882"/>
      <c r="CH618" s="882"/>
      <c r="CI618" s="530"/>
    </row>
    <row r="619">
      <c r="A619" s="857"/>
      <c r="B619" s="865" t="s">
        <v>628</v>
      </c>
      <c r="C619" s="865" t="s">
        <v>591</v>
      </c>
      <c r="D619" s="865" t="s">
        <v>610</v>
      </c>
      <c r="E619" s="866">
        <v>2019.0</v>
      </c>
      <c r="F619" s="865" t="s">
        <v>593</v>
      </c>
      <c r="G619" s="865" t="s">
        <v>70</v>
      </c>
      <c r="H619" s="867">
        <v>613402.8786</v>
      </c>
      <c r="I619" s="867">
        <v>699947.2862</v>
      </c>
      <c r="J619" s="868">
        <v>525015.0498</v>
      </c>
      <c r="K619" s="50"/>
      <c r="L619" s="869" t="s">
        <v>628</v>
      </c>
      <c r="M619" s="865" t="s">
        <v>591</v>
      </c>
      <c r="N619" s="865" t="s">
        <v>610</v>
      </c>
      <c r="O619" s="866">
        <v>2004.0</v>
      </c>
      <c r="P619" s="865" t="s">
        <v>593</v>
      </c>
      <c r="Q619" s="865" t="s">
        <v>70</v>
      </c>
      <c r="R619" s="867">
        <v>407574.0887</v>
      </c>
      <c r="S619" s="867">
        <v>444070.0597</v>
      </c>
      <c r="T619" s="868">
        <v>371699.5972</v>
      </c>
      <c r="AN619" s="882"/>
      <c r="AO619" s="882"/>
      <c r="AP619" s="882"/>
      <c r="AY619" s="882"/>
      <c r="AZ619" s="882"/>
      <c r="BA619" s="882"/>
      <c r="BJ619" s="882"/>
      <c r="BK619" s="882"/>
      <c r="BL619" s="882"/>
      <c r="BU619" s="882"/>
      <c r="BV619" s="882"/>
      <c r="BW619" s="882"/>
      <c r="CF619" s="882"/>
      <c r="CG619" s="882"/>
      <c r="CH619" s="882"/>
      <c r="CI619" s="530"/>
    </row>
    <row r="620">
      <c r="A620" s="857"/>
      <c r="B620" s="865" t="s">
        <v>628</v>
      </c>
      <c r="C620" s="865" t="s">
        <v>591</v>
      </c>
      <c r="D620" s="865" t="s">
        <v>612</v>
      </c>
      <c r="E620" s="866">
        <v>2019.0</v>
      </c>
      <c r="F620" s="865" t="s">
        <v>593</v>
      </c>
      <c r="G620" s="865" t="s">
        <v>70</v>
      </c>
      <c r="H620" s="867">
        <v>1124124.809</v>
      </c>
      <c r="I620" s="867">
        <v>1282726.471</v>
      </c>
      <c r="J620" s="868">
        <v>962144.8859</v>
      </c>
      <c r="K620" s="50"/>
      <c r="L620" s="869" t="s">
        <v>628</v>
      </c>
      <c r="M620" s="865" t="s">
        <v>591</v>
      </c>
      <c r="N620" s="865" t="s">
        <v>612</v>
      </c>
      <c r="O620" s="866">
        <v>2004.0</v>
      </c>
      <c r="P620" s="865" t="s">
        <v>593</v>
      </c>
      <c r="Q620" s="865" t="s">
        <v>70</v>
      </c>
      <c r="R620" s="867">
        <v>785723.8431</v>
      </c>
      <c r="S620" s="867">
        <v>856081.0011</v>
      </c>
      <c r="T620" s="868">
        <v>716564.7769</v>
      </c>
      <c r="AN620" s="882"/>
      <c r="AO620" s="882"/>
      <c r="AP620" s="882"/>
      <c r="AY620" s="882"/>
      <c r="AZ620" s="882"/>
      <c r="BA620" s="882"/>
      <c r="BJ620" s="882"/>
      <c r="BK620" s="882"/>
      <c r="BL620" s="882"/>
      <c r="BU620" s="882"/>
      <c r="BV620" s="882"/>
      <c r="BW620" s="882"/>
      <c r="CF620" s="882"/>
      <c r="CG620" s="882"/>
      <c r="CH620" s="882"/>
      <c r="CI620" s="530"/>
    </row>
    <row r="621">
      <c r="A621" s="857"/>
      <c r="B621" s="865" t="s">
        <v>628</v>
      </c>
      <c r="C621" s="865" t="s">
        <v>591</v>
      </c>
      <c r="D621" s="865" t="s">
        <v>614</v>
      </c>
      <c r="E621" s="866">
        <v>2019.0</v>
      </c>
      <c r="F621" s="865" t="s">
        <v>593</v>
      </c>
      <c r="G621" s="865" t="s">
        <v>70</v>
      </c>
      <c r="H621" s="867">
        <v>1562257.679</v>
      </c>
      <c r="I621" s="867">
        <v>1782675.076</v>
      </c>
      <c r="J621" s="868">
        <v>1337145.328</v>
      </c>
      <c r="K621" s="50"/>
      <c r="L621" s="869" t="s">
        <v>628</v>
      </c>
      <c r="M621" s="865" t="s">
        <v>591</v>
      </c>
      <c r="N621" s="865" t="s">
        <v>614</v>
      </c>
      <c r="O621" s="866">
        <v>2004.0</v>
      </c>
      <c r="P621" s="865" t="s">
        <v>593</v>
      </c>
      <c r="Q621" s="865" t="s">
        <v>70</v>
      </c>
      <c r="R621" s="867">
        <v>1134614.645</v>
      </c>
      <c r="S621" s="867">
        <v>1236213.016</v>
      </c>
      <c r="T621" s="868">
        <v>1034746.365</v>
      </c>
      <c r="AN621" s="882"/>
      <c r="AO621" s="882"/>
      <c r="AP621" s="882"/>
      <c r="AY621" s="882"/>
      <c r="AZ621" s="882"/>
      <c r="BA621" s="882"/>
      <c r="BJ621" s="882"/>
      <c r="BK621" s="882"/>
      <c r="BL621" s="882"/>
      <c r="BU621" s="882"/>
      <c r="BV621" s="882"/>
      <c r="BW621" s="882"/>
      <c r="CF621" s="882"/>
      <c r="CG621" s="882"/>
      <c r="CH621" s="882"/>
      <c r="CI621" s="530"/>
    </row>
    <row r="622">
      <c r="A622" s="857"/>
      <c r="B622" s="865" t="s">
        <v>628</v>
      </c>
      <c r="C622" s="865" t="s">
        <v>591</v>
      </c>
      <c r="D622" s="865" t="s">
        <v>616</v>
      </c>
      <c r="E622" s="866">
        <v>2019.0</v>
      </c>
      <c r="F622" s="865" t="s">
        <v>593</v>
      </c>
      <c r="G622" s="865" t="s">
        <v>70</v>
      </c>
      <c r="H622" s="867">
        <v>510721.9306</v>
      </c>
      <c r="I622" s="867">
        <v>582779.1844</v>
      </c>
      <c r="J622" s="868">
        <v>437129.8361</v>
      </c>
      <c r="K622" s="50"/>
      <c r="L622" s="869" t="s">
        <v>628</v>
      </c>
      <c r="M622" s="865" t="s">
        <v>591</v>
      </c>
      <c r="N622" s="865" t="s">
        <v>616</v>
      </c>
      <c r="O622" s="866">
        <v>2004.0</v>
      </c>
      <c r="P622" s="865" t="s">
        <v>593</v>
      </c>
      <c r="Q622" s="865" t="s">
        <v>70</v>
      </c>
      <c r="R622" s="867">
        <v>378149.7544</v>
      </c>
      <c r="S622" s="867">
        <v>412010.9414</v>
      </c>
      <c r="T622" s="868">
        <v>344865.1798</v>
      </c>
      <c r="AN622" s="882"/>
      <c r="AO622" s="882"/>
      <c r="AP622" s="882"/>
      <c r="AY622" s="882"/>
      <c r="AZ622" s="882"/>
      <c r="BA622" s="882"/>
      <c r="BJ622" s="882"/>
      <c r="BK622" s="882"/>
      <c r="BL622" s="882"/>
      <c r="BU622" s="882"/>
      <c r="BV622" s="882"/>
      <c r="BW622" s="882"/>
      <c r="CF622" s="882"/>
      <c r="CG622" s="882"/>
      <c r="CH622" s="882"/>
      <c r="CI622" s="530"/>
    </row>
    <row r="623">
      <c r="A623" s="857"/>
      <c r="B623" s="865" t="s">
        <v>628</v>
      </c>
      <c r="C623" s="865" t="s">
        <v>591</v>
      </c>
      <c r="D623" s="865" t="s">
        <v>618</v>
      </c>
      <c r="E623" s="866">
        <v>2019.0</v>
      </c>
      <c r="F623" s="865" t="s">
        <v>593</v>
      </c>
      <c r="G623" s="865" t="s">
        <v>70</v>
      </c>
      <c r="H623" s="867">
        <v>2105499.178</v>
      </c>
      <c r="I623" s="867">
        <v>2402891.809</v>
      </c>
      <c r="J623" s="868">
        <v>1802325.262</v>
      </c>
      <c r="K623" s="50"/>
      <c r="L623" s="869" t="s">
        <v>628</v>
      </c>
      <c r="M623" s="865" t="s">
        <v>591</v>
      </c>
      <c r="N623" s="865" t="s">
        <v>618</v>
      </c>
      <c r="O623" s="866">
        <v>2004.0</v>
      </c>
      <c r="P623" s="865" t="s">
        <v>593</v>
      </c>
      <c r="Q623" s="865" t="s">
        <v>70</v>
      </c>
      <c r="R623" s="867">
        <v>1513838.182</v>
      </c>
      <c r="S623" s="867">
        <v>1649626.551</v>
      </c>
      <c r="T623" s="868">
        <v>1380631.401</v>
      </c>
      <c r="AN623" s="882"/>
      <c r="AO623" s="882"/>
      <c r="AP623" s="882"/>
      <c r="AY623" s="882"/>
      <c r="AZ623" s="882"/>
      <c r="BA623" s="882"/>
      <c r="BJ623" s="882"/>
      <c r="BK623" s="882"/>
      <c r="BL623" s="882"/>
      <c r="BU623" s="882"/>
      <c r="BV623" s="882"/>
      <c r="BW623" s="882"/>
      <c r="CF623" s="882"/>
      <c r="CG623" s="882"/>
      <c r="CH623" s="882"/>
      <c r="CI623" s="530"/>
    </row>
    <row r="624">
      <c r="A624" s="857"/>
      <c r="B624" s="865" t="s">
        <v>628</v>
      </c>
      <c r="C624" s="865" t="s">
        <v>591</v>
      </c>
      <c r="D624" s="865" t="s">
        <v>620</v>
      </c>
      <c r="E624" s="866">
        <v>2019.0</v>
      </c>
      <c r="F624" s="865" t="s">
        <v>593</v>
      </c>
      <c r="G624" s="865" t="s">
        <v>70</v>
      </c>
      <c r="H624" s="867">
        <v>2675857.011</v>
      </c>
      <c r="I624" s="867">
        <v>3053391.04</v>
      </c>
      <c r="J624" s="868">
        <v>2290281.397</v>
      </c>
      <c r="K624" s="50"/>
      <c r="L624" s="869" t="s">
        <v>628</v>
      </c>
      <c r="M624" s="865" t="s">
        <v>591</v>
      </c>
      <c r="N624" s="865" t="s">
        <v>620</v>
      </c>
      <c r="O624" s="866">
        <v>2004.0</v>
      </c>
      <c r="P624" s="865" t="s">
        <v>593</v>
      </c>
      <c r="Q624" s="865" t="s">
        <v>70</v>
      </c>
      <c r="R624" s="867">
        <v>1800330.324</v>
      </c>
      <c r="S624" s="867">
        <v>1961539.795</v>
      </c>
      <c r="T624" s="868">
        <v>1641866.043</v>
      </c>
      <c r="AN624" s="882"/>
      <c r="AO624" s="882"/>
      <c r="AP624" s="882"/>
      <c r="AY624" s="882"/>
      <c r="AZ624" s="882"/>
      <c r="BA624" s="882"/>
      <c r="BJ624" s="882"/>
      <c r="BK624" s="882"/>
      <c r="BL624" s="882"/>
      <c r="BU624" s="882"/>
      <c r="BV624" s="882"/>
      <c r="BW624" s="882"/>
      <c r="CF624" s="882"/>
      <c r="CG624" s="882"/>
      <c r="CH624" s="882"/>
      <c r="CI624" s="530"/>
    </row>
    <row r="625">
      <c r="A625" s="857"/>
      <c r="B625" s="865" t="s">
        <v>628</v>
      </c>
      <c r="C625" s="865" t="s">
        <v>591</v>
      </c>
      <c r="D625" s="865" t="s">
        <v>622</v>
      </c>
      <c r="E625" s="866">
        <v>2019.0</v>
      </c>
      <c r="F625" s="865" t="s">
        <v>593</v>
      </c>
      <c r="G625" s="865" t="s">
        <v>70</v>
      </c>
      <c r="H625" s="867">
        <v>2766935.367</v>
      </c>
      <c r="I625" s="867">
        <v>3157752.991</v>
      </c>
      <c r="J625" s="868">
        <v>2368520.283</v>
      </c>
      <c r="K625" s="50"/>
      <c r="L625" s="869" t="s">
        <v>628</v>
      </c>
      <c r="M625" s="865" t="s">
        <v>591</v>
      </c>
      <c r="N625" s="865" t="s">
        <v>622</v>
      </c>
      <c r="O625" s="866">
        <v>2004.0</v>
      </c>
      <c r="P625" s="865" t="s">
        <v>593</v>
      </c>
      <c r="Q625" s="865" t="s">
        <v>70</v>
      </c>
      <c r="R625" s="867">
        <v>1748188.853</v>
      </c>
      <c r="S625" s="867">
        <v>1904998.026</v>
      </c>
      <c r="T625" s="868">
        <v>1594360.914</v>
      </c>
      <c r="AN625" s="882"/>
      <c r="AO625" s="882"/>
      <c r="AP625" s="882"/>
      <c r="AY625" s="882"/>
      <c r="AZ625" s="882"/>
      <c r="BA625" s="882"/>
      <c r="BJ625" s="882"/>
      <c r="BK625" s="882"/>
      <c r="BL625" s="882"/>
      <c r="BU625" s="882"/>
      <c r="BV625" s="882"/>
      <c r="BW625" s="882"/>
      <c r="CF625" s="882"/>
      <c r="CG625" s="882"/>
      <c r="CH625" s="882"/>
      <c r="CI625" s="530"/>
    </row>
    <row r="626">
      <c r="A626" s="857"/>
      <c r="B626" s="865" t="s">
        <v>628</v>
      </c>
      <c r="C626" s="865" t="s">
        <v>591</v>
      </c>
      <c r="D626" s="865" t="s">
        <v>624</v>
      </c>
      <c r="E626" s="866">
        <v>2019.0</v>
      </c>
      <c r="F626" s="865" t="s">
        <v>593</v>
      </c>
      <c r="G626" s="865" t="s">
        <v>70</v>
      </c>
      <c r="H626" s="867">
        <v>438132.8701</v>
      </c>
      <c r="I626" s="867">
        <v>499948.6049</v>
      </c>
      <c r="J626" s="868">
        <v>375000.442</v>
      </c>
      <c r="K626" s="50"/>
      <c r="L626" s="869" t="s">
        <v>628</v>
      </c>
      <c r="M626" s="865" t="s">
        <v>591</v>
      </c>
      <c r="N626" s="865" t="s">
        <v>624</v>
      </c>
      <c r="O626" s="866">
        <v>2004.0</v>
      </c>
      <c r="P626" s="865" t="s">
        <v>593</v>
      </c>
      <c r="Q626" s="865" t="s">
        <v>70</v>
      </c>
      <c r="R626" s="867">
        <v>348890.8024</v>
      </c>
      <c r="S626" s="867">
        <v>380132.0146</v>
      </c>
      <c r="T626" s="868">
        <v>318181.5878</v>
      </c>
      <c r="AN626" s="882"/>
      <c r="AO626" s="882"/>
      <c r="AP626" s="882"/>
      <c r="AY626" s="882"/>
      <c r="AZ626" s="882"/>
      <c r="BA626" s="882"/>
      <c r="BJ626" s="882"/>
      <c r="BK626" s="882"/>
      <c r="BL626" s="882"/>
      <c r="BU626" s="882"/>
      <c r="BV626" s="882"/>
      <c r="BW626" s="882"/>
      <c r="CF626" s="882"/>
      <c r="CG626" s="882"/>
      <c r="CH626" s="882"/>
      <c r="CI626" s="530"/>
    </row>
    <row r="627">
      <c r="A627" s="857"/>
      <c r="B627" s="865" t="s">
        <v>628</v>
      </c>
      <c r="C627" s="865" t="s">
        <v>591</v>
      </c>
      <c r="D627" s="865" t="s">
        <v>625</v>
      </c>
      <c r="E627" s="866">
        <v>2019.0</v>
      </c>
      <c r="F627" s="865" t="s">
        <v>593</v>
      </c>
      <c r="G627" s="865" t="s">
        <v>70</v>
      </c>
      <c r="H627" s="867">
        <v>2329148.795</v>
      </c>
      <c r="I627" s="867">
        <v>2657766.103</v>
      </c>
      <c r="J627" s="868">
        <v>1993531.842</v>
      </c>
      <c r="K627" s="50"/>
      <c r="L627" s="869" t="s">
        <v>628</v>
      </c>
      <c r="M627" s="865" t="s">
        <v>591</v>
      </c>
      <c r="N627" s="865" t="s">
        <v>625</v>
      </c>
      <c r="O627" s="866">
        <v>2004.0</v>
      </c>
      <c r="P627" s="865" t="s">
        <v>593</v>
      </c>
      <c r="Q627" s="865" t="s">
        <v>70</v>
      </c>
      <c r="R627" s="867">
        <v>1399432.911</v>
      </c>
      <c r="S627" s="867">
        <v>1524744.27</v>
      </c>
      <c r="T627" s="868">
        <v>1276255.444</v>
      </c>
      <c r="AN627" s="882"/>
      <c r="AO627" s="882"/>
      <c r="AP627" s="882"/>
      <c r="AY627" s="882"/>
      <c r="AZ627" s="882"/>
      <c r="BA627" s="882"/>
      <c r="BJ627" s="882"/>
      <c r="BK627" s="882"/>
      <c r="BL627" s="882"/>
      <c r="BU627" s="882"/>
      <c r="BV627" s="882"/>
      <c r="BW627" s="882"/>
      <c r="CF627" s="882"/>
      <c r="CG627" s="882"/>
      <c r="CH627" s="882"/>
      <c r="CI627" s="530"/>
    </row>
    <row r="628">
      <c r="A628" s="857"/>
      <c r="B628" s="865" t="s">
        <v>628</v>
      </c>
      <c r="C628" s="865" t="s">
        <v>591</v>
      </c>
      <c r="D628" s="865" t="s">
        <v>627</v>
      </c>
      <c r="E628" s="866">
        <v>2019.0</v>
      </c>
      <c r="F628" s="865" t="s">
        <v>593</v>
      </c>
      <c r="G628" s="865" t="s">
        <v>70</v>
      </c>
      <c r="H628" s="867">
        <v>407471.1011</v>
      </c>
      <c r="I628" s="867">
        <v>464960.7972</v>
      </c>
      <c r="J628" s="868">
        <v>348756.8577</v>
      </c>
      <c r="K628" s="50"/>
      <c r="L628" s="869" t="s">
        <v>628</v>
      </c>
      <c r="M628" s="865" t="s">
        <v>591</v>
      </c>
      <c r="N628" s="865" t="s">
        <v>627</v>
      </c>
      <c r="O628" s="866">
        <v>2004.0</v>
      </c>
      <c r="P628" s="865" t="s">
        <v>593</v>
      </c>
      <c r="Q628" s="865" t="s">
        <v>70</v>
      </c>
      <c r="R628" s="867">
        <v>311274.9985</v>
      </c>
      <c r="S628" s="867">
        <v>339147.9267</v>
      </c>
      <c r="T628" s="868">
        <v>283876.7104</v>
      </c>
      <c r="AN628" s="882"/>
      <c r="AO628" s="882"/>
      <c r="AP628" s="882"/>
      <c r="AY628" s="882"/>
      <c r="AZ628" s="882"/>
      <c r="BA628" s="882"/>
      <c r="BJ628" s="882"/>
      <c r="BK628" s="882"/>
      <c r="BL628" s="882"/>
      <c r="BU628" s="882"/>
      <c r="BV628" s="882"/>
      <c r="BW628" s="882"/>
      <c r="CF628" s="882"/>
      <c r="CG628" s="882"/>
      <c r="CH628" s="882"/>
      <c r="CI628" s="530"/>
    </row>
    <row r="629">
      <c r="A629" s="857"/>
      <c r="B629" s="865" t="s">
        <v>628</v>
      </c>
      <c r="C629" s="865" t="s">
        <v>591</v>
      </c>
      <c r="D629" s="865" t="s">
        <v>629</v>
      </c>
      <c r="E629" s="866">
        <v>2019.0</v>
      </c>
      <c r="F629" s="865" t="s">
        <v>593</v>
      </c>
      <c r="G629" s="865" t="s">
        <v>70</v>
      </c>
      <c r="H629" s="867">
        <v>1726786.093</v>
      </c>
      <c r="I629" s="867">
        <v>1970687.142</v>
      </c>
      <c r="J629" s="868">
        <v>1478143.63</v>
      </c>
      <c r="K629" s="50"/>
      <c r="L629" s="869" t="s">
        <v>628</v>
      </c>
      <c r="M629" s="865" t="s">
        <v>591</v>
      </c>
      <c r="N629" s="865" t="s">
        <v>629</v>
      </c>
      <c r="O629" s="866">
        <v>2004.0</v>
      </c>
      <c r="P629" s="865" t="s">
        <v>593</v>
      </c>
      <c r="Q629" s="865" t="s">
        <v>70</v>
      </c>
      <c r="R629" s="867">
        <v>1073206.977</v>
      </c>
      <c r="S629" s="867">
        <v>1169471.575</v>
      </c>
      <c r="T629" s="868">
        <v>978772.5466</v>
      </c>
      <c r="AN629" s="882"/>
      <c r="AO629" s="882"/>
      <c r="AP629" s="882"/>
      <c r="AY629" s="882"/>
      <c r="AZ629" s="882"/>
      <c r="BA629" s="882"/>
      <c r="BJ629" s="882"/>
      <c r="BK629" s="882"/>
      <c r="BL629" s="882"/>
      <c r="BU629" s="882"/>
      <c r="BV629" s="882"/>
      <c r="BW629" s="882"/>
      <c r="CF629" s="882"/>
      <c r="CG629" s="882"/>
      <c r="CH629" s="882"/>
      <c r="CI629" s="530"/>
    </row>
    <row r="630">
      <c r="A630" s="857"/>
      <c r="B630" s="865" t="s">
        <v>628</v>
      </c>
      <c r="C630" s="865" t="s">
        <v>591</v>
      </c>
      <c r="D630" s="865" t="s">
        <v>631</v>
      </c>
      <c r="E630" s="866">
        <v>2019.0</v>
      </c>
      <c r="F630" s="865" t="s">
        <v>593</v>
      </c>
      <c r="G630" s="865" t="s">
        <v>70</v>
      </c>
      <c r="H630" s="867">
        <v>387433.419</v>
      </c>
      <c r="I630" s="867">
        <v>442096.0182</v>
      </c>
      <c r="J630" s="868">
        <v>331606.4903</v>
      </c>
      <c r="K630" s="50"/>
      <c r="L630" s="869" t="s">
        <v>628</v>
      </c>
      <c r="M630" s="865" t="s">
        <v>591</v>
      </c>
      <c r="N630" s="865" t="s">
        <v>631</v>
      </c>
      <c r="O630" s="866">
        <v>2004.0</v>
      </c>
      <c r="P630" s="865" t="s">
        <v>593</v>
      </c>
      <c r="Q630" s="865" t="s">
        <v>70</v>
      </c>
      <c r="R630" s="867">
        <v>264836.7956</v>
      </c>
      <c r="S630" s="867">
        <v>288551.4435</v>
      </c>
      <c r="T630" s="868">
        <v>241525.9777</v>
      </c>
      <c r="AN630" s="882"/>
      <c r="AO630" s="882"/>
      <c r="AP630" s="882"/>
      <c r="AY630" s="882"/>
      <c r="AZ630" s="882"/>
      <c r="BA630" s="882"/>
      <c r="BJ630" s="882"/>
      <c r="BK630" s="882"/>
      <c r="BL630" s="882"/>
      <c r="BU630" s="882"/>
      <c r="BV630" s="882"/>
      <c r="BW630" s="882"/>
      <c r="CF630" s="882"/>
      <c r="CG630" s="882"/>
      <c r="CH630" s="882"/>
      <c r="CI630" s="530"/>
    </row>
    <row r="631">
      <c r="A631" s="857"/>
      <c r="B631" s="865" t="s">
        <v>628</v>
      </c>
      <c r="C631" s="865" t="s">
        <v>591</v>
      </c>
      <c r="D631" s="865" t="s">
        <v>633</v>
      </c>
      <c r="E631" s="866">
        <v>2019.0</v>
      </c>
      <c r="F631" s="865" t="s">
        <v>593</v>
      </c>
      <c r="G631" s="865" t="s">
        <v>70</v>
      </c>
      <c r="H631" s="867">
        <v>362003.3732</v>
      </c>
      <c r="I631" s="867">
        <v>413078.0724</v>
      </c>
      <c r="J631" s="868">
        <v>309840.768</v>
      </c>
      <c r="K631" s="50"/>
      <c r="L631" s="869" t="s">
        <v>628</v>
      </c>
      <c r="M631" s="865" t="s">
        <v>591</v>
      </c>
      <c r="N631" s="865" t="s">
        <v>633</v>
      </c>
      <c r="O631" s="866">
        <v>2004.0</v>
      </c>
      <c r="P631" s="865" t="s">
        <v>593</v>
      </c>
      <c r="Q631" s="865" t="s">
        <v>70</v>
      </c>
      <c r="R631" s="867">
        <v>210802.6125</v>
      </c>
      <c r="S631" s="867">
        <v>229678.8027</v>
      </c>
      <c r="T631" s="868">
        <v>192247.8595</v>
      </c>
      <c r="AN631" s="882"/>
      <c r="AO631" s="882"/>
      <c r="AP631" s="882"/>
      <c r="AY631" s="882"/>
      <c r="AZ631" s="882"/>
      <c r="BA631" s="882"/>
      <c r="BJ631" s="882"/>
      <c r="BK631" s="882"/>
      <c r="BL631" s="882"/>
      <c r="BU631" s="882"/>
      <c r="BV631" s="882"/>
      <c r="BW631" s="882"/>
      <c r="CF631" s="882"/>
      <c r="CG631" s="882"/>
      <c r="CH631" s="882"/>
      <c r="CI631" s="530"/>
    </row>
    <row r="632">
      <c r="A632" s="857"/>
      <c r="B632" s="865" t="s">
        <v>628</v>
      </c>
      <c r="C632" s="865" t="s">
        <v>591</v>
      </c>
      <c r="D632" s="865" t="s">
        <v>635</v>
      </c>
      <c r="E632" s="866">
        <v>2019.0</v>
      </c>
      <c r="F632" s="865" t="s">
        <v>593</v>
      </c>
      <c r="G632" s="865" t="s">
        <v>70</v>
      </c>
      <c r="H632" s="867">
        <v>314825.7323</v>
      </c>
      <c r="I632" s="867">
        <v>359244.1846</v>
      </c>
      <c r="J632" s="868">
        <v>269461.154</v>
      </c>
      <c r="K632" s="50"/>
      <c r="L632" s="869" t="s">
        <v>628</v>
      </c>
      <c r="M632" s="865" t="s">
        <v>591</v>
      </c>
      <c r="N632" s="865" t="s">
        <v>635</v>
      </c>
      <c r="O632" s="866">
        <v>2004.0</v>
      </c>
      <c r="P632" s="865" t="s">
        <v>593</v>
      </c>
      <c r="Q632" s="865" t="s">
        <v>70</v>
      </c>
      <c r="R632" s="867">
        <v>163813.4533</v>
      </c>
      <c r="S632" s="867">
        <v>178482.0281</v>
      </c>
      <c r="T632" s="868">
        <v>149394.6653</v>
      </c>
      <c r="AN632" s="882"/>
      <c r="AO632" s="882"/>
      <c r="AP632" s="882"/>
      <c r="AY632" s="882"/>
      <c r="AZ632" s="882"/>
      <c r="BA632" s="882"/>
      <c r="BJ632" s="882"/>
      <c r="BK632" s="882"/>
      <c r="BL632" s="882"/>
      <c r="BU632" s="882"/>
      <c r="BV632" s="882"/>
      <c r="BW632" s="882"/>
      <c r="CF632" s="882"/>
      <c r="CG632" s="882"/>
      <c r="CH632" s="882"/>
      <c r="CI632" s="530"/>
    </row>
    <row r="633">
      <c r="A633" s="857"/>
      <c r="B633" s="865" t="s">
        <v>628</v>
      </c>
      <c r="C633" s="865" t="s">
        <v>591</v>
      </c>
      <c r="D633" s="865" t="s">
        <v>637</v>
      </c>
      <c r="E633" s="866">
        <v>2019.0</v>
      </c>
      <c r="F633" s="865" t="s">
        <v>593</v>
      </c>
      <c r="G633" s="865" t="s">
        <v>70</v>
      </c>
      <c r="H633" s="867">
        <v>255268.585</v>
      </c>
      <c r="I633" s="867">
        <v>291284.1781</v>
      </c>
      <c r="J633" s="868">
        <v>218485.8493</v>
      </c>
      <c r="K633" s="50"/>
      <c r="L633" s="869" t="s">
        <v>628</v>
      </c>
      <c r="M633" s="865" t="s">
        <v>591</v>
      </c>
      <c r="N633" s="865" t="s">
        <v>637</v>
      </c>
      <c r="O633" s="866">
        <v>2004.0</v>
      </c>
      <c r="P633" s="865" t="s">
        <v>593</v>
      </c>
      <c r="Q633" s="865" t="s">
        <v>70</v>
      </c>
      <c r="R633" s="867">
        <v>122561.907</v>
      </c>
      <c r="S633" s="867">
        <v>133536.6375</v>
      </c>
      <c r="T633" s="868">
        <v>111774.062</v>
      </c>
      <c r="AN633" s="882"/>
      <c r="AO633" s="882"/>
      <c r="AP633" s="882"/>
      <c r="AY633" s="882"/>
      <c r="AZ633" s="882"/>
      <c r="BA633" s="882"/>
      <c r="BJ633" s="882"/>
      <c r="BK633" s="882"/>
      <c r="BL633" s="882"/>
      <c r="BU633" s="882"/>
      <c r="BV633" s="882"/>
      <c r="BW633" s="882"/>
      <c r="CF633" s="882"/>
      <c r="CG633" s="882"/>
      <c r="CH633" s="882"/>
      <c r="CI633" s="530"/>
    </row>
    <row r="634">
      <c r="A634" s="857"/>
      <c r="B634" s="865" t="s">
        <v>628</v>
      </c>
      <c r="C634" s="865" t="s">
        <v>591</v>
      </c>
      <c r="D634" s="865" t="s">
        <v>639</v>
      </c>
      <c r="E634" s="866">
        <v>2019.0</v>
      </c>
      <c r="F634" s="865" t="s">
        <v>593</v>
      </c>
      <c r="G634" s="865" t="s">
        <v>70</v>
      </c>
      <c r="H634" s="867">
        <v>1803081.83</v>
      </c>
      <c r="I634" s="867">
        <v>2057759.321</v>
      </c>
      <c r="J634" s="868">
        <v>1543453.432</v>
      </c>
      <c r="K634" s="50"/>
      <c r="L634" s="869" t="s">
        <v>628</v>
      </c>
      <c r="M634" s="865" t="s">
        <v>591</v>
      </c>
      <c r="N634" s="865" t="s">
        <v>639</v>
      </c>
      <c r="O634" s="866">
        <v>2004.0</v>
      </c>
      <c r="P634" s="865" t="s">
        <v>593</v>
      </c>
      <c r="Q634" s="865" t="s">
        <v>70</v>
      </c>
      <c r="R634" s="867">
        <v>1232858.478</v>
      </c>
      <c r="S634" s="867">
        <v>1343443.509</v>
      </c>
      <c r="T634" s="868">
        <v>1124375.874</v>
      </c>
      <c r="AN634" s="882"/>
      <c r="AO634" s="882"/>
      <c r="AP634" s="882"/>
      <c r="AY634" s="882"/>
      <c r="AZ634" s="882"/>
      <c r="BA634" s="882"/>
      <c r="BJ634" s="882"/>
      <c r="BK634" s="882"/>
      <c r="BL634" s="882"/>
      <c r="BU634" s="882"/>
      <c r="BV634" s="882"/>
      <c r="BW634" s="882"/>
      <c r="CF634" s="882"/>
      <c r="CG634" s="882"/>
      <c r="CH634" s="882"/>
      <c r="CI634" s="530"/>
    </row>
    <row r="635">
      <c r="A635" s="857"/>
      <c r="B635" s="865" t="s">
        <v>628</v>
      </c>
      <c r="C635" s="865" t="s">
        <v>591</v>
      </c>
      <c r="D635" s="865" t="s">
        <v>641</v>
      </c>
      <c r="E635" s="866">
        <v>2019.0</v>
      </c>
      <c r="F635" s="865" t="s">
        <v>593</v>
      </c>
      <c r="G635" s="865" t="s">
        <v>70</v>
      </c>
      <c r="H635" s="867">
        <v>679182.6874</v>
      </c>
      <c r="I635" s="867">
        <v>775007.9034</v>
      </c>
      <c r="J635" s="868">
        <v>581316.3663</v>
      </c>
      <c r="K635" s="50"/>
      <c r="L635" s="869" t="s">
        <v>628</v>
      </c>
      <c r="M635" s="865" t="s">
        <v>591</v>
      </c>
      <c r="N635" s="865" t="s">
        <v>641</v>
      </c>
      <c r="O635" s="866">
        <v>2004.0</v>
      </c>
      <c r="P635" s="865" t="s">
        <v>593</v>
      </c>
      <c r="Q635" s="865" t="s">
        <v>70</v>
      </c>
      <c r="R635" s="867">
        <v>447229.7411</v>
      </c>
      <c r="S635" s="867">
        <v>487276.653</v>
      </c>
      <c r="T635" s="868">
        <v>407864.7765</v>
      </c>
      <c r="AN635" s="882"/>
      <c r="AO635" s="882"/>
      <c r="AP635" s="882"/>
      <c r="AY635" s="882"/>
      <c r="AZ635" s="882"/>
      <c r="BA635" s="882"/>
      <c r="BJ635" s="882"/>
      <c r="BK635" s="882"/>
      <c r="BL635" s="882"/>
      <c r="BU635" s="882"/>
      <c r="BV635" s="882"/>
      <c r="BW635" s="882"/>
      <c r="CF635" s="882"/>
      <c r="CG635" s="882"/>
      <c r="CH635" s="882"/>
      <c r="CI635" s="530"/>
    </row>
    <row r="636">
      <c r="A636" s="857"/>
      <c r="B636" s="865" t="s">
        <v>628</v>
      </c>
      <c r="C636" s="865" t="s">
        <v>591</v>
      </c>
      <c r="D636" s="865" t="s">
        <v>643</v>
      </c>
      <c r="E636" s="866">
        <v>2019.0</v>
      </c>
      <c r="F636" s="865" t="s">
        <v>593</v>
      </c>
      <c r="G636" s="865" t="s">
        <v>70</v>
      </c>
      <c r="H636" s="867">
        <v>191030.2179</v>
      </c>
      <c r="I636" s="867">
        <v>217982.483</v>
      </c>
      <c r="J636" s="868">
        <v>163503.8616</v>
      </c>
      <c r="K636" s="50"/>
      <c r="L636" s="869" t="s">
        <v>628</v>
      </c>
      <c r="M636" s="865" t="s">
        <v>591</v>
      </c>
      <c r="N636" s="865" t="s">
        <v>643</v>
      </c>
      <c r="O636" s="866">
        <v>2004.0</v>
      </c>
      <c r="P636" s="865" t="s">
        <v>593</v>
      </c>
      <c r="Q636" s="865" t="s">
        <v>70</v>
      </c>
      <c r="R636" s="867">
        <v>91753.02593</v>
      </c>
      <c r="S636" s="867">
        <v>99968.99417</v>
      </c>
      <c r="T636" s="868">
        <v>83676.96505</v>
      </c>
      <c r="AN636" s="882"/>
      <c r="AO636" s="882"/>
      <c r="AP636" s="882"/>
      <c r="AY636" s="882"/>
      <c r="AZ636" s="882"/>
      <c r="BA636" s="882"/>
      <c r="BJ636" s="882"/>
      <c r="BK636" s="882"/>
      <c r="BL636" s="882"/>
      <c r="BU636" s="882"/>
      <c r="BV636" s="882"/>
      <c r="BW636" s="882"/>
      <c r="CF636" s="882"/>
      <c r="CG636" s="882"/>
      <c r="CH636" s="882"/>
      <c r="CI636" s="530"/>
    </row>
    <row r="637">
      <c r="A637" s="857"/>
      <c r="B637" s="865" t="s">
        <v>628</v>
      </c>
      <c r="C637" s="865" t="s">
        <v>591</v>
      </c>
      <c r="D637" s="865" t="s">
        <v>645</v>
      </c>
      <c r="E637" s="866">
        <v>2019.0</v>
      </c>
      <c r="F637" s="865" t="s">
        <v>593</v>
      </c>
      <c r="G637" s="865" t="s">
        <v>70</v>
      </c>
      <c r="H637" s="867">
        <v>502523.7684</v>
      </c>
      <c r="I637" s="867">
        <v>573424.3516</v>
      </c>
      <c r="J637" s="868">
        <v>430112.982</v>
      </c>
      <c r="K637" s="50"/>
      <c r="L637" s="869" t="s">
        <v>628</v>
      </c>
      <c r="M637" s="865" t="s">
        <v>591</v>
      </c>
      <c r="N637" s="865" t="s">
        <v>645</v>
      </c>
      <c r="O637" s="866">
        <v>2004.0</v>
      </c>
      <c r="P637" s="865" t="s">
        <v>593</v>
      </c>
      <c r="Q637" s="865" t="s">
        <v>70</v>
      </c>
      <c r="R637" s="867">
        <v>261759.3152</v>
      </c>
      <c r="S637" s="867">
        <v>285198.392</v>
      </c>
      <c r="T637" s="868">
        <v>238719.3757</v>
      </c>
      <c r="AN637" s="882"/>
      <c r="AO637" s="882"/>
      <c r="AP637" s="882"/>
      <c r="AY637" s="882"/>
      <c r="AZ637" s="882"/>
      <c r="BA637" s="882"/>
      <c r="BJ637" s="882"/>
      <c r="BK637" s="882"/>
      <c r="BL637" s="882"/>
      <c r="BU637" s="882"/>
      <c r="BV637" s="882"/>
      <c r="BW637" s="882"/>
      <c r="CF637" s="882"/>
      <c r="CG637" s="882"/>
      <c r="CH637" s="882"/>
      <c r="CI637" s="530"/>
    </row>
    <row r="638">
      <c r="A638" s="857"/>
      <c r="B638" s="865" t="s">
        <v>628</v>
      </c>
      <c r="C638" s="865" t="s">
        <v>591</v>
      </c>
      <c r="D638" s="865" t="s">
        <v>604</v>
      </c>
      <c r="E638" s="866">
        <v>2019.0</v>
      </c>
      <c r="F638" s="865" t="s">
        <v>593</v>
      </c>
      <c r="G638" s="865" t="s">
        <v>70</v>
      </c>
      <c r="H638" s="867">
        <v>1292585.566</v>
      </c>
      <c r="I638" s="867">
        <v>1474955.19</v>
      </c>
      <c r="J638" s="868">
        <v>1106331.416</v>
      </c>
      <c r="K638" s="50"/>
      <c r="L638" s="869" t="s">
        <v>628</v>
      </c>
      <c r="M638" s="865" t="s">
        <v>591</v>
      </c>
      <c r="N638" s="865" t="s">
        <v>604</v>
      </c>
      <c r="O638" s="866">
        <v>2004.0</v>
      </c>
      <c r="P638" s="865" t="s">
        <v>593</v>
      </c>
      <c r="Q638" s="865" t="s">
        <v>70</v>
      </c>
      <c r="R638" s="867">
        <v>854803.8298</v>
      </c>
      <c r="S638" s="867">
        <v>931346.7127</v>
      </c>
      <c r="T638" s="868">
        <v>779564.3736</v>
      </c>
      <c r="AN638" s="882"/>
      <c r="AO638" s="882"/>
      <c r="AP638" s="882"/>
      <c r="AY638" s="882"/>
      <c r="AZ638" s="882"/>
      <c r="BA638" s="882"/>
      <c r="BJ638" s="882"/>
      <c r="BK638" s="882"/>
      <c r="BL638" s="882"/>
      <c r="BU638" s="882"/>
      <c r="BV638" s="882"/>
      <c r="BW638" s="882"/>
      <c r="CF638" s="882"/>
      <c r="CG638" s="882"/>
      <c r="CH638" s="882"/>
      <c r="CI638" s="530"/>
    </row>
    <row r="639">
      <c r="A639" s="857"/>
      <c r="B639" s="865" t="s">
        <v>628</v>
      </c>
      <c r="C639" s="865" t="s">
        <v>591</v>
      </c>
      <c r="D639" s="865" t="s">
        <v>647</v>
      </c>
      <c r="E639" s="866">
        <v>2019.0</v>
      </c>
      <c r="F639" s="865" t="s">
        <v>593</v>
      </c>
      <c r="G639" s="865" t="s">
        <v>70</v>
      </c>
      <c r="H639" s="867">
        <v>411064.9193</v>
      </c>
      <c r="I639" s="867">
        <v>469126.0569</v>
      </c>
      <c r="J639" s="868">
        <v>351875.0783</v>
      </c>
      <c r="K639" s="50"/>
      <c r="L639" s="869" t="s">
        <v>628</v>
      </c>
      <c r="M639" s="865" t="s">
        <v>591</v>
      </c>
      <c r="N639" s="865" t="s">
        <v>647</v>
      </c>
      <c r="O639" s="866">
        <v>2004.0</v>
      </c>
      <c r="P639" s="865" t="s">
        <v>593</v>
      </c>
      <c r="Q639" s="865" t="s">
        <v>70</v>
      </c>
      <c r="R639" s="867">
        <v>234372.0383</v>
      </c>
      <c r="S639" s="867">
        <v>255394.7587</v>
      </c>
      <c r="T639" s="868">
        <v>213748.9988</v>
      </c>
      <c r="AN639" s="882"/>
      <c r="AO639" s="882"/>
      <c r="AP639" s="882"/>
      <c r="AY639" s="882"/>
      <c r="AZ639" s="882"/>
      <c r="BA639" s="882"/>
      <c r="BJ639" s="882"/>
      <c r="BK639" s="882"/>
      <c r="BL639" s="882"/>
      <c r="BU639" s="882"/>
      <c r="BV639" s="882"/>
      <c r="BW639" s="882"/>
      <c r="CF639" s="882"/>
      <c r="CG639" s="882"/>
      <c r="CH639" s="882"/>
      <c r="CI639" s="530"/>
    </row>
    <row r="640">
      <c r="A640" s="857"/>
      <c r="B640" s="865" t="s">
        <v>628</v>
      </c>
      <c r="C640" s="865" t="s">
        <v>591</v>
      </c>
      <c r="D640" s="865" t="s">
        <v>649</v>
      </c>
      <c r="E640" s="866">
        <v>2019.0</v>
      </c>
      <c r="F640" s="865" t="s">
        <v>593</v>
      </c>
      <c r="G640" s="865" t="s">
        <v>70</v>
      </c>
      <c r="H640" s="867">
        <v>140887.0118</v>
      </c>
      <c r="I640" s="867">
        <v>160764.6214</v>
      </c>
      <c r="J640" s="868">
        <v>120586.0032</v>
      </c>
      <c r="K640" s="50"/>
      <c r="L640" s="869" t="s">
        <v>628</v>
      </c>
      <c r="M640" s="865" t="s">
        <v>591</v>
      </c>
      <c r="N640" s="865" t="s">
        <v>649</v>
      </c>
      <c r="O640" s="866">
        <v>2004.0</v>
      </c>
      <c r="P640" s="865" t="s">
        <v>593</v>
      </c>
      <c r="Q640" s="865" t="s">
        <v>70</v>
      </c>
      <c r="R640" s="867">
        <v>70463.64312</v>
      </c>
      <c r="S640" s="867">
        <v>76773.26667</v>
      </c>
      <c r="T640" s="868">
        <v>64261.46432</v>
      </c>
      <c r="AN640" s="882"/>
      <c r="AO640" s="882"/>
      <c r="AP640" s="882"/>
      <c r="AY640" s="882"/>
      <c r="AZ640" s="882"/>
      <c r="BA640" s="882"/>
      <c r="BJ640" s="882"/>
      <c r="BK640" s="882"/>
      <c r="BL640" s="882"/>
      <c r="BU640" s="882"/>
      <c r="BV640" s="882"/>
      <c r="BW640" s="882"/>
      <c r="CF640" s="882"/>
      <c r="CG640" s="882"/>
      <c r="CH640" s="882"/>
      <c r="CI640" s="530"/>
    </row>
    <row r="641">
      <c r="A641" s="857"/>
      <c r="B641" s="865" t="s">
        <v>628</v>
      </c>
      <c r="C641" s="865" t="s">
        <v>591</v>
      </c>
      <c r="D641" s="865" t="s">
        <v>651</v>
      </c>
      <c r="E641" s="866">
        <v>2019.0</v>
      </c>
      <c r="F641" s="865" t="s">
        <v>593</v>
      </c>
      <c r="G641" s="865" t="s">
        <v>70</v>
      </c>
      <c r="H641" s="867">
        <v>100138.9124</v>
      </c>
      <c r="I641" s="867">
        <v>114267.4129</v>
      </c>
      <c r="J641" s="868">
        <v>85709.47077</v>
      </c>
      <c r="K641" s="50"/>
      <c r="L641" s="869" t="s">
        <v>628</v>
      </c>
      <c r="M641" s="865" t="s">
        <v>591</v>
      </c>
      <c r="N641" s="865" t="s">
        <v>651</v>
      </c>
      <c r="O641" s="866">
        <v>2004.0</v>
      </c>
      <c r="P641" s="865" t="s">
        <v>593</v>
      </c>
      <c r="Q641" s="865" t="s">
        <v>70</v>
      </c>
      <c r="R641" s="867">
        <v>55447.77027</v>
      </c>
      <c r="S641" s="867">
        <v>60412.80673</v>
      </c>
      <c r="T641" s="868">
        <v>50567.28198</v>
      </c>
      <c r="AN641" s="882"/>
      <c r="AO641" s="882"/>
      <c r="AP641" s="882"/>
      <c r="AY641" s="882"/>
      <c r="AZ641" s="882"/>
      <c r="BA641" s="882"/>
      <c r="BJ641" s="882"/>
      <c r="BK641" s="882"/>
      <c r="BL641" s="882"/>
      <c r="BU641" s="882"/>
      <c r="BV641" s="882"/>
      <c r="BW641" s="882"/>
      <c r="CF641" s="882"/>
      <c r="CG641" s="882"/>
      <c r="CH641" s="882"/>
      <c r="CI641" s="530"/>
    </row>
    <row r="642">
      <c r="A642" s="857"/>
      <c r="B642" s="865" t="s">
        <v>628</v>
      </c>
      <c r="C642" s="865" t="s">
        <v>591</v>
      </c>
      <c r="D642" s="865" t="s">
        <v>653</v>
      </c>
      <c r="E642" s="866">
        <v>2019.0</v>
      </c>
      <c r="F642" s="865" t="s">
        <v>593</v>
      </c>
      <c r="G642" s="865" t="s">
        <v>70</v>
      </c>
      <c r="H642" s="867">
        <v>70467.62635</v>
      </c>
      <c r="I642" s="867">
        <v>80409.8343</v>
      </c>
      <c r="J642" s="868">
        <v>60313.64646</v>
      </c>
      <c r="K642" s="50"/>
      <c r="L642" s="869" t="s">
        <v>628</v>
      </c>
      <c r="M642" s="865" t="s">
        <v>591</v>
      </c>
      <c r="N642" s="865" t="s">
        <v>653</v>
      </c>
      <c r="O642" s="866">
        <v>2004.0</v>
      </c>
      <c r="P642" s="865" t="s">
        <v>593</v>
      </c>
      <c r="Q642" s="865" t="s">
        <v>70</v>
      </c>
      <c r="R642" s="867">
        <v>44094.87592</v>
      </c>
      <c r="S642" s="867">
        <v>48043.32444</v>
      </c>
      <c r="T642" s="868">
        <v>40213.66438</v>
      </c>
      <c r="AN642" s="882"/>
      <c r="AO642" s="882"/>
      <c r="AP642" s="882"/>
      <c r="AY642" s="882"/>
      <c r="AZ642" s="882"/>
      <c r="BA642" s="882"/>
      <c r="BJ642" s="882"/>
      <c r="BK642" s="882"/>
      <c r="BL642" s="882"/>
      <c r="BU642" s="882"/>
      <c r="BV642" s="882"/>
      <c r="BW642" s="882"/>
      <c r="CF642" s="882"/>
      <c r="CG642" s="882"/>
      <c r="CH642" s="882"/>
      <c r="CI642" s="530"/>
    </row>
    <row r="643">
      <c r="A643" s="857"/>
      <c r="B643" s="865" t="s">
        <v>628</v>
      </c>
      <c r="C643" s="865" t="s">
        <v>591</v>
      </c>
      <c r="D643" s="865" t="s">
        <v>655</v>
      </c>
      <c r="E643" s="866">
        <v>2019.0</v>
      </c>
      <c r="F643" s="865" t="s">
        <v>593</v>
      </c>
      <c r="G643" s="865" t="s">
        <v>70</v>
      </c>
      <c r="H643" s="867">
        <v>117485.7581</v>
      </c>
      <c r="I643" s="867">
        <v>134080.1121</v>
      </c>
      <c r="J643" s="868">
        <v>100568.8114</v>
      </c>
      <c r="K643" s="50"/>
      <c r="L643" s="869" t="s">
        <v>628</v>
      </c>
      <c r="M643" s="865" t="s">
        <v>591</v>
      </c>
      <c r="N643" s="865" t="s">
        <v>655</v>
      </c>
      <c r="O643" s="866">
        <v>2004.0</v>
      </c>
      <c r="P643" s="865" t="s">
        <v>593</v>
      </c>
      <c r="Q643" s="865" t="s">
        <v>70</v>
      </c>
      <c r="R643" s="867">
        <v>76044.32237</v>
      </c>
      <c r="S643" s="867">
        <v>82865.35163</v>
      </c>
      <c r="T643" s="868">
        <v>69352.97355</v>
      </c>
      <c r="AN643" s="882"/>
      <c r="AO643" s="882"/>
      <c r="AP643" s="882"/>
      <c r="AY643" s="882"/>
      <c r="AZ643" s="882"/>
      <c r="BA643" s="882"/>
      <c r="BJ643" s="882"/>
      <c r="BK643" s="882"/>
      <c r="BL643" s="882"/>
      <c r="BU643" s="882"/>
      <c r="BV643" s="882"/>
      <c r="BW643" s="882"/>
      <c r="CF643" s="882"/>
      <c r="CG643" s="882"/>
      <c r="CH643" s="882"/>
      <c r="CI643" s="530"/>
    </row>
    <row r="644">
      <c r="A644" s="857"/>
      <c r="B644" s="865" t="s">
        <v>628</v>
      </c>
      <c r="C644" s="865" t="s">
        <v>591</v>
      </c>
      <c r="D644" s="865" t="s">
        <v>657</v>
      </c>
      <c r="E644" s="866">
        <v>2019.0</v>
      </c>
      <c r="F644" s="865" t="s">
        <v>593</v>
      </c>
      <c r="G644" s="865" t="s">
        <v>70</v>
      </c>
      <c r="H644" s="867">
        <v>47032.83579</v>
      </c>
      <c r="I644" s="867">
        <v>53668.65224</v>
      </c>
      <c r="J644" s="868">
        <v>40255.6745</v>
      </c>
      <c r="K644" s="50"/>
      <c r="L644" s="869" t="s">
        <v>628</v>
      </c>
      <c r="M644" s="865" t="s">
        <v>591</v>
      </c>
      <c r="N644" s="865" t="s">
        <v>657</v>
      </c>
      <c r="O644" s="866">
        <v>2004.0</v>
      </c>
      <c r="P644" s="865" t="s">
        <v>593</v>
      </c>
      <c r="Q644" s="865" t="s">
        <v>70</v>
      </c>
      <c r="R644" s="867">
        <v>31955.31274</v>
      </c>
      <c r="S644" s="867">
        <v>34816.73155</v>
      </c>
      <c r="T644" s="868">
        <v>29142.6202</v>
      </c>
      <c r="AN644" s="882"/>
      <c r="AO644" s="882"/>
      <c r="AP644" s="882"/>
      <c r="AY644" s="882"/>
      <c r="AZ644" s="882"/>
      <c r="BA644" s="882"/>
      <c r="BJ644" s="882"/>
      <c r="BK644" s="882"/>
      <c r="BL644" s="882"/>
      <c r="BU644" s="882"/>
      <c r="BV644" s="882"/>
      <c r="BW644" s="882"/>
      <c r="CF644" s="882"/>
      <c r="CG644" s="882"/>
      <c r="CH644" s="882"/>
      <c r="CI644" s="530"/>
    </row>
    <row r="645">
      <c r="A645" s="857"/>
      <c r="B645" s="865" t="s">
        <v>628</v>
      </c>
      <c r="C645" s="865" t="s">
        <v>591</v>
      </c>
      <c r="D645" s="865" t="s">
        <v>659</v>
      </c>
      <c r="E645" s="866">
        <v>2019.0</v>
      </c>
      <c r="F645" s="865" t="s">
        <v>593</v>
      </c>
      <c r="G645" s="865" t="s">
        <v>70</v>
      </c>
      <c r="H645" s="867">
        <v>99622.81596</v>
      </c>
      <c r="I645" s="867">
        <v>113678.5009</v>
      </c>
      <c r="J645" s="868">
        <v>85267.74083</v>
      </c>
      <c r="K645" s="50"/>
      <c r="L645" s="869" t="s">
        <v>628</v>
      </c>
      <c r="M645" s="865" t="s">
        <v>591</v>
      </c>
      <c r="N645" s="865" t="s">
        <v>659</v>
      </c>
      <c r="O645" s="866">
        <v>2004.0</v>
      </c>
      <c r="P645" s="865" t="s">
        <v>593</v>
      </c>
      <c r="Q645" s="865" t="s">
        <v>70</v>
      </c>
      <c r="R645" s="867">
        <v>64383.82914</v>
      </c>
      <c r="S645" s="867">
        <v>70149.03949</v>
      </c>
      <c r="T645" s="868">
        <v>58716.79289</v>
      </c>
      <c r="AN645" s="882"/>
      <c r="AO645" s="882"/>
      <c r="AP645" s="882"/>
      <c r="AY645" s="882"/>
      <c r="AZ645" s="882"/>
      <c r="BA645" s="882"/>
      <c r="BJ645" s="882"/>
      <c r="BK645" s="882"/>
      <c r="BL645" s="882"/>
      <c r="BU645" s="882"/>
      <c r="BV645" s="882"/>
      <c r="BW645" s="882"/>
      <c r="CF645" s="882"/>
      <c r="CG645" s="882"/>
      <c r="CH645" s="882"/>
      <c r="CI645" s="530"/>
    </row>
    <row r="646">
      <c r="A646" s="857"/>
      <c r="B646" s="865" t="s">
        <v>628</v>
      </c>
      <c r="C646" s="865" t="s">
        <v>591</v>
      </c>
      <c r="D646" s="865" t="s">
        <v>661</v>
      </c>
      <c r="E646" s="866">
        <v>2019.0</v>
      </c>
      <c r="F646" s="865" t="s">
        <v>593</v>
      </c>
      <c r="G646" s="865" t="s">
        <v>70</v>
      </c>
      <c r="H646" s="867">
        <v>52583.39905</v>
      </c>
      <c r="I646" s="867">
        <v>60010.57618</v>
      </c>
      <c r="J646" s="868">
        <v>45011.83826</v>
      </c>
      <c r="K646" s="50"/>
      <c r="L646" s="869" t="s">
        <v>628</v>
      </c>
      <c r="M646" s="865" t="s">
        <v>591</v>
      </c>
      <c r="N646" s="865" t="s">
        <v>661</v>
      </c>
      <c r="O646" s="866">
        <v>2004.0</v>
      </c>
      <c r="P646" s="865" t="s">
        <v>593</v>
      </c>
      <c r="Q646" s="865" t="s">
        <v>70</v>
      </c>
      <c r="R646" s="867">
        <v>32426.01496</v>
      </c>
      <c r="S646" s="867">
        <v>35334.56605</v>
      </c>
      <c r="T646" s="868">
        <v>29572.76083</v>
      </c>
      <c r="AN646" s="882"/>
      <c r="AO646" s="882"/>
      <c r="AP646" s="882"/>
      <c r="AY646" s="882"/>
      <c r="AZ646" s="882"/>
      <c r="BA646" s="882"/>
      <c r="BJ646" s="882"/>
      <c r="BK646" s="882"/>
      <c r="BL646" s="882"/>
      <c r="BU646" s="882"/>
      <c r="BV646" s="882"/>
      <c r="BW646" s="882"/>
      <c r="CF646" s="882"/>
      <c r="CG646" s="882"/>
      <c r="CH646" s="882"/>
      <c r="CI646" s="530"/>
    </row>
    <row r="647">
      <c r="A647" s="857"/>
      <c r="B647" s="865" t="s">
        <v>628</v>
      </c>
      <c r="C647" s="865" t="s">
        <v>591</v>
      </c>
      <c r="D647" s="865" t="s">
        <v>663</v>
      </c>
      <c r="E647" s="866">
        <v>2019.0</v>
      </c>
      <c r="F647" s="865" t="s">
        <v>593</v>
      </c>
      <c r="G647" s="865" t="s">
        <v>70</v>
      </c>
      <c r="H647" s="867">
        <v>29041.14035</v>
      </c>
      <c r="I647" s="867">
        <v>33138.52622</v>
      </c>
      <c r="J647" s="868">
        <v>24856.47896</v>
      </c>
      <c r="K647" s="50"/>
      <c r="L647" s="869" t="s">
        <v>628</v>
      </c>
      <c r="M647" s="865" t="s">
        <v>591</v>
      </c>
      <c r="N647" s="865" t="s">
        <v>663</v>
      </c>
      <c r="O647" s="866">
        <v>2004.0</v>
      </c>
      <c r="P647" s="865" t="s">
        <v>593</v>
      </c>
      <c r="Q647" s="865" t="s">
        <v>70</v>
      </c>
      <c r="R647" s="867">
        <v>18967.36703</v>
      </c>
      <c r="S647" s="867">
        <v>20665.78824</v>
      </c>
      <c r="T647" s="868">
        <v>17297.86775</v>
      </c>
      <c r="AN647" s="882"/>
      <c r="AO647" s="882"/>
      <c r="AP647" s="882"/>
      <c r="AY647" s="882"/>
      <c r="AZ647" s="882"/>
      <c r="BA647" s="882"/>
      <c r="BJ647" s="882"/>
      <c r="BK647" s="882"/>
      <c r="BL647" s="882"/>
      <c r="BU647" s="882"/>
      <c r="BV647" s="882"/>
      <c r="BW647" s="882"/>
      <c r="CF647" s="882"/>
      <c r="CG647" s="882"/>
      <c r="CH647" s="882"/>
      <c r="CI647" s="530"/>
    </row>
    <row r="648">
      <c r="A648" s="857"/>
      <c r="B648" s="865" t="s">
        <v>628</v>
      </c>
      <c r="C648" s="865" t="s">
        <v>591</v>
      </c>
      <c r="D648" s="865" t="s">
        <v>665</v>
      </c>
      <c r="E648" s="866">
        <v>2019.0</v>
      </c>
      <c r="F648" s="865" t="s">
        <v>593</v>
      </c>
      <c r="G648" s="865" t="s">
        <v>70</v>
      </c>
      <c r="H648" s="867">
        <v>44574.6396</v>
      </c>
      <c r="I648" s="867">
        <v>50870.61418</v>
      </c>
      <c r="J648" s="868">
        <v>38156.27183</v>
      </c>
      <c r="K648" s="50"/>
      <c r="L648" s="869" t="s">
        <v>628</v>
      </c>
      <c r="M648" s="865" t="s">
        <v>591</v>
      </c>
      <c r="N648" s="865" t="s">
        <v>665</v>
      </c>
      <c r="O648" s="866">
        <v>2004.0</v>
      </c>
      <c r="P648" s="865" t="s">
        <v>593</v>
      </c>
      <c r="Q648" s="865" t="s">
        <v>70</v>
      </c>
      <c r="R648" s="867">
        <v>28182.60227</v>
      </c>
      <c r="S648" s="867">
        <v>30710.52741</v>
      </c>
      <c r="T648" s="868">
        <v>25702.73768</v>
      </c>
      <c r="AN648" s="882"/>
      <c r="AO648" s="882"/>
      <c r="AP648" s="882"/>
      <c r="AY648" s="882"/>
      <c r="AZ648" s="882"/>
      <c r="BA648" s="882"/>
      <c r="BJ648" s="882"/>
      <c r="BK648" s="882"/>
      <c r="BL648" s="882"/>
      <c r="BU648" s="882"/>
      <c r="BV648" s="882"/>
      <c r="BW648" s="882"/>
      <c r="CF648" s="882"/>
      <c r="CG648" s="882"/>
      <c r="CH648" s="882"/>
      <c r="CI648" s="530"/>
    </row>
    <row r="649">
      <c r="A649" s="857"/>
      <c r="B649" s="865" t="s">
        <v>628</v>
      </c>
      <c r="C649" s="865" t="s">
        <v>591</v>
      </c>
      <c r="D649" s="865" t="s">
        <v>667</v>
      </c>
      <c r="E649" s="866">
        <v>2019.0</v>
      </c>
      <c r="F649" s="865" t="s">
        <v>593</v>
      </c>
      <c r="G649" s="865" t="s">
        <v>70</v>
      </c>
      <c r="H649" s="867">
        <v>23548.83982</v>
      </c>
      <c r="I649" s="867">
        <v>26871.32242</v>
      </c>
      <c r="J649" s="868">
        <v>20155.58737</v>
      </c>
      <c r="K649" s="50"/>
      <c r="L649" s="869" t="s">
        <v>628</v>
      </c>
      <c r="M649" s="865" t="s">
        <v>591</v>
      </c>
      <c r="N649" s="865" t="s">
        <v>667</v>
      </c>
      <c r="O649" s="866">
        <v>2004.0</v>
      </c>
      <c r="P649" s="865" t="s">
        <v>593</v>
      </c>
      <c r="Q649" s="865" t="s">
        <v>70</v>
      </c>
      <c r="R649" s="867">
        <v>13461.14937</v>
      </c>
      <c r="S649" s="867">
        <v>14666.51971</v>
      </c>
      <c r="T649" s="868">
        <v>12276.30494</v>
      </c>
      <c r="AN649" s="882"/>
      <c r="AO649" s="882"/>
      <c r="AP649" s="882"/>
      <c r="AY649" s="882"/>
      <c r="AZ649" s="882"/>
      <c r="BA649" s="882"/>
      <c r="BJ649" s="882"/>
      <c r="BK649" s="882"/>
      <c r="BL649" s="882"/>
      <c r="BU649" s="882"/>
      <c r="BV649" s="882"/>
      <c r="BW649" s="882"/>
      <c r="CF649" s="882"/>
      <c r="CG649" s="882"/>
      <c r="CH649" s="882"/>
      <c r="CI649" s="530"/>
    </row>
    <row r="650">
      <c r="A650" s="857"/>
      <c r="B650" s="865" t="s">
        <v>628</v>
      </c>
      <c r="C650" s="865" t="s">
        <v>591</v>
      </c>
      <c r="D650" s="865" t="s">
        <v>669</v>
      </c>
      <c r="E650" s="866">
        <v>2019.0</v>
      </c>
      <c r="F650" s="865" t="s">
        <v>593</v>
      </c>
      <c r="G650" s="865" t="s">
        <v>70</v>
      </c>
      <c r="H650" s="867">
        <v>15539.07802</v>
      </c>
      <c r="I650" s="867">
        <v>17731.47123</v>
      </c>
      <c r="J650" s="868">
        <v>13299.9862</v>
      </c>
      <c r="K650" s="50"/>
      <c r="L650" s="869" t="s">
        <v>628</v>
      </c>
      <c r="M650" s="865" t="s">
        <v>591</v>
      </c>
      <c r="N650" s="865" t="s">
        <v>669</v>
      </c>
      <c r="O650" s="866">
        <v>2004.0</v>
      </c>
      <c r="P650" s="865" t="s">
        <v>593</v>
      </c>
      <c r="Q650" s="865" t="s">
        <v>70</v>
      </c>
      <c r="R650" s="867">
        <v>9217.409325</v>
      </c>
      <c r="S650" s="867">
        <v>10042.77657</v>
      </c>
      <c r="T650" s="868">
        <v>8406.097021</v>
      </c>
      <c r="AN650" s="882"/>
      <c r="AO650" s="882"/>
      <c r="AP650" s="882"/>
      <c r="AY650" s="882"/>
      <c r="AZ650" s="882"/>
      <c r="BA650" s="882"/>
      <c r="BJ650" s="882"/>
      <c r="BK650" s="882"/>
      <c r="BL650" s="882"/>
      <c r="BU650" s="882"/>
      <c r="BV650" s="882"/>
      <c r="BW650" s="882"/>
      <c r="CF650" s="882"/>
      <c r="CG650" s="882"/>
      <c r="CH650" s="882"/>
      <c r="CI650" s="530"/>
    </row>
    <row r="651">
      <c r="A651" s="857"/>
      <c r="B651" s="865" t="s">
        <v>628</v>
      </c>
      <c r="C651" s="865" t="s">
        <v>591</v>
      </c>
      <c r="D651" s="865" t="s">
        <v>671</v>
      </c>
      <c r="E651" s="866">
        <v>2019.0</v>
      </c>
      <c r="F651" s="865" t="s">
        <v>593</v>
      </c>
      <c r="G651" s="865" t="s">
        <v>70</v>
      </c>
      <c r="H651" s="867">
        <v>8008.759454</v>
      </c>
      <c r="I651" s="867">
        <v>9139.962003</v>
      </c>
      <c r="J651" s="868">
        <v>6855.566427</v>
      </c>
      <c r="K651" s="50"/>
      <c r="L651" s="869" t="s">
        <v>628</v>
      </c>
      <c r="M651" s="865" t="s">
        <v>591</v>
      </c>
      <c r="N651" s="865" t="s">
        <v>671</v>
      </c>
      <c r="O651" s="866">
        <v>2004.0</v>
      </c>
      <c r="P651" s="865" t="s">
        <v>593</v>
      </c>
      <c r="Q651" s="865" t="s">
        <v>70</v>
      </c>
      <c r="R651" s="867">
        <v>4243.412696</v>
      </c>
      <c r="S651" s="867">
        <v>4624.038642</v>
      </c>
      <c r="T651" s="868">
        <v>3870.023156</v>
      </c>
      <c r="AN651" s="882"/>
      <c r="AO651" s="882"/>
      <c r="AP651" s="882"/>
      <c r="AY651" s="882"/>
      <c r="AZ651" s="882"/>
      <c r="BA651" s="882"/>
      <c r="BJ651" s="882"/>
      <c r="BK651" s="882"/>
      <c r="BL651" s="882"/>
      <c r="BU651" s="882"/>
      <c r="BV651" s="882"/>
      <c r="BW651" s="882"/>
      <c r="CF651" s="882"/>
      <c r="CG651" s="882"/>
      <c r="CH651" s="882"/>
      <c r="CI651" s="530"/>
    </row>
    <row r="652">
      <c r="A652" s="857"/>
      <c r="B652" s="865" t="s">
        <v>628</v>
      </c>
      <c r="C652" s="865" t="s">
        <v>591</v>
      </c>
      <c r="D652" s="865" t="s">
        <v>673</v>
      </c>
      <c r="E652" s="866">
        <v>2019.0</v>
      </c>
      <c r="F652" s="865" t="s">
        <v>593</v>
      </c>
      <c r="G652" s="865" t="s">
        <v>70</v>
      </c>
      <c r="H652" s="867">
        <v>6144.030349</v>
      </c>
      <c r="I652" s="867">
        <v>7010.885536</v>
      </c>
      <c r="J652" s="868">
        <v>5258.710893</v>
      </c>
      <c r="K652" s="50"/>
      <c r="L652" s="869" t="s">
        <v>628</v>
      </c>
      <c r="M652" s="865" t="s">
        <v>591</v>
      </c>
      <c r="N652" s="865" t="s">
        <v>673</v>
      </c>
      <c r="O652" s="866">
        <v>2004.0</v>
      </c>
      <c r="P652" s="865" t="s">
        <v>593</v>
      </c>
      <c r="Q652" s="865" t="s">
        <v>70</v>
      </c>
      <c r="R652" s="867">
        <v>3320.313299</v>
      </c>
      <c r="S652" s="867">
        <v>3617.62871</v>
      </c>
      <c r="T652" s="868">
        <v>3028.060787</v>
      </c>
      <c r="AN652" s="882"/>
      <c r="AO652" s="882"/>
      <c r="AP652" s="882"/>
      <c r="AY652" s="882"/>
      <c r="AZ652" s="882"/>
      <c r="BA652" s="882"/>
      <c r="BJ652" s="882"/>
      <c r="BK652" s="882"/>
      <c r="BL652" s="882"/>
      <c r="BU652" s="882"/>
      <c r="BV652" s="882"/>
      <c r="BW652" s="882"/>
      <c r="CF652" s="882"/>
      <c r="CG652" s="882"/>
      <c r="CH652" s="882"/>
      <c r="CI652" s="530"/>
    </row>
    <row r="653">
      <c r="A653" s="857"/>
      <c r="B653" s="865" t="s">
        <v>628</v>
      </c>
      <c r="C653" s="865" t="s">
        <v>591</v>
      </c>
      <c r="D653" s="865" t="s">
        <v>674</v>
      </c>
      <c r="E653" s="866">
        <v>2019.0</v>
      </c>
      <c r="F653" s="865" t="s">
        <v>593</v>
      </c>
      <c r="G653" s="865" t="s">
        <v>70</v>
      </c>
      <c r="H653" s="867">
        <v>1571.760848</v>
      </c>
      <c r="I653" s="867">
        <v>1793.519037</v>
      </c>
      <c r="J653" s="868">
        <v>1345.279145</v>
      </c>
      <c r="K653" s="50"/>
      <c r="L653" s="869" t="s">
        <v>628</v>
      </c>
      <c r="M653" s="865" t="s">
        <v>591</v>
      </c>
      <c r="N653" s="865" t="s">
        <v>674</v>
      </c>
      <c r="O653" s="866">
        <v>2004.0</v>
      </c>
      <c r="P653" s="865" t="s">
        <v>593</v>
      </c>
      <c r="Q653" s="865" t="s">
        <v>70</v>
      </c>
      <c r="R653" s="867">
        <v>789.4688844</v>
      </c>
      <c r="S653" s="867">
        <v>860.1613898</v>
      </c>
      <c r="T653" s="868">
        <v>719.9801814</v>
      </c>
      <c r="AN653" s="882"/>
      <c r="AO653" s="882"/>
      <c r="AP653" s="882"/>
      <c r="AY653" s="882"/>
      <c r="AZ653" s="882"/>
      <c r="BA653" s="882"/>
      <c r="BJ653" s="882"/>
      <c r="BK653" s="882"/>
      <c r="BL653" s="882"/>
      <c r="BU653" s="882"/>
      <c r="BV653" s="882"/>
      <c r="BW653" s="882"/>
      <c r="CF653" s="882"/>
      <c r="CG653" s="882"/>
      <c r="CH653" s="882"/>
      <c r="CI653" s="530"/>
    </row>
    <row r="654">
      <c r="A654" s="857"/>
      <c r="B654" s="865" t="s">
        <v>628</v>
      </c>
      <c r="C654" s="865" t="s">
        <v>591</v>
      </c>
      <c r="D654" s="865" t="s">
        <v>676</v>
      </c>
      <c r="E654" s="866">
        <v>2019.0</v>
      </c>
      <c r="F654" s="865" t="s">
        <v>593</v>
      </c>
      <c r="G654" s="865" t="s">
        <v>70</v>
      </c>
      <c r="H654" s="867">
        <v>293.9705995</v>
      </c>
      <c r="I654" s="867">
        <v>335.4466217</v>
      </c>
      <c r="J654" s="868">
        <v>251.6111259</v>
      </c>
      <c r="K654" s="50"/>
      <c r="L654" s="869" t="s">
        <v>628</v>
      </c>
      <c r="M654" s="865" t="s">
        <v>591</v>
      </c>
      <c r="N654" s="865" t="s">
        <v>676</v>
      </c>
      <c r="O654" s="866">
        <v>2004.0</v>
      </c>
      <c r="P654" s="865" t="s">
        <v>593</v>
      </c>
      <c r="Q654" s="865" t="s">
        <v>70</v>
      </c>
      <c r="R654" s="867">
        <v>133.9578616</v>
      </c>
      <c r="S654" s="867">
        <v>145.9530358</v>
      </c>
      <c r="T654" s="868">
        <v>122.1669497</v>
      </c>
      <c r="AN654" s="882"/>
      <c r="AO654" s="882"/>
      <c r="AP654" s="882"/>
      <c r="AY654" s="882"/>
      <c r="AZ654" s="882"/>
      <c r="BA654" s="882"/>
      <c r="BJ654" s="882"/>
      <c r="BK654" s="882"/>
      <c r="BL654" s="882"/>
      <c r="BU654" s="882"/>
      <c r="BV654" s="882"/>
      <c r="BW654" s="882"/>
      <c r="CF654" s="882"/>
      <c r="CG654" s="882"/>
      <c r="CH654" s="882"/>
      <c r="CI654" s="530"/>
    </row>
    <row r="655">
      <c r="A655" s="857"/>
      <c r="B655" s="865" t="s">
        <v>628</v>
      </c>
      <c r="C655" s="865" t="s">
        <v>591</v>
      </c>
      <c r="D655" s="865" t="s">
        <v>678</v>
      </c>
      <c r="E655" s="866">
        <v>2019.0</v>
      </c>
      <c r="F655" s="865" t="s">
        <v>593</v>
      </c>
      <c r="G655" s="865" t="s">
        <v>70</v>
      </c>
      <c r="H655" s="867">
        <v>5265846.276</v>
      </c>
      <c r="I655" s="867">
        <v>6008799.338</v>
      </c>
      <c r="J655" s="868">
        <v>4507068.097</v>
      </c>
      <c r="K655" s="50"/>
      <c r="L655" s="869" t="s">
        <v>628</v>
      </c>
      <c r="M655" s="865" t="s">
        <v>591</v>
      </c>
      <c r="N655" s="865" t="s">
        <v>678</v>
      </c>
      <c r="O655" s="866">
        <v>2004.0</v>
      </c>
      <c r="P655" s="865" t="s">
        <v>593</v>
      </c>
      <c r="Q655" s="865" t="s">
        <v>70</v>
      </c>
      <c r="R655" s="867">
        <v>3549075.883</v>
      </c>
      <c r="S655" s="867">
        <v>3866875.699</v>
      </c>
      <c r="T655" s="868">
        <v>3236687.789</v>
      </c>
      <c r="AN655" s="882"/>
      <c r="AO655" s="882"/>
      <c r="AP655" s="882"/>
      <c r="AY655" s="882"/>
      <c r="AZ655" s="882"/>
      <c r="BA655" s="882"/>
      <c r="BJ655" s="882"/>
      <c r="BK655" s="882"/>
      <c r="BL655" s="882"/>
      <c r="BU655" s="882"/>
      <c r="BV655" s="882"/>
      <c r="BW655" s="882"/>
      <c r="CF655" s="882"/>
      <c r="CG655" s="882"/>
      <c r="CH655" s="882"/>
      <c r="CI655" s="530"/>
    </row>
    <row r="656">
      <c r="A656" s="857"/>
      <c r="B656" s="865" t="s">
        <v>628</v>
      </c>
      <c r="C656" s="865" t="s">
        <v>591</v>
      </c>
      <c r="D656" s="865" t="s">
        <v>680</v>
      </c>
      <c r="E656" s="866">
        <v>2019.0</v>
      </c>
      <c r="F656" s="865" t="s">
        <v>593</v>
      </c>
      <c r="G656" s="865" t="s">
        <v>70</v>
      </c>
      <c r="H656" s="867">
        <v>145110.8413</v>
      </c>
      <c r="I656" s="867">
        <v>157607.0306</v>
      </c>
      <c r="J656" s="868">
        <v>133130.7107</v>
      </c>
      <c r="K656" s="50"/>
      <c r="L656" s="869" t="s">
        <v>628</v>
      </c>
      <c r="M656" s="865" t="s">
        <v>591</v>
      </c>
      <c r="N656" s="865" t="s">
        <v>680</v>
      </c>
      <c r="O656" s="866">
        <v>2004.0</v>
      </c>
      <c r="P656" s="865" t="s">
        <v>593</v>
      </c>
      <c r="Q656" s="865" t="s">
        <v>70</v>
      </c>
      <c r="R656" s="867">
        <v>138123.9589</v>
      </c>
      <c r="S656" s="867">
        <v>142782.142</v>
      </c>
      <c r="T656" s="868">
        <v>133359.4895</v>
      </c>
      <c r="AN656" s="882"/>
      <c r="AO656" s="882"/>
      <c r="AP656" s="882"/>
      <c r="AY656" s="882"/>
      <c r="AZ656" s="882"/>
      <c r="BA656" s="882"/>
      <c r="BJ656" s="882"/>
      <c r="BK656" s="882"/>
      <c r="BL656" s="882"/>
      <c r="BU656" s="882"/>
      <c r="BV656" s="882"/>
      <c r="BW656" s="882"/>
      <c r="CF656" s="882"/>
      <c r="CG656" s="882"/>
      <c r="CH656" s="882"/>
      <c r="CI656" s="530"/>
    </row>
    <row r="657">
      <c r="A657" s="857"/>
      <c r="B657" s="865" t="s">
        <v>628</v>
      </c>
      <c r="C657" s="865" t="s">
        <v>591</v>
      </c>
      <c r="D657" s="865" t="s">
        <v>682</v>
      </c>
      <c r="E657" s="866">
        <v>2019.0</v>
      </c>
      <c r="F657" s="865" t="s">
        <v>593</v>
      </c>
      <c r="G657" s="865" t="s">
        <v>70</v>
      </c>
      <c r="H657" s="867">
        <v>2734.454781</v>
      </c>
      <c r="I657" s="867">
        <v>3120.256311</v>
      </c>
      <c r="J657" s="868">
        <v>2340.435565</v>
      </c>
      <c r="K657" s="50"/>
      <c r="L657" s="869" t="s">
        <v>628</v>
      </c>
      <c r="M657" s="865" t="s">
        <v>591</v>
      </c>
      <c r="N657" s="865" t="s">
        <v>682</v>
      </c>
      <c r="O657" s="866">
        <v>2004.0</v>
      </c>
      <c r="P657" s="865" t="s">
        <v>593</v>
      </c>
      <c r="Q657" s="865" t="s">
        <v>70</v>
      </c>
      <c r="R657" s="867">
        <v>2575.026171</v>
      </c>
      <c r="S657" s="867">
        <v>2805.605304</v>
      </c>
      <c r="T657" s="868">
        <v>2348.373503</v>
      </c>
      <c r="AN657" s="882"/>
      <c r="AO657" s="882"/>
      <c r="AP657" s="882"/>
      <c r="AY657" s="882"/>
      <c r="AZ657" s="882"/>
      <c r="BA657" s="882"/>
      <c r="BJ657" s="882"/>
      <c r="BK657" s="882"/>
      <c r="BL657" s="882"/>
      <c r="BU657" s="882"/>
      <c r="BV657" s="882"/>
      <c r="BW657" s="882"/>
      <c r="CF657" s="882"/>
      <c r="CG657" s="882"/>
      <c r="CH657" s="882"/>
      <c r="CI657" s="530"/>
    </row>
    <row r="658">
      <c r="A658" s="857"/>
      <c r="B658" s="865" t="s">
        <v>628</v>
      </c>
      <c r="C658" s="865" t="s">
        <v>591</v>
      </c>
      <c r="D658" s="865" t="s">
        <v>684</v>
      </c>
      <c r="E658" s="866">
        <v>2019.0</v>
      </c>
      <c r="F658" s="865" t="s">
        <v>593</v>
      </c>
      <c r="G658" s="865" t="s">
        <v>70</v>
      </c>
      <c r="H658" s="867">
        <v>8125.400513</v>
      </c>
      <c r="I658" s="867">
        <v>9271.805263</v>
      </c>
      <c r="J658" s="868">
        <v>6954.577006</v>
      </c>
      <c r="K658" s="50"/>
      <c r="L658" s="869" t="s">
        <v>628</v>
      </c>
      <c r="M658" s="865" t="s">
        <v>591</v>
      </c>
      <c r="N658" s="865" t="s">
        <v>684</v>
      </c>
      <c r="O658" s="866">
        <v>2004.0</v>
      </c>
      <c r="P658" s="865" t="s">
        <v>593</v>
      </c>
      <c r="Q658" s="865" t="s">
        <v>70</v>
      </c>
      <c r="R658" s="867">
        <v>7613.760711</v>
      </c>
      <c r="S658" s="867">
        <v>8295.530229</v>
      </c>
      <c r="T658" s="868">
        <v>6943.600851</v>
      </c>
      <c r="AN658" s="882"/>
      <c r="AO658" s="882"/>
      <c r="AP658" s="882"/>
      <c r="AY658" s="882"/>
      <c r="AZ658" s="882"/>
      <c r="BA658" s="882"/>
      <c r="BJ658" s="882"/>
      <c r="BK658" s="882"/>
      <c r="BL658" s="882"/>
      <c r="BU658" s="882"/>
      <c r="BV658" s="882"/>
      <c r="BW658" s="882"/>
      <c r="CF658" s="882"/>
      <c r="CG658" s="882"/>
      <c r="CH658" s="882"/>
      <c r="CI658" s="530"/>
    </row>
    <row r="659">
      <c r="A659" s="857"/>
      <c r="B659" s="865" t="s">
        <v>628</v>
      </c>
      <c r="C659" s="865" t="s">
        <v>591</v>
      </c>
      <c r="D659" s="865" t="s">
        <v>686</v>
      </c>
      <c r="E659" s="866">
        <v>2019.0</v>
      </c>
      <c r="F659" s="865" t="s">
        <v>593</v>
      </c>
      <c r="G659" s="865" t="s">
        <v>70</v>
      </c>
      <c r="H659" s="867">
        <v>10859.85529</v>
      </c>
      <c r="I659" s="867">
        <v>12392.06157</v>
      </c>
      <c r="J659" s="868">
        <v>9295.012571</v>
      </c>
      <c r="K659" s="50"/>
      <c r="L659" s="869" t="s">
        <v>628</v>
      </c>
      <c r="M659" s="865" t="s">
        <v>591</v>
      </c>
      <c r="N659" s="865" t="s">
        <v>686</v>
      </c>
      <c r="O659" s="866">
        <v>2004.0</v>
      </c>
      <c r="P659" s="865" t="s">
        <v>593</v>
      </c>
      <c r="Q659" s="865" t="s">
        <v>70</v>
      </c>
      <c r="R659" s="867">
        <v>10188.78688</v>
      </c>
      <c r="S659" s="867">
        <v>11101.13553</v>
      </c>
      <c r="T659" s="868">
        <v>9291.974354</v>
      </c>
      <c r="AN659" s="882"/>
      <c r="AO659" s="882"/>
      <c r="AP659" s="882"/>
      <c r="AY659" s="882"/>
      <c r="AZ659" s="882"/>
      <c r="BA659" s="882"/>
      <c r="BJ659" s="882"/>
      <c r="BK659" s="882"/>
      <c r="BL659" s="882"/>
      <c r="BU659" s="882"/>
      <c r="BV659" s="882"/>
      <c r="BW659" s="882"/>
      <c r="CF659" s="882"/>
      <c r="CG659" s="882"/>
      <c r="CH659" s="882"/>
      <c r="CI659" s="530"/>
    </row>
    <row r="660">
      <c r="A660" s="857"/>
      <c r="B660" s="865" t="s">
        <v>628</v>
      </c>
      <c r="C660" s="865" t="s">
        <v>591</v>
      </c>
      <c r="D660" s="865" t="s">
        <v>688</v>
      </c>
      <c r="E660" s="866">
        <v>2019.0</v>
      </c>
      <c r="F660" s="865" t="s">
        <v>593</v>
      </c>
      <c r="G660" s="865" t="s">
        <v>70</v>
      </c>
      <c r="H660" s="867">
        <v>129208.8814</v>
      </c>
      <c r="I660" s="867">
        <v>147438.8352</v>
      </c>
      <c r="J660" s="868">
        <v>110590.6243</v>
      </c>
      <c r="K660" s="50"/>
      <c r="L660" s="869" t="s">
        <v>628</v>
      </c>
      <c r="M660" s="865" t="s">
        <v>591</v>
      </c>
      <c r="N660" s="865" t="s">
        <v>688</v>
      </c>
      <c r="O660" s="866">
        <v>2004.0</v>
      </c>
      <c r="P660" s="865" t="s">
        <v>593</v>
      </c>
      <c r="Q660" s="865" t="s">
        <v>70</v>
      </c>
      <c r="R660" s="867">
        <v>118426.3283</v>
      </c>
      <c r="S660" s="867">
        <v>129030.741</v>
      </c>
      <c r="T660" s="868">
        <v>108002.4951</v>
      </c>
      <c r="AN660" s="882"/>
      <c r="AO660" s="882"/>
      <c r="AP660" s="882"/>
      <c r="AY660" s="882"/>
      <c r="AZ660" s="882"/>
      <c r="BA660" s="882"/>
      <c r="BJ660" s="882"/>
      <c r="BK660" s="882"/>
      <c r="BL660" s="882"/>
      <c r="BU660" s="882"/>
      <c r="BV660" s="882"/>
      <c r="BW660" s="882"/>
      <c r="CF660" s="882"/>
      <c r="CG660" s="882"/>
      <c r="CH660" s="882"/>
      <c r="CI660" s="530"/>
    </row>
    <row r="661">
      <c r="A661" s="857"/>
      <c r="B661" s="865" t="s">
        <v>628</v>
      </c>
      <c r="C661" s="865" t="s">
        <v>591</v>
      </c>
      <c r="D661" s="865" t="s">
        <v>689</v>
      </c>
      <c r="E661" s="866">
        <v>2019.0</v>
      </c>
      <c r="F661" s="865" t="s">
        <v>593</v>
      </c>
      <c r="G661" s="865" t="s">
        <v>70</v>
      </c>
      <c r="H661" s="867">
        <v>695257.1147</v>
      </c>
      <c r="I661" s="867">
        <v>793350.2558</v>
      </c>
      <c r="J661" s="868">
        <v>595074.5609</v>
      </c>
      <c r="K661" s="50"/>
      <c r="L661" s="869" t="s">
        <v>628</v>
      </c>
      <c r="M661" s="865" t="s">
        <v>591</v>
      </c>
      <c r="N661" s="865" t="s">
        <v>689</v>
      </c>
      <c r="O661" s="866">
        <v>2004.0</v>
      </c>
      <c r="P661" s="865" t="s">
        <v>593</v>
      </c>
      <c r="Q661" s="865" t="s">
        <v>70</v>
      </c>
      <c r="R661" s="867">
        <v>567798.5851</v>
      </c>
      <c r="S661" s="867">
        <v>618641.76</v>
      </c>
      <c r="T661" s="868">
        <v>517821.2041</v>
      </c>
      <c r="AN661" s="882"/>
      <c r="AO661" s="882"/>
      <c r="AP661" s="882"/>
      <c r="AY661" s="882"/>
      <c r="AZ661" s="882"/>
      <c r="BA661" s="882"/>
      <c r="BJ661" s="882"/>
      <c r="BK661" s="882"/>
      <c r="BL661" s="882"/>
      <c r="BU661" s="882"/>
      <c r="BV661" s="882"/>
      <c r="BW661" s="882"/>
      <c r="CF661" s="882"/>
      <c r="CG661" s="882"/>
      <c r="CH661" s="882"/>
      <c r="CI661" s="530"/>
    </row>
    <row r="662">
      <c r="A662" s="857"/>
      <c r="B662" s="871" t="s">
        <v>119</v>
      </c>
      <c r="C662" s="865" t="s">
        <v>591</v>
      </c>
      <c r="D662" s="865" t="s">
        <v>592</v>
      </c>
      <c r="E662" s="866">
        <v>2019.0</v>
      </c>
      <c r="F662" s="865" t="s">
        <v>593</v>
      </c>
      <c r="G662" s="865" t="s">
        <v>70</v>
      </c>
      <c r="H662" s="867">
        <v>2808316.545</v>
      </c>
      <c r="I662" s="867">
        <v>3606567.163</v>
      </c>
      <c r="J662" s="868">
        <v>1977972.186</v>
      </c>
      <c r="K662" s="50"/>
      <c r="L662" s="870" t="s">
        <v>119</v>
      </c>
      <c r="M662" s="865" t="s">
        <v>591</v>
      </c>
      <c r="N662" s="865" t="s">
        <v>592</v>
      </c>
      <c r="O662" s="866">
        <v>2004.0</v>
      </c>
      <c r="P662" s="865" t="s">
        <v>593</v>
      </c>
      <c r="Q662" s="865" t="s">
        <v>70</v>
      </c>
      <c r="R662" s="867">
        <v>2389172.608</v>
      </c>
      <c r="S662" s="867">
        <v>2854494.869</v>
      </c>
      <c r="T662" s="868">
        <v>1930724.316</v>
      </c>
      <c r="AN662" s="882"/>
      <c r="AO662" s="882"/>
      <c r="AP662" s="882"/>
      <c r="AY662" s="882"/>
      <c r="AZ662" s="882"/>
      <c r="BA662" s="882"/>
      <c r="BJ662" s="882"/>
      <c r="BK662" s="882"/>
      <c r="BL662" s="882"/>
      <c r="BU662" s="882"/>
      <c r="BV662" s="882"/>
      <c r="BW662" s="882"/>
      <c r="CF662" s="882"/>
      <c r="CG662" s="882"/>
      <c r="CH662" s="882"/>
      <c r="CI662" s="530"/>
    </row>
    <row r="663">
      <c r="A663" s="857"/>
      <c r="B663" s="871" t="s">
        <v>119</v>
      </c>
      <c r="C663" s="865" t="s">
        <v>591</v>
      </c>
      <c r="D663" s="865" t="s">
        <v>601</v>
      </c>
      <c r="E663" s="866">
        <v>2019.0</v>
      </c>
      <c r="F663" s="865" t="s">
        <v>593</v>
      </c>
      <c r="G663" s="865" t="s">
        <v>70</v>
      </c>
      <c r="H663" s="867">
        <v>4.728107588E7</v>
      </c>
      <c r="I663" s="867">
        <v>6.072049678E7</v>
      </c>
      <c r="J663" s="868">
        <v>3.330132181E7</v>
      </c>
      <c r="K663" s="50"/>
      <c r="L663" s="870" t="s">
        <v>119</v>
      </c>
      <c r="M663" s="865" t="s">
        <v>591</v>
      </c>
      <c r="N663" s="865" t="s">
        <v>601</v>
      </c>
      <c r="O663" s="866">
        <v>2004.0</v>
      </c>
      <c r="P663" s="865" t="s">
        <v>593</v>
      </c>
      <c r="Q663" s="865" t="s">
        <v>70</v>
      </c>
      <c r="R663" s="867">
        <v>3.280212288E7</v>
      </c>
      <c r="S663" s="867">
        <v>3.919076049E7</v>
      </c>
      <c r="T663" s="868">
        <v>2.650786136E7</v>
      </c>
      <c r="AN663" s="882"/>
      <c r="AO663" s="882"/>
      <c r="AP663" s="882"/>
      <c r="AY663" s="882"/>
      <c r="AZ663" s="882"/>
      <c r="BA663" s="882"/>
      <c r="BJ663" s="882"/>
      <c r="BK663" s="882"/>
      <c r="BL663" s="882"/>
      <c r="BU663" s="882"/>
      <c r="BV663" s="882"/>
      <c r="BW663" s="882"/>
      <c r="CF663" s="882"/>
      <c r="CG663" s="882"/>
      <c r="CH663" s="882"/>
      <c r="CI663" s="530"/>
    </row>
    <row r="664">
      <c r="A664" s="857"/>
      <c r="B664" s="871" t="s">
        <v>119</v>
      </c>
      <c r="C664" s="865" t="s">
        <v>591</v>
      </c>
      <c r="D664" s="865" t="s">
        <v>606</v>
      </c>
      <c r="E664" s="866">
        <v>2019.0</v>
      </c>
      <c r="F664" s="865" t="s">
        <v>593</v>
      </c>
      <c r="G664" s="865" t="s">
        <v>70</v>
      </c>
      <c r="H664" s="867">
        <v>3.769514531E7</v>
      </c>
      <c r="I664" s="867">
        <v>4.840981104E7</v>
      </c>
      <c r="J664" s="868">
        <v>2.654969544E7</v>
      </c>
      <c r="K664" s="50"/>
      <c r="L664" s="870" t="s">
        <v>119</v>
      </c>
      <c r="M664" s="865" t="s">
        <v>591</v>
      </c>
      <c r="N664" s="865" t="s">
        <v>606</v>
      </c>
      <c r="O664" s="866">
        <v>2004.0</v>
      </c>
      <c r="P664" s="865" t="s">
        <v>593</v>
      </c>
      <c r="Q664" s="865" t="s">
        <v>70</v>
      </c>
      <c r="R664" s="867">
        <v>2.658909822E7</v>
      </c>
      <c r="S664" s="867">
        <v>3.176766894E7</v>
      </c>
      <c r="T664" s="868">
        <v>2.14870279E7</v>
      </c>
      <c r="AN664" s="882"/>
      <c r="AO664" s="882"/>
      <c r="AP664" s="882"/>
      <c r="AY664" s="882"/>
      <c r="AZ664" s="882"/>
      <c r="BA664" s="882"/>
      <c r="BJ664" s="882"/>
      <c r="BK664" s="882"/>
      <c r="BL664" s="882"/>
      <c r="BU664" s="882"/>
      <c r="BV664" s="882"/>
      <c r="BW664" s="882"/>
      <c r="CF664" s="882"/>
      <c r="CG664" s="882"/>
      <c r="CH664" s="882"/>
      <c r="CI664" s="530"/>
    </row>
    <row r="665">
      <c r="A665" s="857"/>
      <c r="B665" s="871" t="s">
        <v>119</v>
      </c>
      <c r="C665" s="865" t="s">
        <v>591</v>
      </c>
      <c r="D665" s="865" t="s">
        <v>608</v>
      </c>
      <c r="E665" s="866">
        <v>2019.0</v>
      </c>
      <c r="F665" s="865" t="s">
        <v>593</v>
      </c>
      <c r="G665" s="865" t="s">
        <v>70</v>
      </c>
      <c r="H665" s="867">
        <v>1.082114861E7</v>
      </c>
      <c r="I665" s="867">
        <v>1.389700862E7</v>
      </c>
      <c r="J665" s="868">
        <v>7621623.354</v>
      </c>
      <c r="K665" s="50"/>
      <c r="L665" s="870" t="s">
        <v>119</v>
      </c>
      <c r="M665" s="865" t="s">
        <v>591</v>
      </c>
      <c r="N665" s="865" t="s">
        <v>608</v>
      </c>
      <c r="O665" s="866">
        <v>2004.0</v>
      </c>
      <c r="P665" s="865" t="s">
        <v>593</v>
      </c>
      <c r="Q665" s="865" t="s">
        <v>70</v>
      </c>
      <c r="R665" s="867">
        <v>8229254.837</v>
      </c>
      <c r="S665" s="867">
        <v>9832008.634</v>
      </c>
      <c r="T665" s="868">
        <v>6650177.707</v>
      </c>
      <c r="AN665" s="882"/>
      <c r="AO665" s="882"/>
      <c r="AP665" s="882"/>
      <c r="AY665" s="882"/>
      <c r="AZ665" s="882"/>
      <c r="BA665" s="882"/>
      <c r="BJ665" s="882"/>
      <c r="BK665" s="882"/>
      <c r="BL665" s="882"/>
      <c r="BU665" s="882"/>
      <c r="BV665" s="882"/>
      <c r="BW665" s="882"/>
      <c r="CF665" s="882"/>
      <c r="CG665" s="882"/>
      <c r="CH665" s="882"/>
      <c r="CI665" s="530"/>
    </row>
    <row r="666">
      <c r="A666" s="857"/>
      <c r="B666" s="871" t="s">
        <v>119</v>
      </c>
      <c r="C666" s="865" t="s">
        <v>591</v>
      </c>
      <c r="D666" s="865" t="s">
        <v>610</v>
      </c>
      <c r="E666" s="866">
        <v>2019.0</v>
      </c>
      <c r="F666" s="865" t="s">
        <v>593</v>
      </c>
      <c r="G666" s="865" t="s">
        <v>70</v>
      </c>
      <c r="H666" s="867">
        <v>1.13018475E7</v>
      </c>
      <c r="I666" s="867">
        <v>1.451434389E7</v>
      </c>
      <c r="J666" s="868">
        <v>7960192.396</v>
      </c>
      <c r="K666" s="50"/>
      <c r="L666" s="870" t="s">
        <v>119</v>
      </c>
      <c r="M666" s="865" t="s">
        <v>591</v>
      </c>
      <c r="N666" s="865" t="s">
        <v>610</v>
      </c>
      <c r="O666" s="866">
        <v>2004.0</v>
      </c>
      <c r="P666" s="865" t="s">
        <v>593</v>
      </c>
      <c r="Q666" s="865" t="s">
        <v>70</v>
      </c>
      <c r="R666" s="867">
        <v>7358047.855</v>
      </c>
      <c r="S666" s="867">
        <v>8791122.827</v>
      </c>
      <c r="T666" s="868">
        <v>5946142.972</v>
      </c>
      <c r="AN666" s="882"/>
      <c r="AO666" s="882"/>
      <c r="AP666" s="882"/>
      <c r="AY666" s="882"/>
      <c r="AZ666" s="882"/>
      <c r="BA666" s="882"/>
      <c r="BJ666" s="882"/>
      <c r="BK666" s="882"/>
      <c r="BL666" s="882"/>
      <c r="BU666" s="882"/>
      <c r="BV666" s="882"/>
      <c r="BW666" s="882"/>
      <c r="CF666" s="882"/>
      <c r="CG666" s="882"/>
      <c r="CH666" s="882"/>
      <c r="CI666" s="530"/>
    </row>
    <row r="667">
      <c r="A667" s="857"/>
      <c r="B667" s="871" t="s">
        <v>119</v>
      </c>
      <c r="C667" s="865" t="s">
        <v>591</v>
      </c>
      <c r="D667" s="865" t="s">
        <v>612</v>
      </c>
      <c r="E667" s="866">
        <v>2019.0</v>
      </c>
      <c r="F667" s="865" t="s">
        <v>593</v>
      </c>
      <c r="G667" s="865" t="s">
        <v>70</v>
      </c>
      <c r="H667" s="867">
        <v>2.088777807E7</v>
      </c>
      <c r="I667" s="867">
        <v>2.682502963E7</v>
      </c>
      <c r="J667" s="868">
        <v>1.471181877E7</v>
      </c>
      <c r="K667" s="50"/>
      <c r="L667" s="870" t="s">
        <v>119</v>
      </c>
      <c r="M667" s="865" t="s">
        <v>591</v>
      </c>
      <c r="N667" s="865" t="s">
        <v>612</v>
      </c>
      <c r="O667" s="866">
        <v>2004.0</v>
      </c>
      <c r="P667" s="865" t="s">
        <v>593</v>
      </c>
      <c r="Q667" s="865" t="s">
        <v>70</v>
      </c>
      <c r="R667" s="867">
        <v>1.357107251E7</v>
      </c>
      <c r="S667" s="867">
        <v>1.621421438E7</v>
      </c>
      <c r="T667" s="868">
        <v>1.096697643E7</v>
      </c>
      <c r="AN667" s="882"/>
      <c r="AO667" s="882"/>
      <c r="AP667" s="882"/>
      <c r="AY667" s="882"/>
      <c r="AZ667" s="882"/>
      <c r="BA667" s="882"/>
      <c r="BJ667" s="882"/>
      <c r="BK667" s="882"/>
      <c r="BL667" s="882"/>
      <c r="BU667" s="882"/>
      <c r="BV667" s="882"/>
      <c r="BW667" s="882"/>
      <c r="CF667" s="882"/>
      <c r="CG667" s="882"/>
      <c r="CH667" s="882"/>
      <c r="CI667" s="530"/>
    </row>
    <row r="668">
      <c r="A668" s="857"/>
      <c r="B668" s="871" t="s">
        <v>119</v>
      </c>
      <c r="C668" s="865" t="s">
        <v>591</v>
      </c>
      <c r="D668" s="865" t="s">
        <v>614</v>
      </c>
      <c r="E668" s="866">
        <v>2019.0</v>
      </c>
      <c r="F668" s="865" t="s">
        <v>593</v>
      </c>
      <c r="G668" s="865" t="s">
        <v>70</v>
      </c>
      <c r="H668" s="867">
        <v>2.897607391E7</v>
      </c>
      <c r="I668" s="867">
        <v>3.721238508E7</v>
      </c>
      <c r="J668" s="868">
        <v>2.040862109E7</v>
      </c>
      <c r="K668" s="50"/>
      <c r="L668" s="870" t="s">
        <v>119</v>
      </c>
      <c r="M668" s="865" t="s">
        <v>591</v>
      </c>
      <c r="N668" s="865" t="s">
        <v>614</v>
      </c>
      <c r="O668" s="866">
        <v>2004.0</v>
      </c>
      <c r="P668" s="865" t="s">
        <v>593</v>
      </c>
      <c r="Q668" s="865" t="s">
        <v>70</v>
      </c>
      <c r="R668" s="867">
        <v>1.862569357E7</v>
      </c>
      <c r="S668" s="867">
        <v>2.225328825E7</v>
      </c>
      <c r="T668" s="868">
        <v>1.50516875E7</v>
      </c>
      <c r="AN668" s="882"/>
      <c r="AO668" s="882"/>
      <c r="AP668" s="882"/>
      <c r="AY668" s="882"/>
      <c r="AZ668" s="882"/>
      <c r="BA668" s="882"/>
      <c r="BJ668" s="882"/>
      <c r="BK668" s="882"/>
      <c r="BL668" s="882"/>
      <c r="BU668" s="882"/>
      <c r="BV668" s="882"/>
      <c r="BW668" s="882"/>
      <c r="CF668" s="882"/>
      <c r="CG668" s="882"/>
      <c r="CH668" s="882"/>
      <c r="CI668" s="530"/>
    </row>
    <row r="669">
      <c r="A669" s="857"/>
      <c r="B669" s="871" t="s">
        <v>119</v>
      </c>
      <c r="C669" s="865" t="s">
        <v>591</v>
      </c>
      <c r="D669" s="865" t="s">
        <v>616</v>
      </c>
      <c r="E669" s="866">
        <v>2019.0</v>
      </c>
      <c r="F669" s="865" t="s">
        <v>593</v>
      </c>
      <c r="G669" s="865" t="s">
        <v>70</v>
      </c>
      <c r="H669" s="867">
        <v>9585930.572</v>
      </c>
      <c r="I669" s="867">
        <v>1.231068574E7</v>
      </c>
      <c r="J669" s="868">
        <v>6751626.373</v>
      </c>
      <c r="K669" s="50"/>
      <c r="L669" s="870" t="s">
        <v>119</v>
      </c>
      <c r="M669" s="865" t="s">
        <v>591</v>
      </c>
      <c r="N669" s="865" t="s">
        <v>616</v>
      </c>
      <c r="O669" s="866">
        <v>2004.0</v>
      </c>
      <c r="P669" s="865" t="s">
        <v>593</v>
      </c>
      <c r="Q669" s="865" t="s">
        <v>70</v>
      </c>
      <c r="R669" s="867">
        <v>6213024.655</v>
      </c>
      <c r="S669" s="867">
        <v>7423091.551</v>
      </c>
      <c r="T669" s="868">
        <v>5020833.462</v>
      </c>
      <c r="AN669" s="882"/>
      <c r="AO669" s="882"/>
      <c r="AP669" s="882"/>
      <c r="AY669" s="882"/>
      <c r="AZ669" s="882"/>
      <c r="BA669" s="882"/>
      <c r="BJ669" s="882"/>
      <c r="BK669" s="882"/>
      <c r="BL669" s="882"/>
      <c r="BU669" s="882"/>
      <c r="BV669" s="882"/>
      <c r="BW669" s="882"/>
      <c r="CF669" s="882"/>
      <c r="CG669" s="882"/>
      <c r="CH669" s="882"/>
      <c r="CI669" s="530"/>
    </row>
    <row r="670">
      <c r="A670" s="857"/>
      <c r="B670" s="871" t="s">
        <v>119</v>
      </c>
      <c r="C670" s="865" t="s">
        <v>591</v>
      </c>
      <c r="D670" s="865" t="s">
        <v>618</v>
      </c>
      <c r="E670" s="866">
        <v>2019.0</v>
      </c>
      <c r="F670" s="865" t="s">
        <v>593</v>
      </c>
      <c r="G670" s="865" t="s">
        <v>70</v>
      </c>
      <c r="H670" s="867">
        <v>3.499000884E7</v>
      </c>
      <c r="I670" s="867">
        <v>4.493050373E7</v>
      </c>
      <c r="J670" s="868">
        <v>2.464030237E7</v>
      </c>
      <c r="K670" s="50"/>
      <c r="L670" s="870" t="s">
        <v>119</v>
      </c>
      <c r="M670" s="865" t="s">
        <v>591</v>
      </c>
      <c r="N670" s="865" t="s">
        <v>618</v>
      </c>
      <c r="O670" s="866">
        <v>2004.0</v>
      </c>
      <c r="P670" s="865" t="s">
        <v>593</v>
      </c>
      <c r="Q670" s="865" t="s">
        <v>70</v>
      </c>
      <c r="R670" s="867">
        <v>2.156211592E7</v>
      </c>
      <c r="S670" s="867">
        <v>2.575959328E7</v>
      </c>
      <c r="T670" s="868">
        <v>1.741930107E7</v>
      </c>
      <c r="AN670" s="882"/>
      <c r="AO670" s="882"/>
      <c r="AP670" s="882"/>
      <c r="AY670" s="882"/>
      <c r="AZ670" s="882"/>
      <c r="BA670" s="882"/>
      <c r="BJ670" s="882"/>
      <c r="BK670" s="882"/>
      <c r="BL670" s="882"/>
      <c r="BU670" s="882"/>
      <c r="BV670" s="882"/>
      <c r="BW670" s="882"/>
      <c r="CF670" s="882"/>
      <c r="CG670" s="882"/>
      <c r="CH670" s="882"/>
      <c r="CI670" s="530"/>
    </row>
    <row r="671">
      <c r="A671" s="857"/>
      <c r="B671" s="871" t="s">
        <v>119</v>
      </c>
      <c r="C671" s="865" t="s">
        <v>591</v>
      </c>
      <c r="D671" s="865" t="s">
        <v>620</v>
      </c>
      <c r="E671" s="866">
        <v>2019.0</v>
      </c>
      <c r="F671" s="865" t="s">
        <v>593</v>
      </c>
      <c r="G671" s="865" t="s">
        <v>70</v>
      </c>
      <c r="H671" s="867">
        <v>4.172926852E7</v>
      </c>
      <c r="I671" s="867">
        <v>5.359061458E7</v>
      </c>
      <c r="J671" s="868">
        <v>2.939103593E7</v>
      </c>
      <c r="K671" s="50"/>
      <c r="L671" s="870" t="s">
        <v>119</v>
      </c>
      <c r="M671" s="865" t="s">
        <v>591</v>
      </c>
      <c r="N671" s="865" t="s">
        <v>620</v>
      </c>
      <c r="O671" s="866">
        <v>2004.0</v>
      </c>
      <c r="P671" s="865" t="s">
        <v>593</v>
      </c>
      <c r="Q671" s="865" t="s">
        <v>70</v>
      </c>
      <c r="R671" s="867">
        <v>2.588244192E7</v>
      </c>
      <c r="S671" s="867">
        <v>3.092338219E7</v>
      </c>
      <c r="T671" s="868">
        <v>2.09159689E7</v>
      </c>
      <c r="AN671" s="882"/>
      <c r="AO671" s="882"/>
      <c r="AP671" s="882"/>
      <c r="AY671" s="882"/>
      <c r="AZ671" s="882"/>
      <c r="BA671" s="882"/>
      <c r="BJ671" s="882"/>
      <c r="BK671" s="882"/>
      <c r="BL671" s="882"/>
      <c r="BU671" s="882"/>
      <c r="BV671" s="882"/>
      <c r="BW671" s="882"/>
      <c r="CF671" s="882"/>
      <c r="CG671" s="882"/>
      <c r="CH671" s="882"/>
      <c r="CI671" s="530"/>
    </row>
    <row r="672">
      <c r="A672" s="857"/>
      <c r="B672" s="871" t="s">
        <v>119</v>
      </c>
      <c r="C672" s="865" t="s">
        <v>591</v>
      </c>
      <c r="D672" s="865" t="s">
        <v>622</v>
      </c>
      <c r="E672" s="866">
        <v>2019.0</v>
      </c>
      <c r="F672" s="865" t="s">
        <v>593</v>
      </c>
      <c r="G672" s="865" t="s">
        <v>70</v>
      </c>
      <c r="H672" s="867">
        <v>4.039540413E7</v>
      </c>
      <c r="I672" s="867">
        <v>5.187154608E7</v>
      </c>
      <c r="J672" s="868">
        <v>2.844683396E7</v>
      </c>
      <c r="K672" s="50"/>
      <c r="L672" s="870" t="s">
        <v>119</v>
      </c>
      <c r="M672" s="865" t="s">
        <v>591</v>
      </c>
      <c r="N672" s="865" t="s">
        <v>622</v>
      </c>
      <c r="O672" s="866">
        <v>2004.0</v>
      </c>
      <c r="P672" s="865" t="s">
        <v>593</v>
      </c>
      <c r="Q672" s="865" t="s">
        <v>70</v>
      </c>
      <c r="R672" s="867">
        <v>2.45802349E7</v>
      </c>
      <c r="S672" s="867">
        <v>2.936524671E7</v>
      </c>
      <c r="T672" s="868">
        <v>1.985753687E7</v>
      </c>
      <c r="AN672" s="882"/>
      <c r="AO672" s="882"/>
      <c r="AP672" s="882"/>
      <c r="AY672" s="882"/>
      <c r="AZ672" s="882"/>
      <c r="BA672" s="882"/>
      <c r="BJ672" s="882"/>
      <c r="BK672" s="882"/>
      <c r="BL672" s="882"/>
      <c r="BU672" s="882"/>
      <c r="BV672" s="882"/>
      <c r="BW672" s="882"/>
      <c r="CF672" s="882"/>
      <c r="CG672" s="882"/>
      <c r="CH672" s="882"/>
      <c r="CI672" s="530"/>
    </row>
    <row r="673">
      <c r="A673" s="857"/>
      <c r="B673" s="871" t="s">
        <v>119</v>
      </c>
      <c r="C673" s="865" t="s">
        <v>591</v>
      </c>
      <c r="D673" s="865" t="s">
        <v>624</v>
      </c>
      <c r="E673" s="866">
        <v>2019.0</v>
      </c>
      <c r="F673" s="865" t="s">
        <v>593</v>
      </c>
      <c r="G673" s="865" t="s">
        <v>70</v>
      </c>
      <c r="H673" s="867">
        <v>8088295.839</v>
      </c>
      <c r="I673" s="867">
        <v>1.038735545E7</v>
      </c>
      <c r="J673" s="868">
        <v>5696802.317</v>
      </c>
      <c r="K673" s="50"/>
      <c r="L673" s="870" t="s">
        <v>119</v>
      </c>
      <c r="M673" s="865" t="s">
        <v>591</v>
      </c>
      <c r="N673" s="865" t="s">
        <v>624</v>
      </c>
      <c r="O673" s="866">
        <v>2004.0</v>
      </c>
      <c r="P673" s="865" t="s">
        <v>593</v>
      </c>
      <c r="Q673" s="865" t="s">
        <v>70</v>
      </c>
      <c r="R673" s="867">
        <v>5054621.059</v>
      </c>
      <c r="S673" s="867">
        <v>6039073.874</v>
      </c>
      <c r="T673" s="868">
        <v>4084711.064</v>
      </c>
      <c r="AN673" s="882"/>
      <c r="AO673" s="882"/>
      <c r="AP673" s="882"/>
      <c r="AY673" s="882"/>
      <c r="AZ673" s="882"/>
      <c r="BA673" s="882"/>
      <c r="BJ673" s="882"/>
      <c r="BK673" s="882"/>
      <c r="BL673" s="882"/>
      <c r="BU673" s="882"/>
      <c r="BV673" s="882"/>
      <c r="BW673" s="882"/>
      <c r="CF673" s="882"/>
      <c r="CG673" s="882"/>
      <c r="CH673" s="882"/>
      <c r="CI673" s="530"/>
    </row>
    <row r="674">
      <c r="A674" s="857"/>
      <c r="B674" s="871" t="s">
        <v>119</v>
      </c>
      <c r="C674" s="865" t="s">
        <v>591</v>
      </c>
      <c r="D674" s="865" t="s">
        <v>625</v>
      </c>
      <c r="E674" s="866">
        <v>2019.0</v>
      </c>
      <c r="F674" s="865" t="s">
        <v>593</v>
      </c>
      <c r="G674" s="865" t="s">
        <v>70</v>
      </c>
      <c r="H674" s="867">
        <v>3.230107206E7</v>
      </c>
      <c r="I674" s="867">
        <v>4.148249813E7</v>
      </c>
      <c r="J674" s="868">
        <v>2.275050589E7</v>
      </c>
      <c r="K674" s="50"/>
      <c r="L674" s="870" t="s">
        <v>119</v>
      </c>
      <c r="M674" s="865" t="s">
        <v>591</v>
      </c>
      <c r="N674" s="865" t="s">
        <v>625</v>
      </c>
      <c r="O674" s="866">
        <v>2004.0</v>
      </c>
      <c r="P674" s="865" t="s">
        <v>593</v>
      </c>
      <c r="Q674" s="865" t="s">
        <v>70</v>
      </c>
      <c r="R674" s="867">
        <v>1.952315771E7</v>
      </c>
      <c r="S674" s="867">
        <v>2.332554514E7</v>
      </c>
      <c r="T674" s="868">
        <v>1.577694102E7</v>
      </c>
      <c r="AN674" s="882"/>
      <c r="AO674" s="882"/>
      <c r="AP674" s="882"/>
      <c r="AY674" s="882"/>
      <c r="AZ674" s="882"/>
      <c r="BA674" s="882"/>
      <c r="BJ674" s="882"/>
      <c r="BK674" s="882"/>
      <c r="BL674" s="882"/>
      <c r="BU674" s="882"/>
      <c r="BV674" s="882"/>
      <c r="BW674" s="882"/>
      <c r="CF674" s="882"/>
      <c r="CG674" s="882"/>
      <c r="CH674" s="882"/>
      <c r="CI674" s="530"/>
    </row>
    <row r="675">
      <c r="A675" s="857"/>
      <c r="B675" s="871" t="s">
        <v>119</v>
      </c>
      <c r="C675" s="865" t="s">
        <v>591</v>
      </c>
      <c r="D675" s="865" t="s">
        <v>627</v>
      </c>
      <c r="E675" s="866">
        <v>2019.0</v>
      </c>
      <c r="F675" s="865" t="s">
        <v>593</v>
      </c>
      <c r="G675" s="865" t="s">
        <v>70</v>
      </c>
      <c r="H675" s="867">
        <v>6865209.407</v>
      </c>
      <c r="I675" s="867">
        <v>8816612.522</v>
      </c>
      <c r="J675" s="868">
        <v>4835349.947</v>
      </c>
      <c r="K675" s="50"/>
      <c r="L675" s="870" t="s">
        <v>119</v>
      </c>
      <c r="M675" s="865" t="s">
        <v>591</v>
      </c>
      <c r="N675" s="865" t="s">
        <v>627</v>
      </c>
      <c r="O675" s="866">
        <v>2004.0</v>
      </c>
      <c r="P675" s="865" t="s">
        <v>593</v>
      </c>
      <c r="Q675" s="865" t="s">
        <v>70</v>
      </c>
      <c r="R675" s="867">
        <v>4033911.153</v>
      </c>
      <c r="S675" s="867">
        <v>4819567.515</v>
      </c>
      <c r="T675" s="868">
        <v>3259860.893</v>
      </c>
      <c r="AN675" s="882"/>
      <c r="AO675" s="882"/>
      <c r="AP675" s="882"/>
      <c r="AY675" s="882"/>
      <c r="AZ675" s="882"/>
      <c r="BA675" s="882"/>
      <c r="BJ675" s="882"/>
      <c r="BK675" s="882"/>
      <c r="BL675" s="882"/>
      <c r="BU675" s="882"/>
      <c r="BV675" s="882"/>
      <c r="BW675" s="882"/>
      <c r="CF675" s="882"/>
      <c r="CG675" s="882"/>
      <c r="CH675" s="882"/>
      <c r="CI675" s="530"/>
    </row>
    <row r="676">
      <c r="A676" s="857"/>
      <c r="B676" s="871" t="s">
        <v>119</v>
      </c>
      <c r="C676" s="865" t="s">
        <v>591</v>
      </c>
      <c r="D676" s="865" t="s">
        <v>629</v>
      </c>
      <c r="E676" s="866">
        <v>2019.0</v>
      </c>
      <c r="F676" s="865" t="s">
        <v>593</v>
      </c>
      <c r="G676" s="865" t="s">
        <v>70</v>
      </c>
      <c r="H676" s="867">
        <v>2.405863716E7</v>
      </c>
      <c r="I676" s="867">
        <v>3.089358141E7</v>
      </c>
      <c r="J676" s="868">
        <v>1.694232479E7</v>
      </c>
      <c r="K676" s="50"/>
      <c r="L676" s="870" t="s">
        <v>119</v>
      </c>
      <c r="M676" s="865" t="s">
        <v>591</v>
      </c>
      <c r="N676" s="865" t="s">
        <v>629</v>
      </c>
      <c r="O676" s="866">
        <v>2004.0</v>
      </c>
      <c r="P676" s="865" t="s">
        <v>593</v>
      </c>
      <c r="Q676" s="865" t="s">
        <v>70</v>
      </c>
      <c r="R676" s="867">
        <v>1.461625671E7</v>
      </c>
      <c r="S676" s="867">
        <v>1.746159002E7</v>
      </c>
      <c r="T676" s="868">
        <v>1.180797733E7</v>
      </c>
      <c r="AN676" s="882"/>
      <c r="AO676" s="882"/>
      <c r="AP676" s="882"/>
      <c r="AY676" s="882"/>
      <c r="AZ676" s="882"/>
      <c r="BA676" s="882"/>
      <c r="BJ676" s="882"/>
      <c r="BK676" s="882"/>
      <c r="BL676" s="882"/>
      <c r="BU676" s="882"/>
      <c r="BV676" s="882"/>
      <c r="BW676" s="882"/>
      <c r="CF676" s="882"/>
      <c r="CG676" s="882"/>
      <c r="CH676" s="882"/>
      <c r="CI676" s="530"/>
    </row>
    <row r="677">
      <c r="A677" s="857"/>
      <c r="B677" s="871" t="s">
        <v>119</v>
      </c>
      <c r="C677" s="865" t="s">
        <v>591</v>
      </c>
      <c r="D677" s="865" t="s">
        <v>631</v>
      </c>
      <c r="E677" s="866">
        <v>2019.0</v>
      </c>
      <c r="F677" s="865" t="s">
        <v>593</v>
      </c>
      <c r="G677" s="865" t="s">
        <v>70</v>
      </c>
      <c r="H677" s="867">
        <v>5761896.889</v>
      </c>
      <c r="I677" s="867">
        <v>7399688.669</v>
      </c>
      <c r="J677" s="868">
        <v>4058257.537</v>
      </c>
      <c r="K677" s="50"/>
      <c r="L677" s="870" t="s">
        <v>119</v>
      </c>
      <c r="M677" s="865" t="s">
        <v>591</v>
      </c>
      <c r="N677" s="865" t="s">
        <v>631</v>
      </c>
      <c r="O677" s="866">
        <v>2004.0</v>
      </c>
      <c r="P677" s="865" t="s">
        <v>593</v>
      </c>
      <c r="Q677" s="865" t="s">
        <v>70</v>
      </c>
      <c r="R677" s="867">
        <v>3369909.063</v>
      </c>
      <c r="S677" s="867">
        <v>4026242.431</v>
      </c>
      <c r="T677" s="868">
        <v>2723271.374</v>
      </c>
      <c r="AN677" s="882"/>
      <c r="AO677" s="882"/>
      <c r="AP677" s="882"/>
      <c r="AY677" s="882"/>
      <c r="AZ677" s="882"/>
      <c r="BA677" s="882"/>
      <c r="BJ677" s="882"/>
      <c r="BK677" s="882"/>
      <c r="BL677" s="882"/>
      <c r="BU677" s="882"/>
      <c r="BV677" s="882"/>
      <c r="BW677" s="882"/>
      <c r="CF677" s="882"/>
      <c r="CG677" s="882"/>
      <c r="CH677" s="882"/>
      <c r="CI677" s="530"/>
    </row>
    <row r="678">
      <c r="A678" s="857"/>
      <c r="B678" s="871" t="s">
        <v>119</v>
      </c>
      <c r="C678" s="865" t="s">
        <v>591</v>
      </c>
      <c r="D678" s="865" t="s">
        <v>633</v>
      </c>
      <c r="E678" s="866">
        <v>2019.0</v>
      </c>
      <c r="F678" s="865" t="s">
        <v>593</v>
      </c>
      <c r="G678" s="865" t="s">
        <v>70</v>
      </c>
      <c r="H678" s="867">
        <v>4683447.623</v>
      </c>
      <c r="I678" s="867">
        <v>6014695.331</v>
      </c>
      <c r="J678" s="868">
        <v>3298676.978</v>
      </c>
      <c r="K678" s="50"/>
      <c r="L678" s="870" t="s">
        <v>119</v>
      </c>
      <c r="M678" s="865" t="s">
        <v>591</v>
      </c>
      <c r="N678" s="865" t="s">
        <v>633</v>
      </c>
      <c r="O678" s="866">
        <v>2004.0</v>
      </c>
      <c r="P678" s="865" t="s">
        <v>593</v>
      </c>
      <c r="Q678" s="865" t="s">
        <v>70</v>
      </c>
      <c r="R678" s="867">
        <v>2888495.443</v>
      </c>
      <c r="S678" s="867">
        <v>3451067.284</v>
      </c>
      <c r="T678" s="868">
        <v>2334234.191</v>
      </c>
      <c r="AN678" s="882"/>
      <c r="AO678" s="882"/>
      <c r="AP678" s="882"/>
      <c r="AY678" s="882"/>
      <c r="AZ678" s="882"/>
      <c r="BA678" s="882"/>
      <c r="BJ678" s="882"/>
      <c r="BK678" s="882"/>
      <c r="BL678" s="882"/>
      <c r="BU678" s="882"/>
      <c r="BV678" s="882"/>
      <c r="BW678" s="882"/>
      <c r="CF678" s="882"/>
      <c r="CG678" s="882"/>
      <c r="CH678" s="882"/>
      <c r="CI678" s="530"/>
    </row>
    <row r="679">
      <c r="A679" s="857"/>
      <c r="B679" s="871" t="s">
        <v>119</v>
      </c>
      <c r="C679" s="865" t="s">
        <v>591</v>
      </c>
      <c r="D679" s="865" t="s">
        <v>635</v>
      </c>
      <c r="E679" s="866">
        <v>2019.0</v>
      </c>
      <c r="F679" s="865" t="s">
        <v>593</v>
      </c>
      <c r="G679" s="865" t="s">
        <v>70</v>
      </c>
      <c r="H679" s="867">
        <v>3711517.562</v>
      </c>
      <c r="I679" s="867">
        <v>4766498.773</v>
      </c>
      <c r="J679" s="868">
        <v>2614120.733</v>
      </c>
      <c r="K679" s="50"/>
      <c r="L679" s="870" t="s">
        <v>119</v>
      </c>
      <c r="M679" s="865" t="s">
        <v>591</v>
      </c>
      <c r="N679" s="865" t="s">
        <v>635</v>
      </c>
      <c r="O679" s="866">
        <v>2004.0</v>
      </c>
      <c r="P679" s="865" t="s">
        <v>593</v>
      </c>
      <c r="Q679" s="865" t="s">
        <v>70</v>
      </c>
      <c r="R679" s="867">
        <v>2419128.393</v>
      </c>
      <c r="S679" s="867">
        <v>2890284.931</v>
      </c>
      <c r="T679" s="868">
        <v>1954932.011</v>
      </c>
      <c r="AN679" s="882"/>
      <c r="AO679" s="882"/>
      <c r="AP679" s="882"/>
      <c r="AY679" s="882"/>
      <c r="AZ679" s="882"/>
      <c r="BA679" s="882"/>
      <c r="BJ679" s="882"/>
      <c r="BK679" s="882"/>
      <c r="BL679" s="882"/>
      <c r="BU679" s="882"/>
      <c r="BV679" s="882"/>
      <c r="BW679" s="882"/>
      <c r="CF679" s="882"/>
      <c r="CG679" s="882"/>
      <c r="CH679" s="882"/>
      <c r="CI679" s="530"/>
    </row>
    <row r="680">
      <c r="A680" s="857"/>
      <c r="B680" s="871" t="s">
        <v>119</v>
      </c>
      <c r="C680" s="865" t="s">
        <v>591</v>
      </c>
      <c r="D680" s="865" t="s">
        <v>637</v>
      </c>
      <c r="E680" s="866">
        <v>2019.0</v>
      </c>
      <c r="F680" s="865" t="s">
        <v>593</v>
      </c>
      <c r="G680" s="865" t="s">
        <v>70</v>
      </c>
      <c r="H680" s="867">
        <v>3032970.626</v>
      </c>
      <c r="I680" s="867">
        <v>3895078.099</v>
      </c>
      <c r="J680" s="868">
        <v>2136202.043</v>
      </c>
      <c r="K680" s="50"/>
      <c r="L680" s="870" t="s">
        <v>119</v>
      </c>
      <c r="M680" s="865" t="s">
        <v>591</v>
      </c>
      <c r="N680" s="865" t="s">
        <v>637</v>
      </c>
      <c r="O680" s="866">
        <v>2004.0</v>
      </c>
      <c r="P680" s="865" t="s">
        <v>593</v>
      </c>
      <c r="Q680" s="865" t="s">
        <v>70</v>
      </c>
      <c r="R680" s="867">
        <v>1903352.156</v>
      </c>
      <c r="S680" s="867">
        <v>2274054.602</v>
      </c>
      <c r="T680" s="868">
        <v>1538125.909</v>
      </c>
      <c r="AN680" s="882"/>
      <c r="AO680" s="882"/>
      <c r="AP680" s="882"/>
      <c r="AY680" s="882"/>
      <c r="AZ680" s="882"/>
      <c r="BA680" s="882"/>
      <c r="BJ680" s="882"/>
      <c r="BK680" s="882"/>
      <c r="BL680" s="882"/>
      <c r="BU680" s="882"/>
      <c r="BV680" s="882"/>
      <c r="BW680" s="882"/>
      <c r="CF680" s="882"/>
      <c r="CG680" s="882"/>
      <c r="CH680" s="882"/>
      <c r="CI680" s="530"/>
    </row>
    <row r="681">
      <c r="A681" s="857"/>
      <c r="B681" s="871" t="s">
        <v>119</v>
      </c>
      <c r="C681" s="865" t="s">
        <v>591</v>
      </c>
      <c r="D681" s="865" t="s">
        <v>639</v>
      </c>
      <c r="E681" s="866">
        <v>2019.0</v>
      </c>
      <c r="F681" s="865" t="s">
        <v>593</v>
      </c>
      <c r="G681" s="865" t="s">
        <v>70</v>
      </c>
      <c r="H681" s="867">
        <v>3.365664E7</v>
      </c>
      <c r="I681" s="867">
        <v>4.321833115E7</v>
      </c>
      <c r="J681" s="868">
        <v>2.370133114E7</v>
      </c>
      <c r="K681" s="50"/>
      <c r="L681" s="870" t="s">
        <v>119</v>
      </c>
      <c r="M681" s="865" t="s">
        <v>591</v>
      </c>
      <c r="N681" s="865" t="s">
        <v>639</v>
      </c>
      <c r="O681" s="866">
        <v>2004.0</v>
      </c>
      <c r="P681" s="865" t="s">
        <v>593</v>
      </c>
      <c r="Q681" s="865" t="s">
        <v>70</v>
      </c>
      <c r="R681" s="867">
        <v>2.218591231E7</v>
      </c>
      <c r="S681" s="867">
        <v>2.650482355E7</v>
      </c>
      <c r="T681" s="868">
        <v>1.792324498E7</v>
      </c>
      <c r="AN681" s="882"/>
      <c r="AO681" s="882"/>
      <c r="AP681" s="882"/>
      <c r="AY681" s="882"/>
      <c r="AZ681" s="882"/>
      <c r="BA681" s="882"/>
      <c r="BJ681" s="882"/>
      <c r="BK681" s="882"/>
      <c r="BL681" s="882"/>
      <c r="BU681" s="882"/>
      <c r="BV681" s="882"/>
      <c r="BW681" s="882"/>
      <c r="CF681" s="882"/>
      <c r="CG681" s="882"/>
      <c r="CH681" s="882"/>
      <c r="CI681" s="530"/>
    </row>
    <row r="682">
      <c r="A682" s="857"/>
      <c r="B682" s="871" t="s">
        <v>119</v>
      </c>
      <c r="C682" s="865" t="s">
        <v>591</v>
      </c>
      <c r="D682" s="865" t="s">
        <v>641</v>
      </c>
      <c r="E682" s="866">
        <v>2019.0</v>
      </c>
      <c r="F682" s="865" t="s">
        <v>593</v>
      </c>
      <c r="G682" s="865" t="s">
        <v>70</v>
      </c>
      <c r="H682" s="867">
        <v>1.276383266E7</v>
      </c>
      <c r="I682" s="867">
        <v>1.639189137E7</v>
      </c>
      <c r="J682" s="868">
        <v>8989907.504</v>
      </c>
      <c r="K682" s="50"/>
      <c r="L682" s="870" t="s">
        <v>119</v>
      </c>
      <c r="M682" s="865" t="s">
        <v>591</v>
      </c>
      <c r="N682" s="865" t="s">
        <v>641</v>
      </c>
      <c r="O682" s="866">
        <v>2004.0</v>
      </c>
      <c r="P682" s="865" t="s">
        <v>593</v>
      </c>
      <c r="Q682" s="865" t="s">
        <v>70</v>
      </c>
      <c r="R682" s="867">
        <v>8612622.924</v>
      </c>
      <c r="S682" s="867">
        <v>1.029004261E7</v>
      </c>
      <c r="T682" s="868">
        <v>6959982.903</v>
      </c>
      <c r="AN682" s="882"/>
      <c r="AO682" s="882"/>
      <c r="AP682" s="882"/>
      <c r="AY682" s="882"/>
      <c r="AZ682" s="882"/>
      <c r="BA682" s="882"/>
      <c r="BJ682" s="882"/>
      <c r="BK682" s="882"/>
      <c r="BL682" s="882"/>
      <c r="BU682" s="882"/>
      <c r="BV682" s="882"/>
      <c r="BW682" s="882"/>
      <c r="CF682" s="882"/>
      <c r="CG682" s="882"/>
      <c r="CH682" s="882"/>
      <c r="CI682" s="530"/>
    </row>
    <row r="683">
      <c r="A683" s="857"/>
      <c r="B683" s="871" t="s">
        <v>119</v>
      </c>
      <c r="C683" s="865" t="s">
        <v>591</v>
      </c>
      <c r="D683" s="865" t="s">
        <v>643</v>
      </c>
      <c r="E683" s="866">
        <v>2019.0</v>
      </c>
      <c r="F683" s="865" t="s">
        <v>593</v>
      </c>
      <c r="G683" s="865" t="s">
        <v>70</v>
      </c>
      <c r="H683" s="867">
        <v>2492046.475</v>
      </c>
      <c r="I683" s="867">
        <v>3200398.83</v>
      </c>
      <c r="J683" s="868">
        <v>1755214.747</v>
      </c>
      <c r="K683" s="50"/>
      <c r="L683" s="870" t="s">
        <v>119</v>
      </c>
      <c r="M683" s="865" t="s">
        <v>591</v>
      </c>
      <c r="N683" s="865" t="s">
        <v>643</v>
      </c>
      <c r="O683" s="866">
        <v>2004.0</v>
      </c>
      <c r="P683" s="865" t="s">
        <v>593</v>
      </c>
      <c r="Q683" s="865" t="s">
        <v>70</v>
      </c>
      <c r="R683" s="867">
        <v>1413326.265</v>
      </c>
      <c r="S683" s="867">
        <v>1688589.832</v>
      </c>
      <c r="T683" s="868">
        <v>1142129.027</v>
      </c>
      <c r="AN683" s="882"/>
      <c r="AO683" s="882"/>
      <c r="AP683" s="882"/>
      <c r="AY683" s="882"/>
      <c r="AZ683" s="882"/>
      <c r="BA683" s="882"/>
      <c r="BJ683" s="882"/>
      <c r="BK683" s="882"/>
      <c r="BL683" s="882"/>
      <c r="BU683" s="882"/>
      <c r="BV683" s="882"/>
      <c r="BW683" s="882"/>
      <c r="CF683" s="882"/>
      <c r="CG683" s="882"/>
      <c r="CH683" s="882"/>
      <c r="CI683" s="530"/>
    </row>
    <row r="684">
      <c r="A684" s="857"/>
      <c r="B684" s="871" t="s">
        <v>119</v>
      </c>
      <c r="C684" s="865" t="s">
        <v>591</v>
      </c>
      <c r="D684" s="865" t="s">
        <v>645</v>
      </c>
      <c r="E684" s="866">
        <v>2019.0</v>
      </c>
      <c r="F684" s="865" t="s">
        <v>593</v>
      </c>
      <c r="G684" s="865" t="s">
        <v>70</v>
      </c>
      <c r="H684" s="867">
        <v>6902204.234</v>
      </c>
      <c r="I684" s="867">
        <v>8864122.953</v>
      </c>
      <c r="J684" s="868">
        <v>4861406.39</v>
      </c>
      <c r="K684" s="50"/>
      <c r="L684" s="870" t="s">
        <v>119</v>
      </c>
      <c r="M684" s="865" t="s">
        <v>591</v>
      </c>
      <c r="N684" s="865" t="s">
        <v>645</v>
      </c>
      <c r="O684" s="866">
        <v>2004.0</v>
      </c>
      <c r="P684" s="865" t="s">
        <v>593</v>
      </c>
      <c r="Q684" s="865" t="s">
        <v>70</v>
      </c>
      <c r="R684" s="867">
        <v>3929006.033</v>
      </c>
      <c r="S684" s="867">
        <v>4694230.766</v>
      </c>
      <c r="T684" s="868">
        <v>3175085.576</v>
      </c>
      <c r="AN684" s="882"/>
      <c r="AO684" s="882"/>
      <c r="AP684" s="882"/>
      <c r="AY684" s="882"/>
      <c r="AZ684" s="882"/>
      <c r="BA684" s="882"/>
      <c r="BJ684" s="882"/>
      <c r="BK684" s="882"/>
      <c r="BL684" s="882"/>
      <c r="BU684" s="882"/>
      <c r="BV684" s="882"/>
      <c r="BW684" s="882"/>
      <c r="CF684" s="882"/>
      <c r="CG684" s="882"/>
      <c r="CH684" s="882"/>
      <c r="CI684" s="530"/>
    </row>
    <row r="685">
      <c r="A685" s="857"/>
      <c r="B685" s="871" t="s">
        <v>119</v>
      </c>
      <c r="C685" s="865" t="s">
        <v>591</v>
      </c>
      <c r="D685" s="865" t="s">
        <v>604</v>
      </c>
      <c r="E685" s="866">
        <v>2019.0</v>
      </c>
      <c r="F685" s="865" t="s">
        <v>593</v>
      </c>
      <c r="G685" s="865" t="s">
        <v>70</v>
      </c>
      <c r="H685" s="867">
        <v>2.406568016E7</v>
      </c>
      <c r="I685" s="867">
        <v>3.090623526E7</v>
      </c>
      <c r="J685" s="868">
        <v>1.69500999E7</v>
      </c>
      <c r="K685" s="50"/>
      <c r="L685" s="870" t="s">
        <v>119</v>
      </c>
      <c r="M685" s="865" t="s">
        <v>591</v>
      </c>
      <c r="N685" s="865" t="s">
        <v>604</v>
      </c>
      <c r="O685" s="866">
        <v>2004.0</v>
      </c>
      <c r="P685" s="865" t="s">
        <v>593</v>
      </c>
      <c r="Q685" s="865" t="s">
        <v>70</v>
      </c>
      <c r="R685" s="867">
        <v>1.597067078E7</v>
      </c>
      <c r="S685" s="867">
        <v>1.908116544E7</v>
      </c>
      <c r="T685" s="868">
        <v>1.290612588E7</v>
      </c>
      <c r="AN685" s="882"/>
      <c r="AO685" s="882"/>
      <c r="AP685" s="882"/>
      <c r="AY685" s="882"/>
      <c r="AZ685" s="882"/>
      <c r="BA685" s="882"/>
      <c r="BJ685" s="882"/>
      <c r="BK685" s="882"/>
      <c r="BL685" s="882"/>
      <c r="BU685" s="882"/>
      <c r="BV685" s="882"/>
      <c r="BW685" s="882"/>
      <c r="CF685" s="882"/>
      <c r="CG685" s="882"/>
      <c r="CH685" s="882"/>
      <c r="CI685" s="530"/>
    </row>
    <row r="686">
      <c r="A686" s="857"/>
      <c r="B686" s="871" t="s">
        <v>119</v>
      </c>
      <c r="C686" s="865" t="s">
        <v>591</v>
      </c>
      <c r="D686" s="865" t="s">
        <v>647</v>
      </c>
      <c r="E686" s="866">
        <v>2019.0</v>
      </c>
      <c r="F686" s="865" t="s">
        <v>593</v>
      </c>
      <c r="G686" s="865" t="s">
        <v>70</v>
      </c>
      <c r="H686" s="867">
        <v>5754843.413</v>
      </c>
      <c r="I686" s="867">
        <v>7389767.022</v>
      </c>
      <c r="J686" s="868">
        <v>4052616.345</v>
      </c>
      <c r="K686" s="50"/>
      <c r="L686" s="870" t="s">
        <v>119</v>
      </c>
      <c r="M686" s="865" t="s">
        <v>591</v>
      </c>
      <c r="N686" s="865" t="s">
        <v>647</v>
      </c>
      <c r="O686" s="866">
        <v>2004.0</v>
      </c>
      <c r="P686" s="865" t="s">
        <v>593</v>
      </c>
      <c r="Q686" s="865" t="s">
        <v>70</v>
      </c>
      <c r="R686" s="867">
        <v>3495384.504</v>
      </c>
      <c r="S686" s="867">
        <v>4175827.805</v>
      </c>
      <c r="T686" s="868">
        <v>2823802.416</v>
      </c>
      <c r="AN686" s="882"/>
      <c r="AO686" s="882"/>
      <c r="AP686" s="882"/>
      <c r="AY686" s="882"/>
      <c r="AZ686" s="882"/>
      <c r="BA686" s="882"/>
      <c r="BJ686" s="882"/>
      <c r="BK686" s="882"/>
      <c r="BL686" s="882"/>
      <c r="BU686" s="882"/>
      <c r="BV686" s="882"/>
      <c r="BW686" s="882"/>
      <c r="CF686" s="882"/>
      <c r="CG686" s="882"/>
      <c r="CH686" s="882"/>
      <c r="CI686" s="530"/>
    </row>
    <row r="687">
      <c r="A687" s="857"/>
      <c r="B687" s="871" t="s">
        <v>119</v>
      </c>
      <c r="C687" s="865" t="s">
        <v>591</v>
      </c>
      <c r="D687" s="865" t="s">
        <v>649</v>
      </c>
      <c r="E687" s="866">
        <v>2019.0</v>
      </c>
      <c r="F687" s="865" t="s">
        <v>593</v>
      </c>
      <c r="G687" s="865" t="s">
        <v>70</v>
      </c>
      <c r="H687" s="867">
        <v>1982314.017</v>
      </c>
      <c r="I687" s="867">
        <v>2545777.346</v>
      </c>
      <c r="J687" s="868">
        <v>1396196.592</v>
      </c>
      <c r="K687" s="50"/>
      <c r="L687" s="870" t="s">
        <v>119</v>
      </c>
      <c r="M687" s="865" t="s">
        <v>591</v>
      </c>
      <c r="N687" s="865" t="s">
        <v>649</v>
      </c>
      <c r="O687" s="866">
        <v>2004.0</v>
      </c>
      <c r="P687" s="865" t="s">
        <v>593</v>
      </c>
      <c r="Q687" s="865" t="s">
        <v>70</v>
      </c>
      <c r="R687" s="867">
        <v>1044127.323</v>
      </c>
      <c r="S687" s="867">
        <v>1247484.622</v>
      </c>
      <c r="T687" s="868">
        <v>843774.119</v>
      </c>
      <c r="AN687" s="882"/>
      <c r="AO687" s="882"/>
      <c r="AP687" s="882"/>
      <c r="AY687" s="882"/>
      <c r="AZ687" s="882"/>
      <c r="BA687" s="882"/>
      <c r="BJ687" s="882"/>
      <c r="BK687" s="882"/>
      <c r="BL687" s="882"/>
      <c r="BU687" s="882"/>
      <c r="BV687" s="882"/>
      <c r="BW687" s="882"/>
      <c r="CF687" s="882"/>
      <c r="CG687" s="882"/>
      <c r="CH687" s="882"/>
      <c r="CI687" s="530"/>
    </row>
    <row r="688">
      <c r="A688" s="857"/>
      <c r="B688" s="871" t="s">
        <v>119</v>
      </c>
      <c r="C688" s="865" t="s">
        <v>591</v>
      </c>
      <c r="D688" s="865" t="s">
        <v>651</v>
      </c>
      <c r="E688" s="866">
        <v>2019.0</v>
      </c>
      <c r="F688" s="865" t="s">
        <v>593</v>
      </c>
      <c r="G688" s="865" t="s">
        <v>70</v>
      </c>
      <c r="H688" s="867">
        <v>1451638.466</v>
      </c>
      <c r="I688" s="867">
        <v>1864259.794</v>
      </c>
      <c r="J688" s="868">
        <v>1022427.659</v>
      </c>
      <c r="K688" s="50"/>
      <c r="L688" s="870" t="s">
        <v>119</v>
      </c>
      <c r="M688" s="865" t="s">
        <v>591</v>
      </c>
      <c r="N688" s="865" t="s">
        <v>651</v>
      </c>
      <c r="O688" s="866">
        <v>2004.0</v>
      </c>
      <c r="P688" s="865" t="s">
        <v>593</v>
      </c>
      <c r="Q688" s="865" t="s">
        <v>70</v>
      </c>
      <c r="R688" s="867">
        <v>813415.8386</v>
      </c>
      <c r="S688" s="867">
        <v>971839.0919</v>
      </c>
      <c r="T688" s="868">
        <v>657332.8915</v>
      </c>
      <c r="AN688" s="882"/>
      <c r="AO688" s="882"/>
      <c r="AP688" s="882"/>
      <c r="AY688" s="882"/>
      <c r="AZ688" s="882"/>
      <c r="BA688" s="882"/>
      <c r="BJ688" s="882"/>
      <c r="BK688" s="882"/>
      <c r="BL688" s="882"/>
      <c r="BU688" s="882"/>
      <c r="BV688" s="882"/>
      <c r="BW688" s="882"/>
      <c r="CF688" s="882"/>
      <c r="CG688" s="882"/>
      <c r="CH688" s="882"/>
      <c r="CI688" s="530"/>
    </row>
    <row r="689">
      <c r="A689" s="857"/>
      <c r="B689" s="871" t="s">
        <v>119</v>
      </c>
      <c r="C689" s="865" t="s">
        <v>591</v>
      </c>
      <c r="D689" s="865" t="s">
        <v>653</v>
      </c>
      <c r="E689" s="866">
        <v>2019.0</v>
      </c>
      <c r="F689" s="865" t="s">
        <v>593</v>
      </c>
      <c r="G689" s="865" t="s">
        <v>70</v>
      </c>
      <c r="H689" s="867">
        <v>976205.2764</v>
      </c>
      <c r="I689" s="867">
        <v>1253686.982</v>
      </c>
      <c r="J689" s="868">
        <v>687567.3926</v>
      </c>
      <c r="K689" s="50"/>
      <c r="L689" s="870" t="s">
        <v>119</v>
      </c>
      <c r="M689" s="865" t="s">
        <v>591</v>
      </c>
      <c r="N689" s="865" t="s">
        <v>653</v>
      </c>
      <c r="O689" s="866">
        <v>2004.0</v>
      </c>
      <c r="P689" s="865" t="s">
        <v>593</v>
      </c>
      <c r="Q689" s="865" t="s">
        <v>70</v>
      </c>
      <c r="R689" s="867">
        <v>658136.6055</v>
      </c>
      <c r="S689" s="867">
        <v>786317.2202</v>
      </c>
      <c r="T689" s="868">
        <v>531849.5379</v>
      </c>
      <c r="AN689" s="882"/>
      <c r="AO689" s="882"/>
      <c r="AP689" s="882"/>
      <c r="AY689" s="882"/>
      <c r="AZ689" s="882"/>
      <c r="BA689" s="882"/>
      <c r="BJ689" s="882"/>
      <c r="BK689" s="882"/>
      <c r="BL689" s="882"/>
      <c r="BU689" s="882"/>
      <c r="BV689" s="882"/>
      <c r="BW689" s="882"/>
      <c r="CF689" s="882"/>
      <c r="CG689" s="882"/>
      <c r="CH689" s="882"/>
      <c r="CI689" s="530"/>
    </row>
    <row r="690">
      <c r="A690" s="857"/>
      <c r="B690" s="871" t="s">
        <v>119</v>
      </c>
      <c r="C690" s="865" t="s">
        <v>591</v>
      </c>
      <c r="D690" s="865" t="s">
        <v>655</v>
      </c>
      <c r="E690" s="866">
        <v>2019.0</v>
      </c>
      <c r="F690" s="865" t="s">
        <v>593</v>
      </c>
      <c r="G690" s="865" t="s">
        <v>70</v>
      </c>
      <c r="H690" s="867">
        <v>1595344.144</v>
      </c>
      <c r="I690" s="867">
        <v>2048573.819</v>
      </c>
      <c r="J690" s="868">
        <v>1123456.764</v>
      </c>
      <c r="K690" s="50"/>
      <c r="L690" s="870" t="s">
        <v>119</v>
      </c>
      <c r="M690" s="865" t="s">
        <v>591</v>
      </c>
      <c r="N690" s="865" t="s">
        <v>655</v>
      </c>
      <c r="O690" s="866">
        <v>2004.0</v>
      </c>
      <c r="P690" s="865" t="s">
        <v>593</v>
      </c>
      <c r="Q690" s="865" t="s">
        <v>70</v>
      </c>
      <c r="R690" s="867">
        <v>1141551.42</v>
      </c>
      <c r="S690" s="867">
        <v>1363776.19</v>
      </c>
      <c r="T690" s="868">
        <v>922220.6183</v>
      </c>
      <c r="AN690" s="882"/>
      <c r="AO690" s="882"/>
      <c r="AP690" s="882"/>
      <c r="AY690" s="882"/>
      <c r="AZ690" s="882"/>
      <c r="BA690" s="882"/>
      <c r="BJ690" s="882"/>
      <c r="BK690" s="882"/>
      <c r="BL690" s="882"/>
      <c r="BU690" s="882"/>
      <c r="BV690" s="882"/>
      <c r="BW690" s="882"/>
      <c r="CF690" s="882"/>
      <c r="CG690" s="882"/>
      <c r="CH690" s="882"/>
      <c r="CI690" s="530"/>
    </row>
    <row r="691">
      <c r="A691" s="857"/>
      <c r="B691" s="871" t="s">
        <v>119</v>
      </c>
      <c r="C691" s="865" t="s">
        <v>591</v>
      </c>
      <c r="D691" s="865" t="s">
        <v>657</v>
      </c>
      <c r="E691" s="866">
        <v>2019.0</v>
      </c>
      <c r="F691" s="865" t="s">
        <v>593</v>
      </c>
      <c r="G691" s="865" t="s">
        <v>70</v>
      </c>
      <c r="H691" s="867">
        <v>618900.4778</v>
      </c>
      <c r="I691" s="867">
        <v>794819.9944</v>
      </c>
      <c r="J691" s="868">
        <v>435908.1006</v>
      </c>
      <c r="K691" s="50"/>
      <c r="L691" s="870" t="s">
        <v>119</v>
      </c>
      <c r="M691" s="865" t="s">
        <v>591</v>
      </c>
      <c r="N691" s="865" t="s">
        <v>657</v>
      </c>
      <c r="O691" s="866">
        <v>2004.0</v>
      </c>
      <c r="P691" s="865" t="s">
        <v>593</v>
      </c>
      <c r="Q691" s="865" t="s">
        <v>70</v>
      </c>
      <c r="R691" s="867">
        <v>483300.7478</v>
      </c>
      <c r="S691" s="867">
        <v>577429.8183</v>
      </c>
      <c r="T691" s="868">
        <v>390562.1982</v>
      </c>
      <c r="AN691" s="882"/>
      <c r="AO691" s="882"/>
      <c r="AP691" s="882"/>
      <c r="AY691" s="882"/>
      <c r="AZ691" s="882"/>
      <c r="BA691" s="882"/>
      <c r="BJ691" s="882"/>
      <c r="BK691" s="882"/>
      <c r="BL691" s="882"/>
      <c r="BU691" s="882"/>
      <c r="BV691" s="882"/>
      <c r="BW691" s="882"/>
      <c r="CF691" s="882"/>
      <c r="CG691" s="882"/>
      <c r="CH691" s="882"/>
      <c r="CI691" s="530"/>
    </row>
    <row r="692">
      <c r="A692" s="857"/>
      <c r="B692" s="871" t="s">
        <v>119</v>
      </c>
      <c r="C692" s="865" t="s">
        <v>591</v>
      </c>
      <c r="D692" s="865" t="s">
        <v>659</v>
      </c>
      <c r="E692" s="866">
        <v>2019.0</v>
      </c>
      <c r="F692" s="865" t="s">
        <v>593</v>
      </c>
      <c r="G692" s="865" t="s">
        <v>70</v>
      </c>
      <c r="H692" s="867">
        <v>1343825.715</v>
      </c>
      <c r="I692" s="867">
        <v>1725801.782</v>
      </c>
      <c r="J692" s="868">
        <v>946492.2648</v>
      </c>
      <c r="K692" s="50"/>
      <c r="L692" s="870" t="s">
        <v>119</v>
      </c>
      <c r="M692" s="865" t="s">
        <v>591</v>
      </c>
      <c r="N692" s="865" t="s">
        <v>659</v>
      </c>
      <c r="O692" s="866">
        <v>2004.0</v>
      </c>
      <c r="P692" s="865" t="s">
        <v>593</v>
      </c>
      <c r="Q692" s="865" t="s">
        <v>70</v>
      </c>
      <c r="R692" s="867">
        <v>979355.4678</v>
      </c>
      <c r="S692" s="867">
        <v>1170097.61</v>
      </c>
      <c r="T692" s="868">
        <v>791431.0625</v>
      </c>
      <c r="AN692" s="882"/>
      <c r="AO692" s="882"/>
      <c r="AP692" s="882"/>
      <c r="AY692" s="882"/>
      <c r="AZ692" s="882"/>
      <c r="BA692" s="882"/>
      <c r="BJ692" s="882"/>
      <c r="BK692" s="882"/>
      <c r="BL692" s="882"/>
      <c r="BU692" s="882"/>
      <c r="BV692" s="882"/>
      <c r="BW692" s="882"/>
      <c r="CF692" s="882"/>
      <c r="CG692" s="882"/>
      <c r="CH692" s="882"/>
      <c r="CI692" s="530"/>
    </row>
    <row r="693">
      <c r="A693" s="857"/>
      <c r="B693" s="871" t="s">
        <v>119</v>
      </c>
      <c r="C693" s="865" t="s">
        <v>591</v>
      </c>
      <c r="D693" s="865" t="s">
        <v>661</v>
      </c>
      <c r="E693" s="866">
        <v>2019.0</v>
      </c>
      <c r="F693" s="865" t="s">
        <v>593</v>
      </c>
      <c r="G693" s="865" t="s">
        <v>70</v>
      </c>
      <c r="H693" s="867">
        <v>725033.5779</v>
      </c>
      <c r="I693" s="867">
        <v>931012.1649</v>
      </c>
      <c r="J693" s="868">
        <v>510575.6522</v>
      </c>
      <c r="K693" s="50"/>
      <c r="L693" s="870" t="s">
        <v>119</v>
      </c>
      <c r="M693" s="865" t="s">
        <v>591</v>
      </c>
      <c r="N693" s="865" t="s">
        <v>661</v>
      </c>
      <c r="O693" s="866">
        <v>2004.0</v>
      </c>
      <c r="P693" s="865" t="s">
        <v>593</v>
      </c>
      <c r="Q693" s="865" t="s">
        <v>70</v>
      </c>
      <c r="R693" s="867">
        <v>496104.2922</v>
      </c>
      <c r="S693" s="867">
        <v>592680.4605</v>
      </c>
      <c r="T693" s="868">
        <v>400785.8068</v>
      </c>
      <c r="AN693" s="882"/>
      <c r="AO693" s="882"/>
      <c r="AP693" s="882"/>
      <c r="AY693" s="882"/>
      <c r="AZ693" s="882"/>
      <c r="BA693" s="882"/>
      <c r="BJ693" s="882"/>
      <c r="BK693" s="882"/>
      <c r="BL693" s="882"/>
      <c r="BU693" s="882"/>
      <c r="BV693" s="882"/>
      <c r="BW693" s="882"/>
      <c r="CF693" s="882"/>
      <c r="CG693" s="882"/>
      <c r="CH693" s="882"/>
      <c r="CI693" s="530"/>
    </row>
    <row r="694">
      <c r="A694" s="857"/>
      <c r="B694" s="871" t="s">
        <v>119</v>
      </c>
      <c r="C694" s="865" t="s">
        <v>591</v>
      </c>
      <c r="D694" s="865" t="s">
        <v>663</v>
      </c>
      <c r="E694" s="866">
        <v>2019.0</v>
      </c>
      <c r="F694" s="865" t="s">
        <v>593</v>
      </c>
      <c r="G694" s="865" t="s">
        <v>70</v>
      </c>
      <c r="H694" s="867">
        <v>381469.6281</v>
      </c>
      <c r="I694" s="867">
        <v>489900.5552</v>
      </c>
      <c r="J694" s="868">
        <v>268679.2255</v>
      </c>
      <c r="K694" s="50"/>
      <c r="L694" s="870" t="s">
        <v>119</v>
      </c>
      <c r="M694" s="865" t="s">
        <v>591</v>
      </c>
      <c r="N694" s="865" t="s">
        <v>663</v>
      </c>
      <c r="O694" s="866">
        <v>2004.0</v>
      </c>
      <c r="P694" s="865" t="s">
        <v>593</v>
      </c>
      <c r="Q694" s="865" t="s">
        <v>70</v>
      </c>
      <c r="R694" s="867">
        <v>287446.634</v>
      </c>
      <c r="S694" s="867">
        <v>343430.5832</v>
      </c>
      <c r="T694" s="868">
        <v>232289.7073</v>
      </c>
      <c r="AN694" s="882"/>
      <c r="AO694" s="882"/>
      <c r="AP694" s="882"/>
      <c r="AY694" s="882"/>
      <c r="AZ694" s="882"/>
      <c r="BA694" s="882"/>
      <c r="BJ694" s="882"/>
      <c r="BK694" s="882"/>
      <c r="BL694" s="882"/>
      <c r="BU694" s="882"/>
      <c r="BV694" s="882"/>
      <c r="BW694" s="882"/>
      <c r="CF694" s="882"/>
      <c r="CG694" s="882"/>
      <c r="CH694" s="882"/>
      <c r="CI694" s="530"/>
    </row>
    <row r="695">
      <c r="A695" s="857"/>
      <c r="B695" s="871" t="s">
        <v>119</v>
      </c>
      <c r="C695" s="865" t="s">
        <v>591</v>
      </c>
      <c r="D695" s="865" t="s">
        <v>665</v>
      </c>
      <c r="E695" s="866">
        <v>2019.0</v>
      </c>
      <c r="F695" s="865" t="s">
        <v>593</v>
      </c>
      <c r="G695" s="865" t="s">
        <v>70</v>
      </c>
      <c r="H695" s="867">
        <v>597021.0001</v>
      </c>
      <c r="I695" s="867">
        <v>766631.8233</v>
      </c>
      <c r="J695" s="868">
        <v>420427.9578</v>
      </c>
      <c r="K695" s="50"/>
      <c r="L695" s="870" t="s">
        <v>119</v>
      </c>
      <c r="M695" s="865" t="s">
        <v>591</v>
      </c>
      <c r="N695" s="865" t="s">
        <v>665</v>
      </c>
      <c r="O695" s="866">
        <v>2004.0</v>
      </c>
      <c r="P695" s="865" t="s">
        <v>593</v>
      </c>
      <c r="Q695" s="865" t="s">
        <v>70</v>
      </c>
      <c r="R695" s="867">
        <v>429347.1271</v>
      </c>
      <c r="S695" s="867">
        <v>512927.7392</v>
      </c>
      <c r="T695" s="868">
        <v>346854.9607</v>
      </c>
      <c r="AN695" s="882"/>
      <c r="AO695" s="882"/>
      <c r="AP695" s="882"/>
      <c r="AY695" s="882"/>
      <c r="AZ695" s="882"/>
      <c r="BA695" s="882"/>
      <c r="BJ695" s="882"/>
      <c r="BK695" s="882"/>
      <c r="BL695" s="882"/>
      <c r="BU695" s="882"/>
      <c r="BV695" s="882"/>
      <c r="BW695" s="882"/>
      <c r="CF695" s="882"/>
      <c r="CG695" s="882"/>
      <c r="CH695" s="882"/>
      <c r="CI695" s="530"/>
    </row>
    <row r="696">
      <c r="A696" s="857"/>
      <c r="B696" s="871" t="s">
        <v>119</v>
      </c>
      <c r="C696" s="865" t="s">
        <v>591</v>
      </c>
      <c r="D696" s="865" t="s">
        <v>667</v>
      </c>
      <c r="E696" s="866">
        <v>2019.0</v>
      </c>
      <c r="F696" s="865" t="s">
        <v>593</v>
      </c>
      <c r="G696" s="865" t="s">
        <v>70</v>
      </c>
      <c r="H696" s="867">
        <v>343455.609</v>
      </c>
      <c r="I696" s="867">
        <v>441081.232</v>
      </c>
      <c r="J696" s="868">
        <v>241904.9387</v>
      </c>
      <c r="K696" s="50"/>
      <c r="L696" s="870" t="s">
        <v>119</v>
      </c>
      <c r="M696" s="865" t="s">
        <v>591</v>
      </c>
      <c r="N696" s="865" t="s">
        <v>667</v>
      </c>
      <c r="O696" s="866">
        <v>2004.0</v>
      </c>
      <c r="P696" s="865" t="s">
        <v>593</v>
      </c>
      <c r="Q696" s="865" t="s">
        <v>70</v>
      </c>
      <c r="R696" s="867">
        <v>208608.086</v>
      </c>
      <c r="S696" s="867">
        <v>249237.2083</v>
      </c>
      <c r="T696" s="868">
        <v>168579.157</v>
      </c>
      <c r="AN696" s="882"/>
      <c r="AO696" s="882"/>
      <c r="AP696" s="882"/>
      <c r="AY696" s="882"/>
      <c r="AZ696" s="882"/>
      <c r="BA696" s="882"/>
      <c r="BJ696" s="882"/>
      <c r="BK696" s="882"/>
      <c r="BL696" s="882"/>
      <c r="BU696" s="882"/>
      <c r="BV696" s="882"/>
      <c r="BW696" s="882"/>
      <c r="CF696" s="882"/>
      <c r="CG696" s="882"/>
      <c r="CH696" s="882"/>
      <c r="CI696" s="530"/>
    </row>
    <row r="697">
      <c r="A697" s="857"/>
      <c r="B697" s="871" t="s">
        <v>119</v>
      </c>
      <c r="C697" s="865" t="s">
        <v>591</v>
      </c>
      <c r="D697" s="865" t="s">
        <v>669</v>
      </c>
      <c r="E697" s="866">
        <v>2019.0</v>
      </c>
      <c r="F697" s="865" t="s">
        <v>593</v>
      </c>
      <c r="G697" s="865" t="s">
        <v>70</v>
      </c>
      <c r="H697" s="867">
        <v>215462.16</v>
      </c>
      <c r="I697" s="867">
        <v>276706.2539</v>
      </c>
      <c r="J697" s="868">
        <v>151755.7415</v>
      </c>
      <c r="K697" s="50"/>
      <c r="L697" s="870" t="s">
        <v>119</v>
      </c>
      <c r="M697" s="865" t="s">
        <v>591</v>
      </c>
      <c r="N697" s="865" t="s">
        <v>669</v>
      </c>
      <c r="O697" s="866">
        <v>2004.0</v>
      </c>
      <c r="P697" s="865" t="s">
        <v>593</v>
      </c>
      <c r="Q697" s="865" t="s">
        <v>70</v>
      </c>
      <c r="R697" s="867">
        <v>141857.5915</v>
      </c>
      <c r="S697" s="867">
        <v>169486.1919</v>
      </c>
      <c r="T697" s="868">
        <v>114637.1344</v>
      </c>
      <c r="AN697" s="882"/>
      <c r="AO697" s="882"/>
      <c r="AP697" s="882"/>
      <c r="AY697" s="882"/>
      <c r="AZ697" s="882"/>
      <c r="BA697" s="882"/>
      <c r="BJ697" s="882"/>
      <c r="BK697" s="882"/>
      <c r="BL697" s="882"/>
      <c r="BU697" s="882"/>
      <c r="BV697" s="882"/>
      <c r="BW697" s="882"/>
      <c r="CF697" s="882"/>
      <c r="CG697" s="882"/>
      <c r="CH697" s="882"/>
      <c r="CI697" s="530"/>
    </row>
    <row r="698">
      <c r="A698" s="857"/>
      <c r="B698" s="871" t="s">
        <v>119</v>
      </c>
      <c r="C698" s="865" t="s">
        <v>591</v>
      </c>
      <c r="D698" s="865" t="s">
        <v>671</v>
      </c>
      <c r="E698" s="866">
        <v>2019.0</v>
      </c>
      <c r="F698" s="865" t="s">
        <v>593</v>
      </c>
      <c r="G698" s="865" t="s">
        <v>70</v>
      </c>
      <c r="H698" s="867">
        <v>128012.5778</v>
      </c>
      <c r="I698" s="867">
        <v>164380.3416</v>
      </c>
      <c r="J698" s="868">
        <v>90147.69441</v>
      </c>
      <c r="K698" s="50"/>
      <c r="L698" s="870" t="s">
        <v>119</v>
      </c>
      <c r="M698" s="865" t="s">
        <v>591</v>
      </c>
      <c r="N698" s="865" t="s">
        <v>671</v>
      </c>
      <c r="O698" s="866">
        <v>2004.0</v>
      </c>
      <c r="P698" s="865" t="s">
        <v>593</v>
      </c>
      <c r="Q698" s="865" t="s">
        <v>70</v>
      </c>
      <c r="R698" s="867">
        <v>66757.16503</v>
      </c>
      <c r="S698" s="867">
        <v>79752.72122</v>
      </c>
      <c r="T698" s="868">
        <v>53930.84613</v>
      </c>
      <c r="AN698" s="882"/>
      <c r="AO698" s="882"/>
      <c r="AP698" s="882"/>
      <c r="AY698" s="882"/>
      <c r="AZ698" s="882"/>
      <c r="BA698" s="882"/>
      <c r="BJ698" s="882"/>
      <c r="BK698" s="882"/>
      <c r="BL698" s="882"/>
      <c r="BU698" s="882"/>
      <c r="BV698" s="882"/>
      <c r="BW698" s="882"/>
      <c r="CF698" s="882"/>
      <c r="CG698" s="882"/>
      <c r="CH698" s="882"/>
      <c r="CI698" s="530"/>
    </row>
    <row r="699">
      <c r="A699" s="857"/>
      <c r="B699" s="871" t="s">
        <v>119</v>
      </c>
      <c r="C699" s="865" t="s">
        <v>591</v>
      </c>
      <c r="D699" s="865" t="s">
        <v>673</v>
      </c>
      <c r="E699" s="866">
        <v>2019.0</v>
      </c>
      <c r="F699" s="865" t="s">
        <v>593</v>
      </c>
      <c r="G699" s="865" t="s">
        <v>70</v>
      </c>
      <c r="H699" s="867">
        <v>93644.82263</v>
      </c>
      <c r="I699" s="867">
        <v>120262.918</v>
      </c>
      <c r="J699" s="868">
        <v>65956.54427</v>
      </c>
      <c r="K699" s="50"/>
      <c r="L699" s="870" t="s">
        <v>119</v>
      </c>
      <c r="M699" s="865" t="s">
        <v>591</v>
      </c>
      <c r="N699" s="865" t="s">
        <v>673</v>
      </c>
      <c r="O699" s="866">
        <v>2004.0</v>
      </c>
      <c r="P699" s="865" t="s">
        <v>593</v>
      </c>
      <c r="Q699" s="865" t="s">
        <v>70</v>
      </c>
      <c r="R699" s="867">
        <v>52874.06133</v>
      </c>
      <c r="S699" s="867">
        <v>63171.96852</v>
      </c>
      <c r="T699" s="868">
        <v>42728.27989</v>
      </c>
      <c r="AN699" s="882"/>
      <c r="AO699" s="882"/>
      <c r="AP699" s="882"/>
      <c r="AY699" s="882"/>
      <c r="AZ699" s="882"/>
      <c r="BA699" s="882"/>
      <c r="BJ699" s="882"/>
      <c r="BK699" s="882"/>
      <c r="BL699" s="882"/>
      <c r="BU699" s="882"/>
      <c r="BV699" s="882"/>
      <c r="BW699" s="882"/>
      <c r="CF699" s="882"/>
      <c r="CG699" s="882"/>
      <c r="CH699" s="882"/>
      <c r="CI699" s="530"/>
    </row>
    <row r="700">
      <c r="A700" s="857"/>
      <c r="B700" s="871" t="s">
        <v>119</v>
      </c>
      <c r="C700" s="865" t="s">
        <v>591</v>
      </c>
      <c r="D700" s="865" t="s">
        <v>674</v>
      </c>
      <c r="E700" s="866">
        <v>2019.0</v>
      </c>
      <c r="F700" s="865" t="s">
        <v>593</v>
      </c>
      <c r="G700" s="865" t="s">
        <v>70</v>
      </c>
      <c r="H700" s="867">
        <v>28237.9192</v>
      </c>
      <c r="I700" s="867">
        <v>36264.4134</v>
      </c>
      <c r="J700" s="868">
        <v>19888.71905</v>
      </c>
      <c r="K700" s="50"/>
      <c r="L700" s="870" t="s">
        <v>119</v>
      </c>
      <c r="M700" s="865" t="s">
        <v>591</v>
      </c>
      <c r="N700" s="865" t="s">
        <v>674</v>
      </c>
      <c r="O700" s="866">
        <v>2004.0</v>
      </c>
      <c r="P700" s="865" t="s">
        <v>593</v>
      </c>
      <c r="Q700" s="865" t="s">
        <v>70</v>
      </c>
      <c r="R700" s="867">
        <v>12244.4842</v>
      </c>
      <c r="S700" s="867">
        <v>14629.25584</v>
      </c>
      <c r="T700" s="868">
        <v>9894.941583</v>
      </c>
      <c r="AN700" s="882"/>
      <c r="AO700" s="882"/>
      <c r="AP700" s="882"/>
      <c r="AY700" s="882"/>
      <c r="AZ700" s="882"/>
      <c r="BA700" s="882"/>
      <c r="BJ700" s="882"/>
      <c r="BK700" s="882"/>
      <c r="BL700" s="882"/>
      <c r="BU700" s="882"/>
      <c r="BV700" s="882"/>
      <c r="BW700" s="882"/>
      <c r="CF700" s="882"/>
      <c r="CG700" s="882"/>
      <c r="CH700" s="882"/>
      <c r="CI700" s="530"/>
    </row>
    <row r="701">
      <c r="A701" s="857"/>
      <c r="B701" s="871" t="s">
        <v>119</v>
      </c>
      <c r="C701" s="865" t="s">
        <v>591</v>
      </c>
      <c r="D701" s="865" t="s">
        <v>676</v>
      </c>
      <c r="E701" s="866">
        <v>2019.0</v>
      </c>
      <c r="F701" s="865" t="s">
        <v>593</v>
      </c>
      <c r="G701" s="865" t="s">
        <v>70</v>
      </c>
      <c r="H701" s="867">
        <v>6110.707248</v>
      </c>
      <c r="I701" s="867">
        <v>7847.646714</v>
      </c>
      <c r="J701" s="868">
        <v>4303.933969</v>
      </c>
      <c r="K701" s="50"/>
      <c r="L701" s="870" t="s">
        <v>119</v>
      </c>
      <c r="M701" s="865" t="s">
        <v>591</v>
      </c>
      <c r="N701" s="865" t="s">
        <v>676</v>
      </c>
      <c r="O701" s="866">
        <v>2004.0</v>
      </c>
      <c r="P701" s="865" t="s">
        <v>593</v>
      </c>
      <c r="Q701" s="865" t="s">
        <v>70</v>
      </c>
      <c r="R701" s="867">
        <v>1631.948932</v>
      </c>
      <c r="S701" s="867">
        <v>1949.79209</v>
      </c>
      <c r="T701" s="868">
        <v>1318.801109</v>
      </c>
      <c r="AN701" s="882"/>
      <c r="AO701" s="882"/>
      <c r="AP701" s="882"/>
      <c r="AY701" s="882"/>
      <c r="AZ701" s="882"/>
      <c r="BA701" s="882"/>
      <c r="BJ701" s="882"/>
      <c r="BK701" s="882"/>
      <c r="BL701" s="882"/>
      <c r="BU701" s="882"/>
      <c r="BV701" s="882"/>
      <c r="BW701" s="882"/>
      <c r="CF701" s="882"/>
      <c r="CG701" s="882"/>
      <c r="CH701" s="882"/>
      <c r="CI701" s="530"/>
    </row>
    <row r="702">
      <c r="A702" s="857"/>
      <c r="B702" s="871" t="s">
        <v>119</v>
      </c>
      <c r="C702" s="865" t="s">
        <v>591</v>
      </c>
      <c r="D702" s="865" t="s">
        <v>678</v>
      </c>
      <c r="E702" s="866">
        <v>2019.0</v>
      </c>
      <c r="F702" s="865" t="s">
        <v>593</v>
      </c>
      <c r="G702" s="865" t="s">
        <v>70</v>
      </c>
      <c r="H702" s="867">
        <v>8.767044378E7</v>
      </c>
      <c r="I702" s="867">
        <v>1.125903504E8</v>
      </c>
      <c r="J702" s="868">
        <v>6.174863002E7</v>
      </c>
      <c r="K702" s="50"/>
      <c r="L702" s="870" t="s">
        <v>119</v>
      </c>
      <c r="M702" s="865" t="s">
        <v>591</v>
      </c>
      <c r="N702" s="865" t="s">
        <v>678</v>
      </c>
      <c r="O702" s="866">
        <v>2004.0</v>
      </c>
      <c r="P702" s="865" t="s">
        <v>593</v>
      </c>
      <c r="Q702" s="865" t="s">
        <v>70</v>
      </c>
      <c r="R702" s="867">
        <v>5.737990165E7</v>
      </c>
      <c r="S702" s="867">
        <v>6.855537951E7</v>
      </c>
      <c r="T702" s="868">
        <v>4.636951344E7</v>
      </c>
      <c r="AN702" s="882"/>
      <c r="AO702" s="882"/>
      <c r="AP702" s="882"/>
      <c r="AY702" s="882"/>
      <c r="AZ702" s="882"/>
      <c r="BA702" s="882"/>
      <c r="BJ702" s="882"/>
      <c r="BK702" s="882"/>
      <c r="BL702" s="882"/>
      <c r="BU702" s="882"/>
      <c r="BV702" s="882"/>
      <c r="BW702" s="882"/>
      <c r="CF702" s="882"/>
      <c r="CG702" s="882"/>
      <c r="CH702" s="882"/>
      <c r="CI702" s="530"/>
    </row>
    <row r="703">
      <c r="A703" s="857"/>
      <c r="B703" s="871" t="s">
        <v>119</v>
      </c>
      <c r="C703" s="865" t="s">
        <v>591</v>
      </c>
      <c r="D703" s="865" t="s">
        <v>680</v>
      </c>
      <c r="E703" s="866">
        <v>2019.0</v>
      </c>
      <c r="F703" s="865" t="s">
        <v>593</v>
      </c>
      <c r="G703" s="865" t="s">
        <v>70</v>
      </c>
      <c r="H703" s="867">
        <v>2935812.621</v>
      </c>
      <c r="I703" s="867">
        <v>3206061.698</v>
      </c>
      <c r="J703" s="868">
        <v>2666339.294</v>
      </c>
      <c r="K703" s="50"/>
      <c r="L703" s="870" t="s">
        <v>119</v>
      </c>
      <c r="M703" s="865" t="s">
        <v>591</v>
      </c>
      <c r="N703" s="865" t="s">
        <v>680</v>
      </c>
      <c r="O703" s="866">
        <v>2004.0</v>
      </c>
      <c r="P703" s="865" t="s">
        <v>593</v>
      </c>
      <c r="Q703" s="865" t="s">
        <v>70</v>
      </c>
      <c r="R703" s="867">
        <v>2567945.398</v>
      </c>
      <c r="S703" s="867">
        <v>2653010.482</v>
      </c>
      <c r="T703" s="868">
        <v>2481841.201</v>
      </c>
      <c r="AN703" s="882"/>
      <c r="AO703" s="882"/>
      <c r="AP703" s="882"/>
      <c r="AY703" s="882"/>
      <c r="AZ703" s="882"/>
      <c r="BA703" s="882"/>
      <c r="BJ703" s="882"/>
      <c r="BK703" s="882"/>
      <c r="BL703" s="882"/>
      <c r="BU703" s="882"/>
      <c r="BV703" s="882"/>
      <c r="BW703" s="882"/>
      <c r="CF703" s="882"/>
      <c r="CG703" s="882"/>
      <c r="CH703" s="882"/>
      <c r="CI703" s="530"/>
    </row>
    <row r="704">
      <c r="A704" s="857"/>
      <c r="B704" s="871" t="s">
        <v>119</v>
      </c>
      <c r="C704" s="865" t="s">
        <v>591</v>
      </c>
      <c r="D704" s="865" t="s">
        <v>682</v>
      </c>
      <c r="E704" s="866">
        <v>2019.0</v>
      </c>
      <c r="F704" s="865" t="s">
        <v>593</v>
      </c>
      <c r="G704" s="865" t="s">
        <v>70</v>
      </c>
      <c r="H704" s="867">
        <v>55499.07786</v>
      </c>
      <c r="I704" s="867">
        <v>71274.42673</v>
      </c>
      <c r="J704" s="868">
        <v>39089.47963</v>
      </c>
      <c r="K704" s="50"/>
      <c r="L704" s="870" t="s">
        <v>119</v>
      </c>
      <c r="M704" s="865" t="s">
        <v>591</v>
      </c>
      <c r="N704" s="865" t="s">
        <v>682</v>
      </c>
      <c r="O704" s="866">
        <v>2004.0</v>
      </c>
      <c r="P704" s="865" t="s">
        <v>593</v>
      </c>
      <c r="Q704" s="865" t="s">
        <v>70</v>
      </c>
      <c r="R704" s="867">
        <v>48499.22508</v>
      </c>
      <c r="S704" s="867">
        <v>57945.07634</v>
      </c>
      <c r="T704" s="868">
        <v>39192.91258</v>
      </c>
      <c r="AN704" s="882"/>
      <c r="AO704" s="882"/>
      <c r="AP704" s="882"/>
      <c r="AY704" s="882"/>
      <c r="AZ704" s="882"/>
      <c r="BA704" s="882"/>
      <c r="BJ704" s="882"/>
      <c r="BK704" s="882"/>
      <c r="BL704" s="882"/>
      <c r="BU704" s="882"/>
      <c r="BV704" s="882"/>
      <c r="BW704" s="882"/>
      <c r="CF704" s="882"/>
      <c r="CG704" s="882"/>
      <c r="CH704" s="882"/>
      <c r="CI704" s="530"/>
    </row>
    <row r="705">
      <c r="A705" s="857"/>
      <c r="B705" s="871" t="s">
        <v>119</v>
      </c>
      <c r="C705" s="865" t="s">
        <v>591</v>
      </c>
      <c r="D705" s="865" t="s">
        <v>684</v>
      </c>
      <c r="E705" s="866">
        <v>2019.0</v>
      </c>
      <c r="F705" s="865" t="s">
        <v>593</v>
      </c>
      <c r="G705" s="865" t="s">
        <v>70</v>
      </c>
      <c r="H705" s="867">
        <v>164541.8459</v>
      </c>
      <c r="I705" s="867">
        <v>211312.0829</v>
      </c>
      <c r="J705" s="868">
        <v>115891.2072</v>
      </c>
      <c r="K705" s="50"/>
      <c r="L705" s="870" t="s">
        <v>119</v>
      </c>
      <c r="M705" s="865" t="s">
        <v>591</v>
      </c>
      <c r="N705" s="865" t="s">
        <v>684</v>
      </c>
      <c r="O705" s="866">
        <v>2004.0</v>
      </c>
      <c r="P705" s="865" t="s">
        <v>593</v>
      </c>
      <c r="Q705" s="865" t="s">
        <v>70</v>
      </c>
      <c r="R705" s="867">
        <v>142820.6372</v>
      </c>
      <c r="S705" s="867">
        <v>170636.8032</v>
      </c>
      <c r="T705" s="868">
        <v>115415.3853</v>
      </c>
      <c r="AN705" s="882"/>
      <c r="AO705" s="882"/>
      <c r="AP705" s="882"/>
      <c r="AY705" s="882"/>
      <c r="AZ705" s="882"/>
      <c r="BA705" s="882"/>
      <c r="BJ705" s="882"/>
      <c r="BK705" s="882"/>
      <c r="BL705" s="882"/>
      <c r="BU705" s="882"/>
      <c r="BV705" s="882"/>
      <c r="BW705" s="882"/>
      <c r="CF705" s="882"/>
      <c r="CG705" s="882"/>
      <c r="CH705" s="882"/>
      <c r="CI705" s="530"/>
    </row>
    <row r="706">
      <c r="A706" s="857"/>
      <c r="B706" s="871" t="s">
        <v>119</v>
      </c>
      <c r="C706" s="865" t="s">
        <v>591</v>
      </c>
      <c r="D706" s="865" t="s">
        <v>686</v>
      </c>
      <c r="E706" s="866">
        <v>2019.0</v>
      </c>
      <c r="F706" s="865" t="s">
        <v>593</v>
      </c>
      <c r="G706" s="865" t="s">
        <v>70</v>
      </c>
      <c r="H706" s="867">
        <v>220040.9238</v>
      </c>
      <c r="I706" s="867">
        <v>282586.5096</v>
      </c>
      <c r="J706" s="868">
        <v>154980.6868</v>
      </c>
      <c r="K706" s="50"/>
      <c r="L706" s="870" t="s">
        <v>119</v>
      </c>
      <c r="M706" s="865" t="s">
        <v>591</v>
      </c>
      <c r="N706" s="865" t="s">
        <v>686</v>
      </c>
      <c r="O706" s="866">
        <v>2004.0</v>
      </c>
      <c r="P706" s="865" t="s">
        <v>593</v>
      </c>
      <c r="Q706" s="865" t="s">
        <v>70</v>
      </c>
      <c r="R706" s="867">
        <v>191319.8622</v>
      </c>
      <c r="S706" s="867">
        <v>228581.8795</v>
      </c>
      <c r="T706" s="868">
        <v>154608.2978</v>
      </c>
      <c r="AN706" s="882"/>
      <c r="AO706" s="882"/>
      <c r="AP706" s="882"/>
      <c r="AY706" s="882"/>
      <c r="AZ706" s="882"/>
      <c r="BA706" s="882"/>
      <c r="BJ706" s="882"/>
      <c r="BK706" s="882"/>
      <c r="BL706" s="882"/>
      <c r="BU706" s="882"/>
      <c r="BV706" s="882"/>
      <c r="BW706" s="882"/>
      <c r="CF706" s="882"/>
      <c r="CG706" s="882"/>
      <c r="CH706" s="882"/>
      <c r="CI706" s="530"/>
    </row>
    <row r="707">
      <c r="A707" s="857"/>
      <c r="B707" s="871" t="s">
        <v>119</v>
      </c>
      <c r="C707" s="865" t="s">
        <v>591</v>
      </c>
      <c r="D707" s="865" t="s">
        <v>688</v>
      </c>
      <c r="E707" s="866">
        <v>2019.0</v>
      </c>
      <c r="F707" s="865" t="s">
        <v>593</v>
      </c>
      <c r="G707" s="865" t="s">
        <v>70</v>
      </c>
      <c r="H707" s="867">
        <v>2588275.621</v>
      </c>
      <c r="I707" s="867">
        <v>3323980.654</v>
      </c>
      <c r="J707" s="868">
        <v>1822991.499</v>
      </c>
      <c r="K707" s="50"/>
      <c r="L707" s="870" t="s">
        <v>119</v>
      </c>
      <c r="M707" s="865" t="s">
        <v>591</v>
      </c>
      <c r="N707" s="865" t="s">
        <v>688</v>
      </c>
      <c r="O707" s="866">
        <v>2004.0</v>
      </c>
      <c r="P707" s="865" t="s">
        <v>593</v>
      </c>
      <c r="Q707" s="865" t="s">
        <v>70</v>
      </c>
      <c r="R707" s="867">
        <v>2197852.745</v>
      </c>
      <c r="S707" s="867">
        <v>2625912.989</v>
      </c>
      <c r="T707" s="868">
        <v>1776116.018</v>
      </c>
      <c r="AN707" s="882"/>
      <c r="AO707" s="882"/>
      <c r="AP707" s="882"/>
      <c r="AY707" s="882"/>
      <c r="AZ707" s="882"/>
      <c r="BA707" s="882"/>
      <c r="BJ707" s="882"/>
      <c r="BK707" s="882"/>
      <c r="BL707" s="882"/>
      <c r="BU707" s="882"/>
      <c r="BV707" s="882"/>
      <c r="BW707" s="882"/>
      <c r="CF707" s="882"/>
      <c r="CG707" s="882"/>
      <c r="CH707" s="882"/>
      <c r="CI707" s="530"/>
    </row>
    <row r="708">
      <c r="A708" s="857"/>
      <c r="B708" s="871" t="s">
        <v>119</v>
      </c>
      <c r="C708" s="865" t="s">
        <v>591</v>
      </c>
      <c r="D708" s="865" t="s">
        <v>689</v>
      </c>
      <c r="E708" s="866">
        <v>2019.0</v>
      </c>
      <c r="F708" s="865" t="s">
        <v>593</v>
      </c>
      <c r="G708" s="865" t="s">
        <v>70</v>
      </c>
      <c r="H708" s="867">
        <v>1.362946515E7</v>
      </c>
      <c r="I708" s="867">
        <v>1.750357578E7</v>
      </c>
      <c r="J708" s="868">
        <v>9599595.54</v>
      </c>
      <c r="K708" s="50"/>
      <c r="L708" s="870" t="s">
        <v>119</v>
      </c>
      <c r="M708" s="865" t="s">
        <v>591</v>
      </c>
      <c r="N708" s="865" t="s">
        <v>689</v>
      </c>
      <c r="O708" s="866">
        <v>2004.0</v>
      </c>
      <c r="P708" s="865" t="s">
        <v>593</v>
      </c>
      <c r="Q708" s="865" t="s">
        <v>70</v>
      </c>
      <c r="R708" s="867">
        <v>1.061842744E7</v>
      </c>
      <c r="S708" s="867">
        <v>1.26865035E7</v>
      </c>
      <c r="T708" s="868">
        <v>8580902.023</v>
      </c>
      <c r="AN708" s="882"/>
      <c r="AO708" s="882"/>
      <c r="AP708" s="882"/>
      <c r="AY708" s="882"/>
      <c r="AZ708" s="882"/>
      <c r="BA708" s="882"/>
      <c r="BJ708" s="882"/>
      <c r="BK708" s="882"/>
      <c r="BL708" s="882"/>
      <c r="BU708" s="882"/>
      <c r="BV708" s="882"/>
      <c r="BW708" s="882"/>
      <c r="CF708" s="882"/>
      <c r="CG708" s="882"/>
      <c r="CH708" s="882"/>
      <c r="CI708" s="530"/>
    </row>
    <row r="709">
      <c r="A709" s="857"/>
      <c r="B709" s="865" t="s">
        <v>632</v>
      </c>
      <c r="C709" s="865" t="s">
        <v>591</v>
      </c>
      <c r="D709" s="865" t="s">
        <v>592</v>
      </c>
      <c r="E709" s="866">
        <v>2019.0</v>
      </c>
      <c r="F709" s="865" t="s">
        <v>593</v>
      </c>
      <c r="G709" s="865" t="s">
        <v>70</v>
      </c>
      <c r="H709" s="867">
        <v>33522.71773</v>
      </c>
      <c r="I709" s="867">
        <v>37977.9625</v>
      </c>
      <c r="J709" s="868">
        <v>29277.25833</v>
      </c>
      <c r="K709" s="50"/>
      <c r="L709" s="869" t="s">
        <v>632</v>
      </c>
      <c r="M709" s="865" t="s">
        <v>591</v>
      </c>
      <c r="N709" s="865" t="s">
        <v>592</v>
      </c>
      <c r="O709" s="866">
        <v>2004.0</v>
      </c>
      <c r="P709" s="865" t="s">
        <v>593</v>
      </c>
      <c r="Q709" s="865" t="s">
        <v>70</v>
      </c>
      <c r="R709" s="867">
        <v>28664.95534</v>
      </c>
      <c r="S709" s="867">
        <v>31478.84504</v>
      </c>
      <c r="T709" s="868">
        <v>25734.92225</v>
      </c>
      <c r="AN709" s="882"/>
      <c r="AO709" s="882"/>
      <c r="AP709" s="882"/>
      <c r="AY709" s="882"/>
      <c r="AZ709" s="882"/>
      <c r="BA709" s="882"/>
      <c r="BJ709" s="882"/>
      <c r="BK709" s="882"/>
      <c r="BL709" s="882"/>
      <c r="BU709" s="882"/>
      <c r="BV709" s="882"/>
      <c r="BW709" s="882"/>
      <c r="CF709" s="882"/>
      <c r="CG709" s="882"/>
      <c r="CH709" s="882"/>
      <c r="CI709" s="530"/>
    </row>
    <row r="710">
      <c r="A710" s="857"/>
      <c r="B710" s="865" t="s">
        <v>632</v>
      </c>
      <c r="C710" s="865" t="s">
        <v>591</v>
      </c>
      <c r="D710" s="865" t="s">
        <v>601</v>
      </c>
      <c r="E710" s="866">
        <v>2019.0</v>
      </c>
      <c r="F710" s="865" t="s">
        <v>593</v>
      </c>
      <c r="G710" s="865" t="s">
        <v>70</v>
      </c>
      <c r="H710" s="867">
        <v>524660.9586</v>
      </c>
      <c r="I710" s="867">
        <v>594389.5829</v>
      </c>
      <c r="J710" s="868">
        <v>458215.6656</v>
      </c>
      <c r="K710" s="50"/>
      <c r="L710" s="869" t="s">
        <v>632</v>
      </c>
      <c r="M710" s="865" t="s">
        <v>591</v>
      </c>
      <c r="N710" s="865" t="s">
        <v>601</v>
      </c>
      <c r="O710" s="866">
        <v>2004.0</v>
      </c>
      <c r="P710" s="865" t="s">
        <v>593</v>
      </c>
      <c r="Q710" s="865" t="s">
        <v>70</v>
      </c>
      <c r="R710" s="867">
        <v>371706.4923</v>
      </c>
      <c r="S710" s="867">
        <v>408194.987</v>
      </c>
      <c r="T710" s="868">
        <v>333711.9339</v>
      </c>
      <c r="AN710" s="882"/>
      <c r="AO710" s="882"/>
      <c r="AP710" s="882"/>
      <c r="AY710" s="882"/>
      <c r="AZ710" s="882"/>
      <c r="BA710" s="882"/>
      <c r="BJ710" s="882"/>
      <c r="BK710" s="882"/>
      <c r="BL710" s="882"/>
      <c r="BU710" s="882"/>
      <c r="BV710" s="882"/>
      <c r="BW710" s="882"/>
      <c r="CF710" s="882"/>
      <c r="CG710" s="882"/>
      <c r="CH710" s="882"/>
      <c r="CI710" s="530"/>
    </row>
    <row r="711">
      <c r="A711" s="857"/>
      <c r="B711" s="865" t="s">
        <v>632</v>
      </c>
      <c r="C711" s="865" t="s">
        <v>591</v>
      </c>
      <c r="D711" s="865" t="s">
        <v>606</v>
      </c>
      <c r="E711" s="866">
        <v>2019.0</v>
      </c>
      <c r="F711" s="865" t="s">
        <v>593</v>
      </c>
      <c r="G711" s="865" t="s">
        <v>70</v>
      </c>
      <c r="H711" s="867">
        <v>420592.6512</v>
      </c>
      <c r="I711" s="867">
        <v>476490.3628</v>
      </c>
      <c r="J711" s="868">
        <v>367327.0108</v>
      </c>
      <c r="K711" s="50"/>
      <c r="L711" s="869" t="s">
        <v>632</v>
      </c>
      <c r="M711" s="865" t="s">
        <v>591</v>
      </c>
      <c r="N711" s="865" t="s">
        <v>606</v>
      </c>
      <c r="O711" s="866">
        <v>2004.0</v>
      </c>
      <c r="P711" s="865" t="s">
        <v>593</v>
      </c>
      <c r="Q711" s="865" t="s">
        <v>70</v>
      </c>
      <c r="R711" s="867">
        <v>288755.967</v>
      </c>
      <c r="S711" s="867">
        <v>317101.6396</v>
      </c>
      <c r="T711" s="868">
        <v>259240.3258</v>
      </c>
      <c r="AN711" s="882"/>
      <c r="AO711" s="882"/>
      <c r="AP711" s="882"/>
      <c r="AY711" s="882"/>
      <c r="AZ711" s="882"/>
      <c r="BA711" s="882"/>
      <c r="BJ711" s="882"/>
      <c r="BK711" s="882"/>
      <c r="BL711" s="882"/>
      <c r="BU711" s="882"/>
      <c r="BV711" s="882"/>
      <c r="BW711" s="882"/>
      <c r="CF711" s="882"/>
      <c r="CG711" s="882"/>
      <c r="CH711" s="882"/>
      <c r="CI711" s="530"/>
    </row>
    <row r="712">
      <c r="A712" s="857"/>
      <c r="B712" s="865" t="s">
        <v>632</v>
      </c>
      <c r="C712" s="865" t="s">
        <v>591</v>
      </c>
      <c r="D712" s="865" t="s">
        <v>608</v>
      </c>
      <c r="E712" s="866">
        <v>2019.0</v>
      </c>
      <c r="F712" s="865" t="s">
        <v>593</v>
      </c>
      <c r="G712" s="865" t="s">
        <v>70</v>
      </c>
      <c r="H712" s="867">
        <v>125643.6302</v>
      </c>
      <c r="I712" s="867">
        <v>142341.9519</v>
      </c>
      <c r="J712" s="868">
        <v>109731.587</v>
      </c>
      <c r="K712" s="50"/>
      <c r="L712" s="869" t="s">
        <v>632</v>
      </c>
      <c r="M712" s="865" t="s">
        <v>591</v>
      </c>
      <c r="N712" s="865" t="s">
        <v>608</v>
      </c>
      <c r="O712" s="866">
        <v>2004.0</v>
      </c>
      <c r="P712" s="865" t="s">
        <v>593</v>
      </c>
      <c r="Q712" s="865" t="s">
        <v>70</v>
      </c>
      <c r="R712" s="867">
        <v>91228.31029</v>
      </c>
      <c r="S712" s="867">
        <v>100183.7194</v>
      </c>
      <c r="T712" s="868">
        <v>81903.26637</v>
      </c>
      <c r="AN712" s="882"/>
      <c r="AO712" s="882"/>
      <c r="AP712" s="882"/>
      <c r="AY712" s="882"/>
      <c r="AZ712" s="882"/>
      <c r="BA712" s="882"/>
      <c r="BJ712" s="882"/>
      <c r="BK712" s="882"/>
      <c r="BL712" s="882"/>
      <c r="BU712" s="882"/>
      <c r="BV712" s="882"/>
      <c r="BW712" s="882"/>
      <c r="CF712" s="882"/>
      <c r="CG712" s="882"/>
      <c r="CH712" s="882"/>
      <c r="CI712" s="530"/>
    </row>
    <row r="713">
      <c r="A713" s="857"/>
      <c r="B713" s="865" t="s">
        <v>632</v>
      </c>
      <c r="C713" s="865" t="s">
        <v>591</v>
      </c>
      <c r="D713" s="865" t="s">
        <v>610</v>
      </c>
      <c r="E713" s="866">
        <v>2019.0</v>
      </c>
      <c r="F713" s="865" t="s">
        <v>593</v>
      </c>
      <c r="G713" s="865" t="s">
        <v>70</v>
      </c>
      <c r="H713" s="867">
        <v>122314.0782</v>
      </c>
      <c r="I713" s="867">
        <v>138569.895</v>
      </c>
      <c r="J713" s="868">
        <v>106823.7037</v>
      </c>
      <c r="K713" s="50"/>
      <c r="L713" s="869" t="s">
        <v>632</v>
      </c>
      <c r="M713" s="865" t="s">
        <v>591</v>
      </c>
      <c r="N713" s="865" t="s">
        <v>610</v>
      </c>
      <c r="O713" s="866">
        <v>2004.0</v>
      </c>
      <c r="P713" s="865" t="s">
        <v>593</v>
      </c>
      <c r="Q713" s="865" t="s">
        <v>70</v>
      </c>
      <c r="R713" s="867">
        <v>81319.38341</v>
      </c>
      <c r="S713" s="867">
        <v>89302.08468</v>
      </c>
      <c r="T713" s="868">
        <v>73007.1959</v>
      </c>
      <c r="AN713" s="882"/>
      <c r="AO713" s="882"/>
      <c r="AP713" s="882"/>
      <c r="AY713" s="882"/>
      <c r="AZ713" s="882"/>
      <c r="BA713" s="882"/>
      <c r="BJ713" s="882"/>
      <c r="BK713" s="882"/>
      <c r="BL713" s="882"/>
      <c r="BU713" s="882"/>
      <c r="BV713" s="882"/>
      <c r="BW713" s="882"/>
      <c r="CF713" s="882"/>
      <c r="CG713" s="882"/>
      <c r="CH713" s="882"/>
      <c r="CI713" s="530"/>
    </row>
    <row r="714">
      <c r="A714" s="857"/>
      <c r="B714" s="865" t="s">
        <v>632</v>
      </c>
      <c r="C714" s="865" t="s">
        <v>591</v>
      </c>
      <c r="D714" s="865" t="s">
        <v>612</v>
      </c>
      <c r="E714" s="866">
        <v>2019.0</v>
      </c>
      <c r="F714" s="865" t="s">
        <v>593</v>
      </c>
      <c r="G714" s="865" t="s">
        <v>70</v>
      </c>
      <c r="H714" s="867">
        <v>226382.3857</v>
      </c>
      <c r="I714" s="867">
        <v>256469.1152</v>
      </c>
      <c r="J714" s="868">
        <v>197712.3585</v>
      </c>
      <c r="K714" s="50"/>
      <c r="L714" s="869" t="s">
        <v>632</v>
      </c>
      <c r="M714" s="865" t="s">
        <v>591</v>
      </c>
      <c r="N714" s="865" t="s">
        <v>612</v>
      </c>
      <c r="O714" s="866">
        <v>2004.0</v>
      </c>
      <c r="P714" s="865" t="s">
        <v>593</v>
      </c>
      <c r="Q714" s="865" t="s">
        <v>70</v>
      </c>
      <c r="R714" s="867">
        <v>164269.9088</v>
      </c>
      <c r="S714" s="867">
        <v>180395.432</v>
      </c>
      <c r="T714" s="868">
        <v>147478.804</v>
      </c>
      <c r="AN714" s="882"/>
      <c r="AO714" s="882"/>
      <c r="AP714" s="882"/>
      <c r="AY714" s="882"/>
      <c r="AZ714" s="882"/>
      <c r="BA714" s="882"/>
      <c r="BJ714" s="882"/>
      <c r="BK714" s="882"/>
      <c r="BL714" s="882"/>
      <c r="BU714" s="882"/>
      <c r="BV714" s="882"/>
      <c r="BW714" s="882"/>
      <c r="CF714" s="882"/>
      <c r="CG714" s="882"/>
      <c r="CH714" s="882"/>
      <c r="CI714" s="530"/>
    </row>
    <row r="715">
      <c r="A715" s="857"/>
      <c r="B715" s="865" t="s">
        <v>632</v>
      </c>
      <c r="C715" s="865" t="s">
        <v>591</v>
      </c>
      <c r="D715" s="865" t="s">
        <v>614</v>
      </c>
      <c r="E715" s="866">
        <v>2019.0</v>
      </c>
      <c r="F715" s="865" t="s">
        <v>593</v>
      </c>
      <c r="G715" s="865" t="s">
        <v>70</v>
      </c>
      <c r="H715" s="867">
        <v>327936.3097</v>
      </c>
      <c r="I715" s="867">
        <v>371519.7846</v>
      </c>
      <c r="J715" s="868">
        <v>286405.062</v>
      </c>
      <c r="K715" s="50"/>
      <c r="L715" s="869" t="s">
        <v>632</v>
      </c>
      <c r="M715" s="865" t="s">
        <v>591</v>
      </c>
      <c r="N715" s="865" t="s">
        <v>614</v>
      </c>
      <c r="O715" s="866">
        <v>2004.0</v>
      </c>
      <c r="P715" s="865" t="s">
        <v>593</v>
      </c>
      <c r="Q715" s="865" t="s">
        <v>70</v>
      </c>
      <c r="R715" s="867">
        <v>239528.417</v>
      </c>
      <c r="S715" s="867">
        <v>263041.6769</v>
      </c>
      <c r="T715" s="868">
        <v>215044.6465</v>
      </c>
      <c r="AN715" s="882"/>
      <c r="AO715" s="882"/>
      <c r="AP715" s="882"/>
      <c r="AY715" s="882"/>
      <c r="AZ715" s="882"/>
      <c r="BA715" s="882"/>
      <c r="BJ715" s="882"/>
      <c r="BK715" s="882"/>
      <c r="BL715" s="882"/>
      <c r="BU715" s="882"/>
      <c r="BV715" s="882"/>
      <c r="BW715" s="882"/>
      <c r="CF715" s="882"/>
      <c r="CG715" s="882"/>
      <c r="CH715" s="882"/>
      <c r="CI715" s="530"/>
    </row>
    <row r="716">
      <c r="A716" s="857"/>
      <c r="B716" s="865" t="s">
        <v>632</v>
      </c>
      <c r="C716" s="865" t="s">
        <v>591</v>
      </c>
      <c r="D716" s="865" t="s">
        <v>616</v>
      </c>
      <c r="E716" s="866">
        <v>2019.0</v>
      </c>
      <c r="F716" s="865" t="s">
        <v>593</v>
      </c>
      <c r="G716" s="865" t="s">
        <v>70</v>
      </c>
      <c r="H716" s="867">
        <v>104068.3074</v>
      </c>
      <c r="I716" s="867">
        <v>117899.2201</v>
      </c>
      <c r="J716" s="868">
        <v>90888.6548</v>
      </c>
      <c r="K716" s="50"/>
      <c r="L716" s="869" t="s">
        <v>632</v>
      </c>
      <c r="M716" s="865" t="s">
        <v>591</v>
      </c>
      <c r="N716" s="865" t="s">
        <v>616</v>
      </c>
      <c r="O716" s="866">
        <v>2004.0</v>
      </c>
      <c r="P716" s="865" t="s">
        <v>593</v>
      </c>
      <c r="Q716" s="865" t="s">
        <v>70</v>
      </c>
      <c r="R716" s="867">
        <v>82950.52535</v>
      </c>
      <c r="S716" s="867">
        <v>91093.34734</v>
      </c>
      <c r="T716" s="868">
        <v>74471.60811</v>
      </c>
      <c r="AN716" s="882"/>
      <c r="AO716" s="882"/>
      <c r="AP716" s="882"/>
      <c r="AY716" s="882"/>
      <c r="AZ716" s="882"/>
      <c r="BA716" s="882"/>
      <c r="BJ716" s="882"/>
      <c r="BK716" s="882"/>
      <c r="BL716" s="882"/>
      <c r="BU716" s="882"/>
      <c r="BV716" s="882"/>
      <c r="BW716" s="882"/>
      <c r="CF716" s="882"/>
      <c r="CG716" s="882"/>
      <c r="CH716" s="882"/>
      <c r="CI716" s="530"/>
    </row>
    <row r="717">
      <c r="A717" s="857"/>
      <c r="B717" s="865" t="s">
        <v>632</v>
      </c>
      <c r="C717" s="865" t="s">
        <v>591</v>
      </c>
      <c r="D717" s="865" t="s">
        <v>618</v>
      </c>
      <c r="E717" s="866">
        <v>2019.0</v>
      </c>
      <c r="F717" s="865" t="s">
        <v>593</v>
      </c>
      <c r="G717" s="865" t="s">
        <v>70</v>
      </c>
      <c r="H717" s="867">
        <v>504763.7581</v>
      </c>
      <c r="I717" s="867">
        <v>571849.5512</v>
      </c>
      <c r="J717" s="868">
        <v>440795.7479</v>
      </c>
      <c r="K717" s="50"/>
      <c r="L717" s="869" t="s">
        <v>632</v>
      </c>
      <c r="M717" s="865" t="s">
        <v>591</v>
      </c>
      <c r="N717" s="865" t="s">
        <v>618</v>
      </c>
      <c r="O717" s="866">
        <v>2004.0</v>
      </c>
      <c r="P717" s="865" t="s">
        <v>593</v>
      </c>
      <c r="Q717" s="865" t="s">
        <v>70</v>
      </c>
      <c r="R717" s="867">
        <v>326024.2062</v>
      </c>
      <c r="S717" s="867">
        <v>358032.8021</v>
      </c>
      <c r="T717" s="868">
        <v>292672.5904</v>
      </c>
      <c r="AN717" s="882"/>
      <c r="AO717" s="882"/>
      <c r="AP717" s="882"/>
      <c r="AY717" s="882"/>
      <c r="AZ717" s="882"/>
      <c r="BA717" s="882"/>
      <c r="BJ717" s="882"/>
      <c r="BK717" s="882"/>
      <c r="BL717" s="882"/>
      <c r="BU717" s="882"/>
      <c r="BV717" s="882"/>
      <c r="BW717" s="882"/>
      <c r="CF717" s="882"/>
      <c r="CG717" s="882"/>
      <c r="CH717" s="882"/>
      <c r="CI717" s="530"/>
    </row>
    <row r="718">
      <c r="A718" s="857"/>
      <c r="B718" s="865" t="s">
        <v>632</v>
      </c>
      <c r="C718" s="865" t="s">
        <v>591</v>
      </c>
      <c r="D718" s="865" t="s">
        <v>620</v>
      </c>
      <c r="E718" s="866">
        <v>2019.0</v>
      </c>
      <c r="F718" s="865" t="s">
        <v>593</v>
      </c>
      <c r="G718" s="865" t="s">
        <v>70</v>
      </c>
      <c r="H718" s="867">
        <v>642167.3585</v>
      </c>
      <c r="I718" s="867">
        <v>727512.8483</v>
      </c>
      <c r="J718" s="868">
        <v>560840.5557</v>
      </c>
      <c r="K718" s="50"/>
      <c r="L718" s="869" t="s">
        <v>632</v>
      </c>
      <c r="M718" s="865" t="s">
        <v>591</v>
      </c>
      <c r="N718" s="865" t="s">
        <v>620</v>
      </c>
      <c r="O718" s="866">
        <v>2004.0</v>
      </c>
      <c r="P718" s="865" t="s">
        <v>593</v>
      </c>
      <c r="Q718" s="865" t="s">
        <v>70</v>
      </c>
      <c r="R718" s="867">
        <v>390958.8889</v>
      </c>
      <c r="S718" s="867">
        <v>429337.2913</v>
      </c>
      <c r="T718" s="868">
        <v>350996.4167</v>
      </c>
      <c r="AN718" s="882"/>
      <c r="AO718" s="882"/>
      <c r="AP718" s="882"/>
      <c r="AY718" s="882"/>
      <c r="AZ718" s="882"/>
      <c r="BA718" s="882"/>
      <c r="BJ718" s="882"/>
      <c r="BK718" s="882"/>
      <c r="BL718" s="882"/>
      <c r="BU718" s="882"/>
      <c r="BV718" s="882"/>
      <c r="BW718" s="882"/>
      <c r="CF718" s="882"/>
      <c r="CG718" s="882"/>
      <c r="CH718" s="882"/>
      <c r="CI718" s="530"/>
    </row>
    <row r="719">
      <c r="A719" s="857"/>
      <c r="B719" s="865" t="s">
        <v>632</v>
      </c>
      <c r="C719" s="865" t="s">
        <v>591</v>
      </c>
      <c r="D719" s="865" t="s">
        <v>622</v>
      </c>
      <c r="E719" s="866">
        <v>2019.0</v>
      </c>
      <c r="F719" s="865" t="s">
        <v>593</v>
      </c>
      <c r="G719" s="865" t="s">
        <v>70</v>
      </c>
      <c r="H719" s="867">
        <v>678146.0718</v>
      </c>
      <c r="I719" s="867">
        <v>768275.2982</v>
      </c>
      <c r="J719" s="868">
        <v>592205.5616</v>
      </c>
      <c r="K719" s="50"/>
      <c r="L719" s="869" t="s">
        <v>632</v>
      </c>
      <c r="M719" s="865" t="s">
        <v>591</v>
      </c>
      <c r="N719" s="865" t="s">
        <v>622</v>
      </c>
      <c r="O719" s="866">
        <v>2004.0</v>
      </c>
      <c r="P719" s="865" t="s">
        <v>593</v>
      </c>
      <c r="Q719" s="865" t="s">
        <v>70</v>
      </c>
      <c r="R719" s="867">
        <v>373794.1959</v>
      </c>
      <c r="S719" s="867">
        <v>410492.7819</v>
      </c>
      <c r="T719" s="868">
        <v>335555.8069</v>
      </c>
      <c r="AN719" s="882"/>
      <c r="AO719" s="882"/>
      <c r="AP719" s="882"/>
      <c r="AY719" s="882"/>
      <c r="AZ719" s="882"/>
      <c r="BA719" s="882"/>
      <c r="BJ719" s="882"/>
      <c r="BK719" s="882"/>
      <c r="BL719" s="882"/>
      <c r="BU719" s="882"/>
      <c r="BV719" s="882"/>
      <c r="BW719" s="882"/>
      <c r="CF719" s="882"/>
      <c r="CG719" s="882"/>
      <c r="CH719" s="882"/>
      <c r="CI719" s="530"/>
    </row>
    <row r="720">
      <c r="A720" s="857"/>
      <c r="B720" s="865" t="s">
        <v>632</v>
      </c>
      <c r="C720" s="865" t="s">
        <v>591</v>
      </c>
      <c r="D720" s="865" t="s">
        <v>624</v>
      </c>
      <c r="E720" s="866">
        <v>2019.0</v>
      </c>
      <c r="F720" s="865" t="s">
        <v>593</v>
      </c>
      <c r="G720" s="865" t="s">
        <v>70</v>
      </c>
      <c r="H720" s="867">
        <v>101553.924</v>
      </c>
      <c r="I720" s="867">
        <v>115050.6695</v>
      </c>
      <c r="J720" s="868">
        <v>88692.70357</v>
      </c>
      <c r="K720" s="50"/>
      <c r="L720" s="869" t="s">
        <v>632</v>
      </c>
      <c r="M720" s="865" t="s">
        <v>591</v>
      </c>
      <c r="N720" s="865" t="s">
        <v>624</v>
      </c>
      <c r="O720" s="866">
        <v>2004.0</v>
      </c>
      <c r="P720" s="865" t="s">
        <v>593</v>
      </c>
      <c r="Q720" s="865" t="s">
        <v>70</v>
      </c>
      <c r="R720" s="867">
        <v>75258.50824</v>
      </c>
      <c r="S720" s="867">
        <v>82646.24489</v>
      </c>
      <c r="T720" s="868">
        <v>67565.84252</v>
      </c>
      <c r="AN720" s="882"/>
      <c r="AO720" s="882"/>
      <c r="AP720" s="882"/>
      <c r="AY720" s="882"/>
      <c r="AZ720" s="882"/>
      <c r="BA720" s="882"/>
      <c r="BJ720" s="882"/>
      <c r="BK720" s="882"/>
      <c r="BL720" s="882"/>
      <c r="BU720" s="882"/>
      <c r="BV720" s="882"/>
      <c r="BW720" s="882"/>
      <c r="CF720" s="882"/>
      <c r="CG720" s="882"/>
      <c r="CH720" s="882"/>
      <c r="CI720" s="530"/>
    </row>
    <row r="721">
      <c r="A721" s="857"/>
      <c r="B721" s="865" t="s">
        <v>632</v>
      </c>
      <c r="C721" s="865" t="s">
        <v>591</v>
      </c>
      <c r="D721" s="865" t="s">
        <v>625</v>
      </c>
      <c r="E721" s="866">
        <v>2019.0</v>
      </c>
      <c r="F721" s="865" t="s">
        <v>593</v>
      </c>
      <c r="G721" s="865" t="s">
        <v>70</v>
      </c>
      <c r="H721" s="867">
        <v>576581.8498</v>
      </c>
      <c r="I721" s="867">
        <v>653210.8776</v>
      </c>
      <c r="J721" s="868">
        <v>503561.0745</v>
      </c>
      <c r="K721" s="50"/>
      <c r="L721" s="869" t="s">
        <v>632</v>
      </c>
      <c r="M721" s="865" t="s">
        <v>591</v>
      </c>
      <c r="N721" s="865" t="s">
        <v>625</v>
      </c>
      <c r="O721" s="866">
        <v>2004.0</v>
      </c>
      <c r="P721" s="865" t="s">
        <v>593</v>
      </c>
      <c r="Q721" s="865" t="s">
        <v>70</v>
      </c>
      <c r="R721" s="867">
        <v>298531.3152</v>
      </c>
      <c r="S721" s="867">
        <v>327836.583</v>
      </c>
      <c r="T721" s="868">
        <v>268016.4716</v>
      </c>
      <c r="AN721" s="882"/>
      <c r="AO721" s="882"/>
      <c r="AP721" s="882"/>
      <c r="AY721" s="882"/>
      <c r="AZ721" s="882"/>
      <c r="BA721" s="882"/>
      <c r="BJ721" s="882"/>
      <c r="BK721" s="882"/>
      <c r="BL721" s="882"/>
      <c r="BU721" s="882"/>
      <c r="BV721" s="882"/>
      <c r="BW721" s="882"/>
      <c r="CF721" s="882"/>
      <c r="CG721" s="882"/>
      <c r="CH721" s="882"/>
      <c r="CI721" s="530"/>
    </row>
    <row r="722">
      <c r="A722" s="857"/>
      <c r="B722" s="865" t="s">
        <v>632</v>
      </c>
      <c r="C722" s="865" t="s">
        <v>591</v>
      </c>
      <c r="D722" s="865" t="s">
        <v>627</v>
      </c>
      <c r="E722" s="866">
        <v>2019.0</v>
      </c>
      <c r="F722" s="865" t="s">
        <v>593</v>
      </c>
      <c r="G722" s="865" t="s">
        <v>70</v>
      </c>
      <c r="H722" s="867">
        <v>101487.2539</v>
      </c>
      <c r="I722" s="867">
        <v>114975.1387</v>
      </c>
      <c r="J722" s="868">
        <v>88634.47683</v>
      </c>
      <c r="K722" s="50"/>
      <c r="L722" s="869" t="s">
        <v>632</v>
      </c>
      <c r="M722" s="865" t="s">
        <v>591</v>
      </c>
      <c r="N722" s="865" t="s">
        <v>627</v>
      </c>
      <c r="O722" s="866">
        <v>2004.0</v>
      </c>
      <c r="P722" s="865" t="s">
        <v>593</v>
      </c>
      <c r="Q722" s="865" t="s">
        <v>70</v>
      </c>
      <c r="R722" s="867">
        <v>67492.3114</v>
      </c>
      <c r="S722" s="867">
        <v>74117.68086</v>
      </c>
      <c r="T722" s="868">
        <v>60593.4796</v>
      </c>
      <c r="AN722" s="882"/>
      <c r="AO722" s="882"/>
      <c r="AP722" s="882"/>
      <c r="AY722" s="882"/>
      <c r="AZ722" s="882"/>
      <c r="BA722" s="882"/>
      <c r="BJ722" s="882"/>
      <c r="BK722" s="882"/>
      <c r="BL722" s="882"/>
      <c r="BU722" s="882"/>
      <c r="BV722" s="882"/>
      <c r="BW722" s="882"/>
      <c r="CF722" s="882"/>
      <c r="CG722" s="882"/>
      <c r="CH722" s="882"/>
      <c r="CI722" s="530"/>
    </row>
    <row r="723">
      <c r="A723" s="857"/>
      <c r="B723" s="865" t="s">
        <v>632</v>
      </c>
      <c r="C723" s="865" t="s">
        <v>591</v>
      </c>
      <c r="D723" s="865" t="s">
        <v>629</v>
      </c>
      <c r="E723" s="866">
        <v>2019.0</v>
      </c>
      <c r="F723" s="865" t="s">
        <v>593</v>
      </c>
      <c r="G723" s="865" t="s">
        <v>70</v>
      </c>
      <c r="H723" s="867">
        <v>436551.7563</v>
      </c>
      <c r="I723" s="867">
        <v>494571.8109</v>
      </c>
      <c r="J723" s="868">
        <v>381228.1584</v>
      </c>
      <c r="K723" s="50"/>
      <c r="L723" s="869" t="s">
        <v>632</v>
      </c>
      <c r="M723" s="865" t="s">
        <v>591</v>
      </c>
      <c r="N723" s="865" t="s">
        <v>629</v>
      </c>
      <c r="O723" s="866">
        <v>2004.0</v>
      </c>
      <c r="P723" s="865" t="s">
        <v>593</v>
      </c>
      <c r="Q723" s="865" t="s">
        <v>70</v>
      </c>
      <c r="R723" s="867">
        <v>232752.5779</v>
      </c>
      <c r="S723" s="867">
        <v>255603.8971</v>
      </c>
      <c r="T723" s="868">
        <v>208942.4607</v>
      </c>
      <c r="AN723" s="882"/>
      <c r="AO723" s="882"/>
      <c r="AP723" s="882"/>
      <c r="AY723" s="882"/>
      <c r="AZ723" s="882"/>
      <c r="BA723" s="882"/>
      <c r="BJ723" s="882"/>
      <c r="BK723" s="882"/>
      <c r="BL723" s="882"/>
      <c r="BU723" s="882"/>
      <c r="BV723" s="882"/>
      <c r="BW723" s="882"/>
      <c r="CF723" s="882"/>
      <c r="CG723" s="882"/>
      <c r="CH723" s="882"/>
      <c r="CI723" s="530"/>
    </row>
    <row r="724">
      <c r="A724" s="857"/>
      <c r="B724" s="865" t="s">
        <v>632</v>
      </c>
      <c r="C724" s="865" t="s">
        <v>591</v>
      </c>
      <c r="D724" s="865" t="s">
        <v>631</v>
      </c>
      <c r="E724" s="866">
        <v>2019.0</v>
      </c>
      <c r="F724" s="865" t="s">
        <v>593</v>
      </c>
      <c r="G724" s="865" t="s">
        <v>70</v>
      </c>
      <c r="H724" s="867">
        <v>104321.906</v>
      </c>
      <c r="I724" s="867">
        <v>118186.5226</v>
      </c>
      <c r="J724" s="868">
        <v>91110.1366</v>
      </c>
      <c r="K724" s="50"/>
      <c r="L724" s="869" t="s">
        <v>632</v>
      </c>
      <c r="M724" s="865" t="s">
        <v>591</v>
      </c>
      <c r="N724" s="865" t="s">
        <v>631</v>
      </c>
      <c r="O724" s="866">
        <v>2004.0</v>
      </c>
      <c r="P724" s="865" t="s">
        <v>593</v>
      </c>
      <c r="Q724" s="865" t="s">
        <v>70</v>
      </c>
      <c r="R724" s="867">
        <v>54162.36809</v>
      </c>
      <c r="S724" s="867">
        <v>59479.2063</v>
      </c>
      <c r="T724" s="868">
        <v>48626.07722</v>
      </c>
      <c r="AN724" s="882"/>
      <c r="AO724" s="882"/>
      <c r="AP724" s="882"/>
      <c r="AY724" s="882"/>
      <c r="AZ724" s="882"/>
      <c r="BA724" s="882"/>
      <c r="BJ724" s="882"/>
      <c r="BK724" s="882"/>
      <c r="BL724" s="882"/>
      <c r="BU724" s="882"/>
      <c r="BV724" s="882"/>
      <c r="BW724" s="882"/>
      <c r="CF724" s="882"/>
      <c r="CG724" s="882"/>
      <c r="CH724" s="882"/>
      <c r="CI724" s="530"/>
    </row>
    <row r="725">
      <c r="A725" s="857"/>
      <c r="B725" s="865" t="s">
        <v>632</v>
      </c>
      <c r="C725" s="865" t="s">
        <v>591</v>
      </c>
      <c r="D725" s="865" t="s">
        <v>633</v>
      </c>
      <c r="E725" s="866">
        <v>2019.0</v>
      </c>
      <c r="F725" s="865" t="s">
        <v>593</v>
      </c>
      <c r="G725" s="865" t="s">
        <v>70</v>
      </c>
      <c r="H725" s="867">
        <v>93324.70169</v>
      </c>
      <c r="I725" s="867">
        <v>105727.765</v>
      </c>
      <c r="J725" s="868">
        <v>81505.66494</v>
      </c>
      <c r="K725" s="50"/>
      <c r="L725" s="869" t="s">
        <v>632</v>
      </c>
      <c r="M725" s="865" t="s">
        <v>591</v>
      </c>
      <c r="N725" s="865" t="s">
        <v>633</v>
      </c>
      <c r="O725" s="866">
        <v>2004.0</v>
      </c>
      <c r="P725" s="865" t="s">
        <v>593</v>
      </c>
      <c r="Q725" s="865" t="s">
        <v>70</v>
      </c>
      <c r="R725" s="867">
        <v>46156.6795</v>
      </c>
      <c r="S725" s="867">
        <v>50687.64086</v>
      </c>
      <c r="T725" s="868">
        <v>41438.70257</v>
      </c>
      <c r="AN725" s="882"/>
      <c r="AO725" s="882"/>
      <c r="AP725" s="882"/>
      <c r="AY725" s="882"/>
      <c r="AZ725" s="882"/>
      <c r="BA725" s="882"/>
      <c r="BJ725" s="882"/>
      <c r="BK725" s="882"/>
      <c r="BL725" s="882"/>
      <c r="BU725" s="882"/>
      <c r="BV725" s="882"/>
      <c r="BW725" s="882"/>
      <c r="CF725" s="882"/>
      <c r="CG725" s="882"/>
      <c r="CH725" s="882"/>
      <c r="CI725" s="530"/>
    </row>
    <row r="726">
      <c r="A726" s="857"/>
      <c r="B726" s="865" t="s">
        <v>632</v>
      </c>
      <c r="C726" s="865" t="s">
        <v>591</v>
      </c>
      <c r="D726" s="865" t="s">
        <v>635</v>
      </c>
      <c r="E726" s="866">
        <v>2019.0</v>
      </c>
      <c r="F726" s="865" t="s">
        <v>593</v>
      </c>
      <c r="G726" s="865" t="s">
        <v>70</v>
      </c>
      <c r="H726" s="867">
        <v>77340.64973</v>
      </c>
      <c r="I726" s="867">
        <v>87619.39646</v>
      </c>
      <c r="J726" s="868">
        <v>67545.90124</v>
      </c>
      <c r="K726" s="50"/>
      <c r="L726" s="869" t="s">
        <v>632</v>
      </c>
      <c r="M726" s="865" t="s">
        <v>591</v>
      </c>
      <c r="N726" s="865" t="s">
        <v>635</v>
      </c>
      <c r="O726" s="866">
        <v>2004.0</v>
      </c>
      <c r="P726" s="865" t="s">
        <v>593</v>
      </c>
      <c r="Q726" s="865" t="s">
        <v>70</v>
      </c>
      <c r="R726" s="867">
        <v>35820.75444</v>
      </c>
      <c r="S726" s="867">
        <v>39337.09175</v>
      </c>
      <c r="T726" s="868">
        <v>32159.2802</v>
      </c>
      <c r="AN726" s="882"/>
      <c r="AO726" s="882"/>
      <c r="AP726" s="882"/>
      <c r="AY726" s="882"/>
      <c r="AZ726" s="882"/>
      <c r="BA726" s="882"/>
      <c r="BJ726" s="882"/>
      <c r="BK726" s="882"/>
      <c r="BL726" s="882"/>
      <c r="BU726" s="882"/>
      <c r="BV726" s="882"/>
      <c r="BW726" s="882"/>
      <c r="CF726" s="882"/>
      <c r="CG726" s="882"/>
      <c r="CH726" s="882"/>
      <c r="CI726" s="530"/>
    </row>
    <row r="727">
      <c r="A727" s="857"/>
      <c r="B727" s="865" t="s">
        <v>632</v>
      </c>
      <c r="C727" s="865" t="s">
        <v>591</v>
      </c>
      <c r="D727" s="865" t="s">
        <v>637</v>
      </c>
      <c r="E727" s="866">
        <v>2019.0</v>
      </c>
      <c r="F727" s="865" t="s">
        <v>593</v>
      </c>
      <c r="G727" s="865" t="s">
        <v>70</v>
      </c>
      <c r="H727" s="867">
        <v>60070.61575</v>
      </c>
      <c r="I727" s="867">
        <v>68054.13603</v>
      </c>
      <c r="J727" s="868">
        <v>52463.01774</v>
      </c>
      <c r="K727" s="50"/>
      <c r="L727" s="869" t="s">
        <v>632</v>
      </c>
      <c r="M727" s="865" t="s">
        <v>591</v>
      </c>
      <c r="N727" s="865" t="s">
        <v>637</v>
      </c>
      <c r="O727" s="866">
        <v>2004.0</v>
      </c>
      <c r="P727" s="865" t="s">
        <v>593</v>
      </c>
      <c r="Q727" s="865" t="s">
        <v>70</v>
      </c>
      <c r="R727" s="867">
        <v>29117.74186</v>
      </c>
      <c r="S727" s="867">
        <v>31976.07926</v>
      </c>
      <c r="T727" s="868">
        <v>26141.4265</v>
      </c>
      <c r="AN727" s="882"/>
      <c r="AO727" s="882"/>
      <c r="AP727" s="882"/>
      <c r="AY727" s="882"/>
      <c r="AZ727" s="882"/>
      <c r="BA727" s="882"/>
      <c r="BJ727" s="882"/>
      <c r="BK727" s="882"/>
      <c r="BL727" s="882"/>
      <c r="BU727" s="882"/>
      <c r="BV727" s="882"/>
      <c r="BW727" s="882"/>
      <c r="CF727" s="882"/>
      <c r="CG727" s="882"/>
      <c r="CH727" s="882"/>
      <c r="CI727" s="530"/>
    </row>
    <row r="728">
      <c r="A728" s="857"/>
      <c r="B728" s="865" t="s">
        <v>632</v>
      </c>
      <c r="C728" s="865" t="s">
        <v>591</v>
      </c>
      <c r="D728" s="865" t="s">
        <v>639</v>
      </c>
      <c r="E728" s="866">
        <v>2019.0</v>
      </c>
      <c r="F728" s="865" t="s">
        <v>593</v>
      </c>
      <c r="G728" s="865" t="s">
        <v>70</v>
      </c>
      <c r="H728" s="867">
        <v>365500.161</v>
      </c>
      <c r="I728" s="867">
        <v>414077.08</v>
      </c>
      <c r="J728" s="868">
        <v>319180.8331</v>
      </c>
      <c r="K728" s="50"/>
      <c r="L728" s="869" t="s">
        <v>632</v>
      </c>
      <c r="M728" s="865" t="s">
        <v>591</v>
      </c>
      <c r="N728" s="865" t="s">
        <v>639</v>
      </c>
      <c r="O728" s="866">
        <v>2004.0</v>
      </c>
      <c r="P728" s="865" t="s">
        <v>593</v>
      </c>
      <c r="Q728" s="865" t="s">
        <v>70</v>
      </c>
      <c r="R728" s="867">
        <v>251816.1723</v>
      </c>
      <c r="S728" s="867">
        <v>276539.1282</v>
      </c>
      <c r="T728" s="868">
        <v>226055.888</v>
      </c>
      <c r="AN728" s="882"/>
      <c r="AO728" s="882"/>
      <c r="AP728" s="882"/>
      <c r="AY728" s="882"/>
      <c r="AZ728" s="882"/>
      <c r="BA728" s="882"/>
      <c r="BJ728" s="882"/>
      <c r="BK728" s="882"/>
      <c r="BL728" s="882"/>
      <c r="BU728" s="882"/>
      <c r="BV728" s="882"/>
      <c r="BW728" s="882"/>
      <c r="CF728" s="882"/>
      <c r="CG728" s="882"/>
      <c r="CH728" s="882"/>
      <c r="CI728" s="530"/>
    </row>
    <row r="729">
      <c r="A729" s="857"/>
      <c r="B729" s="865" t="s">
        <v>632</v>
      </c>
      <c r="C729" s="865" t="s">
        <v>591</v>
      </c>
      <c r="D729" s="865" t="s">
        <v>641</v>
      </c>
      <c r="E729" s="866">
        <v>2019.0</v>
      </c>
      <c r="F729" s="865" t="s">
        <v>593</v>
      </c>
      <c r="G729" s="865" t="s">
        <v>70</v>
      </c>
      <c r="H729" s="867">
        <v>139112.225</v>
      </c>
      <c r="I729" s="867">
        <v>157600.5534</v>
      </c>
      <c r="J729" s="868">
        <v>121494.4618</v>
      </c>
      <c r="K729" s="50"/>
      <c r="L729" s="869" t="s">
        <v>632</v>
      </c>
      <c r="M729" s="865" t="s">
        <v>591</v>
      </c>
      <c r="N729" s="865" t="s">
        <v>641</v>
      </c>
      <c r="O729" s="866">
        <v>2004.0</v>
      </c>
      <c r="P729" s="865" t="s">
        <v>593</v>
      </c>
      <c r="Q729" s="865" t="s">
        <v>70</v>
      </c>
      <c r="R729" s="867">
        <v>87543.31792</v>
      </c>
      <c r="S729" s="867">
        <v>96136.99049</v>
      </c>
      <c r="T729" s="868">
        <v>78594.94123</v>
      </c>
      <c r="AN729" s="882"/>
      <c r="AO729" s="882"/>
      <c r="AP729" s="882"/>
      <c r="AY729" s="882"/>
      <c r="AZ729" s="882"/>
      <c r="BA729" s="882"/>
      <c r="BJ729" s="882"/>
      <c r="BK729" s="882"/>
      <c r="BL729" s="882"/>
      <c r="BU729" s="882"/>
      <c r="BV729" s="882"/>
      <c r="BW729" s="882"/>
      <c r="CF729" s="882"/>
      <c r="CG729" s="882"/>
      <c r="CH729" s="882"/>
      <c r="CI729" s="530"/>
    </row>
    <row r="730">
      <c r="A730" s="857"/>
      <c r="B730" s="865" t="s">
        <v>632</v>
      </c>
      <c r="C730" s="865" t="s">
        <v>591</v>
      </c>
      <c r="D730" s="865" t="s">
        <v>643</v>
      </c>
      <c r="E730" s="866">
        <v>2019.0</v>
      </c>
      <c r="F730" s="865" t="s">
        <v>593</v>
      </c>
      <c r="G730" s="865" t="s">
        <v>70</v>
      </c>
      <c r="H730" s="867">
        <v>45062.92452</v>
      </c>
      <c r="I730" s="867">
        <v>51051.8888</v>
      </c>
      <c r="J730" s="868">
        <v>39355.9643</v>
      </c>
      <c r="K730" s="50"/>
      <c r="L730" s="869" t="s">
        <v>632</v>
      </c>
      <c r="M730" s="865" t="s">
        <v>591</v>
      </c>
      <c r="N730" s="865" t="s">
        <v>643</v>
      </c>
      <c r="O730" s="866">
        <v>2004.0</v>
      </c>
      <c r="P730" s="865" t="s">
        <v>593</v>
      </c>
      <c r="Q730" s="865" t="s">
        <v>70</v>
      </c>
      <c r="R730" s="867">
        <v>21754.32169</v>
      </c>
      <c r="S730" s="867">
        <v>23889.83039</v>
      </c>
      <c r="T730" s="868">
        <v>19530.66979</v>
      </c>
      <c r="AN730" s="882"/>
      <c r="AO730" s="882"/>
      <c r="AP730" s="882"/>
      <c r="AY730" s="882"/>
      <c r="AZ730" s="882"/>
      <c r="BA730" s="882"/>
      <c r="BJ730" s="882"/>
      <c r="BK730" s="882"/>
      <c r="BL730" s="882"/>
      <c r="BU730" s="882"/>
      <c r="BV730" s="882"/>
      <c r="BW730" s="882"/>
      <c r="CF730" s="882"/>
      <c r="CG730" s="882"/>
      <c r="CH730" s="882"/>
      <c r="CI730" s="530"/>
    </row>
    <row r="731">
      <c r="A731" s="857"/>
      <c r="B731" s="865" t="s">
        <v>632</v>
      </c>
      <c r="C731" s="865" t="s">
        <v>591</v>
      </c>
      <c r="D731" s="865" t="s">
        <v>645</v>
      </c>
      <c r="E731" s="866">
        <v>2019.0</v>
      </c>
      <c r="F731" s="865" t="s">
        <v>593</v>
      </c>
      <c r="G731" s="865" t="s">
        <v>70</v>
      </c>
      <c r="H731" s="867">
        <v>119145.2256</v>
      </c>
      <c r="I731" s="867">
        <v>134979.8948</v>
      </c>
      <c r="J731" s="868">
        <v>104056.168</v>
      </c>
      <c r="K731" s="50"/>
      <c r="L731" s="869" t="s">
        <v>632</v>
      </c>
      <c r="M731" s="865" t="s">
        <v>591</v>
      </c>
      <c r="N731" s="865" t="s">
        <v>645</v>
      </c>
      <c r="O731" s="866">
        <v>2004.0</v>
      </c>
      <c r="P731" s="865" t="s">
        <v>593</v>
      </c>
      <c r="Q731" s="865" t="s">
        <v>70</v>
      </c>
      <c r="R731" s="867">
        <v>56841.38538</v>
      </c>
      <c r="S731" s="867">
        <v>62421.20878</v>
      </c>
      <c r="T731" s="868">
        <v>51031.25458</v>
      </c>
      <c r="AN731" s="882"/>
      <c r="AO731" s="882"/>
      <c r="AP731" s="882"/>
      <c r="AY731" s="882"/>
      <c r="AZ731" s="882"/>
      <c r="BA731" s="882"/>
      <c r="BJ731" s="882"/>
      <c r="BK731" s="882"/>
      <c r="BL731" s="882"/>
      <c r="BU731" s="882"/>
      <c r="BV731" s="882"/>
      <c r="BW731" s="882"/>
      <c r="CF731" s="882"/>
      <c r="CG731" s="882"/>
      <c r="CH731" s="882"/>
      <c r="CI731" s="530"/>
    </row>
    <row r="732">
      <c r="A732" s="857"/>
      <c r="B732" s="865" t="s">
        <v>632</v>
      </c>
      <c r="C732" s="865" t="s">
        <v>591</v>
      </c>
      <c r="D732" s="865" t="s">
        <v>604</v>
      </c>
      <c r="E732" s="866">
        <v>2019.0</v>
      </c>
      <c r="F732" s="865" t="s">
        <v>593</v>
      </c>
      <c r="G732" s="865" t="s">
        <v>70</v>
      </c>
      <c r="H732" s="867">
        <v>261426.3033</v>
      </c>
      <c r="I732" s="867">
        <v>296170.4484</v>
      </c>
      <c r="J732" s="868">
        <v>228318.1655</v>
      </c>
      <c r="K732" s="50"/>
      <c r="L732" s="869" t="s">
        <v>632</v>
      </c>
      <c r="M732" s="865" t="s">
        <v>591</v>
      </c>
      <c r="N732" s="865" t="s">
        <v>604</v>
      </c>
      <c r="O732" s="866">
        <v>2004.0</v>
      </c>
      <c r="P732" s="865" t="s">
        <v>593</v>
      </c>
      <c r="Q732" s="865" t="s">
        <v>70</v>
      </c>
      <c r="R732" s="867">
        <v>168862.7013</v>
      </c>
      <c r="S732" s="867">
        <v>185439.0752</v>
      </c>
      <c r="T732" s="868">
        <v>151602.1371</v>
      </c>
      <c r="AN732" s="882"/>
      <c r="AO732" s="882"/>
      <c r="AP732" s="882"/>
      <c r="AY732" s="882"/>
      <c r="AZ732" s="882"/>
      <c r="BA732" s="882"/>
      <c r="BJ732" s="882"/>
      <c r="BK732" s="882"/>
      <c r="BL732" s="882"/>
      <c r="BU732" s="882"/>
      <c r="BV732" s="882"/>
      <c r="BW732" s="882"/>
      <c r="CF732" s="882"/>
      <c r="CG732" s="882"/>
      <c r="CH732" s="882"/>
      <c r="CI732" s="530"/>
    </row>
    <row r="733">
      <c r="A733" s="857"/>
      <c r="B733" s="865" t="s">
        <v>632</v>
      </c>
      <c r="C733" s="865" t="s">
        <v>591</v>
      </c>
      <c r="D733" s="865" t="s">
        <v>647</v>
      </c>
      <c r="E733" s="866">
        <v>2019.0</v>
      </c>
      <c r="F733" s="865" t="s">
        <v>593</v>
      </c>
      <c r="G733" s="865" t="s">
        <v>70</v>
      </c>
      <c r="H733" s="867">
        <v>94975.24043</v>
      </c>
      <c r="I733" s="867">
        <v>107597.956</v>
      </c>
      <c r="J733" s="868">
        <v>82939.16007</v>
      </c>
      <c r="K733" s="50"/>
      <c r="L733" s="869" t="s">
        <v>632</v>
      </c>
      <c r="M733" s="865" t="s">
        <v>591</v>
      </c>
      <c r="N733" s="865" t="s">
        <v>647</v>
      </c>
      <c r="O733" s="866">
        <v>2004.0</v>
      </c>
      <c r="P733" s="865" t="s">
        <v>593</v>
      </c>
      <c r="Q733" s="865" t="s">
        <v>70</v>
      </c>
      <c r="R733" s="867">
        <v>44027.65327</v>
      </c>
      <c r="S733" s="867">
        <v>48350.22605</v>
      </c>
      <c r="T733" s="868">
        <v>39523.71353</v>
      </c>
      <c r="AN733" s="882"/>
      <c r="AO733" s="882"/>
      <c r="AP733" s="882"/>
      <c r="AY733" s="882"/>
      <c r="AZ733" s="882"/>
      <c r="BA733" s="882"/>
      <c r="BJ733" s="882"/>
      <c r="BK733" s="882"/>
      <c r="BL733" s="882"/>
      <c r="BU733" s="882"/>
      <c r="BV733" s="882"/>
      <c r="BW733" s="882"/>
      <c r="CF733" s="882"/>
      <c r="CG733" s="882"/>
      <c r="CH733" s="882"/>
      <c r="CI733" s="530"/>
    </row>
    <row r="734">
      <c r="A734" s="857"/>
      <c r="B734" s="865" t="s">
        <v>632</v>
      </c>
      <c r="C734" s="865" t="s">
        <v>591</v>
      </c>
      <c r="D734" s="865" t="s">
        <v>649</v>
      </c>
      <c r="E734" s="866">
        <v>2019.0</v>
      </c>
      <c r="F734" s="865" t="s">
        <v>593</v>
      </c>
      <c r="G734" s="865" t="s">
        <v>70</v>
      </c>
      <c r="H734" s="867">
        <v>33126.5597</v>
      </c>
      <c r="I734" s="867">
        <v>37529.15418</v>
      </c>
      <c r="J734" s="868">
        <v>28931.27143</v>
      </c>
      <c r="K734" s="50"/>
      <c r="L734" s="869" t="s">
        <v>632</v>
      </c>
      <c r="M734" s="865" t="s">
        <v>591</v>
      </c>
      <c r="N734" s="865" t="s">
        <v>649</v>
      </c>
      <c r="O734" s="866">
        <v>2004.0</v>
      </c>
      <c r="P734" s="865" t="s">
        <v>593</v>
      </c>
      <c r="Q734" s="865" t="s">
        <v>70</v>
      </c>
      <c r="R734" s="867">
        <v>16299.37139</v>
      </c>
      <c r="S734" s="867">
        <v>17899.39597</v>
      </c>
      <c r="T734" s="868">
        <v>14633.30574</v>
      </c>
      <c r="AN734" s="882"/>
      <c r="AO734" s="882"/>
      <c r="AP734" s="882"/>
      <c r="AY734" s="882"/>
      <c r="AZ734" s="882"/>
      <c r="BA734" s="882"/>
      <c r="BJ734" s="882"/>
      <c r="BK734" s="882"/>
      <c r="BL734" s="882"/>
      <c r="BU734" s="882"/>
      <c r="BV734" s="882"/>
      <c r="BW734" s="882"/>
      <c r="CF734" s="882"/>
      <c r="CG734" s="882"/>
      <c r="CH734" s="882"/>
      <c r="CI734" s="530"/>
    </row>
    <row r="735">
      <c r="A735" s="857"/>
      <c r="B735" s="865" t="s">
        <v>632</v>
      </c>
      <c r="C735" s="865" t="s">
        <v>591</v>
      </c>
      <c r="D735" s="865" t="s">
        <v>651</v>
      </c>
      <c r="E735" s="866">
        <v>2019.0</v>
      </c>
      <c r="F735" s="865" t="s">
        <v>593</v>
      </c>
      <c r="G735" s="865" t="s">
        <v>70</v>
      </c>
      <c r="H735" s="867">
        <v>24279.04228</v>
      </c>
      <c r="I735" s="867">
        <v>27505.78174</v>
      </c>
      <c r="J735" s="868">
        <v>21204.2412</v>
      </c>
      <c r="K735" s="50"/>
      <c r="L735" s="869" t="s">
        <v>632</v>
      </c>
      <c r="M735" s="865" t="s">
        <v>591</v>
      </c>
      <c r="N735" s="865" t="s">
        <v>651</v>
      </c>
      <c r="O735" s="866">
        <v>2004.0</v>
      </c>
      <c r="P735" s="865" t="s">
        <v>593</v>
      </c>
      <c r="Q735" s="865" t="s">
        <v>70</v>
      </c>
      <c r="R735" s="867">
        <v>11215.5216</v>
      </c>
      <c r="S735" s="867">
        <v>12316.49107</v>
      </c>
      <c r="T735" s="868">
        <v>10069.10958</v>
      </c>
      <c r="AN735" s="882"/>
      <c r="AO735" s="882"/>
      <c r="AP735" s="882"/>
      <c r="AY735" s="882"/>
      <c r="AZ735" s="882"/>
      <c r="BA735" s="882"/>
      <c r="BJ735" s="882"/>
      <c r="BK735" s="882"/>
      <c r="BL735" s="882"/>
      <c r="BU735" s="882"/>
      <c r="BV735" s="882"/>
      <c r="BW735" s="882"/>
      <c r="CF735" s="882"/>
      <c r="CG735" s="882"/>
      <c r="CH735" s="882"/>
      <c r="CI735" s="530"/>
    </row>
    <row r="736">
      <c r="A736" s="857"/>
      <c r="B736" s="865" t="s">
        <v>632</v>
      </c>
      <c r="C736" s="865" t="s">
        <v>591</v>
      </c>
      <c r="D736" s="865" t="s">
        <v>653</v>
      </c>
      <c r="E736" s="866">
        <v>2019.0</v>
      </c>
      <c r="F736" s="865" t="s">
        <v>593</v>
      </c>
      <c r="G736" s="865" t="s">
        <v>70</v>
      </c>
      <c r="H736" s="867">
        <v>16676.69914</v>
      </c>
      <c r="I736" s="867">
        <v>18893.07006</v>
      </c>
      <c r="J736" s="868">
        <v>14564.69111</v>
      </c>
      <c r="K736" s="50"/>
      <c r="L736" s="869" t="s">
        <v>632</v>
      </c>
      <c r="M736" s="865" t="s">
        <v>591</v>
      </c>
      <c r="N736" s="865" t="s">
        <v>653</v>
      </c>
      <c r="O736" s="866">
        <v>2004.0</v>
      </c>
      <c r="P736" s="865" t="s">
        <v>593</v>
      </c>
      <c r="Q736" s="865" t="s">
        <v>70</v>
      </c>
      <c r="R736" s="867">
        <v>7572.170705</v>
      </c>
      <c r="S736" s="867">
        <v>8315.491351</v>
      </c>
      <c r="T736" s="868">
        <v>6798.169474</v>
      </c>
      <c r="AN736" s="882"/>
      <c r="AO736" s="882"/>
      <c r="AP736" s="882"/>
      <c r="AY736" s="882"/>
      <c r="AZ736" s="882"/>
      <c r="BA736" s="882"/>
      <c r="BJ736" s="882"/>
      <c r="BK736" s="882"/>
      <c r="BL736" s="882"/>
      <c r="BU736" s="882"/>
      <c r="BV736" s="882"/>
      <c r="BW736" s="882"/>
      <c r="CF736" s="882"/>
      <c r="CG736" s="882"/>
      <c r="CH736" s="882"/>
      <c r="CI736" s="530"/>
    </row>
    <row r="737">
      <c r="A737" s="857"/>
      <c r="B737" s="865" t="s">
        <v>632</v>
      </c>
      <c r="C737" s="865" t="s">
        <v>591</v>
      </c>
      <c r="D737" s="865" t="s">
        <v>655</v>
      </c>
      <c r="E737" s="866">
        <v>2019.0</v>
      </c>
      <c r="F737" s="865" t="s">
        <v>593</v>
      </c>
      <c r="G737" s="865" t="s">
        <v>70</v>
      </c>
      <c r="H737" s="867">
        <v>27497.81533</v>
      </c>
      <c r="I737" s="867">
        <v>31152.4215</v>
      </c>
      <c r="J737" s="868">
        <v>24013.05537</v>
      </c>
      <c r="K737" s="50"/>
      <c r="L737" s="869" t="s">
        <v>632</v>
      </c>
      <c r="M737" s="865" t="s">
        <v>591</v>
      </c>
      <c r="N737" s="865" t="s">
        <v>655</v>
      </c>
      <c r="O737" s="866">
        <v>2004.0</v>
      </c>
      <c r="P737" s="865" t="s">
        <v>593</v>
      </c>
      <c r="Q737" s="865" t="s">
        <v>70</v>
      </c>
      <c r="R737" s="867">
        <v>12237.46007</v>
      </c>
      <c r="S737" s="867">
        <v>13438.91661</v>
      </c>
      <c r="T737" s="868">
        <v>10985.5927</v>
      </c>
      <c r="AN737" s="882"/>
      <c r="AO737" s="882"/>
      <c r="AP737" s="882"/>
      <c r="AY737" s="882"/>
      <c r="AZ737" s="882"/>
      <c r="BA737" s="882"/>
      <c r="BJ737" s="882"/>
      <c r="BK737" s="882"/>
      <c r="BL737" s="882"/>
      <c r="BU737" s="882"/>
      <c r="BV737" s="882"/>
      <c r="BW737" s="882"/>
      <c r="CF737" s="882"/>
      <c r="CG737" s="882"/>
      <c r="CH737" s="882"/>
      <c r="CI737" s="530"/>
    </row>
    <row r="738">
      <c r="A738" s="857"/>
      <c r="B738" s="865" t="s">
        <v>632</v>
      </c>
      <c r="C738" s="865" t="s">
        <v>591</v>
      </c>
      <c r="D738" s="865" t="s">
        <v>657</v>
      </c>
      <c r="E738" s="866">
        <v>2019.0</v>
      </c>
      <c r="F738" s="865" t="s">
        <v>593</v>
      </c>
      <c r="G738" s="865" t="s">
        <v>70</v>
      </c>
      <c r="H738" s="867">
        <v>10820.69861</v>
      </c>
      <c r="I738" s="867">
        <v>12258.79386</v>
      </c>
      <c r="J738" s="868">
        <v>9450.319365</v>
      </c>
      <c r="K738" s="50"/>
      <c r="L738" s="869" t="s">
        <v>632</v>
      </c>
      <c r="M738" s="865" t="s">
        <v>591</v>
      </c>
      <c r="N738" s="865" t="s">
        <v>657</v>
      </c>
      <c r="O738" s="866">
        <v>2004.0</v>
      </c>
      <c r="P738" s="865" t="s">
        <v>593</v>
      </c>
      <c r="Q738" s="865" t="s">
        <v>70</v>
      </c>
      <c r="R738" s="867">
        <v>4665.146221</v>
      </c>
      <c r="S738" s="867">
        <v>5123.099381</v>
      </c>
      <c r="T738" s="868">
        <v>4188.291029</v>
      </c>
      <c r="AN738" s="882"/>
      <c r="AO738" s="882"/>
      <c r="AP738" s="882"/>
      <c r="AY738" s="882"/>
      <c r="AZ738" s="882"/>
      <c r="BA738" s="882"/>
      <c r="BJ738" s="882"/>
      <c r="BK738" s="882"/>
      <c r="BL738" s="882"/>
      <c r="BU738" s="882"/>
      <c r="BV738" s="882"/>
      <c r="BW738" s="882"/>
      <c r="CF738" s="882"/>
      <c r="CG738" s="882"/>
      <c r="CH738" s="882"/>
      <c r="CI738" s="530"/>
    </row>
    <row r="739">
      <c r="A739" s="857"/>
      <c r="B739" s="865" t="s">
        <v>632</v>
      </c>
      <c r="C739" s="865" t="s">
        <v>591</v>
      </c>
      <c r="D739" s="865" t="s">
        <v>659</v>
      </c>
      <c r="E739" s="866">
        <v>2019.0</v>
      </c>
      <c r="F739" s="865" t="s">
        <v>593</v>
      </c>
      <c r="G739" s="865" t="s">
        <v>70</v>
      </c>
      <c r="H739" s="867">
        <v>20891.49706</v>
      </c>
      <c r="I739" s="867">
        <v>23668.02412</v>
      </c>
      <c r="J739" s="868">
        <v>18245.7091</v>
      </c>
      <c r="K739" s="50"/>
      <c r="L739" s="869" t="s">
        <v>632</v>
      </c>
      <c r="M739" s="865" t="s">
        <v>591</v>
      </c>
      <c r="N739" s="865" t="s">
        <v>659</v>
      </c>
      <c r="O739" s="866">
        <v>2004.0</v>
      </c>
      <c r="P739" s="865" t="s">
        <v>593</v>
      </c>
      <c r="Q739" s="865" t="s">
        <v>70</v>
      </c>
      <c r="R739" s="867">
        <v>8940.07457</v>
      </c>
      <c r="S739" s="867">
        <v>9817.67523</v>
      </c>
      <c r="T739" s="868">
        <v>8026.250914</v>
      </c>
      <c r="AN739" s="882"/>
      <c r="AO739" s="882"/>
      <c r="AP739" s="882"/>
      <c r="AY739" s="882"/>
      <c r="AZ739" s="882"/>
      <c r="BA739" s="882"/>
      <c r="BJ739" s="882"/>
      <c r="BK739" s="882"/>
      <c r="BL739" s="882"/>
      <c r="BU739" s="882"/>
      <c r="BV739" s="882"/>
      <c r="BW739" s="882"/>
      <c r="CF739" s="882"/>
      <c r="CG739" s="882"/>
      <c r="CH739" s="882"/>
      <c r="CI739" s="530"/>
    </row>
    <row r="740">
      <c r="A740" s="857"/>
      <c r="B740" s="865" t="s">
        <v>632</v>
      </c>
      <c r="C740" s="865" t="s">
        <v>591</v>
      </c>
      <c r="D740" s="865" t="s">
        <v>661</v>
      </c>
      <c r="E740" s="866">
        <v>2019.0</v>
      </c>
      <c r="F740" s="865" t="s">
        <v>593</v>
      </c>
      <c r="G740" s="865" t="s">
        <v>70</v>
      </c>
      <c r="H740" s="867">
        <v>10070.95138</v>
      </c>
      <c r="I740" s="867">
        <v>11409.43448</v>
      </c>
      <c r="J740" s="868">
        <v>8794.673691</v>
      </c>
      <c r="K740" s="50"/>
      <c r="L740" s="869" t="s">
        <v>632</v>
      </c>
      <c r="M740" s="865" t="s">
        <v>591</v>
      </c>
      <c r="N740" s="865" t="s">
        <v>661</v>
      </c>
      <c r="O740" s="866">
        <v>2004.0</v>
      </c>
      <c r="P740" s="865" t="s">
        <v>593</v>
      </c>
      <c r="Q740" s="865" t="s">
        <v>70</v>
      </c>
      <c r="R740" s="867">
        <v>4274.978355</v>
      </c>
      <c r="S740" s="867">
        <v>4694.689689</v>
      </c>
      <c r="T740" s="868">
        <v>3837.65673</v>
      </c>
      <c r="AN740" s="882"/>
      <c r="AO740" s="882"/>
      <c r="AP740" s="882"/>
      <c r="AY740" s="882"/>
      <c r="AZ740" s="882"/>
      <c r="BA740" s="882"/>
      <c r="BJ740" s="882"/>
      <c r="BK740" s="882"/>
      <c r="BL740" s="882"/>
      <c r="BU740" s="882"/>
      <c r="BV740" s="882"/>
      <c r="BW740" s="882"/>
      <c r="CF740" s="882"/>
      <c r="CG740" s="882"/>
      <c r="CH740" s="882"/>
      <c r="CI740" s="530"/>
    </row>
    <row r="741">
      <c r="A741" s="857"/>
      <c r="B741" s="865" t="s">
        <v>632</v>
      </c>
      <c r="C741" s="865" t="s">
        <v>591</v>
      </c>
      <c r="D741" s="865" t="s">
        <v>663</v>
      </c>
      <c r="E741" s="866">
        <v>2019.0</v>
      </c>
      <c r="F741" s="865" t="s">
        <v>593</v>
      </c>
      <c r="G741" s="865" t="s">
        <v>70</v>
      </c>
      <c r="H741" s="867">
        <v>5863.725984</v>
      </c>
      <c r="I741" s="867">
        <v>6643.028389</v>
      </c>
      <c r="J741" s="868">
        <v>5121.118811</v>
      </c>
      <c r="K741" s="50"/>
      <c r="L741" s="869" t="s">
        <v>632</v>
      </c>
      <c r="M741" s="865" t="s">
        <v>591</v>
      </c>
      <c r="N741" s="865" t="s">
        <v>663</v>
      </c>
      <c r="O741" s="866">
        <v>2004.0</v>
      </c>
      <c r="P741" s="865" t="s">
        <v>593</v>
      </c>
      <c r="Q741" s="865" t="s">
        <v>70</v>
      </c>
      <c r="R741" s="867">
        <v>2533.689093</v>
      </c>
      <c r="S741" s="867">
        <v>2782.408184</v>
      </c>
      <c r="T741" s="868">
        <v>2274.704114</v>
      </c>
      <c r="AN741" s="882"/>
      <c r="AO741" s="882"/>
      <c r="AP741" s="882"/>
      <c r="AY741" s="882"/>
      <c r="AZ741" s="882"/>
      <c r="BA741" s="882"/>
      <c r="BJ741" s="882"/>
      <c r="BK741" s="882"/>
      <c r="BL741" s="882"/>
      <c r="BU741" s="882"/>
      <c r="BV741" s="882"/>
      <c r="BW741" s="882"/>
      <c r="CF741" s="882"/>
      <c r="CG741" s="882"/>
      <c r="CH741" s="882"/>
      <c r="CI741" s="530"/>
    </row>
    <row r="742">
      <c r="A742" s="857"/>
      <c r="B742" s="865" t="s">
        <v>632</v>
      </c>
      <c r="C742" s="865" t="s">
        <v>591</v>
      </c>
      <c r="D742" s="865" t="s">
        <v>665</v>
      </c>
      <c r="E742" s="866">
        <v>2019.0</v>
      </c>
      <c r="F742" s="865" t="s">
        <v>593</v>
      </c>
      <c r="G742" s="865" t="s">
        <v>70</v>
      </c>
      <c r="H742" s="867">
        <v>8652.500214</v>
      </c>
      <c r="I742" s="867">
        <v>9802.463596</v>
      </c>
      <c r="J742" s="868">
        <v>7555.980874</v>
      </c>
      <c r="K742" s="50"/>
      <c r="L742" s="869" t="s">
        <v>632</v>
      </c>
      <c r="M742" s="865" t="s">
        <v>591</v>
      </c>
      <c r="N742" s="865" t="s">
        <v>665</v>
      </c>
      <c r="O742" s="866">
        <v>2004.0</v>
      </c>
      <c r="P742" s="865" t="s">
        <v>593</v>
      </c>
      <c r="Q742" s="865" t="s">
        <v>70</v>
      </c>
      <c r="R742" s="867">
        <v>3700.953141</v>
      </c>
      <c r="S742" s="867">
        <v>4064.307491</v>
      </c>
      <c r="T742" s="868">
        <v>3322.353132</v>
      </c>
      <c r="AN742" s="882"/>
      <c r="AO742" s="882"/>
      <c r="AP742" s="882"/>
      <c r="AY742" s="882"/>
      <c r="AZ742" s="882"/>
      <c r="BA742" s="882"/>
      <c r="BJ742" s="882"/>
      <c r="BK742" s="882"/>
      <c r="BL742" s="882"/>
      <c r="BU742" s="882"/>
      <c r="BV742" s="882"/>
      <c r="BW742" s="882"/>
      <c r="CF742" s="882"/>
      <c r="CG742" s="882"/>
      <c r="CH742" s="882"/>
      <c r="CI742" s="530"/>
    </row>
    <row r="743">
      <c r="A743" s="857"/>
      <c r="B743" s="865" t="s">
        <v>632</v>
      </c>
      <c r="C743" s="865" t="s">
        <v>591</v>
      </c>
      <c r="D743" s="865" t="s">
        <v>667</v>
      </c>
      <c r="E743" s="866">
        <v>2019.0</v>
      </c>
      <c r="F743" s="865" t="s">
        <v>593</v>
      </c>
      <c r="G743" s="865" t="s">
        <v>70</v>
      </c>
      <c r="H743" s="867">
        <v>4207.072459</v>
      </c>
      <c r="I743" s="867">
        <v>4766.201875</v>
      </c>
      <c r="J743" s="868">
        <v>3674.270928</v>
      </c>
      <c r="K743" s="50"/>
      <c r="L743" s="869" t="s">
        <v>632</v>
      </c>
      <c r="M743" s="865" t="s">
        <v>591</v>
      </c>
      <c r="N743" s="865" t="s">
        <v>667</v>
      </c>
      <c r="O743" s="866">
        <v>2004.0</v>
      </c>
      <c r="P743" s="865" t="s">
        <v>593</v>
      </c>
      <c r="Q743" s="865" t="s">
        <v>70</v>
      </c>
      <c r="R743" s="867">
        <v>1741.239256</v>
      </c>
      <c r="S743" s="867">
        <v>1912.167665</v>
      </c>
      <c r="T743" s="868">
        <v>1563.255772</v>
      </c>
      <c r="AN743" s="882"/>
      <c r="AO743" s="882"/>
      <c r="AP743" s="882"/>
      <c r="AY743" s="882"/>
      <c r="AZ743" s="882"/>
      <c r="BA743" s="882"/>
      <c r="BJ743" s="882"/>
      <c r="BK743" s="882"/>
      <c r="BL743" s="882"/>
      <c r="BU743" s="882"/>
      <c r="BV743" s="882"/>
      <c r="BW743" s="882"/>
      <c r="CF743" s="882"/>
      <c r="CG743" s="882"/>
      <c r="CH743" s="882"/>
      <c r="CI743" s="530"/>
    </row>
    <row r="744">
      <c r="A744" s="857"/>
      <c r="B744" s="865" t="s">
        <v>632</v>
      </c>
      <c r="C744" s="865" t="s">
        <v>591</v>
      </c>
      <c r="D744" s="865" t="s">
        <v>669</v>
      </c>
      <c r="E744" s="866">
        <v>2019.0</v>
      </c>
      <c r="F744" s="865" t="s">
        <v>593</v>
      </c>
      <c r="G744" s="865" t="s">
        <v>70</v>
      </c>
      <c r="H744" s="867">
        <v>2788.642836</v>
      </c>
      <c r="I744" s="867">
        <v>3159.259757</v>
      </c>
      <c r="J744" s="868">
        <v>2435.477259</v>
      </c>
      <c r="K744" s="50"/>
      <c r="L744" s="869" t="s">
        <v>632</v>
      </c>
      <c r="M744" s="865" t="s">
        <v>591</v>
      </c>
      <c r="N744" s="865" t="s">
        <v>669</v>
      </c>
      <c r="O744" s="866">
        <v>2004.0</v>
      </c>
      <c r="P744" s="865" t="s">
        <v>593</v>
      </c>
      <c r="Q744" s="865" t="s">
        <v>70</v>
      </c>
      <c r="R744" s="867">
        <v>1167.220756</v>
      </c>
      <c r="S744" s="867">
        <v>1281.800752</v>
      </c>
      <c r="T744" s="868">
        <v>1047.911467</v>
      </c>
      <c r="AN744" s="882"/>
      <c r="AO744" s="882"/>
      <c r="AP744" s="882"/>
      <c r="AY744" s="882"/>
      <c r="AZ744" s="882"/>
      <c r="BA744" s="882"/>
      <c r="BJ744" s="882"/>
      <c r="BK744" s="882"/>
      <c r="BL744" s="882"/>
      <c r="BU744" s="882"/>
      <c r="BV744" s="882"/>
      <c r="BW744" s="882"/>
      <c r="CF744" s="882"/>
      <c r="CG744" s="882"/>
      <c r="CH744" s="882"/>
      <c r="CI744" s="530"/>
    </row>
    <row r="745">
      <c r="A745" s="857"/>
      <c r="B745" s="865" t="s">
        <v>632</v>
      </c>
      <c r="C745" s="865" t="s">
        <v>591</v>
      </c>
      <c r="D745" s="865" t="s">
        <v>671</v>
      </c>
      <c r="E745" s="866">
        <v>2019.0</v>
      </c>
      <c r="F745" s="865" t="s">
        <v>593</v>
      </c>
      <c r="G745" s="865" t="s">
        <v>70</v>
      </c>
      <c r="H745" s="867">
        <v>1418.451163</v>
      </c>
      <c r="I745" s="867">
        <v>1606.970881</v>
      </c>
      <c r="J745" s="868">
        <v>1238.692817</v>
      </c>
      <c r="K745" s="50"/>
      <c r="L745" s="869" t="s">
        <v>632</v>
      </c>
      <c r="M745" s="865" t="s">
        <v>591</v>
      </c>
      <c r="N745" s="865" t="s">
        <v>671</v>
      </c>
      <c r="O745" s="866">
        <v>2004.0</v>
      </c>
      <c r="P745" s="865" t="s">
        <v>593</v>
      </c>
      <c r="Q745" s="865" t="s">
        <v>70</v>
      </c>
      <c r="R745" s="867">
        <v>574.0252144</v>
      </c>
      <c r="S745" s="867">
        <v>630.3821989</v>
      </c>
      <c r="T745" s="868">
        <v>515.3035978</v>
      </c>
      <c r="AN745" s="882"/>
      <c r="AO745" s="882"/>
      <c r="AP745" s="882"/>
      <c r="AY745" s="882"/>
      <c r="AZ745" s="882"/>
      <c r="BA745" s="882"/>
      <c r="BJ745" s="882"/>
      <c r="BK745" s="882"/>
      <c r="BL745" s="882"/>
      <c r="BU745" s="882"/>
      <c r="BV745" s="882"/>
      <c r="BW745" s="882"/>
      <c r="CF745" s="882"/>
      <c r="CG745" s="882"/>
      <c r="CH745" s="882"/>
      <c r="CI745" s="530"/>
    </row>
    <row r="746">
      <c r="A746" s="857"/>
      <c r="B746" s="865" t="s">
        <v>632</v>
      </c>
      <c r="C746" s="865" t="s">
        <v>591</v>
      </c>
      <c r="D746" s="865" t="s">
        <v>673</v>
      </c>
      <c r="E746" s="866">
        <v>2019.0</v>
      </c>
      <c r="F746" s="865" t="s">
        <v>593</v>
      </c>
      <c r="G746" s="865" t="s">
        <v>70</v>
      </c>
      <c r="H746" s="867">
        <v>1048.640031</v>
      </c>
      <c r="I746" s="867">
        <v>1188.006656</v>
      </c>
      <c r="J746" s="868">
        <v>915.8358023</v>
      </c>
      <c r="K746" s="50"/>
      <c r="L746" s="869" t="s">
        <v>632</v>
      </c>
      <c r="M746" s="865" t="s">
        <v>591</v>
      </c>
      <c r="N746" s="865" t="s">
        <v>673</v>
      </c>
      <c r="O746" s="866">
        <v>2004.0</v>
      </c>
      <c r="P746" s="865" t="s">
        <v>593</v>
      </c>
      <c r="Q746" s="865" t="s">
        <v>70</v>
      </c>
      <c r="R746" s="867">
        <v>429.9968298</v>
      </c>
      <c r="S746" s="867">
        <v>472.2073839</v>
      </c>
      <c r="T746" s="868">
        <v>386.0440336</v>
      </c>
      <c r="AN746" s="882"/>
      <c r="AO746" s="882"/>
      <c r="AP746" s="882"/>
      <c r="AY746" s="882"/>
      <c r="AZ746" s="882"/>
      <c r="BA746" s="882"/>
      <c r="BJ746" s="882"/>
      <c r="BK746" s="882"/>
      <c r="BL746" s="882"/>
      <c r="BU746" s="882"/>
      <c r="BV746" s="882"/>
      <c r="BW746" s="882"/>
      <c r="CF746" s="882"/>
      <c r="CG746" s="882"/>
      <c r="CH746" s="882"/>
      <c r="CI746" s="530"/>
    </row>
    <row r="747">
      <c r="A747" s="857"/>
      <c r="B747" s="865" t="s">
        <v>632</v>
      </c>
      <c r="C747" s="865" t="s">
        <v>591</v>
      </c>
      <c r="D747" s="865" t="s">
        <v>674</v>
      </c>
      <c r="E747" s="866">
        <v>2019.0</v>
      </c>
      <c r="F747" s="865" t="s">
        <v>593</v>
      </c>
      <c r="G747" s="865" t="s">
        <v>70</v>
      </c>
      <c r="H747" s="867">
        <v>302.53896</v>
      </c>
      <c r="I747" s="867">
        <v>342.7470699</v>
      </c>
      <c r="J747" s="868">
        <v>264.2241406</v>
      </c>
      <c r="K747" s="50"/>
      <c r="L747" s="869" t="s">
        <v>632</v>
      </c>
      <c r="M747" s="865" t="s">
        <v>591</v>
      </c>
      <c r="N747" s="865" t="s">
        <v>674</v>
      </c>
      <c r="O747" s="866">
        <v>2004.0</v>
      </c>
      <c r="P747" s="865" t="s">
        <v>593</v>
      </c>
      <c r="Q747" s="865" t="s">
        <v>70</v>
      </c>
      <c r="R747" s="867">
        <v>121.2161522</v>
      </c>
      <c r="S747" s="867">
        <v>133.1153119</v>
      </c>
      <c r="T747" s="868">
        <v>108.8258543</v>
      </c>
      <c r="AN747" s="882"/>
      <c r="AO747" s="882"/>
      <c r="AP747" s="882"/>
      <c r="AY747" s="882"/>
      <c r="AZ747" s="882"/>
      <c r="BA747" s="882"/>
      <c r="BJ747" s="882"/>
      <c r="BK747" s="882"/>
      <c r="BL747" s="882"/>
      <c r="BU747" s="882"/>
      <c r="BV747" s="882"/>
      <c r="BW747" s="882"/>
      <c r="CF747" s="882"/>
      <c r="CG747" s="882"/>
      <c r="CH747" s="882"/>
      <c r="CI747" s="530"/>
    </row>
    <row r="748">
      <c r="A748" s="857"/>
      <c r="B748" s="865" t="s">
        <v>632</v>
      </c>
      <c r="C748" s="865" t="s">
        <v>591</v>
      </c>
      <c r="D748" s="865" t="s">
        <v>676</v>
      </c>
      <c r="E748" s="866">
        <v>2019.0</v>
      </c>
      <c r="F748" s="865" t="s">
        <v>593</v>
      </c>
      <c r="G748" s="865" t="s">
        <v>70</v>
      </c>
      <c r="H748" s="867">
        <v>67.25063184</v>
      </c>
      <c r="I748" s="867">
        <v>76.18839244</v>
      </c>
      <c r="J748" s="868">
        <v>58.73372609</v>
      </c>
      <c r="K748" s="50"/>
      <c r="L748" s="869" t="s">
        <v>632</v>
      </c>
      <c r="M748" s="865" t="s">
        <v>591</v>
      </c>
      <c r="N748" s="865" t="s">
        <v>676</v>
      </c>
      <c r="O748" s="866">
        <v>2004.0</v>
      </c>
      <c r="P748" s="865" t="s">
        <v>593</v>
      </c>
      <c r="Q748" s="865" t="s">
        <v>70</v>
      </c>
      <c r="R748" s="867">
        <v>22.80551788</v>
      </c>
      <c r="S748" s="867">
        <v>25.04421706</v>
      </c>
      <c r="T748" s="868">
        <v>20.47441633</v>
      </c>
      <c r="AN748" s="882"/>
      <c r="AO748" s="882"/>
      <c r="AP748" s="882"/>
      <c r="AY748" s="882"/>
      <c r="AZ748" s="882"/>
      <c r="BA748" s="882"/>
      <c r="BJ748" s="882"/>
      <c r="BK748" s="882"/>
      <c r="BL748" s="882"/>
      <c r="BU748" s="882"/>
      <c r="BV748" s="882"/>
      <c r="BW748" s="882"/>
      <c r="CF748" s="882"/>
      <c r="CG748" s="882"/>
      <c r="CH748" s="882"/>
      <c r="CI748" s="530"/>
    </row>
    <row r="749">
      <c r="A749" s="857"/>
      <c r="B749" s="865" t="s">
        <v>632</v>
      </c>
      <c r="C749" s="865" t="s">
        <v>591</v>
      </c>
      <c r="D749" s="865" t="s">
        <v>678</v>
      </c>
      <c r="E749" s="866">
        <v>2019.0</v>
      </c>
      <c r="F749" s="865" t="s">
        <v>593</v>
      </c>
      <c r="G749" s="865" t="s">
        <v>70</v>
      </c>
      <c r="H749" s="867">
        <v>1202796.732</v>
      </c>
      <c r="I749" s="867">
        <v>1362651.13</v>
      </c>
      <c r="J749" s="868">
        <v>1050469.444</v>
      </c>
      <c r="K749" s="50"/>
      <c r="L749" s="869" t="s">
        <v>632</v>
      </c>
      <c r="M749" s="865" t="s">
        <v>591</v>
      </c>
      <c r="N749" s="865" t="s">
        <v>678</v>
      </c>
      <c r="O749" s="866">
        <v>2004.0</v>
      </c>
      <c r="P749" s="865" t="s">
        <v>593</v>
      </c>
      <c r="Q749" s="865" t="s">
        <v>70</v>
      </c>
      <c r="R749" s="867">
        <v>745496.3158</v>
      </c>
      <c r="S749" s="867">
        <v>818677.8149</v>
      </c>
      <c r="T749" s="868">
        <v>669294.248</v>
      </c>
      <c r="AN749" s="882"/>
      <c r="AO749" s="882"/>
      <c r="AP749" s="882"/>
      <c r="AY749" s="882"/>
      <c r="AZ749" s="882"/>
      <c r="BA749" s="882"/>
      <c r="BJ749" s="882"/>
      <c r="BK749" s="882"/>
      <c r="BL749" s="882"/>
      <c r="BU749" s="882"/>
      <c r="BV749" s="882"/>
      <c r="BW749" s="882"/>
      <c r="CF749" s="882"/>
      <c r="CG749" s="882"/>
      <c r="CH749" s="882"/>
      <c r="CI749" s="530"/>
    </row>
    <row r="750">
      <c r="A750" s="857"/>
      <c r="B750" s="865" t="s">
        <v>632</v>
      </c>
      <c r="C750" s="865" t="s">
        <v>591</v>
      </c>
      <c r="D750" s="865" t="s">
        <v>680</v>
      </c>
      <c r="E750" s="866">
        <v>2019.0</v>
      </c>
      <c r="F750" s="865" t="s">
        <v>593</v>
      </c>
      <c r="G750" s="865" t="s">
        <v>70</v>
      </c>
      <c r="H750" s="867">
        <v>35464.26302</v>
      </c>
      <c r="I750" s="867">
        <v>40572.41803</v>
      </c>
      <c r="J750" s="868">
        <v>30752.69749</v>
      </c>
      <c r="K750" s="50"/>
      <c r="L750" s="869" t="s">
        <v>632</v>
      </c>
      <c r="M750" s="865" t="s">
        <v>591</v>
      </c>
      <c r="N750" s="865" t="s">
        <v>680</v>
      </c>
      <c r="O750" s="866">
        <v>2004.0</v>
      </c>
      <c r="P750" s="865" t="s">
        <v>593</v>
      </c>
      <c r="Q750" s="865" t="s">
        <v>70</v>
      </c>
      <c r="R750" s="867">
        <v>32121.27237</v>
      </c>
      <c r="S750" s="867">
        <v>34721.20899</v>
      </c>
      <c r="T750" s="868">
        <v>29335.88437</v>
      </c>
      <c r="AN750" s="882"/>
      <c r="AO750" s="882"/>
      <c r="AP750" s="882"/>
      <c r="AY750" s="882"/>
      <c r="AZ750" s="882"/>
      <c r="BA750" s="882"/>
      <c r="BJ750" s="882"/>
      <c r="BK750" s="882"/>
      <c r="BL750" s="882"/>
      <c r="BU750" s="882"/>
      <c r="BV750" s="882"/>
      <c r="BW750" s="882"/>
      <c r="CF750" s="882"/>
      <c r="CG750" s="882"/>
      <c r="CH750" s="882"/>
      <c r="CI750" s="530"/>
    </row>
    <row r="751">
      <c r="A751" s="857"/>
      <c r="B751" s="865" t="s">
        <v>632</v>
      </c>
      <c r="C751" s="865" t="s">
        <v>591</v>
      </c>
      <c r="D751" s="865" t="s">
        <v>682</v>
      </c>
      <c r="E751" s="866">
        <v>2019.0</v>
      </c>
      <c r="F751" s="865" t="s">
        <v>593</v>
      </c>
      <c r="G751" s="865" t="s">
        <v>70</v>
      </c>
      <c r="H751" s="867">
        <v>657.5583823</v>
      </c>
      <c r="I751" s="867">
        <v>744.9493739</v>
      </c>
      <c r="J751" s="868">
        <v>574.2823948</v>
      </c>
      <c r="K751" s="50"/>
      <c r="L751" s="869" t="s">
        <v>632</v>
      </c>
      <c r="M751" s="865" t="s">
        <v>591</v>
      </c>
      <c r="N751" s="865" t="s">
        <v>682</v>
      </c>
      <c r="O751" s="866">
        <v>2004.0</v>
      </c>
      <c r="P751" s="865" t="s">
        <v>593</v>
      </c>
      <c r="Q751" s="865" t="s">
        <v>70</v>
      </c>
      <c r="R751" s="867">
        <v>573.1993558</v>
      </c>
      <c r="S751" s="867">
        <v>629.4673578</v>
      </c>
      <c r="T751" s="868">
        <v>514.6088903</v>
      </c>
      <c r="AN751" s="882"/>
      <c r="AO751" s="882"/>
      <c r="AP751" s="882"/>
      <c r="AY751" s="882"/>
      <c r="AZ751" s="882"/>
      <c r="BA751" s="882"/>
      <c r="BJ751" s="882"/>
      <c r="BK751" s="882"/>
      <c r="BL751" s="882"/>
      <c r="BU751" s="882"/>
      <c r="BV751" s="882"/>
      <c r="BW751" s="882"/>
      <c r="CF751" s="882"/>
      <c r="CG751" s="882"/>
      <c r="CH751" s="882"/>
      <c r="CI751" s="530"/>
    </row>
    <row r="752">
      <c r="A752" s="857"/>
      <c r="B752" s="865" t="s">
        <v>632</v>
      </c>
      <c r="C752" s="865" t="s">
        <v>591</v>
      </c>
      <c r="D752" s="865" t="s">
        <v>684</v>
      </c>
      <c r="E752" s="866">
        <v>2019.0</v>
      </c>
      <c r="F752" s="865" t="s">
        <v>593</v>
      </c>
      <c r="G752" s="865" t="s">
        <v>70</v>
      </c>
      <c r="H752" s="867">
        <v>1951.06455</v>
      </c>
      <c r="I752" s="867">
        <v>2210.365427</v>
      </c>
      <c r="J752" s="868">
        <v>1703.973445</v>
      </c>
      <c r="K752" s="50"/>
      <c r="L752" s="869" t="s">
        <v>632</v>
      </c>
      <c r="M752" s="865" t="s">
        <v>591</v>
      </c>
      <c r="N752" s="865" t="s">
        <v>684</v>
      </c>
      <c r="O752" s="866">
        <v>2004.0</v>
      </c>
      <c r="P752" s="865" t="s">
        <v>593</v>
      </c>
      <c r="Q752" s="865" t="s">
        <v>70</v>
      </c>
      <c r="R752" s="867">
        <v>1693.276754</v>
      </c>
      <c r="S752" s="867">
        <v>1859.496934</v>
      </c>
      <c r="T752" s="868">
        <v>1520.195832</v>
      </c>
      <c r="AN752" s="882"/>
      <c r="AO752" s="882"/>
      <c r="AP752" s="882"/>
      <c r="AY752" s="882"/>
      <c r="AZ752" s="882"/>
      <c r="BA752" s="882"/>
      <c r="BJ752" s="882"/>
      <c r="BK752" s="882"/>
      <c r="BL752" s="882"/>
      <c r="BU752" s="882"/>
      <c r="BV752" s="882"/>
      <c r="BW752" s="882"/>
      <c r="CF752" s="882"/>
      <c r="CG752" s="882"/>
      <c r="CH752" s="882"/>
      <c r="CI752" s="530"/>
    </row>
    <row r="753">
      <c r="A753" s="857"/>
      <c r="B753" s="865" t="s">
        <v>632</v>
      </c>
      <c r="C753" s="865" t="s">
        <v>591</v>
      </c>
      <c r="D753" s="865" t="s">
        <v>686</v>
      </c>
      <c r="E753" s="866">
        <v>2019.0</v>
      </c>
      <c r="F753" s="865" t="s">
        <v>593</v>
      </c>
      <c r="G753" s="865" t="s">
        <v>70</v>
      </c>
      <c r="H753" s="867">
        <v>2608.622932</v>
      </c>
      <c r="I753" s="867">
        <v>2955.314801</v>
      </c>
      <c r="J753" s="868">
        <v>2278.25584</v>
      </c>
      <c r="K753" s="50"/>
      <c r="L753" s="869" t="s">
        <v>632</v>
      </c>
      <c r="M753" s="865" t="s">
        <v>591</v>
      </c>
      <c r="N753" s="865" t="s">
        <v>686</v>
      </c>
      <c r="O753" s="866">
        <v>2004.0</v>
      </c>
      <c r="P753" s="865" t="s">
        <v>593</v>
      </c>
      <c r="Q753" s="865" t="s">
        <v>70</v>
      </c>
      <c r="R753" s="867">
        <v>2266.47611</v>
      </c>
      <c r="S753" s="867">
        <v>2488.964291</v>
      </c>
      <c r="T753" s="868">
        <v>2034.804722</v>
      </c>
      <c r="AN753" s="882"/>
      <c r="AO753" s="882"/>
      <c r="AP753" s="882"/>
      <c r="AY753" s="882"/>
      <c r="AZ753" s="882"/>
      <c r="BA753" s="882"/>
      <c r="BJ753" s="882"/>
      <c r="BK753" s="882"/>
      <c r="BL753" s="882"/>
      <c r="BU753" s="882"/>
      <c r="BV753" s="882"/>
      <c r="BW753" s="882"/>
      <c r="CF753" s="882"/>
      <c r="CG753" s="882"/>
      <c r="CH753" s="882"/>
      <c r="CI753" s="530"/>
    </row>
    <row r="754">
      <c r="A754" s="857"/>
      <c r="B754" s="865" t="s">
        <v>632</v>
      </c>
      <c r="C754" s="865" t="s">
        <v>591</v>
      </c>
      <c r="D754" s="865" t="s">
        <v>688</v>
      </c>
      <c r="E754" s="866">
        <v>2019.0</v>
      </c>
      <c r="F754" s="865" t="s">
        <v>593</v>
      </c>
      <c r="G754" s="865" t="s">
        <v>70</v>
      </c>
      <c r="H754" s="867">
        <v>30914.0948</v>
      </c>
      <c r="I754" s="867">
        <v>35022.6477</v>
      </c>
      <c r="J754" s="868">
        <v>26999.00249</v>
      </c>
      <c r="K754" s="50"/>
      <c r="L754" s="869" t="s">
        <v>632</v>
      </c>
      <c r="M754" s="865" t="s">
        <v>591</v>
      </c>
      <c r="N754" s="865" t="s">
        <v>688</v>
      </c>
      <c r="O754" s="866">
        <v>2004.0</v>
      </c>
      <c r="P754" s="865" t="s">
        <v>593</v>
      </c>
      <c r="Q754" s="865" t="s">
        <v>70</v>
      </c>
      <c r="R754" s="867">
        <v>26398.47923</v>
      </c>
      <c r="S754" s="867">
        <v>28989.88075</v>
      </c>
      <c r="T754" s="868">
        <v>23700.11753</v>
      </c>
      <c r="AN754" s="882"/>
      <c r="AO754" s="882"/>
      <c r="AP754" s="882"/>
      <c r="AY754" s="882"/>
      <c r="AZ754" s="882"/>
      <c r="BA754" s="882"/>
      <c r="BJ754" s="882"/>
      <c r="BK754" s="882"/>
      <c r="BL754" s="882"/>
      <c r="BU754" s="882"/>
      <c r="BV754" s="882"/>
      <c r="BW754" s="882"/>
      <c r="CF754" s="882"/>
      <c r="CG754" s="882"/>
      <c r="CH754" s="882"/>
      <c r="CI754" s="530"/>
    </row>
    <row r="755">
      <c r="A755" s="857"/>
      <c r="B755" s="865" t="s">
        <v>632</v>
      </c>
      <c r="C755" s="865" t="s">
        <v>591</v>
      </c>
      <c r="D755" s="865" t="s">
        <v>689</v>
      </c>
      <c r="E755" s="866">
        <v>2019.0</v>
      </c>
      <c r="F755" s="865" t="s">
        <v>593</v>
      </c>
      <c r="G755" s="865" t="s">
        <v>70</v>
      </c>
      <c r="H755" s="867">
        <v>159166.3479</v>
      </c>
      <c r="I755" s="867">
        <v>180319.9144</v>
      </c>
      <c r="J755" s="868">
        <v>139008.8453</v>
      </c>
      <c r="K755" s="50"/>
      <c r="L755" s="869" t="s">
        <v>632</v>
      </c>
      <c r="M755" s="865" t="s">
        <v>591</v>
      </c>
      <c r="N755" s="865" t="s">
        <v>689</v>
      </c>
      <c r="O755" s="866">
        <v>2004.0</v>
      </c>
      <c r="P755" s="865" t="s">
        <v>593</v>
      </c>
      <c r="Q755" s="865" t="s">
        <v>70</v>
      </c>
      <c r="R755" s="867">
        <v>119893.2656</v>
      </c>
      <c r="S755" s="867">
        <v>131662.5644</v>
      </c>
      <c r="T755" s="868">
        <v>107638.1886</v>
      </c>
      <c r="AN755" s="882"/>
      <c r="AO755" s="882"/>
      <c r="AP755" s="882"/>
      <c r="AY755" s="882"/>
      <c r="AZ755" s="882"/>
      <c r="BA755" s="882"/>
      <c r="BJ755" s="882"/>
      <c r="BK755" s="882"/>
      <c r="BL755" s="882"/>
      <c r="BU755" s="882"/>
      <c r="BV755" s="882"/>
      <c r="BW755" s="882"/>
      <c r="CF755" s="882"/>
      <c r="CG755" s="882"/>
      <c r="CH755" s="882"/>
      <c r="CI755" s="530"/>
    </row>
    <row r="756">
      <c r="A756" s="857"/>
      <c r="B756" s="865" t="s">
        <v>634</v>
      </c>
      <c r="C756" s="865" t="s">
        <v>591</v>
      </c>
      <c r="D756" s="865" t="s">
        <v>592</v>
      </c>
      <c r="E756" s="866">
        <v>2019.0</v>
      </c>
      <c r="F756" s="865" t="s">
        <v>593</v>
      </c>
      <c r="G756" s="865" t="s">
        <v>70</v>
      </c>
      <c r="H756" s="867">
        <v>37325.08952</v>
      </c>
      <c r="I756" s="867">
        <v>40822.82429</v>
      </c>
      <c r="J756" s="868">
        <v>33927.56123</v>
      </c>
      <c r="K756" s="50"/>
      <c r="L756" s="869" t="s">
        <v>634</v>
      </c>
      <c r="M756" s="865" t="s">
        <v>591</v>
      </c>
      <c r="N756" s="865" t="s">
        <v>592</v>
      </c>
      <c r="O756" s="866">
        <v>2004.0</v>
      </c>
      <c r="P756" s="865" t="s">
        <v>593</v>
      </c>
      <c r="Q756" s="865" t="s">
        <v>70</v>
      </c>
      <c r="R756" s="867">
        <v>33015.20284</v>
      </c>
      <c r="S756" s="867">
        <v>37621.39704</v>
      </c>
      <c r="T756" s="868">
        <v>28504.10892</v>
      </c>
      <c r="AN756" s="882"/>
      <c r="AO756" s="882"/>
      <c r="AP756" s="882"/>
      <c r="AY756" s="882"/>
      <c r="AZ756" s="882"/>
      <c r="BA756" s="882"/>
      <c r="BJ756" s="882"/>
      <c r="BK756" s="882"/>
      <c r="BL756" s="882"/>
      <c r="BU756" s="882"/>
      <c r="BV756" s="882"/>
      <c r="BW756" s="882"/>
      <c r="CF756" s="882"/>
      <c r="CG756" s="882"/>
      <c r="CH756" s="882"/>
      <c r="CI756" s="530"/>
    </row>
    <row r="757">
      <c r="A757" s="857"/>
      <c r="B757" s="865" t="s">
        <v>634</v>
      </c>
      <c r="C757" s="865" t="s">
        <v>591</v>
      </c>
      <c r="D757" s="865" t="s">
        <v>601</v>
      </c>
      <c r="E757" s="866">
        <v>2019.0</v>
      </c>
      <c r="F757" s="865" t="s">
        <v>593</v>
      </c>
      <c r="G757" s="865" t="s">
        <v>70</v>
      </c>
      <c r="H757" s="867">
        <v>746650.6032</v>
      </c>
      <c r="I757" s="867">
        <v>816619.2438</v>
      </c>
      <c r="J757" s="868">
        <v>678686.4915</v>
      </c>
      <c r="K757" s="50"/>
      <c r="L757" s="869" t="s">
        <v>634</v>
      </c>
      <c r="M757" s="865" t="s">
        <v>591</v>
      </c>
      <c r="N757" s="865" t="s">
        <v>601</v>
      </c>
      <c r="O757" s="866">
        <v>2004.0</v>
      </c>
      <c r="P757" s="865" t="s">
        <v>593</v>
      </c>
      <c r="Q757" s="865" t="s">
        <v>70</v>
      </c>
      <c r="R757" s="867">
        <v>485483.6917</v>
      </c>
      <c r="S757" s="867">
        <v>553217.0985</v>
      </c>
      <c r="T757" s="868">
        <v>419148.7205</v>
      </c>
      <c r="AN757" s="882"/>
      <c r="AO757" s="882"/>
      <c r="AP757" s="882"/>
      <c r="AY757" s="882"/>
      <c r="AZ757" s="882"/>
      <c r="BA757" s="882"/>
      <c r="BJ757" s="882"/>
      <c r="BK757" s="882"/>
      <c r="BL757" s="882"/>
      <c r="BU757" s="882"/>
      <c r="BV757" s="882"/>
      <c r="BW757" s="882"/>
      <c r="CF757" s="882"/>
      <c r="CG757" s="882"/>
      <c r="CH757" s="882"/>
      <c r="CI757" s="530"/>
    </row>
    <row r="758">
      <c r="A758" s="857"/>
      <c r="B758" s="865" t="s">
        <v>634</v>
      </c>
      <c r="C758" s="865" t="s">
        <v>591</v>
      </c>
      <c r="D758" s="865" t="s">
        <v>606</v>
      </c>
      <c r="E758" s="866">
        <v>2019.0</v>
      </c>
      <c r="F758" s="865" t="s">
        <v>593</v>
      </c>
      <c r="G758" s="865" t="s">
        <v>70</v>
      </c>
      <c r="H758" s="867">
        <v>564396.2345</v>
      </c>
      <c r="I758" s="867">
        <v>617285.8152</v>
      </c>
      <c r="J758" s="868">
        <v>513021.8855</v>
      </c>
      <c r="K758" s="50"/>
      <c r="L758" s="869" t="s">
        <v>634</v>
      </c>
      <c r="M758" s="865" t="s">
        <v>591</v>
      </c>
      <c r="N758" s="865" t="s">
        <v>606</v>
      </c>
      <c r="O758" s="866">
        <v>2004.0</v>
      </c>
      <c r="P758" s="865" t="s">
        <v>593</v>
      </c>
      <c r="Q758" s="865" t="s">
        <v>70</v>
      </c>
      <c r="R758" s="867">
        <v>392245.185</v>
      </c>
      <c r="S758" s="867">
        <v>446970.2008</v>
      </c>
      <c r="T758" s="868">
        <v>338650.0313</v>
      </c>
      <c r="AN758" s="882"/>
      <c r="AO758" s="882"/>
      <c r="AP758" s="882"/>
      <c r="AY758" s="882"/>
      <c r="AZ758" s="882"/>
      <c r="BA758" s="882"/>
      <c r="BJ758" s="882"/>
      <c r="BK758" s="882"/>
      <c r="BL758" s="882"/>
      <c r="BU758" s="882"/>
      <c r="BV758" s="882"/>
      <c r="BW758" s="882"/>
      <c r="CF758" s="882"/>
      <c r="CG758" s="882"/>
      <c r="CH758" s="882"/>
      <c r="CI758" s="530"/>
    </row>
    <row r="759">
      <c r="A759" s="857"/>
      <c r="B759" s="865" t="s">
        <v>634</v>
      </c>
      <c r="C759" s="865" t="s">
        <v>591</v>
      </c>
      <c r="D759" s="865" t="s">
        <v>608</v>
      </c>
      <c r="E759" s="866">
        <v>2019.0</v>
      </c>
      <c r="F759" s="865" t="s">
        <v>593</v>
      </c>
      <c r="G759" s="865" t="s">
        <v>70</v>
      </c>
      <c r="H759" s="867">
        <v>147708.0571</v>
      </c>
      <c r="I759" s="867">
        <v>161549.7816</v>
      </c>
      <c r="J759" s="868">
        <v>134262.8836</v>
      </c>
      <c r="K759" s="50"/>
      <c r="L759" s="869" t="s">
        <v>634</v>
      </c>
      <c r="M759" s="865" t="s">
        <v>591</v>
      </c>
      <c r="N759" s="865" t="s">
        <v>608</v>
      </c>
      <c r="O759" s="866">
        <v>2004.0</v>
      </c>
      <c r="P759" s="865" t="s">
        <v>593</v>
      </c>
      <c r="Q759" s="865" t="s">
        <v>70</v>
      </c>
      <c r="R759" s="867">
        <v>120931.8599</v>
      </c>
      <c r="S759" s="867">
        <v>137803.9547</v>
      </c>
      <c r="T759" s="868">
        <v>104408.1093</v>
      </c>
      <c r="AN759" s="882"/>
      <c r="AO759" s="882"/>
      <c r="AP759" s="882"/>
      <c r="AY759" s="882"/>
      <c r="AZ759" s="882"/>
      <c r="BA759" s="882"/>
      <c r="BJ759" s="882"/>
      <c r="BK759" s="882"/>
      <c r="BL759" s="882"/>
      <c r="BU759" s="882"/>
      <c r="BV759" s="882"/>
      <c r="BW759" s="882"/>
      <c r="CF759" s="882"/>
      <c r="CG759" s="882"/>
      <c r="CH759" s="882"/>
      <c r="CI759" s="530"/>
    </row>
    <row r="760">
      <c r="A760" s="857"/>
      <c r="B760" s="865" t="s">
        <v>634</v>
      </c>
      <c r="C760" s="865" t="s">
        <v>591</v>
      </c>
      <c r="D760" s="865" t="s">
        <v>610</v>
      </c>
      <c r="E760" s="866">
        <v>2019.0</v>
      </c>
      <c r="F760" s="865" t="s">
        <v>593</v>
      </c>
      <c r="G760" s="865" t="s">
        <v>70</v>
      </c>
      <c r="H760" s="867">
        <v>191108.3003</v>
      </c>
      <c r="I760" s="867">
        <v>209017.0624</v>
      </c>
      <c r="J760" s="868">
        <v>173712.6057</v>
      </c>
      <c r="K760" s="50"/>
      <c r="L760" s="869" t="s">
        <v>634</v>
      </c>
      <c r="M760" s="865" t="s">
        <v>591</v>
      </c>
      <c r="N760" s="865" t="s">
        <v>610</v>
      </c>
      <c r="O760" s="866">
        <v>2004.0</v>
      </c>
      <c r="P760" s="865" t="s">
        <v>593</v>
      </c>
      <c r="Q760" s="865" t="s">
        <v>70</v>
      </c>
      <c r="R760" s="867">
        <v>110126.0559</v>
      </c>
      <c r="S760" s="867">
        <v>125490.5533</v>
      </c>
      <c r="T760" s="868">
        <v>95078.7765</v>
      </c>
      <c r="AN760" s="882"/>
      <c r="AO760" s="882"/>
      <c r="AP760" s="882"/>
      <c r="AY760" s="882"/>
      <c r="AZ760" s="882"/>
      <c r="BA760" s="882"/>
      <c r="BJ760" s="882"/>
      <c r="BK760" s="882"/>
      <c r="BL760" s="882"/>
      <c r="BU760" s="882"/>
      <c r="BV760" s="882"/>
      <c r="BW760" s="882"/>
      <c r="CF760" s="882"/>
      <c r="CG760" s="882"/>
      <c r="CH760" s="882"/>
      <c r="CI760" s="530"/>
    </row>
    <row r="761">
      <c r="A761" s="857"/>
      <c r="B761" s="865" t="s">
        <v>634</v>
      </c>
      <c r="C761" s="865" t="s">
        <v>591</v>
      </c>
      <c r="D761" s="865" t="s">
        <v>612</v>
      </c>
      <c r="E761" s="866">
        <v>2019.0</v>
      </c>
      <c r="F761" s="865" t="s">
        <v>593</v>
      </c>
      <c r="G761" s="865" t="s">
        <v>70</v>
      </c>
      <c r="H761" s="867">
        <v>373362.669</v>
      </c>
      <c r="I761" s="867">
        <v>408350.491</v>
      </c>
      <c r="J761" s="868">
        <v>339377.2118</v>
      </c>
      <c r="K761" s="50"/>
      <c r="L761" s="869" t="s">
        <v>634</v>
      </c>
      <c r="M761" s="865" t="s">
        <v>591</v>
      </c>
      <c r="N761" s="865" t="s">
        <v>612</v>
      </c>
      <c r="O761" s="866">
        <v>2004.0</v>
      </c>
      <c r="P761" s="865" t="s">
        <v>593</v>
      </c>
      <c r="Q761" s="865" t="s">
        <v>70</v>
      </c>
      <c r="R761" s="867">
        <v>203364.5626</v>
      </c>
      <c r="S761" s="867">
        <v>231737.4511</v>
      </c>
      <c r="T761" s="868">
        <v>175577.4656</v>
      </c>
      <c r="AN761" s="882"/>
      <c r="AO761" s="882"/>
      <c r="AP761" s="882"/>
      <c r="AY761" s="882"/>
      <c r="AZ761" s="882"/>
      <c r="BA761" s="882"/>
      <c r="BJ761" s="882"/>
      <c r="BK761" s="882"/>
      <c r="BL761" s="882"/>
      <c r="BU761" s="882"/>
      <c r="BV761" s="882"/>
      <c r="BW761" s="882"/>
      <c r="CF761" s="882"/>
      <c r="CG761" s="882"/>
      <c r="CH761" s="882"/>
      <c r="CI761" s="530"/>
    </row>
    <row r="762">
      <c r="A762" s="857"/>
      <c r="B762" s="865" t="s">
        <v>634</v>
      </c>
      <c r="C762" s="865" t="s">
        <v>591</v>
      </c>
      <c r="D762" s="865" t="s">
        <v>614</v>
      </c>
      <c r="E762" s="866">
        <v>2019.0</v>
      </c>
      <c r="F762" s="865" t="s">
        <v>593</v>
      </c>
      <c r="G762" s="865" t="s">
        <v>70</v>
      </c>
      <c r="H762" s="867">
        <v>530522.9518</v>
      </c>
      <c r="I762" s="867">
        <v>580238.2666</v>
      </c>
      <c r="J762" s="868">
        <v>482231.9292</v>
      </c>
      <c r="K762" s="50"/>
      <c r="L762" s="869" t="s">
        <v>634</v>
      </c>
      <c r="M762" s="865" t="s">
        <v>591</v>
      </c>
      <c r="N762" s="865" t="s">
        <v>614</v>
      </c>
      <c r="O762" s="866">
        <v>2004.0</v>
      </c>
      <c r="P762" s="865" t="s">
        <v>593</v>
      </c>
      <c r="Q762" s="865" t="s">
        <v>70</v>
      </c>
      <c r="R762" s="867">
        <v>276879.9149</v>
      </c>
      <c r="S762" s="867">
        <v>315509.4719</v>
      </c>
      <c r="T762" s="868">
        <v>239047.9105</v>
      </c>
      <c r="AN762" s="882"/>
      <c r="AO762" s="882"/>
      <c r="AP762" s="882"/>
      <c r="AY762" s="882"/>
      <c r="AZ762" s="882"/>
      <c r="BA762" s="882"/>
      <c r="BJ762" s="882"/>
      <c r="BK762" s="882"/>
      <c r="BL762" s="882"/>
      <c r="BU762" s="882"/>
      <c r="BV762" s="882"/>
      <c r="BW762" s="882"/>
      <c r="CF762" s="882"/>
      <c r="CG762" s="882"/>
      <c r="CH762" s="882"/>
      <c r="CI762" s="530"/>
    </row>
    <row r="763">
      <c r="A763" s="857"/>
      <c r="B763" s="865" t="s">
        <v>634</v>
      </c>
      <c r="C763" s="865" t="s">
        <v>591</v>
      </c>
      <c r="D763" s="865" t="s">
        <v>616</v>
      </c>
      <c r="E763" s="866">
        <v>2019.0</v>
      </c>
      <c r="F763" s="865" t="s">
        <v>593</v>
      </c>
      <c r="G763" s="865" t="s">
        <v>70</v>
      </c>
      <c r="H763" s="867">
        <v>182254.3686</v>
      </c>
      <c r="I763" s="867">
        <v>199333.4286</v>
      </c>
      <c r="J763" s="868">
        <v>165664.606</v>
      </c>
      <c r="K763" s="50"/>
      <c r="L763" s="869" t="s">
        <v>634</v>
      </c>
      <c r="M763" s="865" t="s">
        <v>591</v>
      </c>
      <c r="N763" s="865" t="s">
        <v>616</v>
      </c>
      <c r="O763" s="866">
        <v>2004.0</v>
      </c>
      <c r="P763" s="865" t="s">
        <v>593</v>
      </c>
      <c r="Q763" s="865" t="s">
        <v>70</v>
      </c>
      <c r="R763" s="867">
        <v>93238.50668</v>
      </c>
      <c r="S763" s="867">
        <v>106246.8977</v>
      </c>
      <c r="T763" s="868">
        <v>80498.68913</v>
      </c>
      <c r="AN763" s="882"/>
      <c r="AO763" s="882"/>
      <c r="AP763" s="882"/>
      <c r="AY763" s="882"/>
      <c r="AZ763" s="882"/>
      <c r="BA763" s="882"/>
      <c r="BJ763" s="882"/>
      <c r="BK763" s="882"/>
      <c r="BL763" s="882"/>
      <c r="BU763" s="882"/>
      <c r="BV763" s="882"/>
      <c r="BW763" s="882"/>
      <c r="CF763" s="882"/>
      <c r="CG763" s="882"/>
      <c r="CH763" s="882"/>
      <c r="CI763" s="530"/>
    </row>
    <row r="764">
      <c r="A764" s="857"/>
      <c r="B764" s="865" t="s">
        <v>634</v>
      </c>
      <c r="C764" s="865" t="s">
        <v>591</v>
      </c>
      <c r="D764" s="865" t="s">
        <v>618</v>
      </c>
      <c r="E764" s="866">
        <v>2019.0</v>
      </c>
      <c r="F764" s="865" t="s">
        <v>593</v>
      </c>
      <c r="G764" s="865" t="s">
        <v>70</v>
      </c>
      <c r="H764" s="867">
        <v>650802.8886</v>
      </c>
      <c r="I764" s="867">
        <v>711811.3484</v>
      </c>
      <c r="J764" s="868">
        <v>591557.0363</v>
      </c>
      <c r="K764" s="50"/>
      <c r="L764" s="869" t="s">
        <v>634</v>
      </c>
      <c r="M764" s="865" t="s">
        <v>591</v>
      </c>
      <c r="N764" s="865" t="s">
        <v>618</v>
      </c>
      <c r="O764" s="866">
        <v>2004.0</v>
      </c>
      <c r="P764" s="865" t="s">
        <v>593</v>
      </c>
      <c r="Q764" s="865" t="s">
        <v>70</v>
      </c>
      <c r="R764" s="867">
        <v>301554.2967</v>
      </c>
      <c r="S764" s="867">
        <v>343654.6121</v>
      </c>
      <c r="T764" s="868">
        <v>260350.6348</v>
      </c>
      <c r="AN764" s="882"/>
      <c r="AO764" s="882"/>
      <c r="AP764" s="882"/>
      <c r="AY764" s="882"/>
      <c r="AZ764" s="882"/>
      <c r="BA764" s="882"/>
      <c r="BJ764" s="882"/>
      <c r="BK764" s="882"/>
      <c r="BL764" s="882"/>
      <c r="BU764" s="882"/>
      <c r="BV764" s="882"/>
      <c r="BW764" s="882"/>
      <c r="CF764" s="882"/>
      <c r="CG764" s="882"/>
      <c r="CH764" s="882"/>
      <c r="CI764" s="530"/>
    </row>
    <row r="765">
      <c r="A765" s="857"/>
      <c r="B765" s="865" t="s">
        <v>634</v>
      </c>
      <c r="C765" s="865" t="s">
        <v>591</v>
      </c>
      <c r="D765" s="865" t="s">
        <v>620</v>
      </c>
      <c r="E765" s="866">
        <v>2019.0</v>
      </c>
      <c r="F765" s="865" t="s">
        <v>593</v>
      </c>
      <c r="G765" s="865" t="s">
        <v>70</v>
      </c>
      <c r="H765" s="867">
        <v>748382.9039</v>
      </c>
      <c r="I765" s="867">
        <v>818513.8785</v>
      </c>
      <c r="J765" s="868">
        <v>680261.109</v>
      </c>
      <c r="K765" s="50"/>
      <c r="L765" s="869" t="s">
        <v>634</v>
      </c>
      <c r="M765" s="865" t="s">
        <v>591</v>
      </c>
      <c r="N765" s="865" t="s">
        <v>620</v>
      </c>
      <c r="O765" s="866">
        <v>2004.0</v>
      </c>
      <c r="P765" s="865" t="s">
        <v>593</v>
      </c>
      <c r="Q765" s="865" t="s">
        <v>70</v>
      </c>
      <c r="R765" s="867">
        <v>351055.9825</v>
      </c>
      <c r="S765" s="867">
        <v>400034.3891</v>
      </c>
      <c r="T765" s="868">
        <v>303088.7925</v>
      </c>
      <c r="AN765" s="882"/>
      <c r="AO765" s="882"/>
      <c r="AP765" s="882"/>
      <c r="AY765" s="882"/>
      <c r="AZ765" s="882"/>
      <c r="BA765" s="882"/>
      <c r="BJ765" s="882"/>
      <c r="BK765" s="882"/>
      <c r="BL765" s="882"/>
      <c r="BU765" s="882"/>
      <c r="BV765" s="882"/>
      <c r="BW765" s="882"/>
      <c r="CF765" s="882"/>
      <c r="CG765" s="882"/>
      <c r="CH765" s="882"/>
      <c r="CI765" s="530"/>
    </row>
    <row r="766">
      <c r="A766" s="857"/>
      <c r="B766" s="865" t="s">
        <v>634</v>
      </c>
      <c r="C766" s="865" t="s">
        <v>591</v>
      </c>
      <c r="D766" s="865" t="s">
        <v>622</v>
      </c>
      <c r="E766" s="866">
        <v>2019.0</v>
      </c>
      <c r="F766" s="865" t="s">
        <v>593</v>
      </c>
      <c r="G766" s="865" t="s">
        <v>70</v>
      </c>
      <c r="H766" s="867">
        <v>673168.3544</v>
      </c>
      <c r="I766" s="867">
        <v>736273.4285</v>
      </c>
      <c r="J766" s="868">
        <v>611886.4615</v>
      </c>
      <c r="K766" s="50"/>
      <c r="L766" s="869" t="s">
        <v>634</v>
      </c>
      <c r="M766" s="865" t="s">
        <v>591</v>
      </c>
      <c r="N766" s="865" t="s">
        <v>622</v>
      </c>
      <c r="O766" s="866">
        <v>2004.0</v>
      </c>
      <c r="P766" s="865" t="s">
        <v>593</v>
      </c>
      <c r="Q766" s="865" t="s">
        <v>70</v>
      </c>
      <c r="R766" s="867">
        <v>319298.838</v>
      </c>
      <c r="S766" s="867">
        <v>363876.4876</v>
      </c>
      <c r="T766" s="868">
        <v>275670.6042</v>
      </c>
      <c r="AN766" s="882"/>
      <c r="AO766" s="882"/>
      <c r="AP766" s="882"/>
      <c r="AY766" s="882"/>
      <c r="AZ766" s="882"/>
      <c r="BA766" s="882"/>
      <c r="BJ766" s="882"/>
      <c r="BK766" s="882"/>
      <c r="BL766" s="882"/>
      <c r="BU766" s="882"/>
      <c r="BV766" s="882"/>
      <c r="BW766" s="882"/>
      <c r="CF766" s="882"/>
      <c r="CG766" s="882"/>
      <c r="CH766" s="882"/>
      <c r="CI766" s="530"/>
    </row>
    <row r="767">
      <c r="A767" s="857"/>
      <c r="B767" s="865" t="s">
        <v>634</v>
      </c>
      <c r="C767" s="865" t="s">
        <v>591</v>
      </c>
      <c r="D767" s="865" t="s">
        <v>624</v>
      </c>
      <c r="E767" s="866">
        <v>2019.0</v>
      </c>
      <c r="F767" s="865" t="s">
        <v>593</v>
      </c>
      <c r="G767" s="865" t="s">
        <v>70</v>
      </c>
      <c r="H767" s="867">
        <v>157160.2828</v>
      </c>
      <c r="I767" s="867">
        <v>171887.7756</v>
      </c>
      <c r="J767" s="868">
        <v>142854.7175</v>
      </c>
      <c r="K767" s="50"/>
      <c r="L767" s="869" t="s">
        <v>634</v>
      </c>
      <c r="M767" s="865" t="s">
        <v>591</v>
      </c>
      <c r="N767" s="865" t="s">
        <v>624</v>
      </c>
      <c r="O767" s="866">
        <v>2004.0</v>
      </c>
      <c r="P767" s="865" t="s">
        <v>593</v>
      </c>
      <c r="Q767" s="865" t="s">
        <v>70</v>
      </c>
      <c r="R767" s="867">
        <v>73515.35234</v>
      </c>
      <c r="S767" s="867">
        <v>83772.02081</v>
      </c>
      <c r="T767" s="868">
        <v>63470.44483</v>
      </c>
      <c r="AN767" s="882"/>
      <c r="AO767" s="882"/>
      <c r="AP767" s="882"/>
      <c r="AY767" s="882"/>
      <c r="AZ767" s="882"/>
      <c r="BA767" s="882"/>
      <c r="BJ767" s="882"/>
      <c r="BK767" s="882"/>
      <c r="BL767" s="882"/>
      <c r="BU767" s="882"/>
      <c r="BV767" s="882"/>
      <c r="BW767" s="882"/>
      <c r="CF767" s="882"/>
      <c r="CG767" s="882"/>
      <c r="CH767" s="882"/>
      <c r="CI767" s="530"/>
    </row>
    <row r="768">
      <c r="A768" s="857"/>
      <c r="B768" s="865" t="s">
        <v>634</v>
      </c>
      <c r="C768" s="865" t="s">
        <v>591</v>
      </c>
      <c r="D768" s="865" t="s">
        <v>625</v>
      </c>
      <c r="E768" s="866">
        <v>2019.0</v>
      </c>
      <c r="F768" s="865" t="s">
        <v>593</v>
      </c>
      <c r="G768" s="865" t="s">
        <v>70</v>
      </c>
      <c r="H768" s="867">
        <v>516028.2158</v>
      </c>
      <c r="I768" s="867">
        <v>564385.2286</v>
      </c>
      <c r="J768" s="868">
        <v>469056.5812</v>
      </c>
      <c r="K768" s="50"/>
      <c r="L768" s="869" t="s">
        <v>634</v>
      </c>
      <c r="M768" s="865" t="s">
        <v>591</v>
      </c>
      <c r="N768" s="865" t="s">
        <v>625</v>
      </c>
      <c r="O768" s="866">
        <v>2004.0</v>
      </c>
      <c r="P768" s="865" t="s">
        <v>593</v>
      </c>
      <c r="Q768" s="865" t="s">
        <v>70</v>
      </c>
      <c r="R768" s="867">
        <v>245796.3521</v>
      </c>
      <c r="S768" s="867">
        <v>280089.2122</v>
      </c>
      <c r="T768" s="868">
        <v>212211.5084</v>
      </c>
      <c r="AN768" s="882"/>
      <c r="AO768" s="882"/>
      <c r="AP768" s="882"/>
      <c r="AY768" s="882"/>
      <c r="AZ768" s="882"/>
      <c r="BA768" s="882"/>
      <c r="BJ768" s="882"/>
      <c r="BK768" s="882"/>
      <c r="BL768" s="882"/>
      <c r="BU768" s="882"/>
      <c r="BV768" s="882"/>
      <c r="BW768" s="882"/>
      <c r="CF768" s="882"/>
      <c r="CG768" s="882"/>
      <c r="CH768" s="882"/>
      <c r="CI768" s="530"/>
    </row>
    <row r="769">
      <c r="A769" s="857"/>
      <c r="B769" s="865" t="s">
        <v>634</v>
      </c>
      <c r="C769" s="865" t="s">
        <v>591</v>
      </c>
      <c r="D769" s="865" t="s">
        <v>627</v>
      </c>
      <c r="E769" s="866">
        <v>2019.0</v>
      </c>
      <c r="F769" s="865" t="s">
        <v>593</v>
      </c>
      <c r="G769" s="865" t="s">
        <v>70</v>
      </c>
      <c r="H769" s="867">
        <v>129495.7576</v>
      </c>
      <c r="I769" s="867">
        <v>141630.8072</v>
      </c>
      <c r="J769" s="868">
        <v>117708.3645</v>
      </c>
      <c r="K769" s="50"/>
      <c r="L769" s="869" t="s">
        <v>634</v>
      </c>
      <c r="M769" s="865" t="s">
        <v>591</v>
      </c>
      <c r="N769" s="865" t="s">
        <v>627</v>
      </c>
      <c r="O769" s="866">
        <v>2004.0</v>
      </c>
      <c r="P769" s="865" t="s">
        <v>593</v>
      </c>
      <c r="Q769" s="865" t="s">
        <v>70</v>
      </c>
      <c r="R769" s="867">
        <v>54787.68598</v>
      </c>
      <c r="S769" s="867">
        <v>62431.51973</v>
      </c>
      <c r="T769" s="868">
        <v>47301.66815</v>
      </c>
      <c r="AN769" s="882"/>
      <c r="AO769" s="882"/>
      <c r="AP769" s="882"/>
      <c r="AY769" s="882"/>
      <c r="AZ769" s="882"/>
      <c r="BA769" s="882"/>
      <c r="BJ769" s="882"/>
      <c r="BK769" s="882"/>
      <c r="BL769" s="882"/>
      <c r="BU769" s="882"/>
      <c r="BV769" s="882"/>
      <c r="BW769" s="882"/>
      <c r="CF769" s="882"/>
      <c r="CG769" s="882"/>
      <c r="CH769" s="882"/>
      <c r="CI769" s="530"/>
    </row>
    <row r="770">
      <c r="A770" s="857"/>
      <c r="B770" s="865" t="s">
        <v>634</v>
      </c>
      <c r="C770" s="865" t="s">
        <v>591</v>
      </c>
      <c r="D770" s="865" t="s">
        <v>629</v>
      </c>
      <c r="E770" s="866">
        <v>2019.0</v>
      </c>
      <c r="F770" s="865" t="s">
        <v>593</v>
      </c>
      <c r="G770" s="865" t="s">
        <v>70</v>
      </c>
      <c r="H770" s="867">
        <v>408956.0147</v>
      </c>
      <c r="I770" s="867">
        <v>447292.9321</v>
      </c>
      <c r="J770" s="868">
        <v>371726.6968</v>
      </c>
      <c r="K770" s="50"/>
      <c r="L770" s="869" t="s">
        <v>634</v>
      </c>
      <c r="M770" s="865" t="s">
        <v>591</v>
      </c>
      <c r="N770" s="865" t="s">
        <v>629</v>
      </c>
      <c r="O770" s="866">
        <v>2004.0</v>
      </c>
      <c r="P770" s="865" t="s">
        <v>593</v>
      </c>
      <c r="Q770" s="865" t="s">
        <v>70</v>
      </c>
      <c r="R770" s="867">
        <v>184294.6971</v>
      </c>
      <c r="S770" s="867">
        <v>210024.2753</v>
      </c>
      <c r="T770" s="868">
        <v>159113.108</v>
      </c>
      <c r="AN770" s="882"/>
      <c r="AO770" s="882"/>
      <c r="AP770" s="882"/>
      <c r="AY770" s="882"/>
      <c r="AZ770" s="882"/>
      <c r="BA770" s="882"/>
      <c r="BJ770" s="882"/>
      <c r="BK770" s="882"/>
      <c r="BL770" s="882"/>
      <c r="BU770" s="882"/>
      <c r="BV770" s="882"/>
      <c r="BW770" s="882"/>
      <c r="CF770" s="882"/>
      <c r="CG770" s="882"/>
      <c r="CH770" s="882"/>
      <c r="CI770" s="530"/>
    </row>
    <row r="771">
      <c r="A771" s="857"/>
      <c r="B771" s="865" t="s">
        <v>634</v>
      </c>
      <c r="C771" s="865" t="s">
        <v>591</v>
      </c>
      <c r="D771" s="865" t="s">
        <v>631</v>
      </c>
      <c r="E771" s="866">
        <v>2019.0</v>
      </c>
      <c r="F771" s="865" t="s">
        <v>593</v>
      </c>
      <c r="G771" s="865" t="s">
        <v>70</v>
      </c>
      <c r="H771" s="867">
        <v>103667.899</v>
      </c>
      <c r="I771" s="867">
        <v>113382.6196</v>
      </c>
      <c r="J771" s="868">
        <v>94231.49511</v>
      </c>
      <c r="K771" s="50"/>
      <c r="L771" s="869" t="s">
        <v>634</v>
      </c>
      <c r="M771" s="865" t="s">
        <v>591</v>
      </c>
      <c r="N771" s="865" t="s">
        <v>631</v>
      </c>
      <c r="O771" s="866">
        <v>2004.0</v>
      </c>
      <c r="P771" s="865" t="s">
        <v>593</v>
      </c>
      <c r="Q771" s="865" t="s">
        <v>70</v>
      </c>
      <c r="R771" s="867">
        <v>44204.19008</v>
      </c>
      <c r="S771" s="867">
        <v>50371.44233</v>
      </c>
      <c r="T771" s="868">
        <v>38164.26799</v>
      </c>
      <c r="AN771" s="882"/>
      <c r="AO771" s="882"/>
      <c r="AP771" s="882"/>
      <c r="AY771" s="882"/>
      <c r="AZ771" s="882"/>
      <c r="BA771" s="882"/>
      <c r="BJ771" s="882"/>
      <c r="BK771" s="882"/>
      <c r="BL771" s="882"/>
      <c r="BU771" s="882"/>
      <c r="BV771" s="882"/>
      <c r="BW771" s="882"/>
      <c r="CF771" s="882"/>
      <c r="CG771" s="882"/>
      <c r="CH771" s="882"/>
      <c r="CI771" s="530"/>
    </row>
    <row r="772">
      <c r="A772" s="857"/>
      <c r="B772" s="865" t="s">
        <v>634</v>
      </c>
      <c r="C772" s="865" t="s">
        <v>591</v>
      </c>
      <c r="D772" s="865" t="s">
        <v>633</v>
      </c>
      <c r="E772" s="866">
        <v>2019.0</v>
      </c>
      <c r="F772" s="865" t="s">
        <v>593</v>
      </c>
      <c r="G772" s="865" t="s">
        <v>70</v>
      </c>
      <c r="H772" s="867">
        <v>78244.05547</v>
      </c>
      <c r="I772" s="867">
        <v>85576.30724</v>
      </c>
      <c r="J772" s="868">
        <v>71121.86512</v>
      </c>
      <c r="K772" s="50"/>
      <c r="L772" s="869" t="s">
        <v>634</v>
      </c>
      <c r="M772" s="865" t="s">
        <v>591</v>
      </c>
      <c r="N772" s="865" t="s">
        <v>633</v>
      </c>
      <c r="O772" s="866">
        <v>2004.0</v>
      </c>
      <c r="P772" s="865" t="s">
        <v>593</v>
      </c>
      <c r="Q772" s="865" t="s">
        <v>70</v>
      </c>
      <c r="R772" s="867">
        <v>35820.71309</v>
      </c>
      <c r="S772" s="867">
        <v>40818.3247</v>
      </c>
      <c r="T772" s="868">
        <v>30926.28304</v>
      </c>
      <c r="AN772" s="882"/>
      <c r="AO772" s="882"/>
      <c r="AP772" s="882"/>
      <c r="AY772" s="882"/>
      <c r="AZ772" s="882"/>
      <c r="BA772" s="882"/>
      <c r="BJ772" s="882"/>
      <c r="BK772" s="882"/>
      <c r="BL772" s="882"/>
      <c r="BU772" s="882"/>
      <c r="BV772" s="882"/>
      <c r="BW772" s="882"/>
      <c r="CF772" s="882"/>
      <c r="CG772" s="882"/>
      <c r="CH772" s="882"/>
      <c r="CI772" s="530"/>
    </row>
    <row r="773">
      <c r="A773" s="857"/>
      <c r="B773" s="865" t="s">
        <v>634</v>
      </c>
      <c r="C773" s="865" t="s">
        <v>591</v>
      </c>
      <c r="D773" s="865" t="s">
        <v>635</v>
      </c>
      <c r="E773" s="866">
        <v>2019.0</v>
      </c>
      <c r="F773" s="865" t="s">
        <v>593</v>
      </c>
      <c r="G773" s="865" t="s">
        <v>70</v>
      </c>
      <c r="H773" s="867">
        <v>55376.34592</v>
      </c>
      <c r="I773" s="867">
        <v>60565.66423</v>
      </c>
      <c r="J773" s="868">
        <v>50335.69619</v>
      </c>
      <c r="K773" s="50"/>
      <c r="L773" s="869" t="s">
        <v>634</v>
      </c>
      <c r="M773" s="865" t="s">
        <v>591</v>
      </c>
      <c r="N773" s="865" t="s">
        <v>635</v>
      </c>
      <c r="O773" s="866">
        <v>2004.0</v>
      </c>
      <c r="P773" s="865" t="s">
        <v>593</v>
      </c>
      <c r="Q773" s="865" t="s">
        <v>70</v>
      </c>
      <c r="R773" s="867">
        <v>27725.98948</v>
      </c>
      <c r="S773" s="867">
        <v>31594.24655</v>
      </c>
      <c r="T773" s="868">
        <v>23937.59711</v>
      </c>
      <c r="AN773" s="882"/>
      <c r="AO773" s="882"/>
      <c r="AP773" s="882"/>
      <c r="AY773" s="882"/>
      <c r="AZ773" s="882"/>
      <c r="BA773" s="882"/>
      <c r="BJ773" s="882"/>
      <c r="BK773" s="882"/>
      <c r="BL773" s="882"/>
      <c r="BU773" s="882"/>
      <c r="BV773" s="882"/>
      <c r="BW773" s="882"/>
      <c r="CF773" s="882"/>
      <c r="CG773" s="882"/>
      <c r="CH773" s="882"/>
      <c r="CI773" s="530"/>
    </row>
    <row r="774">
      <c r="A774" s="857"/>
      <c r="B774" s="865" t="s">
        <v>634</v>
      </c>
      <c r="C774" s="865" t="s">
        <v>591</v>
      </c>
      <c r="D774" s="865" t="s">
        <v>637</v>
      </c>
      <c r="E774" s="866">
        <v>2019.0</v>
      </c>
      <c r="F774" s="865" t="s">
        <v>593</v>
      </c>
      <c r="G774" s="865" t="s">
        <v>70</v>
      </c>
      <c r="H774" s="867">
        <v>42184.19448</v>
      </c>
      <c r="I774" s="867">
        <v>46137.27606</v>
      </c>
      <c r="J774" s="868">
        <v>38344.36459</v>
      </c>
      <c r="K774" s="50"/>
      <c r="L774" s="869" t="s">
        <v>634</v>
      </c>
      <c r="M774" s="865" t="s">
        <v>591</v>
      </c>
      <c r="N774" s="865" t="s">
        <v>637</v>
      </c>
      <c r="O774" s="866">
        <v>2004.0</v>
      </c>
      <c r="P774" s="865" t="s">
        <v>593</v>
      </c>
      <c r="Q774" s="865" t="s">
        <v>70</v>
      </c>
      <c r="R774" s="867">
        <v>21763.54481</v>
      </c>
      <c r="S774" s="867">
        <v>24799.9373</v>
      </c>
      <c r="T774" s="868">
        <v>18789.84221</v>
      </c>
      <c r="AN774" s="882"/>
      <c r="AO774" s="882"/>
      <c r="AP774" s="882"/>
      <c r="AY774" s="882"/>
      <c r="AZ774" s="882"/>
      <c r="BA774" s="882"/>
      <c r="BJ774" s="882"/>
      <c r="BK774" s="882"/>
      <c r="BL774" s="882"/>
      <c r="BU774" s="882"/>
      <c r="BV774" s="882"/>
      <c r="BW774" s="882"/>
      <c r="CF774" s="882"/>
      <c r="CG774" s="882"/>
      <c r="CH774" s="882"/>
      <c r="CI774" s="530"/>
    </row>
    <row r="775">
      <c r="A775" s="857"/>
      <c r="B775" s="865" t="s">
        <v>634</v>
      </c>
      <c r="C775" s="865" t="s">
        <v>591</v>
      </c>
      <c r="D775" s="865" t="s">
        <v>639</v>
      </c>
      <c r="E775" s="866">
        <v>2019.0</v>
      </c>
      <c r="F775" s="865" t="s">
        <v>593</v>
      </c>
      <c r="G775" s="865" t="s">
        <v>70</v>
      </c>
      <c r="H775" s="867">
        <v>561600.651</v>
      </c>
      <c r="I775" s="867">
        <v>614246.9919</v>
      </c>
      <c r="J775" s="868">
        <v>510475.3259</v>
      </c>
      <c r="K775" s="50"/>
      <c r="L775" s="869" t="s">
        <v>634</v>
      </c>
      <c r="M775" s="865" t="s">
        <v>591</v>
      </c>
      <c r="N775" s="865" t="s">
        <v>639</v>
      </c>
      <c r="O775" s="866">
        <v>2004.0</v>
      </c>
      <c r="P775" s="865" t="s">
        <v>593</v>
      </c>
      <c r="Q775" s="865" t="s">
        <v>70</v>
      </c>
      <c r="R775" s="867">
        <v>331523.2698</v>
      </c>
      <c r="S775" s="867">
        <v>377807.5853</v>
      </c>
      <c r="T775" s="868">
        <v>286224.7187</v>
      </c>
      <c r="AN775" s="882"/>
      <c r="AO775" s="882"/>
      <c r="AP775" s="882"/>
      <c r="AY775" s="882"/>
      <c r="AZ775" s="882"/>
      <c r="BA775" s="882"/>
      <c r="BJ775" s="882"/>
      <c r="BK775" s="882"/>
      <c r="BL775" s="882"/>
      <c r="BU775" s="882"/>
      <c r="BV775" s="882"/>
      <c r="BW775" s="882"/>
      <c r="CF775" s="882"/>
      <c r="CG775" s="882"/>
      <c r="CH775" s="882"/>
      <c r="CI775" s="530"/>
    </row>
    <row r="776">
      <c r="A776" s="857"/>
      <c r="B776" s="865" t="s">
        <v>634</v>
      </c>
      <c r="C776" s="865" t="s">
        <v>591</v>
      </c>
      <c r="D776" s="865" t="s">
        <v>641</v>
      </c>
      <c r="E776" s="866">
        <v>2019.0</v>
      </c>
      <c r="F776" s="865" t="s">
        <v>593</v>
      </c>
      <c r="G776" s="865" t="s">
        <v>70</v>
      </c>
      <c r="H776" s="867">
        <v>188254.7876</v>
      </c>
      <c r="I776" s="867">
        <v>205896.1469</v>
      </c>
      <c r="J776" s="868">
        <v>171118.8349</v>
      </c>
      <c r="K776" s="50"/>
      <c r="L776" s="869" t="s">
        <v>634</v>
      </c>
      <c r="M776" s="865" t="s">
        <v>591</v>
      </c>
      <c r="N776" s="865" t="s">
        <v>641</v>
      </c>
      <c r="O776" s="866">
        <v>2004.0</v>
      </c>
      <c r="P776" s="865" t="s">
        <v>593</v>
      </c>
      <c r="Q776" s="865" t="s">
        <v>70</v>
      </c>
      <c r="R776" s="867">
        <v>128172.0663</v>
      </c>
      <c r="S776" s="867">
        <v>146054.2957</v>
      </c>
      <c r="T776" s="868">
        <v>110659.0366</v>
      </c>
      <c r="AN776" s="882"/>
      <c r="AO776" s="882"/>
      <c r="AP776" s="882"/>
      <c r="AY776" s="882"/>
      <c r="AZ776" s="882"/>
      <c r="BA776" s="882"/>
      <c r="BJ776" s="882"/>
      <c r="BK776" s="882"/>
      <c r="BL776" s="882"/>
      <c r="BU776" s="882"/>
      <c r="BV776" s="882"/>
      <c r="BW776" s="882"/>
      <c r="CF776" s="882"/>
      <c r="CG776" s="882"/>
      <c r="CH776" s="882"/>
      <c r="CI776" s="530"/>
    </row>
    <row r="777">
      <c r="A777" s="857"/>
      <c r="B777" s="865" t="s">
        <v>634</v>
      </c>
      <c r="C777" s="865" t="s">
        <v>591</v>
      </c>
      <c r="D777" s="865" t="s">
        <v>643</v>
      </c>
      <c r="E777" s="866">
        <v>2019.0</v>
      </c>
      <c r="F777" s="865" t="s">
        <v>593</v>
      </c>
      <c r="G777" s="865" t="s">
        <v>70</v>
      </c>
      <c r="H777" s="867">
        <v>32133.613</v>
      </c>
      <c r="I777" s="867">
        <v>35144.85442</v>
      </c>
      <c r="J777" s="868">
        <v>29208.64053</v>
      </c>
      <c r="K777" s="50"/>
      <c r="L777" s="869" t="s">
        <v>634</v>
      </c>
      <c r="M777" s="865" t="s">
        <v>591</v>
      </c>
      <c r="N777" s="865" t="s">
        <v>643</v>
      </c>
      <c r="O777" s="866">
        <v>2004.0</v>
      </c>
      <c r="P777" s="865" t="s">
        <v>593</v>
      </c>
      <c r="Q777" s="865" t="s">
        <v>70</v>
      </c>
      <c r="R777" s="867">
        <v>18137.75588</v>
      </c>
      <c r="S777" s="867">
        <v>20668.28784</v>
      </c>
      <c r="T777" s="868">
        <v>15659.46972</v>
      </c>
      <c r="AN777" s="882"/>
      <c r="AO777" s="882"/>
      <c r="AP777" s="882"/>
      <c r="AY777" s="882"/>
      <c r="AZ777" s="882"/>
      <c r="BA777" s="882"/>
      <c r="BJ777" s="882"/>
      <c r="BK777" s="882"/>
      <c r="BL777" s="882"/>
      <c r="BU777" s="882"/>
      <c r="BV777" s="882"/>
      <c r="BW777" s="882"/>
      <c r="CF777" s="882"/>
      <c r="CG777" s="882"/>
      <c r="CH777" s="882"/>
      <c r="CI777" s="530"/>
    </row>
    <row r="778">
      <c r="A778" s="857"/>
      <c r="B778" s="865" t="s">
        <v>634</v>
      </c>
      <c r="C778" s="865" t="s">
        <v>591</v>
      </c>
      <c r="D778" s="865" t="s">
        <v>645</v>
      </c>
      <c r="E778" s="866">
        <v>2019.0</v>
      </c>
      <c r="F778" s="865" t="s">
        <v>593</v>
      </c>
      <c r="G778" s="865" t="s">
        <v>70</v>
      </c>
      <c r="H778" s="867">
        <v>87583.11655</v>
      </c>
      <c r="I778" s="867">
        <v>95790.53189</v>
      </c>
      <c r="J778" s="868">
        <v>79610.83516</v>
      </c>
      <c r="K778" s="50"/>
      <c r="L778" s="869" t="s">
        <v>634</v>
      </c>
      <c r="M778" s="865" t="s">
        <v>591</v>
      </c>
      <c r="N778" s="865" t="s">
        <v>645</v>
      </c>
      <c r="O778" s="866">
        <v>2004.0</v>
      </c>
      <c r="P778" s="865" t="s">
        <v>593</v>
      </c>
      <c r="Q778" s="865" t="s">
        <v>70</v>
      </c>
      <c r="R778" s="867">
        <v>49987.12928</v>
      </c>
      <c r="S778" s="867">
        <v>56961.20199</v>
      </c>
      <c r="T778" s="868">
        <v>43157.04449</v>
      </c>
      <c r="AN778" s="882"/>
      <c r="AO778" s="882"/>
      <c r="AP778" s="882"/>
      <c r="AY778" s="882"/>
      <c r="AZ778" s="882"/>
      <c r="BA778" s="882"/>
      <c r="BJ778" s="882"/>
      <c r="BK778" s="882"/>
      <c r="BL778" s="882"/>
      <c r="BU778" s="882"/>
      <c r="BV778" s="882"/>
      <c r="BW778" s="882"/>
      <c r="CF778" s="882"/>
      <c r="CG778" s="882"/>
      <c r="CH778" s="882"/>
      <c r="CI778" s="530"/>
    </row>
    <row r="779">
      <c r="A779" s="857"/>
      <c r="B779" s="865" t="s">
        <v>634</v>
      </c>
      <c r="C779" s="865" t="s">
        <v>591</v>
      </c>
      <c r="D779" s="865" t="s">
        <v>604</v>
      </c>
      <c r="E779" s="866">
        <v>2019.0</v>
      </c>
      <c r="F779" s="865" t="s">
        <v>593</v>
      </c>
      <c r="G779" s="865" t="s">
        <v>70</v>
      </c>
      <c r="H779" s="867">
        <v>379363.0879</v>
      </c>
      <c r="I779" s="867">
        <v>414913.2093</v>
      </c>
      <c r="J779" s="868">
        <v>344831.4407</v>
      </c>
      <c r="K779" s="50"/>
      <c r="L779" s="869" t="s">
        <v>634</v>
      </c>
      <c r="M779" s="865" t="s">
        <v>591</v>
      </c>
      <c r="N779" s="865" t="s">
        <v>604</v>
      </c>
      <c r="O779" s="866">
        <v>2004.0</v>
      </c>
      <c r="P779" s="865" t="s">
        <v>593</v>
      </c>
      <c r="Q779" s="865" t="s">
        <v>70</v>
      </c>
      <c r="R779" s="867">
        <v>238298.1222</v>
      </c>
      <c r="S779" s="867">
        <v>271544.849</v>
      </c>
      <c r="T779" s="868">
        <v>205737.8131</v>
      </c>
      <c r="AN779" s="882"/>
      <c r="AO779" s="882"/>
      <c r="AP779" s="882"/>
      <c r="AY779" s="882"/>
      <c r="AZ779" s="882"/>
      <c r="BA779" s="882"/>
      <c r="BJ779" s="882"/>
      <c r="BK779" s="882"/>
      <c r="BL779" s="882"/>
      <c r="BU779" s="882"/>
      <c r="BV779" s="882"/>
      <c r="BW779" s="882"/>
      <c r="CF779" s="882"/>
      <c r="CG779" s="882"/>
      <c r="CH779" s="882"/>
      <c r="CI779" s="530"/>
    </row>
    <row r="780">
      <c r="A780" s="857"/>
      <c r="B780" s="865" t="s">
        <v>634</v>
      </c>
      <c r="C780" s="865" t="s">
        <v>591</v>
      </c>
      <c r="D780" s="865" t="s">
        <v>647</v>
      </c>
      <c r="E780" s="866">
        <v>2019.0</v>
      </c>
      <c r="F780" s="865" t="s">
        <v>593</v>
      </c>
      <c r="G780" s="865" t="s">
        <v>70</v>
      </c>
      <c r="H780" s="867">
        <v>74924.10823</v>
      </c>
      <c r="I780" s="867">
        <v>81947.74707</v>
      </c>
      <c r="J780" s="868">
        <v>68103.39073</v>
      </c>
      <c r="K780" s="50"/>
      <c r="L780" s="869" t="s">
        <v>634</v>
      </c>
      <c r="M780" s="865" t="s">
        <v>591</v>
      </c>
      <c r="N780" s="865" t="s">
        <v>647</v>
      </c>
      <c r="O780" s="866">
        <v>2004.0</v>
      </c>
      <c r="P780" s="865" t="s">
        <v>593</v>
      </c>
      <c r="Q780" s="865" t="s">
        <v>70</v>
      </c>
      <c r="R780" s="867">
        <v>43354.72579</v>
      </c>
      <c r="S780" s="867">
        <v>49407.52506</v>
      </c>
      <c r="T780" s="868">
        <v>37430.83917</v>
      </c>
      <c r="AN780" s="882"/>
      <c r="AO780" s="882"/>
      <c r="AP780" s="882"/>
      <c r="AY780" s="882"/>
      <c r="AZ780" s="882"/>
      <c r="BA780" s="882"/>
      <c r="BJ780" s="882"/>
      <c r="BK780" s="882"/>
      <c r="BL780" s="882"/>
      <c r="BU780" s="882"/>
      <c r="BV780" s="882"/>
      <c r="BW780" s="882"/>
      <c r="CF780" s="882"/>
      <c r="CG780" s="882"/>
      <c r="CH780" s="882"/>
      <c r="CI780" s="530"/>
    </row>
    <row r="781">
      <c r="A781" s="857"/>
      <c r="B781" s="865" t="s">
        <v>634</v>
      </c>
      <c r="C781" s="865" t="s">
        <v>591</v>
      </c>
      <c r="D781" s="865" t="s">
        <v>649</v>
      </c>
      <c r="E781" s="866">
        <v>2019.0</v>
      </c>
      <c r="F781" s="865" t="s">
        <v>593</v>
      </c>
      <c r="G781" s="865" t="s">
        <v>70</v>
      </c>
      <c r="H781" s="867">
        <v>23793.09991</v>
      </c>
      <c r="I781" s="867">
        <v>26022.75171</v>
      </c>
      <c r="J781" s="868">
        <v>21627.32533</v>
      </c>
      <c r="K781" s="50"/>
      <c r="L781" s="869" t="s">
        <v>634</v>
      </c>
      <c r="M781" s="865" t="s">
        <v>591</v>
      </c>
      <c r="N781" s="865" t="s">
        <v>649</v>
      </c>
      <c r="O781" s="866">
        <v>2004.0</v>
      </c>
      <c r="P781" s="865" t="s">
        <v>593</v>
      </c>
      <c r="Q781" s="865" t="s">
        <v>70</v>
      </c>
      <c r="R781" s="867">
        <v>12309.64517</v>
      </c>
      <c r="S781" s="867">
        <v>14027.05447</v>
      </c>
      <c r="T781" s="868">
        <v>10627.69381</v>
      </c>
      <c r="AN781" s="882"/>
      <c r="AO781" s="882"/>
      <c r="AP781" s="882"/>
      <c r="AY781" s="882"/>
      <c r="AZ781" s="882"/>
      <c r="BA781" s="882"/>
      <c r="BJ781" s="882"/>
      <c r="BK781" s="882"/>
      <c r="BL781" s="882"/>
      <c r="BU781" s="882"/>
      <c r="BV781" s="882"/>
      <c r="BW781" s="882"/>
      <c r="CF781" s="882"/>
      <c r="CG781" s="882"/>
      <c r="CH781" s="882"/>
      <c r="CI781" s="530"/>
    </row>
    <row r="782">
      <c r="A782" s="857"/>
      <c r="B782" s="865" t="s">
        <v>634</v>
      </c>
      <c r="C782" s="865" t="s">
        <v>591</v>
      </c>
      <c r="D782" s="865" t="s">
        <v>651</v>
      </c>
      <c r="E782" s="866">
        <v>2019.0</v>
      </c>
      <c r="F782" s="865" t="s">
        <v>593</v>
      </c>
      <c r="G782" s="865" t="s">
        <v>70</v>
      </c>
      <c r="H782" s="867">
        <v>17796.24387</v>
      </c>
      <c r="I782" s="867">
        <v>19463.93019</v>
      </c>
      <c r="J782" s="868">
        <v>16176.33504</v>
      </c>
      <c r="K782" s="50"/>
      <c r="L782" s="869" t="s">
        <v>634</v>
      </c>
      <c r="M782" s="865" t="s">
        <v>591</v>
      </c>
      <c r="N782" s="865" t="s">
        <v>651</v>
      </c>
      <c r="O782" s="866">
        <v>2004.0</v>
      </c>
      <c r="P782" s="865" t="s">
        <v>593</v>
      </c>
      <c r="Q782" s="865" t="s">
        <v>70</v>
      </c>
      <c r="R782" s="867">
        <v>11150.75017</v>
      </c>
      <c r="S782" s="867">
        <v>12706.47348</v>
      </c>
      <c r="T782" s="868">
        <v>9627.146587</v>
      </c>
      <c r="AN782" s="882"/>
      <c r="AO782" s="882"/>
      <c r="AP782" s="882"/>
      <c r="AY782" s="882"/>
      <c r="AZ782" s="882"/>
      <c r="BA782" s="882"/>
      <c r="BJ782" s="882"/>
      <c r="BK782" s="882"/>
      <c r="BL782" s="882"/>
      <c r="BU782" s="882"/>
      <c r="BV782" s="882"/>
      <c r="BW782" s="882"/>
      <c r="CF782" s="882"/>
      <c r="CG782" s="882"/>
      <c r="CH782" s="882"/>
      <c r="CI782" s="530"/>
    </row>
    <row r="783">
      <c r="A783" s="857"/>
      <c r="B783" s="865" t="s">
        <v>634</v>
      </c>
      <c r="C783" s="865" t="s">
        <v>591</v>
      </c>
      <c r="D783" s="865" t="s">
        <v>653</v>
      </c>
      <c r="E783" s="866">
        <v>2019.0</v>
      </c>
      <c r="F783" s="865" t="s">
        <v>593</v>
      </c>
      <c r="G783" s="865" t="s">
        <v>70</v>
      </c>
      <c r="H783" s="867">
        <v>13860.15976</v>
      </c>
      <c r="I783" s="867">
        <v>15158.99557</v>
      </c>
      <c r="J783" s="868">
        <v>12598.53425</v>
      </c>
      <c r="K783" s="50"/>
      <c r="L783" s="869" t="s">
        <v>634</v>
      </c>
      <c r="M783" s="865" t="s">
        <v>591</v>
      </c>
      <c r="N783" s="865" t="s">
        <v>653</v>
      </c>
      <c r="O783" s="866">
        <v>2004.0</v>
      </c>
      <c r="P783" s="865" t="s">
        <v>593</v>
      </c>
      <c r="Q783" s="865" t="s">
        <v>70</v>
      </c>
      <c r="R783" s="867">
        <v>8388.978064</v>
      </c>
      <c r="S783" s="867">
        <v>9559.386204</v>
      </c>
      <c r="T783" s="868">
        <v>7242.734374</v>
      </c>
      <c r="AN783" s="882"/>
      <c r="AO783" s="882"/>
      <c r="AP783" s="882"/>
      <c r="AY783" s="882"/>
      <c r="AZ783" s="882"/>
      <c r="BA783" s="882"/>
      <c r="BJ783" s="882"/>
      <c r="BK783" s="882"/>
      <c r="BL783" s="882"/>
      <c r="BU783" s="882"/>
      <c r="BV783" s="882"/>
      <c r="BW783" s="882"/>
      <c r="CF783" s="882"/>
      <c r="CG783" s="882"/>
      <c r="CH783" s="882"/>
      <c r="CI783" s="530"/>
    </row>
    <row r="784">
      <c r="A784" s="857"/>
      <c r="B784" s="865" t="s">
        <v>634</v>
      </c>
      <c r="C784" s="865" t="s">
        <v>591</v>
      </c>
      <c r="D784" s="865" t="s">
        <v>655</v>
      </c>
      <c r="E784" s="866">
        <v>2019.0</v>
      </c>
      <c r="F784" s="865" t="s">
        <v>593</v>
      </c>
      <c r="G784" s="865" t="s">
        <v>70</v>
      </c>
      <c r="H784" s="867">
        <v>22144.41043</v>
      </c>
      <c r="I784" s="867">
        <v>24220.30222</v>
      </c>
      <c r="J784" s="868">
        <v>20128.49364</v>
      </c>
      <c r="K784" s="50"/>
      <c r="L784" s="869" t="s">
        <v>634</v>
      </c>
      <c r="M784" s="865" t="s">
        <v>591</v>
      </c>
      <c r="N784" s="865" t="s">
        <v>655</v>
      </c>
      <c r="O784" s="866">
        <v>2004.0</v>
      </c>
      <c r="P784" s="865" t="s">
        <v>593</v>
      </c>
      <c r="Q784" s="865" t="s">
        <v>70</v>
      </c>
      <c r="R784" s="867">
        <v>14013.32331</v>
      </c>
      <c r="S784" s="867">
        <v>15969.73825</v>
      </c>
      <c r="T784" s="868">
        <v>12098.57614</v>
      </c>
      <c r="AN784" s="882"/>
      <c r="AO784" s="882"/>
      <c r="AP784" s="882"/>
      <c r="AY784" s="882"/>
      <c r="AZ784" s="882"/>
      <c r="BA784" s="882"/>
      <c r="BJ784" s="882"/>
      <c r="BK784" s="882"/>
      <c r="BL784" s="882"/>
      <c r="BU784" s="882"/>
      <c r="BV784" s="882"/>
      <c r="BW784" s="882"/>
      <c r="CF784" s="882"/>
      <c r="CG784" s="882"/>
      <c r="CH784" s="882"/>
      <c r="CI784" s="530"/>
    </row>
    <row r="785">
      <c r="A785" s="857"/>
      <c r="B785" s="865" t="s">
        <v>634</v>
      </c>
      <c r="C785" s="865" t="s">
        <v>591</v>
      </c>
      <c r="D785" s="865" t="s">
        <v>657</v>
      </c>
      <c r="E785" s="866">
        <v>2019.0</v>
      </c>
      <c r="F785" s="865" t="s">
        <v>593</v>
      </c>
      <c r="G785" s="865" t="s">
        <v>70</v>
      </c>
      <c r="H785" s="867">
        <v>8284.913329</v>
      </c>
      <c r="I785" s="867">
        <v>9061.292697</v>
      </c>
      <c r="J785" s="868">
        <v>7530.776424</v>
      </c>
      <c r="K785" s="50"/>
      <c r="L785" s="869" t="s">
        <v>634</v>
      </c>
      <c r="M785" s="865" t="s">
        <v>591</v>
      </c>
      <c r="N785" s="865" t="s">
        <v>657</v>
      </c>
      <c r="O785" s="866">
        <v>2004.0</v>
      </c>
      <c r="P785" s="865" t="s">
        <v>593</v>
      </c>
      <c r="Q785" s="865" t="s">
        <v>70</v>
      </c>
      <c r="R785" s="867">
        <v>5624.909926</v>
      </c>
      <c r="S785" s="867">
        <v>6409.682554</v>
      </c>
      <c r="T785" s="868">
        <v>4856.33985</v>
      </c>
      <c r="AN785" s="882"/>
      <c r="AO785" s="882"/>
      <c r="AP785" s="882"/>
      <c r="AY785" s="882"/>
      <c r="AZ785" s="882"/>
      <c r="BA785" s="882"/>
      <c r="BJ785" s="882"/>
      <c r="BK785" s="882"/>
      <c r="BL785" s="882"/>
      <c r="BU785" s="882"/>
      <c r="BV785" s="882"/>
      <c r="BW785" s="882"/>
      <c r="CF785" s="882"/>
      <c r="CG785" s="882"/>
      <c r="CH785" s="882"/>
      <c r="CI785" s="530"/>
    </row>
    <row r="786">
      <c r="A786" s="857"/>
      <c r="B786" s="865" t="s">
        <v>634</v>
      </c>
      <c r="C786" s="865" t="s">
        <v>591</v>
      </c>
      <c r="D786" s="865" t="s">
        <v>659</v>
      </c>
      <c r="E786" s="866">
        <v>2019.0</v>
      </c>
      <c r="F786" s="865" t="s">
        <v>593</v>
      </c>
      <c r="G786" s="865" t="s">
        <v>70</v>
      </c>
      <c r="H786" s="867">
        <v>19476.84674</v>
      </c>
      <c r="I786" s="867">
        <v>21302.02238</v>
      </c>
      <c r="J786" s="868">
        <v>17703.9605</v>
      </c>
      <c r="K786" s="50"/>
      <c r="L786" s="869" t="s">
        <v>634</v>
      </c>
      <c r="M786" s="865" t="s">
        <v>591</v>
      </c>
      <c r="N786" s="865" t="s">
        <v>659</v>
      </c>
      <c r="O786" s="866">
        <v>2004.0</v>
      </c>
      <c r="P786" s="865" t="s">
        <v>593</v>
      </c>
      <c r="Q786" s="865" t="s">
        <v>70</v>
      </c>
      <c r="R786" s="867">
        <v>11507.09941</v>
      </c>
      <c r="S786" s="867">
        <v>13112.53963</v>
      </c>
      <c r="T786" s="868">
        <v>9934.805381</v>
      </c>
      <c r="AN786" s="882"/>
      <c r="AO786" s="882"/>
      <c r="AP786" s="882"/>
      <c r="AY786" s="882"/>
      <c r="AZ786" s="882"/>
      <c r="BA786" s="882"/>
      <c r="BJ786" s="882"/>
      <c r="BK786" s="882"/>
      <c r="BL786" s="882"/>
      <c r="BU786" s="882"/>
      <c r="BV786" s="882"/>
      <c r="BW786" s="882"/>
      <c r="CF786" s="882"/>
      <c r="CG786" s="882"/>
      <c r="CH786" s="882"/>
      <c r="CI786" s="530"/>
    </row>
    <row r="787">
      <c r="A787" s="857"/>
      <c r="B787" s="865" t="s">
        <v>634</v>
      </c>
      <c r="C787" s="865" t="s">
        <v>591</v>
      </c>
      <c r="D787" s="865" t="s">
        <v>661</v>
      </c>
      <c r="E787" s="866">
        <v>2019.0</v>
      </c>
      <c r="F787" s="865" t="s">
        <v>593</v>
      </c>
      <c r="G787" s="865" t="s">
        <v>70</v>
      </c>
      <c r="H787" s="867">
        <v>11191.59851</v>
      </c>
      <c r="I787" s="867">
        <v>12240.73674</v>
      </c>
      <c r="J787" s="868">
        <v>10172.77115</v>
      </c>
      <c r="K787" s="50"/>
      <c r="L787" s="869" t="s">
        <v>634</v>
      </c>
      <c r="M787" s="865" t="s">
        <v>591</v>
      </c>
      <c r="N787" s="865" t="s">
        <v>661</v>
      </c>
      <c r="O787" s="866">
        <v>2004.0</v>
      </c>
      <c r="P787" s="865" t="s">
        <v>593</v>
      </c>
      <c r="Q787" s="865" t="s">
        <v>70</v>
      </c>
      <c r="R787" s="867">
        <v>5881.952461</v>
      </c>
      <c r="S787" s="867">
        <v>6703.138085</v>
      </c>
      <c r="T787" s="868">
        <v>5078.256466</v>
      </c>
      <c r="AN787" s="882"/>
      <c r="AO787" s="882"/>
      <c r="AP787" s="882"/>
      <c r="AY787" s="882"/>
      <c r="AZ787" s="882"/>
      <c r="BA787" s="882"/>
      <c r="BJ787" s="882"/>
      <c r="BK787" s="882"/>
      <c r="BL787" s="882"/>
      <c r="BU787" s="882"/>
      <c r="BV787" s="882"/>
      <c r="BW787" s="882"/>
      <c r="CF787" s="882"/>
      <c r="CG787" s="882"/>
      <c r="CH787" s="882"/>
      <c r="CI787" s="530"/>
    </row>
    <row r="788">
      <c r="A788" s="857"/>
      <c r="B788" s="865" t="s">
        <v>634</v>
      </c>
      <c r="C788" s="865" t="s">
        <v>591</v>
      </c>
      <c r="D788" s="865" t="s">
        <v>663</v>
      </c>
      <c r="E788" s="866">
        <v>2019.0</v>
      </c>
      <c r="F788" s="865" t="s">
        <v>593</v>
      </c>
      <c r="G788" s="865" t="s">
        <v>70</v>
      </c>
      <c r="H788" s="867">
        <v>6105.732823</v>
      </c>
      <c r="I788" s="867">
        <v>6677.90115</v>
      </c>
      <c r="J788" s="868">
        <v>5549.956526</v>
      </c>
      <c r="K788" s="50"/>
      <c r="L788" s="869" t="s">
        <v>634</v>
      </c>
      <c r="M788" s="865" t="s">
        <v>591</v>
      </c>
      <c r="N788" s="865" t="s">
        <v>663</v>
      </c>
      <c r="O788" s="866">
        <v>2004.0</v>
      </c>
      <c r="P788" s="865" t="s">
        <v>593</v>
      </c>
      <c r="Q788" s="865" t="s">
        <v>70</v>
      </c>
      <c r="R788" s="867">
        <v>3337.163343</v>
      </c>
      <c r="S788" s="867">
        <v>3802.755589</v>
      </c>
      <c r="T788" s="868">
        <v>2881.183795</v>
      </c>
      <c r="AN788" s="882"/>
      <c r="AO788" s="882"/>
      <c r="AP788" s="882"/>
      <c r="AY788" s="882"/>
      <c r="AZ788" s="882"/>
      <c r="BA788" s="882"/>
      <c r="BJ788" s="882"/>
      <c r="BK788" s="882"/>
      <c r="BL788" s="882"/>
      <c r="BU788" s="882"/>
      <c r="BV788" s="882"/>
      <c r="BW788" s="882"/>
      <c r="CF788" s="882"/>
      <c r="CG788" s="882"/>
      <c r="CH788" s="882"/>
      <c r="CI788" s="530"/>
    </row>
    <row r="789">
      <c r="A789" s="857"/>
      <c r="B789" s="865" t="s">
        <v>634</v>
      </c>
      <c r="C789" s="865" t="s">
        <v>591</v>
      </c>
      <c r="D789" s="865" t="s">
        <v>665</v>
      </c>
      <c r="E789" s="866">
        <v>2019.0</v>
      </c>
      <c r="F789" s="865" t="s">
        <v>593</v>
      </c>
      <c r="G789" s="865" t="s">
        <v>70</v>
      </c>
      <c r="H789" s="867">
        <v>9377.026303</v>
      </c>
      <c r="I789" s="867">
        <v>10256.06041</v>
      </c>
      <c r="J789" s="868">
        <v>8523.388551</v>
      </c>
      <c r="K789" s="50"/>
      <c r="L789" s="869" t="s">
        <v>634</v>
      </c>
      <c r="M789" s="865" t="s">
        <v>591</v>
      </c>
      <c r="N789" s="865" t="s">
        <v>665</v>
      </c>
      <c r="O789" s="866">
        <v>2004.0</v>
      </c>
      <c r="P789" s="865" t="s">
        <v>593</v>
      </c>
      <c r="Q789" s="865" t="s">
        <v>70</v>
      </c>
      <c r="R789" s="867">
        <v>4995.919396</v>
      </c>
      <c r="S789" s="867">
        <v>5693.405004</v>
      </c>
      <c r="T789" s="868">
        <v>4313.288851</v>
      </c>
      <c r="AN789" s="882"/>
      <c r="AO789" s="882"/>
      <c r="AP789" s="882"/>
      <c r="AY789" s="882"/>
      <c r="AZ789" s="882"/>
      <c r="BA789" s="882"/>
      <c r="BJ789" s="882"/>
      <c r="BK789" s="882"/>
      <c r="BL789" s="882"/>
      <c r="BU789" s="882"/>
      <c r="BV789" s="882"/>
      <c r="BW789" s="882"/>
      <c r="CF789" s="882"/>
      <c r="CG789" s="882"/>
      <c r="CH789" s="882"/>
      <c r="CI789" s="530"/>
    </row>
    <row r="790">
      <c r="A790" s="857"/>
      <c r="B790" s="865" t="s">
        <v>634</v>
      </c>
      <c r="C790" s="865" t="s">
        <v>591</v>
      </c>
      <c r="D790" s="865" t="s">
        <v>667</v>
      </c>
      <c r="E790" s="866">
        <v>2019.0</v>
      </c>
      <c r="F790" s="865" t="s">
        <v>593</v>
      </c>
      <c r="G790" s="865" t="s">
        <v>70</v>
      </c>
      <c r="H790" s="867">
        <v>5086.200593</v>
      </c>
      <c r="I790" s="867">
        <v>5562.828537</v>
      </c>
      <c r="J790" s="868">
        <v>4623.227546</v>
      </c>
      <c r="K790" s="50"/>
      <c r="L790" s="869" t="s">
        <v>634</v>
      </c>
      <c r="M790" s="865" t="s">
        <v>591</v>
      </c>
      <c r="N790" s="865" t="s">
        <v>667</v>
      </c>
      <c r="O790" s="866">
        <v>2004.0</v>
      </c>
      <c r="P790" s="865" t="s">
        <v>593</v>
      </c>
      <c r="Q790" s="865" t="s">
        <v>70</v>
      </c>
      <c r="R790" s="867">
        <v>2545.026137</v>
      </c>
      <c r="S790" s="867">
        <v>2900.101485</v>
      </c>
      <c r="T790" s="868">
        <v>2197.281736</v>
      </c>
      <c r="AN790" s="882"/>
      <c r="AO790" s="882"/>
      <c r="AP790" s="882"/>
      <c r="AY790" s="882"/>
      <c r="AZ790" s="882"/>
      <c r="BA790" s="882"/>
      <c r="BJ790" s="882"/>
      <c r="BK790" s="882"/>
      <c r="BL790" s="882"/>
      <c r="BU790" s="882"/>
      <c r="BV790" s="882"/>
      <c r="BW790" s="882"/>
      <c r="CF790" s="882"/>
      <c r="CG790" s="882"/>
      <c r="CH790" s="882"/>
      <c r="CI790" s="530"/>
    </row>
    <row r="791">
      <c r="A791" s="857"/>
      <c r="B791" s="865" t="s">
        <v>634</v>
      </c>
      <c r="C791" s="865" t="s">
        <v>591</v>
      </c>
      <c r="D791" s="865" t="s">
        <v>669</v>
      </c>
      <c r="E791" s="866">
        <v>2019.0</v>
      </c>
      <c r="F791" s="865" t="s">
        <v>593</v>
      </c>
      <c r="G791" s="865" t="s">
        <v>70</v>
      </c>
      <c r="H791" s="867">
        <v>3271.574083</v>
      </c>
      <c r="I791" s="867">
        <v>3578.153345</v>
      </c>
      <c r="J791" s="868">
        <v>2973.777998</v>
      </c>
      <c r="K791" s="50"/>
      <c r="L791" s="869" t="s">
        <v>634</v>
      </c>
      <c r="M791" s="865" t="s">
        <v>591</v>
      </c>
      <c r="N791" s="865" t="s">
        <v>669</v>
      </c>
      <c r="O791" s="866">
        <v>2004.0</v>
      </c>
      <c r="P791" s="865" t="s">
        <v>593</v>
      </c>
      <c r="Q791" s="865" t="s">
        <v>70</v>
      </c>
      <c r="R791" s="867">
        <v>1658.957368</v>
      </c>
      <c r="S791" s="867">
        <v>1890.410734</v>
      </c>
      <c r="T791" s="868">
        <v>1432.282629</v>
      </c>
      <c r="AN791" s="882"/>
      <c r="AO791" s="882"/>
      <c r="AP791" s="882"/>
      <c r="AY791" s="882"/>
      <c r="AZ791" s="882"/>
      <c r="BA791" s="882"/>
      <c r="BJ791" s="882"/>
      <c r="BK791" s="882"/>
      <c r="BL791" s="882"/>
      <c r="BU791" s="882"/>
      <c r="BV791" s="882"/>
      <c r="BW791" s="882"/>
      <c r="CF791" s="882"/>
      <c r="CG791" s="882"/>
      <c r="CH791" s="882"/>
      <c r="CI791" s="530"/>
    </row>
    <row r="792">
      <c r="A792" s="857"/>
      <c r="B792" s="865" t="s">
        <v>634</v>
      </c>
      <c r="C792" s="865" t="s">
        <v>591</v>
      </c>
      <c r="D792" s="865" t="s">
        <v>671</v>
      </c>
      <c r="E792" s="866">
        <v>2019.0</v>
      </c>
      <c r="F792" s="865" t="s">
        <v>593</v>
      </c>
      <c r="G792" s="865" t="s">
        <v>70</v>
      </c>
      <c r="H792" s="867">
        <v>1814.57221</v>
      </c>
      <c r="I792" s="867">
        <v>1984.676335</v>
      </c>
      <c r="J792" s="868">
        <v>1649.382598</v>
      </c>
      <c r="K792" s="50"/>
      <c r="L792" s="869" t="s">
        <v>634</v>
      </c>
      <c r="M792" s="865" t="s">
        <v>591</v>
      </c>
      <c r="N792" s="865" t="s">
        <v>671</v>
      </c>
      <c r="O792" s="866">
        <v>2004.0</v>
      </c>
      <c r="P792" s="865" t="s">
        <v>593</v>
      </c>
      <c r="Q792" s="865" t="s">
        <v>70</v>
      </c>
      <c r="R792" s="867">
        <v>886.0330649</v>
      </c>
      <c r="S792" s="867">
        <v>1009.733081</v>
      </c>
      <c r="T792" s="868">
        <v>764.9676142</v>
      </c>
      <c r="AN792" s="882"/>
      <c r="AO792" s="882"/>
      <c r="AP792" s="882"/>
      <c r="AY792" s="882"/>
      <c r="AZ792" s="882"/>
      <c r="BA792" s="882"/>
      <c r="BJ792" s="882"/>
      <c r="BK792" s="882"/>
      <c r="BL792" s="882"/>
      <c r="BU792" s="882"/>
      <c r="BV792" s="882"/>
      <c r="BW792" s="882"/>
      <c r="CF792" s="882"/>
      <c r="CG792" s="882"/>
      <c r="CH792" s="882"/>
      <c r="CI792" s="530"/>
    </row>
    <row r="793">
      <c r="A793" s="857"/>
      <c r="B793" s="865" t="s">
        <v>634</v>
      </c>
      <c r="C793" s="865" t="s">
        <v>591</v>
      </c>
      <c r="D793" s="865" t="s">
        <v>673</v>
      </c>
      <c r="E793" s="866">
        <v>2019.0</v>
      </c>
      <c r="F793" s="865" t="s">
        <v>593</v>
      </c>
      <c r="G793" s="865" t="s">
        <v>70</v>
      </c>
      <c r="H793" s="867">
        <v>1312.601875</v>
      </c>
      <c r="I793" s="867">
        <v>1435.605819</v>
      </c>
      <c r="J793" s="868">
        <v>1193.121867</v>
      </c>
      <c r="K793" s="50"/>
      <c r="L793" s="869" t="s">
        <v>634</v>
      </c>
      <c r="M793" s="865" t="s">
        <v>591</v>
      </c>
      <c r="N793" s="865" t="s">
        <v>673</v>
      </c>
      <c r="O793" s="866">
        <v>2004.0</v>
      </c>
      <c r="P793" s="865" t="s">
        <v>593</v>
      </c>
      <c r="Q793" s="865" t="s">
        <v>70</v>
      </c>
      <c r="R793" s="867">
        <v>653.8319535</v>
      </c>
      <c r="S793" s="867">
        <v>745.0528667</v>
      </c>
      <c r="T793" s="868">
        <v>564.494403</v>
      </c>
      <c r="AN793" s="882"/>
      <c r="AO793" s="882"/>
      <c r="AP793" s="882"/>
      <c r="AY793" s="882"/>
      <c r="AZ793" s="882"/>
      <c r="BA793" s="882"/>
      <c r="BJ793" s="882"/>
      <c r="BK793" s="882"/>
      <c r="BL793" s="882"/>
      <c r="BU793" s="882"/>
      <c r="BV793" s="882"/>
      <c r="BW793" s="882"/>
      <c r="CF793" s="882"/>
      <c r="CG793" s="882"/>
      <c r="CH793" s="882"/>
      <c r="CI793" s="530"/>
    </row>
    <row r="794">
      <c r="A794" s="857"/>
      <c r="B794" s="865" t="s">
        <v>634</v>
      </c>
      <c r="C794" s="865" t="s">
        <v>591</v>
      </c>
      <c r="D794" s="865" t="s">
        <v>674</v>
      </c>
      <c r="E794" s="866">
        <v>2019.0</v>
      </c>
      <c r="F794" s="865" t="s">
        <v>593</v>
      </c>
      <c r="G794" s="865" t="s">
        <v>70</v>
      </c>
      <c r="H794" s="867">
        <v>400.5675076</v>
      </c>
      <c r="I794" s="867">
        <v>438.1046956</v>
      </c>
      <c r="J794" s="868">
        <v>364.1057212</v>
      </c>
      <c r="K794" s="50"/>
      <c r="L794" s="869" t="s">
        <v>634</v>
      </c>
      <c r="M794" s="865" t="s">
        <v>591</v>
      </c>
      <c r="N794" s="865" t="s">
        <v>674</v>
      </c>
      <c r="O794" s="866">
        <v>2004.0</v>
      </c>
      <c r="P794" s="865" t="s">
        <v>593</v>
      </c>
      <c r="Q794" s="865" t="s">
        <v>70</v>
      </c>
      <c r="R794" s="867">
        <v>194.9496474</v>
      </c>
      <c r="S794" s="867">
        <v>222.1485091</v>
      </c>
      <c r="T794" s="868">
        <v>168.3123381</v>
      </c>
      <c r="AN794" s="882"/>
      <c r="AO794" s="882"/>
      <c r="AP794" s="882"/>
      <c r="AY794" s="882"/>
      <c r="AZ794" s="882"/>
      <c r="BA794" s="882"/>
      <c r="BJ794" s="882"/>
      <c r="BK794" s="882"/>
      <c r="BL794" s="882"/>
      <c r="BU794" s="882"/>
      <c r="BV794" s="882"/>
      <c r="BW794" s="882"/>
      <c r="CF794" s="882"/>
      <c r="CG794" s="882"/>
      <c r="CH794" s="882"/>
      <c r="CI794" s="530"/>
    </row>
    <row r="795">
      <c r="A795" s="857"/>
      <c r="B795" s="865" t="s">
        <v>634</v>
      </c>
      <c r="C795" s="865" t="s">
        <v>591</v>
      </c>
      <c r="D795" s="865" t="s">
        <v>676</v>
      </c>
      <c r="E795" s="866">
        <v>2019.0</v>
      </c>
      <c r="F795" s="865" t="s">
        <v>593</v>
      </c>
      <c r="G795" s="865" t="s">
        <v>70</v>
      </c>
      <c r="H795" s="867">
        <v>101.4571278</v>
      </c>
      <c r="I795" s="867">
        <v>110.964677</v>
      </c>
      <c r="J795" s="868">
        <v>92.22196008</v>
      </c>
      <c r="K795" s="50"/>
      <c r="L795" s="869" t="s">
        <v>634</v>
      </c>
      <c r="M795" s="865" t="s">
        <v>591</v>
      </c>
      <c r="N795" s="865" t="s">
        <v>676</v>
      </c>
      <c r="O795" s="866">
        <v>2004.0</v>
      </c>
      <c r="P795" s="865" t="s">
        <v>593</v>
      </c>
      <c r="Q795" s="865" t="s">
        <v>70</v>
      </c>
      <c r="R795" s="867">
        <v>37.28716761</v>
      </c>
      <c r="S795" s="867">
        <v>42.4893751</v>
      </c>
      <c r="T795" s="868">
        <v>32.19236581</v>
      </c>
      <c r="AN795" s="882"/>
      <c r="AO795" s="882"/>
      <c r="AP795" s="882"/>
      <c r="AY795" s="882"/>
      <c r="AZ795" s="882"/>
      <c r="BA795" s="882"/>
      <c r="BJ795" s="882"/>
      <c r="BK795" s="882"/>
      <c r="BL795" s="882"/>
      <c r="BU795" s="882"/>
      <c r="BV795" s="882"/>
      <c r="BW795" s="882"/>
      <c r="CF795" s="882"/>
      <c r="CG795" s="882"/>
      <c r="CH795" s="882"/>
      <c r="CI795" s="530"/>
    </row>
    <row r="796">
      <c r="A796" s="857"/>
      <c r="B796" s="865" t="s">
        <v>634</v>
      </c>
      <c r="C796" s="865" t="s">
        <v>591</v>
      </c>
      <c r="D796" s="865" t="s">
        <v>678</v>
      </c>
      <c r="E796" s="866">
        <v>2019.0</v>
      </c>
      <c r="F796" s="865" t="s">
        <v>593</v>
      </c>
      <c r="G796" s="865" t="s">
        <v>70</v>
      </c>
      <c r="H796" s="867">
        <v>1419839.102</v>
      </c>
      <c r="I796" s="867">
        <v>1552892.248</v>
      </c>
      <c r="J796" s="868">
        <v>1290597.79</v>
      </c>
      <c r="K796" s="50"/>
      <c r="L796" s="869" t="s">
        <v>634</v>
      </c>
      <c r="M796" s="865" t="s">
        <v>591</v>
      </c>
      <c r="N796" s="865" t="s">
        <v>678</v>
      </c>
      <c r="O796" s="866">
        <v>2004.0</v>
      </c>
      <c r="P796" s="865" t="s">
        <v>593</v>
      </c>
      <c r="Q796" s="865" t="s">
        <v>70</v>
      </c>
      <c r="R796" s="867">
        <v>804795.3961</v>
      </c>
      <c r="S796" s="867">
        <v>917078.3316</v>
      </c>
      <c r="T796" s="868">
        <v>694830.6737</v>
      </c>
      <c r="AN796" s="882"/>
      <c r="AO796" s="882"/>
      <c r="AP796" s="882"/>
      <c r="AY796" s="882"/>
      <c r="AZ796" s="882"/>
      <c r="BA796" s="882"/>
      <c r="BJ796" s="882"/>
      <c r="BK796" s="882"/>
      <c r="BL796" s="882"/>
      <c r="BU796" s="882"/>
      <c r="BV796" s="882"/>
      <c r="BW796" s="882"/>
      <c r="CF796" s="882"/>
      <c r="CG796" s="882"/>
      <c r="CH796" s="882"/>
      <c r="CI796" s="530"/>
    </row>
    <row r="797">
      <c r="A797" s="857"/>
      <c r="B797" s="865" t="s">
        <v>634</v>
      </c>
      <c r="C797" s="865" t="s">
        <v>591</v>
      </c>
      <c r="D797" s="865" t="s">
        <v>680</v>
      </c>
      <c r="E797" s="866">
        <v>2019.0</v>
      </c>
      <c r="F797" s="865" t="s">
        <v>593</v>
      </c>
      <c r="G797" s="865" t="s">
        <v>70</v>
      </c>
      <c r="H797" s="867">
        <v>38469.88062</v>
      </c>
      <c r="I797" s="867">
        <v>44245.55827</v>
      </c>
      <c r="J797" s="868">
        <v>33491.09992</v>
      </c>
      <c r="K797" s="50"/>
      <c r="L797" s="869" t="s">
        <v>634</v>
      </c>
      <c r="M797" s="865" t="s">
        <v>591</v>
      </c>
      <c r="N797" s="865" t="s">
        <v>680</v>
      </c>
      <c r="O797" s="866">
        <v>2004.0</v>
      </c>
      <c r="P797" s="865" t="s">
        <v>593</v>
      </c>
      <c r="Q797" s="865" t="s">
        <v>70</v>
      </c>
      <c r="R797" s="867">
        <v>34573.54568</v>
      </c>
      <c r="S797" s="867">
        <v>37175.31099</v>
      </c>
      <c r="T797" s="868">
        <v>31804.90299</v>
      </c>
      <c r="AN797" s="882"/>
      <c r="AO797" s="882"/>
      <c r="AP797" s="882"/>
      <c r="AY797" s="882"/>
      <c r="AZ797" s="882"/>
      <c r="BA797" s="882"/>
      <c r="BJ797" s="882"/>
      <c r="BK797" s="882"/>
      <c r="BL797" s="882"/>
      <c r="BU797" s="882"/>
      <c r="BV797" s="882"/>
      <c r="BW797" s="882"/>
      <c r="CF797" s="882"/>
      <c r="CG797" s="882"/>
      <c r="CH797" s="882"/>
      <c r="CI797" s="530"/>
    </row>
    <row r="798">
      <c r="A798" s="857"/>
      <c r="B798" s="865" t="s">
        <v>634</v>
      </c>
      <c r="C798" s="865" t="s">
        <v>591</v>
      </c>
      <c r="D798" s="865" t="s">
        <v>682</v>
      </c>
      <c r="E798" s="866">
        <v>2019.0</v>
      </c>
      <c r="F798" s="865" t="s">
        <v>593</v>
      </c>
      <c r="G798" s="865" t="s">
        <v>70</v>
      </c>
      <c r="H798" s="867">
        <v>735.6401136</v>
      </c>
      <c r="I798" s="867">
        <v>804.5769612</v>
      </c>
      <c r="J798" s="868">
        <v>668.6782353</v>
      </c>
      <c r="K798" s="50"/>
      <c r="L798" s="869" t="s">
        <v>634</v>
      </c>
      <c r="M798" s="865" t="s">
        <v>591</v>
      </c>
      <c r="N798" s="865" t="s">
        <v>682</v>
      </c>
      <c r="O798" s="866">
        <v>2004.0</v>
      </c>
      <c r="P798" s="865" t="s">
        <v>593</v>
      </c>
      <c r="Q798" s="865" t="s">
        <v>70</v>
      </c>
      <c r="R798" s="867">
        <v>659.9386871</v>
      </c>
      <c r="S798" s="867">
        <v>752.0115958</v>
      </c>
      <c r="T798" s="868">
        <v>569.7667317</v>
      </c>
      <c r="AN798" s="882"/>
      <c r="AO798" s="882"/>
      <c r="AP798" s="882"/>
      <c r="AY798" s="882"/>
      <c r="AZ798" s="882"/>
      <c r="BA798" s="882"/>
      <c r="BJ798" s="882"/>
      <c r="BK798" s="882"/>
      <c r="BL798" s="882"/>
      <c r="BU798" s="882"/>
      <c r="BV798" s="882"/>
      <c r="BW798" s="882"/>
      <c r="CF798" s="882"/>
      <c r="CG798" s="882"/>
      <c r="CH798" s="882"/>
      <c r="CI798" s="530"/>
    </row>
    <row r="799">
      <c r="A799" s="857"/>
      <c r="B799" s="865" t="s">
        <v>634</v>
      </c>
      <c r="C799" s="865" t="s">
        <v>591</v>
      </c>
      <c r="D799" s="865" t="s">
        <v>684</v>
      </c>
      <c r="E799" s="866">
        <v>2019.0</v>
      </c>
      <c r="F799" s="865" t="s">
        <v>593</v>
      </c>
      <c r="G799" s="865" t="s">
        <v>70</v>
      </c>
      <c r="H799" s="867">
        <v>2185.050523</v>
      </c>
      <c r="I799" s="867">
        <v>2389.811644</v>
      </c>
      <c r="J799" s="868">
        <v>1986.155595</v>
      </c>
      <c r="K799" s="50"/>
      <c r="L799" s="869" t="s">
        <v>634</v>
      </c>
      <c r="M799" s="865" t="s">
        <v>591</v>
      </c>
      <c r="N799" s="865" t="s">
        <v>684</v>
      </c>
      <c r="O799" s="866">
        <v>2004.0</v>
      </c>
      <c r="P799" s="865" t="s">
        <v>593</v>
      </c>
      <c r="Q799" s="865" t="s">
        <v>70</v>
      </c>
      <c r="R799" s="867">
        <v>1950.013366</v>
      </c>
      <c r="S799" s="867">
        <v>2222.074099</v>
      </c>
      <c r="T799" s="868">
        <v>1683.569647</v>
      </c>
      <c r="AN799" s="882"/>
      <c r="AO799" s="882"/>
      <c r="AP799" s="882"/>
      <c r="AY799" s="882"/>
      <c r="AZ799" s="882"/>
      <c r="BA799" s="882"/>
      <c r="BJ799" s="882"/>
      <c r="BK799" s="882"/>
      <c r="BL799" s="882"/>
      <c r="BU799" s="882"/>
      <c r="BV799" s="882"/>
      <c r="BW799" s="882"/>
      <c r="CF799" s="882"/>
      <c r="CG799" s="882"/>
      <c r="CH799" s="882"/>
      <c r="CI799" s="530"/>
    </row>
    <row r="800">
      <c r="A800" s="857"/>
      <c r="B800" s="865" t="s">
        <v>634</v>
      </c>
      <c r="C800" s="865" t="s">
        <v>591</v>
      </c>
      <c r="D800" s="865" t="s">
        <v>686</v>
      </c>
      <c r="E800" s="866">
        <v>2019.0</v>
      </c>
      <c r="F800" s="865" t="s">
        <v>593</v>
      </c>
      <c r="G800" s="865" t="s">
        <v>70</v>
      </c>
      <c r="H800" s="867">
        <v>2920.690636</v>
      </c>
      <c r="I800" s="867">
        <v>3194.388606</v>
      </c>
      <c r="J800" s="868">
        <v>2654.83383</v>
      </c>
      <c r="K800" s="50"/>
      <c r="L800" s="869" t="s">
        <v>634</v>
      </c>
      <c r="M800" s="865" t="s">
        <v>591</v>
      </c>
      <c r="N800" s="865" t="s">
        <v>686</v>
      </c>
      <c r="O800" s="866">
        <v>2004.0</v>
      </c>
      <c r="P800" s="865" t="s">
        <v>593</v>
      </c>
      <c r="Q800" s="865" t="s">
        <v>70</v>
      </c>
      <c r="R800" s="867">
        <v>2609.952054</v>
      </c>
      <c r="S800" s="867">
        <v>2974.085695</v>
      </c>
      <c r="T800" s="868">
        <v>2253.336379</v>
      </c>
      <c r="AN800" s="882"/>
      <c r="AO800" s="882"/>
      <c r="AP800" s="882"/>
      <c r="AY800" s="882"/>
      <c r="AZ800" s="882"/>
      <c r="BA800" s="882"/>
      <c r="BJ800" s="882"/>
      <c r="BK800" s="882"/>
      <c r="BL800" s="882"/>
      <c r="BU800" s="882"/>
      <c r="BV800" s="882"/>
      <c r="BW800" s="882"/>
      <c r="CF800" s="882"/>
      <c r="CG800" s="882"/>
      <c r="CH800" s="882"/>
      <c r="CI800" s="530"/>
    </row>
    <row r="801">
      <c r="A801" s="857"/>
      <c r="B801" s="865" t="s">
        <v>634</v>
      </c>
      <c r="C801" s="865" t="s">
        <v>591</v>
      </c>
      <c r="D801" s="865" t="s">
        <v>688</v>
      </c>
      <c r="E801" s="866">
        <v>2019.0</v>
      </c>
      <c r="F801" s="865" t="s">
        <v>593</v>
      </c>
      <c r="G801" s="865" t="s">
        <v>70</v>
      </c>
      <c r="H801" s="867">
        <v>34404.39889</v>
      </c>
      <c r="I801" s="867">
        <v>37628.43569</v>
      </c>
      <c r="J801" s="868">
        <v>31272.7274</v>
      </c>
      <c r="K801" s="50"/>
      <c r="L801" s="869" t="s">
        <v>634</v>
      </c>
      <c r="M801" s="865" t="s">
        <v>591</v>
      </c>
      <c r="N801" s="865" t="s">
        <v>688</v>
      </c>
      <c r="O801" s="866">
        <v>2004.0</v>
      </c>
      <c r="P801" s="865" t="s">
        <v>593</v>
      </c>
      <c r="Q801" s="865" t="s">
        <v>70</v>
      </c>
      <c r="R801" s="867">
        <v>30405.25078</v>
      </c>
      <c r="S801" s="867">
        <v>34647.31135</v>
      </c>
      <c r="T801" s="868">
        <v>26250.77254</v>
      </c>
      <c r="AN801" s="882"/>
      <c r="AO801" s="882"/>
      <c r="AP801" s="882"/>
      <c r="AY801" s="882"/>
      <c r="AZ801" s="882"/>
      <c r="BA801" s="882"/>
      <c r="BJ801" s="882"/>
      <c r="BK801" s="882"/>
      <c r="BL801" s="882"/>
      <c r="BU801" s="882"/>
      <c r="BV801" s="882"/>
      <c r="BW801" s="882"/>
      <c r="CF801" s="882"/>
      <c r="CG801" s="882"/>
      <c r="CH801" s="882"/>
      <c r="CI801" s="530"/>
    </row>
    <row r="802">
      <c r="A802" s="857"/>
      <c r="B802" s="865" t="s">
        <v>634</v>
      </c>
      <c r="C802" s="865" t="s">
        <v>591</v>
      </c>
      <c r="D802" s="865" t="s">
        <v>689</v>
      </c>
      <c r="E802" s="866">
        <v>2019.0</v>
      </c>
      <c r="F802" s="865" t="s">
        <v>593</v>
      </c>
      <c r="G802" s="865" t="s">
        <v>70</v>
      </c>
      <c r="H802" s="867">
        <v>185033.1466</v>
      </c>
      <c r="I802" s="867">
        <v>202372.6059</v>
      </c>
      <c r="J802" s="868">
        <v>168190.4448</v>
      </c>
      <c r="K802" s="50"/>
      <c r="L802" s="869" t="s">
        <v>634</v>
      </c>
      <c r="M802" s="865" t="s">
        <v>591</v>
      </c>
      <c r="N802" s="865" t="s">
        <v>689</v>
      </c>
      <c r="O802" s="866">
        <v>2004.0</v>
      </c>
      <c r="P802" s="865" t="s">
        <v>593</v>
      </c>
      <c r="Q802" s="865" t="s">
        <v>70</v>
      </c>
      <c r="R802" s="867">
        <v>153947.0628</v>
      </c>
      <c r="S802" s="867">
        <v>175425.3518</v>
      </c>
      <c r="T802" s="868">
        <v>132912.2183</v>
      </c>
      <c r="AN802" s="882"/>
      <c r="AO802" s="882"/>
      <c r="AP802" s="882"/>
      <c r="AY802" s="882"/>
      <c r="AZ802" s="882"/>
      <c r="BA802" s="882"/>
      <c r="BJ802" s="882"/>
      <c r="BK802" s="882"/>
      <c r="BL802" s="882"/>
      <c r="BU802" s="882"/>
      <c r="BV802" s="882"/>
      <c r="BW802" s="882"/>
      <c r="CF802" s="882"/>
      <c r="CG802" s="882"/>
      <c r="CH802" s="882"/>
      <c r="CI802" s="530"/>
    </row>
    <row r="803">
      <c r="A803" s="857"/>
      <c r="B803" s="865" t="s">
        <v>636</v>
      </c>
      <c r="C803" s="865" t="s">
        <v>591</v>
      </c>
      <c r="D803" s="865" t="s">
        <v>592</v>
      </c>
      <c r="E803" s="866">
        <v>2019.0</v>
      </c>
      <c r="F803" s="865" t="s">
        <v>593</v>
      </c>
      <c r="G803" s="865" t="s">
        <v>70</v>
      </c>
      <c r="H803" s="867">
        <v>191813.9411</v>
      </c>
      <c r="I803" s="867">
        <v>245674.4585</v>
      </c>
      <c r="J803" s="868">
        <v>136636.2226</v>
      </c>
      <c r="K803" s="50"/>
      <c r="L803" s="869" t="s">
        <v>636</v>
      </c>
      <c r="M803" s="865" t="s">
        <v>591</v>
      </c>
      <c r="N803" s="865" t="s">
        <v>592</v>
      </c>
      <c r="O803" s="866">
        <v>2004.0</v>
      </c>
      <c r="P803" s="865" t="s">
        <v>593</v>
      </c>
      <c r="Q803" s="865" t="s">
        <v>70</v>
      </c>
      <c r="R803" s="867">
        <v>178434.9623</v>
      </c>
      <c r="S803" s="867">
        <v>213307.3198</v>
      </c>
      <c r="T803" s="868">
        <v>145089.4009</v>
      </c>
      <c r="AN803" s="882"/>
      <c r="AO803" s="882"/>
      <c r="AP803" s="882"/>
      <c r="AY803" s="882"/>
      <c r="AZ803" s="882"/>
      <c r="BA803" s="882"/>
      <c r="BJ803" s="882"/>
      <c r="BK803" s="882"/>
      <c r="BL803" s="882"/>
      <c r="BU803" s="882"/>
      <c r="BV803" s="882"/>
      <c r="BW803" s="882"/>
      <c r="CF803" s="882"/>
      <c r="CG803" s="882"/>
      <c r="CH803" s="882"/>
      <c r="CI803" s="530"/>
    </row>
    <row r="804">
      <c r="A804" s="857"/>
      <c r="B804" s="865" t="s">
        <v>636</v>
      </c>
      <c r="C804" s="865" t="s">
        <v>591</v>
      </c>
      <c r="D804" s="865" t="s">
        <v>601</v>
      </c>
      <c r="E804" s="866">
        <v>2019.0</v>
      </c>
      <c r="F804" s="865" t="s">
        <v>593</v>
      </c>
      <c r="G804" s="865" t="s">
        <v>70</v>
      </c>
      <c r="H804" s="867">
        <v>3401848.585</v>
      </c>
      <c r="I804" s="867">
        <v>4357072.818</v>
      </c>
      <c r="J804" s="868">
        <v>2423263.595</v>
      </c>
      <c r="K804" s="50"/>
      <c r="L804" s="869" t="s">
        <v>636</v>
      </c>
      <c r="M804" s="865" t="s">
        <v>591</v>
      </c>
      <c r="N804" s="865" t="s">
        <v>601</v>
      </c>
      <c r="O804" s="866">
        <v>2004.0</v>
      </c>
      <c r="P804" s="865" t="s">
        <v>593</v>
      </c>
      <c r="Q804" s="865" t="s">
        <v>70</v>
      </c>
      <c r="R804" s="867">
        <v>2733581.319</v>
      </c>
      <c r="S804" s="867">
        <v>3267817.568</v>
      </c>
      <c r="T804" s="868">
        <v>2222735.225</v>
      </c>
      <c r="AN804" s="882"/>
      <c r="AO804" s="882"/>
      <c r="AP804" s="882"/>
      <c r="AY804" s="882"/>
      <c r="AZ804" s="882"/>
      <c r="BA804" s="882"/>
      <c r="BJ804" s="882"/>
      <c r="BK804" s="882"/>
      <c r="BL804" s="882"/>
      <c r="BU804" s="882"/>
      <c r="BV804" s="882"/>
      <c r="BW804" s="882"/>
      <c r="CF804" s="882"/>
      <c r="CG804" s="882"/>
      <c r="CH804" s="882"/>
      <c r="CI804" s="530"/>
    </row>
    <row r="805">
      <c r="A805" s="857"/>
      <c r="B805" s="865" t="s">
        <v>636</v>
      </c>
      <c r="C805" s="865" t="s">
        <v>591</v>
      </c>
      <c r="D805" s="865" t="s">
        <v>606</v>
      </c>
      <c r="E805" s="866">
        <v>2019.0</v>
      </c>
      <c r="F805" s="865" t="s">
        <v>593</v>
      </c>
      <c r="G805" s="865" t="s">
        <v>70</v>
      </c>
      <c r="H805" s="867">
        <v>2641002.571</v>
      </c>
      <c r="I805" s="867">
        <v>3382584.565</v>
      </c>
      <c r="J805" s="868">
        <v>1881284.609</v>
      </c>
      <c r="K805" s="50"/>
      <c r="L805" s="869" t="s">
        <v>636</v>
      </c>
      <c r="M805" s="865" t="s">
        <v>591</v>
      </c>
      <c r="N805" s="865" t="s">
        <v>606</v>
      </c>
      <c r="O805" s="866">
        <v>2004.0</v>
      </c>
      <c r="P805" s="865" t="s">
        <v>593</v>
      </c>
      <c r="Q805" s="865" t="s">
        <v>70</v>
      </c>
      <c r="R805" s="867">
        <v>2200341.925</v>
      </c>
      <c r="S805" s="867">
        <v>2630364.77</v>
      </c>
      <c r="T805" s="868">
        <v>1789146.52</v>
      </c>
      <c r="AN805" s="882"/>
      <c r="AO805" s="882"/>
      <c r="AP805" s="882"/>
      <c r="AY805" s="882"/>
      <c r="AZ805" s="882"/>
      <c r="BA805" s="882"/>
      <c r="BJ805" s="882"/>
      <c r="BK805" s="882"/>
      <c r="BL805" s="882"/>
      <c r="BU805" s="882"/>
      <c r="BV805" s="882"/>
      <c r="BW805" s="882"/>
      <c r="CF805" s="882"/>
      <c r="CG805" s="882"/>
      <c r="CH805" s="882"/>
      <c r="CI805" s="530"/>
    </row>
    <row r="806">
      <c r="A806" s="857"/>
      <c r="B806" s="865" t="s">
        <v>636</v>
      </c>
      <c r="C806" s="865" t="s">
        <v>591</v>
      </c>
      <c r="D806" s="865" t="s">
        <v>608</v>
      </c>
      <c r="E806" s="866">
        <v>2019.0</v>
      </c>
      <c r="F806" s="865" t="s">
        <v>593</v>
      </c>
      <c r="G806" s="865" t="s">
        <v>70</v>
      </c>
      <c r="H806" s="867">
        <v>738016.3703</v>
      </c>
      <c r="I806" s="867">
        <v>945248.1455</v>
      </c>
      <c r="J806" s="868">
        <v>525716.5797</v>
      </c>
      <c r="K806" s="50"/>
      <c r="L806" s="869" t="s">
        <v>636</v>
      </c>
      <c r="M806" s="865" t="s">
        <v>591</v>
      </c>
      <c r="N806" s="865" t="s">
        <v>608</v>
      </c>
      <c r="O806" s="866">
        <v>2004.0</v>
      </c>
      <c r="P806" s="865" t="s">
        <v>593</v>
      </c>
      <c r="Q806" s="865" t="s">
        <v>70</v>
      </c>
      <c r="R806" s="867">
        <v>663546.3638</v>
      </c>
      <c r="S806" s="867">
        <v>793226.2523</v>
      </c>
      <c r="T806" s="868">
        <v>539544.1744</v>
      </c>
      <c r="AN806" s="882"/>
      <c r="AO806" s="882"/>
      <c r="AP806" s="882"/>
      <c r="AY806" s="882"/>
      <c r="AZ806" s="882"/>
      <c r="BA806" s="882"/>
      <c r="BJ806" s="882"/>
      <c r="BK806" s="882"/>
      <c r="BL806" s="882"/>
      <c r="BU806" s="882"/>
      <c r="BV806" s="882"/>
      <c r="BW806" s="882"/>
      <c r="CF806" s="882"/>
      <c r="CG806" s="882"/>
      <c r="CH806" s="882"/>
      <c r="CI806" s="530"/>
    </row>
    <row r="807">
      <c r="A807" s="857"/>
      <c r="B807" s="865" t="s">
        <v>636</v>
      </c>
      <c r="C807" s="865" t="s">
        <v>591</v>
      </c>
      <c r="D807" s="865" t="s">
        <v>610</v>
      </c>
      <c r="E807" s="866">
        <v>2019.0</v>
      </c>
      <c r="F807" s="865" t="s">
        <v>593</v>
      </c>
      <c r="G807" s="865" t="s">
        <v>70</v>
      </c>
      <c r="H807" s="867">
        <v>827389.0778</v>
      </c>
      <c r="I807" s="867">
        <v>1059716.319</v>
      </c>
      <c r="J807" s="868">
        <v>589380.0918</v>
      </c>
      <c r="K807" s="50"/>
      <c r="L807" s="869" t="s">
        <v>636</v>
      </c>
      <c r="M807" s="865" t="s">
        <v>591</v>
      </c>
      <c r="N807" s="865" t="s">
        <v>610</v>
      </c>
      <c r="O807" s="866">
        <v>2004.0</v>
      </c>
      <c r="P807" s="865" t="s">
        <v>593</v>
      </c>
      <c r="Q807" s="865" t="s">
        <v>70</v>
      </c>
      <c r="R807" s="867">
        <v>627140.3367</v>
      </c>
      <c r="S807" s="867">
        <v>749705.2295</v>
      </c>
      <c r="T807" s="868">
        <v>509941.6313</v>
      </c>
      <c r="AN807" s="882"/>
      <c r="AO807" s="882"/>
      <c r="AP807" s="882"/>
      <c r="AY807" s="882"/>
      <c r="AZ807" s="882"/>
      <c r="BA807" s="882"/>
      <c r="BJ807" s="882"/>
      <c r="BK807" s="882"/>
      <c r="BL807" s="882"/>
      <c r="BU807" s="882"/>
      <c r="BV807" s="882"/>
      <c r="BW807" s="882"/>
      <c r="CF807" s="882"/>
      <c r="CG807" s="882"/>
      <c r="CH807" s="882"/>
      <c r="CI807" s="530"/>
    </row>
    <row r="808">
      <c r="A808" s="857"/>
      <c r="B808" s="865" t="s">
        <v>636</v>
      </c>
      <c r="C808" s="865" t="s">
        <v>591</v>
      </c>
      <c r="D808" s="865" t="s">
        <v>612</v>
      </c>
      <c r="E808" s="866">
        <v>2019.0</v>
      </c>
      <c r="F808" s="865" t="s">
        <v>593</v>
      </c>
      <c r="G808" s="865" t="s">
        <v>70</v>
      </c>
      <c r="H808" s="867">
        <v>1588235.092</v>
      </c>
      <c r="I808" s="867">
        <v>2034204.572</v>
      </c>
      <c r="J808" s="868">
        <v>1131359.078</v>
      </c>
      <c r="K808" s="50"/>
      <c r="L808" s="869" t="s">
        <v>636</v>
      </c>
      <c r="M808" s="865" t="s">
        <v>591</v>
      </c>
      <c r="N808" s="865" t="s">
        <v>612</v>
      </c>
      <c r="O808" s="866">
        <v>2004.0</v>
      </c>
      <c r="P808" s="865" t="s">
        <v>593</v>
      </c>
      <c r="Q808" s="865" t="s">
        <v>70</v>
      </c>
      <c r="R808" s="867">
        <v>1160379.731</v>
      </c>
      <c r="S808" s="867">
        <v>1387158.028</v>
      </c>
      <c r="T808" s="868">
        <v>943530.3365</v>
      </c>
      <c r="AN808" s="882"/>
      <c r="AO808" s="882"/>
      <c r="AP808" s="882"/>
      <c r="AY808" s="882"/>
      <c r="AZ808" s="882"/>
      <c r="BA808" s="882"/>
      <c r="BJ808" s="882"/>
      <c r="BK808" s="882"/>
      <c r="BL808" s="882"/>
      <c r="BU808" s="882"/>
      <c r="BV808" s="882"/>
      <c r="BW808" s="882"/>
      <c r="CF808" s="882"/>
      <c r="CG808" s="882"/>
      <c r="CH808" s="882"/>
      <c r="CI808" s="530"/>
    </row>
    <row r="809">
      <c r="A809" s="857"/>
      <c r="B809" s="865" t="s">
        <v>636</v>
      </c>
      <c r="C809" s="865" t="s">
        <v>591</v>
      </c>
      <c r="D809" s="865" t="s">
        <v>614</v>
      </c>
      <c r="E809" s="866">
        <v>2019.0</v>
      </c>
      <c r="F809" s="865" t="s">
        <v>593</v>
      </c>
      <c r="G809" s="865" t="s">
        <v>70</v>
      </c>
      <c r="H809" s="867">
        <v>2256867.817</v>
      </c>
      <c r="I809" s="867">
        <v>2890586.448</v>
      </c>
      <c r="J809" s="868">
        <v>1607651.1</v>
      </c>
      <c r="K809" s="50"/>
      <c r="L809" s="869" t="s">
        <v>636</v>
      </c>
      <c r="M809" s="865" t="s">
        <v>591</v>
      </c>
      <c r="N809" s="865" t="s">
        <v>614</v>
      </c>
      <c r="O809" s="866">
        <v>2004.0</v>
      </c>
      <c r="P809" s="865" t="s">
        <v>593</v>
      </c>
      <c r="Q809" s="865" t="s">
        <v>70</v>
      </c>
      <c r="R809" s="867">
        <v>1612769.757</v>
      </c>
      <c r="S809" s="867">
        <v>1927960.697</v>
      </c>
      <c r="T809" s="868">
        <v>1311378.638</v>
      </c>
      <c r="AN809" s="882"/>
      <c r="AO809" s="882"/>
      <c r="AP809" s="882"/>
      <c r="AY809" s="882"/>
      <c r="AZ809" s="882"/>
      <c r="BA809" s="882"/>
      <c r="BJ809" s="882"/>
      <c r="BK809" s="882"/>
      <c r="BL809" s="882"/>
      <c r="BU809" s="882"/>
      <c r="BV809" s="882"/>
      <c r="BW809" s="882"/>
      <c r="CF809" s="882"/>
      <c r="CG809" s="882"/>
      <c r="CH809" s="882"/>
      <c r="CI809" s="530"/>
    </row>
    <row r="810">
      <c r="A810" s="857"/>
      <c r="B810" s="865" t="s">
        <v>636</v>
      </c>
      <c r="C810" s="865" t="s">
        <v>591</v>
      </c>
      <c r="D810" s="865" t="s">
        <v>616</v>
      </c>
      <c r="E810" s="866">
        <v>2019.0</v>
      </c>
      <c r="F810" s="865" t="s">
        <v>593</v>
      </c>
      <c r="G810" s="865" t="s">
        <v>70</v>
      </c>
      <c r="H810" s="867">
        <v>760846.0137</v>
      </c>
      <c r="I810" s="867">
        <v>974488.2531</v>
      </c>
      <c r="J810" s="868">
        <v>541978.9859</v>
      </c>
      <c r="K810" s="50"/>
      <c r="L810" s="869" t="s">
        <v>636</v>
      </c>
      <c r="M810" s="865" t="s">
        <v>591</v>
      </c>
      <c r="N810" s="865" t="s">
        <v>616</v>
      </c>
      <c r="O810" s="866">
        <v>2004.0</v>
      </c>
      <c r="P810" s="865" t="s">
        <v>593</v>
      </c>
      <c r="Q810" s="865" t="s">
        <v>70</v>
      </c>
      <c r="R810" s="867">
        <v>533239.3941</v>
      </c>
      <c r="S810" s="867">
        <v>637452.798</v>
      </c>
      <c r="T810" s="868">
        <v>433588.7051</v>
      </c>
      <c r="AN810" s="882"/>
      <c r="AO810" s="882"/>
      <c r="AP810" s="882"/>
      <c r="AY810" s="882"/>
      <c r="AZ810" s="882"/>
      <c r="BA810" s="882"/>
      <c r="BJ810" s="882"/>
      <c r="BK810" s="882"/>
      <c r="BL810" s="882"/>
      <c r="BU810" s="882"/>
      <c r="BV810" s="882"/>
      <c r="BW810" s="882"/>
      <c r="CF810" s="882"/>
      <c r="CG810" s="882"/>
      <c r="CH810" s="882"/>
      <c r="CI810" s="530"/>
    </row>
    <row r="811">
      <c r="A811" s="857"/>
      <c r="B811" s="865" t="s">
        <v>636</v>
      </c>
      <c r="C811" s="865" t="s">
        <v>591</v>
      </c>
      <c r="D811" s="865" t="s">
        <v>618</v>
      </c>
      <c r="E811" s="866">
        <v>2019.0</v>
      </c>
      <c r="F811" s="865" t="s">
        <v>593</v>
      </c>
      <c r="G811" s="865" t="s">
        <v>70</v>
      </c>
      <c r="H811" s="867">
        <v>2874160.432</v>
      </c>
      <c r="I811" s="867">
        <v>3682405.185</v>
      </c>
      <c r="J811" s="868">
        <v>2047787.405</v>
      </c>
      <c r="K811" s="50"/>
      <c r="L811" s="869" t="s">
        <v>636</v>
      </c>
      <c r="M811" s="865" t="s">
        <v>591</v>
      </c>
      <c r="N811" s="865" t="s">
        <v>618</v>
      </c>
      <c r="O811" s="866">
        <v>2004.0</v>
      </c>
      <c r="P811" s="865" t="s">
        <v>593</v>
      </c>
      <c r="Q811" s="865" t="s">
        <v>70</v>
      </c>
      <c r="R811" s="867">
        <v>1916555.791</v>
      </c>
      <c r="S811" s="867">
        <v>2291583.28</v>
      </c>
      <c r="T811" s="868">
        <v>1558677.814</v>
      </c>
      <c r="AN811" s="882"/>
      <c r="AO811" s="882"/>
      <c r="AP811" s="882"/>
      <c r="AY811" s="882"/>
      <c r="AZ811" s="882"/>
      <c r="BA811" s="882"/>
      <c r="BJ811" s="882"/>
      <c r="BK811" s="882"/>
      <c r="BL811" s="882"/>
      <c r="BU811" s="882"/>
      <c r="BV811" s="882"/>
      <c r="BW811" s="882"/>
      <c r="CF811" s="882"/>
      <c r="CG811" s="882"/>
      <c r="CH811" s="882"/>
      <c r="CI811" s="530"/>
    </row>
    <row r="812">
      <c r="A812" s="857"/>
      <c r="B812" s="865" t="s">
        <v>636</v>
      </c>
      <c r="C812" s="865" t="s">
        <v>591</v>
      </c>
      <c r="D812" s="865" t="s">
        <v>620</v>
      </c>
      <c r="E812" s="866">
        <v>2019.0</v>
      </c>
      <c r="F812" s="865" t="s">
        <v>593</v>
      </c>
      <c r="G812" s="865" t="s">
        <v>70</v>
      </c>
      <c r="H812" s="867">
        <v>3454468.876</v>
      </c>
      <c r="I812" s="867">
        <v>4424468.657</v>
      </c>
      <c r="J812" s="868">
        <v>2460746.991</v>
      </c>
      <c r="K812" s="50"/>
      <c r="L812" s="869" t="s">
        <v>636</v>
      </c>
      <c r="M812" s="865" t="s">
        <v>591</v>
      </c>
      <c r="N812" s="865" t="s">
        <v>620</v>
      </c>
      <c r="O812" s="866">
        <v>2004.0</v>
      </c>
      <c r="P812" s="865" t="s">
        <v>593</v>
      </c>
      <c r="Q812" s="865" t="s">
        <v>70</v>
      </c>
      <c r="R812" s="867">
        <v>2278458.57</v>
      </c>
      <c r="S812" s="867">
        <v>2723748.107</v>
      </c>
      <c r="T812" s="868">
        <v>1852664.885</v>
      </c>
      <c r="AN812" s="882"/>
      <c r="AO812" s="882"/>
      <c r="AP812" s="882"/>
      <c r="AY812" s="882"/>
      <c r="AZ812" s="882"/>
      <c r="BA812" s="882"/>
      <c r="BJ812" s="882"/>
      <c r="BK812" s="882"/>
      <c r="BL812" s="882"/>
      <c r="BU812" s="882"/>
      <c r="BV812" s="882"/>
      <c r="BW812" s="882"/>
      <c r="CF812" s="882"/>
      <c r="CG812" s="882"/>
      <c r="CH812" s="882"/>
      <c r="CI812" s="530"/>
    </row>
    <row r="813">
      <c r="A813" s="857"/>
      <c r="B813" s="865" t="s">
        <v>636</v>
      </c>
      <c r="C813" s="865" t="s">
        <v>591</v>
      </c>
      <c r="D813" s="865" t="s">
        <v>622</v>
      </c>
      <c r="E813" s="866">
        <v>2019.0</v>
      </c>
      <c r="F813" s="865" t="s">
        <v>593</v>
      </c>
      <c r="G813" s="865" t="s">
        <v>70</v>
      </c>
      <c r="H813" s="867">
        <v>3308477.855</v>
      </c>
      <c r="I813" s="867">
        <v>4238857.327</v>
      </c>
      <c r="J813" s="868">
        <v>2357230.725</v>
      </c>
      <c r="K813" s="50"/>
      <c r="L813" s="869" t="s">
        <v>636</v>
      </c>
      <c r="M813" s="865" t="s">
        <v>591</v>
      </c>
      <c r="N813" s="865" t="s">
        <v>622</v>
      </c>
      <c r="O813" s="866">
        <v>2004.0</v>
      </c>
      <c r="P813" s="865" t="s">
        <v>593</v>
      </c>
      <c r="Q813" s="865" t="s">
        <v>70</v>
      </c>
      <c r="R813" s="867">
        <v>2108324.35</v>
      </c>
      <c r="S813" s="867">
        <v>2520876.696</v>
      </c>
      <c r="T813" s="868">
        <v>1714637.479</v>
      </c>
      <c r="AN813" s="882"/>
      <c r="AO813" s="882"/>
      <c r="AP813" s="882"/>
      <c r="AY813" s="882"/>
      <c r="AZ813" s="882"/>
      <c r="BA813" s="882"/>
      <c r="BJ813" s="882"/>
      <c r="BK813" s="882"/>
      <c r="BL813" s="882"/>
      <c r="BU813" s="882"/>
      <c r="BV813" s="882"/>
      <c r="BW813" s="882"/>
      <c r="CF813" s="882"/>
      <c r="CG813" s="882"/>
      <c r="CH813" s="882"/>
      <c r="CI813" s="530"/>
    </row>
    <row r="814">
      <c r="A814" s="857"/>
      <c r="B814" s="865" t="s">
        <v>636</v>
      </c>
      <c r="C814" s="865" t="s">
        <v>591</v>
      </c>
      <c r="D814" s="865" t="s">
        <v>624</v>
      </c>
      <c r="E814" s="866">
        <v>2019.0</v>
      </c>
      <c r="F814" s="865" t="s">
        <v>593</v>
      </c>
      <c r="G814" s="865" t="s">
        <v>70</v>
      </c>
      <c r="H814" s="867">
        <v>668632.7253</v>
      </c>
      <c r="I814" s="867">
        <v>856381.8759</v>
      </c>
      <c r="J814" s="868">
        <v>476292.0222</v>
      </c>
      <c r="K814" s="50"/>
      <c r="L814" s="869" t="s">
        <v>636</v>
      </c>
      <c r="M814" s="865" t="s">
        <v>591</v>
      </c>
      <c r="N814" s="865" t="s">
        <v>624</v>
      </c>
      <c r="O814" s="866">
        <v>2004.0</v>
      </c>
      <c r="P814" s="865" t="s">
        <v>593</v>
      </c>
      <c r="Q814" s="865" t="s">
        <v>70</v>
      </c>
      <c r="R814" s="867">
        <v>452390.0258</v>
      </c>
      <c r="S814" s="867">
        <v>540802.6693</v>
      </c>
      <c r="T814" s="868">
        <v>367848.3016</v>
      </c>
      <c r="AN814" s="882"/>
      <c r="AO814" s="882"/>
      <c r="AP814" s="882"/>
      <c r="AY814" s="882"/>
      <c r="AZ814" s="882"/>
      <c r="BA814" s="882"/>
      <c r="BJ814" s="882"/>
      <c r="BK814" s="882"/>
      <c r="BL814" s="882"/>
      <c r="BU814" s="882"/>
      <c r="BV814" s="882"/>
      <c r="BW814" s="882"/>
      <c r="CF814" s="882"/>
      <c r="CG814" s="882"/>
      <c r="CH814" s="882"/>
      <c r="CI814" s="530"/>
    </row>
    <row r="815">
      <c r="A815" s="857"/>
      <c r="B815" s="865" t="s">
        <v>636</v>
      </c>
      <c r="C815" s="865" t="s">
        <v>591</v>
      </c>
      <c r="D815" s="865" t="s">
        <v>625</v>
      </c>
      <c r="E815" s="866">
        <v>2019.0</v>
      </c>
      <c r="F815" s="865" t="s">
        <v>593</v>
      </c>
      <c r="G815" s="865" t="s">
        <v>70</v>
      </c>
      <c r="H815" s="867">
        <v>2640732.022</v>
      </c>
      <c r="I815" s="867">
        <v>3382238.046</v>
      </c>
      <c r="J815" s="868">
        <v>1881091.887</v>
      </c>
      <c r="K815" s="50"/>
      <c r="L815" s="869" t="s">
        <v>636</v>
      </c>
      <c r="M815" s="865" t="s">
        <v>591</v>
      </c>
      <c r="N815" s="865" t="s">
        <v>625</v>
      </c>
      <c r="O815" s="866">
        <v>2004.0</v>
      </c>
      <c r="P815" s="865" t="s">
        <v>593</v>
      </c>
      <c r="Q815" s="865" t="s">
        <v>70</v>
      </c>
      <c r="R815" s="867">
        <v>1656323.939</v>
      </c>
      <c r="S815" s="867">
        <v>1980026.871</v>
      </c>
      <c r="T815" s="868">
        <v>1346793.504</v>
      </c>
      <c r="AN815" s="882"/>
      <c r="AO815" s="882"/>
      <c r="AP815" s="882"/>
      <c r="AY815" s="882"/>
      <c r="AZ815" s="882"/>
      <c r="BA815" s="882"/>
      <c r="BJ815" s="882"/>
      <c r="BK815" s="882"/>
      <c r="BL815" s="882"/>
      <c r="BU815" s="882"/>
      <c r="BV815" s="882"/>
      <c r="BW815" s="882"/>
      <c r="CF815" s="882"/>
      <c r="CG815" s="882"/>
      <c r="CH815" s="882"/>
      <c r="CI815" s="530"/>
    </row>
    <row r="816">
      <c r="A816" s="857"/>
      <c r="B816" s="865" t="s">
        <v>636</v>
      </c>
      <c r="C816" s="865" t="s">
        <v>591</v>
      </c>
      <c r="D816" s="865" t="s">
        <v>627</v>
      </c>
      <c r="E816" s="866">
        <v>2019.0</v>
      </c>
      <c r="F816" s="865" t="s">
        <v>593</v>
      </c>
      <c r="G816" s="865" t="s">
        <v>70</v>
      </c>
      <c r="H816" s="867">
        <v>568330.6192</v>
      </c>
      <c r="I816" s="867">
        <v>727915.3762</v>
      </c>
      <c r="J816" s="868">
        <v>404843.092</v>
      </c>
      <c r="K816" s="50"/>
      <c r="L816" s="869" t="s">
        <v>636</v>
      </c>
      <c r="M816" s="865" t="s">
        <v>591</v>
      </c>
      <c r="N816" s="865" t="s">
        <v>627</v>
      </c>
      <c r="O816" s="866">
        <v>2004.0</v>
      </c>
      <c r="P816" s="865" t="s">
        <v>593</v>
      </c>
      <c r="Q816" s="865" t="s">
        <v>70</v>
      </c>
      <c r="R816" s="867">
        <v>375522.0715</v>
      </c>
      <c r="S816" s="867">
        <v>448912.0606</v>
      </c>
      <c r="T816" s="868">
        <v>305345.2737</v>
      </c>
      <c r="AN816" s="882"/>
      <c r="AO816" s="882"/>
      <c r="AP816" s="882"/>
      <c r="AY816" s="882"/>
      <c r="AZ816" s="882"/>
      <c r="BA816" s="882"/>
      <c r="BJ816" s="882"/>
      <c r="BK816" s="882"/>
      <c r="BL816" s="882"/>
      <c r="BU816" s="882"/>
      <c r="BV816" s="882"/>
      <c r="BW816" s="882"/>
      <c r="CF816" s="882"/>
      <c r="CG816" s="882"/>
      <c r="CH816" s="882"/>
      <c r="CI816" s="530"/>
    </row>
    <row r="817">
      <c r="A817" s="857"/>
      <c r="B817" s="865" t="s">
        <v>636</v>
      </c>
      <c r="C817" s="865" t="s">
        <v>591</v>
      </c>
      <c r="D817" s="865" t="s">
        <v>629</v>
      </c>
      <c r="E817" s="866">
        <v>2019.0</v>
      </c>
      <c r="F817" s="865" t="s">
        <v>593</v>
      </c>
      <c r="G817" s="865" t="s">
        <v>70</v>
      </c>
      <c r="H817" s="867">
        <v>2024447.45</v>
      </c>
      <c r="I817" s="867">
        <v>2593743.795</v>
      </c>
      <c r="J817" s="868">
        <v>1442382.25</v>
      </c>
      <c r="K817" s="50"/>
      <c r="L817" s="869" t="s">
        <v>636</v>
      </c>
      <c r="M817" s="865" t="s">
        <v>591</v>
      </c>
      <c r="N817" s="865" t="s">
        <v>629</v>
      </c>
      <c r="O817" s="866">
        <v>2004.0</v>
      </c>
      <c r="P817" s="865" t="s">
        <v>593</v>
      </c>
      <c r="Q817" s="865" t="s">
        <v>70</v>
      </c>
      <c r="R817" s="867">
        <v>1292590.282</v>
      </c>
      <c r="S817" s="867">
        <v>1545521.55</v>
      </c>
      <c r="T817" s="868">
        <v>1051225.226</v>
      </c>
      <c r="AN817" s="882"/>
      <c r="AO817" s="882"/>
      <c r="AP817" s="882"/>
      <c r="AY817" s="882"/>
      <c r="AZ817" s="882"/>
      <c r="BA817" s="882"/>
      <c r="BJ817" s="882"/>
      <c r="BK817" s="882"/>
      <c r="BL817" s="882"/>
      <c r="BU817" s="882"/>
      <c r="BV817" s="882"/>
      <c r="BW817" s="882"/>
      <c r="CF817" s="882"/>
      <c r="CG817" s="882"/>
      <c r="CH817" s="882"/>
      <c r="CI817" s="530"/>
    </row>
    <row r="818">
      <c r="A818" s="857"/>
      <c r="B818" s="865" t="s">
        <v>636</v>
      </c>
      <c r="C818" s="865" t="s">
        <v>591</v>
      </c>
      <c r="D818" s="865" t="s">
        <v>631</v>
      </c>
      <c r="E818" s="866">
        <v>2019.0</v>
      </c>
      <c r="F818" s="865" t="s">
        <v>593</v>
      </c>
      <c r="G818" s="865" t="s">
        <v>70</v>
      </c>
      <c r="H818" s="867">
        <v>477696.8317</v>
      </c>
      <c r="I818" s="867">
        <v>611832.0168</v>
      </c>
      <c r="J818" s="868">
        <v>340281.2656</v>
      </c>
      <c r="K818" s="50"/>
      <c r="L818" s="869" t="s">
        <v>636</v>
      </c>
      <c r="M818" s="865" t="s">
        <v>591</v>
      </c>
      <c r="N818" s="865" t="s">
        <v>631</v>
      </c>
      <c r="O818" s="866">
        <v>2004.0</v>
      </c>
      <c r="P818" s="865" t="s">
        <v>593</v>
      </c>
      <c r="Q818" s="865" t="s">
        <v>70</v>
      </c>
      <c r="R818" s="867">
        <v>307161.9066</v>
      </c>
      <c r="S818" s="867">
        <v>367191.9572</v>
      </c>
      <c r="T818" s="868">
        <v>249760.1168</v>
      </c>
      <c r="AN818" s="882"/>
      <c r="AO818" s="882"/>
      <c r="AP818" s="882"/>
      <c r="AY818" s="882"/>
      <c r="AZ818" s="882"/>
      <c r="BA818" s="882"/>
      <c r="BJ818" s="882"/>
      <c r="BK818" s="882"/>
      <c r="BL818" s="882"/>
      <c r="BU818" s="882"/>
      <c r="BV818" s="882"/>
      <c r="BW818" s="882"/>
      <c r="CF818" s="882"/>
      <c r="CG818" s="882"/>
      <c r="CH818" s="882"/>
      <c r="CI818" s="530"/>
    </row>
    <row r="819">
      <c r="A819" s="857"/>
      <c r="B819" s="865" t="s">
        <v>636</v>
      </c>
      <c r="C819" s="865" t="s">
        <v>591</v>
      </c>
      <c r="D819" s="865" t="s">
        <v>633</v>
      </c>
      <c r="E819" s="866">
        <v>2019.0</v>
      </c>
      <c r="F819" s="865" t="s">
        <v>593</v>
      </c>
      <c r="G819" s="865" t="s">
        <v>70</v>
      </c>
      <c r="H819" s="867">
        <v>399424.7087</v>
      </c>
      <c r="I819" s="867">
        <v>511581.4233</v>
      </c>
      <c r="J819" s="868">
        <v>284525.1137</v>
      </c>
      <c r="K819" s="50"/>
      <c r="L819" s="869" t="s">
        <v>636</v>
      </c>
      <c r="M819" s="865" t="s">
        <v>591</v>
      </c>
      <c r="N819" s="865" t="s">
        <v>633</v>
      </c>
      <c r="O819" s="866">
        <v>2004.0</v>
      </c>
      <c r="P819" s="865" t="s">
        <v>593</v>
      </c>
      <c r="Q819" s="865" t="s">
        <v>70</v>
      </c>
      <c r="R819" s="867">
        <v>248596.5683</v>
      </c>
      <c r="S819" s="867">
        <v>297180.9281</v>
      </c>
      <c r="T819" s="868">
        <v>202139.3493</v>
      </c>
      <c r="AN819" s="882"/>
      <c r="AO819" s="882"/>
      <c r="AP819" s="882"/>
      <c r="AY819" s="882"/>
      <c r="AZ819" s="882"/>
      <c r="BA819" s="882"/>
      <c r="BJ819" s="882"/>
      <c r="BK819" s="882"/>
      <c r="BL819" s="882"/>
      <c r="BU819" s="882"/>
      <c r="BV819" s="882"/>
      <c r="BW819" s="882"/>
      <c r="CF819" s="882"/>
      <c r="CG819" s="882"/>
      <c r="CH819" s="882"/>
      <c r="CI819" s="530"/>
    </row>
    <row r="820">
      <c r="A820" s="857"/>
      <c r="B820" s="865" t="s">
        <v>636</v>
      </c>
      <c r="C820" s="865" t="s">
        <v>591</v>
      </c>
      <c r="D820" s="865" t="s">
        <v>635</v>
      </c>
      <c r="E820" s="866">
        <v>2019.0</v>
      </c>
      <c r="F820" s="865" t="s">
        <v>593</v>
      </c>
      <c r="G820" s="865" t="s">
        <v>70</v>
      </c>
      <c r="H820" s="867">
        <v>323866.185</v>
      </c>
      <c r="I820" s="867">
        <v>414806.396</v>
      </c>
      <c r="J820" s="868">
        <v>230701.9599</v>
      </c>
      <c r="K820" s="50"/>
      <c r="L820" s="869" t="s">
        <v>636</v>
      </c>
      <c r="M820" s="865" t="s">
        <v>591</v>
      </c>
      <c r="N820" s="865" t="s">
        <v>635</v>
      </c>
      <c r="O820" s="866">
        <v>2004.0</v>
      </c>
      <c r="P820" s="865" t="s">
        <v>593</v>
      </c>
      <c r="Q820" s="865" t="s">
        <v>70</v>
      </c>
      <c r="R820" s="867">
        <v>202160.2401</v>
      </c>
      <c r="S820" s="867">
        <v>241669.3367</v>
      </c>
      <c r="T820" s="868">
        <v>164380.9473</v>
      </c>
      <c r="AN820" s="882"/>
      <c r="AO820" s="882"/>
      <c r="AP820" s="882"/>
      <c r="AY820" s="882"/>
      <c r="AZ820" s="882"/>
      <c r="BA820" s="882"/>
      <c r="BJ820" s="882"/>
      <c r="BK820" s="882"/>
      <c r="BL820" s="882"/>
      <c r="BU820" s="882"/>
      <c r="BV820" s="882"/>
      <c r="BW820" s="882"/>
      <c r="CF820" s="882"/>
      <c r="CG820" s="882"/>
      <c r="CH820" s="882"/>
      <c r="CI820" s="530"/>
    </row>
    <row r="821">
      <c r="A821" s="857"/>
      <c r="B821" s="865" t="s">
        <v>636</v>
      </c>
      <c r="C821" s="865" t="s">
        <v>591</v>
      </c>
      <c r="D821" s="865" t="s">
        <v>637</v>
      </c>
      <c r="E821" s="866">
        <v>2019.0</v>
      </c>
      <c r="F821" s="865" t="s">
        <v>593</v>
      </c>
      <c r="G821" s="865" t="s">
        <v>70</v>
      </c>
      <c r="H821" s="867">
        <v>255671.7925</v>
      </c>
      <c r="I821" s="867">
        <v>327463.3158</v>
      </c>
      <c r="J821" s="868">
        <v>182124.5513</v>
      </c>
      <c r="K821" s="50"/>
      <c r="L821" s="869" t="s">
        <v>636</v>
      </c>
      <c r="M821" s="865" t="s">
        <v>591</v>
      </c>
      <c r="N821" s="865" t="s">
        <v>637</v>
      </c>
      <c r="O821" s="866">
        <v>2004.0</v>
      </c>
      <c r="P821" s="865" t="s">
        <v>593</v>
      </c>
      <c r="Q821" s="865" t="s">
        <v>70</v>
      </c>
      <c r="R821" s="867">
        <v>159388.3632</v>
      </c>
      <c r="S821" s="867">
        <v>190538.3571</v>
      </c>
      <c r="T821" s="868">
        <v>129602.1914</v>
      </c>
      <c r="AN821" s="882"/>
      <c r="AO821" s="882"/>
      <c r="AP821" s="882"/>
      <c r="AY821" s="882"/>
      <c r="AZ821" s="882"/>
      <c r="BA821" s="882"/>
      <c r="BJ821" s="882"/>
      <c r="BK821" s="882"/>
      <c r="BL821" s="882"/>
      <c r="BU821" s="882"/>
      <c r="BV821" s="882"/>
      <c r="BW821" s="882"/>
      <c r="CF821" s="882"/>
      <c r="CG821" s="882"/>
      <c r="CH821" s="882"/>
      <c r="CI821" s="530"/>
    </row>
    <row r="822">
      <c r="A822" s="857"/>
      <c r="B822" s="865" t="s">
        <v>636</v>
      </c>
      <c r="C822" s="865" t="s">
        <v>591</v>
      </c>
      <c r="D822" s="865" t="s">
        <v>639</v>
      </c>
      <c r="E822" s="866">
        <v>2019.0</v>
      </c>
      <c r="F822" s="865" t="s">
        <v>593</v>
      </c>
      <c r="G822" s="865" t="s">
        <v>70</v>
      </c>
      <c r="H822" s="867">
        <v>2471355.786</v>
      </c>
      <c r="I822" s="867">
        <v>3166327.549</v>
      </c>
      <c r="J822" s="868">
        <v>1760796.368</v>
      </c>
      <c r="K822" s="50"/>
      <c r="L822" s="869" t="s">
        <v>636</v>
      </c>
      <c r="M822" s="865" t="s">
        <v>591</v>
      </c>
      <c r="N822" s="865" t="s">
        <v>639</v>
      </c>
      <c r="O822" s="866">
        <v>2004.0</v>
      </c>
      <c r="P822" s="865" t="s">
        <v>593</v>
      </c>
      <c r="Q822" s="865" t="s">
        <v>70</v>
      </c>
      <c r="R822" s="867">
        <v>1891250.494</v>
      </c>
      <c r="S822" s="867">
        <v>2261326.297</v>
      </c>
      <c r="T822" s="868">
        <v>1538097.768</v>
      </c>
      <c r="AN822" s="882"/>
      <c r="AO822" s="882"/>
      <c r="AP822" s="882"/>
      <c r="AY822" s="882"/>
      <c r="AZ822" s="882"/>
      <c r="BA822" s="882"/>
      <c r="BJ822" s="882"/>
      <c r="BK822" s="882"/>
      <c r="BL822" s="882"/>
      <c r="BU822" s="882"/>
      <c r="BV822" s="882"/>
      <c r="BW822" s="882"/>
      <c r="CF822" s="882"/>
      <c r="CG822" s="882"/>
      <c r="CH822" s="882"/>
      <c r="CI822" s="530"/>
    </row>
    <row r="823">
      <c r="A823" s="857"/>
      <c r="B823" s="865" t="s">
        <v>636</v>
      </c>
      <c r="C823" s="865" t="s">
        <v>591</v>
      </c>
      <c r="D823" s="865" t="s">
        <v>641</v>
      </c>
      <c r="E823" s="866">
        <v>2019.0</v>
      </c>
      <c r="F823" s="865" t="s">
        <v>593</v>
      </c>
      <c r="G823" s="865" t="s">
        <v>70</v>
      </c>
      <c r="H823" s="867">
        <v>883783.1819</v>
      </c>
      <c r="I823" s="867">
        <v>1131945.641</v>
      </c>
      <c r="J823" s="868">
        <v>629551.7149</v>
      </c>
      <c r="K823" s="50"/>
      <c r="L823" s="869" t="s">
        <v>636</v>
      </c>
      <c r="M823" s="865" t="s">
        <v>591</v>
      </c>
      <c r="N823" s="865" t="s">
        <v>641</v>
      </c>
      <c r="O823" s="866">
        <v>2004.0</v>
      </c>
      <c r="P823" s="865" t="s">
        <v>593</v>
      </c>
      <c r="Q823" s="865" t="s">
        <v>70</v>
      </c>
      <c r="R823" s="867">
        <v>731220.2622</v>
      </c>
      <c r="S823" s="867">
        <v>874125.9689</v>
      </c>
      <c r="T823" s="868">
        <v>594571.3129</v>
      </c>
      <c r="AN823" s="882"/>
      <c r="AO823" s="882"/>
      <c r="AP823" s="882"/>
      <c r="AY823" s="882"/>
      <c r="AZ823" s="882"/>
      <c r="BA823" s="882"/>
      <c r="BJ823" s="882"/>
      <c r="BK823" s="882"/>
      <c r="BL823" s="882"/>
      <c r="BU823" s="882"/>
      <c r="BV823" s="882"/>
      <c r="BW823" s="882"/>
      <c r="CF823" s="882"/>
      <c r="CG823" s="882"/>
      <c r="CH823" s="882"/>
      <c r="CI823" s="530"/>
    </row>
    <row r="824">
      <c r="A824" s="857"/>
      <c r="B824" s="865" t="s">
        <v>636</v>
      </c>
      <c r="C824" s="865" t="s">
        <v>591</v>
      </c>
      <c r="D824" s="865" t="s">
        <v>643</v>
      </c>
      <c r="E824" s="866">
        <v>2019.0</v>
      </c>
      <c r="F824" s="865" t="s">
        <v>593</v>
      </c>
      <c r="G824" s="865" t="s">
        <v>70</v>
      </c>
      <c r="H824" s="867">
        <v>197006.1445</v>
      </c>
      <c r="I824" s="867">
        <v>252324.61</v>
      </c>
      <c r="J824" s="868">
        <v>140334.8227</v>
      </c>
      <c r="K824" s="50"/>
      <c r="L824" s="869" t="s">
        <v>636</v>
      </c>
      <c r="M824" s="865" t="s">
        <v>591</v>
      </c>
      <c r="N824" s="865" t="s">
        <v>643</v>
      </c>
      <c r="O824" s="866">
        <v>2004.0</v>
      </c>
      <c r="P824" s="865" t="s">
        <v>593</v>
      </c>
      <c r="Q824" s="865" t="s">
        <v>70</v>
      </c>
      <c r="R824" s="867">
        <v>119701.1818</v>
      </c>
      <c r="S824" s="867">
        <v>143094.9291</v>
      </c>
      <c r="T824" s="868">
        <v>97331.66943</v>
      </c>
      <c r="AN824" s="882"/>
      <c r="AO824" s="882"/>
      <c r="AP824" s="882"/>
      <c r="AY824" s="882"/>
      <c r="AZ824" s="882"/>
      <c r="BA824" s="882"/>
      <c r="BJ824" s="882"/>
      <c r="BK824" s="882"/>
      <c r="BL824" s="882"/>
      <c r="BU824" s="882"/>
      <c r="BV824" s="882"/>
      <c r="BW824" s="882"/>
      <c r="CF824" s="882"/>
      <c r="CG824" s="882"/>
      <c r="CH824" s="882"/>
      <c r="CI824" s="530"/>
    </row>
    <row r="825">
      <c r="A825" s="857"/>
      <c r="B825" s="865" t="s">
        <v>636</v>
      </c>
      <c r="C825" s="865" t="s">
        <v>591</v>
      </c>
      <c r="D825" s="865" t="s">
        <v>645</v>
      </c>
      <c r="E825" s="866">
        <v>2019.0</v>
      </c>
      <c r="F825" s="865" t="s">
        <v>593</v>
      </c>
      <c r="G825" s="865" t="s">
        <v>70</v>
      </c>
      <c r="H825" s="867">
        <v>527868.1371</v>
      </c>
      <c r="I825" s="867">
        <v>676091.2058</v>
      </c>
      <c r="J825" s="868">
        <v>376020.1572</v>
      </c>
      <c r="K825" s="50"/>
      <c r="L825" s="869" t="s">
        <v>636</v>
      </c>
      <c r="M825" s="865" t="s">
        <v>591</v>
      </c>
      <c r="N825" s="865" t="s">
        <v>645</v>
      </c>
      <c r="O825" s="866">
        <v>2004.0</v>
      </c>
      <c r="P825" s="865" t="s">
        <v>593</v>
      </c>
      <c r="Q825" s="865" t="s">
        <v>70</v>
      </c>
      <c r="R825" s="867">
        <v>313892.919</v>
      </c>
      <c r="S825" s="867">
        <v>375238.4421</v>
      </c>
      <c r="T825" s="868">
        <v>255233.2514</v>
      </c>
      <c r="AN825" s="882"/>
      <c r="AO825" s="882"/>
      <c r="AP825" s="882"/>
      <c r="AY825" s="882"/>
      <c r="AZ825" s="882"/>
      <c r="BA825" s="882"/>
      <c r="BJ825" s="882"/>
      <c r="BK825" s="882"/>
      <c r="BL825" s="882"/>
      <c r="BU825" s="882"/>
      <c r="BV825" s="882"/>
      <c r="BW825" s="882"/>
      <c r="CF825" s="882"/>
      <c r="CG825" s="882"/>
      <c r="CH825" s="882"/>
      <c r="CI825" s="530"/>
    </row>
    <row r="826">
      <c r="A826" s="857"/>
      <c r="B826" s="865" t="s">
        <v>636</v>
      </c>
      <c r="C826" s="865" t="s">
        <v>591</v>
      </c>
      <c r="D826" s="865" t="s">
        <v>604</v>
      </c>
      <c r="E826" s="866">
        <v>2019.0</v>
      </c>
      <c r="F826" s="865" t="s">
        <v>593</v>
      </c>
      <c r="G826" s="865" t="s">
        <v>70</v>
      </c>
      <c r="H826" s="867">
        <v>1711172.26</v>
      </c>
      <c r="I826" s="867">
        <v>2191661.961</v>
      </c>
      <c r="J826" s="868">
        <v>1218931.807</v>
      </c>
      <c r="K826" s="50"/>
      <c r="L826" s="869" t="s">
        <v>636</v>
      </c>
      <c r="M826" s="865" t="s">
        <v>591</v>
      </c>
      <c r="N826" s="865" t="s">
        <v>604</v>
      </c>
      <c r="O826" s="866">
        <v>2004.0</v>
      </c>
      <c r="P826" s="865" t="s">
        <v>593</v>
      </c>
      <c r="Q826" s="865" t="s">
        <v>70</v>
      </c>
      <c r="R826" s="867">
        <v>1358360.599</v>
      </c>
      <c r="S826" s="867">
        <v>1623831.198</v>
      </c>
      <c r="T826" s="868">
        <v>1104512.944</v>
      </c>
      <c r="AN826" s="882"/>
      <c r="AO826" s="882"/>
      <c r="AP826" s="882"/>
      <c r="AY826" s="882"/>
      <c r="AZ826" s="882"/>
      <c r="BA826" s="882"/>
      <c r="BJ826" s="882"/>
      <c r="BK826" s="882"/>
      <c r="BL826" s="882"/>
      <c r="BU826" s="882"/>
      <c r="BV826" s="882"/>
      <c r="BW826" s="882"/>
      <c r="CF826" s="882"/>
      <c r="CG826" s="882"/>
      <c r="CH826" s="882"/>
      <c r="CI826" s="530"/>
    </row>
    <row r="827">
      <c r="A827" s="857"/>
      <c r="B827" s="865" t="s">
        <v>636</v>
      </c>
      <c r="C827" s="865" t="s">
        <v>591</v>
      </c>
      <c r="D827" s="865" t="s">
        <v>647</v>
      </c>
      <c r="E827" s="866">
        <v>2019.0</v>
      </c>
      <c r="F827" s="865" t="s">
        <v>593</v>
      </c>
      <c r="G827" s="865" t="s">
        <v>70</v>
      </c>
      <c r="H827" s="867">
        <v>418623.5212</v>
      </c>
      <c r="I827" s="867">
        <v>536344.947</v>
      </c>
      <c r="J827" s="868">
        <v>298261.6991</v>
      </c>
      <c r="K827" s="50"/>
      <c r="L827" s="869" t="s">
        <v>636</v>
      </c>
      <c r="M827" s="865" t="s">
        <v>591</v>
      </c>
      <c r="N827" s="865" t="s">
        <v>647</v>
      </c>
      <c r="O827" s="866">
        <v>2004.0</v>
      </c>
      <c r="P827" s="865" t="s">
        <v>593</v>
      </c>
      <c r="Q827" s="865" t="s">
        <v>70</v>
      </c>
      <c r="R827" s="867">
        <v>243748.5629</v>
      </c>
      <c r="S827" s="867">
        <v>291444.7541</v>
      </c>
      <c r="T827" s="868">
        <v>198233.4555</v>
      </c>
      <c r="AN827" s="882"/>
      <c r="AO827" s="882"/>
      <c r="AP827" s="882"/>
      <c r="AY827" s="882"/>
      <c r="AZ827" s="882"/>
      <c r="BA827" s="882"/>
      <c r="BJ827" s="882"/>
      <c r="BK827" s="882"/>
      <c r="BL827" s="882"/>
      <c r="BU827" s="882"/>
      <c r="BV827" s="882"/>
      <c r="BW827" s="882"/>
      <c r="CF827" s="882"/>
      <c r="CG827" s="882"/>
      <c r="CH827" s="882"/>
      <c r="CI827" s="530"/>
    </row>
    <row r="828">
      <c r="A828" s="857"/>
      <c r="B828" s="865" t="s">
        <v>636</v>
      </c>
      <c r="C828" s="865" t="s">
        <v>591</v>
      </c>
      <c r="D828" s="865" t="s">
        <v>649</v>
      </c>
      <c r="E828" s="866">
        <v>2019.0</v>
      </c>
      <c r="F828" s="865" t="s">
        <v>593</v>
      </c>
      <c r="G828" s="865" t="s">
        <v>70</v>
      </c>
      <c r="H828" s="867">
        <v>150195.8961</v>
      </c>
      <c r="I828" s="867">
        <v>192370.248</v>
      </c>
      <c r="J828" s="868">
        <v>106990.1373</v>
      </c>
      <c r="K828" s="50"/>
      <c r="L828" s="869" t="s">
        <v>636</v>
      </c>
      <c r="M828" s="865" t="s">
        <v>591</v>
      </c>
      <c r="N828" s="865" t="s">
        <v>649</v>
      </c>
      <c r="O828" s="866">
        <v>2004.0</v>
      </c>
      <c r="P828" s="865" t="s">
        <v>593</v>
      </c>
      <c r="Q828" s="865" t="s">
        <v>70</v>
      </c>
      <c r="R828" s="867">
        <v>81666.59052</v>
      </c>
      <c r="S828" s="867">
        <v>97627.06432</v>
      </c>
      <c r="T828" s="868">
        <v>66404.90486</v>
      </c>
      <c r="AN828" s="882"/>
      <c r="AO828" s="882"/>
      <c r="AP828" s="882"/>
      <c r="AY828" s="882"/>
      <c r="AZ828" s="882"/>
      <c r="BA828" s="882"/>
      <c r="BJ828" s="882"/>
      <c r="BK828" s="882"/>
      <c r="BL828" s="882"/>
      <c r="BU828" s="882"/>
      <c r="BV828" s="882"/>
      <c r="BW828" s="882"/>
      <c r="CF828" s="882"/>
      <c r="CG828" s="882"/>
      <c r="CH828" s="882"/>
      <c r="CI828" s="530"/>
    </row>
    <row r="829">
      <c r="A829" s="857"/>
      <c r="B829" s="865" t="s">
        <v>636</v>
      </c>
      <c r="C829" s="865" t="s">
        <v>591</v>
      </c>
      <c r="D829" s="865" t="s">
        <v>651</v>
      </c>
      <c r="E829" s="866">
        <v>2019.0</v>
      </c>
      <c r="F829" s="865" t="s">
        <v>593</v>
      </c>
      <c r="G829" s="865" t="s">
        <v>70</v>
      </c>
      <c r="H829" s="867">
        <v>108440.5409</v>
      </c>
      <c r="I829" s="867">
        <v>138890.1715</v>
      </c>
      <c r="J829" s="868">
        <v>77246.24083</v>
      </c>
      <c r="K829" s="50"/>
      <c r="L829" s="869" t="s">
        <v>636</v>
      </c>
      <c r="M829" s="865" t="s">
        <v>591</v>
      </c>
      <c r="N829" s="865" t="s">
        <v>651</v>
      </c>
      <c r="O829" s="866">
        <v>2004.0</v>
      </c>
      <c r="P829" s="865" t="s">
        <v>593</v>
      </c>
      <c r="Q829" s="865" t="s">
        <v>70</v>
      </c>
      <c r="R829" s="867">
        <v>67479.49563</v>
      </c>
      <c r="S829" s="867">
        <v>80667.32085</v>
      </c>
      <c r="T829" s="868">
        <v>54869.06529</v>
      </c>
      <c r="AN829" s="882"/>
      <c r="AO829" s="882"/>
      <c r="AP829" s="882"/>
      <c r="AY829" s="882"/>
      <c r="AZ829" s="882"/>
      <c r="BA829" s="882"/>
      <c r="BJ829" s="882"/>
      <c r="BK829" s="882"/>
      <c r="BL829" s="882"/>
      <c r="BU829" s="882"/>
      <c r="BV829" s="882"/>
      <c r="BW829" s="882"/>
      <c r="CF829" s="882"/>
      <c r="CG829" s="882"/>
      <c r="CH829" s="882"/>
      <c r="CI829" s="530"/>
    </row>
    <row r="830">
      <c r="A830" s="857"/>
      <c r="B830" s="865" t="s">
        <v>636</v>
      </c>
      <c r="C830" s="865" t="s">
        <v>591</v>
      </c>
      <c r="D830" s="865" t="s">
        <v>653</v>
      </c>
      <c r="E830" s="866">
        <v>2019.0</v>
      </c>
      <c r="F830" s="865" t="s">
        <v>593</v>
      </c>
      <c r="G830" s="865" t="s">
        <v>70</v>
      </c>
      <c r="H830" s="867">
        <v>72225.55561</v>
      </c>
      <c r="I830" s="867">
        <v>92506.17635</v>
      </c>
      <c r="J830" s="868">
        <v>51448.95641</v>
      </c>
      <c r="K830" s="50"/>
      <c r="L830" s="869" t="s">
        <v>636</v>
      </c>
      <c r="M830" s="865" t="s">
        <v>591</v>
      </c>
      <c r="N830" s="865" t="s">
        <v>653</v>
      </c>
      <c r="O830" s="866">
        <v>2004.0</v>
      </c>
      <c r="P830" s="865" t="s">
        <v>593</v>
      </c>
      <c r="Q830" s="865" t="s">
        <v>70</v>
      </c>
      <c r="R830" s="867">
        <v>45045.65105</v>
      </c>
      <c r="S830" s="867">
        <v>53849.12783</v>
      </c>
      <c r="T830" s="868">
        <v>36627.61177</v>
      </c>
      <c r="AN830" s="882"/>
      <c r="AO830" s="882"/>
      <c r="AP830" s="882"/>
      <c r="AY830" s="882"/>
      <c r="AZ830" s="882"/>
      <c r="BA830" s="882"/>
      <c r="BJ830" s="882"/>
      <c r="BK830" s="882"/>
      <c r="BL830" s="882"/>
      <c r="BU830" s="882"/>
      <c r="BV830" s="882"/>
      <c r="BW830" s="882"/>
      <c r="CF830" s="882"/>
      <c r="CG830" s="882"/>
      <c r="CH830" s="882"/>
      <c r="CI830" s="530"/>
    </row>
    <row r="831">
      <c r="A831" s="857"/>
      <c r="B831" s="865" t="s">
        <v>636</v>
      </c>
      <c r="C831" s="865" t="s">
        <v>591</v>
      </c>
      <c r="D831" s="865" t="s">
        <v>655</v>
      </c>
      <c r="E831" s="866">
        <v>2019.0</v>
      </c>
      <c r="F831" s="865" t="s">
        <v>593</v>
      </c>
      <c r="G831" s="865" t="s">
        <v>70</v>
      </c>
      <c r="H831" s="867">
        <v>113596.0041</v>
      </c>
      <c r="I831" s="867">
        <v>145540.4194</v>
      </c>
      <c r="J831" s="868">
        <v>80935.10157</v>
      </c>
      <c r="K831" s="50"/>
      <c r="L831" s="869" t="s">
        <v>636</v>
      </c>
      <c r="M831" s="865" t="s">
        <v>591</v>
      </c>
      <c r="N831" s="865" t="s">
        <v>655</v>
      </c>
      <c r="O831" s="866">
        <v>2004.0</v>
      </c>
      <c r="P831" s="865" t="s">
        <v>593</v>
      </c>
      <c r="Q831" s="865" t="s">
        <v>70</v>
      </c>
      <c r="R831" s="867">
        <v>72278.50048</v>
      </c>
      <c r="S831" s="867">
        <v>86421.80101</v>
      </c>
      <c r="T831" s="868">
        <v>58781.9544</v>
      </c>
      <c r="AN831" s="882"/>
      <c r="AO831" s="882"/>
      <c r="AP831" s="882"/>
      <c r="AY831" s="882"/>
      <c r="AZ831" s="882"/>
      <c r="BA831" s="882"/>
      <c r="BJ831" s="882"/>
      <c r="BK831" s="882"/>
      <c r="BL831" s="882"/>
      <c r="BU831" s="882"/>
      <c r="BV831" s="882"/>
      <c r="BW831" s="882"/>
      <c r="CF831" s="882"/>
      <c r="CG831" s="882"/>
      <c r="CH831" s="882"/>
      <c r="CI831" s="530"/>
    </row>
    <row r="832">
      <c r="A832" s="857"/>
      <c r="B832" s="865" t="s">
        <v>636</v>
      </c>
      <c r="C832" s="865" t="s">
        <v>591</v>
      </c>
      <c r="D832" s="865" t="s">
        <v>657</v>
      </c>
      <c r="E832" s="866">
        <v>2019.0</v>
      </c>
      <c r="F832" s="865" t="s">
        <v>593</v>
      </c>
      <c r="G832" s="865" t="s">
        <v>70</v>
      </c>
      <c r="H832" s="867">
        <v>41400.89982</v>
      </c>
      <c r="I832" s="867">
        <v>53026.09177</v>
      </c>
      <c r="J832" s="868">
        <v>29491.4047</v>
      </c>
      <c r="K832" s="50"/>
      <c r="L832" s="869" t="s">
        <v>636</v>
      </c>
      <c r="M832" s="865" t="s">
        <v>591</v>
      </c>
      <c r="N832" s="865" t="s">
        <v>657</v>
      </c>
      <c r="O832" s="866">
        <v>2004.0</v>
      </c>
      <c r="P832" s="865" t="s">
        <v>593</v>
      </c>
      <c r="Q832" s="865" t="s">
        <v>70</v>
      </c>
      <c r="R832" s="867">
        <v>27246.20635</v>
      </c>
      <c r="S832" s="867">
        <v>32571.05657</v>
      </c>
      <c r="T832" s="868">
        <v>22154.49095</v>
      </c>
      <c r="AN832" s="882"/>
      <c r="AO832" s="882"/>
      <c r="AP832" s="882"/>
      <c r="AY832" s="882"/>
      <c r="AZ832" s="882"/>
      <c r="BA832" s="882"/>
      <c r="BJ832" s="882"/>
      <c r="BK832" s="882"/>
      <c r="BL832" s="882"/>
      <c r="BU832" s="882"/>
      <c r="BV832" s="882"/>
      <c r="BW832" s="882"/>
      <c r="CF832" s="882"/>
      <c r="CG832" s="882"/>
      <c r="CH832" s="882"/>
      <c r="CI832" s="530"/>
    </row>
    <row r="833">
      <c r="A833" s="857"/>
      <c r="B833" s="865" t="s">
        <v>636</v>
      </c>
      <c r="C833" s="865" t="s">
        <v>591</v>
      </c>
      <c r="D833" s="865" t="s">
        <v>659</v>
      </c>
      <c r="E833" s="866">
        <v>2019.0</v>
      </c>
      <c r="F833" s="865" t="s">
        <v>593</v>
      </c>
      <c r="G833" s="865" t="s">
        <v>70</v>
      </c>
      <c r="H833" s="867">
        <v>87873.74753</v>
      </c>
      <c r="I833" s="867">
        <v>112548.3122</v>
      </c>
      <c r="J833" s="868">
        <v>62595.747</v>
      </c>
      <c r="K833" s="50"/>
      <c r="L833" s="869" t="s">
        <v>636</v>
      </c>
      <c r="M833" s="865" t="s">
        <v>591</v>
      </c>
      <c r="N833" s="865" t="s">
        <v>659</v>
      </c>
      <c r="O833" s="866">
        <v>2004.0</v>
      </c>
      <c r="P833" s="865" t="s">
        <v>593</v>
      </c>
      <c r="Q833" s="865" t="s">
        <v>70</v>
      </c>
      <c r="R833" s="867">
        <v>49601.8699</v>
      </c>
      <c r="S833" s="867">
        <v>59295.78929</v>
      </c>
      <c r="T833" s="868">
        <v>40332.37375</v>
      </c>
      <c r="AN833" s="882"/>
      <c r="AO833" s="882"/>
      <c r="AP833" s="882"/>
      <c r="AY833" s="882"/>
      <c r="AZ833" s="882"/>
      <c r="BA833" s="882"/>
      <c r="BJ833" s="882"/>
      <c r="BK833" s="882"/>
      <c r="BL833" s="882"/>
      <c r="BU833" s="882"/>
      <c r="BV833" s="882"/>
      <c r="BW833" s="882"/>
      <c r="CF833" s="882"/>
      <c r="CG833" s="882"/>
      <c r="CH833" s="882"/>
      <c r="CI833" s="530"/>
    </row>
    <row r="834">
      <c r="A834" s="857"/>
      <c r="B834" s="865" t="s">
        <v>636</v>
      </c>
      <c r="C834" s="865" t="s">
        <v>591</v>
      </c>
      <c r="D834" s="865" t="s">
        <v>661</v>
      </c>
      <c r="E834" s="866">
        <v>2019.0</v>
      </c>
      <c r="F834" s="865" t="s">
        <v>593</v>
      </c>
      <c r="G834" s="865" t="s">
        <v>70</v>
      </c>
      <c r="H834" s="867">
        <v>46460.39323</v>
      </c>
      <c r="I834" s="867">
        <v>59525.55432</v>
      </c>
      <c r="J834" s="868">
        <v>33102.19117</v>
      </c>
      <c r="K834" s="50"/>
      <c r="L834" s="869" t="s">
        <v>636</v>
      </c>
      <c r="M834" s="865" t="s">
        <v>591</v>
      </c>
      <c r="N834" s="865" t="s">
        <v>661</v>
      </c>
      <c r="O834" s="866">
        <v>2004.0</v>
      </c>
      <c r="P834" s="865" t="s">
        <v>593</v>
      </c>
      <c r="Q834" s="865" t="s">
        <v>70</v>
      </c>
      <c r="R834" s="867">
        <v>22351.53303</v>
      </c>
      <c r="S834" s="867">
        <v>26725.23264</v>
      </c>
      <c r="T834" s="868">
        <v>18177.83693</v>
      </c>
      <c r="AN834" s="882"/>
      <c r="AO834" s="882"/>
      <c r="AP834" s="882"/>
      <c r="AY834" s="882"/>
      <c r="AZ834" s="882"/>
      <c r="BA834" s="882"/>
      <c r="BJ834" s="882"/>
      <c r="BK834" s="882"/>
      <c r="BL834" s="882"/>
      <c r="BU834" s="882"/>
      <c r="BV834" s="882"/>
      <c r="BW834" s="882"/>
      <c r="CF834" s="882"/>
      <c r="CG834" s="882"/>
      <c r="CH834" s="882"/>
      <c r="CI834" s="530"/>
    </row>
    <row r="835">
      <c r="A835" s="857"/>
      <c r="B835" s="865" t="s">
        <v>636</v>
      </c>
      <c r="C835" s="865" t="s">
        <v>591</v>
      </c>
      <c r="D835" s="865" t="s">
        <v>663</v>
      </c>
      <c r="E835" s="866">
        <v>2019.0</v>
      </c>
      <c r="F835" s="865" t="s">
        <v>593</v>
      </c>
      <c r="G835" s="865" t="s">
        <v>70</v>
      </c>
      <c r="H835" s="867">
        <v>27602.57692</v>
      </c>
      <c r="I835" s="867">
        <v>35353.26003</v>
      </c>
      <c r="J835" s="868">
        <v>19662.34479</v>
      </c>
      <c r="K835" s="50"/>
      <c r="L835" s="869" t="s">
        <v>636</v>
      </c>
      <c r="M835" s="865" t="s">
        <v>591</v>
      </c>
      <c r="N835" s="865" t="s">
        <v>663</v>
      </c>
      <c r="O835" s="866">
        <v>2004.0</v>
      </c>
      <c r="P835" s="865" t="s">
        <v>593</v>
      </c>
      <c r="Q835" s="865" t="s">
        <v>70</v>
      </c>
      <c r="R835" s="867">
        <v>13817.73145</v>
      </c>
      <c r="S835" s="867">
        <v>16518.19365</v>
      </c>
      <c r="T835" s="868">
        <v>11235.50202</v>
      </c>
      <c r="AN835" s="882"/>
      <c r="AO835" s="882"/>
      <c r="AP835" s="882"/>
      <c r="AY835" s="882"/>
      <c r="AZ835" s="882"/>
      <c r="BA835" s="882"/>
      <c r="BJ835" s="882"/>
      <c r="BK835" s="882"/>
      <c r="BL835" s="882"/>
      <c r="BU835" s="882"/>
      <c r="BV835" s="882"/>
      <c r="BW835" s="882"/>
      <c r="CF835" s="882"/>
      <c r="CG835" s="882"/>
      <c r="CH835" s="882"/>
      <c r="CI835" s="530"/>
    </row>
    <row r="836">
      <c r="A836" s="857"/>
      <c r="B836" s="865" t="s">
        <v>636</v>
      </c>
      <c r="C836" s="865" t="s">
        <v>591</v>
      </c>
      <c r="D836" s="865" t="s">
        <v>665</v>
      </c>
      <c r="E836" s="866">
        <v>2019.0</v>
      </c>
      <c r="F836" s="865" t="s">
        <v>593</v>
      </c>
      <c r="G836" s="865" t="s">
        <v>70</v>
      </c>
      <c r="H836" s="867">
        <v>40661.99693</v>
      </c>
      <c r="I836" s="867">
        <v>52096.58676</v>
      </c>
      <c r="J836" s="868">
        <v>28970.93852</v>
      </c>
      <c r="K836" s="50"/>
      <c r="L836" s="869" t="s">
        <v>636</v>
      </c>
      <c r="M836" s="865" t="s">
        <v>591</v>
      </c>
      <c r="N836" s="865" t="s">
        <v>665</v>
      </c>
      <c r="O836" s="866">
        <v>2004.0</v>
      </c>
      <c r="P836" s="865" t="s">
        <v>593</v>
      </c>
      <c r="Q836" s="865" t="s">
        <v>70</v>
      </c>
      <c r="R836" s="867">
        <v>19628.2427</v>
      </c>
      <c r="S836" s="867">
        <v>23469.05474</v>
      </c>
      <c r="T836" s="868">
        <v>15963.06591</v>
      </c>
      <c r="AN836" s="882"/>
      <c r="AO836" s="882"/>
      <c r="AP836" s="882"/>
      <c r="AY836" s="882"/>
      <c r="AZ836" s="882"/>
      <c r="BA836" s="882"/>
      <c r="BJ836" s="882"/>
      <c r="BK836" s="882"/>
      <c r="BL836" s="882"/>
      <c r="BU836" s="882"/>
      <c r="BV836" s="882"/>
      <c r="BW836" s="882"/>
      <c r="CF836" s="882"/>
      <c r="CG836" s="882"/>
      <c r="CH836" s="882"/>
      <c r="CI836" s="530"/>
    </row>
    <row r="837">
      <c r="A837" s="857"/>
      <c r="B837" s="865" t="s">
        <v>636</v>
      </c>
      <c r="C837" s="865" t="s">
        <v>591</v>
      </c>
      <c r="D837" s="865" t="s">
        <v>667</v>
      </c>
      <c r="E837" s="866">
        <v>2019.0</v>
      </c>
      <c r="F837" s="865" t="s">
        <v>593</v>
      </c>
      <c r="G837" s="865" t="s">
        <v>70</v>
      </c>
      <c r="H837" s="867">
        <v>18870.27079</v>
      </c>
      <c r="I837" s="867">
        <v>24168.96045</v>
      </c>
      <c r="J837" s="868">
        <v>13441.99752</v>
      </c>
      <c r="K837" s="50"/>
      <c r="L837" s="869" t="s">
        <v>636</v>
      </c>
      <c r="M837" s="865" t="s">
        <v>591</v>
      </c>
      <c r="N837" s="865" t="s">
        <v>667</v>
      </c>
      <c r="O837" s="866">
        <v>2004.0</v>
      </c>
      <c r="P837" s="865" t="s">
        <v>593</v>
      </c>
      <c r="Q837" s="865" t="s">
        <v>70</v>
      </c>
      <c r="R837" s="867">
        <v>8537.932099</v>
      </c>
      <c r="S837" s="867">
        <v>10206.53906</v>
      </c>
      <c r="T837" s="868">
        <v>6942.380785</v>
      </c>
      <c r="AN837" s="882"/>
      <c r="AO837" s="882"/>
      <c r="AP837" s="882"/>
      <c r="AY837" s="882"/>
      <c r="AZ837" s="882"/>
      <c r="BA837" s="882"/>
      <c r="BJ837" s="882"/>
      <c r="BK837" s="882"/>
      <c r="BL837" s="882"/>
      <c r="BU837" s="882"/>
      <c r="BV837" s="882"/>
      <c r="BW837" s="882"/>
      <c r="CF837" s="882"/>
      <c r="CG837" s="882"/>
      <c r="CH837" s="882"/>
      <c r="CI837" s="530"/>
    </row>
    <row r="838">
      <c r="A838" s="857"/>
      <c r="B838" s="865" t="s">
        <v>636</v>
      </c>
      <c r="C838" s="865" t="s">
        <v>591</v>
      </c>
      <c r="D838" s="865" t="s">
        <v>669</v>
      </c>
      <c r="E838" s="866">
        <v>2019.0</v>
      </c>
      <c r="F838" s="865" t="s">
        <v>593</v>
      </c>
      <c r="G838" s="865" t="s">
        <v>70</v>
      </c>
      <c r="H838" s="867">
        <v>13070.32013</v>
      </c>
      <c r="I838" s="867">
        <v>16740.40897</v>
      </c>
      <c r="J838" s="868">
        <v>9310.476396</v>
      </c>
      <c r="K838" s="50"/>
      <c r="L838" s="869" t="s">
        <v>636</v>
      </c>
      <c r="M838" s="865" t="s">
        <v>591</v>
      </c>
      <c r="N838" s="865" t="s">
        <v>669</v>
      </c>
      <c r="O838" s="866">
        <v>2004.0</v>
      </c>
      <c r="P838" s="865" t="s">
        <v>593</v>
      </c>
      <c r="Q838" s="865" t="s">
        <v>70</v>
      </c>
      <c r="R838" s="867">
        <v>5814.138504</v>
      </c>
      <c r="S838" s="867">
        <v>6950.422077</v>
      </c>
      <c r="T838" s="868">
        <v>4727.604174</v>
      </c>
      <c r="AN838" s="882"/>
      <c r="AO838" s="882"/>
      <c r="AP838" s="882"/>
      <c r="AY838" s="882"/>
      <c r="AZ838" s="882"/>
      <c r="BA838" s="882"/>
      <c r="BJ838" s="882"/>
      <c r="BK838" s="882"/>
      <c r="BL838" s="882"/>
      <c r="BU838" s="882"/>
      <c r="BV838" s="882"/>
      <c r="BW838" s="882"/>
      <c r="CF838" s="882"/>
      <c r="CG838" s="882"/>
      <c r="CH838" s="882"/>
      <c r="CI838" s="530"/>
    </row>
    <row r="839">
      <c r="A839" s="857"/>
      <c r="B839" s="865" t="s">
        <v>636</v>
      </c>
      <c r="C839" s="865" t="s">
        <v>591</v>
      </c>
      <c r="D839" s="865" t="s">
        <v>671</v>
      </c>
      <c r="E839" s="866">
        <v>2019.0</v>
      </c>
      <c r="F839" s="865" t="s">
        <v>593</v>
      </c>
      <c r="G839" s="865" t="s">
        <v>70</v>
      </c>
      <c r="H839" s="867">
        <v>5798.396301</v>
      </c>
      <c r="I839" s="867">
        <v>7428.967556</v>
      </c>
      <c r="J839" s="868">
        <v>4131.252654</v>
      </c>
      <c r="K839" s="50"/>
      <c r="L839" s="869" t="s">
        <v>636</v>
      </c>
      <c r="M839" s="865" t="s">
        <v>591</v>
      </c>
      <c r="N839" s="865" t="s">
        <v>671</v>
      </c>
      <c r="O839" s="866">
        <v>2004.0</v>
      </c>
      <c r="P839" s="865" t="s">
        <v>593</v>
      </c>
      <c r="Q839" s="865" t="s">
        <v>70</v>
      </c>
      <c r="R839" s="867">
        <v>2723.290337</v>
      </c>
      <c r="S839" s="867">
        <v>3256.177895</v>
      </c>
      <c r="T839" s="868">
        <v>2214.771022</v>
      </c>
      <c r="AN839" s="882"/>
      <c r="AO839" s="882"/>
      <c r="AP839" s="882"/>
      <c r="AY839" s="882"/>
      <c r="AZ839" s="882"/>
      <c r="BA839" s="882"/>
      <c r="BJ839" s="882"/>
      <c r="BK839" s="882"/>
      <c r="BL839" s="882"/>
      <c r="BU839" s="882"/>
      <c r="BV839" s="882"/>
      <c r="BW839" s="882"/>
      <c r="CF839" s="882"/>
      <c r="CG839" s="882"/>
      <c r="CH839" s="882"/>
      <c r="CI839" s="530"/>
    </row>
    <row r="840">
      <c r="A840" s="857"/>
      <c r="B840" s="865" t="s">
        <v>636</v>
      </c>
      <c r="C840" s="865" t="s">
        <v>591</v>
      </c>
      <c r="D840" s="865" t="s">
        <v>673</v>
      </c>
      <c r="E840" s="866">
        <v>2019.0</v>
      </c>
      <c r="F840" s="865" t="s">
        <v>593</v>
      </c>
      <c r="G840" s="865" t="s">
        <v>70</v>
      </c>
      <c r="H840" s="867">
        <v>4571.943363</v>
      </c>
      <c r="I840" s="867">
        <v>5855.725101</v>
      </c>
      <c r="J840" s="868">
        <v>3256.765736</v>
      </c>
      <c r="K840" s="50"/>
      <c r="L840" s="869" t="s">
        <v>636</v>
      </c>
      <c r="M840" s="865" t="s">
        <v>591</v>
      </c>
      <c r="N840" s="865" t="s">
        <v>673</v>
      </c>
      <c r="O840" s="866">
        <v>2004.0</v>
      </c>
      <c r="P840" s="865" t="s">
        <v>593</v>
      </c>
      <c r="Q840" s="865" t="s">
        <v>70</v>
      </c>
      <c r="R840" s="867">
        <v>2137.959853</v>
      </c>
      <c r="S840" s="867">
        <v>2555.791086</v>
      </c>
      <c r="T840" s="868">
        <v>1738.422282</v>
      </c>
      <c r="AN840" s="882"/>
      <c r="AO840" s="882"/>
      <c r="AP840" s="882"/>
      <c r="AY840" s="882"/>
      <c r="AZ840" s="882"/>
      <c r="BA840" s="882"/>
      <c r="BJ840" s="882"/>
      <c r="BK840" s="882"/>
      <c r="BL840" s="882"/>
      <c r="BU840" s="882"/>
      <c r="BV840" s="882"/>
      <c r="BW840" s="882"/>
      <c r="CF840" s="882"/>
      <c r="CG840" s="882"/>
      <c r="CH840" s="882"/>
      <c r="CI840" s="530"/>
    </row>
    <row r="841">
      <c r="A841" s="857"/>
      <c r="B841" s="865" t="s">
        <v>636</v>
      </c>
      <c r="C841" s="865" t="s">
        <v>591</v>
      </c>
      <c r="D841" s="865" t="s">
        <v>674</v>
      </c>
      <c r="E841" s="866">
        <v>2019.0</v>
      </c>
      <c r="F841" s="865" t="s">
        <v>593</v>
      </c>
      <c r="G841" s="865" t="s">
        <v>70</v>
      </c>
      <c r="H841" s="867">
        <v>1046.226736</v>
      </c>
      <c r="I841" s="867">
        <v>1340.002636</v>
      </c>
      <c r="J841" s="868">
        <v>745.2663156</v>
      </c>
      <c r="K841" s="50"/>
      <c r="L841" s="869" t="s">
        <v>636</v>
      </c>
      <c r="M841" s="865" t="s">
        <v>591</v>
      </c>
      <c r="N841" s="865" t="s">
        <v>674</v>
      </c>
      <c r="O841" s="866">
        <v>2004.0</v>
      </c>
      <c r="P841" s="865" t="s">
        <v>593</v>
      </c>
      <c r="Q841" s="865" t="s">
        <v>70</v>
      </c>
      <c r="R841" s="867">
        <v>496.9433818</v>
      </c>
      <c r="S841" s="867">
        <v>594.0632906</v>
      </c>
      <c r="T841" s="868">
        <v>404.0756174</v>
      </c>
      <c r="AN841" s="882"/>
      <c r="AO841" s="882"/>
      <c r="AP841" s="882"/>
      <c r="AY841" s="882"/>
      <c r="AZ841" s="882"/>
      <c r="BA841" s="882"/>
      <c r="BJ841" s="882"/>
      <c r="BK841" s="882"/>
      <c r="BL841" s="882"/>
      <c r="BU841" s="882"/>
      <c r="BV841" s="882"/>
      <c r="BW841" s="882"/>
      <c r="CF841" s="882"/>
      <c r="CG841" s="882"/>
      <c r="CH841" s="882"/>
      <c r="CI841" s="530"/>
    </row>
    <row r="842">
      <c r="A842" s="857"/>
      <c r="B842" s="865" t="s">
        <v>636</v>
      </c>
      <c r="C842" s="865" t="s">
        <v>591</v>
      </c>
      <c r="D842" s="865" t="s">
        <v>676</v>
      </c>
      <c r="E842" s="866">
        <v>2019.0</v>
      </c>
      <c r="F842" s="865" t="s">
        <v>593</v>
      </c>
      <c r="G842" s="865" t="s">
        <v>70</v>
      </c>
      <c r="H842" s="867">
        <v>181.7805587</v>
      </c>
      <c r="I842" s="867">
        <v>232.823746</v>
      </c>
      <c r="J842" s="868">
        <v>129.4890702</v>
      </c>
      <c r="K842" s="50"/>
      <c r="L842" s="869" t="s">
        <v>636</v>
      </c>
      <c r="M842" s="865" t="s">
        <v>591</v>
      </c>
      <c r="N842" s="865" t="s">
        <v>676</v>
      </c>
      <c r="O842" s="866">
        <v>2004.0</v>
      </c>
      <c r="P842" s="865" t="s">
        <v>593</v>
      </c>
      <c r="Q842" s="865" t="s">
        <v>70</v>
      </c>
      <c r="R842" s="867">
        <v>88.8903603</v>
      </c>
      <c r="S842" s="867">
        <v>106.2626083</v>
      </c>
      <c r="T842" s="868">
        <v>72.2787113</v>
      </c>
      <c r="AN842" s="882"/>
      <c r="AO842" s="882"/>
      <c r="AP842" s="882"/>
      <c r="AY842" s="882"/>
      <c r="AZ842" s="882"/>
      <c r="BA842" s="882"/>
      <c r="BJ842" s="882"/>
      <c r="BK842" s="882"/>
      <c r="BL842" s="882"/>
      <c r="BU842" s="882"/>
      <c r="BV842" s="882"/>
      <c r="BW842" s="882"/>
      <c r="CF842" s="882"/>
      <c r="CG842" s="882"/>
      <c r="CH842" s="882"/>
      <c r="CI842" s="530"/>
    </row>
    <row r="843">
      <c r="A843" s="857"/>
      <c r="B843" s="865" t="s">
        <v>636</v>
      </c>
      <c r="C843" s="865" t="s">
        <v>591</v>
      </c>
      <c r="D843" s="865" t="s">
        <v>678</v>
      </c>
      <c r="E843" s="866">
        <v>2019.0</v>
      </c>
      <c r="F843" s="865" t="s">
        <v>593</v>
      </c>
      <c r="G843" s="865" t="s">
        <v>70</v>
      </c>
      <c r="H843" s="867">
        <v>6711213.332</v>
      </c>
      <c r="I843" s="867">
        <v>8595692.739</v>
      </c>
      <c r="J843" s="868">
        <v>4780647.504</v>
      </c>
      <c r="K843" s="50"/>
      <c r="L843" s="869" t="s">
        <v>636</v>
      </c>
      <c r="M843" s="865" t="s">
        <v>591</v>
      </c>
      <c r="N843" s="865" t="s">
        <v>678</v>
      </c>
      <c r="O843" s="866">
        <v>2004.0</v>
      </c>
      <c r="P843" s="865" t="s">
        <v>593</v>
      </c>
      <c r="Q843" s="865" t="s">
        <v>70</v>
      </c>
      <c r="R843" s="867">
        <v>4842295.284</v>
      </c>
      <c r="S843" s="867">
        <v>5788647.109</v>
      </c>
      <c r="T843" s="868">
        <v>3937377.03</v>
      </c>
      <c r="AN843" s="882"/>
      <c r="AO843" s="882"/>
      <c r="AP843" s="882"/>
      <c r="AY843" s="882"/>
      <c r="AZ843" s="882"/>
      <c r="BA843" s="882"/>
      <c r="BJ843" s="882"/>
      <c r="BK843" s="882"/>
      <c r="BL843" s="882"/>
      <c r="BU843" s="882"/>
      <c r="BV843" s="882"/>
      <c r="BW843" s="882"/>
      <c r="CF843" s="882"/>
      <c r="CG843" s="882"/>
      <c r="CH843" s="882"/>
      <c r="CI843" s="530"/>
    </row>
    <row r="844">
      <c r="A844" s="857"/>
      <c r="B844" s="865" t="s">
        <v>636</v>
      </c>
      <c r="C844" s="865" t="s">
        <v>591</v>
      </c>
      <c r="D844" s="865" t="s">
        <v>680</v>
      </c>
      <c r="E844" s="866">
        <v>2019.0</v>
      </c>
      <c r="F844" s="865" t="s">
        <v>593</v>
      </c>
      <c r="G844" s="865" t="s">
        <v>70</v>
      </c>
      <c r="H844" s="867">
        <v>199217.3869</v>
      </c>
      <c r="I844" s="867">
        <v>227965.4014</v>
      </c>
      <c r="J844" s="868">
        <v>174021.4349</v>
      </c>
      <c r="K844" s="50"/>
      <c r="L844" s="869" t="s">
        <v>636</v>
      </c>
      <c r="M844" s="865" t="s">
        <v>591</v>
      </c>
      <c r="N844" s="865" t="s">
        <v>680</v>
      </c>
      <c r="O844" s="866">
        <v>2004.0</v>
      </c>
      <c r="P844" s="865" t="s">
        <v>593</v>
      </c>
      <c r="Q844" s="865" t="s">
        <v>70</v>
      </c>
      <c r="R844" s="867">
        <v>187007.5791</v>
      </c>
      <c r="S844" s="867">
        <v>204836.3834</v>
      </c>
      <c r="T844" s="868">
        <v>169110.8748</v>
      </c>
      <c r="AN844" s="882"/>
      <c r="AO844" s="882"/>
      <c r="AP844" s="882"/>
      <c r="AY844" s="882"/>
      <c r="AZ844" s="882"/>
      <c r="BA844" s="882"/>
      <c r="BJ844" s="882"/>
      <c r="BK844" s="882"/>
      <c r="BL844" s="882"/>
      <c r="BU844" s="882"/>
      <c r="BV844" s="882"/>
      <c r="BW844" s="882"/>
      <c r="CF844" s="882"/>
      <c r="CG844" s="882"/>
      <c r="CH844" s="882"/>
      <c r="CI844" s="530"/>
    </row>
    <row r="845">
      <c r="A845" s="857"/>
      <c r="B845" s="865" t="s">
        <v>636</v>
      </c>
      <c r="C845" s="865" t="s">
        <v>591</v>
      </c>
      <c r="D845" s="865" t="s">
        <v>682</v>
      </c>
      <c r="E845" s="866">
        <v>2019.0</v>
      </c>
      <c r="F845" s="865" t="s">
        <v>593</v>
      </c>
      <c r="G845" s="865" t="s">
        <v>70</v>
      </c>
      <c r="H845" s="867">
        <v>3783.66385</v>
      </c>
      <c r="I845" s="867">
        <v>4846.100142</v>
      </c>
      <c r="J845" s="868">
        <v>2695.244845</v>
      </c>
      <c r="K845" s="50"/>
      <c r="L845" s="869" t="s">
        <v>636</v>
      </c>
      <c r="M845" s="865" t="s">
        <v>591</v>
      </c>
      <c r="N845" s="865" t="s">
        <v>682</v>
      </c>
      <c r="O845" s="866">
        <v>2004.0</v>
      </c>
      <c r="P845" s="865" t="s">
        <v>593</v>
      </c>
      <c r="Q845" s="865" t="s">
        <v>70</v>
      </c>
      <c r="R845" s="867">
        <v>3541.068103</v>
      </c>
      <c r="S845" s="867">
        <v>4233.115173</v>
      </c>
      <c r="T845" s="868">
        <v>2879.320527</v>
      </c>
      <c r="AN845" s="882"/>
      <c r="AO845" s="882"/>
      <c r="AP845" s="882"/>
      <c r="AY845" s="882"/>
      <c r="AZ845" s="882"/>
      <c r="BA845" s="882"/>
      <c r="BJ845" s="882"/>
      <c r="BK845" s="882"/>
      <c r="BL845" s="882"/>
      <c r="BU845" s="882"/>
      <c r="BV845" s="882"/>
      <c r="BW845" s="882"/>
      <c r="CF845" s="882"/>
      <c r="CG845" s="882"/>
      <c r="CH845" s="882"/>
      <c r="CI845" s="530"/>
    </row>
    <row r="846">
      <c r="A846" s="857"/>
      <c r="B846" s="865" t="s">
        <v>636</v>
      </c>
      <c r="C846" s="865" t="s">
        <v>591</v>
      </c>
      <c r="D846" s="865" t="s">
        <v>684</v>
      </c>
      <c r="E846" s="866">
        <v>2019.0</v>
      </c>
      <c r="F846" s="865" t="s">
        <v>593</v>
      </c>
      <c r="G846" s="865" t="s">
        <v>70</v>
      </c>
      <c r="H846" s="867">
        <v>11230.31166</v>
      </c>
      <c r="I846" s="867">
        <v>14383.73415</v>
      </c>
      <c r="J846" s="868">
        <v>7999.769748</v>
      </c>
      <c r="K846" s="50"/>
      <c r="L846" s="869" t="s">
        <v>636</v>
      </c>
      <c r="M846" s="865" t="s">
        <v>591</v>
      </c>
      <c r="N846" s="865" t="s">
        <v>684</v>
      </c>
      <c r="O846" s="866">
        <v>2004.0</v>
      </c>
      <c r="P846" s="865" t="s">
        <v>593</v>
      </c>
      <c r="Q846" s="865" t="s">
        <v>70</v>
      </c>
      <c r="R846" s="867">
        <v>10481.75844</v>
      </c>
      <c r="S846" s="867">
        <v>12530.25624</v>
      </c>
      <c r="T846" s="868">
        <v>8522.948831</v>
      </c>
      <c r="AN846" s="882"/>
      <c r="AO846" s="882"/>
      <c r="AP846" s="882"/>
      <c r="AY846" s="882"/>
      <c r="AZ846" s="882"/>
      <c r="BA846" s="882"/>
      <c r="BJ846" s="882"/>
      <c r="BK846" s="882"/>
      <c r="BL846" s="882"/>
      <c r="BU846" s="882"/>
      <c r="BV846" s="882"/>
      <c r="BW846" s="882"/>
      <c r="CF846" s="882"/>
      <c r="CG846" s="882"/>
      <c r="CH846" s="882"/>
      <c r="CI846" s="530"/>
    </row>
    <row r="847">
      <c r="A847" s="857"/>
      <c r="B847" s="865" t="s">
        <v>636</v>
      </c>
      <c r="C847" s="865" t="s">
        <v>591</v>
      </c>
      <c r="D847" s="865" t="s">
        <v>686</v>
      </c>
      <c r="E847" s="866">
        <v>2019.0</v>
      </c>
      <c r="F847" s="865" t="s">
        <v>593</v>
      </c>
      <c r="G847" s="865" t="s">
        <v>70</v>
      </c>
      <c r="H847" s="867">
        <v>15013.97551</v>
      </c>
      <c r="I847" s="867">
        <v>19229.83429</v>
      </c>
      <c r="J847" s="868">
        <v>10695.01459</v>
      </c>
      <c r="K847" s="50"/>
      <c r="L847" s="869" t="s">
        <v>636</v>
      </c>
      <c r="M847" s="865" t="s">
        <v>591</v>
      </c>
      <c r="N847" s="865" t="s">
        <v>686</v>
      </c>
      <c r="O847" s="866">
        <v>2004.0</v>
      </c>
      <c r="P847" s="865" t="s">
        <v>593</v>
      </c>
      <c r="Q847" s="865" t="s">
        <v>70</v>
      </c>
      <c r="R847" s="867">
        <v>14022.82655</v>
      </c>
      <c r="S847" s="867">
        <v>16763.37142</v>
      </c>
      <c r="T847" s="868">
        <v>11402.26936</v>
      </c>
      <c r="AN847" s="882"/>
      <c r="AO847" s="882"/>
      <c r="AP847" s="882"/>
      <c r="AY847" s="882"/>
      <c r="AZ847" s="882"/>
      <c r="BA847" s="882"/>
      <c r="BJ847" s="882"/>
      <c r="BK847" s="882"/>
      <c r="BL847" s="882"/>
      <c r="BU847" s="882"/>
      <c r="BV847" s="882"/>
      <c r="BW847" s="882"/>
      <c r="CF847" s="882"/>
      <c r="CG847" s="882"/>
      <c r="CH847" s="882"/>
      <c r="CI847" s="530"/>
    </row>
    <row r="848">
      <c r="A848" s="857"/>
      <c r="B848" s="865" t="s">
        <v>636</v>
      </c>
      <c r="C848" s="865" t="s">
        <v>591</v>
      </c>
      <c r="D848" s="865" t="s">
        <v>688</v>
      </c>
      <c r="E848" s="866">
        <v>2019.0</v>
      </c>
      <c r="F848" s="865" t="s">
        <v>593</v>
      </c>
      <c r="G848" s="865" t="s">
        <v>70</v>
      </c>
      <c r="H848" s="867">
        <v>176799.9656</v>
      </c>
      <c r="I848" s="867">
        <v>226444.6242</v>
      </c>
      <c r="J848" s="868">
        <v>125941.208</v>
      </c>
      <c r="K848" s="50"/>
      <c r="L848" s="869" t="s">
        <v>636</v>
      </c>
      <c r="M848" s="865" t="s">
        <v>591</v>
      </c>
      <c r="N848" s="865" t="s">
        <v>688</v>
      </c>
      <c r="O848" s="866">
        <v>2004.0</v>
      </c>
      <c r="P848" s="865" t="s">
        <v>593</v>
      </c>
      <c r="Q848" s="865" t="s">
        <v>70</v>
      </c>
      <c r="R848" s="867">
        <v>164412.1357</v>
      </c>
      <c r="S848" s="867">
        <v>196543.9483</v>
      </c>
      <c r="T848" s="868">
        <v>133687.1316</v>
      </c>
      <c r="AN848" s="882"/>
      <c r="AO848" s="882"/>
      <c r="AP848" s="882"/>
      <c r="AY848" s="882"/>
      <c r="AZ848" s="882"/>
      <c r="BA848" s="882"/>
      <c r="BJ848" s="882"/>
      <c r="BK848" s="882"/>
      <c r="BL848" s="882"/>
      <c r="BU848" s="882"/>
      <c r="BV848" s="882"/>
      <c r="BW848" s="882"/>
      <c r="CF848" s="882"/>
      <c r="CG848" s="882"/>
      <c r="CH848" s="882"/>
      <c r="CI848" s="530"/>
    </row>
    <row r="849">
      <c r="A849" s="857"/>
      <c r="B849" s="865" t="s">
        <v>636</v>
      </c>
      <c r="C849" s="865" t="s">
        <v>591</v>
      </c>
      <c r="D849" s="865" t="s">
        <v>689</v>
      </c>
      <c r="E849" s="866">
        <v>2019.0</v>
      </c>
      <c r="F849" s="865" t="s">
        <v>593</v>
      </c>
      <c r="G849" s="865" t="s">
        <v>70</v>
      </c>
      <c r="H849" s="867">
        <v>929830.3114</v>
      </c>
      <c r="I849" s="867">
        <v>1190922.604</v>
      </c>
      <c r="J849" s="868">
        <v>662352.8023</v>
      </c>
      <c r="K849" s="50"/>
      <c r="L849" s="869" t="s">
        <v>636</v>
      </c>
      <c r="M849" s="865" t="s">
        <v>591</v>
      </c>
      <c r="N849" s="865" t="s">
        <v>689</v>
      </c>
      <c r="O849" s="866">
        <v>2004.0</v>
      </c>
      <c r="P849" s="865" t="s">
        <v>593</v>
      </c>
      <c r="Q849" s="865" t="s">
        <v>70</v>
      </c>
      <c r="R849" s="867">
        <v>841981.326</v>
      </c>
      <c r="S849" s="867">
        <v>1006533.572</v>
      </c>
      <c r="T849" s="868">
        <v>684633.5753</v>
      </c>
      <c r="AN849" s="882"/>
      <c r="AO849" s="882"/>
      <c r="AP849" s="882"/>
      <c r="AY849" s="882"/>
      <c r="AZ849" s="882"/>
      <c r="BA849" s="882"/>
      <c r="BJ849" s="882"/>
      <c r="BK849" s="882"/>
      <c r="BL849" s="882"/>
      <c r="BU849" s="882"/>
      <c r="BV849" s="882"/>
      <c r="BW849" s="882"/>
      <c r="CF849" s="882"/>
      <c r="CG849" s="882"/>
      <c r="CH849" s="882"/>
      <c r="CI849" s="530"/>
    </row>
    <row r="850">
      <c r="A850" s="857"/>
      <c r="B850" s="865" t="s">
        <v>638</v>
      </c>
      <c r="C850" s="865" t="s">
        <v>591</v>
      </c>
      <c r="D850" s="865" t="s">
        <v>592</v>
      </c>
      <c r="E850" s="866">
        <v>2019.0</v>
      </c>
      <c r="F850" s="865" t="s">
        <v>593</v>
      </c>
      <c r="G850" s="865" t="s">
        <v>70</v>
      </c>
      <c r="H850" s="867">
        <v>28570.0832</v>
      </c>
      <c r="I850" s="867">
        <v>30776.58873</v>
      </c>
      <c r="J850" s="868">
        <v>26293.31164</v>
      </c>
      <c r="K850" s="50"/>
      <c r="L850" s="869" t="s">
        <v>638</v>
      </c>
      <c r="M850" s="865" t="s">
        <v>591</v>
      </c>
      <c r="N850" s="865" t="s">
        <v>592</v>
      </c>
      <c r="O850" s="866">
        <v>2004.0</v>
      </c>
      <c r="P850" s="865" t="s">
        <v>593</v>
      </c>
      <c r="Q850" s="865" t="s">
        <v>70</v>
      </c>
      <c r="R850" s="867">
        <v>32500.91677</v>
      </c>
      <c r="S850" s="867">
        <v>35309.76328</v>
      </c>
      <c r="T850" s="868">
        <v>29837.3866</v>
      </c>
      <c r="AN850" s="882"/>
      <c r="AO850" s="882"/>
      <c r="AP850" s="882"/>
      <c r="AY850" s="882"/>
      <c r="AZ850" s="882"/>
      <c r="BA850" s="882"/>
      <c r="BJ850" s="882"/>
      <c r="BK850" s="882"/>
      <c r="BL850" s="882"/>
      <c r="BU850" s="882"/>
      <c r="BV850" s="882"/>
      <c r="BW850" s="882"/>
      <c r="CF850" s="882"/>
      <c r="CG850" s="882"/>
      <c r="CH850" s="882"/>
      <c r="CI850" s="530"/>
    </row>
    <row r="851">
      <c r="A851" s="857"/>
      <c r="B851" s="865" t="s">
        <v>638</v>
      </c>
      <c r="C851" s="865" t="s">
        <v>591</v>
      </c>
      <c r="D851" s="865" t="s">
        <v>601</v>
      </c>
      <c r="E851" s="866">
        <v>2019.0</v>
      </c>
      <c r="F851" s="865" t="s">
        <v>593</v>
      </c>
      <c r="G851" s="865" t="s">
        <v>70</v>
      </c>
      <c r="H851" s="867">
        <v>531137.4767</v>
      </c>
      <c r="I851" s="867">
        <v>572157.9306</v>
      </c>
      <c r="J851" s="868">
        <v>488810.7292</v>
      </c>
      <c r="K851" s="50"/>
      <c r="L851" s="869" t="s">
        <v>638</v>
      </c>
      <c r="M851" s="865" t="s">
        <v>591</v>
      </c>
      <c r="N851" s="865" t="s">
        <v>601</v>
      </c>
      <c r="O851" s="866">
        <v>2004.0</v>
      </c>
      <c r="P851" s="865" t="s">
        <v>593</v>
      </c>
      <c r="Q851" s="865" t="s">
        <v>70</v>
      </c>
      <c r="R851" s="867">
        <v>568855.3054</v>
      </c>
      <c r="S851" s="867">
        <v>618017.8338</v>
      </c>
      <c r="T851" s="868">
        <v>522236.2122</v>
      </c>
      <c r="AN851" s="882"/>
      <c r="AO851" s="882"/>
      <c r="AP851" s="882"/>
      <c r="AY851" s="882"/>
      <c r="AZ851" s="882"/>
      <c r="BA851" s="882"/>
      <c r="BJ851" s="882"/>
      <c r="BK851" s="882"/>
      <c r="BL851" s="882"/>
      <c r="BU851" s="882"/>
      <c r="BV851" s="882"/>
      <c r="BW851" s="882"/>
      <c r="CF851" s="882"/>
      <c r="CG851" s="882"/>
      <c r="CH851" s="882"/>
      <c r="CI851" s="530"/>
    </row>
    <row r="852">
      <c r="A852" s="857"/>
      <c r="B852" s="865" t="s">
        <v>638</v>
      </c>
      <c r="C852" s="865" t="s">
        <v>591</v>
      </c>
      <c r="D852" s="865" t="s">
        <v>606</v>
      </c>
      <c r="E852" s="866">
        <v>2019.0</v>
      </c>
      <c r="F852" s="865" t="s">
        <v>593</v>
      </c>
      <c r="G852" s="865" t="s">
        <v>70</v>
      </c>
      <c r="H852" s="867">
        <v>409209.4487</v>
      </c>
      <c r="I852" s="867">
        <v>440813.2388</v>
      </c>
      <c r="J852" s="868">
        <v>376599.238</v>
      </c>
      <c r="K852" s="50"/>
      <c r="L852" s="869" t="s">
        <v>638</v>
      </c>
      <c r="M852" s="865" t="s">
        <v>591</v>
      </c>
      <c r="N852" s="865" t="s">
        <v>606</v>
      </c>
      <c r="O852" s="866">
        <v>2004.0</v>
      </c>
      <c r="P852" s="865" t="s">
        <v>593</v>
      </c>
      <c r="Q852" s="865" t="s">
        <v>70</v>
      </c>
      <c r="R852" s="867">
        <v>439086.6091</v>
      </c>
      <c r="S852" s="867">
        <v>477034.0584</v>
      </c>
      <c r="T852" s="868">
        <v>403102.3802</v>
      </c>
      <c r="AN852" s="882"/>
      <c r="AO852" s="882"/>
      <c r="AP852" s="882"/>
      <c r="AY852" s="882"/>
      <c r="AZ852" s="882"/>
      <c r="BA852" s="882"/>
      <c r="BJ852" s="882"/>
      <c r="BK852" s="882"/>
      <c r="BL852" s="882"/>
      <c r="BU852" s="882"/>
      <c r="BV852" s="882"/>
      <c r="BW852" s="882"/>
      <c r="CF852" s="882"/>
      <c r="CG852" s="882"/>
      <c r="CH852" s="882"/>
      <c r="CI852" s="530"/>
    </row>
    <row r="853">
      <c r="A853" s="857"/>
      <c r="B853" s="865" t="s">
        <v>638</v>
      </c>
      <c r="C853" s="865" t="s">
        <v>591</v>
      </c>
      <c r="D853" s="865" t="s">
        <v>608</v>
      </c>
      <c r="E853" s="866">
        <v>2019.0</v>
      </c>
      <c r="F853" s="865" t="s">
        <v>593</v>
      </c>
      <c r="G853" s="865" t="s">
        <v>70</v>
      </c>
      <c r="H853" s="867">
        <v>112022.0888</v>
      </c>
      <c r="I853" s="867">
        <v>120673.7037</v>
      </c>
      <c r="J853" s="868">
        <v>103094.9637</v>
      </c>
      <c r="K853" s="50"/>
      <c r="L853" s="869" t="s">
        <v>638</v>
      </c>
      <c r="M853" s="865" t="s">
        <v>591</v>
      </c>
      <c r="N853" s="865" t="s">
        <v>608</v>
      </c>
      <c r="O853" s="866">
        <v>2004.0</v>
      </c>
      <c r="P853" s="865" t="s">
        <v>593</v>
      </c>
      <c r="Q853" s="865" t="s">
        <v>70</v>
      </c>
      <c r="R853" s="867">
        <v>120782.3283</v>
      </c>
      <c r="S853" s="867">
        <v>131220.773</v>
      </c>
      <c r="T853" s="868">
        <v>110883.9191</v>
      </c>
      <c r="AN853" s="882"/>
      <c r="AO853" s="882"/>
      <c r="AP853" s="882"/>
      <c r="AY853" s="882"/>
      <c r="AZ853" s="882"/>
      <c r="BA853" s="882"/>
      <c r="BJ853" s="882"/>
      <c r="BK853" s="882"/>
      <c r="BL853" s="882"/>
      <c r="BU853" s="882"/>
      <c r="BV853" s="882"/>
      <c r="BW853" s="882"/>
      <c r="CF853" s="882"/>
      <c r="CG853" s="882"/>
      <c r="CH853" s="882"/>
      <c r="CI853" s="530"/>
    </row>
    <row r="854">
      <c r="A854" s="857"/>
      <c r="B854" s="865" t="s">
        <v>638</v>
      </c>
      <c r="C854" s="865" t="s">
        <v>591</v>
      </c>
      <c r="D854" s="865" t="s">
        <v>610</v>
      </c>
      <c r="E854" s="866">
        <v>2019.0</v>
      </c>
      <c r="F854" s="865" t="s">
        <v>593</v>
      </c>
      <c r="G854" s="865" t="s">
        <v>70</v>
      </c>
      <c r="H854" s="867">
        <v>131258.8196</v>
      </c>
      <c r="I854" s="867">
        <v>141396.1128</v>
      </c>
      <c r="J854" s="868">
        <v>120798.7049</v>
      </c>
      <c r="K854" s="50"/>
      <c r="L854" s="869" t="s">
        <v>638</v>
      </c>
      <c r="M854" s="865" t="s">
        <v>591</v>
      </c>
      <c r="N854" s="865" t="s">
        <v>610</v>
      </c>
      <c r="O854" s="866">
        <v>2004.0</v>
      </c>
      <c r="P854" s="865" t="s">
        <v>593</v>
      </c>
      <c r="Q854" s="865" t="s">
        <v>70</v>
      </c>
      <c r="R854" s="867">
        <v>142063.5486</v>
      </c>
      <c r="S854" s="867">
        <v>154341.1932</v>
      </c>
      <c r="T854" s="868">
        <v>130421.091</v>
      </c>
      <c r="AN854" s="882"/>
      <c r="AO854" s="882"/>
      <c r="AP854" s="882"/>
      <c r="AY854" s="882"/>
      <c r="AZ854" s="882"/>
      <c r="BA854" s="882"/>
      <c r="BJ854" s="882"/>
      <c r="BK854" s="882"/>
      <c r="BL854" s="882"/>
      <c r="BU854" s="882"/>
      <c r="BV854" s="882"/>
      <c r="BW854" s="882"/>
      <c r="CF854" s="882"/>
      <c r="CG854" s="882"/>
      <c r="CH854" s="882"/>
      <c r="CI854" s="530"/>
    </row>
    <row r="855">
      <c r="A855" s="857"/>
      <c r="B855" s="865" t="s">
        <v>638</v>
      </c>
      <c r="C855" s="865" t="s">
        <v>591</v>
      </c>
      <c r="D855" s="865" t="s">
        <v>612</v>
      </c>
      <c r="E855" s="866">
        <v>2019.0</v>
      </c>
      <c r="F855" s="865" t="s">
        <v>593</v>
      </c>
      <c r="G855" s="865" t="s">
        <v>70</v>
      </c>
      <c r="H855" s="867">
        <v>253186.8476</v>
      </c>
      <c r="I855" s="867">
        <v>272740.8047</v>
      </c>
      <c r="J855" s="868">
        <v>233010.1961</v>
      </c>
      <c r="K855" s="50"/>
      <c r="L855" s="869" t="s">
        <v>638</v>
      </c>
      <c r="M855" s="865" t="s">
        <v>591</v>
      </c>
      <c r="N855" s="865" t="s">
        <v>612</v>
      </c>
      <c r="O855" s="866">
        <v>2004.0</v>
      </c>
      <c r="P855" s="865" t="s">
        <v>593</v>
      </c>
      <c r="Q855" s="865" t="s">
        <v>70</v>
      </c>
      <c r="R855" s="867">
        <v>271832.2449</v>
      </c>
      <c r="S855" s="867">
        <v>295324.9685</v>
      </c>
      <c r="T855" s="868">
        <v>249554.923</v>
      </c>
      <c r="AN855" s="882"/>
      <c r="AO855" s="882"/>
      <c r="AP855" s="882"/>
      <c r="AY855" s="882"/>
      <c r="AZ855" s="882"/>
      <c r="BA855" s="882"/>
      <c r="BJ855" s="882"/>
      <c r="BK855" s="882"/>
      <c r="BL855" s="882"/>
      <c r="BU855" s="882"/>
      <c r="BV855" s="882"/>
      <c r="BW855" s="882"/>
      <c r="CF855" s="882"/>
      <c r="CG855" s="882"/>
      <c r="CH855" s="882"/>
      <c r="CI855" s="530"/>
    </row>
    <row r="856">
      <c r="A856" s="857"/>
      <c r="B856" s="865" t="s">
        <v>638</v>
      </c>
      <c r="C856" s="865" t="s">
        <v>591</v>
      </c>
      <c r="D856" s="865" t="s">
        <v>614</v>
      </c>
      <c r="E856" s="866">
        <v>2019.0</v>
      </c>
      <c r="F856" s="865" t="s">
        <v>593</v>
      </c>
      <c r="G856" s="865" t="s">
        <v>70</v>
      </c>
      <c r="H856" s="867">
        <v>366256.7887</v>
      </c>
      <c r="I856" s="867">
        <v>394543.2877</v>
      </c>
      <c r="J856" s="868">
        <v>337069.508</v>
      </c>
      <c r="K856" s="50"/>
      <c r="L856" s="869" t="s">
        <v>638</v>
      </c>
      <c r="M856" s="865" t="s">
        <v>591</v>
      </c>
      <c r="N856" s="865" t="s">
        <v>614</v>
      </c>
      <c r="O856" s="866">
        <v>2004.0</v>
      </c>
      <c r="P856" s="865" t="s">
        <v>593</v>
      </c>
      <c r="Q856" s="865" t="s">
        <v>70</v>
      </c>
      <c r="R856" s="867">
        <v>379041.3519</v>
      </c>
      <c r="S856" s="867">
        <v>411799.4734</v>
      </c>
      <c r="T856" s="868">
        <v>347977.9796</v>
      </c>
      <c r="AN856" s="882"/>
      <c r="AO856" s="882"/>
      <c r="AP856" s="882"/>
      <c r="AY856" s="882"/>
      <c r="AZ856" s="882"/>
      <c r="BA856" s="882"/>
      <c r="BJ856" s="882"/>
      <c r="BK856" s="882"/>
      <c r="BL856" s="882"/>
      <c r="BU856" s="882"/>
      <c r="BV856" s="882"/>
      <c r="BW856" s="882"/>
      <c r="CF856" s="882"/>
      <c r="CG856" s="882"/>
      <c r="CH856" s="882"/>
      <c r="CI856" s="530"/>
    </row>
    <row r="857">
      <c r="A857" s="857"/>
      <c r="B857" s="865" t="s">
        <v>638</v>
      </c>
      <c r="C857" s="865" t="s">
        <v>591</v>
      </c>
      <c r="D857" s="865" t="s">
        <v>616</v>
      </c>
      <c r="E857" s="866">
        <v>2019.0</v>
      </c>
      <c r="F857" s="865" t="s">
        <v>593</v>
      </c>
      <c r="G857" s="865" t="s">
        <v>70</v>
      </c>
      <c r="H857" s="867">
        <v>121928.028</v>
      </c>
      <c r="I857" s="867">
        <v>131344.6918</v>
      </c>
      <c r="J857" s="868">
        <v>112211.4912</v>
      </c>
      <c r="K857" s="50"/>
      <c r="L857" s="869" t="s">
        <v>638</v>
      </c>
      <c r="M857" s="865" t="s">
        <v>591</v>
      </c>
      <c r="N857" s="865" t="s">
        <v>616</v>
      </c>
      <c r="O857" s="866">
        <v>2004.0</v>
      </c>
      <c r="P857" s="865" t="s">
        <v>593</v>
      </c>
      <c r="Q857" s="865" t="s">
        <v>70</v>
      </c>
      <c r="R857" s="867">
        <v>129768.6963</v>
      </c>
      <c r="S857" s="867">
        <v>140983.7753</v>
      </c>
      <c r="T857" s="868">
        <v>119133.8321</v>
      </c>
      <c r="AN857" s="882"/>
      <c r="AO857" s="882"/>
      <c r="AP857" s="882"/>
      <c r="AY857" s="882"/>
      <c r="AZ857" s="882"/>
      <c r="BA857" s="882"/>
      <c r="BJ857" s="882"/>
      <c r="BK857" s="882"/>
      <c r="BL857" s="882"/>
      <c r="BU857" s="882"/>
      <c r="BV857" s="882"/>
      <c r="BW857" s="882"/>
      <c r="CF857" s="882"/>
      <c r="CG857" s="882"/>
      <c r="CH857" s="882"/>
      <c r="CI857" s="530"/>
    </row>
    <row r="858">
      <c r="A858" s="857"/>
      <c r="B858" s="865" t="s">
        <v>638</v>
      </c>
      <c r="C858" s="865" t="s">
        <v>591</v>
      </c>
      <c r="D858" s="865" t="s">
        <v>618</v>
      </c>
      <c r="E858" s="866">
        <v>2019.0</v>
      </c>
      <c r="F858" s="865" t="s">
        <v>593</v>
      </c>
      <c r="G858" s="865" t="s">
        <v>70</v>
      </c>
      <c r="H858" s="867">
        <v>504923.9042</v>
      </c>
      <c r="I858" s="867">
        <v>543934.6114</v>
      </c>
      <c r="J858" s="868">
        <v>464692.4062</v>
      </c>
      <c r="K858" s="50"/>
      <c r="L858" s="869" t="s">
        <v>638</v>
      </c>
      <c r="M858" s="865" t="s">
        <v>591</v>
      </c>
      <c r="N858" s="865" t="s">
        <v>618</v>
      </c>
      <c r="O858" s="866">
        <v>2004.0</v>
      </c>
      <c r="P858" s="865" t="s">
        <v>593</v>
      </c>
      <c r="Q858" s="865" t="s">
        <v>70</v>
      </c>
      <c r="R858" s="867">
        <v>435745.9702</v>
      </c>
      <c r="S858" s="867">
        <v>473430.5067</v>
      </c>
      <c r="T858" s="868">
        <v>400019.6477</v>
      </c>
      <c r="AN858" s="882"/>
      <c r="AO858" s="882"/>
      <c r="AP858" s="882"/>
      <c r="AY858" s="882"/>
      <c r="AZ858" s="882"/>
      <c r="BA858" s="882"/>
      <c r="BJ858" s="882"/>
      <c r="BK858" s="882"/>
      <c r="BL858" s="882"/>
      <c r="BU858" s="882"/>
      <c r="BV858" s="882"/>
      <c r="BW858" s="882"/>
      <c r="CF858" s="882"/>
      <c r="CG858" s="882"/>
      <c r="CH858" s="882"/>
      <c r="CI858" s="530"/>
    </row>
    <row r="859">
      <c r="A859" s="857"/>
      <c r="B859" s="865" t="s">
        <v>638</v>
      </c>
      <c r="C859" s="865" t="s">
        <v>591</v>
      </c>
      <c r="D859" s="865" t="s">
        <v>620</v>
      </c>
      <c r="E859" s="866">
        <v>2019.0</v>
      </c>
      <c r="F859" s="865" t="s">
        <v>593</v>
      </c>
      <c r="G859" s="865" t="s">
        <v>70</v>
      </c>
      <c r="H859" s="867">
        <v>605663.3282</v>
      </c>
      <c r="I859" s="867">
        <v>652439.5127</v>
      </c>
      <c r="J859" s="868">
        <v>557397.5591</v>
      </c>
      <c r="K859" s="50"/>
      <c r="L859" s="869" t="s">
        <v>638</v>
      </c>
      <c r="M859" s="865" t="s">
        <v>591</v>
      </c>
      <c r="N859" s="865" t="s">
        <v>620</v>
      </c>
      <c r="O859" s="866">
        <v>2004.0</v>
      </c>
      <c r="P859" s="865" t="s">
        <v>593</v>
      </c>
      <c r="Q859" s="865" t="s">
        <v>70</v>
      </c>
      <c r="R859" s="867">
        <v>513304.5793</v>
      </c>
      <c r="S859" s="867">
        <v>557666.2134</v>
      </c>
      <c r="T859" s="868">
        <v>471238.0049</v>
      </c>
      <c r="AN859" s="882"/>
      <c r="AO859" s="882"/>
      <c r="AP859" s="882"/>
      <c r="AY859" s="882"/>
      <c r="AZ859" s="882"/>
      <c r="BA859" s="882"/>
      <c r="BJ859" s="882"/>
      <c r="BK859" s="882"/>
      <c r="BL859" s="882"/>
      <c r="BU859" s="882"/>
      <c r="BV859" s="882"/>
      <c r="BW859" s="882"/>
      <c r="CF859" s="882"/>
      <c r="CG859" s="882"/>
      <c r="CH859" s="882"/>
      <c r="CI859" s="530"/>
    </row>
    <row r="860">
      <c r="A860" s="857"/>
      <c r="B860" s="865" t="s">
        <v>638</v>
      </c>
      <c r="C860" s="865" t="s">
        <v>591</v>
      </c>
      <c r="D860" s="865" t="s">
        <v>622</v>
      </c>
      <c r="E860" s="866">
        <v>2019.0</v>
      </c>
      <c r="F860" s="865" t="s">
        <v>593</v>
      </c>
      <c r="G860" s="865" t="s">
        <v>70</v>
      </c>
      <c r="H860" s="867">
        <v>610962.0273</v>
      </c>
      <c r="I860" s="867">
        <v>658165.3</v>
      </c>
      <c r="J860" s="868">
        <v>562281.5877</v>
      </c>
      <c r="K860" s="50"/>
      <c r="L860" s="869" t="s">
        <v>638</v>
      </c>
      <c r="M860" s="865" t="s">
        <v>591</v>
      </c>
      <c r="N860" s="865" t="s">
        <v>622</v>
      </c>
      <c r="O860" s="866">
        <v>2004.0</v>
      </c>
      <c r="P860" s="865" t="s">
        <v>593</v>
      </c>
      <c r="Q860" s="865" t="s">
        <v>70</v>
      </c>
      <c r="R860" s="867">
        <v>479617.7288</v>
      </c>
      <c r="S860" s="867">
        <v>521096.4183</v>
      </c>
      <c r="T860" s="868">
        <v>440294.41</v>
      </c>
      <c r="AN860" s="882"/>
      <c r="AO860" s="882"/>
      <c r="AP860" s="882"/>
      <c r="AY860" s="882"/>
      <c r="AZ860" s="882"/>
      <c r="BA860" s="882"/>
      <c r="BJ860" s="882"/>
      <c r="BK860" s="882"/>
      <c r="BL860" s="882"/>
      <c r="BU860" s="882"/>
      <c r="BV860" s="882"/>
      <c r="BW860" s="882"/>
      <c r="CF860" s="882"/>
      <c r="CG860" s="882"/>
      <c r="CH860" s="882"/>
      <c r="CI860" s="530"/>
    </row>
    <row r="861">
      <c r="A861" s="857"/>
      <c r="B861" s="865" t="s">
        <v>638</v>
      </c>
      <c r="C861" s="865" t="s">
        <v>591</v>
      </c>
      <c r="D861" s="865" t="s">
        <v>624</v>
      </c>
      <c r="E861" s="866">
        <v>2019.0</v>
      </c>
      <c r="F861" s="865" t="s">
        <v>593</v>
      </c>
      <c r="G861" s="865" t="s">
        <v>70</v>
      </c>
      <c r="H861" s="867">
        <v>113069.9411</v>
      </c>
      <c r="I861" s="867">
        <v>121802.483</v>
      </c>
      <c r="J861" s="868">
        <v>104059.3119</v>
      </c>
      <c r="K861" s="50"/>
      <c r="L861" s="869" t="s">
        <v>638</v>
      </c>
      <c r="M861" s="865" t="s">
        <v>591</v>
      </c>
      <c r="N861" s="865" t="s">
        <v>624</v>
      </c>
      <c r="O861" s="866">
        <v>2004.0</v>
      </c>
      <c r="P861" s="865" t="s">
        <v>593</v>
      </c>
      <c r="Q861" s="865" t="s">
        <v>70</v>
      </c>
      <c r="R861" s="867">
        <v>107209.107</v>
      </c>
      <c r="S861" s="867">
        <v>116474.5049</v>
      </c>
      <c r="T861" s="868">
        <v>98423.05663</v>
      </c>
      <c r="AN861" s="882"/>
      <c r="AO861" s="882"/>
      <c r="AP861" s="882"/>
      <c r="AY861" s="882"/>
      <c r="AZ861" s="882"/>
      <c r="BA861" s="882"/>
      <c r="BJ861" s="882"/>
      <c r="BK861" s="882"/>
      <c r="BL861" s="882"/>
      <c r="BU861" s="882"/>
      <c r="BV861" s="882"/>
      <c r="BW861" s="882"/>
      <c r="CF861" s="882"/>
      <c r="CG861" s="882"/>
      <c r="CH861" s="882"/>
      <c r="CI861" s="530"/>
    </row>
    <row r="862">
      <c r="A862" s="857"/>
      <c r="B862" s="865" t="s">
        <v>638</v>
      </c>
      <c r="C862" s="865" t="s">
        <v>591</v>
      </c>
      <c r="D862" s="865" t="s">
        <v>625</v>
      </c>
      <c r="E862" s="866">
        <v>2019.0</v>
      </c>
      <c r="F862" s="865" t="s">
        <v>593</v>
      </c>
      <c r="G862" s="865" t="s">
        <v>70</v>
      </c>
      <c r="H862" s="867">
        <v>497901.2084</v>
      </c>
      <c r="I862" s="867">
        <v>536354.7811</v>
      </c>
      <c r="J862" s="868">
        <v>458223.0842</v>
      </c>
      <c r="K862" s="50"/>
      <c r="L862" s="869" t="s">
        <v>638</v>
      </c>
      <c r="M862" s="865" t="s">
        <v>591</v>
      </c>
      <c r="N862" s="865" t="s">
        <v>625</v>
      </c>
      <c r="O862" s="866">
        <v>2004.0</v>
      </c>
      <c r="P862" s="865" t="s">
        <v>593</v>
      </c>
      <c r="Q862" s="865" t="s">
        <v>70</v>
      </c>
      <c r="R862" s="867">
        <v>372414.896</v>
      </c>
      <c r="S862" s="867">
        <v>404600.3353</v>
      </c>
      <c r="T862" s="868">
        <v>341894.5781</v>
      </c>
      <c r="AN862" s="882"/>
      <c r="AO862" s="882"/>
      <c r="AP862" s="882"/>
      <c r="AY862" s="882"/>
      <c r="AZ862" s="882"/>
      <c r="BA862" s="882"/>
      <c r="BJ862" s="882"/>
      <c r="BK862" s="882"/>
      <c r="BL862" s="882"/>
      <c r="BU862" s="882"/>
      <c r="BV862" s="882"/>
      <c r="BW862" s="882"/>
      <c r="CF862" s="882"/>
      <c r="CG862" s="882"/>
      <c r="CH862" s="882"/>
      <c r="CI862" s="530"/>
    </row>
    <row r="863">
      <c r="A863" s="857"/>
      <c r="B863" s="865" t="s">
        <v>638</v>
      </c>
      <c r="C863" s="865" t="s">
        <v>591</v>
      </c>
      <c r="D863" s="865" t="s">
        <v>627</v>
      </c>
      <c r="E863" s="866">
        <v>2019.0</v>
      </c>
      <c r="F863" s="865" t="s">
        <v>593</v>
      </c>
      <c r="G863" s="865" t="s">
        <v>70</v>
      </c>
      <c r="H863" s="867">
        <v>103564.3764</v>
      </c>
      <c r="I863" s="867">
        <v>111562.791</v>
      </c>
      <c r="J863" s="868">
        <v>95311.25286</v>
      </c>
      <c r="K863" s="50"/>
      <c r="L863" s="869" t="s">
        <v>638</v>
      </c>
      <c r="M863" s="865" t="s">
        <v>591</v>
      </c>
      <c r="N863" s="865" t="s">
        <v>627</v>
      </c>
      <c r="O863" s="866">
        <v>2004.0</v>
      </c>
      <c r="P863" s="865" t="s">
        <v>593</v>
      </c>
      <c r="Q863" s="865" t="s">
        <v>70</v>
      </c>
      <c r="R863" s="867">
        <v>82876.63702</v>
      </c>
      <c r="S863" s="867">
        <v>90039.13507</v>
      </c>
      <c r="T863" s="868">
        <v>76084.69251</v>
      </c>
      <c r="AN863" s="882"/>
      <c r="AO863" s="882"/>
      <c r="AP863" s="882"/>
      <c r="AY863" s="882"/>
      <c r="AZ863" s="882"/>
      <c r="BA863" s="882"/>
      <c r="BJ863" s="882"/>
      <c r="BK863" s="882"/>
      <c r="BL863" s="882"/>
      <c r="BU863" s="882"/>
      <c r="BV863" s="882"/>
      <c r="BW863" s="882"/>
      <c r="CF863" s="882"/>
      <c r="CG863" s="882"/>
      <c r="CH863" s="882"/>
      <c r="CI863" s="530"/>
    </row>
    <row r="864">
      <c r="A864" s="857"/>
      <c r="B864" s="865" t="s">
        <v>638</v>
      </c>
      <c r="C864" s="865" t="s">
        <v>591</v>
      </c>
      <c r="D864" s="865" t="s">
        <v>629</v>
      </c>
      <c r="E864" s="866">
        <v>2019.0</v>
      </c>
      <c r="F864" s="865" t="s">
        <v>593</v>
      </c>
      <c r="G864" s="865" t="s">
        <v>70</v>
      </c>
      <c r="H864" s="867">
        <v>370659.8247</v>
      </c>
      <c r="I864" s="867">
        <v>399297.213</v>
      </c>
      <c r="J864" s="868">
        <v>341126.2656</v>
      </c>
      <c r="K864" s="50"/>
      <c r="L864" s="869" t="s">
        <v>638</v>
      </c>
      <c r="M864" s="865" t="s">
        <v>591</v>
      </c>
      <c r="N864" s="865" t="s">
        <v>629</v>
      </c>
      <c r="O864" s="866">
        <v>2004.0</v>
      </c>
      <c r="P864" s="865" t="s">
        <v>593</v>
      </c>
      <c r="Q864" s="865" t="s">
        <v>70</v>
      </c>
      <c r="R864" s="867">
        <v>276323.1613</v>
      </c>
      <c r="S864" s="867">
        <v>300220.365</v>
      </c>
      <c r="T864" s="868">
        <v>253667.7357</v>
      </c>
      <c r="AN864" s="882"/>
      <c r="AO864" s="882"/>
      <c r="AP864" s="882"/>
      <c r="AY864" s="882"/>
      <c r="AZ864" s="882"/>
      <c r="BA864" s="882"/>
      <c r="BJ864" s="882"/>
      <c r="BK864" s="882"/>
      <c r="BL864" s="882"/>
      <c r="BU864" s="882"/>
      <c r="BV864" s="882"/>
      <c r="BW864" s="882"/>
      <c r="CF864" s="882"/>
      <c r="CG864" s="882"/>
      <c r="CH864" s="882"/>
      <c r="CI864" s="530"/>
    </row>
    <row r="865">
      <c r="A865" s="857"/>
      <c r="B865" s="865" t="s">
        <v>638</v>
      </c>
      <c r="C865" s="865" t="s">
        <v>591</v>
      </c>
      <c r="D865" s="865" t="s">
        <v>631</v>
      </c>
      <c r="E865" s="866">
        <v>2019.0</v>
      </c>
      <c r="F865" s="865" t="s">
        <v>593</v>
      </c>
      <c r="G865" s="865" t="s">
        <v>70</v>
      </c>
      <c r="H865" s="867">
        <v>91326.79395</v>
      </c>
      <c r="I865" s="867">
        <v>98380.08373</v>
      </c>
      <c r="J865" s="868">
        <v>84048.89261</v>
      </c>
      <c r="K865" s="50"/>
      <c r="L865" s="869" t="s">
        <v>638</v>
      </c>
      <c r="M865" s="865" t="s">
        <v>591</v>
      </c>
      <c r="N865" s="865" t="s">
        <v>631</v>
      </c>
      <c r="O865" s="866">
        <v>2004.0</v>
      </c>
      <c r="P865" s="865" t="s">
        <v>593</v>
      </c>
      <c r="Q865" s="865" t="s">
        <v>70</v>
      </c>
      <c r="R865" s="867">
        <v>64002.75251</v>
      </c>
      <c r="S865" s="867">
        <v>69534.10135</v>
      </c>
      <c r="T865" s="868">
        <v>58757.56932</v>
      </c>
      <c r="AN865" s="882"/>
      <c r="AO865" s="882"/>
      <c r="AP865" s="882"/>
      <c r="AY865" s="882"/>
      <c r="AZ865" s="882"/>
      <c r="BA865" s="882"/>
      <c r="BJ865" s="882"/>
      <c r="BK865" s="882"/>
      <c r="BL865" s="882"/>
      <c r="BU865" s="882"/>
      <c r="BV865" s="882"/>
      <c r="BW865" s="882"/>
      <c r="CF865" s="882"/>
      <c r="CG865" s="882"/>
      <c r="CH865" s="882"/>
      <c r="CI865" s="530"/>
    </row>
    <row r="866">
      <c r="A866" s="857"/>
      <c r="B866" s="865" t="s">
        <v>638</v>
      </c>
      <c r="C866" s="865" t="s">
        <v>591</v>
      </c>
      <c r="D866" s="865" t="s">
        <v>633</v>
      </c>
      <c r="E866" s="866">
        <v>2019.0</v>
      </c>
      <c r="F866" s="865" t="s">
        <v>593</v>
      </c>
      <c r="G866" s="865" t="s">
        <v>70</v>
      </c>
      <c r="H866" s="867">
        <v>75042.30369</v>
      </c>
      <c r="I866" s="867">
        <v>80837.92063</v>
      </c>
      <c r="J866" s="868">
        <v>69062.12571</v>
      </c>
      <c r="K866" s="50"/>
      <c r="L866" s="869" t="s">
        <v>638</v>
      </c>
      <c r="M866" s="865" t="s">
        <v>591</v>
      </c>
      <c r="N866" s="865" t="s">
        <v>633</v>
      </c>
      <c r="O866" s="866">
        <v>2004.0</v>
      </c>
      <c r="P866" s="865" t="s">
        <v>593</v>
      </c>
      <c r="Q866" s="865" t="s">
        <v>70</v>
      </c>
      <c r="R866" s="867">
        <v>51894.47773</v>
      </c>
      <c r="S866" s="867">
        <v>56379.38577</v>
      </c>
      <c r="T866" s="868">
        <v>47641.59748</v>
      </c>
      <c r="AN866" s="882"/>
      <c r="AO866" s="882"/>
      <c r="AP866" s="882"/>
      <c r="AY866" s="882"/>
      <c r="AZ866" s="882"/>
      <c r="BA866" s="882"/>
      <c r="BJ866" s="882"/>
      <c r="BK866" s="882"/>
      <c r="BL866" s="882"/>
      <c r="BU866" s="882"/>
      <c r="BV866" s="882"/>
      <c r="BW866" s="882"/>
      <c r="CF866" s="882"/>
      <c r="CG866" s="882"/>
      <c r="CH866" s="882"/>
      <c r="CI866" s="530"/>
    </row>
    <row r="867">
      <c r="A867" s="857"/>
      <c r="B867" s="865" t="s">
        <v>638</v>
      </c>
      <c r="C867" s="865" t="s">
        <v>591</v>
      </c>
      <c r="D867" s="865" t="s">
        <v>635</v>
      </c>
      <c r="E867" s="866">
        <v>2019.0</v>
      </c>
      <c r="F867" s="865" t="s">
        <v>593</v>
      </c>
      <c r="G867" s="865" t="s">
        <v>70</v>
      </c>
      <c r="H867" s="867">
        <v>57264.72124</v>
      </c>
      <c r="I867" s="867">
        <v>61687.35184</v>
      </c>
      <c r="J867" s="868">
        <v>52701.25225</v>
      </c>
      <c r="K867" s="50"/>
      <c r="L867" s="869" t="s">
        <v>638</v>
      </c>
      <c r="M867" s="865" t="s">
        <v>591</v>
      </c>
      <c r="N867" s="865" t="s">
        <v>635</v>
      </c>
      <c r="O867" s="866">
        <v>2004.0</v>
      </c>
      <c r="P867" s="865" t="s">
        <v>593</v>
      </c>
      <c r="Q867" s="865" t="s">
        <v>70</v>
      </c>
      <c r="R867" s="867">
        <v>42899.95245</v>
      </c>
      <c r="S867" s="867">
        <v>46607.52115</v>
      </c>
      <c r="T867" s="868">
        <v>39384.19569</v>
      </c>
      <c r="AN867" s="882"/>
      <c r="AO867" s="882"/>
      <c r="AP867" s="882"/>
      <c r="AY867" s="882"/>
      <c r="AZ867" s="882"/>
      <c r="BA867" s="882"/>
      <c r="BJ867" s="882"/>
      <c r="BK867" s="882"/>
      <c r="BL867" s="882"/>
      <c r="BU867" s="882"/>
      <c r="BV867" s="882"/>
      <c r="BW867" s="882"/>
      <c r="CF867" s="882"/>
      <c r="CG867" s="882"/>
      <c r="CH867" s="882"/>
      <c r="CI867" s="530"/>
    </row>
    <row r="868">
      <c r="A868" s="857"/>
      <c r="B868" s="865" t="s">
        <v>638</v>
      </c>
      <c r="C868" s="865" t="s">
        <v>591</v>
      </c>
      <c r="D868" s="865" t="s">
        <v>637</v>
      </c>
      <c r="E868" s="866">
        <v>2019.0</v>
      </c>
      <c r="F868" s="865" t="s">
        <v>593</v>
      </c>
      <c r="G868" s="865" t="s">
        <v>70</v>
      </c>
      <c r="H868" s="867">
        <v>43467.16374</v>
      </c>
      <c r="I868" s="867">
        <v>46824.19062</v>
      </c>
      <c r="J868" s="868">
        <v>40003.23256</v>
      </c>
      <c r="K868" s="50"/>
      <c r="L868" s="869" t="s">
        <v>638</v>
      </c>
      <c r="M868" s="865" t="s">
        <v>591</v>
      </c>
      <c r="N868" s="865" t="s">
        <v>637</v>
      </c>
      <c r="O868" s="866">
        <v>2004.0</v>
      </c>
      <c r="P868" s="865" t="s">
        <v>593</v>
      </c>
      <c r="Q868" s="865" t="s">
        <v>70</v>
      </c>
      <c r="R868" s="867">
        <v>34652.95632</v>
      </c>
      <c r="S868" s="867">
        <v>37647.78986</v>
      </c>
      <c r="T868" s="868">
        <v>31813.06121</v>
      </c>
      <c r="AN868" s="882"/>
      <c r="AO868" s="882"/>
      <c r="AP868" s="882"/>
      <c r="AY868" s="882"/>
      <c r="AZ868" s="882"/>
      <c r="BA868" s="882"/>
      <c r="BJ868" s="882"/>
      <c r="BK868" s="882"/>
      <c r="BL868" s="882"/>
      <c r="BU868" s="882"/>
      <c r="BV868" s="882"/>
      <c r="BW868" s="882"/>
      <c r="CF868" s="882"/>
      <c r="CG868" s="882"/>
      <c r="CH868" s="882"/>
      <c r="CI868" s="530"/>
    </row>
    <row r="869">
      <c r="A869" s="857"/>
      <c r="B869" s="865" t="s">
        <v>638</v>
      </c>
      <c r="C869" s="865" t="s">
        <v>591</v>
      </c>
      <c r="D869" s="865" t="s">
        <v>639</v>
      </c>
      <c r="E869" s="866">
        <v>2019.0</v>
      </c>
      <c r="F869" s="865" t="s">
        <v>593</v>
      </c>
      <c r="G869" s="865" t="s">
        <v>70</v>
      </c>
      <c r="H869" s="867">
        <v>390539.4736</v>
      </c>
      <c r="I869" s="867">
        <v>420712.7749</v>
      </c>
      <c r="J869" s="868">
        <v>359421.9371</v>
      </c>
      <c r="K869" s="50"/>
      <c r="L869" s="869" t="s">
        <v>638</v>
      </c>
      <c r="M869" s="865" t="s">
        <v>591</v>
      </c>
      <c r="N869" s="865" t="s">
        <v>639</v>
      </c>
      <c r="O869" s="866">
        <v>2004.0</v>
      </c>
      <c r="P869" s="865" t="s">
        <v>593</v>
      </c>
      <c r="Q869" s="865" t="s">
        <v>70</v>
      </c>
      <c r="R869" s="867">
        <v>415566.624</v>
      </c>
      <c r="S869" s="867">
        <v>451505.9939</v>
      </c>
      <c r="T869" s="868">
        <v>381494.7834</v>
      </c>
      <c r="AN869" s="882"/>
      <c r="AO869" s="882"/>
      <c r="AP869" s="882"/>
      <c r="AY869" s="882"/>
      <c r="AZ869" s="882"/>
      <c r="BA869" s="882"/>
      <c r="BJ869" s="882"/>
      <c r="BK869" s="882"/>
      <c r="BL869" s="882"/>
      <c r="BU869" s="882"/>
      <c r="BV869" s="882"/>
      <c r="BW869" s="882"/>
      <c r="CF869" s="882"/>
      <c r="CG869" s="882"/>
      <c r="CH869" s="882"/>
      <c r="CI869" s="530"/>
    </row>
    <row r="870">
      <c r="A870" s="857"/>
      <c r="B870" s="865" t="s">
        <v>638</v>
      </c>
      <c r="C870" s="865" t="s">
        <v>591</v>
      </c>
      <c r="D870" s="865" t="s">
        <v>641</v>
      </c>
      <c r="E870" s="866">
        <v>2019.0</v>
      </c>
      <c r="F870" s="865" t="s">
        <v>593</v>
      </c>
      <c r="G870" s="865" t="s">
        <v>70</v>
      </c>
      <c r="H870" s="867">
        <v>137358.4571</v>
      </c>
      <c r="I870" s="867">
        <v>147966.8335</v>
      </c>
      <c r="J870" s="868">
        <v>126412.2577</v>
      </c>
      <c r="K870" s="50"/>
      <c r="L870" s="869" t="s">
        <v>638</v>
      </c>
      <c r="M870" s="865" t="s">
        <v>591</v>
      </c>
      <c r="N870" s="865" t="s">
        <v>641</v>
      </c>
      <c r="O870" s="866">
        <v>2004.0</v>
      </c>
      <c r="P870" s="865" t="s">
        <v>593</v>
      </c>
      <c r="Q870" s="865" t="s">
        <v>70</v>
      </c>
      <c r="R870" s="867">
        <v>143739.8154</v>
      </c>
      <c r="S870" s="867">
        <v>156162.329</v>
      </c>
      <c r="T870" s="868">
        <v>131959.9835</v>
      </c>
      <c r="AN870" s="882"/>
      <c r="AO870" s="882"/>
      <c r="AP870" s="882"/>
      <c r="AY870" s="882"/>
      <c r="AZ870" s="882"/>
      <c r="BA870" s="882"/>
      <c r="BJ870" s="882"/>
      <c r="BK870" s="882"/>
      <c r="BL870" s="882"/>
      <c r="BU870" s="882"/>
      <c r="BV870" s="882"/>
      <c r="BW870" s="882"/>
      <c r="CF870" s="882"/>
      <c r="CG870" s="882"/>
      <c r="CH870" s="882"/>
      <c r="CI870" s="530"/>
    </row>
    <row r="871">
      <c r="A871" s="857"/>
      <c r="B871" s="865" t="s">
        <v>638</v>
      </c>
      <c r="C871" s="865" t="s">
        <v>591</v>
      </c>
      <c r="D871" s="865" t="s">
        <v>643</v>
      </c>
      <c r="E871" s="866">
        <v>2019.0</v>
      </c>
      <c r="F871" s="865" t="s">
        <v>593</v>
      </c>
      <c r="G871" s="865" t="s">
        <v>70</v>
      </c>
      <c r="H871" s="867">
        <v>34049.45167</v>
      </c>
      <c r="I871" s="867">
        <v>36679.13612</v>
      </c>
      <c r="J871" s="868">
        <v>31336.02509</v>
      </c>
      <c r="K871" s="50"/>
      <c r="L871" s="869" t="s">
        <v>638</v>
      </c>
      <c r="M871" s="865" t="s">
        <v>591</v>
      </c>
      <c r="N871" s="865" t="s">
        <v>643</v>
      </c>
      <c r="O871" s="866">
        <v>2004.0</v>
      </c>
      <c r="P871" s="865" t="s">
        <v>593</v>
      </c>
      <c r="Q871" s="865" t="s">
        <v>70</v>
      </c>
      <c r="R871" s="867">
        <v>27411.74003</v>
      </c>
      <c r="S871" s="867">
        <v>29780.76152</v>
      </c>
      <c r="T871" s="868">
        <v>25165.28043</v>
      </c>
      <c r="AN871" s="882"/>
      <c r="AO871" s="882"/>
      <c r="AP871" s="882"/>
      <c r="AY871" s="882"/>
      <c r="AZ871" s="882"/>
      <c r="BA871" s="882"/>
      <c r="BJ871" s="882"/>
      <c r="BK871" s="882"/>
      <c r="BL871" s="882"/>
      <c r="BU871" s="882"/>
      <c r="BV871" s="882"/>
      <c r="BW871" s="882"/>
      <c r="CF871" s="882"/>
      <c r="CG871" s="882"/>
      <c r="CH871" s="882"/>
      <c r="CI871" s="530"/>
    </row>
    <row r="872">
      <c r="A872" s="857"/>
      <c r="B872" s="865" t="s">
        <v>638</v>
      </c>
      <c r="C872" s="865" t="s">
        <v>591</v>
      </c>
      <c r="D872" s="865" t="s">
        <v>645</v>
      </c>
      <c r="E872" s="866">
        <v>2019.0</v>
      </c>
      <c r="F872" s="865" t="s">
        <v>593</v>
      </c>
      <c r="G872" s="865" t="s">
        <v>70</v>
      </c>
      <c r="H872" s="867">
        <v>101893.2744</v>
      </c>
      <c r="I872" s="867">
        <v>109762.6275</v>
      </c>
      <c r="J872" s="868">
        <v>93773.32219</v>
      </c>
      <c r="K872" s="50"/>
      <c r="L872" s="869" t="s">
        <v>638</v>
      </c>
      <c r="M872" s="865" t="s">
        <v>591</v>
      </c>
      <c r="N872" s="865" t="s">
        <v>645</v>
      </c>
      <c r="O872" s="866">
        <v>2004.0</v>
      </c>
      <c r="P872" s="865" t="s">
        <v>593</v>
      </c>
      <c r="Q872" s="865" t="s">
        <v>70</v>
      </c>
      <c r="R872" s="867">
        <v>80085.52322</v>
      </c>
      <c r="S872" s="867">
        <v>87006.80314</v>
      </c>
      <c r="T872" s="868">
        <v>73522.31736</v>
      </c>
      <c r="AN872" s="882"/>
      <c r="AO872" s="882"/>
      <c r="AP872" s="882"/>
      <c r="AY872" s="882"/>
      <c r="AZ872" s="882"/>
      <c r="BA872" s="882"/>
      <c r="BJ872" s="882"/>
      <c r="BK872" s="882"/>
      <c r="BL872" s="882"/>
      <c r="BU872" s="882"/>
      <c r="BV872" s="882"/>
      <c r="BW872" s="882"/>
      <c r="CF872" s="882"/>
      <c r="CG872" s="882"/>
      <c r="CH872" s="882"/>
      <c r="CI872" s="530"/>
    </row>
    <row r="873">
      <c r="A873" s="857"/>
      <c r="B873" s="865" t="s">
        <v>638</v>
      </c>
      <c r="C873" s="865" t="s">
        <v>591</v>
      </c>
      <c r="D873" s="865" t="s">
        <v>604</v>
      </c>
      <c r="E873" s="866">
        <v>2019.0</v>
      </c>
      <c r="F873" s="865" t="s">
        <v>593</v>
      </c>
      <c r="G873" s="865" t="s">
        <v>70</v>
      </c>
      <c r="H873" s="867">
        <v>268617.2767</v>
      </c>
      <c r="I873" s="867">
        <v>289362.9463</v>
      </c>
      <c r="J873" s="868">
        <v>247210.9626</v>
      </c>
      <c r="K873" s="50"/>
      <c r="L873" s="869" t="s">
        <v>638</v>
      </c>
      <c r="M873" s="865" t="s">
        <v>591</v>
      </c>
      <c r="N873" s="865" t="s">
        <v>604</v>
      </c>
      <c r="O873" s="866">
        <v>2004.0</v>
      </c>
      <c r="P873" s="865" t="s">
        <v>593</v>
      </c>
      <c r="Q873" s="865" t="s">
        <v>70</v>
      </c>
      <c r="R873" s="867">
        <v>285803.364</v>
      </c>
      <c r="S873" s="867">
        <v>310503.5221</v>
      </c>
      <c r="T873" s="868">
        <v>262381.0745</v>
      </c>
      <c r="AN873" s="882"/>
      <c r="AO873" s="882"/>
      <c r="AP873" s="882"/>
      <c r="AY873" s="882"/>
      <c r="AZ873" s="882"/>
      <c r="BA873" s="882"/>
      <c r="BJ873" s="882"/>
      <c r="BK873" s="882"/>
      <c r="BL873" s="882"/>
      <c r="BU873" s="882"/>
      <c r="BV873" s="882"/>
      <c r="BW873" s="882"/>
      <c r="CF873" s="882"/>
      <c r="CG873" s="882"/>
      <c r="CH873" s="882"/>
      <c r="CI873" s="530"/>
    </row>
    <row r="874">
      <c r="A874" s="857"/>
      <c r="B874" s="865" t="s">
        <v>638</v>
      </c>
      <c r="C874" s="865" t="s">
        <v>591</v>
      </c>
      <c r="D874" s="865" t="s">
        <v>647</v>
      </c>
      <c r="E874" s="866">
        <v>2019.0</v>
      </c>
      <c r="F874" s="865" t="s">
        <v>593</v>
      </c>
      <c r="G874" s="865" t="s">
        <v>70</v>
      </c>
      <c r="H874" s="867">
        <v>93185.00637</v>
      </c>
      <c r="I874" s="867">
        <v>100384.5328</v>
      </c>
      <c r="J874" s="868">
        <v>85760.17984</v>
      </c>
      <c r="K874" s="50"/>
      <c r="L874" s="869" t="s">
        <v>638</v>
      </c>
      <c r="M874" s="865" t="s">
        <v>591</v>
      </c>
      <c r="N874" s="865" t="s">
        <v>647</v>
      </c>
      <c r="O874" s="866">
        <v>2004.0</v>
      </c>
      <c r="P874" s="865" t="s">
        <v>593</v>
      </c>
      <c r="Q874" s="865" t="s">
        <v>70</v>
      </c>
      <c r="R874" s="867">
        <v>68675.48159</v>
      </c>
      <c r="S874" s="867">
        <v>74614.73029</v>
      </c>
      <c r="T874" s="868">
        <v>63044.856</v>
      </c>
      <c r="AN874" s="882"/>
      <c r="AO874" s="882"/>
      <c r="AP874" s="882"/>
      <c r="AY874" s="882"/>
      <c r="AZ874" s="882"/>
      <c r="BA874" s="882"/>
      <c r="BJ874" s="882"/>
      <c r="BK874" s="882"/>
      <c r="BL874" s="882"/>
      <c r="BU874" s="882"/>
      <c r="BV874" s="882"/>
      <c r="BW874" s="882"/>
      <c r="CF874" s="882"/>
      <c r="CG874" s="882"/>
      <c r="CH874" s="882"/>
      <c r="CI874" s="530"/>
    </row>
    <row r="875">
      <c r="A875" s="857"/>
      <c r="B875" s="865" t="s">
        <v>638</v>
      </c>
      <c r="C875" s="865" t="s">
        <v>591</v>
      </c>
      <c r="D875" s="865" t="s">
        <v>649</v>
      </c>
      <c r="E875" s="866">
        <v>2019.0</v>
      </c>
      <c r="F875" s="865" t="s">
        <v>593</v>
      </c>
      <c r="G875" s="865" t="s">
        <v>70</v>
      </c>
      <c r="H875" s="867">
        <v>27354.32454</v>
      </c>
      <c r="I875" s="867">
        <v>29466.93541</v>
      </c>
      <c r="J875" s="868">
        <v>25174.43771</v>
      </c>
      <c r="K875" s="50"/>
      <c r="L875" s="869" t="s">
        <v>638</v>
      </c>
      <c r="M875" s="865" t="s">
        <v>591</v>
      </c>
      <c r="N875" s="865" t="s">
        <v>649</v>
      </c>
      <c r="O875" s="866">
        <v>2004.0</v>
      </c>
      <c r="P875" s="865" t="s">
        <v>593</v>
      </c>
      <c r="Q875" s="865" t="s">
        <v>70</v>
      </c>
      <c r="R875" s="867">
        <v>21516.66572</v>
      </c>
      <c r="S875" s="867">
        <v>23376.21362</v>
      </c>
      <c r="T875" s="868">
        <v>19753.32197</v>
      </c>
      <c r="AN875" s="882"/>
      <c r="AO875" s="882"/>
      <c r="AP875" s="882"/>
      <c r="AY875" s="882"/>
      <c r="AZ875" s="882"/>
      <c r="BA875" s="882"/>
      <c r="BJ875" s="882"/>
      <c r="BK875" s="882"/>
      <c r="BL875" s="882"/>
      <c r="BU875" s="882"/>
      <c r="BV875" s="882"/>
      <c r="BW875" s="882"/>
      <c r="CF875" s="882"/>
      <c r="CG875" s="882"/>
      <c r="CH875" s="882"/>
      <c r="CI875" s="530"/>
    </row>
    <row r="876">
      <c r="A876" s="857"/>
      <c r="B876" s="865" t="s">
        <v>638</v>
      </c>
      <c r="C876" s="865" t="s">
        <v>591</v>
      </c>
      <c r="D876" s="865" t="s">
        <v>651</v>
      </c>
      <c r="E876" s="866">
        <v>2019.0</v>
      </c>
      <c r="F876" s="865" t="s">
        <v>593</v>
      </c>
      <c r="G876" s="865" t="s">
        <v>70</v>
      </c>
      <c r="H876" s="867">
        <v>22589.57197</v>
      </c>
      <c r="I876" s="867">
        <v>24334.19466</v>
      </c>
      <c r="J876" s="868">
        <v>20789.39188</v>
      </c>
      <c r="K876" s="50"/>
      <c r="L876" s="869" t="s">
        <v>638</v>
      </c>
      <c r="M876" s="865" t="s">
        <v>591</v>
      </c>
      <c r="N876" s="865" t="s">
        <v>651</v>
      </c>
      <c r="O876" s="866">
        <v>2004.0</v>
      </c>
      <c r="P876" s="865" t="s">
        <v>593</v>
      </c>
      <c r="Q876" s="865" t="s">
        <v>70</v>
      </c>
      <c r="R876" s="867">
        <v>17926.53215</v>
      </c>
      <c r="S876" s="867">
        <v>19475.80776</v>
      </c>
      <c r="T876" s="868">
        <v>16457.4087</v>
      </c>
      <c r="AN876" s="882"/>
      <c r="AO876" s="882"/>
      <c r="AP876" s="882"/>
      <c r="AY876" s="882"/>
      <c r="AZ876" s="882"/>
      <c r="BA876" s="882"/>
      <c r="BJ876" s="882"/>
      <c r="BK876" s="882"/>
      <c r="BL876" s="882"/>
      <c r="BU876" s="882"/>
      <c r="BV876" s="882"/>
      <c r="BW876" s="882"/>
      <c r="CF876" s="882"/>
      <c r="CG876" s="882"/>
      <c r="CH876" s="882"/>
      <c r="CI876" s="530"/>
    </row>
    <row r="877">
      <c r="A877" s="857"/>
      <c r="B877" s="865" t="s">
        <v>638</v>
      </c>
      <c r="C877" s="865" t="s">
        <v>591</v>
      </c>
      <c r="D877" s="865" t="s">
        <v>653</v>
      </c>
      <c r="E877" s="866">
        <v>2019.0</v>
      </c>
      <c r="F877" s="865" t="s">
        <v>593</v>
      </c>
      <c r="G877" s="865" t="s">
        <v>70</v>
      </c>
      <c r="H877" s="867">
        <v>17899.92618</v>
      </c>
      <c r="I877" s="867">
        <v>19282.36129</v>
      </c>
      <c r="J877" s="868">
        <v>16473.46751</v>
      </c>
      <c r="K877" s="50"/>
      <c r="L877" s="869" t="s">
        <v>638</v>
      </c>
      <c r="M877" s="865" t="s">
        <v>591</v>
      </c>
      <c r="N877" s="865" t="s">
        <v>653</v>
      </c>
      <c r="O877" s="866">
        <v>2004.0</v>
      </c>
      <c r="P877" s="865" t="s">
        <v>593</v>
      </c>
      <c r="Q877" s="865" t="s">
        <v>70</v>
      </c>
      <c r="R877" s="867">
        <v>13230.58531</v>
      </c>
      <c r="S877" s="867">
        <v>14374.02024</v>
      </c>
      <c r="T877" s="868">
        <v>12146.30626</v>
      </c>
      <c r="AN877" s="882"/>
      <c r="AO877" s="882"/>
      <c r="AP877" s="882"/>
      <c r="AY877" s="882"/>
      <c r="AZ877" s="882"/>
      <c r="BA877" s="882"/>
      <c r="BJ877" s="882"/>
      <c r="BK877" s="882"/>
      <c r="BL877" s="882"/>
      <c r="BU877" s="882"/>
      <c r="BV877" s="882"/>
      <c r="BW877" s="882"/>
      <c r="CF877" s="882"/>
      <c r="CG877" s="882"/>
      <c r="CH877" s="882"/>
      <c r="CI877" s="530"/>
    </row>
    <row r="878">
      <c r="A878" s="857"/>
      <c r="B878" s="865" t="s">
        <v>638</v>
      </c>
      <c r="C878" s="865" t="s">
        <v>591</v>
      </c>
      <c r="D878" s="865" t="s">
        <v>655</v>
      </c>
      <c r="E878" s="866">
        <v>2019.0</v>
      </c>
      <c r="F878" s="865" t="s">
        <v>593</v>
      </c>
      <c r="G878" s="865" t="s">
        <v>70</v>
      </c>
      <c r="H878" s="867">
        <v>30459.86059</v>
      </c>
      <c r="I878" s="867">
        <v>32813.20669</v>
      </c>
      <c r="J878" s="868">
        <v>28032.86949</v>
      </c>
      <c r="K878" s="50"/>
      <c r="L878" s="869" t="s">
        <v>638</v>
      </c>
      <c r="M878" s="865" t="s">
        <v>591</v>
      </c>
      <c r="N878" s="865" t="s">
        <v>655</v>
      </c>
      <c r="O878" s="866">
        <v>2004.0</v>
      </c>
      <c r="P878" s="865" t="s">
        <v>593</v>
      </c>
      <c r="Q878" s="865" t="s">
        <v>70</v>
      </c>
      <c r="R878" s="867">
        <v>21210.28278</v>
      </c>
      <c r="S878" s="867">
        <v>23044.60767</v>
      </c>
      <c r="T878" s="868">
        <v>19471.27553</v>
      </c>
      <c r="AN878" s="882"/>
      <c r="AO878" s="882"/>
      <c r="AP878" s="882"/>
      <c r="AY878" s="882"/>
      <c r="AZ878" s="882"/>
      <c r="BA878" s="882"/>
      <c r="BJ878" s="882"/>
      <c r="BK878" s="882"/>
      <c r="BL878" s="882"/>
      <c r="BU878" s="882"/>
      <c r="BV878" s="882"/>
      <c r="BW878" s="882"/>
      <c r="CF878" s="882"/>
      <c r="CG878" s="882"/>
      <c r="CH878" s="882"/>
      <c r="CI878" s="530"/>
    </row>
    <row r="879">
      <c r="A879" s="857"/>
      <c r="B879" s="865" t="s">
        <v>638</v>
      </c>
      <c r="C879" s="865" t="s">
        <v>591</v>
      </c>
      <c r="D879" s="865" t="s">
        <v>657</v>
      </c>
      <c r="E879" s="866">
        <v>2019.0</v>
      </c>
      <c r="F879" s="865" t="s">
        <v>593</v>
      </c>
      <c r="G879" s="865" t="s">
        <v>70</v>
      </c>
      <c r="H879" s="867">
        <v>12560.3892</v>
      </c>
      <c r="I879" s="867">
        <v>13530.44477</v>
      </c>
      <c r="J879" s="868">
        <v>11559.44228</v>
      </c>
      <c r="K879" s="50"/>
      <c r="L879" s="869" t="s">
        <v>638</v>
      </c>
      <c r="M879" s="865" t="s">
        <v>591</v>
      </c>
      <c r="N879" s="865" t="s">
        <v>657</v>
      </c>
      <c r="O879" s="866">
        <v>2004.0</v>
      </c>
      <c r="P879" s="865" t="s">
        <v>593</v>
      </c>
      <c r="Q879" s="865" t="s">
        <v>70</v>
      </c>
      <c r="R879" s="867">
        <v>7979.974938</v>
      </c>
      <c r="S879" s="867">
        <v>8669.633169</v>
      </c>
      <c r="T879" s="868">
        <v>7325.996339</v>
      </c>
      <c r="AN879" s="882"/>
      <c r="AO879" s="882"/>
      <c r="AP879" s="882"/>
      <c r="AY879" s="882"/>
      <c r="AZ879" s="882"/>
      <c r="BA879" s="882"/>
      <c r="BJ879" s="882"/>
      <c r="BK879" s="882"/>
      <c r="BL879" s="882"/>
      <c r="BU879" s="882"/>
      <c r="BV879" s="882"/>
      <c r="BW879" s="882"/>
      <c r="CF879" s="882"/>
      <c r="CG879" s="882"/>
      <c r="CH879" s="882"/>
      <c r="CI879" s="530"/>
    </row>
    <row r="880">
      <c r="A880" s="857"/>
      <c r="B880" s="865" t="s">
        <v>638</v>
      </c>
      <c r="C880" s="865" t="s">
        <v>591</v>
      </c>
      <c r="D880" s="865" t="s">
        <v>659</v>
      </c>
      <c r="E880" s="866">
        <v>2019.0</v>
      </c>
      <c r="F880" s="865" t="s">
        <v>593</v>
      </c>
      <c r="G880" s="865" t="s">
        <v>70</v>
      </c>
      <c r="H880" s="867">
        <v>25342.57502</v>
      </c>
      <c r="I880" s="867">
        <v>27299.81581</v>
      </c>
      <c r="J880" s="868">
        <v>23323.00604</v>
      </c>
      <c r="K880" s="50"/>
      <c r="L880" s="869" t="s">
        <v>638</v>
      </c>
      <c r="M880" s="865" t="s">
        <v>591</v>
      </c>
      <c r="N880" s="865" t="s">
        <v>659</v>
      </c>
      <c r="O880" s="866">
        <v>2004.0</v>
      </c>
      <c r="P880" s="865" t="s">
        <v>593</v>
      </c>
      <c r="Q880" s="865" t="s">
        <v>70</v>
      </c>
      <c r="R880" s="867">
        <v>16002.59679</v>
      </c>
      <c r="S880" s="867">
        <v>17385.59895</v>
      </c>
      <c r="T880" s="868">
        <v>14691.14457</v>
      </c>
      <c r="AN880" s="882"/>
      <c r="AO880" s="882"/>
      <c r="AP880" s="882"/>
      <c r="AY880" s="882"/>
      <c r="AZ880" s="882"/>
      <c r="BA880" s="882"/>
      <c r="BJ880" s="882"/>
      <c r="BK880" s="882"/>
      <c r="BL880" s="882"/>
      <c r="BU880" s="882"/>
      <c r="BV880" s="882"/>
      <c r="BW880" s="882"/>
      <c r="CF880" s="882"/>
      <c r="CG880" s="882"/>
      <c r="CH880" s="882"/>
      <c r="CI880" s="530"/>
    </row>
    <row r="881">
      <c r="A881" s="857"/>
      <c r="B881" s="865" t="s">
        <v>638</v>
      </c>
      <c r="C881" s="865" t="s">
        <v>591</v>
      </c>
      <c r="D881" s="865" t="s">
        <v>661</v>
      </c>
      <c r="E881" s="866">
        <v>2019.0</v>
      </c>
      <c r="F881" s="865" t="s">
        <v>593</v>
      </c>
      <c r="G881" s="865" t="s">
        <v>70</v>
      </c>
      <c r="H881" s="867">
        <v>12781.99498</v>
      </c>
      <c r="I881" s="867">
        <v>13769.53916</v>
      </c>
      <c r="J881" s="868">
        <v>11763.54685</v>
      </c>
      <c r="K881" s="50"/>
      <c r="L881" s="869" t="s">
        <v>638</v>
      </c>
      <c r="M881" s="865" t="s">
        <v>591</v>
      </c>
      <c r="N881" s="865" t="s">
        <v>661</v>
      </c>
      <c r="O881" s="866">
        <v>2004.0</v>
      </c>
      <c r="P881" s="865" t="s">
        <v>593</v>
      </c>
      <c r="Q881" s="865" t="s">
        <v>70</v>
      </c>
      <c r="R881" s="867">
        <v>8022.516904</v>
      </c>
      <c r="S881" s="867">
        <v>8716.326718</v>
      </c>
      <c r="T881" s="868">
        <v>7364.759755</v>
      </c>
      <c r="AN881" s="882"/>
      <c r="AO881" s="882"/>
      <c r="AP881" s="882"/>
      <c r="AY881" s="882"/>
      <c r="AZ881" s="882"/>
      <c r="BA881" s="882"/>
      <c r="BJ881" s="882"/>
      <c r="BK881" s="882"/>
      <c r="BL881" s="882"/>
      <c r="BU881" s="882"/>
      <c r="BV881" s="882"/>
      <c r="BW881" s="882"/>
      <c r="CF881" s="882"/>
      <c r="CG881" s="882"/>
      <c r="CH881" s="882"/>
      <c r="CI881" s="530"/>
    </row>
    <row r="882">
      <c r="A882" s="857"/>
      <c r="B882" s="865" t="s">
        <v>638</v>
      </c>
      <c r="C882" s="865" t="s">
        <v>591</v>
      </c>
      <c r="D882" s="865" t="s">
        <v>663</v>
      </c>
      <c r="E882" s="866">
        <v>2019.0</v>
      </c>
      <c r="F882" s="865" t="s">
        <v>593</v>
      </c>
      <c r="G882" s="865" t="s">
        <v>70</v>
      </c>
      <c r="H882" s="867">
        <v>7729.358293</v>
      </c>
      <c r="I882" s="867">
        <v>8326.306916</v>
      </c>
      <c r="J882" s="868">
        <v>7113.39988</v>
      </c>
      <c r="K882" s="50"/>
      <c r="L882" s="869" t="s">
        <v>638</v>
      </c>
      <c r="M882" s="865" t="s">
        <v>591</v>
      </c>
      <c r="N882" s="865" t="s">
        <v>663</v>
      </c>
      <c r="O882" s="866">
        <v>2004.0</v>
      </c>
      <c r="P882" s="865" t="s">
        <v>593</v>
      </c>
      <c r="Q882" s="865" t="s">
        <v>70</v>
      </c>
      <c r="R882" s="867">
        <v>4508.340785</v>
      </c>
      <c r="S882" s="867">
        <v>4897.967865</v>
      </c>
      <c r="T882" s="868">
        <v>4138.871155</v>
      </c>
      <c r="AN882" s="882"/>
      <c r="AO882" s="882"/>
      <c r="AP882" s="882"/>
      <c r="AY882" s="882"/>
      <c r="AZ882" s="882"/>
      <c r="BA882" s="882"/>
      <c r="BJ882" s="882"/>
      <c r="BK882" s="882"/>
      <c r="BL882" s="882"/>
      <c r="BU882" s="882"/>
      <c r="BV882" s="882"/>
      <c r="BW882" s="882"/>
      <c r="CF882" s="882"/>
      <c r="CG882" s="882"/>
      <c r="CH882" s="882"/>
      <c r="CI882" s="530"/>
    </row>
    <row r="883">
      <c r="A883" s="857"/>
      <c r="B883" s="865" t="s">
        <v>638</v>
      </c>
      <c r="C883" s="865" t="s">
        <v>591</v>
      </c>
      <c r="D883" s="865" t="s">
        <v>665</v>
      </c>
      <c r="E883" s="866">
        <v>2019.0</v>
      </c>
      <c r="F883" s="865" t="s">
        <v>593</v>
      </c>
      <c r="G883" s="865" t="s">
        <v>70</v>
      </c>
      <c r="H883" s="867">
        <v>11261.68893</v>
      </c>
      <c r="I883" s="867">
        <v>12131.77341</v>
      </c>
      <c r="J883" s="868">
        <v>10364.37626</v>
      </c>
      <c r="K883" s="50"/>
      <c r="L883" s="869" t="s">
        <v>638</v>
      </c>
      <c r="M883" s="865" t="s">
        <v>591</v>
      </c>
      <c r="N883" s="865" t="s">
        <v>665</v>
      </c>
      <c r="O883" s="866">
        <v>2004.0</v>
      </c>
      <c r="P883" s="865" t="s">
        <v>593</v>
      </c>
      <c r="Q883" s="865" t="s">
        <v>70</v>
      </c>
      <c r="R883" s="867">
        <v>6801.173445</v>
      </c>
      <c r="S883" s="867">
        <v>7389.358043</v>
      </c>
      <c r="T883" s="868">
        <v>6243.552874</v>
      </c>
      <c r="AN883" s="882"/>
      <c r="AO883" s="882"/>
      <c r="AP883" s="882"/>
      <c r="AY883" s="882"/>
      <c r="AZ883" s="882"/>
      <c r="BA883" s="882"/>
      <c r="BJ883" s="882"/>
      <c r="BK883" s="882"/>
      <c r="BL883" s="882"/>
      <c r="BU883" s="882"/>
      <c r="BV883" s="882"/>
      <c r="BW883" s="882"/>
      <c r="CF883" s="882"/>
      <c r="CG883" s="882"/>
      <c r="CH883" s="882"/>
      <c r="CI883" s="530"/>
    </row>
    <row r="884">
      <c r="A884" s="857"/>
      <c r="B884" s="865" t="s">
        <v>638</v>
      </c>
      <c r="C884" s="865" t="s">
        <v>591</v>
      </c>
      <c r="D884" s="865" t="s">
        <v>667</v>
      </c>
      <c r="E884" s="866">
        <v>2019.0</v>
      </c>
      <c r="F884" s="865" t="s">
        <v>593</v>
      </c>
      <c r="G884" s="865" t="s">
        <v>70</v>
      </c>
      <c r="H884" s="867">
        <v>5052.827529</v>
      </c>
      <c r="I884" s="867">
        <v>5443.064121</v>
      </c>
      <c r="J884" s="868">
        <v>4650.163878</v>
      </c>
      <c r="K884" s="50"/>
      <c r="L884" s="869" t="s">
        <v>638</v>
      </c>
      <c r="M884" s="865" t="s">
        <v>591</v>
      </c>
      <c r="N884" s="865" t="s">
        <v>667</v>
      </c>
      <c r="O884" s="866">
        <v>2004.0</v>
      </c>
      <c r="P884" s="865" t="s">
        <v>593</v>
      </c>
      <c r="Q884" s="865" t="s">
        <v>70</v>
      </c>
      <c r="R884" s="867">
        <v>3514.281067</v>
      </c>
      <c r="S884" s="867">
        <v>3817.997919</v>
      </c>
      <c r="T884" s="868">
        <v>3226.277079</v>
      </c>
      <c r="AN884" s="882"/>
      <c r="AO884" s="882"/>
      <c r="AP884" s="882"/>
      <c r="AY884" s="882"/>
      <c r="AZ884" s="882"/>
      <c r="BA884" s="882"/>
      <c r="BJ884" s="882"/>
      <c r="BK884" s="882"/>
      <c r="BL884" s="882"/>
      <c r="BU884" s="882"/>
      <c r="BV884" s="882"/>
      <c r="BW884" s="882"/>
      <c r="CF884" s="882"/>
      <c r="CG884" s="882"/>
      <c r="CH884" s="882"/>
      <c r="CI884" s="530"/>
    </row>
    <row r="885">
      <c r="A885" s="857"/>
      <c r="B885" s="865" t="s">
        <v>638</v>
      </c>
      <c r="C885" s="865" t="s">
        <v>591</v>
      </c>
      <c r="D885" s="865" t="s">
        <v>669</v>
      </c>
      <c r="E885" s="866">
        <v>2019.0</v>
      </c>
      <c r="F885" s="865" t="s">
        <v>593</v>
      </c>
      <c r="G885" s="865" t="s">
        <v>70</v>
      </c>
      <c r="H885" s="867">
        <v>3532.498787</v>
      </c>
      <c r="I885" s="867">
        <v>3805.318368</v>
      </c>
      <c r="J885" s="868">
        <v>3250.991285</v>
      </c>
      <c r="K885" s="50"/>
      <c r="L885" s="869" t="s">
        <v>638</v>
      </c>
      <c r="M885" s="865" t="s">
        <v>591</v>
      </c>
      <c r="N885" s="865" t="s">
        <v>669</v>
      </c>
      <c r="O885" s="866">
        <v>2004.0</v>
      </c>
      <c r="P885" s="865" t="s">
        <v>593</v>
      </c>
      <c r="Q885" s="865" t="s">
        <v>70</v>
      </c>
      <c r="R885" s="867">
        <v>2292.921631</v>
      </c>
      <c r="S885" s="867">
        <v>2491.084192</v>
      </c>
      <c r="T885" s="868">
        <v>2105.011056</v>
      </c>
      <c r="AN885" s="882"/>
      <c r="AO885" s="882"/>
      <c r="AP885" s="882"/>
      <c r="AY885" s="882"/>
      <c r="AZ885" s="882"/>
      <c r="BA885" s="882"/>
      <c r="BJ885" s="882"/>
      <c r="BK885" s="882"/>
      <c r="BL885" s="882"/>
      <c r="BU885" s="882"/>
      <c r="BV885" s="882"/>
      <c r="BW885" s="882"/>
      <c r="CF885" s="882"/>
      <c r="CG885" s="882"/>
      <c r="CH885" s="882"/>
      <c r="CI885" s="530"/>
    </row>
    <row r="886">
      <c r="A886" s="857"/>
      <c r="B886" s="865" t="s">
        <v>638</v>
      </c>
      <c r="C886" s="865" t="s">
        <v>591</v>
      </c>
      <c r="D886" s="865" t="s">
        <v>671</v>
      </c>
      <c r="E886" s="866">
        <v>2019.0</v>
      </c>
      <c r="F886" s="865" t="s">
        <v>593</v>
      </c>
      <c r="G886" s="865" t="s">
        <v>70</v>
      </c>
      <c r="H886" s="867">
        <v>1520.306042</v>
      </c>
      <c r="I886" s="867">
        <v>1637.765749</v>
      </c>
      <c r="J886" s="868">
        <v>1399.170582</v>
      </c>
      <c r="K886" s="50"/>
      <c r="L886" s="869" t="s">
        <v>638</v>
      </c>
      <c r="M886" s="865" t="s">
        <v>591</v>
      </c>
      <c r="N886" s="865" t="s">
        <v>671</v>
      </c>
      <c r="O886" s="866">
        <v>2004.0</v>
      </c>
      <c r="P886" s="865" t="s">
        <v>593</v>
      </c>
      <c r="Q886" s="865" t="s">
        <v>70</v>
      </c>
      <c r="R886" s="867">
        <v>1221.343459</v>
      </c>
      <c r="S886" s="867">
        <v>1326.968675</v>
      </c>
      <c r="T886" s="868">
        <v>1121.206881</v>
      </c>
      <c r="AN886" s="882"/>
      <c r="AO886" s="882"/>
      <c r="AP886" s="882"/>
      <c r="AY886" s="882"/>
      <c r="AZ886" s="882"/>
      <c r="BA886" s="882"/>
      <c r="BJ886" s="882"/>
      <c r="BK886" s="882"/>
      <c r="BL886" s="882"/>
      <c r="BU886" s="882"/>
      <c r="BV886" s="882"/>
      <c r="BW886" s="882"/>
      <c r="CF886" s="882"/>
      <c r="CG886" s="882"/>
      <c r="CH886" s="882"/>
      <c r="CI886" s="530"/>
    </row>
    <row r="887">
      <c r="A887" s="857"/>
      <c r="B887" s="865" t="s">
        <v>638</v>
      </c>
      <c r="C887" s="865" t="s">
        <v>591</v>
      </c>
      <c r="D887" s="865" t="s">
        <v>673</v>
      </c>
      <c r="E887" s="866">
        <v>2019.0</v>
      </c>
      <c r="F887" s="865" t="s">
        <v>593</v>
      </c>
      <c r="G887" s="865" t="s">
        <v>70</v>
      </c>
      <c r="H887" s="867">
        <v>1172.659143</v>
      </c>
      <c r="I887" s="867">
        <v>1263.225168</v>
      </c>
      <c r="J887" s="868">
        <v>1079.209048</v>
      </c>
      <c r="K887" s="50"/>
      <c r="L887" s="869" t="s">
        <v>638</v>
      </c>
      <c r="M887" s="865" t="s">
        <v>591</v>
      </c>
      <c r="N887" s="865" t="s">
        <v>673</v>
      </c>
      <c r="O887" s="866">
        <v>2004.0</v>
      </c>
      <c r="P887" s="865" t="s">
        <v>593</v>
      </c>
      <c r="Q887" s="865" t="s">
        <v>70</v>
      </c>
      <c r="R887" s="867">
        <v>919.2756833</v>
      </c>
      <c r="S887" s="867">
        <v>998.7228053</v>
      </c>
      <c r="T887" s="868">
        <v>843.9387771</v>
      </c>
      <c r="AN887" s="882"/>
      <c r="AO887" s="882"/>
      <c r="AP887" s="882"/>
      <c r="AY887" s="882"/>
      <c r="AZ887" s="882"/>
      <c r="BA887" s="882"/>
      <c r="BJ887" s="882"/>
      <c r="BK887" s="882"/>
      <c r="BL887" s="882"/>
      <c r="BU887" s="882"/>
      <c r="BV887" s="882"/>
      <c r="BW887" s="882"/>
      <c r="CF887" s="882"/>
      <c r="CG887" s="882"/>
      <c r="CH887" s="882"/>
      <c r="CI887" s="530"/>
    </row>
    <row r="888">
      <c r="A888" s="857"/>
      <c r="B888" s="865" t="s">
        <v>638</v>
      </c>
      <c r="C888" s="865" t="s">
        <v>591</v>
      </c>
      <c r="D888" s="865" t="s">
        <v>674</v>
      </c>
      <c r="E888" s="866">
        <v>2019.0</v>
      </c>
      <c r="F888" s="865" t="s">
        <v>593</v>
      </c>
      <c r="G888" s="865" t="s">
        <v>70</v>
      </c>
      <c r="H888" s="867">
        <v>292.6496206</v>
      </c>
      <c r="I888" s="867">
        <v>315.2513401</v>
      </c>
      <c r="J888" s="868">
        <v>269.3281508</v>
      </c>
      <c r="K888" s="50"/>
      <c r="L888" s="869" t="s">
        <v>638</v>
      </c>
      <c r="M888" s="865" t="s">
        <v>591</v>
      </c>
      <c r="N888" s="865" t="s">
        <v>674</v>
      </c>
      <c r="O888" s="866">
        <v>2004.0</v>
      </c>
      <c r="P888" s="865" t="s">
        <v>593</v>
      </c>
      <c r="Q888" s="865" t="s">
        <v>70</v>
      </c>
      <c r="R888" s="867">
        <v>248.5922525</v>
      </c>
      <c r="S888" s="867">
        <v>270.076492</v>
      </c>
      <c r="T888" s="868">
        <v>228.2195052</v>
      </c>
      <c r="AN888" s="882"/>
      <c r="AO888" s="882"/>
      <c r="AP888" s="882"/>
      <c r="AY888" s="882"/>
      <c r="AZ888" s="882"/>
      <c r="BA888" s="882"/>
      <c r="BJ888" s="882"/>
      <c r="BK888" s="882"/>
      <c r="BL888" s="882"/>
      <c r="BU888" s="882"/>
      <c r="BV888" s="882"/>
      <c r="BW888" s="882"/>
      <c r="CF888" s="882"/>
      <c r="CG888" s="882"/>
      <c r="CH888" s="882"/>
      <c r="CI888" s="530"/>
    </row>
    <row r="889">
      <c r="A889" s="857"/>
      <c r="B889" s="865" t="s">
        <v>638</v>
      </c>
      <c r="C889" s="865" t="s">
        <v>591</v>
      </c>
      <c r="D889" s="865" t="s">
        <v>676</v>
      </c>
      <c r="E889" s="866">
        <v>2019.0</v>
      </c>
      <c r="F889" s="865" t="s">
        <v>593</v>
      </c>
      <c r="G889" s="865" t="s">
        <v>70</v>
      </c>
      <c r="H889" s="867">
        <v>55.01997829</v>
      </c>
      <c r="I889" s="867">
        <v>59.26924441</v>
      </c>
      <c r="J889" s="868">
        <v>50.63539457</v>
      </c>
      <c r="K889" s="50"/>
      <c r="L889" s="869" t="s">
        <v>638</v>
      </c>
      <c r="M889" s="865" t="s">
        <v>591</v>
      </c>
      <c r="N889" s="865" t="s">
        <v>676</v>
      </c>
      <c r="O889" s="866">
        <v>2004.0</v>
      </c>
      <c r="P889" s="865" t="s">
        <v>593</v>
      </c>
      <c r="Q889" s="865" t="s">
        <v>70</v>
      </c>
      <c r="R889" s="867">
        <v>53.49150046</v>
      </c>
      <c r="S889" s="867">
        <v>58.11442896</v>
      </c>
      <c r="T889" s="868">
        <v>49.10774026</v>
      </c>
      <c r="AN889" s="882"/>
      <c r="AO889" s="882"/>
      <c r="AP889" s="882"/>
      <c r="AY889" s="882"/>
      <c r="AZ889" s="882"/>
      <c r="BA889" s="882"/>
      <c r="BJ889" s="882"/>
      <c r="BK889" s="882"/>
      <c r="BL889" s="882"/>
      <c r="BU889" s="882"/>
      <c r="BV889" s="882"/>
      <c r="BW889" s="882"/>
      <c r="CF889" s="882"/>
      <c r="CG889" s="882"/>
      <c r="CH889" s="882"/>
      <c r="CI889" s="530"/>
    </row>
    <row r="890">
      <c r="A890" s="857"/>
      <c r="B890" s="865" t="s">
        <v>638</v>
      </c>
      <c r="C890" s="865" t="s">
        <v>591</v>
      </c>
      <c r="D890" s="865" t="s">
        <v>678</v>
      </c>
      <c r="E890" s="866">
        <v>2019.0</v>
      </c>
      <c r="F890" s="865" t="s">
        <v>593</v>
      </c>
      <c r="G890" s="865" t="s">
        <v>70</v>
      </c>
      <c r="H890" s="867">
        <v>1142108.626</v>
      </c>
      <c r="I890" s="867">
        <v>1230315.195</v>
      </c>
      <c r="J890" s="868">
        <v>1051093.125</v>
      </c>
      <c r="K890" s="50"/>
      <c r="L890" s="869" t="s">
        <v>638</v>
      </c>
      <c r="M890" s="865" t="s">
        <v>591</v>
      </c>
      <c r="N890" s="865" t="s">
        <v>678</v>
      </c>
      <c r="O890" s="866">
        <v>2004.0</v>
      </c>
      <c r="P890" s="865" t="s">
        <v>593</v>
      </c>
      <c r="Q890" s="865" t="s">
        <v>70</v>
      </c>
      <c r="R890" s="867">
        <v>1048479.308</v>
      </c>
      <c r="S890" s="867">
        <v>1139092.674</v>
      </c>
      <c r="T890" s="868">
        <v>962553.847</v>
      </c>
      <c r="AN890" s="882"/>
      <c r="AO890" s="882"/>
      <c r="AP890" s="882"/>
      <c r="AY890" s="882"/>
      <c r="AZ890" s="882"/>
      <c r="BA890" s="882"/>
      <c r="BJ890" s="882"/>
      <c r="BK890" s="882"/>
      <c r="BL890" s="882"/>
      <c r="BU890" s="882"/>
      <c r="BV890" s="882"/>
      <c r="BW890" s="882"/>
      <c r="CF890" s="882"/>
      <c r="CG890" s="882"/>
      <c r="CH890" s="882"/>
      <c r="CI890" s="530"/>
    </row>
    <row r="891">
      <c r="A891" s="857"/>
      <c r="B891" s="865" t="s">
        <v>638</v>
      </c>
      <c r="C891" s="865" t="s">
        <v>591</v>
      </c>
      <c r="D891" s="865" t="s">
        <v>680</v>
      </c>
      <c r="E891" s="866">
        <v>2019.0</v>
      </c>
      <c r="F891" s="865" t="s">
        <v>593</v>
      </c>
      <c r="G891" s="865" t="s">
        <v>70</v>
      </c>
      <c r="H891" s="867">
        <v>29951.47345</v>
      </c>
      <c r="I891" s="867">
        <v>34108.99368</v>
      </c>
      <c r="J891" s="868">
        <v>26435.55194</v>
      </c>
      <c r="K891" s="50"/>
      <c r="L891" s="869" t="s">
        <v>638</v>
      </c>
      <c r="M891" s="865" t="s">
        <v>591</v>
      </c>
      <c r="N891" s="865" t="s">
        <v>680</v>
      </c>
      <c r="O891" s="866">
        <v>2004.0</v>
      </c>
      <c r="P891" s="865" t="s">
        <v>593</v>
      </c>
      <c r="Q891" s="865" t="s">
        <v>70</v>
      </c>
      <c r="R891" s="867">
        <v>35219.09583</v>
      </c>
      <c r="S891" s="867">
        <v>37202.58736</v>
      </c>
      <c r="T891" s="868">
        <v>33275.7951</v>
      </c>
      <c r="AN891" s="882"/>
      <c r="AO891" s="882"/>
      <c r="AP891" s="882"/>
      <c r="AY891" s="882"/>
      <c r="AZ891" s="882"/>
      <c r="BA891" s="882"/>
      <c r="BJ891" s="882"/>
      <c r="BK891" s="882"/>
      <c r="BL891" s="882"/>
      <c r="BU891" s="882"/>
      <c r="BV891" s="882"/>
      <c r="BW891" s="882"/>
      <c r="CF891" s="882"/>
      <c r="CG891" s="882"/>
      <c r="CH891" s="882"/>
      <c r="CI891" s="530"/>
    </row>
    <row r="892">
      <c r="A892" s="857"/>
      <c r="B892" s="865" t="s">
        <v>638</v>
      </c>
      <c r="C892" s="865" t="s">
        <v>591</v>
      </c>
      <c r="D892" s="865" t="s">
        <v>682</v>
      </c>
      <c r="E892" s="866">
        <v>2019.0</v>
      </c>
      <c r="F892" s="865" t="s">
        <v>593</v>
      </c>
      <c r="G892" s="865" t="s">
        <v>70</v>
      </c>
      <c r="H892" s="867">
        <v>558.4876156</v>
      </c>
      <c r="I892" s="867">
        <v>601.6203571</v>
      </c>
      <c r="J892" s="868">
        <v>513.9813147</v>
      </c>
      <c r="K892" s="50"/>
      <c r="L892" s="869" t="s">
        <v>638</v>
      </c>
      <c r="M892" s="865" t="s">
        <v>591</v>
      </c>
      <c r="N892" s="865" t="s">
        <v>682</v>
      </c>
      <c r="O892" s="866">
        <v>2004.0</v>
      </c>
      <c r="P892" s="865" t="s">
        <v>593</v>
      </c>
      <c r="Q892" s="865" t="s">
        <v>70</v>
      </c>
      <c r="R892" s="867">
        <v>646.4378701</v>
      </c>
      <c r="S892" s="867">
        <v>702.3053636</v>
      </c>
      <c r="T892" s="868">
        <v>593.4606946</v>
      </c>
      <c r="AN892" s="882"/>
      <c r="AO892" s="882"/>
      <c r="AP892" s="882"/>
      <c r="AY892" s="882"/>
      <c r="AZ892" s="882"/>
      <c r="BA892" s="882"/>
      <c r="BJ892" s="882"/>
      <c r="BK892" s="882"/>
      <c r="BL892" s="882"/>
      <c r="BU892" s="882"/>
      <c r="BV892" s="882"/>
      <c r="BW892" s="882"/>
      <c r="CF892" s="882"/>
      <c r="CG892" s="882"/>
      <c r="CH892" s="882"/>
      <c r="CI892" s="530"/>
    </row>
    <row r="893">
      <c r="A893" s="857"/>
      <c r="B893" s="865" t="s">
        <v>638</v>
      </c>
      <c r="C893" s="865" t="s">
        <v>591</v>
      </c>
      <c r="D893" s="865" t="s">
        <v>684</v>
      </c>
      <c r="E893" s="866">
        <v>2019.0</v>
      </c>
      <c r="F893" s="865" t="s">
        <v>593</v>
      </c>
      <c r="G893" s="865" t="s">
        <v>70</v>
      </c>
      <c r="H893" s="867">
        <v>1661.35346</v>
      </c>
      <c r="I893" s="867">
        <v>1789.661997</v>
      </c>
      <c r="J893" s="868">
        <v>1528.958945</v>
      </c>
      <c r="K893" s="50"/>
      <c r="L893" s="869" t="s">
        <v>638</v>
      </c>
      <c r="M893" s="865" t="s">
        <v>591</v>
      </c>
      <c r="N893" s="865" t="s">
        <v>684</v>
      </c>
      <c r="O893" s="866">
        <v>2004.0</v>
      </c>
      <c r="P893" s="865" t="s">
        <v>593</v>
      </c>
      <c r="Q893" s="865" t="s">
        <v>70</v>
      </c>
      <c r="R893" s="867">
        <v>1919.972907</v>
      </c>
      <c r="S893" s="867">
        <v>2085.903894</v>
      </c>
      <c r="T893" s="868">
        <v>1762.626399</v>
      </c>
      <c r="AN893" s="882"/>
      <c r="AO893" s="882"/>
      <c r="AP893" s="882"/>
      <c r="AY893" s="882"/>
      <c r="AZ893" s="882"/>
      <c r="BA893" s="882"/>
      <c r="BJ893" s="882"/>
      <c r="BK893" s="882"/>
      <c r="BL893" s="882"/>
      <c r="BU893" s="882"/>
      <c r="BV893" s="882"/>
      <c r="BW893" s="882"/>
      <c r="CF893" s="882"/>
      <c r="CG893" s="882"/>
      <c r="CH893" s="882"/>
      <c r="CI893" s="530"/>
    </row>
    <row r="894">
      <c r="A894" s="857"/>
      <c r="B894" s="865" t="s">
        <v>638</v>
      </c>
      <c r="C894" s="865" t="s">
        <v>591</v>
      </c>
      <c r="D894" s="865" t="s">
        <v>686</v>
      </c>
      <c r="E894" s="866">
        <v>2019.0</v>
      </c>
      <c r="F894" s="865" t="s">
        <v>593</v>
      </c>
      <c r="G894" s="865" t="s">
        <v>70</v>
      </c>
      <c r="H894" s="867">
        <v>2219.841075</v>
      </c>
      <c r="I894" s="867">
        <v>2391.282355</v>
      </c>
      <c r="J894" s="868">
        <v>2042.94026</v>
      </c>
      <c r="K894" s="50"/>
      <c r="L894" s="869" t="s">
        <v>638</v>
      </c>
      <c r="M894" s="865" t="s">
        <v>591</v>
      </c>
      <c r="N894" s="865" t="s">
        <v>686</v>
      </c>
      <c r="O894" s="866">
        <v>2004.0</v>
      </c>
      <c r="P894" s="865" t="s">
        <v>593</v>
      </c>
      <c r="Q894" s="865" t="s">
        <v>70</v>
      </c>
      <c r="R894" s="867">
        <v>2566.410777</v>
      </c>
      <c r="S894" s="867">
        <v>2788.209258</v>
      </c>
      <c r="T894" s="868">
        <v>2356.087094</v>
      </c>
      <c r="AN894" s="882"/>
      <c r="AO894" s="882"/>
      <c r="AP894" s="882"/>
      <c r="AY894" s="882"/>
      <c r="AZ894" s="882"/>
      <c r="BA894" s="882"/>
      <c r="BJ894" s="882"/>
      <c r="BK894" s="882"/>
      <c r="BL894" s="882"/>
      <c r="BU894" s="882"/>
      <c r="BV894" s="882"/>
      <c r="BW894" s="882"/>
      <c r="CF894" s="882"/>
      <c r="CG894" s="882"/>
      <c r="CH894" s="882"/>
      <c r="CI894" s="530"/>
    </row>
    <row r="895">
      <c r="A895" s="857"/>
      <c r="B895" s="865" t="s">
        <v>638</v>
      </c>
      <c r="C895" s="865" t="s">
        <v>591</v>
      </c>
      <c r="D895" s="865" t="s">
        <v>688</v>
      </c>
      <c r="E895" s="866">
        <v>2019.0</v>
      </c>
      <c r="F895" s="865" t="s">
        <v>593</v>
      </c>
      <c r="G895" s="865" t="s">
        <v>70</v>
      </c>
      <c r="H895" s="867">
        <v>26350.24212</v>
      </c>
      <c r="I895" s="867">
        <v>28385.30637</v>
      </c>
      <c r="J895" s="868">
        <v>24250.37138</v>
      </c>
      <c r="K895" s="50"/>
      <c r="L895" s="869" t="s">
        <v>638</v>
      </c>
      <c r="M895" s="865" t="s">
        <v>591</v>
      </c>
      <c r="N895" s="865" t="s">
        <v>688</v>
      </c>
      <c r="O895" s="866">
        <v>2004.0</v>
      </c>
      <c r="P895" s="865" t="s">
        <v>593</v>
      </c>
      <c r="Q895" s="865" t="s">
        <v>70</v>
      </c>
      <c r="R895" s="867">
        <v>29934.50599</v>
      </c>
      <c r="S895" s="867">
        <v>32521.55402</v>
      </c>
      <c r="T895" s="868">
        <v>27481.2995</v>
      </c>
      <c r="AN895" s="882"/>
      <c r="AO895" s="882"/>
      <c r="AP895" s="882"/>
      <c r="AY895" s="882"/>
      <c r="AZ895" s="882"/>
      <c r="BA895" s="882"/>
      <c r="BJ895" s="882"/>
      <c r="BK895" s="882"/>
      <c r="BL895" s="882"/>
      <c r="BU895" s="882"/>
      <c r="BV895" s="882"/>
      <c r="BW895" s="882"/>
      <c r="CF895" s="882"/>
      <c r="CG895" s="882"/>
      <c r="CH895" s="882"/>
      <c r="CI895" s="530"/>
    </row>
    <row r="896">
      <c r="A896" s="857"/>
      <c r="B896" s="865" t="s">
        <v>638</v>
      </c>
      <c r="C896" s="865" t="s">
        <v>591</v>
      </c>
      <c r="D896" s="865" t="s">
        <v>689</v>
      </c>
      <c r="E896" s="866">
        <v>2019.0</v>
      </c>
      <c r="F896" s="865" t="s">
        <v>593</v>
      </c>
      <c r="G896" s="865" t="s">
        <v>70</v>
      </c>
      <c r="H896" s="867">
        <v>140592.172</v>
      </c>
      <c r="I896" s="867">
        <v>151450.2924</v>
      </c>
      <c r="J896" s="868">
        <v>129388.2754</v>
      </c>
      <c r="K896" s="50"/>
      <c r="L896" s="869" t="s">
        <v>638</v>
      </c>
      <c r="M896" s="865" t="s">
        <v>591</v>
      </c>
      <c r="N896" s="865" t="s">
        <v>689</v>
      </c>
      <c r="O896" s="866">
        <v>2004.0</v>
      </c>
      <c r="P896" s="865" t="s">
        <v>593</v>
      </c>
      <c r="Q896" s="865" t="s">
        <v>70</v>
      </c>
      <c r="R896" s="867">
        <v>153283.2451</v>
      </c>
      <c r="S896" s="867">
        <v>166530.5363</v>
      </c>
      <c r="T896" s="868">
        <v>140721.3057</v>
      </c>
      <c r="AN896" s="882"/>
      <c r="AO896" s="882"/>
      <c r="AP896" s="882"/>
      <c r="AY896" s="882"/>
      <c r="AZ896" s="882"/>
      <c r="BA896" s="882"/>
      <c r="BJ896" s="882"/>
      <c r="BK896" s="882"/>
      <c r="BL896" s="882"/>
      <c r="BU896" s="882"/>
      <c r="BV896" s="882"/>
      <c r="BW896" s="882"/>
      <c r="CF896" s="882"/>
      <c r="CG896" s="882"/>
      <c r="CH896" s="882"/>
      <c r="CI896" s="530"/>
    </row>
    <row r="897">
      <c r="A897" s="857"/>
      <c r="B897" s="865" t="s">
        <v>640</v>
      </c>
      <c r="C897" s="865" t="s">
        <v>591</v>
      </c>
      <c r="D897" s="865" t="s">
        <v>592</v>
      </c>
      <c r="E897" s="866">
        <v>2019.0</v>
      </c>
      <c r="F897" s="865" t="s">
        <v>593</v>
      </c>
      <c r="G897" s="865" t="s">
        <v>70</v>
      </c>
      <c r="H897" s="867">
        <v>3500058.49</v>
      </c>
      <c r="I897" s="867">
        <v>3994043.927</v>
      </c>
      <c r="J897" s="868">
        <v>2993650.875</v>
      </c>
      <c r="K897" s="50"/>
      <c r="L897" s="869" t="s">
        <v>640</v>
      </c>
      <c r="M897" s="865" t="s">
        <v>591</v>
      </c>
      <c r="N897" s="865" t="s">
        <v>592</v>
      </c>
      <c r="O897" s="866">
        <v>2004.0</v>
      </c>
      <c r="P897" s="865" t="s">
        <v>593</v>
      </c>
      <c r="Q897" s="865" t="s">
        <v>70</v>
      </c>
      <c r="R897" s="867">
        <v>2914654.749</v>
      </c>
      <c r="S897" s="867">
        <v>3165473.711</v>
      </c>
      <c r="T897" s="868">
        <v>2638098.119</v>
      </c>
      <c r="AN897" s="882"/>
      <c r="AO897" s="882"/>
      <c r="AP897" s="882"/>
      <c r="AY897" s="882"/>
      <c r="AZ897" s="882"/>
      <c r="BA897" s="882"/>
      <c r="BJ897" s="882"/>
      <c r="BK897" s="882"/>
      <c r="BL897" s="882"/>
      <c r="BU897" s="882"/>
      <c r="BV897" s="882"/>
      <c r="BW897" s="882"/>
      <c r="CF897" s="882"/>
      <c r="CG897" s="882"/>
      <c r="CH897" s="882"/>
      <c r="CI897" s="530"/>
    </row>
    <row r="898">
      <c r="A898" s="857"/>
      <c r="B898" s="865" t="s">
        <v>640</v>
      </c>
      <c r="C898" s="865" t="s">
        <v>591</v>
      </c>
      <c r="D898" s="865" t="s">
        <v>601</v>
      </c>
      <c r="E898" s="866">
        <v>2019.0</v>
      </c>
      <c r="F898" s="865" t="s">
        <v>593</v>
      </c>
      <c r="G898" s="865" t="s">
        <v>70</v>
      </c>
      <c r="H898" s="867">
        <v>5.862041702E7</v>
      </c>
      <c r="I898" s="867">
        <v>6.689388799E7</v>
      </c>
      <c r="J898" s="868">
        <v>5.01388943E7</v>
      </c>
      <c r="K898" s="50"/>
      <c r="L898" s="869" t="s">
        <v>640</v>
      </c>
      <c r="M898" s="865" t="s">
        <v>591</v>
      </c>
      <c r="N898" s="865" t="s">
        <v>601</v>
      </c>
      <c r="O898" s="866">
        <v>2004.0</v>
      </c>
      <c r="P898" s="865" t="s">
        <v>593</v>
      </c>
      <c r="Q898" s="865" t="s">
        <v>70</v>
      </c>
      <c r="R898" s="867">
        <v>4.374154627E7</v>
      </c>
      <c r="S898" s="867">
        <v>4.750570022E7</v>
      </c>
      <c r="T898" s="868">
        <v>3.959113543E7</v>
      </c>
      <c r="AN898" s="882"/>
      <c r="AO898" s="882"/>
      <c r="AP898" s="882"/>
      <c r="AY898" s="882"/>
      <c r="AZ898" s="882"/>
      <c r="BA898" s="882"/>
      <c r="BJ898" s="882"/>
      <c r="BK898" s="882"/>
      <c r="BL898" s="882"/>
      <c r="BU898" s="882"/>
      <c r="BV898" s="882"/>
      <c r="BW898" s="882"/>
      <c r="CF898" s="882"/>
      <c r="CG898" s="882"/>
      <c r="CH898" s="882"/>
      <c r="CI898" s="530"/>
    </row>
    <row r="899">
      <c r="A899" s="857"/>
      <c r="B899" s="865" t="s">
        <v>640</v>
      </c>
      <c r="C899" s="865" t="s">
        <v>591</v>
      </c>
      <c r="D899" s="865" t="s">
        <v>606</v>
      </c>
      <c r="E899" s="866">
        <v>2019.0</v>
      </c>
      <c r="F899" s="865" t="s">
        <v>593</v>
      </c>
      <c r="G899" s="865" t="s">
        <v>70</v>
      </c>
      <c r="H899" s="867">
        <v>4.60669655E7</v>
      </c>
      <c r="I899" s="867">
        <v>5.256868829E7</v>
      </c>
      <c r="J899" s="868">
        <v>3.940174484E7</v>
      </c>
      <c r="K899" s="50"/>
      <c r="L899" s="869" t="s">
        <v>640</v>
      </c>
      <c r="M899" s="865" t="s">
        <v>591</v>
      </c>
      <c r="N899" s="865" t="s">
        <v>606</v>
      </c>
      <c r="O899" s="866">
        <v>2004.0</v>
      </c>
      <c r="P899" s="865" t="s">
        <v>593</v>
      </c>
      <c r="Q899" s="865" t="s">
        <v>70</v>
      </c>
      <c r="R899" s="867">
        <v>3.516966788E7</v>
      </c>
      <c r="S899" s="867">
        <v>3.81961737E7</v>
      </c>
      <c r="T899" s="868">
        <v>3.18325986E7</v>
      </c>
      <c r="AN899" s="882"/>
      <c r="AO899" s="882"/>
      <c r="AP899" s="882"/>
      <c r="AY899" s="882"/>
      <c r="AZ899" s="882"/>
      <c r="BA899" s="882"/>
      <c r="BJ899" s="882"/>
      <c r="BK899" s="882"/>
      <c r="BL899" s="882"/>
      <c r="BU899" s="882"/>
      <c r="BV899" s="882"/>
      <c r="BW899" s="882"/>
      <c r="CF899" s="882"/>
      <c r="CG899" s="882"/>
      <c r="CH899" s="882"/>
      <c r="CI899" s="530"/>
    </row>
    <row r="900">
      <c r="A900" s="857"/>
      <c r="B900" s="865" t="s">
        <v>640</v>
      </c>
      <c r="C900" s="865" t="s">
        <v>591</v>
      </c>
      <c r="D900" s="865" t="s">
        <v>608</v>
      </c>
      <c r="E900" s="866">
        <v>2019.0</v>
      </c>
      <c r="F900" s="865" t="s">
        <v>593</v>
      </c>
      <c r="G900" s="865" t="s">
        <v>70</v>
      </c>
      <c r="H900" s="867">
        <v>1.317961141E7</v>
      </c>
      <c r="I900" s="867">
        <v>1.50397335E7</v>
      </c>
      <c r="J900" s="868">
        <v>1.127271311E7</v>
      </c>
      <c r="K900" s="50"/>
      <c r="L900" s="869" t="s">
        <v>640</v>
      </c>
      <c r="M900" s="865" t="s">
        <v>591</v>
      </c>
      <c r="N900" s="865" t="s">
        <v>608</v>
      </c>
      <c r="O900" s="866">
        <v>2004.0</v>
      </c>
      <c r="P900" s="865" t="s">
        <v>593</v>
      </c>
      <c r="Q900" s="865" t="s">
        <v>70</v>
      </c>
      <c r="R900" s="867">
        <v>1.045858E7</v>
      </c>
      <c r="S900" s="867">
        <v>1.135858717E7</v>
      </c>
      <c r="T900" s="868">
        <v>9466219.023</v>
      </c>
      <c r="AN900" s="882"/>
      <c r="AO900" s="882"/>
      <c r="AP900" s="882"/>
      <c r="AY900" s="882"/>
      <c r="AZ900" s="882"/>
      <c r="BA900" s="882"/>
      <c r="BJ900" s="882"/>
      <c r="BK900" s="882"/>
      <c r="BL900" s="882"/>
      <c r="BU900" s="882"/>
      <c r="BV900" s="882"/>
      <c r="BW900" s="882"/>
      <c r="CF900" s="882"/>
      <c r="CG900" s="882"/>
      <c r="CH900" s="882"/>
      <c r="CI900" s="530"/>
    </row>
    <row r="901">
      <c r="A901" s="857"/>
      <c r="B901" s="865" t="s">
        <v>640</v>
      </c>
      <c r="C901" s="865" t="s">
        <v>591</v>
      </c>
      <c r="D901" s="865" t="s">
        <v>610</v>
      </c>
      <c r="E901" s="866">
        <v>2019.0</v>
      </c>
      <c r="F901" s="865" t="s">
        <v>593</v>
      </c>
      <c r="G901" s="865" t="s">
        <v>70</v>
      </c>
      <c r="H901" s="867">
        <v>1.411860374E7</v>
      </c>
      <c r="I901" s="867">
        <v>1.611125177E7</v>
      </c>
      <c r="J901" s="868">
        <v>1.207584689E7</v>
      </c>
      <c r="K901" s="50"/>
      <c r="L901" s="869" t="s">
        <v>640</v>
      </c>
      <c r="M901" s="865" t="s">
        <v>591</v>
      </c>
      <c r="N901" s="865" t="s">
        <v>610</v>
      </c>
      <c r="O901" s="866">
        <v>2004.0</v>
      </c>
      <c r="P901" s="865" t="s">
        <v>593</v>
      </c>
      <c r="Q901" s="865" t="s">
        <v>70</v>
      </c>
      <c r="R901" s="867">
        <v>1.025788487E7</v>
      </c>
      <c r="S901" s="867">
        <v>1.114062133E7</v>
      </c>
      <c r="T901" s="868">
        <v>9284566.821</v>
      </c>
      <c r="AN901" s="882"/>
      <c r="AO901" s="882"/>
      <c r="AP901" s="882"/>
      <c r="AY901" s="882"/>
      <c r="AZ901" s="882"/>
      <c r="BA901" s="882"/>
      <c r="BJ901" s="882"/>
      <c r="BK901" s="882"/>
      <c r="BL901" s="882"/>
      <c r="BU901" s="882"/>
      <c r="BV901" s="882"/>
      <c r="BW901" s="882"/>
      <c r="CF901" s="882"/>
      <c r="CG901" s="882"/>
      <c r="CH901" s="882"/>
      <c r="CI901" s="530"/>
    </row>
    <row r="902">
      <c r="A902" s="857"/>
      <c r="B902" s="865" t="s">
        <v>640</v>
      </c>
      <c r="C902" s="865" t="s">
        <v>591</v>
      </c>
      <c r="D902" s="865" t="s">
        <v>612</v>
      </c>
      <c r="E902" s="866">
        <v>2019.0</v>
      </c>
      <c r="F902" s="865" t="s">
        <v>593</v>
      </c>
      <c r="G902" s="865" t="s">
        <v>70</v>
      </c>
      <c r="H902" s="867">
        <v>2.667205527E7</v>
      </c>
      <c r="I902" s="867">
        <v>3.043645146E7</v>
      </c>
      <c r="J902" s="868">
        <v>2.281299635E7</v>
      </c>
      <c r="K902" s="50"/>
      <c r="L902" s="869" t="s">
        <v>640</v>
      </c>
      <c r="M902" s="865" t="s">
        <v>591</v>
      </c>
      <c r="N902" s="865" t="s">
        <v>612</v>
      </c>
      <c r="O902" s="866">
        <v>2004.0</v>
      </c>
      <c r="P902" s="865" t="s">
        <v>593</v>
      </c>
      <c r="Q902" s="865" t="s">
        <v>70</v>
      </c>
      <c r="R902" s="867">
        <v>1.882976326E7</v>
      </c>
      <c r="S902" s="867">
        <v>2.045014785E7</v>
      </c>
      <c r="T902" s="868">
        <v>1.704310366E7</v>
      </c>
      <c r="AN902" s="882"/>
      <c r="AO902" s="882"/>
      <c r="AP902" s="882"/>
      <c r="AY902" s="882"/>
      <c r="AZ902" s="882"/>
      <c r="BA902" s="882"/>
      <c r="BJ902" s="882"/>
      <c r="BK902" s="882"/>
      <c r="BL902" s="882"/>
      <c r="BU902" s="882"/>
      <c r="BV902" s="882"/>
      <c r="BW902" s="882"/>
      <c r="CF902" s="882"/>
      <c r="CG902" s="882"/>
      <c r="CH902" s="882"/>
      <c r="CI902" s="530"/>
    </row>
    <row r="903">
      <c r="A903" s="857"/>
      <c r="B903" s="865" t="s">
        <v>640</v>
      </c>
      <c r="C903" s="865" t="s">
        <v>591</v>
      </c>
      <c r="D903" s="865" t="s">
        <v>614</v>
      </c>
      <c r="E903" s="866">
        <v>2019.0</v>
      </c>
      <c r="F903" s="865" t="s">
        <v>593</v>
      </c>
      <c r="G903" s="865" t="s">
        <v>70</v>
      </c>
      <c r="H903" s="867">
        <v>3.728868157E7</v>
      </c>
      <c r="I903" s="867">
        <v>4.255146952E7</v>
      </c>
      <c r="J903" s="868">
        <v>3.189355106E7</v>
      </c>
      <c r="K903" s="50"/>
      <c r="L903" s="869" t="s">
        <v>640</v>
      </c>
      <c r="M903" s="865" t="s">
        <v>591</v>
      </c>
      <c r="N903" s="865" t="s">
        <v>614</v>
      </c>
      <c r="O903" s="866">
        <v>2004.0</v>
      </c>
      <c r="P903" s="865" t="s">
        <v>593</v>
      </c>
      <c r="Q903" s="865" t="s">
        <v>70</v>
      </c>
      <c r="R903" s="867">
        <v>2.576016668E7</v>
      </c>
      <c r="S903" s="867">
        <v>2.797694321E7</v>
      </c>
      <c r="T903" s="868">
        <v>2.331591667E7</v>
      </c>
      <c r="AN903" s="882"/>
      <c r="AO903" s="882"/>
      <c r="AP903" s="882"/>
      <c r="AY903" s="882"/>
      <c r="AZ903" s="882"/>
      <c r="BA903" s="882"/>
      <c r="BJ903" s="882"/>
      <c r="BK903" s="882"/>
      <c r="BL903" s="882"/>
      <c r="BU903" s="882"/>
      <c r="BV903" s="882"/>
      <c r="BW903" s="882"/>
      <c r="CF903" s="882"/>
      <c r="CG903" s="882"/>
      <c r="CH903" s="882"/>
      <c r="CI903" s="530"/>
    </row>
    <row r="904">
      <c r="A904" s="857"/>
      <c r="B904" s="865" t="s">
        <v>640</v>
      </c>
      <c r="C904" s="865" t="s">
        <v>591</v>
      </c>
      <c r="D904" s="865" t="s">
        <v>616</v>
      </c>
      <c r="E904" s="866">
        <v>2019.0</v>
      </c>
      <c r="F904" s="865" t="s">
        <v>593</v>
      </c>
      <c r="G904" s="865" t="s">
        <v>70</v>
      </c>
      <c r="H904" s="867">
        <v>1.255345152E7</v>
      </c>
      <c r="I904" s="867">
        <v>1.43251997E7</v>
      </c>
      <c r="J904" s="868">
        <v>1.073714946E7</v>
      </c>
      <c r="K904" s="50"/>
      <c r="L904" s="869" t="s">
        <v>640</v>
      </c>
      <c r="M904" s="865" t="s">
        <v>591</v>
      </c>
      <c r="N904" s="865" t="s">
        <v>616</v>
      </c>
      <c r="O904" s="866">
        <v>2004.0</v>
      </c>
      <c r="P904" s="865" t="s">
        <v>593</v>
      </c>
      <c r="Q904" s="865" t="s">
        <v>70</v>
      </c>
      <c r="R904" s="867">
        <v>8571878.384</v>
      </c>
      <c r="S904" s="867">
        <v>9309526.516</v>
      </c>
      <c r="T904" s="868">
        <v>7758536.837</v>
      </c>
      <c r="AN904" s="882"/>
      <c r="AO904" s="882"/>
      <c r="AP904" s="882"/>
      <c r="AY904" s="882"/>
      <c r="AZ904" s="882"/>
      <c r="BA904" s="882"/>
      <c r="BJ904" s="882"/>
      <c r="BK904" s="882"/>
      <c r="BL904" s="882"/>
      <c r="BU904" s="882"/>
      <c r="BV904" s="882"/>
      <c r="BW904" s="882"/>
      <c r="CF904" s="882"/>
      <c r="CG904" s="882"/>
      <c r="CH904" s="882"/>
      <c r="CI904" s="530"/>
    </row>
    <row r="905">
      <c r="A905" s="857"/>
      <c r="B905" s="865" t="s">
        <v>640</v>
      </c>
      <c r="C905" s="865" t="s">
        <v>591</v>
      </c>
      <c r="D905" s="865" t="s">
        <v>618</v>
      </c>
      <c r="E905" s="866">
        <v>2019.0</v>
      </c>
      <c r="F905" s="865" t="s">
        <v>593</v>
      </c>
      <c r="G905" s="865" t="s">
        <v>70</v>
      </c>
      <c r="H905" s="867">
        <v>4.438506708E7</v>
      </c>
      <c r="I905" s="867">
        <v>5.065185399E7</v>
      </c>
      <c r="J905" s="868">
        <v>3.796422177E7</v>
      </c>
      <c r="K905" s="50"/>
      <c r="L905" s="869" t="s">
        <v>640</v>
      </c>
      <c r="M905" s="865" t="s">
        <v>591</v>
      </c>
      <c r="N905" s="865" t="s">
        <v>618</v>
      </c>
      <c r="O905" s="866">
        <v>2004.0</v>
      </c>
      <c r="P905" s="865" t="s">
        <v>593</v>
      </c>
      <c r="Q905" s="865" t="s">
        <v>70</v>
      </c>
      <c r="R905" s="867">
        <v>2.834930626E7</v>
      </c>
      <c r="S905" s="867">
        <v>3.079010134E7</v>
      </c>
      <c r="T905" s="868">
        <v>2.565871231E7</v>
      </c>
      <c r="AN905" s="882"/>
      <c r="AO905" s="882"/>
      <c r="AP905" s="882"/>
      <c r="AY905" s="882"/>
      <c r="AZ905" s="882"/>
      <c r="BA905" s="882"/>
      <c r="BJ905" s="882"/>
      <c r="BK905" s="882"/>
      <c r="BL905" s="882"/>
      <c r="BU905" s="882"/>
      <c r="BV905" s="882"/>
      <c r="BW905" s="882"/>
      <c r="CF905" s="882"/>
      <c r="CG905" s="882"/>
      <c r="CH905" s="882"/>
      <c r="CI905" s="530"/>
    </row>
    <row r="906">
      <c r="A906" s="857"/>
      <c r="B906" s="865" t="s">
        <v>640</v>
      </c>
      <c r="C906" s="865" t="s">
        <v>591</v>
      </c>
      <c r="D906" s="865" t="s">
        <v>620</v>
      </c>
      <c r="E906" s="866">
        <v>2019.0</v>
      </c>
      <c r="F906" s="865" t="s">
        <v>593</v>
      </c>
      <c r="G906" s="865" t="s">
        <v>70</v>
      </c>
      <c r="H906" s="867">
        <v>5.250246256E7</v>
      </c>
      <c r="I906" s="867">
        <v>5.991246785E7</v>
      </c>
      <c r="J906" s="868">
        <v>4.490611897E7</v>
      </c>
      <c r="K906" s="50"/>
      <c r="L906" s="869" t="s">
        <v>640</v>
      </c>
      <c r="M906" s="865" t="s">
        <v>591</v>
      </c>
      <c r="N906" s="865" t="s">
        <v>620</v>
      </c>
      <c r="O906" s="866">
        <v>2004.0</v>
      </c>
      <c r="P906" s="865" t="s">
        <v>593</v>
      </c>
      <c r="Q906" s="865" t="s">
        <v>70</v>
      </c>
      <c r="R906" s="867">
        <v>3.332643401E7</v>
      </c>
      <c r="S906" s="867">
        <v>3.619432138E7</v>
      </c>
      <c r="T906" s="868">
        <v>3.016425972E7</v>
      </c>
      <c r="AN906" s="882"/>
      <c r="AO906" s="882"/>
      <c r="AP906" s="882"/>
      <c r="AY906" s="882"/>
      <c r="AZ906" s="882"/>
      <c r="BA906" s="882"/>
      <c r="BJ906" s="882"/>
      <c r="BK906" s="882"/>
      <c r="BL906" s="882"/>
      <c r="BU906" s="882"/>
      <c r="BV906" s="882"/>
      <c r="BW906" s="882"/>
      <c r="CF906" s="882"/>
      <c r="CG906" s="882"/>
      <c r="CH906" s="882"/>
      <c r="CI906" s="530"/>
    </row>
    <row r="907">
      <c r="A907" s="857"/>
      <c r="B907" s="865" t="s">
        <v>640</v>
      </c>
      <c r="C907" s="865" t="s">
        <v>591</v>
      </c>
      <c r="D907" s="865" t="s">
        <v>622</v>
      </c>
      <c r="E907" s="866">
        <v>2019.0</v>
      </c>
      <c r="F907" s="865" t="s">
        <v>593</v>
      </c>
      <c r="G907" s="865" t="s">
        <v>70</v>
      </c>
      <c r="H907" s="867">
        <v>4.896886055E7</v>
      </c>
      <c r="I907" s="867">
        <v>5.588283939E7</v>
      </c>
      <c r="J907" s="868">
        <v>4.18849132E7</v>
      </c>
      <c r="K907" s="50"/>
      <c r="L907" s="869" t="s">
        <v>640</v>
      </c>
      <c r="M907" s="865" t="s">
        <v>591</v>
      </c>
      <c r="N907" s="865" t="s">
        <v>622</v>
      </c>
      <c r="O907" s="866">
        <v>2004.0</v>
      </c>
      <c r="P907" s="865" t="s">
        <v>593</v>
      </c>
      <c r="Q907" s="865" t="s">
        <v>70</v>
      </c>
      <c r="R907" s="867">
        <v>3.068819841E7</v>
      </c>
      <c r="S907" s="867">
        <v>3.333036549E7</v>
      </c>
      <c r="T907" s="868">
        <v>2.77756234E7</v>
      </c>
      <c r="AN907" s="882"/>
      <c r="AO907" s="882"/>
      <c r="AP907" s="882"/>
      <c r="AY907" s="882"/>
      <c r="AZ907" s="882"/>
      <c r="BA907" s="882"/>
      <c r="BJ907" s="882"/>
      <c r="BK907" s="882"/>
      <c r="BL907" s="882"/>
      <c r="BU907" s="882"/>
      <c r="BV907" s="882"/>
      <c r="BW907" s="882"/>
      <c r="CF907" s="882"/>
      <c r="CG907" s="882"/>
      <c r="CH907" s="882"/>
      <c r="CI907" s="530"/>
    </row>
    <row r="908">
      <c r="A908" s="857"/>
      <c r="B908" s="865" t="s">
        <v>640</v>
      </c>
      <c r="C908" s="865" t="s">
        <v>591</v>
      </c>
      <c r="D908" s="865" t="s">
        <v>624</v>
      </c>
      <c r="E908" s="866">
        <v>2019.0</v>
      </c>
      <c r="F908" s="865" t="s">
        <v>593</v>
      </c>
      <c r="G908" s="865" t="s">
        <v>70</v>
      </c>
      <c r="H908" s="867">
        <v>1.06166263E7</v>
      </c>
      <c r="I908" s="867">
        <v>1.211501806E7</v>
      </c>
      <c r="J908" s="868">
        <v>9080554.712</v>
      </c>
      <c r="K908" s="50"/>
      <c r="L908" s="869" t="s">
        <v>640</v>
      </c>
      <c r="M908" s="865" t="s">
        <v>591</v>
      </c>
      <c r="N908" s="865" t="s">
        <v>624</v>
      </c>
      <c r="O908" s="866">
        <v>2004.0</v>
      </c>
      <c r="P908" s="865" t="s">
        <v>593</v>
      </c>
      <c r="Q908" s="865" t="s">
        <v>70</v>
      </c>
      <c r="R908" s="867">
        <v>6930403.426</v>
      </c>
      <c r="S908" s="867">
        <v>7526795.362</v>
      </c>
      <c r="T908" s="868">
        <v>6272813.013</v>
      </c>
      <c r="AN908" s="882"/>
      <c r="AO908" s="882"/>
      <c r="AP908" s="882"/>
      <c r="AY908" s="882"/>
      <c r="AZ908" s="882"/>
      <c r="BA908" s="882"/>
      <c r="BJ908" s="882"/>
      <c r="BK908" s="882"/>
      <c r="BL908" s="882"/>
      <c r="BU908" s="882"/>
      <c r="BV908" s="882"/>
      <c r="BW908" s="882"/>
      <c r="CF908" s="882"/>
      <c r="CG908" s="882"/>
      <c r="CH908" s="882"/>
      <c r="CI908" s="530"/>
    </row>
    <row r="909">
      <c r="A909" s="857"/>
      <c r="B909" s="865" t="s">
        <v>640</v>
      </c>
      <c r="C909" s="865" t="s">
        <v>591</v>
      </c>
      <c r="D909" s="865" t="s">
        <v>625</v>
      </c>
      <c r="E909" s="866">
        <v>2019.0</v>
      </c>
      <c r="F909" s="865" t="s">
        <v>593</v>
      </c>
      <c r="G909" s="865" t="s">
        <v>70</v>
      </c>
      <c r="H909" s="867">
        <v>3.835412036E7</v>
      </c>
      <c r="I909" s="867">
        <v>4.376728044E7</v>
      </c>
      <c r="J909" s="868">
        <v>3.280483634E7</v>
      </c>
      <c r="K909" s="50"/>
      <c r="L909" s="869" t="s">
        <v>640</v>
      </c>
      <c r="M909" s="865" t="s">
        <v>591</v>
      </c>
      <c r="N909" s="865" t="s">
        <v>625</v>
      </c>
      <c r="O909" s="866">
        <v>2004.0</v>
      </c>
      <c r="P909" s="865" t="s">
        <v>593</v>
      </c>
      <c r="Q909" s="865" t="s">
        <v>70</v>
      </c>
      <c r="R909" s="867">
        <v>2.375850587E7</v>
      </c>
      <c r="S909" s="867">
        <v>2.580303061E7</v>
      </c>
      <c r="T909" s="868">
        <v>2.150418318E7</v>
      </c>
      <c r="AN909" s="882"/>
      <c r="AO909" s="882"/>
      <c r="AP909" s="882"/>
      <c r="AY909" s="882"/>
      <c r="AZ909" s="882"/>
      <c r="BA909" s="882"/>
      <c r="BJ909" s="882"/>
      <c r="BK909" s="882"/>
      <c r="BL909" s="882"/>
      <c r="BU909" s="882"/>
      <c r="BV909" s="882"/>
      <c r="BW909" s="882"/>
      <c r="CF909" s="882"/>
      <c r="CG909" s="882"/>
      <c r="CH909" s="882"/>
      <c r="CI909" s="530"/>
    </row>
    <row r="910">
      <c r="A910" s="857"/>
      <c r="B910" s="865" t="s">
        <v>640</v>
      </c>
      <c r="C910" s="865" t="s">
        <v>591</v>
      </c>
      <c r="D910" s="865" t="s">
        <v>627</v>
      </c>
      <c r="E910" s="866">
        <v>2019.0</v>
      </c>
      <c r="F910" s="865" t="s">
        <v>593</v>
      </c>
      <c r="G910" s="865" t="s">
        <v>70</v>
      </c>
      <c r="H910" s="867">
        <v>8508601.262</v>
      </c>
      <c r="I910" s="867">
        <v>9709474.083</v>
      </c>
      <c r="J910" s="868">
        <v>7277530.27</v>
      </c>
      <c r="K910" s="50"/>
      <c r="L910" s="869" t="s">
        <v>640</v>
      </c>
      <c r="M910" s="865" t="s">
        <v>591</v>
      </c>
      <c r="N910" s="865" t="s">
        <v>627</v>
      </c>
      <c r="O910" s="866">
        <v>2004.0</v>
      </c>
      <c r="P910" s="865" t="s">
        <v>593</v>
      </c>
      <c r="Q910" s="865" t="s">
        <v>70</v>
      </c>
      <c r="R910" s="867">
        <v>5260637.286</v>
      </c>
      <c r="S910" s="867">
        <v>5713338.444</v>
      </c>
      <c r="T910" s="868">
        <v>4761482.413</v>
      </c>
      <c r="AN910" s="882"/>
      <c r="AO910" s="882"/>
      <c r="AP910" s="882"/>
      <c r="AY910" s="882"/>
      <c r="AZ910" s="882"/>
      <c r="BA910" s="882"/>
      <c r="BJ910" s="882"/>
      <c r="BK910" s="882"/>
      <c r="BL910" s="882"/>
      <c r="BU910" s="882"/>
      <c r="BV910" s="882"/>
      <c r="BW910" s="882"/>
      <c r="CF910" s="882"/>
      <c r="CG910" s="882"/>
      <c r="CH910" s="882"/>
      <c r="CI910" s="530"/>
    </row>
    <row r="911">
      <c r="A911" s="857"/>
      <c r="B911" s="865" t="s">
        <v>640</v>
      </c>
      <c r="C911" s="865" t="s">
        <v>591</v>
      </c>
      <c r="D911" s="865" t="s">
        <v>629</v>
      </c>
      <c r="E911" s="866">
        <v>2019.0</v>
      </c>
      <c r="F911" s="865" t="s">
        <v>593</v>
      </c>
      <c r="G911" s="865" t="s">
        <v>70</v>
      </c>
      <c r="H911" s="867">
        <v>2.9331255E7</v>
      </c>
      <c r="I911" s="867">
        <v>3.347257408E7</v>
      </c>
      <c r="J911" s="868">
        <v>2.508812858E7</v>
      </c>
      <c r="K911" s="50"/>
      <c r="L911" s="869" t="s">
        <v>640</v>
      </c>
      <c r="M911" s="865" t="s">
        <v>591</v>
      </c>
      <c r="N911" s="865" t="s">
        <v>629</v>
      </c>
      <c r="O911" s="866">
        <v>2004.0</v>
      </c>
      <c r="P911" s="865" t="s">
        <v>593</v>
      </c>
      <c r="Q911" s="865" t="s">
        <v>70</v>
      </c>
      <c r="R911" s="867">
        <v>1.782373932E7</v>
      </c>
      <c r="S911" s="867">
        <v>1.935831285E7</v>
      </c>
      <c r="T911" s="868">
        <v>1.613211255E7</v>
      </c>
      <c r="AN911" s="882"/>
      <c r="AO911" s="882"/>
      <c r="AP911" s="882"/>
      <c r="AY911" s="882"/>
      <c r="AZ911" s="882"/>
      <c r="BA911" s="882"/>
      <c r="BJ911" s="882"/>
      <c r="BK911" s="882"/>
      <c r="BL911" s="882"/>
      <c r="BU911" s="882"/>
      <c r="BV911" s="882"/>
      <c r="BW911" s="882"/>
      <c r="CF911" s="882"/>
      <c r="CG911" s="882"/>
      <c r="CH911" s="882"/>
      <c r="CI911" s="530"/>
    </row>
    <row r="912">
      <c r="A912" s="857"/>
      <c r="B912" s="865" t="s">
        <v>640</v>
      </c>
      <c r="C912" s="865" t="s">
        <v>591</v>
      </c>
      <c r="D912" s="865" t="s">
        <v>631</v>
      </c>
      <c r="E912" s="866">
        <v>2019.0</v>
      </c>
      <c r="F912" s="865" t="s">
        <v>593</v>
      </c>
      <c r="G912" s="865" t="s">
        <v>70</v>
      </c>
      <c r="H912" s="867">
        <v>6875550.835</v>
      </c>
      <c r="I912" s="867">
        <v>7845940.899</v>
      </c>
      <c r="J912" s="868">
        <v>5880758.516</v>
      </c>
      <c r="K912" s="50"/>
      <c r="L912" s="869" t="s">
        <v>640</v>
      </c>
      <c r="M912" s="865" t="s">
        <v>591</v>
      </c>
      <c r="N912" s="865" t="s">
        <v>631</v>
      </c>
      <c r="O912" s="866">
        <v>2004.0</v>
      </c>
      <c r="P912" s="865" t="s">
        <v>593</v>
      </c>
      <c r="Q912" s="865" t="s">
        <v>70</v>
      </c>
      <c r="R912" s="867">
        <v>4116611.88</v>
      </c>
      <c r="S912" s="867">
        <v>4470864.58</v>
      </c>
      <c r="T912" s="868">
        <v>3726007.706</v>
      </c>
      <c r="AN912" s="882"/>
      <c r="AO912" s="882"/>
      <c r="AP912" s="882"/>
      <c r="AY912" s="882"/>
      <c r="AZ912" s="882"/>
      <c r="BA912" s="882"/>
      <c r="BJ912" s="882"/>
      <c r="BK912" s="882"/>
      <c r="BL912" s="882"/>
      <c r="BU912" s="882"/>
      <c r="BV912" s="882"/>
      <c r="BW912" s="882"/>
      <c r="CF912" s="882"/>
      <c r="CG912" s="882"/>
      <c r="CH912" s="882"/>
      <c r="CI912" s="530"/>
    </row>
    <row r="913">
      <c r="A913" s="857"/>
      <c r="B913" s="865" t="s">
        <v>640</v>
      </c>
      <c r="C913" s="865" t="s">
        <v>591</v>
      </c>
      <c r="D913" s="865" t="s">
        <v>633</v>
      </c>
      <c r="E913" s="866">
        <v>2019.0</v>
      </c>
      <c r="F913" s="865" t="s">
        <v>593</v>
      </c>
      <c r="G913" s="865" t="s">
        <v>70</v>
      </c>
      <c r="H913" s="867">
        <v>5832546.711</v>
      </c>
      <c r="I913" s="867">
        <v>6655730.993</v>
      </c>
      <c r="J913" s="868">
        <v>4988661.936</v>
      </c>
      <c r="K913" s="50"/>
      <c r="L913" s="869" t="s">
        <v>640</v>
      </c>
      <c r="M913" s="865" t="s">
        <v>591</v>
      </c>
      <c r="N913" s="865" t="s">
        <v>633</v>
      </c>
      <c r="O913" s="866">
        <v>2004.0</v>
      </c>
      <c r="P913" s="865" t="s">
        <v>593</v>
      </c>
      <c r="Q913" s="865" t="s">
        <v>70</v>
      </c>
      <c r="R913" s="867">
        <v>3470431.985</v>
      </c>
      <c r="S913" s="867">
        <v>3769078.041</v>
      </c>
      <c r="T913" s="868">
        <v>3141140.505</v>
      </c>
      <c r="AN913" s="882"/>
      <c r="AO913" s="882"/>
      <c r="AP913" s="882"/>
      <c r="AY913" s="882"/>
      <c r="AZ913" s="882"/>
      <c r="BA913" s="882"/>
      <c r="BJ913" s="882"/>
      <c r="BK913" s="882"/>
      <c r="BL913" s="882"/>
      <c r="BU913" s="882"/>
      <c r="BV913" s="882"/>
      <c r="BW913" s="882"/>
      <c r="CF913" s="882"/>
      <c r="CG913" s="882"/>
      <c r="CH913" s="882"/>
      <c r="CI913" s="530"/>
    </row>
    <row r="914">
      <c r="A914" s="857"/>
      <c r="B914" s="865" t="s">
        <v>640</v>
      </c>
      <c r="C914" s="865" t="s">
        <v>591</v>
      </c>
      <c r="D914" s="865" t="s">
        <v>635</v>
      </c>
      <c r="E914" s="866">
        <v>2019.0</v>
      </c>
      <c r="F914" s="865" t="s">
        <v>593</v>
      </c>
      <c r="G914" s="865" t="s">
        <v>70</v>
      </c>
      <c r="H914" s="867">
        <v>4688230.797</v>
      </c>
      <c r="I914" s="867">
        <v>5349910.521</v>
      </c>
      <c r="J914" s="868">
        <v>4009911.91</v>
      </c>
      <c r="K914" s="50"/>
      <c r="L914" s="869" t="s">
        <v>640</v>
      </c>
      <c r="M914" s="865" t="s">
        <v>591</v>
      </c>
      <c r="N914" s="865" t="s">
        <v>635</v>
      </c>
      <c r="O914" s="866">
        <v>2004.0</v>
      </c>
      <c r="P914" s="865" t="s">
        <v>593</v>
      </c>
      <c r="Q914" s="865" t="s">
        <v>70</v>
      </c>
      <c r="R914" s="867">
        <v>2817939.875</v>
      </c>
      <c r="S914" s="867">
        <v>3060436.093</v>
      </c>
      <c r="T914" s="868">
        <v>2550560.023</v>
      </c>
      <c r="AN914" s="882"/>
      <c r="AO914" s="882"/>
      <c r="AP914" s="882"/>
      <c r="AY914" s="882"/>
      <c r="AZ914" s="882"/>
      <c r="BA914" s="882"/>
      <c r="BJ914" s="882"/>
      <c r="BK914" s="882"/>
      <c r="BL914" s="882"/>
      <c r="BU914" s="882"/>
      <c r="BV914" s="882"/>
      <c r="BW914" s="882"/>
      <c r="CF914" s="882"/>
      <c r="CG914" s="882"/>
      <c r="CH914" s="882"/>
      <c r="CI914" s="530"/>
    </row>
    <row r="915">
      <c r="A915" s="857"/>
      <c r="B915" s="865" t="s">
        <v>640</v>
      </c>
      <c r="C915" s="865" t="s">
        <v>591</v>
      </c>
      <c r="D915" s="865" t="s">
        <v>637</v>
      </c>
      <c r="E915" s="866">
        <v>2019.0</v>
      </c>
      <c r="F915" s="865" t="s">
        <v>593</v>
      </c>
      <c r="G915" s="865" t="s">
        <v>70</v>
      </c>
      <c r="H915" s="867">
        <v>3427455.131</v>
      </c>
      <c r="I915" s="867">
        <v>3911193.596</v>
      </c>
      <c r="J915" s="868">
        <v>2931552.167</v>
      </c>
      <c r="K915" s="50"/>
      <c r="L915" s="869" t="s">
        <v>640</v>
      </c>
      <c r="M915" s="865" t="s">
        <v>591</v>
      </c>
      <c r="N915" s="865" t="s">
        <v>637</v>
      </c>
      <c r="O915" s="866">
        <v>2004.0</v>
      </c>
      <c r="P915" s="865" t="s">
        <v>593</v>
      </c>
      <c r="Q915" s="865" t="s">
        <v>70</v>
      </c>
      <c r="R915" s="867">
        <v>2158531.17</v>
      </c>
      <c r="S915" s="867">
        <v>2344282.345</v>
      </c>
      <c r="T915" s="868">
        <v>1953719.225</v>
      </c>
      <c r="AN915" s="882"/>
      <c r="AO915" s="882"/>
      <c r="AP915" s="882"/>
      <c r="AY915" s="882"/>
      <c r="AZ915" s="882"/>
      <c r="BA915" s="882"/>
      <c r="BJ915" s="882"/>
      <c r="BK915" s="882"/>
      <c r="BL915" s="882"/>
      <c r="BU915" s="882"/>
      <c r="BV915" s="882"/>
      <c r="BW915" s="882"/>
      <c r="CF915" s="882"/>
      <c r="CG915" s="882"/>
      <c r="CH915" s="882"/>
      <c r="CI915" s="530"/>
    </row>
    <row r="916">
      <c r="A916" s="857"/>
      <c r="B916" s="865" t="s">
        <v>640</v>
      </c>
      <c r="C916" s="865" t="s">
        <v>591</v>
      </c>
      <c r="D916" s="865" t="s">
        <v>639</v>
      </c>
      <c r="E916" s="866">
        <v>2019.0</v>
      </c>
      <c r="F916" s="865" t="s">
        <v>593</v>
      </c>
      <c r="G916" s="865" t="s">
        <v>70</v>
      </c>
      <c r="H916" s="867">
        <v>4.193913177E7</v>
      </c>
      <c r="I916" s="867">
        <v>4.786057381E7</v>
      </c>
      <c r="J916" s="868">
        <v>3.587212106E7</v>
      </c>
      <c r="K916" s="50"/>
      <c r="L916" s="869" t="s">
        <v>640</v>
      </c>
      <c r="M916" s="865" t="s">
        <v>591</v>
      </c>
      <c r="N916" s="865" t="s">
        <v>639</v>
      </c>
      <c r="O916" s="866">
        <v>2004.0</v>
      </c>
      <c r="P916" s="865" t="s">
        <v>593</v>
      </c>
      <c r="Q916" s="865" t="s">
        <v>70</v>
      </c>
      <c r="R916" s="867">
        <v>3.036760806E7</v>
      </c>
      <c r="S916" s="867">
        <v>3.298217322E7</v>
      </c>
      <c r="T916" s="868">
        <v>2.748545984E7</v>
      </c>
      <c r="AN916" s="882"/>
      <c r="AO916" s="882"/>
      <c r="AP916" s="882"/>
      <c r="AY916" s="882"/>
      <c r="AZ916" s="882"/>
      <c r="BA916" s="882"/>
      <c r="BJ916" s="882"/>
      <c r="BK916" s="882"/>
      <c r="BL916" s="882"/>
      <c r="BU916" s="882"/>
      <c r="BV916" s="882"/>
      <c r="BW916" s="882"/>
      <c r="CF916" s="882"/>
      <c r="CG916" s="882"/>
      <c r="CH916" s="882"/>
      <c r="CI916" s="530"/>
    </row>
    <row r="917">
      <c r="A917" s="857"/>
      <c r="B917" s="865" t="s">
        <v>640</v>
      </c>
      <c r="C917" s="865" t="s">
        <v>591</v>
      </c>
      <c r="D917" s="865" t="s">
        <v>641</v>
      </c>
      <c r="E917" s="866">
        <v>2019.0</v>
      </c>
      <c r="F917" s="865" t="s">
        <v>593</v>
      </c>
      <c r="G917" s="865" t="s">
        <v>70</v>
      </c>
      <c r="H917" s="867">
        <v>1.526869185E7</v>
      </c>
      <c r="I917" s="867">
        <v>1.74236591E7</v>
      </c>
      <c r="J917" s="868">
        <v>1.305953396E7</v>
      </c>
      <c r="K917" s="50"/>
      <c r="L917" s="869" t="s">
        <v>640</v>
      </c>
      <c r="M917" s="865" t="s">
        <v>591</v>
      </c>
      <c r="N917" s="865" t="s">
        <v>641</v>
      </c>
      <c r="O917" s="866">
        <v>2004.0</v>
      </c>
      <c r="P917" s="865" t="s">
        <v>593</v>
      </c>
      <c r="Q917" s="865" t="s">
        <v>70</v>
      </c>
      <c r="R917" s="867">
        <v>1.153854826E7</v>
      </c>
      <c r="S917" s="867">
        <v>1.253149148E7</v>
      </c>
      <c r="T917" s="868">
        <v>1.044371463E7</v>
      </c>
      <c r="AN917" s="882"/>
      <c r="AO917" s="882"/>
      <c r="AP917" s="882"/>
      <c r="AY917" s="882"/>
      <c r="AZ917" s="882"/>
      <c r="BA917" s="882"/>
      <c r="BJ917" s="882"/>
      <c r="BK917" s="882"/>
      <c r="BL917" s="882"/>
      <c r="BU917" s="882"/>
      <c r="BV917" s="882"/>
      <c r="BW917" s="882"/>
      <c r="CF917" s="882"/>
      <c r="CG917" s="882"/>
      <c r="CH917" s="882"/>
      <c r="CI917" s="530"/>
    </row>
    <row r="918">
      <c r="A918" s="857"/>
      <c r="B918" s="865" t="s">
        <v>640</v>
      </c>
      <c r="C918" s="865" t="s">
        <v>591</v>
      </c>
      <c r="D918" s="865" t="s">
        <v>643</v>
      </c>
      <c r="E918" s="866">
        <v>2019.0</v>
      </c>
      <c r="F918" s="865" t="s">
        <v>593</v>
      </c>
      <c r="G918" s="865" t="s">
        <v>70</v>
      </c>
      <c r="H918" s="867">
        <v>2543108.835</v>
      </c>
      <c r="I918" s="867">
        <v>2902033.902</v>
      </c>
      <c r="J918" s="868">
        <v>2175157.932</v>
      </c>
      <c r="K918" s="50"/>
      <c r="L918" s="869" t="s">
        <v>640</v>
      </c>
      <c r="M918" s="865" t="s">
        <v>591</v>
      </c>
      <c r="N918" s="865" t="s">
        <v>643</v>
      </c>
      <c r="O918" s="866">
        <v>2004.0</v>
      </c>
      <c r="P918" s="865" t="s">
        <v>593</v>
      </c>
      <c r="Q918" s="865" t="s">
        <v>70</v>
      </c>
      <c r="R918" s="867">
        <v>1670155.537</v>
      </c>
      <c r="S918" s="867">
        <v>1813879.824</v>
      </c>
      <c r="T918" s="868">
        <v>1511683.05</v>
      </c>
      <c r="AN918" s="882"/>
      <c r="AO918" s="882"/>
      <c r="AP918" s="882"/>
      <c r="AY918" s="882"/>
      <c r="AZ918" s="882"/>
      <c r="BA918" s="882"/>
      <c r="BJ918" s="882"/>
      <c r="BK918" s="882"/>
      <c r="BL918" s="882"/>
      <c r="BU918" s="882"/>
      <c r="BV918" s="882"/>
      <c r="BW918" s="882"/>
      <c r="CF918" s="882"/>
      <c r="CG918" s="882"/>
      <c r="CH918" s="882"/>
      <c r="CI918" s="530"/>
    </row>
    <row r="919">
      <c r="A919" s="857"/>
      <c r="B919" s="865" t="s">
        <v>640</v>
      </c>
      <c r="C919" s="865" t="s">
        <v>591</v>
      </c>
      <c r="D919" s="865" t="s">
        <v>645</v>
      </c>
      <c r="E919" s="866">
        <v>2019.0</v>
      </c>
      <c r="F919" s="865" t="s">
        <v>593</v>
      </c>
      <c r="G919" s="865" t="s">
        <v>70</v>
      </c>
      <c r="H919" s="867">
        <v>7132729.097</v>
      </c>
      <c r="I919" s="867">
        <v>8139416.359</v>
      </c>
      <c r="J919" s="868">
        <v>6100726.819</v>
      </c>
      <c r="K919" s="50"/>
      <c r="L919" s="869" t="s">
        <v>640</v>
      </c>
      <c r="M919" s="865" t="s">
        <v>591</v>
      </c>
      <c r="N919" s="865" t="s">
        <v>645</v>
      </c>
      <c r="O919" s="866">
        <v>2004.0</v>
      </c>
      <c r="P919" s="865" t="s">
        <v>593</v>
      </c>
      <c r="Q919" s="865" t="s">
        <v>70</v>
      </c>
      <c r="R919" s="867">
        <v>4801863.789</v>
      </c>
      <c r="S919" s="867">
        <v>5215085.453</v>
      </c>
      <c r="T919" s="868">
        <v>4346239.578</v>
      </c>
      <c r="AN919" s="882"/>
      <c r="AO919" s="882"/>
      <c r="AP919" s="882"/>
      <c r="AY919" s="882"/>
      <c r="AZ919" s="882"/>
      <c r="BA919" s="882"/>
      <c r="BJ919" s="882"/>
      <c r="BK919" s="882"/>
      <c r="BL919" s="882"/>
      <c r="BU919" s="882"/>
      <c r="BV919" s="882"/>
      <c r="BW919" s="882"/>
      <c r="CF919" s="882"/>
      <c r="CG919" s="882"/>
      <c r="CH919" s="882"/>
      <c r="CI919" s="530"/>
    </row>
    <row r="920">
      <c r="A920" s="857"/>
      <c r="B920" s="865" t="s">
        <v>640</v>
      </c>
      <c r="C920" s="865" t="s">
        <v>591</v>
      </c>
      <c r="D920" s="865" t="s">
        <v>604</v>
      </c>
      <c r="E920" s="866">
        <v>2019.0</v>
      </c>
      <c r="F920" s="865" t="s">
        <v>593</v>
      </c>
      <c r="G920" s="865" t="s">
        <v>70</v>
      </c>
      <c r="H920" s="867">
        <v>2.93872956E7</v>
      </c>
      <c r="I920" s="867">
        <v>3.353491087E7</v>
      </c>
      <c r="J920" s="868">
        <v>2.513538085E7</v>
      </c>
      <c r="K920" s="50"/>
      <c r="L920" s="869" t="s">
        <v>640</v>
      </c>
      <c r="M920" s="865" t="s">
        <v>591</v>
      </c>
      <c r="N920" s="865" t="s">
        <v>604</v>
      </c>
      <c r="O920" s="866">
        <v>2004.0</v>
      </c>
      <c r="P920" s="865" t="s">
        <v>593</v>
      </c>
      <c r="Q920" s="865" t="s">
        <v>70</v>
      </c>
      <c r="R920" s="867">
        <v>2.179643313E7</v>
      </c>
      <c r="S920" s="867">
        <v>2.367211282E7</v>
      </c>
      <c r="T920" s="868">
        <v>1.972828145E7</v>
      </c>
      <c r="AN920" s="882"/>
      <c r="AO920" s="882"/>
      <c r="AP920" s="882"/>
      <c r="AY920" s="882"/>
      <c r="AZ920" s="882"/>
      <c r="BA920" s="882"/>
      <c r="BJ920" s="882"/>
      <c r="BK920" s="882"/>
      <c r="BL920" s="882"/>
      <c r="BU920" s="882"/>
      <c r="BV920" s="882"/>
      <c r="BW920" s="882"/>
      <c r="CF920" s="882"/>
      <c r="CG920" s="882"/>
      <c r="CH920" s="882"/>
      <c r="CI920" s="530"/>
    </row>
    <row r="921">
      <c r="A921" s="857"/>
      <c r="B921" s="865" t="s">
        <v>640</v>
      </c>
      <c r="C921" s="865" t="s">
        <v>591</v>
      </c>
      <c r="D921" s="865" t="s">
        <v>647</v>
      </c>
      <c r="E921" s="866">
        <v>2019.0</v>
      </c>
      <c r="F921" s="865" t="s">
        <v>593</v>
      </c>
      <c r="G921" s="865" t="s">
        <v>70</v>
      </c>
      <c r="H921" s="867">
        <v>6478377.265</v>
      </c>
      <c r="I921" s="867">
        <v>7393068.006</v>
      </c>
      <c r="J921" s="868">
        <v>5541200.395</v>
      </c>
      <c r="K921" s="50"/>
      <c r="L921" s="869" t="s">
        <v>640</v>
      </c>
      <c r="M921" s="865" t="s">
        <v>591</v>
      </c>
      <c r="N921" s="865" t="s">
        <v>647</v>
      </c>
      <c r="O921" s="866">
        <v>2004.0</v>
      </c>
      <c r="P921" s="865" t="s">
        <v>593</v>
      </c>
      <c r="Q921" s="865" t="s">
        <v>70</v>
      </c>
      <c r="R921" s="867">
        <v>4264099.358</v>
      </c>
      <c r="S921" s="867">
        <v>4631226.251</v>
      </c>
      <c r="T921" s="868">
        <v>3859399.51</v>
      </c>
      <c r="AN921" s="882"/>
      <c r="AO921" s="882"/>
      <c r="AP921" s="882"/>
      <c r="AY921" s="882"/>
      <c r="AZ921" s="882"/>
      <c r="BA921" s="882"/>
      <c r="BJ921" s="882"/>
      <c r="BK921" s="882"/>
      <c r="BL921" s="882"/>
      <c r="BU921" s="882"/>
      <c r="BV921" s="882"/>
      <c r="BW921" s="882"/>
      <c r="CF921" s="882"/>
      <c r="CG921" s="882"/>
      <c r="CH921" s="882"/>
      <c r="CI921" s="530"/>
    </row>
    <row r="922">
      <c r="A922" s="857"/>
      <c r="B922" s="865" t="s">
        <v>640</v>
      </c>
      <c r="C922" s="865" t="s">
        <v>591</v>
      </c>
      <c r="D922" s="865" t="s">
        <v>649</v>
      </c>
      <c r="E922" s="866">
        <v>2019.0</v>
      </c>
      <c r="F922" s="865" t="s">
        <v>593</v>
      </c>
      <c r="G922" s="865" t="s">
        <v>70</v>
      </c>
      <c r="H922" s="867">
        <v>1928936.666</v>
      </c>
      <c r="I922" s="867">
        <v>2201179.722</v>
      </c>
      <c r="J922" s="868">
        <v>1649847.553</v>
      </c>
      <c r="K922" s="50"/>
      <c r="L922" s="869" t="s">
        <v>640</v>
      </c>
      <c r="M922" s="865" t="s">
        <v>591</v>
      </c>
      <c r="N922" s="865" t="s">
        <v>649</v>
      </c>
      <c r="O922" s="866">
        <v>2004.0</v>
      </c>
      <c r="P922" s="865" t="s">
        <v>593</v>
      </c>
      <c r="Q922" s="865" t="s">
        <v>70</v>
      </c>
      <c r="R922" s="867">
        <v>1286433.016</v>
      </c>
      <c r="S922" s="867">
        <v>1397136.279</v>
      </c>
      <c r="T922" s="868">
        <v>1164369.989</v>
      </c>
      <c r="AN922" s="882"/>
      <c r="AO922" s="882"/>
      <c r="AP922" s="882"/>
      <c r="AY922" s="882"/>
      <c r="AZ922" s="882"/>
      <c r="BA922" s="882"/>
      <c r="BJ922" s="882"/>
      <c r="BK922" s="882"/>
      <c r="BL922" s="882"/>
      <c r="BU922" s="882"/>
      <c r="BV922" s="882"/>
      <c r="BW922" s="882"/>
      <c r="CF922" s="882"/>
      <c r="CG922" s="882"/>
      <c r="CH922" s="882"/>
      <c r="CI922" s="530"/>
    </row>
    <row r="923">
      <c r="A923" s="857"/>
      <c r="B923" s="865" t="s">
        <v>640</v>
      </c>
      <c r="C923" s="865" t="s">
        <v>591</v>
      </c>
      <c r="D923" s="865" t="s">
        <v>651</v>
      </c>
      <c r="E923" s="866">
        <v>2019.0</v>
      </c>
      <c r="F923" s="865" t="s">
        <v>593</v>
      </c>
      <c r="G923" s="865" t="s">
        <v>70</v>
      </c>
      <c r="H923" s="867">
        <v>1504592.064</v>
      </c>
      <c r="I923" s="867">
        <v>1716944.678</v>
      </c>
      <c r="J923" s="868">
        <v>1286899.451</v>
      </c>
      <c r="K923" s="50"/>
      <c r="L923" s="869" t="s">
        <v>640</v>
      </c>
      <c r="M923" s="865" t="s">
        <v>591</v>
      </c>
      <c r="N923" s="865" t="s">
        <v>651</v>
      </c>
      <c r="O923" s="866">
        <v>2004.0</v>
      </c>
      <c r="P923" s="865" t="s">
        <v>593</v>
      </c>
      <c r="Q923" s="865" t="s">
        <v>70</v>
      </c>
      <c r="R923" s="867">
        <v>1044803.398</v>
      </c>
      <c r="S923" s="867">
        <v>1134713.362</v>
      </c>
      <c r="T923" s="868">
        <v>945667.3659</v>
      </c>
      <c r="AN923" s="882"/>
      <c r="AO923" s="882"/>
      <c r="AP923" s="882"/>
      <c r="AY923" s="882"/>
      <c r="AZ923" s="882"/>
      <c r="BA923" s="882"/>
      <c r="BJ923" s="882"/>
      <c r="BK923" s="882"/>
      <c r="BL923" s="882"/>
      <c r="BU923" s="882"/>
      <c r="BV923" s="882"/>
      <c r="BW923" s="882"/>
      <c r="CF923" s="882"/>
      <c r="CG923" s="882"/>
      <c r="CH923" s="882"/>
      <c r="CI923" s="530"/>
    </row>
    <row r="924">
      <c r="A924" s="857"/>
      <c r="B924" s="865" t="s">
        <v>640</v>
      </c>
      <c r="C924" s="865" t="s">
        <v>591</v>
      </c>
      <c r="D924" s="865" t="s">
        <v>653</v>
      </c>
      <c r="E924" s="866">
        <v>2019.0</v>
      </c>
      <c r="F924" s="865" t="s">
        <v>593</v>
      </c>
      <c r="G924" s="865" t="s">
        <v>70</v>
      </c>
      <c r="H924" s="867">
        <v>1156091.532</v>
      </c>
      <c r="I924" s="867">
        <v>1319258.057</v>
      </c>
      <c r="J924" s="868">
        <v>988821.8829</v>
      </c>
      <c r="K924" s="50"/>
      <c r="L924" s="869" t="s">
        <v>640</v>
      </c>
      <c r="M924" s="865" t="s">
        <v>591</v>
      </c>
      <c r="N924" s="865" t="s">
        <v>653</v>
      </c>
      <c r="O924" s="866">
        <v>2004.0</v>
      </c>
      <c r="P924" s="865" t="s">
        <v>593</v>
      </c>
      <c r="Q924" s="865" t="s">
        <v>70</v>
      </c>
      <c r="R924" s="867">
        <v>800471.8378</v>
      </c>
      <c r="S924" s="867">
        <v>869355.9877</v>
      </c>
      <c r="T924" s="868">
        <v>724519.1733</v>
      </c>
      <c r="AN924" s="882"/>
      <c r="AO924" s="882"/>
      <c r="AP924" s="882"/>
      <c r="AY924" s="882"/>
      <c r="AZ924" s="882"/>
      <c r="BA924" s="882"/>
      <c r="BJ924" s="882"/>
      <c r="BK924" s="882"/>
      <c r="BL924" s="882"/>
      <c r="BU924" s="882"/>
      <c r="BV924" s="882"/>
      <c r="BW924" s="882"/>
      <c r="CF924" s="882"/>
      <c r="CG924" s="882"/>
      <c r="CH924" s="882"/>
      <c r="CI924" s="530"/>
    </row>
    <row r="925">
      <c r="A925" s="857"/>
      <c r="B925" s="865" t="s">
        <v>640</v>
      </c>
      <c r="C925" s="865" t="s">
        <v>591</v>
      </c>
      <c r="D925" s="865" t="s">
        <v>655</v>
      </c>
      <c r="E925" s="866">
        <v>2019.0</v>
      </c>
      <c r="F925" s="865" t="s">
        <v>593</v>
      </c>
      <c r="G925" s="865" t="s">
        <v>70</v>
      </c>
      <c r="H925" s="867">
        <v>1987354.227</v>
      </c>
      <c r="I925" s="867">
        <v>2267951.425</v>
      </c>
      <c r="J925" s="868">
        <v>1699859.02</v>
      </c>
      <c r="K925" s="50"/>
      <c r="L925" s="869" t="s">
        <v>640</v>
      </c>
      <c r="M925" s="865" t="s">
        <v>591</v>
      </c>
      <c r="N925" s="865" t="s">
        <v>655</v>
      </c>
      <c r="O925" s="866">
        <v>2004.0</v>
      </c>
      <c r="P925" s="865" t="s">
        <v>593</v>
      </c>
      <c r="Q925" s="865" t="s">
        <v>70</v>
      </c>
      <c r="R925" s="867">
        <v>1357208.589</v>
      </c>
      <c r="S925" s="867">
        <v>1474060.409</v>
      </c>
      <c r="T925" s="868">
        <v>1228397.775</v>
      </c>
      <c r="AN925" s="882"/>
      <c r="AO925" s="882"/>
      <c r="AP925" s="882"/>
      <c r="AY925" s="882"/>
      <c r="AZ925" s="882"/>
      <c r="BA925" s="882"/>
      <c r="BJ925" s="882"/>
      <c r="BK925" s="882"/>
      <c r="BL925" s="882"/>
      <c r="BU925" s="882"/>
      <c r="BV925" s="882"/>
      <c r="BW925" s="882"/>
      <c r="CF925" s="882"/>
      <c r="CG925" s="882"/>
      <c r="CH925" s="882"/>
      <c r="CI925" s="530"/>
    </row>
    <row r="926">
      <c r="A926" s="857"/>
      <c r="B926" s="865" t="s">
        <v>640</v>
      </c>
      <c r="C926" s="865" t="s">
        <v>591</v>
      </c>
      <c r="D926" s="865" t="s">
        <v>657</v>
      </c>
      <c r="E926" s="866">
        <v>2019.0</v>
      </c>
      <c r="F926" s="865" t="s">
        <v>593</v>
      </c>
      <c r="G926" s="865" t="s">
        <v>70</v>
      </c>
      <c r="H926" s="867">
        <v>831339.2406</v>
      </c>
      <c r="I926" s="867">
        <v>948671.4163</v>
      </c>
      <c r="J926" s="868">
        <v>711056.53</v>
      </c>
      <c r="K926" s="50"/>
      <c r="L926" s="869" t="s">
        <v>640</v>
      </c>
      <c r="M926" s="865" t="s">
        <v>591</v>
      </c>
      <c r="N926" s="865" t="s">
        <v>657</v>
      </c>
      <c r="O926" s="866">
        <v>2004.0</v>
      </c>
      <c r="P926" s="865" t="s">
        <v>593</v>
      </c>
      <c r="Q926" s="865" t="s">
        <v>70</v>
      </c>
      <c r="R926" s="867">
        <v>556768.1903</v>
      </c>
      <c r="S926" s="867">
        <v>604680.5611</v>
      </c>
      <c r="T926" s="868">
        <v>503939.3142</v>
      </c>
      <c r="AN926" s="882"/>
      <c r="AO926" s="882"/>
      <c r="AP926" s="882"/>
      <c r="AY926" s="882"/>
      <c r="AZ926" s="882"/>
      <c r="BA926" s="882"/>
      <c r="BJ926" s="882"/>
      <c r="BK926" s="882"/>
      <c r="BL926" s="882"/>
      <c r="BU926" s="882"/>
      <c r="BV926" s="882"/>
      <c r="BW926" s="882"/>
      <c r="CF926" s="882"/>
      <c r="CG926" s="882"/>
      <c r="CH926" s="882"/>
      <c r="CI926" s="530"/>
    </row>
    <row r="927">
      <c r="A927" s="857"/>
      <c r="B927" s="865" t="s">
        <v>640</v>
      </c>
      <c r="C927" s="865" t="s">
        <v>591</v>
      </c>
      <c r="D927" s="865" t="s">
        <v>659</v>
      </c>
      <c r="E927" s="866">
        <v>2019.0</v>
      </c>
      <c r="F927" s="865" t="s">
        <v>593</v>
      </c>
      <c r="G927" s="865" t="s">
        <v>70</v>
      </c>
      <c r="H927" s="867">
        <v>1889006.527</v>
      </c>
      <c r="I927" s="867">
        <v>2155613.99</v>
      </c>
      <c r="J927" s="868">
        <v>1615694.726</v>
      </c>
      <c r="K927" s="50"/>
      <c r="L927" s="869" t="s">
        <v>640</v>
      </c>
      <c r="M927" s="865" t="s">
        <v>591</v>
      </c>
      <c r="N927" s="865" t="s">
        <v>659</v>
      </c>
      <c r="O927" s="866">
        <v>2004.0</v>
      </c>
      <c r="P927" s="865" t="s">
        <v>593</v>
      </c>
      <c r="Q927" s="865" t="s">
        <v>70</v>
      </c>
      <c r="R927" s="867">
        <v>1132489.882</v>
      </c>
      <c r="S927" s="867">
        <v>1229945.657</v>
      </c>
      <c r="T927" s="868">
        <v>1025033.73</v>
      </c>
      <c r="AN927" s="882"/>
      <c r="AO927" s="882"/>
      <c r="AP927" s="882"/>
      <c r="AY927" s="882"/>
      <c r="AZ927" s="882"/>
      <c r="BA927" s="882"/>
      <c r="BJ927" s="882"/>
      <c r="BK927" s="882"/>
      <c r="BL927" s="882"/>
      <c r="BU927" s="882"/>
      <c r="BV927" s="882"/>
      <c r="BW927" s="882"/>
      <c r="CF927" s="882"/>
      <c r="CG927" s="882"/>
      <c r="CH927" s="882"/>
      <c r="CI927" s="530"/>
    </row>
    <row r="928">
      <c r="A928" s="857"/>
      <c r="B928" s="865" t="s">
        <v>640</v>
      </c>
      <c r="C928" s="865" t="s">
        <v>591</v>
      </c>
      <c r="D928" s="865" t="s">
        <v>661</v>
      </c>
      <c r="E928" s="866">
        <v>2019.0</v>
      </c>
      <c r="F928" s="865" t="s">
        <v>593</v>
      </c>
      <c r="G928" s="865" t="s">
        <v>70</v>
      </c>
      <c r="H928" s="867">
        <v>1057626.55</v>
      </c>
      <c r="I928" s="867">
        <v>1206954.256</v>
      </c>
      <c r="J928" s="868">
        <v>904627.875</v>
      </c>
      <c r="K928" s="50"/>
      <c r="L928" s="869" t="s">
        <v>640</v>
      </c>
      <c r="M928" s="865" t="s">
        <v>591</v>
      </c>
      <c r="N928" s="865" t="s">
        <v>661</v>
      </c>
      <c r="O928" s="866">
        <v>2004.0</v>
      </c>
      <c r="P928" s="865" t="s">
        <v>593</v>
      </c>
      <c r="Q928" s="865" t="s">
        <v>70</v>
      </c>
      <c r="R928" s="867">
        <v>575708.356</v>
      </c>
      <c r="S928" s="867">
        <v>625275.2169</v>
      </c>
      <c r="T928" s="868">
        <v>521068.662</v>
      </c>
      <c r="AN928" s="882"/>
      <c r="AO928" s="882"/>
      <c r="AP928" s="882"/>
      <c r="AY928" s="882"/>
      <c r="AZ928" s="882"/>
      <c r="BA928" s="882"/>
      <c r="BJ928" s="882"/>
      <c r="BK928" s="882"/>
      <c r="BL928" s="882"/>
      <c r="BU928" s="882"/>
      <c r="BV928" s="882"/>
      <c r="BW928" s="882"/>
      <c r="CF928" s="882"/>
      <c r="CG928" s="882"/>
      <c r="CH928" s="882"/>
      <c r="CI928" s="530"/>
    </row>
    <row r="929">
      <c r="A929" s="857"/>
      <c r="B929" s="865" t="s">
        <v>640</v>
      </c>
      <c r="C929" s="865" t="s">
        <v>591</v>
      </c>
      <c r="D929" s="865" t="s">
        <v>663</v>
      </c>
      <c r="E929" s="866">
        <v>2019.0</v>
      </c>
      <c r="F929" s="865" t="s">
        <v>593</v>
      </c>
      <c r="G929" s="865" t="s">
        <v>70</v>
      </c>
      <c r="H929" s="867">
        <v>564882.6111</v>
      </c>
      <c r="I929" s="867">
        <v>644608.074</v>
      </c>
      <c r="J929" s="868">
        <v>483152.3037</v>
      </c>
      <c r="K929" s="50"/>
      <c r="L929" s="869" t="s">
        <v>640</v>
      </c>
      <c r="M929" s="865" t="s">
        <v>591</v>
      </c>
      <c r="N929" s="865" t="s">
        <v>663</v>
      </c>
      <c r="O929" s="866">
        <v>2004.0</v>
      </c>
      <c r="P929" s="865" t="s">
        <v>593</v>
      </c>
      <c r="Q929" s="865" t="s">
        <v>70</v>
      </c>
      <c r="R929" s="867">
        <v>336974.981</v>
      </c>
      <c r="S929" s="867">
        <v>365973.1718</v>
      </c>
      <c r="T929" s="868">
        <v>305001.1545</v>
      </c>
      <c r="AN929" s="882"/>
      <c r="AO929" s="882"/>
      <c r="AP929" s="882"/>
      <c r="AY929" s="882"/>
      <c r="AZ929" s="882"/>
      <c r="BA929" s="882"/>
      <c r="BJ929" s="882"/>
      <c r="BK929" s="882"/>
      <c r="BL929" s="882"/>
      <c r="BU929" s="882"/>
      <c r="BV929" s="882"/>
      <c r="BW929" s="882"/>
      <c r="CF929" s="882"/>
      <c r="CG929" s="882"/>
      <c r="CH929" s="882"/>
      <c r="CI929" s="530"/>
    </row>
    <row r="930">
      <c r="A930" s="857"/>
      <c r="B930" s="865" t="s">
        <v>640</v>
      </c>
      <c r="C930" s="865" t="s">
        <v>591</v>
      </c>
      <c r="D930" s="865" t="s">
        <v>665</v>
      </c>
      <c r="E930" s="866">
        <v>2019.0</v>
      </c>
      <c r="F930" s="865" t="s">
        <v>593</v>
      </c>
      <c r="G930" s="865" t="s">
        <v>70</v>
      </c>
      <c r="H930" s="867">
        <v>876741.2575</v>
      </c>
      <c r="I930" s="867">
        <v>1000529.527</v>
      </c>
      <c r="J930" s="868">
        <v>749909.8622</v>
      </c>
      <c r="K930" s="50"/>
      <c r="L930" s="869" t="s">
        <v>640</v>
      </c>
      <c r="M930" s="865" t="s">
        <v>591</v>
      </c>
      <c r="N930" s="865" t="s">
        <v>665</v>
      </c>
      <c r="O930" s="866">
        <v>2004.0</v>
      </c>
      <c r="P930" s="865" t="s">
        <v>593</v>
      </c>
      <c r="Q930" s="865" t="s">
        <v>70</v>
      </c>
      <c r="R930" s="867">
        <v>498568.9868</v>
      </c>
      <c r="S930" s="867">
        <v>541494.3663</v>
      </c>
      <c r="T930" s="868">
        <v>451250.485</v>
      </c>
      <c r="AN930" s="882"/>
      <c r="AO930" s="882"/>
      <c r="AP930" s="882"/>
      <c r="AY930" s="882"/>
      <c r="AZ930" s="882"/>
      <c r="BA930" s="882"/>
      <c r="BJ930" s="882"/>
      <c r="BK930" s="882"/>
      <c r="BL930" s="882"/>
      <c r="BU930" s="882"/>
      <c r="BV930" s="882"/>
      <c r="BW930" s="882"/>
      <c r="CF930" s="882"/>
      <c r="CG930" s="882"/>
      <c r="CH930" s="882"/>
      <c r="CI930" s="530"/>
    </row>
    <row r="931">
      <c r="A931" s="857"/>
      <c r="B931" s="865" t="s">
        <v>640</v>
      </c>
      <c r="C931" s="865" t="s">
        <v>591</v>
      </c>
      <c r="D931" s="865" t="s">
        <v>667</v>
      </c>
      <c r="E931" s="866">
        <v>2019.0</v>
      </c>
      <c r="F931" s="865" t="s">
        <v>593</v>
      </c>
      <c r="G931" s="865" t="s">
        <v>70</v>
      </c>
      <c r="H931" s="867">
        <v>492784.6755</v>
      </c>
      <c r="I931" s="867">
        <v>562334.4998</v>
      </c>
      <c r="J931" s="868">
        <v>421485.892</v>
      </c>
      <c r="K931" s="50"/>
      <c r="L931" s="869" t="s">
        <v>640</v>
      </c>
      <c r="M931" s="865" t="s">
        <v>591</v>
      </c>
      <c r="N931" s="865" t="s">
        <v>667</v>
      </c>
      <c r="O931" s="866">
        <v>2004.0</v>
      </c>
      <c r="P931" s="865" t="s">
        <v>593</v>
      </c>
      <c r="Q931" s="865" t="s">
        <v>70</v>
      </c>
      <c r="R931" s="867">
        <v>238746.711</v>
      </c>
      <c r="S931" s="867">
        <v>259291.9238</v>
      </c>
      <c r="T931" s="868">
        <v>216093.2609</v>
      </c>
      <c r="AN931" s="882"/>
      <c r="AO931" s="882"/>
      <c r="AP931" s="882"/>
      <c r="AY931" s="882"/>
      <c r="AZ931" s="882"/>
      <c r="BA931" s="882"/>
      <c r="BJ931" s="882"/>
      <c r="BK931" s="882"/>
      <c r="BL931" s="882"/>
      <c r="BU931" s="882"/>
      <c r="BV931" s="882"/>
      <c r="BW931" s="882"/>
      <c r="CF931" s="882"/>
      <c r="CG931" s="882"/>
      <c r="CH931" s="882"/>
      <c r="CI931" s="530"/>
    </row>
    <row r="932">
      <c r="A932" s="857"/>
      <c r="B932" s="865" t="s">
        <v>640</v>
      </c>
      <c r="C932" s="865" t="s">
        <v>591</v>
      </c>
      <c r="D932" s="865" t="s">
        <v>669</v>
      </c>
      <c r="E932" s="866">
        <v>2019.0</v>
      </c>
      <c r="F932" s="865" t="s">
        <v>593</v>
      </c>
      <c r="G932" s="865" t="s">
        <v>70</v>
      </c>
      <c r="H932" s="867">
        <v>311892.4154</v>
      </c>
      <c r="I932" s="867">
        <v>355911.7687</v>
      </c>
      <c r="J932" s="868">
        <v>266766.114</v>
      </c>
      <c r="K932" s="50"/>
      <c r="L932" s="869" t="s">
        <v>640</v>
      </c>
      <c r="M932" s="865" t="s">
        <v>591</v>
      </c>
      <c r="N932" s="865" t="s">
        <v>669</v>
      </c>
      <c r="O932" s="866">
        <v>2004.0</v>
      </c>
      <c r="P932" s="865" t="s">
        <v>593</v>
      </c>
      <c r="Q932" s="865" t="s">
        <v>70</v>
      </c>
      <c r="R932" s="867">
        <v>161605.555</v>
      </c>
      <c r="S932" s="867">
        <v>175512.4293</v>
      </c>
      <c r="T932" s="868">
        <v>146271.6333</v>
      </c>
      <c r="AN932" s="882"/>
      <c r="AO932" s="882"/>
      <c r="AP932" s="882"/>
      <c r="AY932" s="882"/>
      <c r="AZ932" s="882"/>
      <c r="BA932" s="882"/>
      <c r="BJ932" s="882"/>
      <c r="BK932" s="882"/>
      <c r="BL932" s="882"/>
      <c r="BU932" s="882"/>
      <c r="BV932" s="882"/>
      <c r="BW932" s="882"/>
      <c r="CF932" s="882"/>
      <c r="CG932" s="882"/>
      <c r="CH932" s="882"/>
      <c r="CI932" s="530"/>
    </row>
    <row r="933">
      <c r="A933" s="857"/>
      <c r="B933" s="865" t="s">
        <v>640</v>
      </c>
      <c r="C933" s="865" t="s">
        <v>591</v>
      </c>
      <c r="D933" s="865" t="s">
        <v>671</v>
      </c>
      <c r="E933" s="866">
        <v>2019.0</v>
      </c>
      <c r="F933" s="865" t="s">
        <v>593</v>
      </c>
      <c r="G933" s="865" t="s">
        <v>70</v>
      </c>
      <c r="H933" s="867">
        <v>180885.293</v>
      </c>
      <c r="I933" s="867">
        <v>206424.7291</v>
      </c>
      <c r="J933" s="868">
        <v>154718.0128</v>
      </c>
      <c r="K933" s="50"/>
      <c r="L933" s="869" t="s">
        <v>640</v>
      </c>
      <c r="M933" s="865" t="s">
        <v>591</v>
      </c>
      <c r="N933" s="865" t="s">
        <v>671</v>
      </c>
      <c r="O933" s="866">
        <v>2004.0</v>
      </c>
      <c r="P933" s="865" t="s">
        <v>593</v>
      </c>
      <c r="Q933" s="865" t="s">
        <v>70</v>
      </c>
      <c r="R933" s="867">
        <v>77139.36914</v>
      </c>
      <c r="S933" s="867">
        <v>83780.85063</v>
      </c>
      <c r="T933" s="868">
        <v>69818.17695</v>
      </c>
      <c r="AN933" s="882"/>
      <c r="AO933" s="882"/>
      <c r="AP933" s="882"/>
      <c r="AY933" s="882"/>
      <c r="AZ933" s="882"/>
      <c r="BA933" s="882"/>
      <c r="BJ933" s="882"/>
      <c r="BK933" s="882"/>
      <c r="BL933" s="882"/>
      <c r="BU933" s="882"/>
      <c r="BV933" s="882"/>
      <c r="BW933" s="882"/>
      <c r="CF933" s="882"/>
      <c r="CG933" s="882"/>
      <c r="CH933" s="882"/>
      <c r="CI933" s="530"/>
    </row>
    <row r="934">
      <c r="A934" s="857"/>
      <c r="B934" s="865" t="s">
        <v>640</v>
      </c>
      <c r="C934" s="865" t="s">
        <v>591</v>
      </c>
      <c r="D934" s="865" t="s">
        <v>673</v>
      </c>
      <c r="E934" s="866">
        <v>2019.0</v>
      </c>
      <c r="F934" s="865" t="s">
        <v>593</v>
      </c>
      <c r="G934" s="865" t="s">
        <v>70</v>
      </c>
      <c r="H934" s="867">
        <v>131163.1102</v>
      </c>
      <c r="I934" s="867">
        <v>149674.9912</v>
      </c>
      <c r="J934" s="868">
        <v>112185.7137</v>
      </c>
      <c r="K934" s="50"/>
      <c r="L934" s="869" t="s">
        <v>640</v>
      </c>
      <c r="M934" s="865" t="s">
        <v>591</v>
      </c>
      <c r="N934" s="865" t="s">
        <v>673</v>
      </c>
      <c r="O934" s="866">
        <v>2004.0</v>
      </c>
      <c r="P934" s="865" t="s">
        <v>593</v>
      </c>
      <c r="Q934" s="865" t="s">
        <v>70</v>
      </c>
      <c r="R934" s="867">
        <v>61779.14398</v>
      </c>
      <c r="S934" s="867">
        <v>67095.51317</v>
      </c>
      <c r="T934" s="868">
        <v>55917.23807</v>
      </c>
      <c r="AN934" s="882"/>
      <c r="AO934" s="882"/>
      <c r="AP934" s="882"/>
      <c r="AY934" s="882"/>
      <c r="AZ934" s="882"/>
      <c r="BA934" s="882"/>
      <c r="BJ934" s="882"/>
      <c r="BK934" s="882"/>
      <c r="BL934" s="882"/>
      <c r="BU934" s="882"/>
      <c r="BV934" s="882"/>
      <c r="BW934" s="882"/>
      <c r="CF934" s="882"/>
      <c r="CG934" s="882"/>
      <c r="CH934" s="882"/>
      <c r="CI934" s="530"/>
    </row>
    <row r="935">
      <c r="A935" s="857"/>
      <c r="B935" s="865" t="s">
        <v>640</v>
      </c>
      <c r="C935" s="865" t="s">
        <v>591</v>
      </c>
      <c r="D935" s="865" t="s">
        <v>674</v>
      </c>
      <c r="E935" s="866">
        <v>2019.0</v>
      </c>
      <c r="F935" s="865" t="s">
        <v>593</v>
      </c>
      <c r="G935" s="865" t="s">
        <v>70</v>
      </c>
      <c r="H935" s="867">
        <v>40716.88687</v>
      </c>
      <c r="I935" s="867">
        <v>46463.51917</v>
      </c>
      <c r="J935" s="868">
        <v>34825.74487</v>
      </c>
      <c r="K935" s="50"/>
      <c r="L935" s="869" t="s">
        <v>640</v>
      </c>
      <c r="M935" s="865" t="s">
        <v>591</v>
      </c>
      <c r="N935" s="865" t="s">
        <v>674</v>
      </c>
      <c r="O935" s="866">
        <v>2004.0</v>
      </c>
      <c r="P935" s="865" t="s">
        <v>593</v>
      </c>
      <c r="Q935" s="865" t="s">
        <v>70</v>
      </c>
      <c r="R935" s="867">
        <v>13500.23602</v>
      </c>
      <c r="S935" s="867">
        <v>14661.99118</v>
      </c>
      <c r="T935" s="868">
        <v>12219.26791</v>
      </c>
      <c r="AN935" s="882"/>
      <c r="AO935" s="882"/>
      <c r="AP935" s="882"/>
      <c r="AY935" s="882"/>
      <c r="AZ935" s="882"/>
      <c r="BA935" s="882"/>
      <c r="BJ935" s="882"/>
      <c r="BK935" s="882"/>
      <c r="BL935" s="882"/>
      <c r="BU935" s="882"/>
      <c r="BV935" s="882"/>
      <c r="BW935" s="882"/>
      <c r="CF935" s="882"/>
      <c r="CG935" s="882"/>
      <c r="CH935" s="882"/>
      <c r="CI935" s="530"/>
    </row>
    <row r="936">
      <c r="A936" s="857"/>
      <c r="B936" s="865" t="s">
        <v>640</v>
      </c>
      <c r="C936" s="865" t="s">
        <v>591</v>
      </c>
      <c r="D936" s="865" t="s">
        <v>676</v>
      </c>
      <c r="E936" s="866">
        <v>2019.0</v>
      </c>
      <c r="F936" s="865" t="s">
        <v>593</v>
      </c>
      <c r="G936" s="865" t="s">
        <v>70</v>
      </c>
      <c r="H936" s="867">
        <v>9012.262932</v>
      </c>
      <c r="I936" s="867">
        <v>10284.22072</v>
      </c>
      <c r="J936" s="868">
        <v>7708.319413</v>
      </c>
      <c r="K936" s="50"/>
      <c r="L936" s="869" t="s">
        <v>640</v>
      </c>
      <c r="M936" s="865" t="s">
        <v>591</v>
      </c>
      <c r="N936" s="865" t="s">
        <v>676</v>
      </c>
      <c r="O936" s="866">
        <v>2004.0</v>
      </c>
      <c r="P936" s="865" t="s">
        <v>593</v>
      </c>
      <c r="Q936" s="865" t="s">
        <v>70</v>
      </c>
      <c r="R936" s="867">
        <v>1861.776042</v>
      </c>
      <c r="S936" s="867">
        <v>2021.990124</v>
      </c>
      <c r="T936" s="868">
        <v>1685.121669</v>
      </c>
      <c r="AN936" s="882"/>
      <c r="AO936" s="882"/>
      <c r="AP936" s="882"/>
      <c r="AY936" s="882"/>
      <c r="AZ936" s="882"/>
      <c r="BA936" s="882"/>
      <c r="BJ936" s="882"/>
      <c r="BK936" s="882"/>
      <c r="BL936" s="882"/>
      <c r="BU936" s="882"/>
      <c r="BV936" s="882"/>
      <c r="BW936" s="882"/>
      <c r="CF936" s="882"/>
      <c r="CG936" s="882"/>
      <c r="CH936" s="882"/>
      <c r="CI936" s="530"/>
    </row>
    <row r="937">
      <c r="A937" s="857"/>
      <c r="B937" s="865" t="s">
        <v>640</v>
      </c>
      <c r="C937" s="865" t="s">
        <v>591</v>
      </c>
      <c r="D937" s="865" t="s">
        <v>678</v>
      </c>
      <c r="E937" s="866">
        <v>2019.0</v>
      </c>
      <c r="F937" s="865" t="s">
        <v>593</v>
      </c>
      <c r="G937" s="865" t="s">
        <v>70</v>
      </c>
      <c r="H937" s="867">
        <v>1.075911637E8</v>
      </c>
      <c r="I937" s="867">
        <v>1.227761865E8</v>
      </c>
      <c r="J937" s="868">
        <v>9.202428535E7</v>
      </c>
      <c r="K937" s="50"/>
      <c r="L937" s="869" t="s">
        <v>640</v>
      </c>
      <c r="M937" s="865" t="s">
        <v>591</v>
      </c>
      <c r="N937" s="865" t="s">
        <v>678</v>
      </c>
      <c r="O937" s="866">
        <v>2004.0</v>
      </c>
      <c r="P937" s="865" t="s">
        <v>593</v>
      </c>
      <c r="Q937" s="865" t="s">
        <v>70</v>
      </c>
      <c r="R937" s="867">
        <v>7.443045556E7</v>
      </c>
      <c r="S937" s="867">
        <v>8.083552619E7</v>
      </c>
      <c r="T937" s="868">
        <v>6.736813162E7</v>
      </c>
      <c r="AN937" s="882"/>
      <c r="AO937" s="882"/>
      <c r="AP937" s="882"/>
      <c r="AY937" s="882"/>
      <c r="AZ937" s="882"/>
      <c r="BA937" s="882"/>
      <c r="BJ937" s="882"/>
      <c r="BK937" s="882"/>
      <c r="BL937" s="882"/>
      <c r="BU937" s="882"/>
      <c r="BV937" s="882"/>
      <c r="BW937" s="882"/>
      <c r="CF937" s="882"/>
      <c r="CG937" s="882"/>
      <c r="CH937" s="882"/>
      <c r="CI937" s="530"/>
    </row>
    <row r="938">
      <c r="A938" s="857"/>
      <c r="B938" s="865" t="s">
        <v>640</v>
      </c>
      <c r="C938" s="865" t="s">
        <v>591</v>
      </c>
      <c r="D938" s="865" t="s">
        <v>680</v>
      </c>
      <c r="E938" s="866">
        <v>2019.0</v>
      </c>
      <c r="F938" s="865" t="s">
        <v>593</v>
      </c>
      <c r="G938" s="865" t="s">
        <v>70</v>
      </c>
      <c r="H938" s="867">
        <v>3674574.358</v>
      </c>
      <c r="I938" s="867">
        <v>4002554.836</v>
      </c>
      <c r="J938" s="868">
        <v>3394849.39</v>
      </c>
      <c r="K938" s="50"/>
      <c r="L938" s="869" t="s">
        <v>640</v>
      </c>
      <c r="M938" s="865" t="s">
        <v>591</v>
      </c>
      <c r="N938" s="865" t="s">
        <v>680</v>
      </c>
      <c r="O938" s="866">
        <v>2004.0</v>
      </c>
      <c r="P938" s="865" t="s">
        <v>593</v>
      </c>
      <c r="Q938" s="865" t="s">
        <v>70</v>
      </c>
      <c r="R938" s="867">
        <v>3120079.749</v>
      </c>
      <c r="S938" s="867">
        <v>3253483.102</v>
      </c>
      <c r="T938" s="868">
        <v>2982949.35</v>
      </c>
      <c r="AN938" s="882"/>
      <c r="AO938" s="882"/>
      <c r="AP938" s="882"/>
      <c r="AY938" s="882"/>
      <c r="AZ938" s="882"/>
      <c r="BA938" s="882"/>
      <c r="BJ938" s="882"/>
      <c r="BK938" s="882"/>
      <c r="BL938" s="882"/>
      <c r="BU938" s="882"/>
      <c r="BV938" s="882"/>
      <c r="BW938" s="882"/>
      <c r="CF938" s="882"/>
      <c r="CG938" s="882"/>
      <c r="CH938" s="882"/>
      <c r="CI938" s="530"/>
    </row>
    <row r="939">
      <c r="A939" s="857"/>
      <c r="B939" s="865" t="s">
        <v>640</v>
      </c>
      <c r="C939" s="865" t="s">
        <v>591</v>
      </c>
      <c r="D939" s="865" t="s">
        <v>682</v>
      </c>
      <c r="E939" s="866">
        <v>2019.0</v>
      </c>
      <c r="F939" s="865" t="s">
        <v>593</v>
      </c>
      <c r="G939" s="865" t="s">
        <v>70</v>
      </c>
      <c r="H939" s="867">
        <v>69511.3598</v>
      </c>
      <c r="I939" s="867">
        <v>79321.93855</v>
      </c>
      <c r="J939" s="868">
        <v>59454.07588</v>
      </c>
      <c r="K939" s="50"/>
      <c r="L939" s="869" t="s">
        <v>640</v>
      </c>
      <c r="M939" s="865" t="s">
        <v>591</v>
      </c>
      <c r="N939" s="865" t="s">
        <v>682</v>
      </c>
      <c r="O939" s="866">
        <v>2004.0</v>
      </c>
      <c r="P939" s="865" t="s">
        <v>593</v>
      </c>
      <c r="Q939" s="865" t="s">
        <v>70</v>
      </c>
      <c r="R939" s="867">
        <v>58747.22535</v>
      </c>
      <c r="S939" s="867">
        <v>63802.68451</v>
      </c>
      <c r="T939" s="868">
        <v>53173.00264</v>
      </c>
      <c r="AN939" s="882"/>
      <c r="AO939" s="882"/>
      <c r="AP939" s="882"/>
      <c r="AY939" s="882"/>
      <c r="AZ939" s="882"/>
      <c r="BA939" s="882"/>
      <c r="BJ939" s="882"/>
      <c r="BK939" s="882"/>
      <c r="BL939" s="882"/>
      <c r="BU939" s="882"/>
      <c r="BV939" s="882"/>
      <c r="BW939" s="882"/>
      <c r="CF939" s="882"/>
      <c r="CG939" s="882"/>
      <c r="CH939" s="882"/>
      <c r="CI939" s="530"/>
    </row>
    <row r="940">
      <c r="A940" s="857"/>
      <c r="B940" s="865" t="s">
        <v>640</v>
      </c>
      <c r="C940" s="865" t="s">
        <v>591</v>
      </c>
      <c r="D940" s="865" t="s">
        <v>684</v>
      </c>
      <c r="E940" s="866">
        <v>2019.0</v>
      </c>
      <c r="F940" s="865" t="s">
        <v>593</v>
      </c>
      <c r="G940" s="865" t="s">
        <v>70</v>
      </c>
      <c r="H940" s="867">
        <v>205514.6841</v>
      </c>
      <c r="I940" s="867">
        <v>234520.274</v>
      </c>
      <c r="J940" s="868">
        <v>175779.695</v>
      </c>
      <c r="K940" s="50"/>
      <c r="L940" s="869" t="s">
        <v>640</v>
      </c>
      <c r="M940" s="865" t="s">
        <v>591</v>
      </c>
      <c r="N940" s="865" t="s">
        <v>684</v>
      </c>
      <c r="O940" s="866">
        <v>2004.0</v>
      </c>
      <c r="P940" s="865" t="s">
        <v>593</v>
      </c>
      <c r="Q940" s="865" t="s">
        <v>70</v>
      </c>
      <c r="R940" s="867">
        <v>172180.5182</v>
      </c>
      <c r="S940" s="867">
        <v>186997.415</v>
      </c>
      <c r="T940" s="868">
        <v>155843.1925</v>
      </c>
      <c r="AN940" s="882"/>
      <c r="AO940" s="882"/>
      <c r="AP940" s="882"/>
      <c r="AY940" s="882"/>
      <c r="AZ940" s="882"/>
      <c r="BA940" s="882"/>
      <c r="BJ940" s="882"/>
      <c r="BK940" s="882"/>
      <c r="BL940" s="882"/>
      <c r="BU940" s="882"/>
      <c r="BV940" s="882"/>
      <c r="BW940" s="882"/>
      <c r="CF940" s="882"/>
      <c r="CG940" s="882"/>
      <c r="CH940" s="882"/>
      <c r="CI940" s="530"/>
    </row>
    <row r="941">
      <c r="A941" s="857"/>
      <c r="B941" s="865" t="s">
        <v>640</v>
      </c>
      <c r="C941" s="865" t="s">
        <v>591</v>
      </c>
      <c r="D941" s="865" t="s">
        <v>686</v>
      </c>
      <c r="E941" s="866">
        <v>2019.0</v>
      </c>
      <c r="F941" s="865" t="s">
        <v>593</v>
      </c>
      <c r="G941" s="865" t="s">
        <v>70</v>
      </c>
      <c r="H941" s="867">
        <v>275026.0439</v>
      </c>
      <c r="I941" s="867">
        <v>313842.2125</v>
      </c>
      <c r="J941" s="868">
        <v>235233.7709</v>
      </c>
      <c r="K941" s="50"/>
      <c r="L941" s="869" t="s">
        <v>640</v>
      </c>
      <c r="M941" s="865" t="s">
        <v>591</v>
      </c>
      <c r="N941" s="865" t="s">
        <v>686</v>
      </c>
      <c r="O941" s="866">
        <v>2004.0</v>
      </c>
      <c r="P941" s="865" t="s">
        <v>593</v>
      </c>
      <c r="Q941" s="865" t="s">
        <v>70</v>
      </c>
      <c r="R941" s="867">
        <v>230927.7436</v>
      </c>
      <c r="S941" s="867">
        <v>250800.0996</v>
      </c>
      <c r="T941" s="868">
        <v>209016.1952</v>
      </c>
      <c r="AN941" s="882"/>
      <c r="AO941" s="882"/>
      <c r="AP941" s="882"/>
      <c r="AY941" s="882"/>
      <c r="AZ941" s="882"/>
      <c r="BA941" s="882"/>
      <c r="BJ941" s="882"/>
      <c r="BK941" s="882"/>
      <c r="BL941" s="882"/>
      <c r="BU941" s="882"/>
      <c r="BV941" s="882"/>
      <c r="BW941" s="882"/>
      <c r="CF941" s="882"/>
      <c r="CG941" s="882"/>
      <c r="CH941" s="882"/>
      <c r="CI941" s="530"/>
    </row>
    <row r="942">
      <c r="A942" s="857"/>
      <c r="B942" s="865" t="s">
        <v>640</v>
      </c>
      <c r="C942" s="865" t="s">
        <v>591</v>
      </c>
      <c r="D942" s="865" t="s">
        <v>688</v>
      </c>
      <c r="E942" s="866">
        <v>2019.0</v>
      </c>
      <c r="F942" s="865" t="s">
        <v>593</v>
      </c>
      <c r="G942" s="865" t="s">
        <v>70</v>
      </c>
      <c r="H942" s="867">
        <v>3225032.446</v>
      </c>
      <c r="I942" s="867">
        <v>3680201.715</v>
      </c>
      <c r="J942" s="868">
        <v>2758417.104</v>
      </c>
      <c r="K942" s="50"/>
      <c r="L942" s="869" t="s">
        <v>640</v>
      </c>
      <c r="M942" s="865" t="s">
        <v>591</v>
      </c>
      <c r="N942" s="865" t="s">
        <v>688</v>
      </c>
      <c r="O942" s="866">
        <v>2004.0</v>
      </c>
      <c r="P942" s="865" t="s">
        <v>593</v>
      </c>
      <c r="Q942" s="865" t="s">
        <v>70</v>
      </c>
      <c r="R942" s="867">
        <v>2683727.006</v>
      </c>
      <c r="S942" s="867">
        <v>2914673.611</v>
      </c>
      <c r="T942" s="868">
        <v>2429081.924</v>
      </c>
      <c r="AN942" s="882"/>
      <c r="AO942" s="882"/>
      <c r="AP942" s="882"/>
      <c r="AY942" s="882"/>
      <c r="AZ942" s="882"/>
      <c r="BA942" s="882"/>
      <c r="BJ942" s="882"/>
      <c r="BK942" s="882"/>
      <c r="BL942" s="882"/>
      <c r="BU942" s="882"/>
      <c r="BV942" s="882"/>
      <c r="BW942" s="882"/>
      <c r="CF942" s="882"/>
      <c r="CG942" s="882"/>
      <c r="CH942" s="882"/>
      <c r="CI942" s="530"/>
    </row>
    <row r="943">
      <c r="A943" s="857"/>
      <c r="B943" s="865" t="s">
        <v>640</v>
      </c>
      <c r="C943" s="865" t="s">
        <v>591</v>
      </c>
      <c r="D943" s="865" t="s">
        <v>689</v>
      </c>
      <c r="E943" s="866">
        <v>2019.0</v>
      </c>
      <c r="F943" s="865" t="s">
        <v>593</v>
      </c>
      <c r="G943" s="865" t="s">
        <v>70</v>
      </c>
      <c r="H943" s="867">
        <v>1.66796699E7</v>
      </c>
      <c r="I943" s="867">
        <v>1.903377742E7</v>
      </c>
      <c r="J943" s="868">
        <v>1.426636398E7</v>
      </c>
      <c r="K943" s="50"/>
      <c r="L943" s="869" t="s">
        <v>640</v>
      </c>
      <c r="M943" s="865" t="s">
        <v>591</v>
      </c>
      <c r="N943" s="865" t="s">
        <v>689</v>
      </c>
      <c r="O943" s="866">
        <v>2004.0</v>
      </c>
      <c r="P943" s="865" t="s">
        <v>593</v>
      </c>
      <c r="Q943" s="865" t="s">
        <v>70</v>
      </c>
      <c r="R943" s="867">
        <v>1.337323475E7</v>
      </c>
      <c r="S943" s="867">
        <v>1.452406088E7</v>
      </c>
      <c r="T943" s="868">
        <v>1.210431714E7</v>
      </c>
      <c r="AN943" s="882"/>
      <c r="AO943" s="882"/>
      <c r="AP943" s="882"/>
      <c r="AY943" s="882"/>
      <c r="AZ943" s="882"/>
      <c r="BA943" s="882"/>
      <c r="BJ943" s="882"/>
      <c r="BK943" s="882"/>
      <c r="BL943" s="882"/>
      <c r="BU943" s="882"/>
      <c r="BV943" s="882"/>
      <c r="BW943" s="882"/>
      <c r="CF943" s="882"/>
      <c r="CG943" s="882"/>
      <c r="CH943" s="882"/>
      <c r="CI943" s="530"/>
    </row>
    <row r="944">
      <c r="A944" s="857"/>
      <c r="B944" s="865" t="s">
        <v>642</v>
      </c>
      <c r="C944" s="865" t="s">
        <v>591</v>
      </c>
      <c r="D944" s="865" t="s">
        <v>592</v>
      </c>
      <c r="E944" s="866">
        <v>2019.0</v>
      </c>
      <c r="F944" s="865" t="s">
        <v>593</v>
      </c>
      <c r="G944" s="865" t="s">
        <v>70</v>
      </c>
      <c r="H944" s="867">
        <v>41461.27775</v>
      </c>
      <c r="I944" s="867">
        <v>45943.78841</v>
      </c>
      <c r="J944" s="868">
        <v>37107.31574</v>
      </c>
      <c r="K944" s="50"/>
      <c r="L944" s="869" t="s">
        <v>642</v>
      </c>
      <c r="M944" s="865" t="s">
        <v>591</v>
      </c>
      <c r="N944" s="865" t="s">
        <v>592</v>
      </c>
      <c r="O944" s="866">
        <v>2004.0</v>
      </c>
      <c r="P944" s="865" t="s">
        <v>593</v>
      </c>
      <c r="Q944" s="865" t="s">
        <v>70</v>
      </c>
      <c r="R944" s="867">
        <v>41338.3086</v>
      </c>
      <c r="S944" s="867">
        <v>46429.86331</v>
      </c>
      <c r="T944" s="868">
        <v>36348.67589</v>
      </c>
      <c r="AN944" s="882"/>
      <c r="AO944" s="882"/>
      <c r="AP944" s="882"/>
      <c r="AY944" s="882"/>
      <c r="AZ944" s="882"/>
      <c r="BA944" s="882"/>
      <c r="BJ944" s="882"/>
      <c r="BK944" s="882"/>
      <c r="BL944" s="882"/>
      <c r="BU944" s="882"/>
      <c r="BV944" s="882"/>
      <c r="BW944" s="882"/>
      <c r="CF944" s="882"/>
      <c r="CG944" s="882"/>
      <c r="CH944" s="882"/>
      <c r="CI944" s="530"/>
    </row>
    <row r="945">
      <c r="A945" s="857"/>
      <c r="B945" s="865" t="s">
        <v>642</v>
      </c>
      <c r="C945" s="865" t="s">
        <v>591</v>
      </c>
      <c r="D945" s="865" t="s">
        <v>601</v>
      </c>
      <c r="E945" s="866">
        <v>2019.0</v>
      </c>
      <c r="F945" s="865" t="s">
        <v>593</v>
      </c>
      <c r="G945" s="865" t="s">
        <v>70</v>
      </c>
      <c r="H945" s="867">
        <v>760145.3484</v>
      </c>
      <c r="I945" s="867">
        <v>842327.0808</v>
      </c>
      <c r="J945" s="868">
        <v>680320.4095</v>
      </c>
      <c r="K945" s="50"/>
      <c r="L945" s="869" t="s">
        <v>642</v>
      </c>
      <c r="M945" s="865" t="s">
        <v>591</v>
      </c>
      <c r="N945" s="865" t="s">
        <v>601</v>
      </c>
      <c r="O945" s="866">
        <v>2004.0</v>
      </c>
      <c r="P945" s="865" t="s">
        <v>593</v>
      </c>
      <c r="Q945" s="865" t="s">
        <v>70</v>
      </c>
      <c r="R945" s="867">
        <v>673882.2429</v>
      </c>
      <c r="S945" s="867">
        <v>756882.937</v>
      </c>
      <c r="T945" s="868">
        <v>592543.0446</v>
      </c>
      <c r="AN945" s="882"/>
      <c r="AO945" s="882"/>
      <c r="AP945" s="882"/>
      <c r="AY945" s="882"/>
      <c r="AZ945" s="882"/>
      <c r="BA945" s="882"/>
      <c r="BJ945" s="882"/>
      <c r="BK945" s="882"/>
      <c r="BL945" s="882"/>
      <c r="BU945" s="882"/>
      <c r="BV945" s="882"/>
      <c r="BW945" s="882"/>
      <c r="CF945" s="882"/>
      <c r="CG945" s="882"/>
      <c r="CH945" s="882"/>
      <c r="CI945" s="530"/>
    </row>
    <row r="946">
      <c r="A946" s="857"/>
      <c r="B946" s="865" t="s">
        <v>642</v>
      </c>
      <c r="C946" s="865" t="s">
        <v>591</v>
      </c>
      <c r="D946" s="865" t="s">
        <v>606</v>
      </c>
      <c r="E946" s="866">
        <v>2019.0</v>
      </c>
      <c r="F946" s="865" t="s">
        <v>593</v>
      </c>
      <c r="G946" s="865" t="s">
        <v>70</v>
      </c>
      <c r="H946" s="867">
        <v>582580.5652</v>
      </c>
      <c r="I946" s="867">
        <v>645565.2039</v>
      </c>
      <c r="J946" s="868">
        <v>521402.1891</v>
      </c>
      <c r="K946" s="50"/>
      <c r="L946" s="869" t="s">
        <v>642</v>
      </c>
      <c r="M946" s="865" t="s">
        <v>591</v>
      </c>
      <c r="N946" s="865" t="s">
        <v>606</v>
      </c>
      <c r="O946" s="866">
        <v>2004.0</v>
      </c>
      <c r="P946" s="865" t="s">
        <v>593</v>
      </c>
      <c r="Q946" s="865" t="s">
        <v>70</v>
      </c>
      <c r="R946" s="867">
        <v>534646.5816</v>
      </c>
      <c r="S946" s="867">
        <v>600497.9048</v>
      </c>
      <c r="T946" s="868">
        <v>470113.4605</v>
      </c>
      <c r="AN946" s="882"/>
      <c r="AO946" s="882"/>
      <c r="AP946" s="882"/>
      <c r="AY946" s="882"/>
      <c r="AZ946" s="882"/>
      <c r="BA946" s="882"/>
      <c r="BJ946" s="882"/>
      <c r="BK946" s="882"/>
      <c r="BL946" s="882"/>
      <c r="BU946" s="882"/>
      <c r="BV946" s="882"/>
      <c r="BW946" s="882"/>
      <c r="CF946" s="882"/>
      <c r="CG946" s="882"/>
      <c r="CH946" s="882"/>
      <c r="CI946" s="530"/>
    </row>
    <row r="947">
      <c r="A947" s="857"/>
      <c r="B947" s="865" t="s">
        <v>642</v>
      </c>
      <c r="C947" s="865" t="s">
        <v>591</v>
      </c>
      <c r="D947" s="865" t="s">
        <v>608</v>
      </c>
      <c r="E947" s="866">
        <v>2019.0</v>
      </c>
      <c r="F947" s="865" t="s">
        <v>593</v>
      </c>
      <c r="G947" s="865" t="s">
        <v>70</v>
      </c>
      <c r="H947" s="867">
        <v>160561.4235</v>
      </c>
      <c r="I947" s="867">
        <v>177920.2299</v>
      </c>
      <c r="J947" s="868">
        <v>143700.43</v>
      </c>
      <c r="K947" s="50"/>
      <c r="L947" s="869" t="s">
        <v>642</v>
      </c>
      <c r="M947" s="865" t="s">
        <v>591</v>
      </c>
      <c r="N947" s="865" t="s">
        <v>608</v>
      </c>
      <c r="O947" s="866">
        <v>2004.0</v>
      </c>
      <c r="P947" s="865" t="s">
        <v>593</v>
      </c>
      <c r="Q947" s="865" t="s">
        <v>70</v>
      </c>
      <c r="R947" s="867">
        <v>155560.8285</v>
      </c>
      <c r="S947" s="867">
        <v>174720.9368</v>
      </c>
      <c r="T947" s="868">
        <v>136784.2645</v>
      </c>
      <c r="AN947" s="882"/>
      <c r="AO947" s="882"/>
      <c r="AP947" s="882"/>
      <c r="AY947" s="882"/>
      <c r="AZ947" s="882"/>
      <c r="BA947" s="882"/>
      <c r="BJ947" s="882"/>
      <c r="BK947" s="882"/>
      <c r="BL947" s="882"/>
      <c r="BU947" s="882"/>
      <c r="BV947" s="882"/>
      <c r="BW947" s="882"/>
      <c r="CF947" s="882"/>
      <c r="CG947" s="882"/>
      <c r="CH947" s="882"/>
      <c r="CI947" s="530"/>
    </row>
    <row r="948">
      <c r="A948" s="857"/>
      <c r="B948" s="865" t="s">
        <v>642</v>
      </c>
      <c r="C948" s="865" t="s">
        <v>591</v>
      </c>
      <c r="D948" s="865" t="s">
        <v>610</v>
      </c>
      <c r="E948" s="866">
        <v>2019.0</v>
      </c>
      <c r="F948" s="865" t="s">
        <v>593</v>
      </c>
      <c r="G948" s="865" t="s">
        <v>70</v>
      </c>
      <c r="H948" s="867">
        <v>186803.9614</v>
      </c>
      <c r="I948" s="867">
        <v>206999.932</v>
      </c>
      <c r="J948" s="868">
        <v>167187.1672</v>
      </c>
      <c r="K948" s="50"/>
      <c r="L948" s="869" t="s">
        <v>642</v>
      </c>
      <c r="M948" s="865" t="s">
        <v>591</v>
      </c>
      <c r="N948" s="865" t="s">
        <v>610</v>
      </c>
      <c r="O948" s="866">
        <v>2004.0</v>
      </c>
      <c r="P948" s="865" t="s">
        <v>593</v>
      </c>
      <c r="Q948" s="865" t="s">
        <v>70</v>
      </c>
      <c r="R948" s="867">
        <v>160798.7062</v>
      </c>
      <c r="S948" s="867">
        <v>180603.9532</v>
      </c>
      <c r="T948" s="868">
        <v>141389.9178</v>
      </c>
      <c r="AN948" s="882"/>
      <c r="AO948" s="882"/>
      <c r="AP948" s="882"/>
      <c r="AY948" s="882"/>
      <c r="AZ948" s="882"/>
      <c r="BA948" s="882"/>
      <c r="BJ948" s="882"/>
      <c r="BK948" s="882"/>
      <c r="BL948" s="882"/>
      <c r="BU948" s="882"/>
      <c r="BV948" s="882"/>
      <c r="BW948" s="882"/>
      <c r="CF948" s="882"/>
      <c r="CG948" s="882"/>
      <c r="CH948" s="882"/>
      <c r="CI948" s="530"/>
    </row>
    <row r="949">
      <c r="A949" s="857"/>
      <c r="B949" s="865" t="s">
        <v>642</v>
      </c>
      <c r="C949" s="865" t="s">
        <v>591</v>
      </c>
      <c r="D949" s="865" t="s">
        <v>612</v>
      </c>
      <c r="E949" s="866">
        <v>2019.0</v>
      </c>
      <c r="F949" s="865" t="s">
        <v>593</v>
      </c>
      <c r="G949" s="865" t="s">
        <v>70</v>
      </c>
      <c r="H949" s="867">
        <v>364368.7446</v>
      </c>
      <c r="I949" s="867">
        <v>403761.8089</v>
      </c>
      <c r="J949" s="868">
        <v>326105.3876</v>
      </c>
      <c r="K949" s="50"/>
      <c r="L949" s="869" t="s">
        <v>642</v>
      </c>
      <c r="M949" s="865" t="s">
        <v>591</v>
      </c>
      <c r="N949" s="865" t="s">
        <v>612</v>
      </c>
      <c r="O949" s="866">
        <v>2004.0</v>
      </c>
      <c r="P949" s="865" t="s">
        <v>593</v>
      </c>
      <c r="Q949" s="865" t="s">
        <v>70</v>
      </c>
      <c r="R949" s="867">
        <v>300034.3676</v>
      </c>
      <c r="S949" s="867">
        <v>336988.9854</v>
      </c>
      <c r="T949" s="868">
        <v>263819.5019</v>
      </c>
      <c r="AN949" s="882"/>
      <c r="AO949" s="882"/>
      <c r="AP949" s="882"/>
      <c r="AY949" s="882"/>
      <c r="AZ949" s="882"/>
      <c r="BA949" s="882"/>
      <c r="BJ949" s="882"/>
      <c r="BK949" s="882"/>
      <c r="BL949" s="882"/>
      <c r="BU949" s="882"/>
      <c r="BV949" s="882"/>
      <c r="BW949" s="882"/>
      <c r="CF949" s="882"/>
      <c r="CG949" s="882"/>
      <c r="CH949" s="882"/>
      <c r="CI949" s="530"/>
    </row>
    <row r="950">
      <c r="A950" s="857"/>
      <c r="B950" s="865" t="s">
        <v>642</v>
      </c>
      <c r="C950" s="865" t="s">
        <v>591</v>
      </c>
      <c r="D950" s="865" t="s">
        <v>614</v>
      </c>
      <c r="E950" s="866">
        <v>2019.0</v>
      </c>
      <c r="F950" s="865" t="s">
        <v>593</v>
      </c>
      <c r="G950" s="865" t="s">
        <v>70</v>
      </c>
      <c r="H950" s="867">
        <v>531664.7686</v>
      </c>
      <c r="I950" s="867">
        <v>589144.7384</v>
      </c>
      <c r="J950" s="868">
        <v>475833.1993</v>
      </c>
      <c r="K950" s="50"/>
      <c r="L950" s="869" t="s">
        <v>642</v>
      </c>
      <c r="M950" s="865" t="s">
        <v>591</v>
      </c>
      <c r="N950" s="865" t="s">
        <v>614</v>
      </c>
      <c r="O950" s="866">
        <v>2004.0</v>
      </c>
      <c r="P950" s="865" t="s">
        <v>593</v>
      </c>
      <c r="Q950" s="865" t="s">
        <v>70</v>
      </c>
      <c r="R950" s="867">
        <v>423101.1932</v>
      </c>
      <c r="S950" s="867">
        <v>475213.6997</v>
      </c>
      <c r="T950" s="868">
        <v>372031.8673</v>
      </c>
      <c r="AN950" s="882"/>
      <c r="AO950" s="882"/>
      <c r="AP950" s="882"/>
      <c r="AY950" s="882"/>
      <c r="AZ950" s="882"/>
      <c r="BA950" s="882"/>
      <c r="BJ950" s="882"/>
      <c r="BK950" s="882"/>
      <c r="BL950" s="882"/>
      <c r="BU950" s="882"/>
      <c r="BV950" s="882"/>
      <c r="BW950" s="882"/>
      <c r="CF950" s="882"/>
      <c r="CG950" s="882"/>
      <c r="CH950" s="882"/>
      <c r="CI950" s="530"/>
    </row>
    <row r="951">
      <c r="A951" s="857"/>
      <c r="B951" s="865" t="s">
        <v>642</v>
      </c>
      <c r="C951" s="865" t="s">
        <v>591</v>
      </c>
      <c r="D951" s="865" t="s">
        <v>616</v>
      </c>
      <c r="E951" s="866">
        <v>2019.0</v>
      </c>
      <c r="F951" s="865" t="s">
        <v>593</v>
      </c>
      <c r="G951" s="865" t="s">
        <v>70</v>
      </c>
      <c r="H951" s="867">
        <v>177564.7832</v>
      </c>
      <c r="I951" s="867">
        <v>196761.8769</v>
      </c>
      <c r="J951" s="868">
        <v>158918.2204</v>
      </c>
      <c r="K951" s="50"/>
      <c r="L951" s="869" t="s">
        <v>642</v>
      </c>
      <c r="M951" s="865" t="s">
        <v>591</v>
      </c>
      <c r="N951" s="865" t="s">
        <v>616</v>
      </c>
      <c r="O951" s="866">
        <v>2004.0</v>
      </c>
      <c r="P951" s="865" t="s">
        <v>593</v>
      </c>
      <c r="Q951" s="865" t="s">
        <v>70</v>
      </c>
      <c r="R951" s="867">
        <v>139235.6613</v>
      </c>
      <c r="S951" s="867">
        <v>156385.0322</v>
      </c>
      <c r="T951" s="868">
        <v>122429.584</v>
      </c>
      <c r="AN951" s="882"/>
      <c r="AO951" s="882"/>
      <c r="AP951" s="882"/>
      <c r="AY951" s="882"/>
      <c r="AZ951" s="882"/>
      <c r="BA951" s="882"/>
      <c r="BJ951" s="882"/>
      <c r="BK951" s="882"/>
      <c r="BL951" s="882"/>
      <c r="BU951" s="882"/>
      <c r="BV951" s="882"/>
      <c r="BW951" s="882"/>
      <c r="CF951" s="882"/>
      <c r="CG951" s="882"/>
      <c r="CH951" s="882"/>
      <c r="CI951" s="530"/>
    </row>
    <row r="952">
      <c r="A952" s="857"/>
      <c r="B952" s="865" t="s">
        <v>642</v>
      </c>
      <c r="C952" s="865" t="s">
        <v>591</v>
      </c>
      <c r="D952" s="865" t="s">
        <v>618</v>
      </c>
      <c r="E952" s="866">
        <v>2019.0</v>
      </c>
      <c r="F952" s="865" t="s">
        <v>593</v>
      </c>
      <c r="G952" s="865" t="s">
        <v>70</v>
      </c>
      <c r="H952" s="867">
        <v>744192.1761</v>
      </c>
      <c r="I952" s="867">
        <v>824557.197</v>
      </c>
      <c r="J952" s="868">
        <v>666065.3712</v>
      </c>
      <c r="K952" s="50"/>
      <c r="L952" s="869" t="s">
        <v>642</v>
      </c>
      <c r="M952" s="865" t="s">
        <v>591</v>
      </c>
      <c r="N952" s="865" t="s">
        <v>618</v>
      </c>
      <c r="O952" s="866">
        <v>2004.0</v>
      </c>
      <c r="P952" s="865" t="s">
        <v>593</v>
      </c>
      <c r="Q952" s="865" t="s">
        <v>70</v>
      </c>
      <c r="R952" s="867">
        <v>539878.2334</v>
      </c>
      <c r="S952" s="867">
        <v>606260.7127</v>
      </c>
      <c r="T952" s="868">
        <v>475021.1905</v>
      </c>
      <c r="AN952" s="882"/>
      <c r="AO952" s="882"/>
      <c r="AP952" s="882"/>
      <c r="AY952" s="882"/>
      <c r="AZ952" s="882"/>
      <c r="BA952" s="882"/>
      <c r="BJ952" s="882"/>
      <c r="BK952" s="882"/>
      <c r="BL952" s="882"/>
      <c r="BU952" s="882"/>
      <c r="BV952" s="882"/>
      <c r="BW952" s="882"/>
      <c r="CF952" s="882"/>
      <c r="CG952" s="882"/>
      <c r="CH952" s="882"/>
      <c r="CI952" s="530"/>
    </row>
    <row r="953">
      <c r="A953" s="857"/>
      <c r="B953" s="865" t="s">
        <v>642</v>
      </c>
      <c r="C953" s="865" t="s">
        <v>591</v>
      </c>
      <c r="D953" s="865" t="s">
        <v>620</v>
      </c>
      <c r="E953" s="866">
        <v>2019.0</v>
      </c>
      <c r="F953" s="865" t="s">
        <v>593</v>
      </c>
      <c r="G953" s="865" t="s">
        <v>70</v>
      </c>
      <c r="H953" s="867">
        <v>923700.8907</v>
      </c>
      <c r="I953" s="867">
        <v>1023565.133</v>
      </c>
      <c r="J953" s="868">
        <v>826700.5376</v>
      </c>
      <c r="K953" s="50"/>
      <c r="L953" s="869" t="s">
        <v>642</v>
      </c>
      <c r="M953" s="865" t="s">
        <v>591</v>
      </c>
      <c r="N953" s="865" t="s">
        <v>620</v>
      </c>
      <c r="O953" s="866">
        <v>2004.0</v>
      </c>
      <c r="P953" s="865" t="s">
        <v>593</v>
      </c>
      <c r="Q953" s="865" t="s">
        <v>70</v>
      </c>
      <c r="R953" s="867">
        <v>659671.9146</v>
      </c>
      <c r="S953" s="867">
        <v>740922.3518</v>
      </c>
      <c r="T953" s="868">
        <v>580047.9369</v>
      </c>
      <c r="AN953" s="882"/>
      <c r="AO953" s="882"/>
      <c r="AP953" s="882"/>
      <c r="AY953" s="882"/>
      <c r="AZ953" s="882"/>
      <c r="BA953" s="882"/>
      <c r="BJ953" s="882"/>
      <c r="BK953" s="882"/>
      <c r="BL953" s="882"/>
      <c r="BU953" s="882"/>
      <c r="BV953" s="882"/>
      <c r="BW953" s="882"/>
      <c r="CF953" s="882"/>
      <c r="CG953" s="882"/>
      <c r="CH953" s="882"/>
      <c r="CI953" s="530"/>
    </row>
    <row r="954">
      <c r="A954" s="857"/>
      <c r="B954" s="865" t="s">
        <v>642</v>
      </c>
      <c r="C954" s="865" t="s">
        <v>591</v>
      </c>
      <c r="D954" s="865" t="s">
        <v>622</v>
      </c>
      <c r="E954" s="866">
        <v>2019.0</v>
      </c>
      <c r="F954" s="865" t="s">
        <v>593</v>
      </c>
      <c r="G954" s="865" t="s">
        <v>70</v>
      </c>
      <c r="H954" s="867">
        <v>990034.9464</v>
      </c>
      <c r="I954" s="867">
        <v>1096948.432</v>
      </c>
      <c r="J954" s="868">
        <v>886099.0686</v>
      </c>
      <c r="K954" s="50"/>
      <c r="L954" s="869" t="s">
        <v>642</v>
      </c>
      <c r="M954" s="865" t="s">
        <v>591</v>
      </c>
      <c r="N954" s="865" t="s">
        <v>622</v>
      </c>
      <c r="O954" s="866">
        <v>2004.0</v>
      </c>
      <c r="P954" s="865" t="s">
        <v>593</v>
      </c>
      <c r="Q954" s="865" t="s">
        <v>70</v>
      </c>
      <c r="R954" s="867">
        <v>674692.7547</v>
      </c>
      <c r="S954" s="867">
        <v>757651.7908</v>
      </c>
      <c r="T954" s="868">
        <v>593640.0761</v>
      </c>
      <c r="AN954" s="882"/>
      <c r="AO954" s="882"/>
      <c r="AP954" s="882"/>
      <c r="AY954" s="882"/>
      <c r="AZ954" s="882"/>
      <c r="BA954" s="882"/>
      <c r="BJ954" s="882"/>
      <c r="BK954" s="882"/>
      <c r="BL954" s="882"/>
      <c r="BU954" s="882"/>
      <c r="BV954" s="882"/>
      <c r="BW954" s="882"/>
      <c r="CF954" s="882"/>
      <c r="CG954" s="882"/>
      <c r="CH954" s="882"/>
      <c r="CI954" s="530"/>
    </row>
    <row r="955">
      <c r="A955" s="857"/>
      <c r="B955" s="865" t="s">
        <v>642</v>
      </c>
      <c r="C955" s="865" t="s">
        <v>591</v>
      </c>
      <c r="D955" s="865" t="s">
        <v>624</v>
      </c>
      <c r="E955" s="866">
        <v>2019.0</v>
      </c>
      <c r="F955" s="865" t="s">
        <v>593</v>
      </c>
      <c r="G955" s="865" t="s">
        <v>70</v>
      </c>
      <c r="H955" s="867">
        <v>167296.024</v>
      </c>
      <c r="I955" s="867">
        <v>185382.9295</v>
      </c>
      <c r="J955" s="868">
        <v>149727.8117</v>
      </c>
      <c r="K955" s="50"/>
      <c r="L955" s="869" t="s">
        <v>642</v>
      </c>
      <c r="M955" s="865" t="s">
        <v>591</v>
      </c>
      <c r="N955" s="865" t="s">
        <v>624</v>
      </c>
      <c r="O955" s="866">
        <v>2004.0</v>
      </c>
      <c r="P955" s="865" t="s">
        <v>593</v>
      </c>
      <c r="Q955" s="865" t="s">
        <v>70</v>
      </c>
      <c r="R955" s="867">
        <v>123066.8257</v>
      </c>
      <c r="S955" s="867">
        <v>138224.7142</v>
      </c>
      <c r="T955" s="868">
        <v>108212.3655</v>
      </c>
      <c r="AN955" s="882"/>
      <c r="AO955" s="882"/>
      <c r="AP955" s="882"/>
      <c r="AY955" s="882"/>
      <c r="AZ955" s="882"/>
      <c r="BA955" s="882"/>
      <c r="BJ955" s="882"/>
      <c r="BK955" s="882"/>
      <c r="BL955" s="882"/>
      <c r="BU955" s="882"/>
      <c r="BV955" s="882"/>
      <c r="BW955" s="882"/>
      <c r="CF955" s="882"/>
      <c r="CG955" s="882"/>
      <c r="CH955" s="882"/>
      <c r="CI955" s="530"/>
    </row>
    <row r="956">
      <c r="A956" s="857"/>
      <c r="B956" s="865" t="s">
        <v>642</v>
      </c>
      <c r="C956" s="865" t="s">
        <v>591</v>
      </c>
      <c r="D956" s="865" t="s">
        <v>625</v>
      </c>
      <c r="E956" s="866">
        <v>2019.0</v>
      </c>
      <c r="F956" s="865" t="s">
        <v>593</v>
      </c>
      <c r="G956" s="865" t="s">
        <v>70</v>
      </c>
      <c r="H956" s="867">
        <v>822596.6669</v>
      </c>
      <c r="I956" s="867">
        <v>911530.21</v>
      </c>
      <c r="J956" s="868">
        <v>736213.5444</v>
      </c>
      <c r="K956" s="50"/>
      <c r="L956" s="869" t="s">
        <v>642</v>
      </c>
      <c r="M956" s="865" t="s">
        <v>591</v>
      </c>
      <c r="N956" s="865" t="s">
        <v>625</v>
      </c>
      <c r="O956" s="866">
        <v>2004.0</v>
      </c>
      <c r="P956" s="865" t="s">
        <v>593</v>
      </c>
      <c r="Q956" s="865" t="s">
        <v>70</v>
      </c>
      <c r="R956" s="867">
        <v>551471.9384</v>
      </c>
      <c r="S956" s="867">
        <v>619395.6063</v>
      </c>
      <c r="T956" s="868">
        <v>484907.9565</v>
      </c>
      <c r="AN956" s="882"/>
      <c r="AO956" s="882"/>
      <c r="AP956" s="882"/>
      <c r="AY956" s="882"/>
      <c r="AZ956" s="882"/>
      <c r="BA956" s="882"/>
      <c r="BJ956" s="882"/>
      <c r="BK956" s="882"/>
      <c r="BL956" s="882"/>
      <c r="BU956" s="882"/>
      <c r="BV956" s="882"/>
      <c r="BW956" s="882"/>
      <c r="CF956" s="882"/>
      <c r="CG956" s="882"/>
      <c r="CH956" s="882"/>
      <c r="CI956" s="530"/>
    </row>
    <row r="957">
      <c r="A957" s="857"/>
      <c r="B957" s="865" t="s">
        <v>642</v>
      </c>
      <c r="C957" s="865" t="s">
        <v>591</v>
      </c>
      <c r="D957" s="865" t="s">
        <v>627</v>
      </c>
      <c r="E957" s="866">
        <v>2019.0</v>
      </c>
      <c r="F957" s="865" t="s">
        <v>593</v>
      </c>
      <c r="G957" s="865" t="s">
        <v>70</v>
      </c>
      <c r="H957" s="867">
        <v>153082.8784</v>
      </c>
      <c r="I957" s="867">
        <v>169633.1555</v>
      </c>
      <c r="J957" s="868">
        <v>137007.2273</v>
      </c>
      <c r="K957" s="50"/>
      <c r="L957" s="869" t="s">
        <v>642</v>
      </c>
      <c r="M957" s="865" t="s">
        <v>591</v>
      </c>
      <c r="N957" s="865" t="s">
        <v>627</v>
      </c>
      <c r="O957" s="866">
        <v>2004.0</v>
      </c>
      <c r="P957" s="865" t="s">
        <v>593</v>
      </c>
      <c r="Q957" s="865" t="s">
        <v>70</v>
      </c>
      <c r="R957" s="867">
        <v>107236.6271</v>
      </c>
      <c r="S957" s="867">
        <v>120444.7426</v>
      </c>
      <c r="T957" s="868">
        <v>94292.90977</v>
      </c>
      <c r="AN957" s="882"/>
      <c r="AO957" s="882"/>
      <c r="AP957" s="882"/>
      <c r="AY957" s="882"/>
      <c r="AZ957" s="882"/>
      <c r="BA957" s="882"/>
      <c r="BJ957" s="882"/>
      <c r="BK957" s="882"/>
      <c r="BL957" s="882"/>
      <c r="BU957" s="882"/>
      <c r="BV957" s="882"/>
      <c r="BW957" s="882"/>
      <c r="CF957" s="882"/>
      <c r="CG957" s="882"/>
      <c r="CH957" s="882"/>
      <c r="CI957" s="530"/>
    </row>
    <row r="958">
      <c r="A958" s="857"/>
      <c r="B958" s="865" t="s">
        <v>642</v>
      </c>
      <c r="C958" s="865" t="s">
        <v>591</v>
      </c>
      <c r="D958" s="865" t="s">
        <v>629</v>
      </c>
      <c r="E958" s="866">
        <v>2019.0</v>
      </c>
      <c r="F958" s="865" t="s">
        <v>593</v>
      </c>
      <c r="G958" s="865" t="s">
        <v>70</v>
      </c>
      <c r="H958" s="867">
        <v>578923.2674</v>
      </c>
      <c r="I958" s="867">
        <v>641440.9638</v>
      </c>
      <c r="J958" s="868">
        <v>518146.728</v>
      </c>
      <c r="K958" s="50"/>
      <c r="L958" s="869" t="s">
        <v>642</v>
      </c>
      <c r="M958" s="865" t="s">
        <v>591</v>
      </c>
      <c r="N958" s="865" t="s">
        <v>629</v>
      </c>
      <c r="O958" s="866">
        <v>2004.0</v>
      </c>
      <c r="P958" s="865" t="s">
        <v>593</v>
      </c>
      <c r="Q958" s="865" t="s">
        <v>70</v>
      </c>
      <c r="R958" s="867">
        <v>397460.1432</v>
      </c>
      <c r="S958" s="867">
        <v>446331.1443</v>
      </c>
      <c r="T958" s="868">
        <v>349712.1735</v>
      </c>
      <c r="AN958" s="882"/>
      <c r="AO958" s="882"/>
      <c r="AP958" s="882"/>
      <c r="AY958" s="882"/>
      <c r="AZ958" s="882"/>
      <c r="BA958" s="882"/>
      <c r="BJ958" s="882"/>
      <c r="BK958" s="882"/>
      <c r="BL958" s="882"/>
      <c r="BU958" s="882"/>
      <c r="BV958" s="882"/>
      <c r="BW958" s="882"/>
      <c r="CF958" s="882"/>
      <c r="CG958" s="882"/>
      <c r="CH958" s="882"/>
      <c r="CI958" s="530"/>
    </row>
    <row r="959">
      <c r="A959" s="857"/>
      <c r="B959" s="865" t="s">
        <v>642</v>
      </c>
      <c r="C959" s="865" t="s">
        <v>591</v>
      </c>
      <c r="D959" s="865" t="s">
        <v>631</v>
      </c>
      <c r="E959" s="866">
        <v>2019.0</v>
      </c>
      <c r="F959" s="865" t="s">
        <v>593</v>
      </c>
      <c r="G959" s="865" t="s">
        <v>70</v>
      </c>
      <c r="H959" s="867">
        <v>132277.2367</v>
      </c>
      <c r="I959" s="867">
        <v>146578.1497</v>
      </c>
      <c r="J959" s="868">
        <v>118386.4428</v>
      </c>
      <c r="K959" s="50"/>
      <c r="L959" s="869" t="s">
        <v>642</v>
      </c>
      <c r="M959" s="865" t="s">
        <v>591</v>
      </c>
      <c r="N959" s="865" t="s">
        <v>631</v>
      </c>
      <c r="O959" s="866">
        <v>2004.0</v>
      </c>
      <c r="P959" s="865" t="s">
        <v>593</v>
      </c>
      <c r="Q959" s="865" t="s">
        <v>70</v>
      </c>
      <c r="R959" s="867">
        <v>92410.71695</v>
      </c>
      <c r="S959" s="867">
        <v>103792.7555</v>
      </c>
      <c r="T959" s="868">
        <v>81256.52241</v>
      </c>
      <c r="AN959" s="882"/>
      <c r="AO959" s="882"/>
      <c r="AP959" s="882"/>
      <c r="AY959" s="882"/>
      <c r="AZ959" s="882"/>
      <c r="BA959" s="882"/>
      <c r="BJ959" s="882"/>
      <c r="BK959" s="882"/>
      <c r="BL959" s="882"/>
      <c r="BU959" s="882"/>
      <c r="BV959" s="882"/>
      <c r="BW959" s="882"/>
      <c r="CF959" s="882"/>
      <c r="CG959" s="882"/>
      <c r="CH959" s="882"/>
      <c r="CI959" s="530"/>
    </row>
    <row r="960">
      <c r="A960" s="857"/>
      <c r="B960" s="865" t="s">
        <v>642</v>
      </c>
      <c r="C960" s="865" t="s">
        <v>591</v>
      </c>
      <c r="D960" s="865" t="s">
        <v>633</v>
      </c>
      <c r="E960" s="866">
        <v>2019.0</v>
      </c>
      <c r="F960" s="865" t="s">
        <v>593</v>
      </c>
      <c r="G960" s="865" t="s">
        <v>70</v>
      </c>
      <c r="H960" s="867">
        <v>113864.3227</v>
      </c>
      <c r="I960" s="867">
        <v>126174.557</v>
      </c>
      <c r="J960" s="868">
        <v>101907.1192</v>
      </c>
      <c r="K960" s="50"/>
      <c r="L960" s="869" t="s">
        <v>642</v>
      </c>
      <c r="M960" s="865" t="s">
        <v>591</v>
      </c>
      <c r="N960" s="865" t="s">
        <v>633</v>
      </c>
      <c r="O960" s="866">
        <v>2004.0</v>
      </c>
      <c r="P960" s="865" t="s">
        <v>593</v>
      </c>
      <c r="Q960" s="865" t="s">
        <v>70</v>
      </c>
      <c r="R960" s="867">
        <v>77805.1815</v>
      </c>
      <c r="S960" s="867">
        <v>87388.28618</v>
      </c>
      <c r="T960" s="868">
        <v>68413.91002</v>
      </c>
      <c r="AN960" s="882"/>
      <c r="AO960" s="882"/>
      <c r="AP960" s="882"/>
      <c r="AY960" s="882"/>
      <c r="AZ960" s="882"/>
      <c r="BA960" s="882"/>
      <c r="BJ960" s="882"/>
      <c r="BK960" s="882"/>
      <c r="BL960" s="882"/>
      <c r="BU960" s="882"/>
      <c r="BV960" s="882"/>
      <c r="BW960" s="882"/>
      <c r="CF960" s="882"/>
      <c r="CG960" s="882"/>
      <c r="CH960" s="882"/>
      <c r="CI960" s="530"/>
    </row>
    <row r="961">
      <c r="A961" s="857"/>
      <c r="B961" s="865" t="s">
        <v>642</v>
      </c>
      <c r="C961" s="865" t="s">
        <v>591</v>
      </c>
      <c r="D961" s="865" t="s">
        <v>635</v>
      </c>
      <c r="E961" s="866">
        <v>2019.0</v>
      </c>
      <c r="F961" s="865" t="s">
        <v>593</v>
      </c>
      <c r="G961" s="865" t="s">
        <v>70</v>
      </c>
      <c r="H961" s="867">
        <v>96643.6193</v>
      </c>
      <c r="I961" s="867">
        <v>107092.0685</v>
      </c>
      <c r="J961" s="868">
        <v>86494.80891</v>
      </c>
      <c r="K961" s="50"/>
      <c r="L961" s="869" t="s">
        <v>642</v>
      </c>
      <c r="M961" s="865" t="s">
        <v>591</v>
      </c>
      <c r="N961" s="865" t="s">
        <v>635</v>
      </c>
      <c r="O961" s="866">
        <v>2004.0</v>
      </c>
      <c r="P961" s="865" t="s">
        <v>593</v>
      </c>
      <c r="Q961" s="865" t="s">
        <v>70</v>
      </c>
      <c r="R961" s="867">
        <v>66376.54915</v>
      </c>
      <c r="S961" s="867">
        <v>74552.01261</v>
      </c>
      <c r="T961" s="868">
        <v>58364.74093</v>
      </c>
      <c r="AN961" s="882"/>
      <c r="AO961" s="882"/>
      <c r="AP961" s="882"/>
      <c r="AY961" s="882"/>
      <c r="AZ961" s="882"/>
      <c r="BA961" s="882"/>
      <c r="BJ961" s="882"/>
      <c r="BK961" s="882"/>
      <c r="BL961" s="882"/>
      <c r="BU961" s="882"/>
      <c r="BV961" s="882"/>
      <c r="BW961" s="882"/>
      <c r="CF961" s="882"/>
      <c r="CG961" s="882"/>
      <c r="CH961" s="882"/>
      <c r="CI961" s="530"/>
    </row>
    <row r="962">
      <c r="A962" s="857"/>
      <c r="B962" s="865" t="s">
        <v>642</v>
      </c>
      <c r="C962" s="865" t="s">
        <v>591</v>
      </c>
      <c r="D962" s="865" t="s">
        <v>637</v>
      </c>
      <c r="E962" s="866">
        <v>2019.0</v>
      </c>
      <c r="F962" s="865" t="s">
        <v>593</v>
      </c>
      <c r="G962" s="865" t="s">
        <v>70</v>
      </c>
      <c r="H962" s="867">
        <v>82972.02632</v>
      </c>
      <c r="I962" s="867">
        <v>91942.39609</v>
      </c>
      <c r="J962" s="868">
        <v>74258.90724</v>
      </c>
      <c r="K962" s="50"/>
      <c r="L962" s="869" t="s">
        <v>642</v>
      </c>
      <c r="M962" s="865" t="s">
        <v>591</v>
      </c>
      <c r="N962" s="865" t="s">
        <v>637</v>
      </c>
      <c r="O962" s="866">
        <v>2004.0</v>
      </c>
      <c r="P962" s="865" t="s">
        <v>593</v>
      </c>
      <c r="Q962" s="865" t="s">
        <v>70</v>
      </c>
      <c r="R962" s="867">
        <v>53540.35291</v>
      </c>
      <c r="S962" s="867">
        <v>60134.80841</v>
      </c>
      <c r="T962" s="868">
        <v>47077.90427</v>
      </c>
      <c r="AN962" s="882"/>
      <c r="AO962" s="882"/>
      <c r="AP962" s="882"/>
      <c r="AY962" s="882"/>
      <c r="AZ962" s="882"/>
      <c r="BA962" s="882"/>
      <c r="BJ962" s="882"/>
      <c r="BK962" s="882"/>
      <c r="BL962" s="882"/>
      <c r="BU962" s="882"/>
      <c r="BV962" s="882"/>
      <c r="BW962" s="882"/>
      <c r="CF962" s="882"/>
      <c r="CG962" s="882"/>
      <c r="CH962" s="882"/>
      <c r="CI962" s="530"/>
    </row>
    <row r="963">
      <c r="A963" s="857"/>
      <c r="B963" s="865" t="s">
        <v>642</v>
      </c>
      <c r="C963" s="865" t="s">
        <v>591</v>
      </c>
      <c r="D963" s="865" t="s">
        <v>639</v>
      </c>
      <c r="E963" s="866">
        <v>2019.0</v>
      </c>
      <c r="F963" s="865" t="s">
        <v>593</v>
      </c>
      <c r="G963" s="865" t="s">
        <v>70</v>
      </c>
      <c r="H963" s="867">
        <v>558202.8538</v>
      </c>
      <c r="I963" s="867">
        <v>618482.9608</v>
      </c>
      <c r="J963" s="868">
        <v>499601.5854</v>
      </c>
      <c r="K963" s="50"/>
      <c r="L963" s="869" t="s">
        <v>642</v>
      </c>
      <c r="M963" s="865" t="s">
        <v>591</v>
      </c>
      <c r="N963" s="865" t="s">
        <v>639</v>
      </c>
      <c r="O963" s="866">
        <v>2004.0</v>
      </c>
      <c r="P963" s="865" t="s">
        <v>593</v>
      </c>
      <c r="Q963" s="865" t="s">
        <v>70</v>
      </c>
      <c r="R963" s="867">
        <v>477091.9964</v>
      </c>
      <c r="S963" s="867">
        <v>535754.3903</v>
      </c>
      <c r="T963" s="868">
        <v>419777.6352</v>
      </c>
      <c r="AN963" s="882"/>
      <c r="AO963" s="882"/>
      <c r="AP963" s="882"/>
      <c r="AY963" s="882"/>
      <c r="AZ963" s="882"/>
      <c r="BA963" s="882"/>
      <c r="BJ963" s="882"/>
      <c r="BK963" s="882"/>
      <c r="BL963" s="882"/>
      <c r="BU963" s="882"/>
      <c r="BV963" s="882"/>
      <c r="BW963" s="882"/>
      <c r="CF963" s="882"/>
      <c r="CG963" s="882"/>
      <c r="CH963" s="882"/>
      <c r="CI963" s="530"/>
    </row>
    <row r="964">
      <c r="A964" s="857"/>
      <c r="B964" s="865" t="s">
        <v>642</v>
      </c>
      <c r="C964" s="865" t="s">
        <v>591</v>
      </c>
      <c r="D964" s="865" t="s">
        <v>641</v>
      </c>
      <c r="E964" s="866">
        <v>2019.0</v>
      </c>
      <c r="F964" s="865" t="s">
        <v>593</v>
      </c>
      <c r="G964" s="865" t="s">
        <v>70</v>
      </c>
      <c r="H964" s="867">
        <v>193753.9026</v>
      </c>
      <c r="I964" s="867">
        <v>214701.2535</v>
      </c>
      <c r="J964" s="868">
        <v>173407.2761</v>
      </c>
      <c r="K964" s="50"/>
      <c r="L964" s="869" t="s">
        <v>642</v>
      </c>
      <c r="M964" s="865" t="s">
        <v>591</v>
      </c>
      <c r="N964" s="865" t="s">
        <v>641</v>
      </c>
      <c r="O964" s="866">
        <v>2004.0</v>
      </c>
      <c r="P964" s="865" t="s">
        <v>593</v>
      </c>
      <c r="Q964" s="865" t="s">
        <v>70</v>
      </c>
      <c r="R964" s="867">
        <v>176948.7382</v>
      </c>
      <c r="S964" s="867">
        <v>198743.1515</v>
      </c>
      <c r="T964" s="868">
        <v>155590.6023</v>
      </c>
      <c r="AN964" s="882"/>
      <c r="AO964" s="882"/>
      <c r="AP964" s="882"/>
      <c r="AY964" s="882"/>
      <c r="AZ964" s="882"/>
      <c r="BA964" s="882"/>
      <c r="BJ964" s="882"/>
      <c r="BK964" s="882"/>
      <c r="BL964" s="882"/>
      <c r="BU964" s="882"/>
      <c r="BV964" s="882"/>
      <c r="BW964" s="882"/>
      <c r="CF964" s="882"/>
      <c r="CG964" s="882"/>
      <c r="CH964" s="882"/>
      <c r="CI964" s="530"/>
    </row>
    <row r="965">
      <c r="A965" s="857"/>
      <c r="B965" s="865" t="s">
        <v>642</v>
      </c>
      <c r="C965" s="865" t="s">
        <v>591</v>
      </c>
      <c r="D965" s="865" t="s">
        <v>643</v>
      </c>
      <c r="E965" s="866">
        <v>2019.0</v>
      </c>
      <c r="F965" s="865" t="s">
        <v>593</v>
      </c>
      <c r="G965" s="865" t="s">
        <v>70</v>
      </c>
      <c r="H965" s="867">
        <v>69715.34852</v>
      </c>
      <c r="I965" s="867">
        <v>77252.49668</v>
      </c>
      <c r="J965" s="868">
        <v>62394.34938</v>
      </c>
      <c r="K965" s="50"/>
      <c r="L965" s="869" t="s">
        <v>642</v>
      </c>
      <c r="M965" s="865" t="s">
        <v>591</v>
      </c>
      <c r="N965" s="865" t="s">
        <v>643</v>
      </c>
      <c r="O965" s="866">
        <v>2004.0</v>
      </c>
      <c r="P965" s="865" t="s">
        <v>593</v>
      </c>
      <c r="Q965" s="865" t="s">
        <v>70</v>
      </c>
      <c r="R965" s="867">
        <v>43336.57458</v>
      </c>
      <c r="S965" s="867">
        <v>48674.25161</v>
      </c>
      <c r="T965" s="868">
        <v>38105.74638</v>
      </c>
      <c r="AN965" s="882"/>
      <c r="AO965" s="882"/>
      <c r="AP965" s="882"/>
      <c r="AY965" s="882"/>
      <c r="AZ965" s="882"/>
      <c r="BA965" s="882"/>
      <c r="BJ965" s="882"/>
      <c r="BK965" s="882"/>
      <c r="BL965" s="882"/>
      <c r="BU965" s="882"/>
      <c r="BV965" s="882"/>
      <c r="BW965" s="882"/>
      <c r="CF965" s="882"/>
      <c r="CG965" s="882"/>
      <c r="CH965" s="882"/>
      <c r="CI965" s="530"/>
    </row>
    <row r="966">
      <c r="A966" s="857"/>
      <c r="B966" s="865" t="s">
        <v>642</v>
      </c>
      <c r="C966" s="865" t="s">
        <v>591</v>
      </c>
      <c r="D966" s="865" t="s">
        <v>645</v>
      </c>
      <c r="E966" s="866">
        <v>2019.0</v>
      </c>
      <c r="F966" s="865" t="s">
        <v>593</v>
      </c>
      <c r="G966" s="865" t="s">
        <v>70</v>
      </c>
      <c r="H966" s="867">
        <v>200815.5433</v>
      </c>
      <c r="I966" s="867">
        <v>222526.3507</v>
      </c>
      <c r="J966" s="868">
        <v>179727.3547</v>
      </c>
      <c r="K966" s="50"/>
      <c r="L966" s="869" t="s">
        <v>642</v>
      </c>
      <c r="M966" s="865" t="s">
        <v>591</v>
      </c>
      <c r="N966" s="865" t="s">
        <v>645</v>
      </c>
      <c r="O966" s="866">
        <v>2004.0</v>
      </c>
      <c r="P966" s="865" t="s">
        <v>593</v>
      </c>
      <c r="Q966" s="865" t="s">
        <v>70</v>
      </c>
      <c r="R966" s="867">
        <v>118290.3235</v>
      </c>
      <c r="S966" s="867">
        <v>132859.9001</v>
      </c>
      <c r="T966" s="868">
        <v>104012.3986</v>
      </c>
      <c r="AN966" s="882"/>
      <c r="AO966" s="882"/>
      <c r="AP966" s="882"/>
      <c r="AY966" s="882"/>
      <c r="AZ966" s="882"/>
      <c r="BA966" s="882"/>
      <c r="BJ966" s="882"/>
      <c r="BK966" s="882"/>
      <c r="BL966" s="882"/>
      <c r="BU966" s="882"/>
      <c r="BV966" s="882"/>
      <c r="BW966" s="882"/>
      <c r="CF966" s="882"/>
      <c r="CG966" s="882"/>
      <c r="CH966" s="882"/>
      <c r="CI966" s="530"/>
    </row>
    <row r="967">
      <c r="A967" s="857"/>
      <c r="B967" s="865" t="s">
        <v>642</v>
      </c>
      <c r="C967" s="865" t="s">
        <v>591</v>
      </c>
      <c r="D967" s="865" t="s">
        <v>604</v>
      </c>
      <c r="E967" s="866">
        <v>2019.0</v>
      </c>
      <c r="F967" s="865" t="s">
        <v>593</v>
      </c>
      <c r="G967" s="865" t="s">
        <v>70</v>
      </c>
      <c r="H967" s="867">
        <v>380557.864</v>
      </c>
      <c r="I967" s="867">
        <v>421701.1855</v>
      </c>
      <c r="J967" s="868">
        <v>340594.4434</v>
      </c>
      <c r="K967" s="50"/>
      <c r="L967" s="869" t="s">
        <v>642</v>
      </c>
      <c r="M967" s="865" t="s">
        <v>591</v>
      </c>
      <c r="N967" s="865" t="s">
        <v>604</v>
      </c>
      <c r="O967" s="866">
        <v>2004.0</v>
      </c>
      <c r="P967" s="865" t="s">
        <v>593</v>
      </c>
      <c r="Q967" s="865" t="s">
        <v>70</v>
      </c>
      <c r="R967" s="867">
        <v>337747.4444</v>
      </c>
      <c r="S967" s="867">
        <v>379347.1047</v>
      </c>
      <c r="T967" s="868">
        <v>296980.5202</v>
      </c>
      <c r="AN967" s="882"/>
      <c r="AO967" s="882"/>
      <c r="AP967" s="882"/>
      <c r="AY967" s="882"/>
      <c r="AZ967" s="882"/>
      <c r="BA967" s="882"/>
      <c r="BJ967" s="882"/>
      <c r="BK967" s="882"/>
      <c r="BL967" s="882"/>
      <c r="BU967" s="882"/>
      <c r="BV967" s="882"/>
      <c r="BW967" s="882"/>
      <c r="CF967" s="882"/>
      <c r="CG967" s="882"/>
      <c r="CH967" s="882"/>
      <c r="CI967" s="530"/>
    </row>
    <row r="968">
      <c r="A968" s="857"/>
      <c r="B968" s="865" t="s">
        <v>642</v>
      </c>
      <c r="C968" s="865" t="s">
        <v>591</v>
      </c>
      <c r="D968" s="865" t="s">
        <v>647</v>
      </c>
      <c r="E968" s="866">
        <v>2019.0</v>
      </c>
      <c r="F968" s="865" t="s">
        <v>593</v>
      </c>
      <c r="G968" s="865" t="s">
        <v>70</v>
      </c>
      <c r="H968" s="867">
        <v>174066.246</v>
      </c>
      <c r="I968" s="867">
        <v>192863.5915</v>
      </c>
      <c r="J968" s="868">
        <v>155792.4182</v>
      </c>
      <c r="K968" s="50"/>
      <c r="L968" s="869" t="s">
        <v>642</v>
      </c>
      <c r="M968" s="865" t="s">
        <v>591</v>
      </c>
      <c r="N968" s="865" t="s">
        <v>647</v>
      </c>
      <c r="O968" s="866">
        <v>2004.0</v>
      </c>
      <c r="P968" s="865" t="s">
        <v>593</v>
      </c>
      <c r="Q968" s="865" t="s">
        <v>70</v>
      </c>
      <c r="R968" s="867">
        <v>110791.223</v>
      </c>
      <c r="S968" s="867">
        <v>124413.9171</v>
      </c>
      <c r="T968" s="868">
        <v>97481.57152</v>
      </c>
      <c r="AN968" s="882"/>
      <c r="AO968" s="882"/>
      <c r="AP968" s="882"/>
      <c r="AY968" s="882"/>
      <c r="AZ968" s="882"/>
      <c r="BA968" s="882"/>
      <c r="BJ968" s="882"/>
      <c r="BK968" s="882"/>
      <c r="BL968" s="882"/>
      <c r="BU968" s="882"/>
      <c r="BV968" s="882"/>
      <c r="BW968" s="882"/>
      <c r="CF968" s="882"/>
      <c r="CG968" s="882"/>
      <c r="CH968" s="882"/>
      <c r="CI968" s="530"/>
    </row>
    <row r="969">
      <c r="A969" s="857"/>
      <c r="B969" s="865" t="s">
        <v>642</v>
      </c>
      <c r="C969" s="865" t="s">
        <v>591</v>
      </c>
      <c r="D969" s="865" t="s">
        <v>649</v>
      </c>
      <c r="E969" s="866">
        <v>2019.0</v>
      </c>
      <c r="F969" s="865" t="s">
        <v>593</v>
      </c>
      <c r="G969" s="865" t="s">
        <v>70</v>
      </c>
      <c r="H969" s="867">
        <v>57196.74575</v>
      </c>
      <c r="I969" s="867">
        <v>63380.46793</v>
      </c>
      <c r="J969" s="868">
        <v>51190.35928</v>
      </c>
      <c r="K969" s="50"/>
      <c r="L969" s="869" t="s">
        <v>642</v>
      </c>
      <c r="M969" s="865" t="s">
        <v>591</v>
      </c>
      <c r="N969" s="865" t="s">
        <v>649</v>
      </c>
      <c r="O969" s="866">
        <v>2004.0</v>
      </c>
      <c r="P969" s="865" t="s">
        <v>593</v>
      </c>
      <c r="Q969" s="865" t="s">
        <v>70</v>
      </c>
      <c r="R969" s="867">
        <v>28205.51261</v>
      </c>
      <c r="S969" s="867">
        <v>31679.52776</v>
      </c>
      <c r="T969" s="868">
        <v>24801.03978</v>
      </c>
      <c r="AN969" s="882"/>
      <c r="AO969" s="882"/>
      <c r="AP969" s="882"/>
      <c r="AY969" s="882"/>
      <c r="AZ969" s="882"/>
      <c r="BA969" s="882"/>
      <c r="BJ969" s="882"/>
      <c r="BK969" s="882"/>
      <c r="BL969" s="882"/>
      <c r="BU969" s="882"/>
      <c r="BV969" s="882"/>
      <c r="BW969" s="882"/>
      <c r="CF969" s="882"/>
      <c r="CG969" s="882"/>
      <c r="CH969" s="882"/>
      <c r="CI969" s="530"/>
    </row>
    <row r="970">
      <c r="A970" s="857"/>
      <c r="B970" s="865" t="s">
        <v>642</v>
      </c>
      <c r="C970" s="865" t="s">
        <v>591</v>
      </c>
      <c r="D970" s="865" t="s">
        <v>651</v>
      </c>
      <c r="E970" s="866">
        <v>2019.0</v>
      </c>
      <c r="F970" s="865" t="s">
        <v>593</v>
      </c>
      <c r="G970" s="865" t="s">
        <v>70</v>
      </c>
      <c r="H970" s="867">
        <v>42647.13708</v>
      </c>
      <c r="I970" s="867">
        <v>47257.85477</v>
      </c>
      <c r="J970" s="868">
        <v>38168.64475</v>
      </c>
      <c r="K970" s="50"/>
      <c r="L970" s="869" t="s">
        <v>642</v>
      </c>
      <c r="M970" s="865" t="s">
        <v>591</v>
      </c>
      <c r="N970" s="865" t="s">
        <v>651</v>
      </c>
      <c r="O970" s="866">
        <v>2004.0</v>
      </c>
      <c r="P970" s="865" t="s">
        <v>593</v>
      </c>
      <c r="Q970" s="865" t="s">
        <v>70</v>
      </c>
      <c r="R970" s="867">
        <v>25166.43278</v>
      </c>
      <c r="S970" s="867">
        <v>28266.1307</v>
      </c>
      <c r="T970" s="868">
        <v>22128.78415</v>
      </c>
      <c r="AN970" s="882"/>
      <c r="AO970" s="882"/>
      <c r="AP970" s="882"/>
      <c r="AY970" s="882"/>
      <c r="AZ970" s="882"/>
      <c r="BA970" s="882"/>
      <c r="BJ970" s="882"/>
      <c r="BK970" s="882"/>
      <c r="BL970" s="882"/>
      <c r="BU970" s="882"/>
      <c r="BV970" s="882"/>
      <c r="BW970" s="882"/>
      <c r="CF970" s="882"/>
      <c r="CG970" s="882"/>
      <c r="CH970" s="882"/>
      <c r="CI970" s="530"/>
    </row>
    <row r="971">
      <c r="A971" s="857"/>
      <c r="B971" s="865" t="s">
        <v>642</v>
      </c>
      <c r="C971" s="865" t="s">
        <v>591</v>
      </c>
      <c r="D971" s="865" t="s">
        <v>653</v>
      </c>
      <c r="E971" s="866">
        <v>2019.0</v>
      </c>
      <c r="F971" s="865" t="s">
        <v>593</v>
      </c>
      <c r="G971" s="865" t="s">
        <v>70</v>
      </c>
      <c r="H971" s="867">
        <v>31256.31199</v>
      </c>
      <c r="I971" s="867">
        <v>34635.53133</v>
      </c>
      <c r="J971" s="868">
        <v>27974.0013</v>
      </c>
      <c r="K971" s="50"/>
      <c r="L971" s="869" t="s">
        <v>642</v>
      </c>
      <c r="M971" s="865" t="s">
        <v>591</v>
      </c>
      <c r="N971" s="865" t="s">
        <v>653</v>
      </c>
      <c r="O971" s="866">
        <v>2004.0</v>
      </c>
      <c r="P971" s="865" t="s">
        <v>593</v>
      </c>
      <c r="Q971" s="865" t="s">
        <v>70</v>
      </c>
      <c r="R971" s="867">
        <v>21581.80357</v>
      </c>
      <c r="S971" s="867">
        <v>24239.99007</v>
      </c>
      <c r="T971" s="868">
        <v>18976.82827</v>
      </c>
      <c r="AN971" s="882"/>
      <c r="AO971" s="882"/>
      <c r="AP971" s="882"/>
      <c r="AY971" s="882"/>
      <c r="AZ971" s="882"/>
      <c r="BA971" s="882"/>
      <c r="BJ971" s="882"/>
      <c r="BK971" s="882"/>
      <c r="BL971" s="882"/>
      <c r="BU971" s="882"/>
      <c r="BV971" s="882"/>
      <c r="BW971" s="882"/>
      <c r="CF971" s="882"/>
      <c r="CG971" s="882"/>
      <c r="CH971" s="882"/>
      <c r="CI971" s="530"/>
    </row>
    <row r="972">
      <c r="A972" s="857"/>
      <c r="B972" s="865" t="s">
        <v>642</v>
      </c>
      <c r="C972" s="865" t="s">
        <v>591</v>
      </c>
      <c r="D972" s="865" t="s">
        <v>655</v>
      </c>
      <c r="E972" s="866">
        <v>2019.0</v>
      </c>
      <c r="F972" s="865" t="s">
        <v>593</v>
      </c>
      <c r="G972" s="865" t="s">
        <v>70</v>
      </c>
      <c r="H972" s="867">
        <v>48779.78219</v>
      </c>
      <c r="I972" s="867">
        <v>54047.49172</v>
      </c>
      <c r="J972" s="868">
        <v>43658.78167</v>
      </c>
      <c r="K972" s="50"/>
      <c r="L972" s="869" t="s">
        <v>642</v>
      </c>
      <c r="M972" s="865" t="s">
        <v>591</v>
      </c>
      <c r="N972" s="865" t="s">
        <v>655</v>
      </c>
      <c r="O972" s="866">
        <v>2004.0</v>
      </c>
      <c r="P972" s="865" t="s">
        <v>593</v>
      </c>
      <c r="Q972" s="865" t="s">
        <v>70</v>
      </c>
      <c r="R972" s="867">
        <v>38106.60458</v>
      </c>
      <c r="S972" s="867">
        <v>42792.12575</v>
      </c>
      <c r="T972" s="868">
        <v>33528.75436</v>
      </c>
      <c r="AN972" s="882"/>
      <c r="AO972" s="882"/>
      <c r="AP972" s="882"/>
      <c r="AY972" s="882"/>
      <c r="AZ972" s="882"/>
      <c r="BA972" s="882"/>
      <c r="BJ972" s="882"/>
      <c r="BK972" s="882"/>
      <c r="BL972" s="882"/>
      <c r="BU972" s="882"/>
      <c r="BV972" s="882"/>
      <c r="BW972" s="882"/>
      <c r="CF972" s="882"/>
      <c r="CG972" s="882"/>
      <c r="CH972" s="882"/>
      <c r="CI972" s="530"/>
    </row>
    <row r="973">
      <c r="A973" s="857"/>
      <c r="B973" s="865" t="s">
        <v>642</v>
      </c>
      <c r="C973" s="865" t="s">
        <v>591</v>
      </c>
      <c r="D973" s="865" t="s">
        <v>657</v>
      </c>
      <c r="E973" s="866">
        <v>2019.0</v>
      </c>
      <c r="F973" s="865" t="s">
        <v>593</v>
      </c>
      <c r="G973" s="865" t="s">
        <v>70</v>
      </c>
      <c r="H973" s="867">
        <v>17516.46117</v>
      </c>
      <c r="I973" s="867">
        <v>19410.22153</v>
      </c>
      <c r="J973" s="868">
        <v>15677.00975</v>
      </c>
      <c r="K973" s="50"/>
      <c r="L973" s="869" t="s">
        <v>642</v>
      </c>
      <c r="M973" s="865" t="s">
        <v>591</v>
      </c>
      <c r="N973" s="865" t="s">
        <v>657</v>
      </c>
      <c r="O973" s="866">
        <v>2004.0</v>
      </c>
      <c r="P973" s="865" t="s">
        <v>593</v>
      </c>
      <c r="Q973" s="865" t="s">
        <v>70</v>
      </c>
      <c r="R973" s="867">
        <v>16516.10362</v>
      </c>
      <c r="S973" s="867">
        <v>18550.35824</v>
      </c>
      <c r="T973" s="868">
        <v>14522.57042</v>
      </c>
      <c r="AN973" s="882"/>
      <c r="AO973" s="882"/>
      <c r="AP973" s="882"/>
      <c r="AY973" s="882"/>
      <c r="AZ973" s="882"/>
      <c r="BA973" s="882"/>
      <c r="BJ973" s="882"/>
      <c r="BK973" s="882"/>
      <c r="BL973" s="882"/>
      <c r="BU973" s="882"/>
      <c r="BV973" s="882"/>
      <c r="BW973" s="882"/>
      <c r="CF973" s="882"/>
      <c r="CG973" s="882"/>
      <c r="CH973" s="882"/>
      <c r="CI973" s="530"/>
    </row>
    <row r="974">
      <c r="A974" s="857"/>
      <c r="B974" s="865" t="s">
        <v>642</v>
      </c>
      <c r="C974" s="865" t="s">
        <v>591</v>
      </c>
      <c r="D974" s="865" t="s">
        <v>659</v>
      </c>
      <c r="E974" s="866">
        <v>2019.0</v>
      </c>
      <c r="F974" s="865" t="s">
        <v>593</v>
      </c>
      <c r="G974" s="865" t="s">
        <v>70</v>
      </c>
      <c r="H974" s="867">
        <v>42941.04006</v>
      </c>
      <c r="I974" s="867">
        <v>47583.53253</v>
      </c>
      <c r="J974" s="868">
        <v>38431.68417</v>
      </c>
      <c r="K974" s="50"/>
      <c r="L974" s="869" t="s">
        <v>642</v>
      </c>
      <c r="M974" s="865" t="s">
        <v>591</v>
      </c>
      <c r="N974" s="865" t="s">
        <v>659</v>
      </c>
      <c r="O974" s="866">
        <v>2004.0</v>
      </c>
      <c r="P974" s="865" t="s">
        <v>593</v>
      </c>
      <c r="Q974" s="865" t="s">
        <v>70</v>
      </c>
      <c r="R974" s="867">
        <v>35812.18721</v>
      </c>
      <c r="S974" s="867">
        <v>40223.10088</v>
      </c>
      <c r="T974" s="868">
        <v>31489.57056</v>
      </c>
      <c r="AN974" s="882"/>
      <c r="AO974" s="882"/>
      <c r="AP974" s="882"/>
      <c r="AY974" s="882"/>
      <c r="AZ974" s="882"/>
      <c r="BA974" s="882"/>
      <c r="BJ974" s="882"/>
      <c r="BK974" s="882"/>
      <c r="BL974" s="882"/>
      <c r="BU974" s="882"/>
      <c r="BV974" s="882"/>
      <c r="BW974" s="882"/>
      <c r="CF974" s="882"/>
      <c r="CG974" s="882"/>
      <c r="CH974" s="882"/>
      <c r="CI974" s="530"/>
    </row>
    <row r="975">
      <c r="A975" s="857"/>
      <c r="B975" s="865" t="s">
        <v>642</v>
      </c>
      <c r="C975" s="865" t="s">
        <v>591</v>
      </c>
      <c r="D975" s="865" t="s">
        <v>661</v>
      </c>
      <c r="E975" s="866">
        <v>2019.0</v>
      </c>
      <c r="F975" s="865" t="s">
        <v>593</v>
      </c>
      <c r="G975" s="865" t="s">
        <v>70</v>
      </c>
      <c r="H975" s="867">
        <v>25428.2326</v>
      </c>
      <c r="I975" s="867">
        <v>28174.21745</v>
      </c>
      <c r="J975" s="868">
        <v>22758.72514</v>
      </c>
      <c r="K975" s="50"/>
      <c r="L975" s="869" t="s">
        <v>642</v>
      </c>
      <c r="M975" s="865" t="s">
        <v>591</v>
      </c>
      <c r="N975" s="865" t="s">
        <v>661</v>
      </c>
      <c r="O975" s="866">
        <v>2004.0</v>
      </c>
      <c r="P975" s="865" t="s">
        <v>593</v>
      </c>
      <c r="Q975" s="865" t="s">
        <v>70</v>
      </c>
      <c r="R975" s="867">
        <v>19300.48869</v>
      </c>
      <c r="S975" s="867">
        <v>21673.64288</v>
      </c>
      <c r="T975" s="868">
        <v>16981.86841</v>
      </c>
      <c r="AN975" s="882"/>
      <c r="AO975" s="882"/>
      <c r="AP975" s="882"/>
      <c r="AY975" s="882"/>
      <c r="AZ975" s="882"/>
      <c r="BA975" s="882"/>
      <c r="BJ975" s="882"/>
      <c r="BK975" s="882"/>
      <c r="BL975" s="882"/>
      <c r="BU975" s="882"/>
      <c r="BV975" s="882"/>
      <c r="BW975" s="882"/>
      <c r="CF975" s="882"/>
      <c r="CG975" s="882"/>
      <c r="CH975" s="882"/>
      <c r="CI975" s="530"/>
    </row>
    <row r="976">
      <c r="A976" s="857"/>
      <c r="B976" s="865" t="s">
        <v>642</v>
      </c>
      <c r="C976" s="865" t="s">
        <v>591</v>
      </c>
      <c r="D976" s="865" t="s">
        <v>663</v>
      </c>
      <c r="E976" s="866">
        <v>2019.0</v>
      </c>
      <c r="F976" s="865" t="s">
        <v>593</v>
      </c>
      <c r="G976" s="865" t="s">
        <v>70</v>
      </c>
      <c r="H976" s="867">
        <v>12712.43916</v>
      </c>
      <c r="I976" s="867">
        <v>14086.82141</v>
      </c>
      <c r="J976" s="868">
        <v>11377.47121</v>
      </c>
      <c r="K976" s="50"/>
      <c r="L976" s="869" t="s">
        <v>642</v>
      </c>
      <c r="M976" s="865" t="s">
        <v>591</v>
      </c>
      <c r="N976" s="865" t="s">
        <v>663</v>
      </c>
      <c r="O976" s="866">
        <v>2004.0</v>
      </c>
      <c r="P976" s="865" t="s">
        <v>593</v>
      </c>
      <c r="Q976" s="865" t="s">
        <v>70</v>
      </c>
      <c r="R976" s="867">
        <v>10582.20417</v>
      </c>
      <c r="S976" s="867">
        <v>11885.59256</v>
      </c>
      <c r="T976" s="868">
        <v>9304.906819</v>
      </c>
      <c r="AN976" s="882"/>
      <c r="AO976" s="882"/>
      <c r="AP976" s="882"/>
      <c r="AY976" s="882"/>
      <c r="AZ976" s="882"/>
      <c r="BA976" s="882"/>
      <c r="BJ976" s="882"/>
      <c r="BK976" s="882"/>
      <c r="BL976" s="882"/>
      <c r="BU976" s="882"/>
      <c r="BV976" s="882"/>
      <c r="BW976" s="882"/>
      <c r="CF976" s="882"/>
      <c r="CG976" s="882"/>
      <c r="CH976" s="882"/>
      <c r="CI976" s="530"/>
    </row>
    <row r="977">
      <c r="A977" s="857"/>
      <c r="B977" s="865" t="s">
        <v>642</v>
      </c>
      <c r="C977" s="865" t="s">
        <v>591</v>
      </c>
      <c r="D977" s="865" t="s">
        <v>665</v>
      </c>
      <c r="E977" s="866">
        <v>2019.0</v>
      </c>
      <c r="F977" s="865" t="s">
        <v>593</v>
      </c>
      <c r="G977" s="865" t="s">
        <v>70</v>
      </c>
      <c r="H977" s="867">
        <v>20533.51313</v>
      </c>
      <c r="I977" s="867">
        <v>22750.91915</v>
      </c>
      <c r="J977" s="868">
        <v>18377.86325</v>
      </c>
      <c r="K977" s="50"/>
      <c r="L977" s="869" t="s">
        <v>642</v>
      </c>
      <c r="M977" s="865" t="s">
        <v>591</v>
      </c>
      <c r="N977" s="865" t="s">
        <v>665</v>
      </c>
      <c r="O977" s="866">
        <v>2004.0</v>
      </c>
      <c r="P977" s="865" t="s">
        <v>593</v>
      </c>
      <c r="Q977" s="865" t="s">
        <v>70</v>
      </c>
      <c r="R977" s="867">
        <v>16219.25344</v>
      </c>
      <c r="S977" s="867">
        <v>18213.54435</v>
      </c>
      <c r="T977" s="868">
        <v>14270.79034</v>
      </c>
      <c r="AN977" s="882"/>
      <c r="AO977" s="882"/>
      <c r="AP977" s="882"/>
      <c r="AY977" s="882"/>
      <c r="AZ977" s="882"/>
      <c r="BA977" s="882"/>
      <c r="BJ977" s="882"/>
      <c r="BK977" s="882"/>
      <c r="BL977" s="882"/>
      <c r="BU977" s="882"/>
      <c r="BV977" s="882"/>
      <c r="BW977" s="882"/>
      <c r="CF977" s="882"/>
      <c r="CG977" s="882"/>
      <c r="CH977" s="882"/>
      <c r="CI977" s="530"/>
    </row>
    <row r="978">
      <c r="A978" s="857"/>
      <c r="B978" s="865" t="s">
        <v>642</v>
      </c>
      <c r="C978" s="865" t="s">
        <v>591</v>
      </c>
      <c r="D978" s="865" t="s">
        <v>667</v>
      </c>
      <c r="E978" s="866">
        <v>2019.0</v>
      </c>
      <c r="F978" s="865" t="s">
        <v>593</v>
      </c>
      <c r="G978" s="865" t="s">
        <v>70</v>
      </c>
      <c r="H978" s="867">
        <v>12712.13972</v>
      </c>
      <c r="I978" s="867">
        <v>14086.4896</v>
      </c>
      <c r="J978" s="868">
        <v>11377.20322</v>
      </c>
      <c r="K978" s="50"/>
      <c r="L978" s="869" t="s">
        <v>642</v>
      </c>
      <c r="M978" s="865" t="s">
        <v>591</v>
      </c>
      <c r="N978" s="865" t="s">
        <v>667</v>
      </c>
      <c r="O978" s="866">
        <v>2004.0</v>
      </c>
      <c r="P978" s="865" t="s">
        <v>593</v>
      </c>
      <c r="Q978" s="865" t="s">
        <v>70</v>
      </c>
      <c r="R978" s="867">
        <v>8713.879411</v>
      </c>
      <c r="S978" s="867">
        <v>9787.150071</v>
      </c>
      <c r="T978" s="868">
        <v>7662.093326</v>
      </c>
      <c r="AN978" s="882"/>
      <c r="AO978" s="882"/>
      <c r="AP978" s="882"/>
      <c r="AY978" s="882"/>
      <c r="AZ978" s="882"/>
      <c r="BA978" s="882"/>
      <c r="BJ978" s="882"/>
      <c r="BK978" s="882"/>
      <c r="BL978" s="882"/>
      <c r="BU978" s="882"/>
      <c r="BV978" s="882"/>
      <c r="BW978" s="882"/>
      <c r="CF978" s="882"/>
      <c r="CG978" s="882"/>
      <c r="CH978" s="882"/>
      <c r="CI978" s="530"/>
    </row>
    <row r="979">
      <c r="A979" s="857"/>
      <c r="B979" s="865" t="s">
        <v>642</v>
      </c>
      <c r="C979" s="865" t="s">
        <v>591</v>
      </c>
      <c r="D979" s="865" t="s">
        <v>669</v>
      </c>
      <c r="E979" s="866">
        <v>2019.0</v>
      </c>
      <c r="F979" s="865" t="s">
        <v>593</v>
      </c>
      <c r="G979" s="865" t="s">
        <v>70</v>
      </c>
      <c r="H979" s="867">
        <v>7818.123563</v>
      </c>
      <c r="I979" s="867">
        <v>8663.365778</v>
      </c>
      <c r="J979" s="868">
        <v>6997.121057</v>
      </c>
      <c r="K979" s="50"/>
      <c r="L979" s="869" t="s">
        <v>642</v>
      </c>
      <c r="M979" s="865" t="s">
        <v>591</v>
      </c>
      <c r="N979" s="865" t="s">
        <v>669</v>
      </c>
      <c r="O979" s="866">
        <v>2004.0</v>
      </c>
      <c r="P979" s="865" t="s">
        <v>593</v>
      </c>
      <c r="Q979" s="865" t="s">
        <v>70</v>
      </c>
      <c r="R979" s="867">
        <v>5633.347412</v>
      </c>
      <c r="S979" s="867">
        <v>6327.195263</v>
      </c>
      <c r="T979" s="868">
        <v>4953.388907</v>
      </c>
      <c r="AN979" s="882"/>
      <c r="AO979" s="882"/>
      <c r="AP979" s="882"/>
      <c r="AY979" s="882"/>
      <c r="AZ979" s="882"/>
      <c r="BA979" s="882"/>
      <c r="BJ979" s="882"/>
      <c r="BK979" s="882"/>
      <c r="BL979" s="882"/>
      <c r="BU979" s="882"/>
      <c r="BV979" s="882"/>
      <c r="BW979" s="882"/>
      <c r="CF979" s="882"/>
      <c r="CG979" s="882"/>
      <c r="CH979" s="882"/>
      <c r="CI979" s="530"/>
    </row>
    <row r="980">
      <c r="A980" s="857"/>
      <c r="B980" s="865" t="s">
        <v>642</v>
      </c>
      <c r="C980" s="865" t="s">
        <v>591</v>
      </c>
      <c r="D980" s="865" t="s">
        <v>671</v>
      </c>
      <c r="E980" s="866">
        <v>2019.0</v>
      </c>
      <c r="F980" s="865" t="s">
        <v>593</v>
      </c>
      <c r="G980" s="865" t="s">
        <v>70</v>
      </c>
      <c r="H980" s="867">
        <v>4894.719471</v>
      </c>
      <c r="I980" s="867">
        <v>5423.298304</v>
      </c>
      <c r="J980" s="868">
        <v>4380.861887</v>
      </c>
      <c r="K980" s="50"/>
      <c r="L980" s="869" t="s">
        <v>642</v>
      </c>
      <c r="M980" s="865" t="s">
        <v>591</v>
      </c>
      <c r="N980" s="865" t="s">
        <v>671</v>
      </c>
      <c r="O980" s="866">
        <v>2004.0</v>
      </c>
      <c r="P980" s="865" t="s">
        <v>593</v>
      </c>
      <c r="Q980" s="865" t="s">
        <v>70</v>
      </c>
      <c r="R980" s="867">
        <v>3081.235254</v>
      </c>
      <c r="S980" s="867">
        <v>3460.098529</v>
      </c>
      <c r="T980" s="868">
        <v>2711.078069</v>
      </c>
      <c r="AN980" s="882"/>
      <c r="AO980" s="882"/>
      <c r="AP980" s="882"/>
      <c r="AY980" s="882"/>
      <c r="AZ980" s="882"/>
      <c r="BA980" s="882"/>
      <c r="BJ980" s="882"/>
      <c r="BK980" s="882"/>
      <c r="BL980" s="882"/>
      <c r="BU980" s="882"/>
      <c r="BV980" s="882"/>
      <c r="BW980" s="882"/>
      <c r="CF980" s="882"/>
      <c r="CG980" s="882"/>
      <c r="CH980" s="882"/>
      <c r="CI980" s="530"/>
    </row>
    <row r="981">
      <c r="A981" s="857"/>
      <c r="B981" s="865" t="s">
        <v>642</v>
      </c>
      <c r="C981" s="865" t="s">
        <v>591</v>
      </c>
      <c r="D981" s="865" t="s">
        <v>673</v>
      </c>
      <c r="E981" s="866">
        <v>2019.0</v>
      </c>
      <c r="F981" s="865" t="s">
        <v>593</v>
      </c>
      <c r="G981" s="865" t="s">
        <v>70</v>
      </c>
      <c r="H981" s="867">
        <v>3555.442418</v>
      </c>
      <c r="I981" s="867">
        <v>3939.83261</v>
      </c>
      <c r="J981" s="868">
        <v>3182.0757</v>
      </c>
      <c r="K981" s="50"/>
      <c r="L981" s="869" t="s">
        <v>642</v>
      </c>
      <c r="M981" s="865" t="s">
        <v>591</v>
      </c>
      <c r="N981" s="865" t="s">
        <v>673</v>
      </c>
      <c r="O981" s="866">
        <v>2004.0</v>
      </c>
      <c r="P981" s="865" t="s">
        <v>593</v>
      </c>
      <c r="Q981" s="865" t="s">
        <v>70</v>
      </c>
      <c r="R981" s="867">
        <v>2285.971579</v>
      </c>
      <c r="S981" s="867">
        <v>2567.530012</v>
      </c>
      <c r="T981" s="868">
        <v>2010.049343</v>
      </c>
      <c r="AN981" s="882"/>
      <c r="AO981" s="882"/>
      <c r="AP981" s="882"/>
      <c r="AY981" s="882"/>
      <c r="AZ981" s="882"/>
      <c r="BA981" s="882"/>
      <c r="BJ981" s="882"/>
      <c r="BK981" s="882"/>
      <c r="BL981" s="882"/>
      <c r="BU981" s="882"/>
      <c r="BV981" s="882"/>
      <c r="BW981" s="882"/>
      <c r="CF981" s="882"/>
      <c r="CG981" s="882"/>
      <c r="CH981" s="882"/>
      <c r="CI981" s="530"/>
    </row>
    <row r="982">
      <c r="A982" s="857"/>
      <c r="B982" s="865" t="s">
        <v>642</v>
      </c>
      <c r="C982" s="865" t="s">
        <v>591</v>
      </c>
      <c r="D982" s="865" t="s">
        <v>674</v>
      </c>
      <c r="E982" s="866">
        <v>2019.0</v>
      </c>
      <c r="F982" s="865" t="s">
        <v>593</v>
      </c>
      <c r="G982" s="865" t="s">
        <v>70</v>
      </c>
      <c r="H982" s="867">
        <v>1081.085322</v>
      </c>
      <c r="I982" s="867">
        <v>1197.964896</v>
      </c>
      <c r="J982" s="868">
        <v>967.5576</v>
      </c>
      <c r="K982" s="50"/>
      <c r="L982" s="869" t="s">
        <v>642</v>
      </c>
      <c r="M982" s="865" t="s">
        <v>591</v>
      </c>
      <c r="N982" s="865" t="s">
        <v>674</v>
      </c>
      <c r="O982" s="866">
        <v>2004.0</v>
      </c>
      <c r="P982" s="865" t="s">
        <v>593</v>
      </c>
      <c r="Q982" s="865" t="s">
        <v>70</v>
      </c>
      <c r="R982" s="867">
        <v>642.3975941</v>
      </c>
      <c r="S982" s="867">
        <v>721.5203886</v>
      </c>
      <c r="T982" s="868">
        <v>564.8586682</v>
      </c>
      <c r="AN982" s="882"/>
      <c r="AO982" s="882"/>
      <c r="AP982" s="882"/>
      <c r="AY982" s="882"/>
      <c r="AZ982" s="882"/>
      <c r="BA982" s="882"/>
      <c r="BJ982" s="882"/>
      <c r="BK982" s="882"/>
      <c r="BL982" s="882"/>
      <c r="BU982" s="882"/>
      <c r="BV982" s="882"/>
      <c r="BW982" s="882"/>
      <c r="CF982" s="882"/>
      <c r="CG982" s="882"/>
      <c r="CH982" s="882"/>
      <c r="CI982" s="530"/>
    </row>
    <row r="983">
      <c r="A983" s="857"/>
      <c r="B983" s="865" t="s">
        <v>642</v>
      </c>
      <c r="C983" s="865" t="s">
        <v>591</v>
      </c>
      <c r="D983" s="865" t="s">
        <v>676</v>
      </c>
      <c r="E983" s="866">
        <v>2019.0</v>
      </c>
      <c r="F983" s="865" t="s">
        <v>593</v>
      </c>
      <c r="G983" s="865" t="s">
        <v>70</v>
      </c>
      <c r="H983" s="867">
        <v>257.4884219</v>
      </c>
      <c r="I983" s="867">
        <v>285.3263146</v>
      </c>
      <c r="J983" s="868">
        <v>230.4488596</v>
      </c>
      <c r="K983" s="50"/>
      <c r="L983" s="869" t="s">
        <v>642</v>
      </c>
      <c r="M983" s="865" t="s">
        <v>591</v>
      </c>
      <c r="N983" s="865" t="s">
        <v>676</v>
      </c>
      <c r="O983" s="866">
        <v>2004.0</v>
      </c>
      <c r="P983" s="865" t="s">
        <v>593</v>
      </c>
      <c r="Q983" s="865" t="s">
        <v>70</v>
      </c>
      <c r="R983" s="867">
        <v>152.162825</v>
      </c>
      <c r="S983" s="867">
        <v>170.9044081</v>
      </c>
      <c r="T983" s="868">
        <v>133.7964081</v>
      </c>
      <c r="AN983" s="882"/>
      <c r="AO983" s="882"/>
      <c r="AP983" s="882"/>
      <c r="AY983" s="882"/>
      <c r="AZ983" s="882"/>
      <c r="BA983" s="882"/>
      <c r="BJ983" s="882"/>
      <c r="BK983" s="882"/>
      <c r="BL983" s="882"/>
      <c r="BU983" s="882"/>
      <c r="BV983" s="882"/>
      <c r="BW983" s="882"/>
      <c r="CF983" s="882"/>
      <c r="CG983" s="882"/>
      <c r="CH983" s="882"/>
      <c r="CI983" s="530"/>
    </row>
    <row r="984">
      <c r="A984" s="857"/>
      <c r="B984" s="865" t="s">
        <v>642</v>
      </c>
      <c r="C984" s="865" t="s">
        <v>591</v>
      </c>
      <c r="D984" s="865" t="s">
        <v>678</v>
      </c>
      <c r="E984" s="866">
        <v>2019.0</v>
      </c>
      <c r="F984" s="865" t="s">
        <v>593</v>
      </c>
      <c r="G984" s="865" t="s">
        <v>70</v>
      </c>
      <c r="H984" s="867">
        <v>1750038.039</v>
      </c>
      <c r="I984" s="867">
        <v>1939240.22</v>
      </c>
      <c r="J984" s="868">
        <v>1566261.766</v>
      </c>
      <c r="K984" s="50"/>
      <c r="L984" s="869" t="s">
        <v>642</v>
      </c>
      <c r="M984" s="865" t="s">
        <v>591</v>
      </c>
      <c r="N984" s="865" t="s">
        <v>678</v>
      </c>
      <c r="O984" s="866">
        <v>2004.0</v>
      </c>
      <c r="P984" s="865" t="s">
        <v>593</v>
      </c>
      <c r="Q984" s="865" t="s">
        <v>70</v>
      </c>
      <c r="R984" s="867">
        <v>1348421.007</v>
      </c>
      <c r="S984" s="867">
        <v>1514503.258</v>
      </c>
      <c r="T984" s="868">
        <v>1185663.367</v>
      </c>
      <c r="AN984" s="882"/>
      <c r="AO984" s="882"/>
      <c r="AP984" s="882"/>
      <c r="AY984" s="882"/>
      <c r="AZ984" s="882"/>
      <c r="BA984" s="882"/>
      <c r="BJ984" s="882"/>
      <c r="BK984" s="882"/>
      <c r="BL984" s="882"/>
      <c r="BU984" s="882"/>
      <c r="BV984" s="882"/>
      <c r="BW984" s="882"/>
      <c r="CF984" s="882"/>
      <c r="CG984" s="882"/>
      <c r="CH984" s="882"/>
      <c r="CI984" s="530"/>
    </row>
    <row r="985">
      <c r="A985" s="857"/>
      <c r="B985" s="865" t="s">
        <v>642</v>
      </c>
      <c r="C985" s="865" t="s">
        <v>591</v>
      </c>
      <c r="D985" s="865" t="s">
        <v>680</v>
      </c>
      <c r="E985" s="866">
        <v>2019.0</v>
      </c>
      <c r="F985" s="865" t="s">
        <v>593</v>
      </c>
      <c r="G985" s="865" t="s">
        <v>70</v>
      </c>
      <c r="H985" s="867">
        <v>42889.42363</v>
      </c>
      <c r="I985" s="867">
        <v>50118.88245</v>
      </c>
      <c r="J985" s="868">
        <v>36850.80862</v>
      </c>
      <c r="K985" s="50"/>
      <c r="L985" s="869" t="s">
        <v>642</v>
      </c>
      <c r="M985" s="865" t="s">
        <v>591</v>
      </c>
      <c r="N985" s="865" t="s">
        <v>680</v>
      </c>
      <c r="O985" s="866">
        <v>2004.0</v>
      </c>
      <c r="P985" s="865" t="s">
        <v>593</v>
      </c>
      <c r="Q985" s="865" t="s">
        <v>70</v>
      </c>
      <c r="R985" s="867">
        <v>43459.10035</v>
      </c>
      <c r="S985" s="867">
        <v>48671.0845</v>
      </c>
      <c r="T985" s="868">
        <v>38532.58693</v>
      </c>
      <c r="AN985" s="882"/>
      <c r="AO985" s="882"/>
      <c r="AP985" s="882"/>
      <c r="AY985" s="882"/>
      <c r="AZ985" s="882"/>
      <c r="BA985" s="882"/>
      <c r="BJ985" s="882"/>
      <c r="BK985" s="882"/>
      <c r="BL985" s="882"/>
      <c r="BU985" s="882"/>
      <c r="BV985" s="882"/>
      <c r="BW985" s="882"/>
      <c r="CF985" s="882"/>
      <c r="CG985" s="882"/>
      <c r="CH985" s="882"/>
      <c r="CI985" s="530"/>
    </row>
    <row r="986">
      <c r="A986" s="857"/>
      <c r="B986" s="865" t="s">
        <v>642</v>
      </c>
      <c r="C986" s="865" t="s">
        <v>591</v>
      </c>
      <c r="D986" s="865" t="s">
        <v>682</v>
      </c>
      <c r="E986" s="866">
        <v>2019.0</v>
      </c>
      <c r="F986" s="865" t="s">
        <v>593</v>
      </c>
      <c r="G986" s="865" t="s">
        <v>70</v>
      </c>
      <c r="H986" s="867">
        <v>810.552737</v>
      </c>
      <c r="I986" s="867">
        <v>898.1841726</v>
      </c>
      <c r="J986" s="868">
        <v>725.4343805</v>
      </c>
      <c r="K986" s="50"/>
      <c r="L986" s="869" t="s">
        <v>642</v>
      </c>
      <c r="M986" s="865" t="s">
        <v>591</v>
      </c>
      <c r="N986" s="865" t="s">
        <v>682</v>
      </c>
      <c r="O986" s="866">
        <v>2004.0</v>
      </c>
      <c r="P986" s="865" t="s">
        <v>593</v>
      </c>
      <c r="Q986" s="865" t="s">
        <v>70</v>
      </c>
      <c r="R986" s="867">
        <v>812.8373946</v>
      </c>
      <c r="S986" s="867">
        <v>912.9529099</v>
      </c>
      <c r="T986" s="868">
        <v>714.7259772</v>
      </c>
      <c r="AN986" s="882"/>
      <c r="AO986" s="882"/>
      <c r="AP986" s="882"/>
      <c r="AY986" s="882"/>
      <c r="AZ986" s="882"/>
      <c r="BA986" s="882"/>
      <c r="BJ986" s="882"/>
      <c r="BK986" s="882"/>
      <c r="BL986" s="882"/>
      <c r="BU986" s="882"/>
      <c r="BV986" s="882"/>
      <c r="BW986" s="882"/>
      <c r="CF986" s="882"/>
      <c r="CG986" s="882"/>
      <c r="CH986" s="882"/>
      <c r="CI986" s="530"/>
    </row>
    <row r="987">
      <c r="A987" s="857"/>
      <c r="B987" s="865" t="s">
        <v>642</v>
      </c>
      <c r="C987" s="865" t="s">
        <v>591</v>
      </c>
      <c r="D987" s="865" t="s">
        <v>684</v>
      </c>
      <c r="E987" s="866">
        <v>2019.0</v>
      </c>
      <c r="F987" s="865" t="s">
        <v>593</v>
      </c>
      <c r="G987" s="865" t="s">
        <v>70</v>
      </c>
      <c r="H987" s="867">
        <v>2411.005729</v>
      </c>
      <c r="I987" s="867">
        <v>2671.66723</v>
      </c>
      <c r="J987" s="868">
        <v>2157.819433</v>
      </c>
      <c r="K987" s="50"/>
      <c r="L987" s="869" t="s">
        <v>642</v>
      </c>
      <c r="M987" s="865" t="s">
        <v>591</v>
      </c>
      <c r="N987" s="865" t="s">
        <v>684</v>
      </c>
      <c r="O987" s="866">
        <v>2004.0</v>
      </c>
      <c r="P987" s="865" t="s">
        <v>593</v>
      </c>
      <c r="Q987" s="865" t="s">
        <v>70</v>
      </c>
      <c r="R987" s="867">
        <v>2407.907298</v>
      </c>
      <c r="S987" s="867">
        <v>2704.484302</v>
      </c>
      <c r="T987" s="868">
        <v>2117.267128</v>
      </c>
      <c r="AN987" s="882"/>
      <c r="AO987" s="882"/>
      <c r="AP987" s="882"/>
      <c r="AY987" s="882"/>
      <c r="AZ987" s="882"/>
      <c r="BA987" s="882"/>
      <c r="BJ987" s="882"/>
      <c r="BK987" s="882"/>
      <c r="BL987" s="882"/>
      <c r="BU987" s="882"/>
      <c r="BV987" s="882"/>
      <c r="BW987" s="882"/>
      <c r="CF987" s="882"/>
      <c r="CG987" s="882"/>
      <c r="CH987" s="882"/>
      <c r="CI987" s="530"/>
    </row>
    <row r="988">
      <c r="A988" s="857"/>
      <c r="B988" s="865" t="s">
        <v>642</v>
      </c>
      <c r="C988" s="865" t="s">
        <v>591</v>
      </c>
      <c r="D988" s="865" t="s">
        <v>686</v>
      </c>
      <c r="E988" s="866">
        <v>2019.0</v>
      </c>
      <c r="F988" s="865" t="s">
        <v>593</v>
      </c>
      <c r="G988" s="865" t="s">
        <v>70</v>
      </c>
      <c r="H988" s="867">
        <v>3221.558466</v>
      </c>
      <c r="I988" s="867">
        <v>3569.851402</v>
      </c>
      <c r="J988" s="868">
        <v>2883.253813</v>
      </c>
      <c r="K988" s="50"/>
      <c r="L988" s="869" t="s">
        <v>642</v>
      </c>
      <c r="M988" s="865" t="s">
        <v>591</v>
      </c>
      <c r="N988" s="865" t="s">
        <v>686</v>
      </c>
      <c r="O988" s="866">
        <v>2004.0</v>
      </c>
      <c r="P988" s="865" t="s">
        <v>593</v>
      </c>
      <c r="Q988" s="865" t="s">
        <v>70</v>
      </c>
      <c r="R988" s="867">
        <v>3220.744692</v>
      </c>
      <c r="S988" s="867">
        <v>3617.437212</v>
      </c>
      <c r="T988" s="868">
        <v>2831.993105</v>
      </c>
      <c r="AN988" s="882"/>
      <c r="AO988" s="882"/>
      <c r="AP988" s="882"/>
      <c r="AY988" s="882"/>
      <c r="AZ988" s="882"/>
      <c r="BA988" s="882"/>
      <c r="BJ988" s="882"/>
      <c r="BK988" s="882"/>
      <c r="BL988" s="882"/>
      <c r="BU988" s="882"/>
      <c r="BV988" s="882"/>
      <c r="BW988" s="882"/>
      <c r="CF988" s="882"/>
      <c r="CG988" s="882"/>
      <c r="CH988" s="882"/>
      <c r="CI988" s="530"/>
    </row>
    <row r="989">
      <c r="A989" s="857"/>
      <c r="B989" s="865" t="s">
        <v>642</v>
      </c>
      <c r="C989" s="865" t="s">
        <v>591</v>
      </c>
      <c r="D989" s="865" t="s">
        <v>688</v>
      </c>
      <c r="E989" s="866">
        <v>2019.0</v>
      </c>
      <c r="F989" s="865" t="s">
        <v>593</v>
      </c>
      <c r="G989" s="865" t="s">
        <v>70</v>
      </c>
      <c r="H989" s="867">
        <v>38239.71928</v>
      </c>
      <c r="I989" s="867">
        <v>42373.93701</v>
      </c>
      <c r="J989" s="868">
        <v>34224.06193</v>
      </c>
      <c r="K989" s="50"/>
      <c r="L989" s="869" t="s">
        <v>642</v>
      </c>
      <c r="M989" s="865" t="s">
        <v>591</v>
      </c>
      <c r="N989" s="865" t="s">
        <v>688</v>
      </c>
      <c r="O989" s="866">
        <v>2004.0</v>
      </c>
      <c r="P989" s="865" t="s">
        <v>593</v>
      </c>
      <c r="Q989" s="865" t="s">
        <v>70</v>
      </c>
      <c r="R989" s="867">
        <v>38117.56391</v>
      </c>
      <c r="S989" s="867">
        <v>42812.4261</v>
      </c>
      <c r="T989" s="868">
        <v>33516.68278</v>
      </c>
      <c r="AN989" s="882"/>
      <c r="AO989" s="882"/>
      <c r="AP989" s="882"/>
      <c r="AY989" s="882"/>
      <c r="AZ989" s="882"/>
      <c r="BA989" s="882"/>
      <c r="BJ989" s="882"/>
      <c r="BK989" s="882"/>
      <c r="BL989" s="882"/>
      <c r="BU989" s="882"/>
      <c r="BV989" s="882"/>
      <c r="BW989" s="882"/>
      <c r="CF989" s="882"/>
      <c r="CG989" s="882"/>
      <c r="CH989" s="882"/>
      <c r="CI989" s="530"/>
    </row>
    <row r="990">
      <c r="A990" s="857"/>
      <c r="B990" s="865" t="s">
        <v>642</v>
      </c>
      <c r="C990" s="865" t="s">
        <v>591</v>
      </c>
      <c r="D990" s="865" t="s">
        <v>689</v>
      </c>
      <c r="E990" s="866">
        <v>2019.0</v>
      </c>
      <c r="F990" s="865" t="s">
        <v>593</v>
      </c>
      <c r="G990" s="865" t="s">
        <v>70</v>
      </c>
      <c r="H990" s="867">
        <v>202022.7013</v>
      </c>
      <c r="I990" s="867">
        <v>223864.0183</v>
      </c>
      <c r="J990" s="868">
        <v>180807.7457</v>
      </c>
      <c r="K990" s="50"/>
      <c r="L990" s="869" t="s">
        <v>642</v>
      </c>
      <c r="M990" s="865" t="s">
        <v>591</v>
      </c>
      <c r="N990" s="865" t="s">
        <v>689</v>
      </c>
      <c r="O990" s="866">
        <v>2004.0</v>
      </c>
      <c r="P990" s="865" t="s">
        <v>593</v>
      </c>
      <c r="Q990" s="865" t="s">
        <v>70</v>
      </c>
      <c r="R990" s="867">
        <v>196899.1371</v>
      </c>
      <c r="S990" s="867">
        <v>221150.8001</v>
      </c>
      <c r="T990" s="868">
        <v>173132.9404</v>
      </c>
      <c r="AN990" s="882"/>
      <c r="AO990" s="882"/>
      <c r="AP990" s="882"/>
      <c r="AY990" s="882"/>
      <c r="AZ990" s="882"/>
      <c r="BA990" s="882"/>
      <c r="BJ990" s="882"/>
      <c r="BK990" s="882"/>
      <c r="BL990" s="882"/>
      <c r="BU990" s="882"/>
      <c r="BV990" s="882"/>
      <c r="BW990" s="882"/>
      <c r="CF990" s="882"/>
      <c r="CG990" s="882"/>
      <c r="CH990" s="882"/>
      <c r="CI990" s="530"/>
    </row>
    <row r="991">
      <c r="A991" s="857"/>
      <c r="B991" s="865" t="s">
        <v>644</v>
      </c>
      <c r="C991" s="865" t="s">
        <v>591</v>
      </c>
      <c r="D991" s="865" t="s">
        <v>592</v>
      </c>
      <c r="E991" s="866">
        <v>2019.0</v>
      </c>
      <c r="F991" s="865" t="s">
        <v>593</v>
      </c>
      <c r="G991" s="865" t="s">
        <v>70</v>
      </c>
      <c r="H991" s="867">
        <v>68758.83397</v>
      </c>
      <c r="I991" s="867">
        <v>75811.79414</v>
      </c>
      <c r="J991" s="868">
        <v>62088.7061</v>
      </c>
      <c r="K991" s="50"/>
      <c r="L991" s="869" t="s">
        <v>644</v>
      </c>
      <c r="M991" s="865" t="s">
        <v>591</v>
      </c>
      <c r="N991" s="865" t="s">
        <v>592</v>
      </c>
      <c r="O991" s="866">
        <v>2004.0</v>
      </c>
      <c r="P991" s="865" t="s">
        <v>593</v>
      </c>
      <c r="Q991" s="865" t="s">
        <v>70</v>
      </c>
      <c r="R991" s="867">
        <v>62209.64642</v>
      </c>
      <c r="S991" s="867">
        <v>67007.50431</v>
      </c>
      <c r="T991" s="868">
        <v>57707.14405</v>
      </c>
      <c r="AN991" s="882"/>
      <c r="AO991" s="882"/>
      <c r="AP991" s="882"/>
      <c r="AY991" s="882"/>
      <c r="AZ991" s="882"/>
      <c r="BA991" s="882"/>
      <c r="BJ991" s="882"/>
      <c r="BK991" s="882"/>
      <c r="BL991" s="882"/>
      <c r="BU991" s="882"/>
      <c r="BV991" s="882"/>
      <c r="BW991" s="882"/>
      <c r="CF991" s="882"/>
      <c r="CG991" s="882"/>
      <c r="CH991" s="882"/>
      <c r="CI991" s="530"/>
    </row>
    <row r="992">
      <c r="A992" s="857"/>
      <c r="B992" s="865" t="s">
        <v>644</v>
      </c>
      <c r="C992" s="865" t="s">
        <v>591</v>
      </c>
      <c r="D992" s="865" t="s">
        <v>601</v>
      </c>
      <c r="E992" s="866">
        <v>2019.0</v>
      </c>
      <c r="F992" s="865" t="s">
        <v>593</v>
      </c>
      <c r="G992" s="865" t="s">
        <v>70</v>
      </c>
      <c r="H992" s="867">
        <v>1183960.307</v>
      </c>
      <c r="I992" s="867">
        <v>1305405.427</v>
      </c>
      <c r="J992" s="868">
        <v>1069107.186</v>
      </c>
      <c r="K992" s="50"/>
      <c r="L992" s="869" t="s">
        <v>644</v>
      </c>
      <c r="M992" s="865" t="s">
        <v>591</v>
      </c>
      <c r="N992" s="865" t="s">
        <v>601</v>
      </c>
      <c r="O992" s="866">
        <v>2004.0</v>
      </c>
      <c r="P992" s="865" t="s">
        <v>593</v>
      </c>
      <c r="Q992" s="865" t="s">
        <v>70</v>
      </c>
      <c r="R992" s="867">
        <v>834343.9688</v>
      </c>
      <c r="S992" s="867">
        <v>898691.9281</v>
      </c>
      <c r="T992" s="868">
        <v>773957.2617</v>
      </c>
      <c r="AN992" s="882"/>
      <c r="AO992" s="882"/>
      <c r="AP992" s="882"/>
      <c r="AY992" s="882"/>
      <c r="AZ992" s="882"/>
      <c r="BA992" s="882"/>
      <c r="BJ992" s="882"/>
      <c r="BK992" s="882"/>
      <c r="BL992" s="882"/>
      <c r="BU992" s="882"/>
      <c r="BV992" s="882"/>
      <c r="BW992" s="882"/>
      <c r="CF992" s="882"/>
      <c r="CG992" s="882"/>
      <c r="CH992" s="882"/>
      <c r="CI992" s="530"/>
    </row>
    <row r="993">
      <c r="A993" s="857"/>
      <c r="B993" s="865" t="s">
        <v>644</v>
      </c>
      <c r="C993" s="865" t="s">
        <v>591</v>
      </c>
      <c r="D993" s="865" t="s">
        <v>606</v>
      </c>
      <c r="E993" s="866">
        <v>2019.0</v>
      </c>
      <c r="F993" s="865" t="s">
        <v>593</v>
      </c>
      <c r="G993" s="865" t="s">
        <v>70</v>
      </c>
      <c r="H993" s="867">
        <v>924884.2933</v>
      </c>
      <c r="I993" s="867">
        <v>1019754.606</v>
      </c>
      <c r="J993" s="868">
        <v>835163.5092</v>
      </c>
      <c r="K993" s="50"/>
      <c r="L993" s="869" t="s">
        <v>644</v>
      </c>
      <c r="M993" s="865" t="s">
        <v>591</v>
      </c>
      <c r="N993" s="865" t="s">
        <v>606</v>
      </c>
      <c r="O993" s="866">
        <v>2004.0</v>
      </c>
      <c r="P993" s="865" t="s">
        <v>593</v>
      </c>
      <c r="Q993" s="865" t="s">
        <v>70</v>
      </c>
      <c r="R993" s="867">
        <v>669305.5839</v>
      </c>
      <c r="S993" s="867">
        <v>720925.1197</v>
      </c>
      <c r="T993" s="868">
        <v>620863.74</v>
      </c>
      <c r="AN993" s="882"/>
      <c r="AO993" s="882"/>
      <c r="AP993" s="882"/>
      <c r="AY993" s="882"/>
      <c r="AZ993" s="882"/>
      <c r="BA993" s="882"/>
      <c r="BJ993" s="882"/>
      <c r="BK993" s="882"/>
      <c r="BL993" s="882"/>
      <c r="BU993" s="882"/>
      <c r="BV993" s="882"/>
      <c r="BW993" s="882"/>
      <c r="CF993" s="882"/>
      <c r="CG993" s="882"/>
      <c r="CH993" s="882"/>
      <c r="CI993" s="530"/>
    </row>
    <row r="994">
      <c r="A994" s="857"/>
      <c r="B994" s="865" t="s">
        <v>644</v>
      </c>
      <c r="C994" s="865" t="s">
        <v>591</v>
      </c>
      <c r="D994" s="865" t="s">
        <v>608</v>
      </c>
      <c r="E994" s="866">
        <v>2019.0</v>
      </c>
      <c r="F994" s="865" t="s">
        <v>593</v>
      </c>
      <c r="G994" s="865" t="s">
        <v>70</v>
      </c>
      <c r="H994" s="867">
        <v>260835.1012</v>
      </c>
      <c r="I994" s="867">
        <v>287590.3481</v>
      </c>
      <c r="J994" s="868">
        <v>235532.1201</v>
      </c>
      <c r="K994" s="50"/>
      <c r="L994" s="869" t="s">
        <v>644</v>
      </c>
      <c r="M994" s="865" t="s">
        <v>591</v>
      </c>
      <c r="N994" s="865" t="s">
        <v>608</v>
      </c>
      <c r="O994" s="866">
        <v>2004.0</v>
      </c>
      <c r="P994" s="865" t="s">
        <v>593</v>
      </c>
      <c r="Q994" s="865" t="s">
        <v>70</v>
      </c>
      <c r="R994" s="867">
        <v>214305.5646</v>
      </c>
      <c r="S994" s="867">
        <v>230833.6708</v>
      </c>
      <c r="T994" s="868">
        <v>198794.9265</v>
      </c>
      <c r="AN994" s="882"/>
      <c r="AO994" s="882"/>
      <c r="AP994" s="882"/>
      <c r="AY994" s="882"/>
      <c r="AZ994" s="882"/>
      <c r="BA994" s="882"/>
      <c r="BJ994" s="882"/>
      <c r="BK994" s="882"/>
      <c r="BL994" s="882"/>
      <c r="BU994" s="882"/>
      <c r="BV994" s="882"/>
      <c r="BW994" s="882"/>
      <c r="CF994" s="882"/>
      <c r="CG994" s="882"/>
      <c r="CH994" s="882"/>
      <c r="CI994" s="530"/>
    </row>
    <row r="995">
      <c r="A995" s="857"/>
      <c r="B995" s="865" t="s">
        <v>644</v>
      </c>
      <c r="C995" s="865" t="s">
        <v>591</v>
      </c>
      <c r="D995" s="865" t="s">
        <v>610</v>
      </c>
      <c r="E995" s="866">
        <v>2019.0</v>
      </c>
      <c r="F995" s="865" t="s">
        <v>593</v>
      </c>
      <c r="G995" s="865" t="s">
        <v>70</v>
      </c>
      <c r="H995" s="867">
        <v>288446.8546</v>
      </c>
      <c r="I995" s="867">
        <v>318034.3862</v>
      </c>
      <c r="J995" s="868">
        <v>260465.3242</v>
      </c>
      <c r="K995" s="50"/>
      <c r="L995" s="869" t="s">
        <v>644</v>
      </c>
      <c r="M995" s="865" t="s">
        <v>591</v>
      </c>
      <c r="N995" s="865" t="s">
        <v>610</v>
      </c>
      <c r="O995" s="866">
        <v>2004.0</v>
      </c>
      <c r="P995" s="865" t="s">
        <v>593</v>
      </c>
      <c r="Q995" s="865" t="s">
        <v>70</v>
      </c>
      <c r="R995" s="867">
        <v>184958.2877</v>
      </c>
      <c r="S995" s="867">
        <v>199223.014</v>
      </c>
      <c r="T995" s="868">
        <v>171571.6962</v>
      </c>
      <c r="AN995" s="882"/>
      <c r="AO995" s="882"/>
      <c r="AP995" s="882"/>
      <c r="AY995" s="882"/>
      <c r="AZ995" s="882"/>
      <c r="BA995" s="882"/>
      <c r="BJ995" s="882"/>
      <c r="BK995" s="882"/>
      <c r="BL995" s="882"/>
      <c r="BU995" s="882"/>
      <c r="BV995" s="882"/>
      <c r="BW995" s="882"/>
      <c r="CF995" s="882"/>
      <c r="CG995" s="882"/>
      <c r="CH995" s="882"/>
      <c r="CI995" s="530"/>
    </row>
    <row r="996">
      <c r="A996" s="857"/>
      <c r="B996" s="865" t="s">
        <v>644</v>
      </c>
      <c r="C996" s="865" t="s">
        <v>591</v>
      </c>
      <c r="D996" s="865" t="s">
        <v>612</v>
      </c>
      <c r="E996" s="866">
        <v>2019.0</v>
      </c>
      <c r="F996" s="865" t="s">
        <v>593</v>
      </c>
      <c r="G996" s="865" t="s">
        <v>70</v>
      </c>
      <c r="H996" s="867">
        <v>547522.8681</v>
      </c>
      <c r="I996" s="867">
        <v>603685.2077</v>
      </c>
      <c r="J996" s="868">
        <v>494409.0015</v>
      </c>
      <c r="K996" s="50"/>
      <c r="L996" s="869" t="s">
        <v>644</v>
      </c>
      <c r="M996" s="865" t="s">
        <v>591</v>
      </c>
      <c r="N996" s="865" t="s">
        <v>612</v>
      </c>
      <c r="O996" s="866">
        <v>2004.0</v>
      </c>
      <c r="P996" s="865" t="s">
        <v>593</v>
      </c>
      <c r="Q996" s="865" t="s">
        <v>70</v>
      </c>
      <c r="R996" s="867">
        <v>349996.6727</v>
      </c>
      <c r="S996" s="867">
        <v>376989.8224</v>
      </c>
      <c r="T996" s="868">
        <v>324665.2179</v>
      </c>
      <c r="AN996" s="882"/>
      <c r="AO996" s="882"/>
      <c r="AP996" s="882"/>
      <c r="AY996" s="882"/>
      <c r="AZ996" s="882"/>
      <c r="BA996" s="882"/>
      <c r="BJ996" s="882"/>
      <c r="BK996" s="882"/>
      <c r="BL996" s="882"/>
      <c r="BU996" s="882"/>
      <c r="BV996" s="882"/>
      <c r="BW996" s="882"/>
      <c r="CF996" s="882"/>
      <c r="CG996" s="882"/>
      <c r="CH996" s="882"/>
      <c r="CI996" s="530"/>
    </row>
    <row r="997">
      <c r="A997" s="857"/>
      <c r="B997" s="865" t="s">
        <v>644</v>
      </c>
      <c r="C997" s="865" t="s">
        <v>591</v>
      </c>
      <c r="D997" s="865" t="s">
        <v>614</v>
      </c>
      <c r="E997" s="866">
        <v>2019.0</v>
      </c>
      <c r="F997" s="865" t="s">
        <v>593</v>
      </c>
      <c r="G997" s="865" t="s">
        <v>70</v>
      </c>
      <c r="H997" s="867">
        <v>766832.2667</v>
      </c>
      <c r="I997" s="867">
        <v>845490.3405</v>
      </c>
      <c r="J997" s="868">
        <v>692443.7267</v>
      </c>
      <c r="K997" s="50"/>
      <c r="L997" s="869" t="s">
        <v>644</v>
      </c>
      <c r="M997" s="865" t="s">
        <v>591</v>
      </c>
      <c r="N997" s="865" t="s">
        <v>614</v>
      </c>
      <c r="O997" s="866">
        <v>2004.0</v>
      </c>
      <c r="P997" s="865" t="s">
        <v>593</v>
      </c>
      <c r="Q997" s="865" t="s">
        <v>70</v>
      </c>
      <c r="R997" s="867">
        <v>493324.0217</v>
      </c>
      <c r="S997" s="867">
        <v>531371.1524</v>
      </c>
      <c r="T997" s="868">
        <v>457619.0675</v>
      </c>
      <c r="AN997" s="882"/>
      <c r="AO997" s="882"/>
      <c r="AP997" s="882"/>
      <c r="AY997" s="882"/>
      <c r="AZ997" s="882"/>
      <c r="BA997" s="882"/>
      <c r="BJ997" s="882"/>
      <c r="BK997" s="882"/>
      <c r="BL997" s="882"/>
      <c r="BU997" s="882"/>
      <c r="BV997" s="882"/>
      <c r="BW997" s="882"/>
      <c r="CF997" s="882"/>
      <c r="CG997" s="882"/>
      <c r="CH997" s="882"/>
      <c r="CI997" s="530"/>
    </row>
    <row r="998">
      <c r="A998" s="857"/>
      <c r="B998" s="865" t="s">
        <v>644</v>
      </c>
      <c r="C998" s="865" t="s">
        <v>591</v>
      </c>
      <c r="D998" s="865" t="s">
        <v>616</v>
      </c>
      <c r="E998" s="866">
        <v>2019.0</v>
      </c>
      <c r="F998" s="865" t="s">
        <v>593</v>
      </c>
      <c r="G998" s="865" t="s">
        <v>70</v>
      </c>
      <c r="H998" s="867">
        <v>259076.0135</v>
      </c>
      <c r="I998" s="867">
        <v>285650.8214</v>
      </c>
      <c r="J998" s="868">
        <v>233943.6773</v>
      </c>
      <c r="K998" s="50"/>
      <c r="L998" s="869" t="s">
        <v>644</v>
      </c>
      <c r="M998" s="865" t="s">
        <v>591</v>
      </c>
      <c r="N998" s="865" t="s">
        <v>616</v>
      </c>
      <c r="O998" s="866">
        <v>2004.0</v>
      </c>
      <c r="P998" s="865" t="s">
        <v>593</v>
      </c>
      <c r="Q998" s="865" t="s">
        <v>70</v>
      </c>
      <c r="R998" s="867">
        <v>165038.385</v>
      </c>
      <c r="S998" s="867">
        <v>177766.8083</v>
      </c>
      <c r="T998" s="868">
        <v>153093.5217</v>
      </c>
      <c r="AN998" s="882"/>
      <c r="AO998" s="882"/>
      <c r="AP998" s="882"/>
      <c r="AY998" s="882"/>
      <c r="AZ998" s="882"/>
      <c r="BA998" s="882"/>
      <c r="BJ998" s="882"/>
      <c r="BK998" s="882"/>
      <c r="BL998" s="882"/>
      <c r="BU998" s="882"/>
      <c r="BV998" s="882"/>
      <c r="BW998" s="882"/>
      <c r="CF998" s="882"/>
      <c r="CG998" s="882"/>
      <c r="CH998" s="882"/>
      <c r="CI998" s="530"/>
    </row>
    <row r="999">
      <c r="A999" s="857"/>
      <c r="B999" s="865" t="s">
        <v>644</v>
      </c>
      <c r="C999" s="865" t="s">
        <v>591</v>
      </c>
      <c r="D999" s="865" t="s">
        <v>618</v>
      </c>
      <c r="E999" s="866">
        <v>2019.0</v>
      </c>
      <c r="F999" s="865" t="s">
        <v>593</v>
      </c>
      <c r="G999" s="865" t="s">
        <v>70</v>
      </c>
      <c r="H999" s="867">
        <v>941883.4111</v>
      </c>
      <c r="I999" s="867">
        <v>1038638.805</v>
      </c>
      <c r="J999" s="868">
        <v>850555.5594</v>
      </c>
      <c r="K999" s="50"/>
      <c r="L999" s="869" t="s">
        <v>644</v>
      </c>
      <c r="M999" s="865" t="s">
        <v>591</v>
      </c>
      <c r="N999" s="865" t="s">
        <v>618</v>
      </c>
      <c r="O999" s="866">
        <v>2004.0</v>
      </c>
      <c r="P999" s="865" t="s">
        <v>593</v>
      </c>
      <c r="Q999" s="865" t="s">
        <v>70</v>
      </c>
      <c r="R999" s="867">
        <v>602369.9539</v>
      </c>
      <c r="S999" s="867">
        <v>648862.0066</v>
      </c>
      <c r="T999" s="868">
        <v>558785.9747</v>
      </c>
      <c r="AN999" s="882"/>
      <c r="AO999" s="882"/>
      <c r="AP999" s="882"/>
      <c r="AY999" s="882"/>
      <c r="AZ999" s="882"/>
      <c r="BA999" s="882"/>
      <c r="BJ999" s="882"/>
      <c r="BK999" s="882"/>
      <c r="BL999" s="882"/>
      <c r="BU999" s="882"/>
      <c r="BV999" s="882"/>
      <c r="BW999" s="882"/>
      <c r="CF999" s="882"/>
      <c r="CG999" s="882"/>
      <c r="CH999" s="882"/>
      <c r="CI999" s="530"/>
    </row>
    <row r="1000">
      <c r="A1000" s="857"/>
      <c r="B1000" s="865" t="s">
        <v>644</v>
      </c>
      <c r="C1000" s="865" t="s">
        <v>591</v>
      </c>
      <c r="D1000" s="865" t="s">
        <v>620</v>
      </c>
      <c r="E1000" s="866">
        <v>2019.0</v>
      </c>
      <c r="F1000" s="865" t="s">
        <v>593</v>
      </c>
      <c r="G1000" s="865" t="s">
        <v>70</v>
      </c>
      <c r="H1000" s="867">
        <v>1114391.562</v>
      </c>
      <c r="I1000" s="867">
        <v>1228700.646</v>
      </c>
      <c r="J1000" s="868">
        <v>1006287.137</v>
      </c>
      <c r="K1000" s="50"/>
      <c r="L1000" s="869" t="s">
        <v>644</v>
      </c>
      <c r="M1000" s="865" t="s">
        <v>591</v>
      </c>
      <c r="N1000" s="865" t="s">
        <v>620</v>
      </c>
      <c r="O1000" s="866">
        <v>2004.0</v>
      </c>
      <c r="P1000" s="865" t="s">
        <v>593</v>
      </c>
      <c r="Q1000" s="865" t="s">
        <v>70</v>
      </c>
      <c r="R1000" s="867">
        <v>707451.0199</v>
      </c>
      <c r="S1000" s="867">
        <v>762012.4851</v>
      </c>
      <c r="T1000" s="868">
        <v>656248.3516</v>
      </c>
      <c r="AN1000" s="882"/>
      <c r="AO1000" s="882"/>
      <c r="AP1000" s="882"/>
      <c r="AY1000" s="882"/>
      <c r="AZ1000" s="882"/>
      <c r="BA1000" s="882"/>
      <c r="BJ1000" s="882"/>
      <c r="BK1000" s="882"/>
      <c r="BL1000" s="882"/>
      <c r="BU1000" s="882"/>
      <c r="BV1000" s="882"/>
      <c r="BW1000" s="882"/>
      <c r="CF1000" s="882"/>
      <c r="CG1000" s="882"/>
      <c r="CH1000" s="882"/>
      <c r="CI1000" s="530"/>
    </row>
    <row r="1001">
      <c r="A1001" s="857"/>
      <c r="B1001" s="865" t="s">
        <v>644</v>
      </c>
      <c r="C1001" s="865" t="s">
        <v>591</v>
      </c>
      <c r="D1001" s="865" t="s">
        <v>622</v>
      </c>
      <c r="E1001" s="866">
        <v>2019.0</v>
      </c>
      <c r="F1001" s="865" t="s">
        <v>593</v>
      </c>
      <c r="G1001" s="865" t="s">
        <v>70</v>
      </c>
      <c r="H1001" s="867">
        <v>1061824.365</v>
      </c>
      <c r="I1001" s="867">
        <v>1170900.746</v>
      </c>
      <c r="J1001" s="868">
        <v>958866.677</v>
      </c>
      <c r="K1001" s="50"/>
      <c r="L1001" s="869" t="s">
        <v>644</v>
      </c>
      <c r="M1001" s="865" t="s">
        <v>591</v>
      </c>
      <c r="N1001" s="865" t="s">
        <v>622</v>
      </c>
      <c r="O1001" s="866">
        <v>2004.0</v>
      </c>
      <c r="P1001" s="865" t="s">
        <v>593</v>
      </c>
      <c r="Q1001" s="865" t="s">
        <v>70</v>
      </c>
      <c r="R1001" s="867">
        <v>673360.0702</v>
      </c>
      <c r="S1001" s="867">
        <v>725331.2745</v>
      </c>
      <c r="T1001" s="868">
        <v>624639.6599</v>
      </c>
      <c r="AN1001" s="882"/>
      <c r="AO1001" s="882"/>
      <c r="AP1001" s="882"/>
      <c r="AY1001" s="882"/>
      <c r="AZ1001" s="882"/>
      <c r="BA1001" s="882"/>
      <c r="BJ1001" s="882"/>
      <c r="BK1001" s="882"/>
      <c r="BL1001" s="882"/>
      <c r="BU1001" s="882"/>
      <c r="BV1001" s="882"/>
      <c r="BW1001" s="882"/>
      <c r="CF1001" s="882"/>
      <c r="CG1001" s="882"/>
      <c r="CH1001" s="882"/>
      <c r="CI1001" s="530"/>
    </row>
    <row r="1002">
      <c r="A1002" s="857"/>
      <c r="B1002" s="865" t="s">
        <v>644</v>
      </c>
      <c r="C1002" s="865" t="s">
        <v>591</v>
      </c>
      <c r="D1002" s="865" t="s">
        <v>624</v>
      </c>
      <c r="E1002" s="866">
        <v>2019.0</v>
      </c>
      <c r="F1002" s="865" t="s">
        <v>593</v>
      </c>
      <c r="G1002" s="865" t="s">
        <v>70</v>
      </c>
      <c r="H1002" s="867">
        <v>219309.3986</v>
      </c>
      <c r="I1002" s="867">
        <v>241805.1328</v>
      </c>
      <c r="J1002" s="868">
        <v>198034.7253</v>
      </c>
      <c r="K1002" s="50"/>
      <c r="L1002" s="869" t="s">
        <v>644</v>
      </c>
      <c r="M1002" s="865" t="s">
        <v>591</v>
      </c>
      <c r="N1002" s="865" t="s">
        <v>624</v>
      </c>
      <c r="O1002" s="866">
        <v>2004.0</v>
      </c>
      <c r="P1002" s="865" t="s">
        <v>593</v>
      </c>
      <c r="Q1002" s="865" t="s">
        <v>70</v>
      </c>
      <c r="R1002" s="867">
        <v>143327.349</v>
      </c>
      <c r="S1002" s="867">
        <v>154381.3301</v>
      </c>
      <c r="T1002" s="868">
        <v>132953.8496</v>
      </c>
      <c r="AN1002" s="882"/>
      <c r="AO1002" s="882"/>
      <c r="AP1002" s="882"/>
      <c r="AY1002" s="882"/>
      <c r="AZ1002" s="882"/>
      <c r="BA1002" s="882"/>
      <c r="BJ1002" s="882"/>
      <c r="BK1002" s="882"/>
      <c r="BL1002" s="882"/>
      <c r="BU1002" s="882"/>
      <c r="BV1002" s="882"/>
      <c r="BW1002" s="882"/>
      <c r="CF1002" s="882"/>
      <c r="CG1002" s="882"/>
      <c r="CH1002" s="882"/>
      <c r="CI1002" s="530"/>
    </row>
    <row r="1003">
      <c r="A1003" s="857"/>
      <c r="B1003" s="865" t="s">
        <v>644</v>
      </c>
      <c r="C1003" s="865" t="s">
        <v>591</v>
      </c>
      <c r="D1003" s="865" t="s">
        <v>625</v>
      </c>
      <c r="E1003" s="866">
        <v>2019.0</v>
      </c>
      <c r="F1003" s="865" t="s">
        <v>593</v>
      </c>
      <c r="G1003" s="865" t="s">
        <v>70</v>
      </c>
      <c r="H1003" s="867">
        <v>842596.0016</v>
      </c>
      <c r="I1003" s="867">
        <v>929025.5656</v>
      </c>
      <c r="J1003" s="868">
        <v>760857.8053</v>
      </c>
      <c r="K1003" s="50"/>
      <c r="L1003" s="869" t="s">
        <v>644</v>
      </c>
      <c r="M1003" s="865" t="s">
        <v>591</v>
      </c>
      <c r="N1003" s="865" t="s">
        <v>625</v>
      </c>
      <c r="O1003" s="866">
        <v>2004.0</v>
      </c>
      <c r="P1003" s="865" t="s">
        <v>593</v>
      </c>
      <c r="Q1003" s="865" t="s">
        <v>70</v>
      </c>
      <c r="R1003" s="867">
        <v>530068.2871</v>
      </c>
      <c r="S1003" s="867">
        <v>570949.2832</v>
      </c>
      <c r="T1003" s="868">
        <v>491703.9199</v>
      </c>
      <c r="AN1003" s="882"/>
      <c r="AO1003" s="882"/>
      <c r="AP1003" s="882"/>
      <c r="AY1003" s="882"/>
      <c r="AZ1003" s="882"/>
      <c r="BA1003" s="882"/>
      <c r="BJ1003" s="882"/>
      <c r="BK1003" s="882"/>
      <c r="BL1003" s="882"/>
      <c r="BU1003" s="882"/>
      <c r="BV1003" s="882"/>
      <c r="BW1003" s="882"/>
      <c r="CF1003" s="882"/>
      <c r="CG1003" s="882"/>
      <c r="CH1003" s="882"/>
      <c r="CI1003" s="530"/>
    </row>
    <row r="1004">
      <c r="A1004" s="857"/>
      <c r="B1004" s="865" t="s">
        <v>644</v>
      </c>
      <c r="C1004" s="865" t="s">
        <v>591</v>
      </c>
      <c r="D1004" s="865" t="s">
        <v>627</v>
      </c>
      <c r="E1004" s="866">
        <v>2019.0</v>
      </c>
      <c r="F1004" s="865" t="s">
        <v>593</v>
      </c>
      <c r="G1004" s="865" t="s">
        <v>70</v>
      </c>
      <c r="H1004" s="867">
        <v>184566.5259</v>
      </c>
      <c r="I1004" s="867">
        <v>203498.4985</v>
      </c>
      <c r="J1004" s="868">
        <v>166662.1745</v>
      </c>
      <c r="K1004" s="50"/>
      <c r="L1004" s="869" t="s">
        <v>644</v>
      </c>
      <c r="M1004" s="865" t="s">
        <v>591</v>
      </c>
      <c r="N1004" s="865" t="s">
        <v>627</v>
      </c>
      <c r="O1004" s="866">
        <v>2004.0</v>
      </c>
      <c r="P1004" s="865" t="s">
        <v>593</v>
      </c>
      <c r="Q1004" s="865" t="s">
        <v>70</v>
      </c>
      <c r="R1004" s="867">
        <v>120578.8756</v>
      </c>
      <c r="S1004" s="867">
        <v>129878.403</v>
      </c>
      <c r="T1004" s="868">
        <v>111851.826</v>
      </c>
      <c r="AN1004" s="882"/>
      <c r="AO1004" s="882"/>
      <c r="AP1004" s="882"/>
      <c r="AY1004" s="882"/>
      <c r="AZ1004" s="882"/>
      <c r="BA1004" s="882"/>
      <c r="BJ1004" s="882"/>
      <c r="BK1004" s="882"/>
      <c r="BL1004" s="882"/>
      <c r="BU1004" s="882"/>
      <c r="BV1004" s="882"/>
      <c r="BW1004" s="882"/>
      <c r="CF1004" s="882"/>
      <c r="CG1004" s="882"/>
      <c r="CH1004" s="882"/>
      <c r="CI1004" s="530"/>
    </row>
    <row r="1005">
      <c r="A1005" s="857"/>
      <c r="B1005" s="865" t="s">
        <v>644</v>
      </c>
      <c r="C1005" s="865" t="s">
        <v>591</v>
      </c>
      <c r="D1005" s="865" t="s">
        <v>629</v>
      </c>
      <c r="E1005" s="866">
        <v>2019.0</v>
      </c>
      <c r="F1005" s="865" t="s">
        <v>593</v>
      </c>
      <c r="G1005" s="865" t="s">
        <v>70</v>
      </c>
      <c r="H1005" s="867">
        <v>635957.6155</v>
      </c>
      <c r="I1005" s="867">
        <v>701286.6452</v>
      </c>
      <c r="J1005" s="868">
        <v>574293.2502</v>
      </c>
      <c r="K1005" s="50"/>
      <c r="L1005" s="869" t="s">
        <v>644</v>
      </c>
      <c r="M1005" s="865" t="s">
        <v>591</v>
      </c>
      <c r="N1005" s="865" t="s">
        <v>629</v>
      </c>
      <c r="O1005" s="866">
        <v>2004.0</v>
      </c>
      <c r="P1005" s="865" t="s">
        <v>593</v>
      </c>
      <c r="Q1005" s="865" t="s">
        <v>70</v>
      </c>
      <c r="R1005" s="867">
        <v>399064.208</v>
      </c>
      <c r="S1005" s="867">
        <v>429864.7386</v>
      </c>
      <c r="T1005" s="868">
        <v>370190.2477</v>
      </c>
      <c r="AN1005" s="882"/>
      <c r="AO1005" s="882"/>
      <c r="AP1005" s="882"/>
      <c r="AY1005" s="882"/>
      <c r="AZ1005" s="882"/>
      <c r="BA1005" s="882"/>
      <c r="BJ1005" s="882"/>
      <c r="BK1005" s="882"/>
      <c r="BL1005" s="882"/>
      <c r="BU1005" s="882"/>
      <c r="BV1005" s="882"/>
      <c r="BW1005" s="882"/>
      <c r="CF1005" s="882"/>
      <c r="CG1005" s="882"/>
      <c r="CH1005" s="882"/>
      <c r="CI1005" s="530"/>
    </row>
    <row r="1006">
      <c r="A1006" s="857"/>
      <c r="B1006" s="865" t="s">
        <v>644</v>
      </c>
      <c r="C1006" s="865" t="s">
        <v>591</v>
      </c>
      <c r="D1006" s="865" t="s">
        <v>631</v>
      </c>
      <c r="E1006" s="866">
        <v>2019.0</v>
      </c>
      <c r="F1006" s="865" t="s">
        <v>593</v>
      </c>
      <c r="G1006" s="865" t="s">
        <v>70</v>
      </c>
      <c r="H1006" s="867">
        <v>153455.666</v>
      </c>
      <c r="I1006" s="867">
        <v>169196.4318</v>
      </c>
      <c r="J1006" s="868">
        <v>138569.3037</v>
      </c>
      <c r="K1006" s="50"/>
      <c r="L1006" s="869" t="s">
        <v>644</v>
      </c>
      <c r="M1006" s="865" t="s">
        <v>591</v>
      </c>
      <c r="N1006" s="865" t="s">
        <v>631</v>
      </c>
      <c r="O1006" s="866">
        <v>2004.0</v>
      </c>
      <c r="P1006" s="865" t="s">
        <v>593</v>
      </c>
      <c r="Q1006" s="865" t="s">
        <v>70</v>
      </c>
      <c r="R1006" s="867">
        <v>96136.56368</v>
      </c>
      <c r="S1006" s="867">
        <v>103551.0017</v>
      </c>
      <c r="T1006" s="868">
        <v>89178.55747</v>
      </c>
      <c r="AN1006" s="882"/>
      <c r="AO1006" s="882"/>
      <c r="AP1006" s="882"/>
      <c r="AY1006" s="882"/>
      <c r="AZ1006" s="882"/>
      <c r="BA1006" s="882"/>
      <c r="BJ1006" s="882"/>
      <c r="BK1006" s="882"/>
      <c r="BL1006" s="882"/>
      <c r="BU1006" s="882"/>
      <c r="BV1006" s="882"/>
      <c r="BW1006" s="882"/>
      <c r="CF1006" s="882"/>
      <c r="CG1006" s="882"/>
      <c r="CH1006" s="882"/>
      <c r="CI1006" s="530"/>
    </row>
    <row r="1007">
      <c r="A1007" s="857"/>
      <c r="B1007" s="865" t="s">
        <v>644</v>
      </c>
      <c r="C1007" s="865" t="s">
        <v>591</v>
      </c>
      <c r="D1007" s="865" t="s">
        <v>633</v>
      </c>
      <c r="E1007" s="866">
        <v>2019.0</v>
      </c>
      <c r="F1007" s="865" t="s">
        <v>593</v>
      </c>
      <c r="G1007" s="865" t="s">
        <v>70</v>
      </c>
      <c r="H1007" s="867">
        <v>125547.689</v>
      </c>
      <c r="I1007" s="867">
        <v>138425.7848</v>
      </c>
      <c r="J1007" s="868">
        <v>113368.6119</v>
      </c>
      <c r="K1007" s="50"/>
      <c r="L1007" s="869" t="s">
        <v>644</v>
      </c>
      <c r="M1007" s="865" t="s">
        <v>591</v>
      </c>
      <c r="N1007" s="865" t="s">
        <v>633</v>
      </c>
      <c r="O1007" s="866">
        <v>2004.0</v>
      </c>
      <c r="P1007" s="865" t="s">
        <v>593</v>
      </c>
      <c r="Q1007" s="865" t="s">
        <v>70</v>
      </c>
      <c r="R1007" s="867">
        <v>77320.59685</v>
      </c>
      <c r="S1007" s="867">
        <v>83283.87195</v>
      </c>
      <c r="T1007" s="868">
        <v>71724.4202</v>
      </c>
      <c r="AN1007" s="882"/>
      <c r="AO1007" s="882"/>
      <c r="AP1007" s="882"/>
      <c r="AY1007" s="882"/>
      <c r="AZ1007" s="882"/>
      <c r="BA1007" s="882"/>
      <c r="BJ1007" s="882"/>
      <c r="BK1007" s="882"/>
      <c r="BL1007" s="882"/>
      <c r="BU1007" s="882"/>
      <c r="BV1007" s="882"/>
      <c r="BW1007" s="882"/>
      <c r="CF1007" s="882"/>
      <c r="CG1007" s="882"/>
      <c r="CH1007" s="882"/>
      <c r="CI1007" s="530"/>
    </row>
    <row r="1008">
      <c r="A1008" s="857"/>
      <c r="B1008" s="865" t="s">
        <v>644</v>
      </c>
      <c r="C1008" s="865" t="s">
        <v>591</v>
      </c>
      <c r="D1008" s="865" t="s">
        <v>635</v>
      </c>
      <c r="E1008" s="866">
        <v>2019.0</v>
      </c>
      <c r="F1008" s="865" t="s">
        <v>593</v>
      </c>
      <c r="G1008" s="865" t="s">
        <v>70</v>
      </c>
      <c r="H1008" s="867">
        <v>98745.98778</v>
      </c>
      <c r="I1008" s="867">
        <v>108874.8902</v>
      </c>
      <c r="J1008" s="868">
        <v>89166.8788</v>
      </c>
      <c r="K1008" s="50"/>
      <c r="L1008" s="869" t="s">
        <v>644</v>
      </c>
      <c r="M1008" s="865" t="s">
        <v>591</v>
      </c>
      <c r="N1008" s="865" t="s">
        <v>635</v>
      </c>
      <c r="O1008" s="866">
        <v>2004.0</v>
      </c>
      <c r="P1008" s="865" t="s">
        <v>593</v>
      </c>
      <c r="Q1008" s="865" t="s">
        <v>70</v>
      </c>
      <c r="R1008" s="867">
        <v>59508.3065</v>
      </c>
      <c r="S1008" s="867">
        <v>64097.8262</v>
      </c>
      <c r="T1008" s="868">
        <v>55201.31705</v>
      </c>
      <c r="AN1008" s="882"/>
      <c r="AO1008" s="882"/>
      <c r="AP1008" s="882"/>
      <c r="AY1008" s="882"/>
      <c r="AZ1008" s="882"/>
      <c r="BA1008" s="882"/>
      <c r="BJ1008" s="882"/>
      <c r="BK1008" s="882"/>
      <c r="BL1008" s="882"/>
      <c r="BU1008" s="882"/>
      <c r="BV1008" s="882"/>
      <c r="BW1008" s="882"/>
      <c r="CF1008" s="882"/>
      <c r="CG1008" s="882"/>
      <c r="CH1008" s="882"/>
      <c r="CI1008" s="530"/>
    </row>
    <row r="1009">
      <c r="A1009" s="857"/>
      <c r="B1009" s="865" t="s">
        <v>644</v>
      </c>
      <c r="C1009" s="865" t="s">
        <v>591</v>
      </c>
      <c r="D1009" s="865" t="s">
        <v>637</v>
      </c>
      <c r="E1009" s="866">
        <v>2019.0</v>
      </c>
      <c r="F1009" s="865" t="s">
        <v>593</v>
      </c>
      <c r="G1009" s="865" t="s">
        <v>70</v>
      </c>
      <c r="H1009" s="867">
        <v>73690.2813</v>
      </c>
      <c r="I1009" s="867">
        <v>81249.08631</v>
      </c>
      <c r="J1009" s="868">
        <v>66541.76568</v>
      </c>
      <c r="K1009" s="50"/>
      <c r="L1009" s="869" t="s">
        <v>644</v>
      </c>
      <c r="M1009" s="865" t="s">
        <v>591</v>
      </c>
      <c r="N1009" s="865" t="s">
        <v>637</v>
      </c>
      <c r="O1009" s="866">
        <v>2004.0</v>
      </c>
      <c r="P1009" s="865" t="s">
        <v>593</v>
      </c>
      <c r="Q1009" s="865" t="s">
        <v>70</v>
      </c>
      <c r="R1009" s="867">
        <v>45540.94328</v>
      </c>
      <c r="S1009" s="867">
        <v>49053.24381</v>
      </c>
      <c r="T1009" s="868">
        <v>42244.85953</v>
      </c>
      <c r="AN1009" s="882"/>
      <c r="AO1009" s="882"/>
      <c r="AP1009" s="882"/>
      <c r="AY1009" s="882"/>
      <c r="AZ1009" s="882"/>
      <c r="BA1009" s="882"/>
      <c r="BJ1009" s="882"/>
      <c r="BK1009" s="882"/>
      <c r="BL1009" s="882"/>
      <c r="BU1009" s="882"/>
      <c r="BV1009" s="882"/>
      <c r="BW1009" s="882"/>
      <c r="CF1009" s="882"/>
      <c r="CG1009" s="882"/>
      <c r="CH1009" s="882"/>
      <c r="CI1009" s="530"/>
    </row>
    <row r="1010">
      <c r="A1010" s="857"/>
      <c r="B1010" s="865" t="s">
        <v>644</v>
      </c>
      <c r="C1010" s="865" t="s">
        <v>591</v>
      </c>
      <c r="D1010" s="865" t="s">
        <v>639</v>
      </c>
      <c r="E1010" s="866">
        <v>2019.0</v>
      </c>
      <c r="F1010" s="865" t="s">
        <v>593</v>
      </c>
      <c r="G1010" s="865" t="s">
        <v>70</v>
      </c>
      <c r="H1010" s="867">
        <v>854301.1737</v>
      </c>
      <c r="I1010" s="867">
        <v>942059.6429</v>
      </c>
      <c r="J1010" s="868">
        <v>771465.5596</v>
      </c>
      <c r="K1010" s="50"/>
      <c r="L1010" s="869" t="s">
        <v>644</v>
      </c>
      <c r="M1010" s="865" t="s">
        <v>591</v>
      </c>
      <c r="N1010" s="865" t="s">
        <v>639</v>
      </c>
      <c r="O1010" s="866">
        <v>2004.0</v>
      </c>
      <c r="P1010" s="865" t="s">
        <v>593</v>
      </c>
      <c r="Q1010" s="865" t="s">
        <v>70</v>
      </c>
      <c r="R1010" s="867">
        <v>557799.2956</v>
      </c>
      <c r="S1010" s="867">
        <v>600851.3007</v>
      </c>
      <c r="T1010" s="868">
        <v>517440.1895</v>
      </c>
      <c r="AN1010" s="882"/>
      <c r="AO1010" s="882"/>
      <c r="AP1010" s="882"/>
      <c r="AY1010" s="882"/>
      <c r="AZ1010" s="882"/>
      <c r="BA1010" s="882"/>
      <c r="BJ1010" s="882"/>
      <c r="BK1010" s="882"/>
      <c r="BL1010" s="882"/>
      <c r="BU1010" s="882"/>
      <c r="BV1010" s="882"/>
      <c r="BW1010" s="882"/>
      <c r="CF1010" s="882"/>
      <c r="CG1010" s="882"/>
      <c r="CH1010" s="882"/>
      <c r="CI1010" s="530"/>
    </row>
    <row r="1011">
      <c r="A1011" s="857"/>
      <c r="B1011" s="865" t="s">
        <v>644</v>
      </c>
      <c r="C1011" s="865" t="s">
        <v>591</v>
      </c>
      <c r="D1011" s="865" t="s">
        <v>641</v>
      </c>
      <c r="E1011" s="866">
        <v>2019.0</v>
      </c>
      <c r="F1011" s="865" t="s">
        <v>593</v>
      </c>
      <c r="G1011" s="865" t="s">
        <v>70</v>
      </c>
      <c r="H1011" s="867">
        <v>306843.5036</v>
      </c>
      <c r="I1011" s="867">
        <v>338318.0776</v>
      </c>
      <c r="J1011" s="868">
        <v>277077.3589</v>
      </c>
      <c r="K1011" s="50"/>
      <c r="L1011" s="869" t="s">
        <v>644</v>
      </c>
      <c r="M1011" s="865" t="s">
        <v>591</v>
      </c>
      <c r="N1011" s="865" t="s">
        <v>641</v>
      </c>
      <c r="O1011" s="866">
        <v>2004.0</v>
      </c>
      <c r="P1011" s="865" t="s">
        <v>593</v>
      </c>
      <c r="Q1011" s="865" t="s">
        <v>70</v>
      </c>
      <c r="R1011" s="867">
        <v>207832.0851</v>
      </c>
      <c r="S1011" s="867">
        <v>223860.9306</v>
      </c>
      <c r="T1011" s="868">
        <v>192789.9733</v>
      </c>
      <c r="AN1011" s="882"/>
      <c r="AO1011" s="882"/>
      <c r="AP1011" s="882"/>
      <c r="AY1011" s="882"/>
      <c r="AZ1011" s="882"/>
      <c r="BA1011" s="882"/>
      <c r="BJ1011" s="882"/>
      <c r="BK1011" s="882"/>
      <c r="BL1011" s="882"/>
      <c r="BU1011" s="882"/>
      <c r="BV1011" s="882"/>
      <c r="BW1011" s="882"/>
      <c r="CF1011" s="882"/>
      <c r="CG1011" s="882"/>
      <c r="CH1011" s="882"/>
      <c r="CI1011" s="530"/>
    </row>
    <row r="1012">
      <c r="A1012" s="857"/>
      <c r="B1012" s="865" t="s">
        <v>644</v>
      </c>
      <c r="C1012" s="865" t="s">
        <v>591</v>
      </c>
      <c r="D1012" s="865" t="s">
        <v>643</v>
      </c>
      <c r="E1012" s="866">
        <v>2019.0</v>
      </c>
      <c r="F1012" s="865" t="s">
        <v>593</v>
      </c>
      <c r="G1012" s="865" t="s">
        <v>70</v>
      </c>
      <c r="H1012" s="867">
        <v>56396.50835</v>
      </c>
      <c r="I1012" s="867">
        <v>62181.39887</v>
      </c>
      <c r="J1012" s="868">
        <v>50925.61973</v>
      </c>
      <c r="K1012" s="50"/>
      <c r="L1012" s="869" t="s">
        <v>644</v>
      </c>
      <c r="M1012" s="865" t="s">
        <v>591</v>
      </c>
      <c r="N1012" s="865" t="s">
        <v>643</v>
      </c>
      <c r="O1012" s="866">
        <v>2004.0</v>
      </c>
      <c r="P1012" s="865" t="s">
        <v>593</v>
      </c>
      <c r="Q1012" s="865" t="s">
        <v>70</v>
      </c>
      <c r="R1012" s="867">
        <v>33607.8203</v>
      </c>
      <c r="S1012" s="867">
        <v>36199.79044</v>
      </c>
      <c r="T1012" s="868">
        <v>31175.41151</v>
      </c>
      <c r="AN1012" s="882"/>
      <c r="AO1012" s="882"/>
      <c r="AP1012" s="882"/>
      <c r="AY1012" s="882"/>
      <c r="AZ1012" s="882"/>
      <c r="BA1012" s="882"/>
      <c r="BJ1012" s="882"/>
      <c r="BK1012" s="882"/>
      <c r="BL1012" s="882"/>
      <c r="BU1012" s="882"/>
      <c r="BV1012" s="882"/>
      <c r="BW1012" s="882"/>
      <c r="CF1012" s="882"/>
      <c r="CG1012" s="882"/>
      <c r="CH1012" s="882"/>
      <c r="CI1012" s="530"/>
    </row>
    <row r="1013">
      <c r="A1013" s="857"/>
      <c r="B1013" s="865" t="s">
        <v>644</v>
      </c>
      <c r="C1013" s="865" t="s">
        <v>591</v>
      </c>
      <c r="D1013" s="865" t="s">
        <v>645</v>
      </c>
      <c r="E1013" s="866">
        <v>2019.0</v>
      </c>
      <c r="F1013" s="865" t="s">
        <v>593</v>
      </c>
      <c r="G1013" s="865" t="s">
        <v>70</v>
      </c>
      <c r="H1013" s="867">
        <v>159994.0817</v>
      </c>
      <c r="I1013" s="867">
        <v>176405.5277</v>
      </c>
      <c r="J1013" s="868">
        <v>144473.4436</v>
      </c>
      <c r="K1013" s="50"/>
      <c r="L1013" s="869" t="s">
        <v>644</v>
      </c>
      <c r="M1013" s="865" t="s">
        <v>591</v>
      </c>
      <c r="N1013" s="865" t="s">
        <v>645</v>
      </c>
      <c r="O1013" s="866">
        <v>2004.0</v>
      </c>
      <c r="P1013" s="865" t="s">
        <v>593</v>
      </c>
      <c r="Q1013" s="865" t="s">
        <v>70</v>
      </c>
      <c r="R1013" s="867">
        <v>101315.7647</v>
      </c>
      <c r="S1013" s="867">
        <v>109129.6435</v>
      </c>
      <c r="T1013" s="868">
        <v>93982.9072</v>
      </c>
      <c r="AN1013" s="882"/>
      <c r="AO1013" s="882"/>
      <c r="AP1013" s="882"/>
      <c r="AY1013" s="882"/>
      <c r="AZ1013" s="882"/>
      <c r="BA1013" s="882"/>
      <c r="BJ1013" s="882"/>
      <c r="BK1013" s="882"/>
      <c r="BL1013" s="882"/>
      <c r="BU1013" s="882"/>
      <c r="BV1013" s="882"/>
      <c r="BW1013" s="882"/>
      <c r="CF1013" s="882"/>
      <c r="CG1013" s="882"/>
      <c r="CH1013" s="882"/>
      <c r="CI1013" s="530"/>
    </row>
    <row r="1014">
      <c r="A1014" s="857"/>
      <c r="B1014" s="865" t="s">
        <v>644</v>
      </c>
      <c r="C1014" s="865" t="s">
        <v>591</v>
      </c>
      <c r="D1014" s="865" t="s">
        <v>604</v>
      </c>
      <c r="E1014" s="866">
        <v>2019.0</v>
      </c>
      <c r="F1014" s="865" t="s">
        <v>593</v>
      </c>
      <c r="G1014" s="865" t="s">
        <v>70</v>
      </c>
      <c r="H1014" s="867">
        <v>595290.3582</v>
      </c>
      <c r="I1014" s="867">
        <v>656352.4639</v>
      </c>
      <c r="J1014" s="868">
        <v>537542.6831</v>
      </c>
      <c r="K1014" s="50"/>
      <c r="L1014" s="869" t="s">
        <v>644</v>
      </c>
      <c r="M1014" s="865" t="s">
        <v>591</v>
      </c>
      <c r="N1014" s="865" t="s">
        <v>604</v>
      </c>
      <c r="O1014" s="866">
        <v>2004.0</v>
      </c>
      <c r="P1014" s="865" t="s">
        <v>593</v>
      </c>
      <c r="Q1014" s="865" t="s">
        <v>70</v>
      </c>
      <c r="R1014" s="867">
        <v>392790.3728</v>
      </c>
      <c r="S1014" s="867">
        <v>423083.9446</v>
      </c>
      <c r="T1014" s="868">
        <v>364361.6695</v>
      </c>
      <c r="AN1014" s="882"/>
      <c r="AO1014" s="882"/>
      <c r="AP1014" s="882"/>
      <c r="AY1014" s="882"/>
      <c r="AZ1014" s="882"/>
      <c r="BA1014" s="882"/>
      <c r="BJ1014" s="882"/>
      <c r="BK1014" s="882"/>
      <c r="BL1014" s="882"/>
      <c r="BU1014" s="882"/>
      <c r="BV1014" s="882"/>
      <c r="BW1014" s="882"/>
      <c r="CF1014" s="882"/>
      <c r="CG1014" s="882"/>
      <c r="CH1014" s="882"/>
      <c r="CI1014" s="530"/>
    </row>
    <row r="1015">
      <c r="A1015" s="857"/>
      <c r="B1015" s="865" t="s">
        <v>644</v>
      </c>
      <c r="C1015" s="865" t="s">
        <v>591</v>
      </c>
      <c r="D1015" s="865" t="s">
        <v>647</v>
      </c>
      <c r="E1015" s="866">
        <v>2019.0</v>
      </c>
      <c r="F1015" s="865" t="s">
        <v>593</v>
      </c>
      <c r="G1015" s="865" t="s">
        <v>70</v>
      </c>
      <c r="H1015" s="867">
        <v>150181.8818</v>
      </c>
      <c r="I1015" s="867">
        <v>165609.3826</v>
      </c>
      <c r="J1015" s="868">
        <v>135619.7943</v>
      </c>
      <c r="K1015" s="50"/>
      <c r="L1015" s="869" t="s">
        <v>644</v>
      </c>
      <c r="M1015" s="865" t="s">
        <v>591</v>
      </c>
      <c r="N1015" s="865" t="s">
        <v>647</v>
      </c>
      <c r="O1015" s="866">
        <v>2004.0</v>
      </c>
      <c r="P1015" s="865" t="s">
        <v>593</v>
      </c>
      <c r="Q1015" s="865" t="s">
        <v>70</v>
      </c>
      <c r="R1015" s="867">
        <v>97370.03789</v>
      </c>
      <c r="S1015" s="867">
        <v>104885.2416</v>
      </c>
      <c r="T1015" s="868">
        <v>90324.90943</v>
      </c>
      <c r="AN1015" s="882"/>
      <c r="AO1015" s="882"/>
      <c r="AP1015" s="882"/>
      <c r="AY1015" s="882"/>
      <c r="AZ1015" s="882"/>
      <c r="BA1015" s="882"/>
      <c r="BJ1015" s="882"/>
      <c r="BK1015" s="882"/>
      <c r="BL1015" s="882"/>
      <c r="BU1015" s="882"/>
      <c r="BV1015" s="882"/>
      <c r="BW1015" s="882"/>
      <c r="CF1015" s="882"/>
      <c r="CG1015" s="882"/>
      <c r="CH1015" s="882"/>
      <c r="CI1015" s="530"/>
    </row>
    <row r="1016">
      <c r="A1016" s="857"/>
      <c r="B1016" s="865" t="s">
        <v>644</v>
      </c>
      <c r="C1016" s="865" t="s">
        <v>591</v>
      </c>
      <c r="D1016" s="865" t="s">
        <v>649</v>
      </c>
      <c r="E1016" s="866">
        <v>2019.0</v>
      </c>
      <c r="F1016" s="865" t="s">
        <v>593</v>
      </c>
      <c r="G1016" s="865" t="s">
        <v>70</v>
      </c>
      <c r="H1016" s="867">
        <v>43140.1043</v>
      </c>
      <c r="I1016" s="867">
        <v>47565.21479</v>
      </c>
      <c r="J1016" s="868">
        <v>38955.18732</v>
      </c>
      <c r="K1016" s="50"/>
      <c r="L1016" s="869" t="s">
        <v>644</v>
      </c>
      <c r="M1016" s="865" t="s">
        <v>591</v>
      </c>
      <c r="N1016" s="865" t="s">
        <v>649</v>
      </c>
      <c r="O1016" s="866">
        <v>2004.0</v>
      </c>
      <c r="P1016" s="865" t="s">
        <v>593</v>
      </c>
      <c r="Q1016" s="865" t="s">
        <v>70</v>
      </c>
      <c r="R1016" s="867">
        <v>24174.5911</v>
      </c>
      <c r="S1016" s="867">
        <v>26039.0327</v>
      </c>
      <c r="T1016" s="868">
        <v>22424.92429</v>
      </c>
      <c r="AN1016" s="882"/>
      <c r="AO1016" s="882"/>
      <c r="AP1016" s="882"/>
      <c r="AY1016" s="882"/>
      <c r="AZ1016" s="882"/>
      <c r="BA1016" s="882"/>
      <c r="BJ1016" s="882"/>
      <c r="BK1016" s="882"/>
      <c r="BL1016" s="882"/>
      <c r="BU1016" s="882"/>
      <c r="BV1016" s="882"/>
      <c r="BW1016" s="882"/>
      <c r="CF1016" s="882"/>
      <c r="CG1016" s="882"/>
      <c r="CH1016" s="882"/>
      <c r="CI1016" s="530"/>
    </row>
    <row r="1017">
      <c r="A1017" s="857"/>
      <c r="B1017" s="865" t="s">
        <v>644</v>
      </c>
      <c r="C1017" s="865" t="s">
        <v>591</v>
      </c>
      <c r="D1017" s="865" t="s">
        <v>651</v>
      </c>
      <c r="E1017" s="866">
        <v>2019.0</v>
      </c>
      <c r="F1017" s="865" t="s">
        <v>593</v>
      </c>
      <c r="G1017" s="865" t="s">
        <v>70</v>
      </c>
      <c r="H1017" s="867">
        <v>34501.68156</v>
      </c>
      <c r="I1017" s="867">
        <v>38040.70298</v>
      </c>
      <c r="J1017" s="868">
        <v>31154.75704</v>
      </c>
      <c r="K1017" s="50"/>
      <c r="L1017" s="869" t="s">
        <v>644</v>
      </c>
      <c r="M1017" s="865" t="s">
        <v>591</v>
      </c>
      <c r="N1017" s="865" t="s">
        <v>651</v>
      </c>
      <c r="O1017" s="866">
        <v>2004.0</v>
      </c>
      <c r="P1017" s="865" t="s">
        <v>593</v>
      </c>
      <c r="Q1017" s="865" t="s">
        <v>70</v>
      </c>
      <c r="R1017" s="867">
        <v>23125.07134</v>
      </c>
      <c r="S1017" s="867">
        <v>24908.56976</v>
      </c>
      <c r="T1017" s="868">
        <v>21451.36486</v>
      </c>
      <c r="AN1017" s="882"/>
      <c r="AO1017" s="882"/>
      <c r="AP1017" s="882"/>
      <c r="AY1017" s="882"/>
      <c r="AZ1017" s="882"/>
      <c r="BA1017" s="882"/>
      <c r="BJ1017" s="882"/>
      <c r="BK1017" s="882"/>
      <c r="BL1017" s="882"/>
      <c r="BU1017" s="882"/>
      <c r="BV1017" s="882"/>
      <c r="BW1017" s="882"/>
      <c r="CF1017" s="882"/>
      <c r="CG1017" s="882"/>
      <c r="CH1017" s="882"/>
      <c r="CI1017" s="530"/>
    </row>
    <row r="1018">
      <c r="A1018" s="857"/>
      <c r="B1018" s="865" t="s">
        <v>644</v>
      </c>
      <c r="C1018" s="865" t="s">
        <v>591</v>
      </c>
      <c r="D1018" s="865" t="s">
        <v>653</v>
      </c>
      <c r="E1018" s="866">
        <v>2019.0</v>
      </c>
      <c r="F1018" s="865" t="s">
        <v>593</v>
      </c>
      <c r="G1018" s="865" t="s">
        <v>70</v>
      </c>
      <c r="H1018" s="867">
        <v>25955.78754</v>
      </c>
      <c r="I1018" s="867">
        <v>28618.21104</v>
      </c>
      <c r="J1018" s="868">
        <v>23437.87948</v>
      </c>
      <c r="K1018" s="50"/>
      <c r="L1018" s="869" t="s">
        <v>644</v>
      </c>
      <c r="M1018" s="865" t="s">
        <v>591</v>
      </c>
      <c r="N1018" s="865" t="s">
        <v>653</v>
      </c>
      <c r="O1018" s="866">
        <v>2004.0</v>
      </c>
      <c r="P1018" s="865" t="s">
        <v>593</v>
      </c>
      <c r="Q1018" s="865" t="s">
        <v>70</v>
      </c>
      <c r="R1018" s="867">
        <v>20408.28193</v>
      </c>
      <c r="S1018" s="867">
        <v>21982.25063</v>
      </c>
      <c r="T1018" s="868">
        <v>18931.20654</v>
      </c>
      <c r="AN1018" s="882"/>
      <c r="AO1018" s="882"/>
      <c r="AP1018" s="882"/>
      <c r="AY1018" s="882"/>
      <c r="AZ1018" s="882"/>
      <c r="BA1018" s="882"/>
      <c r="BJ1018" s="882"/>
      <c r="BK1018" s="882"/>
      <c r="BL1018" s="882"/>
      <c r="BU1018" s="882"/>
      <c r="BV1018" s="882"/>
      <c r="BW1018" s="882"/>
      <c r="CF1018" s="882"/>
      <c r="CG1018" s="882"/>
      <c r="CH1018" s="882"/>
      <c r="CI1018" s="530"/>
    </row>
    <row r="1019">
      <c r="A1019" s="857"/>
      <c r="B1019" s="865" t="s">
        <v>644</v>
      </c>
      <c r="C1019" s="865" t="s">
        <v>591</v>
      </c>
      <c r="D1019" s="865" t="s">
        <v>655</v>
      </c>
      <c r="E1019" s="866">
        <v>2019.0</v>
      </c>
      <c r="F1019" s="865" t="s">
        <v>593</v>
      </c>
      <c r="G1019" s="865" t="s">
        <v>70</v>
      </c>
      <c r="H1019" s="867">
        <v>44638.97902</v>
      </c>
      <c r="I1019" s="867">
        <v>49224.53805</v>
      </c>
      <c r="J1019" s="868">
        <v>40310.6492</v>
      </c>
      <c r="K1019" s="50"/>
      <c r="L1019" s="869" t="s">
        <v>644</v>
      </c>
      <c r="M1019" s="865" t="s">
        <v>591</v>
      </c>
      <c r="N1019" s="865" t="s">
        <v>655</v>
      </c>
      <c r="O1019" s="866">
        <v>2004.0</v>
      </c>
      <c r="P1019" s="865" t="s">
        <v>593</v>
      </c>
      <c r="Q1019" s="865" t="s">
        <v>70</v>
      </c>
      <c r="R1019" s="867">
        <v>34941.98065</v>
      </c>
      <c r="S1019" s="867">
        <v>37638.86883</v>
      </c>
      <c r="T1019" s="868">
        <v>32413.78257</v>
      </c>
      <c r="AN1019" s="882"/>
      <c r="AO1019" s="882"/>
      <c r="AP1019" s="882"/>
      <c r="AY1019" s="882"/>
      <c r="AZ1019" s="882"/>
      <c r="BA1019" s="882"/>
      <c r="BJ1019" s="882"/>
      <c r="BK1019" s="882"/>
      <c r="BL1019" s="882"/>
      <c r="BU1019" s="882"/>
      <c r="BV1019" s="882"/>
      <c r="BW1019" s="882"/>
      <c r="CF1019" s="882"/>
      <c r="CG1019" s="882"/>
      <c r="CH1019" s="882"/>
      <c r="CI1019" s="530"/>
    </row>
    <row r="1020">
      <c r="A1020" s="857"/>
      <c r="B1020" s="865" t="s">
        <v>644</v>
      </c>
      <c r="C1020" s="865" t="s">
        <v>591</v>
      </c>
      <c r="D1020" s="865" t="s">
        <v>657</v>
      </c>
      <c r="E1020" s="866">
        <v>2019.0</v>
      </c>
      <c r="F1020" s="865" t="s">
        <v>593</v>
      </c>
      <c r="G1020" s="865" t="s">
        <v>70</v>
      </c>
      <c r="H1020" s="867">
        <v>18686.59821</v>
      </c>
      <c r="I1020" s="867">
        <v>20603.38221</v>
      </c>
      <c r="J1020" s="868">
        <v>16873.8566</v>
      </c>
      <c r="K1020" s="50"/>
      <c r="L1020" s="869" t="s">
        <v>644</v>
      </c>
      <c r="M1020" s="865" t="s">
        <v>591</v>
      </c>
      <c r="N1020" s="865" t="s">
        <v>657</v>
      </c>
      <c r="O1020" s="866">
        <v>2004.0</v>
      </c>
      <c r="P1020" s="865" t="s">
        <v>593</v>
      </c>
      <c r="Q1020" s="865" t="s">
        <v>70</v>
      </c>
      <c r="R1020" s="867">
        <v>14535.5443</v>
      </c>
      <c r="S1020" s="867">
        <v>15656.58388</v>
      </c>
      <c r="T1020" s="868">
        <v>13483.51578</v>
      </c>
      <c r="AN1020" s="882"/>
      <c r="AO1020" s="882"/>
      <c r="AP1020" s="882"/>
      <c r="AY1020" s="882"/>
      <c r="AZ1020" s="882"/>
      <c r="BA1020" s="882"/>
      <c r="BJ1020" s="882"/>
      <c r="BK1020" s="882"/>
      <c r="BL1020" s="882"/>
      <c r="BU1020" s="882"/>
      <c r="BV1020" s="882"/>
      <c r="BW1020" s="882"/>
      <c r="CF1020" s="882"/>
      <c r="CG1020" s="882"/>
      <c r="CH1020" s="882"/>
      <c r="CI1020" s="530"/>
    </row>
    <row r="1021">
      <c r="A1021" s="857"/>
      <c r="B1021" s="865" t="s">
        <v>644</v>
      </c>
      <c r="C1021" s="865" t="s">
        <v>591</v>
      </c>
      <c r="D1021" s="865" t="s">
        <v>659</v>
      </c>
      <c r="E1021" s="866">
        <v>2019.0</v>
      </c>
      <c r="F1021" s="865" t="s">
        <v>593</v>
      </c>
      <c r="G1021" s="865" t="s">
        <v>70</v>
      </c>
      <c r="H1021" s="867">
        <v>46595.76986</v>
      </c>
      <c r="I1021" s="867">
        <v>51375.34639</v>
      </c>
      <c r="J1021" s="868">
        <v>42075.62714</v>
      </c>
      <c r="K1021" s="50"/>
      <c r="L1021" s="869" t="s">
        <v>644</v>
      </c>
      <c r="M1021" s="865" t="s">
        <v>591</v>
      </c>
      <c r="N1021" s="865" t="s">
        <v>659</v>
      </c>
      <c r="O1021" s="866">
        <v>2004.0</v>
      </c>
      <c r="P1021" s="865" t="s">
        <v>593</v>
      </c>
      <c r="Q1021" s="865" t="s">
        <v>70</v>
      </c>
      <c r="R1021" s="867">
        <v>29667.23646</v>
      </c>
      <c r="S1021" s="867">
        <v>31955.29294</v>
      </c>
      <c r="T1021" s="868">
        <v>27520.03245</v>
      </c>
      <c r="AN1021" s="882"/>
      <c r="AO1021" s="882"/>
      <c r="AP1021" s="882"/>
      <c r="AY1021" s="882"/>
      <c r="AZ1021" s="882"/>
      <c r="BA1021" s="882"/>
      <c r="BJ1021" s="882"/>
      <c r="BK1021" s="882"/>
      <c r="BL1021" s="882"/>
      <c r="BU1021" s="882"/>
      <c r="BV1021" s="882"/>
      <c r="BW1021" s="882"/>
      <c r="CF1021" s="882"/>
      <c r="CG1021" s="882"/>
      <c r="CH1021" s="882"/>
      <c r="CI1021" s="530"/>
    </row>
    <row r="1022">
      <c r="A1022" s="857"/>
      <c r="B1022" s="865" t="s">
        <v>644</v>
      </c>
      <c r="C1022" s="865" t="s">
        <v>591</v>
      </c>
      <c r="D1022" s="865" t="s">
        <v>661</v>
      </c>
      <c r="E1022" s="866">
        <v>2019.0</v>
      </c>
      <c r="F1022" s="865" t="s">
        <v>593</v>
      </c>
      <c r="G1022" s="865" t="s">
        <v>70</v>
      </c>
      <c r="H1022" s="867">
        <v>27907.04186</v>
      </c>
      <c r="I1022" s="867">
        <v>30773.80519</v>
      </c>
      <c r="J1022" s="868">
        <v>25201.09106</v>
      </c>
      <c r="K1022" s="50"/>
      <c r="L1022" s="869" t="s">
        <v>644</v>
      </c>
      <c r="M1022" s="865" t="s">
        <v>591</v>
      </c>
      <c r="N1022" s="865" t="s">
        <v>661</v>
      </c>
      <c r="O1022" s="866">
        <v>2004.0</v>
      </c>
      <c r="P1022" s="865" t="s">
        <v>593</v>
      </c>
      <c r="Q1022" s="865" t="s">
        <v>70</v>
      </c>
      <c r="R1022" s="867">
        <v>15130.89296</v>
      </c>
      <c r="S1022" s="867">
        <v>16298.72391</v>
      </c>
      <c r="T1022" s="868">
        <v>14036.10973</v>
      </c>
      <c r="AN1022" s="882"/>
      <c r="AO1022" s="882"/>
      <c r="AP1022" s="882"/>
      <c r="AY1022" s="882"/>
      <c r="AZ1022" s="882"/>
      <c r="BA1022" s="882"/>
      <c r="BJ1022" s="882"/>
      <c r="BK1022" s="882"/>
      <c r="BL1022" s="882"/>
      <c r="BU1022" s="882"/>
      <c r="BV1022" s="882"/>
      <c r="BW1022" s="882"/>
      <c r="CF1022" s="882"/>
      <c r="CG1022" s="882"/>
      <c r="CH1022" s="882"/>
      <c r="CI1022" s="530"/>
    </row>
    <row r="1023">
      <c r="A1023" s="857"/>
      <c r="B1023" s="865" t="s">
        <v>644</v>
      </c>
      <c r="C1023" s="865" t="s">
        <v>591</v>
      </c>
      <c r="D1023" s="865" t="s">
        <v>663</v>
      </c>
      <c r="E1023" s="866">
        <v>2019.0</v>
      </c>
      <c r="F1023" s="865" t="s">
        <v>593</v>
      </c>
      <c r="G1023" s="865" t="s">
        <v>70</v>
      </c>
      <c r="H1023" s="867">
        <v>14554.49554</v>
      </c>
      <c r="I1023" s="867">
        <v>16047.42774</v>
      </c>
      <c r="J1023" s="868">
        <v>13142.5992</v>
      </c>
      <c r="K1023" s="50"/>
      <c r="L1023" s="869" t="s">
        <v>644</v>
      </c>
      <c r="M1023" s="865" t="s">
        <v>591</v>
      </c>
      <c r="N1023" s="865" t="s">
        <v>663</v>
      </c>
      <c r="O1023" s="866">
        <v>2004.0</v>
      </c>
      <c r="P1023" s="865" t="s">
        <v>593</v>
      </c>
      <c r="Q1023" s="865" t="s">
        <v>70</v>
      </c>
      <c r="R1023" s="867">
        <v>8522.644684</v>
      </c>
      <c r="S1023" s="867">
        <v>9179.945286</v>
      </c>
      <c r="T1023" s="868">
        <v>7905.807423</v>
      </c>
      <c r="AN1023" s="882"/>
      <c r="AO1023" s="882"/>
      <c r="AP1023" s="882"/>
      <c r="AY1023" s="882"/>
      <c r="AZ1023" s="882"/>
      <c r="BA1023" s="882"/>
      <c r="BJ1023" s="882"/>
      <c r="BK1023" s="882"/>
      <c r="BL1023" s="882"/>
      <c r="BU1023" s="882"/>
      <c r="BV1023" s="882"/>
      <c r="BW1023" s="882"/>
      <c r="CF1023" s="882"/>
      <c r="CG1023" s="882"/>
      <c r="CH1023" s="882"/>
      <c r="CI1023" s="530"/>
    </row>
    <row r="1024">
      <c r="A1024" s="857"/>
      <c r="B1024" s="865" t="s">
        <v>644</v>
      </c>
      <c r="C1024" s="865" t="s">
        <v>591</v>
      </c>
      <c r="D1024" s="865" t="s">
        <v>665</v>
      </c>
      <c r="E1024" s="866">
        <v>2019.0</v>
      </c>
      <c r="F1024" s="865" t="s">
        <v>593</v>
      </c>
      <c r="G1024" s="865" t="s">
        <v>70</v>
      </c>
      <c r="H1024" s="867">
        <v>23393.38624</v>
      </c>
      <c r="I1024" s="867">
        <v>25796.48228</v>
      </c>
      <c r="J1024" s="868">
        <v>21125.09308</v>
      </c>
      <c r="K1024" s="50"/>
      <c r="L1024" s="869" t="s">
        <v>644</v>
      </c>
      <c r="M1024" s="865" t="s">
        <v>591</v>
      </c>
      <c r="N1024" s="865" t="s">
        <v>665</v>
      </c>
      <c r="O1024" s="866">
        <v>2004.0</v>
      </c>
      <c r="P1024" s="865" t="s">
        <v>593</v>
      </c>
      <c r="Q1024" s="865" t="s">
        <v>70</v>
      </c>
      <c r="R1024" s="867">
        <v>12862.84412</v>
      </c>
      <c r="S1024" s="867">
        <v>13855.62276</v>
      </c>
      <c r="T1024" s="868">
        <v>11932.16368</v>
      </c>
      <c r="AN1024" s="882"/>
      <c r="AO1024" s="882"/>
      <c r="AP1024" s="882"/>
      <c r="AY1024" s="882"/>
      <c r="AZ1024" s="882"/>
      <c r="BA1024" s="882"/>
      <c r="BJ1024" s="882"/>
      <c r="BK1024" s="882"/>
      <c r="BL1024" s="882"/>
      <c r="BU1024" s="882"/>
      <c r="BV1024" s="882"/>
      <c r="BW1024" s="882"/>
      <c r="CF1024" s="882"/>
      <c r="CG1024" s="882"/>
      <c r="CH1024" s="882"/>
      <c r="CI1024" s="530"/>
    </row>
    <row r="1025">
      <c r="A1025" s="857"/>
      <c r="B1025" s="865" t="s">
        <v>644</v>
      </c>
      <c r="C1025" s="865" t="s">
        <v>591</v>
      </c>
      <c r="D1025" s="865" t="s">
        <v>667</v>
      </c>
      <c r="E1025" s="866">
        <v>2019.0</v>
      </c>
      <c r="F1025" s="865" t="s">
        <v>593</v>
      </c>
      <c r="G1025" s="865" t="s">
        <v>70</v>
      </c>
      <c r="H1025" s="867">
        <v>13354.67611</v>
      </c>
      <c r="I1025" s="867">
        <v>14724.53644</v>
      </c>
      <c r="J1025" s="868">
        <v>12059.17135</v>
      </c>
      <c r="K1025" s="50"/>
      <c r="L1025" s="869" t="s">
        <v>644</v>
      </c>
      <c r="M1025" s="865" t="s">
        <v>591</v>
      </c>
      <c r="N1025" s="865" t="s">
        <v>667</v>
      </c>
      <c r="O1025" s="866">
        <v>2004.0</v>
      </c>
      <c r="P1025" s="865" t="s">
        <v>593</v>
      </c>
      <c r="Q1025" s="865" t="s">
        <v>70</v>
      </c>
      <c r="R1025" s="867">
        <v>6609.047471</v>
      </c>
      <c r="S1025" s="867">
        <v>7118.763767</v>
      </c>
      <c r="T1025" s="868">
        <v>6130.709245</v>
      </c>
      <c r="AN1025" s="882"/>
      <c r="AO1025" s="882"/>
      <c r="AP1025" s="882"/>
      <c r="AY1025" s="882"/>
      <c r="AZ1025" s="882"/>
      <c r="BA1025" s="882"/>
      <c r="BJ1025" s="882"/>
      <c r="BK1025" s="882"/>
      <c r="BL1025" s="882"/>
      <c r="BU1025" s="882"/>
      <c r="BV1025" s="882"/>
      <c r="BW1025" s="882"/>
      <c r="CF1025" s="882"/>
      <c r="CG1025" s="882"/>
      <c r="CH1025" s="882"/>
      <c r="CI1025" s="530"/>
    </row>
    <row r="1026">
      <c r="A1026" s="857"/>
      <c r="B1026" s="865" t="s">
        <v>644</v>
      </c>
      <c r="C1026" s="865" t="s">
        <v>591</v>
      </c>
      <c r="D1026" s="865" t="s">
        <v>669</v>
      </c>
      <c r="E1026" s="866">
        <v>2019.0</v>
      </c>
      <c r="F1026" s="865" t="s">
        <v>593</v>
      </c>
      <c r="G1026" s="865" t="s">
        <v>70</v>
      </c>
      <c r="H1026" s="867">
        <v>8840.676023</v>
      </c>
      <c r="I1026" s="867">
        <v>9747.511295</v>
      </c>
      <c r="J1026" s="868">
        <v>7983.063466</v>
      </c>
      <c r="K1026" s="50"/>
      <c r="L1026" s="869" t="s">
        <v>644</v>
      </c>
      <c r="M1026" s="865" t="s">
        <v>591</v>
      </c>
      <c r="N1026" s="865" t="s">
        <v>669</v>
      </c>
      <c r="O1026" s="866">
        <v>2004.0</v>
      </c>
      <c r="P1026" s="865" t="s">
        <v>593</v>
      </c>
      <c r="Q1026" s="865" t="s">
        <v>70</v>
      </c>
      <c r="R1026" s="867">
        <v>4340.878828</v>
      </c>
      <c r="S1026" s="867">
        <v>4675.664845</v>
      </c>
      <c r="T1026" s="868">
        <v>4026.702195</v>
      </c>
      <c r="AN1026" s="882"/>
      <c r="AO1026" s="882"/>
      <c r="AP1026" s="882"/>
      <c r="AY1026" s="882"/>
      <c r="AZ1026" s="882"/>
      <c r="BA1026" s="882"/>
      <c r="BJ1026" s="882"/>
      <c r="BK1026" s="882"/>
      <c r="BL1026" s="882"/>
      <c r="BU1026" s="882"/>
      <c r="BV1026" s="882"/>
      <c r="BW1026" s="882"/>
      <c r="CF1026" s="882"/>
      <c r="CG1026" s="882"/>
      <c r="CH1026" s="882"/>
      <c r="CI1026" s="530"/>
    </row>
    <row r="1027">
      <c r="A1027" s="857"/>
      <c r="B1027" s="865" t="s">
        <v>644</v>
      </c>
      <c r="C1027" s="865" t="s">
        <v>591</v>
      </c>
      <c r="D1027" s="865" t="s">
        <v>671</v>
      </c>
      <c r="E1027" s="866">
        <v>2019.0</v>
      </c>
      <c r="F1027" s="865" t="s">
        <v>593</v>
      </c>
      <c r="G1027" s="865" t="s">
        <v>70</v>
      </c>
      <c r="H1027" s="867">
        <v>4513.65562</v>
      </c>
      <c r="I1027" s="867">
        <v>4977.322907</v>
      </c>
      <c r="J1027" s="868">
        <v>4075.99798</v>
      </c>
      <c r="K1027" s="50"/>
      <c r="L1027" s="869" t="s">
        <v>644</v>
      </c>
      <c r="M1027" s="865" t="s">
        <v>591</v>
      </c>
      <c r="N1027" s="865" t="s">
        <v>671</v>
      </c>
      <c r="O1027" s="866">
        <v>2004.0</v>
      </c>
      <c r="P1027" s="865" t="s">
        <v>593</v>
      </c>
      <c r="Q1027" s="865" t="s">
        <v>70</v>
      </c>
      <c r="R1027" s="867">
        <v>2268.048848</v>
      </c>
      <c r="S1027" s="867">
        <v>2443.10115</v>
      </c>
      <c r="T1027" s="868">
        <v>2103.946052</v>
      </c>
      <c r="AN1027" s="882"/>
      <c r="AO1027" s="882"/>
      <c r="AP1027" s="882"/>
      <c r="AY1027" s="882"/>
      <c r="AZ1027" s="882"/>
      <c r="BA1027" s="882"/>
      <c r="BJ1027" s="882"/>
      <c r="BK1027" s="882"/>
      <c r="BL1027" s="882"/>
      <c r="BU1027" s="882"/>
      <c r="BV1027" s="882"/>
      <c r="BW1027" s="882"/>
      <c r="CF1027" s="882"/>
      <c r="CG1027" s="882"/>
      <c r="CH1027" s="882"/>
      <c r="CI1027" s="530"/>
    </row>
    <row r="1028">
      <c r="A1028" s="857"/>
      <c r="B1028" s="865" t="s">
        <v>644</v>
      </c>
      <c r="C1028" s="865" t="s">
        <v>591</v>
      </c>
      <c r="D1028" s="865" t="s">
        <v>673</v>
      </c>
      <c r="E1028" s="866">
        <v>2019.0</v>
      </c>
      <c r="F1028" s="865" t="s">
        <v>593</v>
      </c>
      <c r="G1028" s="865" t="s">
        <v>70</v>
      </c>
      <c r="H1028" s="867">
        <v>3435.543936</v>
      </c>
      <c r="I1028" s="867">
        <v>3787.945994</v>
      </c>
      <c r="J1028" s="868">
        <v>3102.270144</v>
      </c>
      <c r="K1028" s="50"/>
      <c r="L1028" s="869" t="s">
        <v>644</v>
      </c>
      <c r="M1028" s="865" t="s">
        <v>591</v>
      </c>
      <c r="N1028" s="865" t="s">
        <v>673</v>
      </c>
      <c r="O1028" s="866">
        <v>2004.0</v>
      </c>
      <c r="P1028" s="865" t="s">
        <v>593</v>
      </c>
      <c r="Q1028" s="865" t="s">
        <v>70</v>
      </c>
      <c r="R1028" s="867">
        <v>1672.12954</v>
      </c>
      <c r="S1028" s="867">
        <v>1801.090888</v>
      </c>
      <c r="T1028" s="868">
        <v>1551.107035</v>
      </c>
      <c r="AN1028" s="882"/>
      <c r="AO1028" s="882"/>
      <c r="AP1028" s="882"/>
      <c r="AY1028" s="882"/>
      <c r="AZ1028" s="882"/>
      <c r="BA1028" s="882"/>
      <c r="BJ1028" s="882"/>
      <c r="BK1028" s="882"/>
      <c r="BL1028" s="882"/>
      <c r="BU1028" s="882"/>
      <c r="BV1028" s="882"/>
      <c r="BW1028" s="882"/>
      <c r="CF1028" s="882"/>
      <c r="CG1028" s="882"/>
      <c r="CH1028" s="882"/>
      <c r="CI1028" s="530"/>
    </row>
    <row r="1029">
      <c r="A1029" s="857"/>
      <c r="B1029" s="865" t="s">
        <v>644</v>
      </c>
      <c r="C1029" s="865" t="s">
        <v>591</v>
      </c>
      <c r="D1029" s="865" t="s">
        <v>674</v>
      </c>
      <c r="E1029" s="866">
        <v>2019.0</v>
      </c>
      <c r="F1029" s="865" t="s">
        <v>593</v>
      </c>
      <c r="G1029" s="865" t="s">
        <v>70</v>
      </c>
      <c r="H1029" s="867">
        <v>890.4600144</v>
      </c>
      <c r="I1029" s="867">
        <v>981.7992453</v>
      </c>
      <c r="J1029" s="868">
        <v>804.0786462</v>
      </c>
      <c r="K1029" s="50"/>
      <c r="L1029" s="869" t="s">
        <v>644</v>
      </c>
      <c r="M1029" s="865" t="s">
        <v>591</v>
      </c>
      <c r="N1029" s="865" t="s">
        <v>674</v>
      </c>
      <c r="O1029" s="866">
        <v>2004.0</v>
      </c>
      <c r="P1029" s="865" t="s">
        <v>593</v>
      </c>
      <c r="Q1029" s="865" t="s">
        <v>70</v>
      </c>
      <c r="R1029" s="867">
        <v>494.0925401</v>
      </c>
      <c r="S1029" s="867">
        <v>532.1989421</v>
      </c>
      <c r="T1029" s="868">
        <v>458.3319634</v>
      </c>
      <c r="AN1029" s="882"/>
      <c r="AO1029" s="882"/>
      <c r="AP1029" s="882"/>
      <c r="AY1029" s="882"/>
      <c r="AZ1029" s="882"/>
      <c r="BA1029" s="882"/>
      <c r="BJ1029" s="882"/>
      <c r="BK1029" s="882"/>
      <c r="BL1029" s="882"/>
      <c r="BU1029" s="882"/>
      <c r="BV1029" s="882"/>
      <c r="BW1029" s="882"/>
      <c r="CF1029" s="882"/>
      <c r="CG1029" s="882"/>
      <c r="CH1029" s="882"/>
      <c r="CI1029" s="530"/>
    </row>
    <row r="1030">
      <c r="A1030" s="857"/>
      <c r="B1030" s="865" t="s">
        <v>644</v>
      </c>
      <c r="C1030" s="865" t="s">
        <v>591</v>
      </c>
      <c r="D1030" s="865" t="s">
        <v>676</v>
      </c>
      <c r="E1030" s="866">
        <v>2019.0</v>
      </c>
      <c r="F1030" s="865" t="s">
        <v>593</v>
      </c>
      <c r="G1030" s="865" t="s">
        <v>70</v>
      </c>
      <c r="H1030" s="867">
        <v>187.9961388</v>
      </c>
      <c r="I1030" s="867">
        <v>207.279905</v>
      </c>
      <c r="J1030" s="868">
        <v>169.7590889</v>
      </c>
      <c r="K1030" s="50"/>
      <c r="L1030" s="869" t="s">
        <v>644</v>
      </c>
      <c r="M1030" s="865" t="s">
        <v>591</v>
      </c>
      <c r="N1030" s="865" t="s">
        <v>676</v>
      </c>
      <c r="O1030" s="866">
        <v>2004.0</v>
      </c>
      <c r="P1030" s="865" t="s">
        <v>593</v>
      </c>
      <c r="Q1030" s="865" t="s">
        <v>70</v>
      </c>
      <c r="R1030" s="867">
        <v>101.9465635</v>
      </c>
      <c r="S1030" s="867">
        <v>109.8090921</v>
      </c>
      <c r="T1030" s="868">
        <v>94.56805116</v>
      </c>
      <c r="AN1030" s="882"/>
      <c r="AO1030" s="882"/>
      <c r="AP1030" s="882"/>
      <c r="AY1030" s="882"/>
      <c r="AZ1030" s="882"/>
      <c r="BA1030" s="882"/>
      <c r="BJ1030" s="882"/>
      <c r="BK1030" s="882"/>
      <c r="BL1030" s="882"/>
      <c r="BU1030" s="882"/>
      <c r="BV1030" s="882"/>
      <c r="BW1030" s="882"/>
      <c r="CF1030" s="882"/>
      <c r="CG1030" s="882"/>
      <c r="CH1030" s="882"/>
      <c r="CI1030" s="530"/>
    </row>
    <row r="1031">
      <c r="A1031" s="857"/>
      <c r="B1031" s="865" t="s">
        <v>644</v>
      </c>
      <c r="C1031" s="865" t="s">
        <v>591</v>
      </c>
      <c r="D1031" s="865" t="s">
        <v>678</v>
      </c>
      <c r="E1031" s="866">
        <v>2019.0</v>
      </c>
      <c r="F1031" s="865" t="s">
        <v>593</v>
      </c>
      <c r="G1031" s="865" t="s">
        <v>70</v>
      </c>
      <c r="H1031" s="867">
        <v>2245865.707</v>
      </c>
      <c r="I1031" s="867">
        <v>2476236.126</v>
      </c>
      <c r="J1031" s="868">
        <v>2027999.717</v>
      </c>
      <c r="K1031" s="50"/>
      <c r="L1031" s="869" t="s">
        <v>644</v>
      </c>
      <c r="M1031" s="865" t="s">
        <v>591</v>
      </c>
      <c r="N1031" s="865" t="s">
        <v>678</v>
      </c>
      <c r="O1031" s="866">
        <v>2004.0</v>
      </c>
      <c r="P1031" s="865" t="s">
        <v>593</v>
      </c>
      <c r="Q1031" s="865" t="s">
        <v>70</v>
      </c>
      <c r="R1031" s="867">
        <v>1507739.605</v>
      </c>
      <c r="S1031" s="867">
        <v>1624022.541</v>
      </c>
      <c r="T1031" s="868">
        <v>1398615.031</v>
      </c>
      <c r="AN1031" s="882"/>
      <c r="AO1031" s="882"/>
      <c r="AP1031" s="882"/>
      <c r="AY1031" s="882"/>
      <c r="AZ1031" s="882"/>
      <c r="BA1031" s="882"/>
      <c r="BJ1031" s="882"/>
      <c r="BK1031" s="882"/>
      <c r="BL1031" s="882"/>
      <c r="BU1031" s="882"/>
      <c r="BV1031" s="882"/>
      <c r="BW1031" s="882"/>
      <c r="CF1031" s="882"/>
      <c r="CG1031" s="882"/>
      <c r="CH1031" s="882"/>
      <c r="CI1031" s="530"/>
    </row>
    <row r="1032">
      <c r="A1032" s="857"/>
      <c r="B1032" s="865" t="s">
        <v>644</v>
      </c>
      <c r="C1032" s="865" t="s">
        <v>591</v>
      </c>
      <c r="D1032" s="865" t="s">
        <v>680</v>
      </c>
      <c r="E1032" s="866">
        <v>2019.0</v>
      </c>
      <c r="F1032" s="865" t="s">
        <v>593</v>
      </c>
      <c r="G1032" s="865" t="s">
        <v>70</v>
      </c>
      <c r="H1032" s="867">
        <v>71977.818</v>
      </c>
      <c r="I1032" s="867">
        <v>82258.09538</v>
      </c>
      <c r="J1032" s="868">
        <v>63018.06042</v>
      </c>
      <c r="K1032" s="50"/>
      <c r="L1032" s="869" t="s">
        <v>644</v>
      </c>
      <c r="M1032" s="865" t="s">
        <v>591</v>
      </c>
      <c r="N1032" s="865" t="s">
        <v>680</v>
      </c>
      <c r="O1032" s="866">
        <v>2004.0</v>
      </c>
      <c r="P1032" s="865" t="s">
        <v>593</v>
      </c>
      <c r="Q1032" s="865" t="s">
        <v>70</v>
      </c>
      <c r="R1032" s="867">
        <v>66887.86671</v>
      </c>
      <c r="S1032" s="867">
        <v>72173.02547</v>
      </c>
      <c r="T1032" s="868">
        <v>61190.10209</v>
      </c>
      <c r="AN1032" s="882"/>
      <c r="AO1032" s="882"/>
      <c r="AP1032" s="882"/>
      <c r="AY1032" s="882"/>
      <c r="AZ1032" s="882"/>
      <c r="BA1032" s="882"/>
      <c r="BJ1032" s="882"/>
      <c r="BK1032" s="882"/>
      <c r="BL1032" s="882"/>
      <c r="BU1032" s="882"/>
      <c r="BV1032" s="882"/>
      <c r="BW1032" s="882"/>
      <c r="CF1032" s="882"/>
      <c r="CG1032" s="882"/>
      <c r="CH1032" s="882"/>
      <c r="CI1032" s="530"/>
    </row>
    <row r="1033">
      <c r="A1033" s="857"/>
      <c r="B1033" s="865" t="s">
        <v>644</v>
      </c>
      <c r="C1033" s="865" t="s">
        <v>591</v>
      </c>
      <c r="D1033" s="865" t="s">
        <v>682</v>
      </c>
      <c r="E1033" s="866">
        <v>2019.0</v>
      </c>
      <c r="F1033" s="865" t="s">
        <v>593</v>
      </c>
      <c r="G1033" s="865" t="s">
        <v>70</v>
      </c>
      <c r="H1033" s="867">
        <v>1352.244774</v>
      </c>
      <c r="I1033" s="867">
        <v>1490.95173</v>
      </c>
      <c r="J1033" s="868">
        <v>1221.066786</v>
      </c>
      <c r="K1033" s="50"/>
      <c r="L1033" s="869" t="s">
        <v>644</v>
      </c>
      <c r="M1033" s="865" t="s">
        <v>591</v>
      </c>
      <c r="N1033" s="865" t="s">
        <v>682</v>
      </c>
      <c r="O1033" s="866">
        <v>2004.0</v>
      </c>
      <c r="P1033" s="865" t="s">
        <v>593</v>
      </c>
      <c r="Q1033" s="865" t="s">
        <v>70</v>
      </c>
      <c r="R1033" s="867">
        <v>1230.809558</v>
      </c>
      <c r="S1033" s="867">
        <v>1325.734537</v>
      </c>
      <c r="T1033" s="868">
        <v>1141.728149</v>
      </c>
      <c r="AN1033" s="882"/>
      <c r="AO1033" s="882"/>
      <c r="AP1033" s="882"/>
      <c r="AY1033" s="882"/>
      <c r="AZ1033" s="882"/>
      <c r="BA1033" s="882"/>
      <c r="BJ1033" s="882"/>
      <c r="BK1033" s="882"/>
      <c r="BL1033" s="882"/>
      <c r="BU1033" s="882"/>
      <c r="BV1033" s="882"/>
      <c r="BW1033" s="882"/>
      <c r="CF1033" s="882"/>
      <c r="CG1033" s="882"/>
      <c r="CH1033" s="882"/>
      <c r="CI1033" s="530"/>
    </row>
    <row r="1034">
      <c r="A1034" s="857"/>
      <c r="B1034" s="865" t="s">
        <v>644</v>
      </c>
      <c r="C1034" s="865" t="s">
        <v>591</v>
      </c>
      <c r="D1034" s="865" t="s">
        <v>684</v>
      </c>
      <c r="E1034" s="866">
        <v>2019.0</v>
      </c>
      <c r="F1034" s="865" t="s">
        <v>593</v>
      </c>
      <c r="G1034" s="865" t="s">
        <v>70</v>
      </c>
      <c r="H1034" s="867">
        <v>4013.343438</v>
      </c>
      <c r="I1034" s="867">
        <v>4425.013471</v>
      </c>
      <c r="J1034" s="868">
        <v>3624.018717</v>
      </c>
      <c r="K1034" s="50"/>
      <c r="L1034" s="869" t="s">
        <v>644</v>
      </c>
      <c r="M1034" s="865" t="s">
        <v>591</v>
      </c>
      <c r="N1034" s="865" t="s">
        <v>684</v>
      </c>
      <c r="O1034" s="866">
        <v>2004.0</v>
      </c>
      <c r="P1034" s="865" t="s">
        <v>593</v>
      </c>
      <c r="Q1034" s="865" t="s">
        <v>70</v>
      </c>
      <c r="R1034" s="867">
        <v>3634.786183</v>
      </c>
      <c r="S1034" s="867">
        <v>3915.115497</v>
      </c>
      <c r="T1034" s="868">
        <v>3371.713904</v>
      </c>
      <c r="AN1034" s="882"/>
      <c r="AO1034" s="882"/>
      <c r="AP1034" s="882"/>
      <c r="AY1034" s="882"/>
      <c r="AZ1034" s="882"/>
      <c r="BA1034" s="882"/>
      <c r="BJ1034" s="882"/>
      <c r="BK1034" s="882"/>
      <c r="BL1034" s="882"/>
      <c r="BU1034" s="882"/>
      <c r="BV1034" s="882"/>
      <c r="BW1034" s="882"/>
      <c r="CF1034" s="882"/>
      <c r="CG1034" s="882"/>
      <c r="CH1034" s="882"/>
      <c r="CI1034" s="530"/>
    </row>
    <row r="1035">
      <c r="A1035" s="857"/>
      <c r="B1035" s="865" t="s">
        <v>644</v>
      </c>
      <c r="C1035" s="865" t="s">
        <v>591</v>
      </c>
      <c r="D1035" s="865" t="s">
        <v>686</v>
      </c>
      <c r="E1035" s="866">
        <v>2019.0</v>
      </c>
      <c r="F1035" s="865" t="s">
        <v>593</v>
      </c>
      <c r="G1035" s="865" t="s">
        <v>70</v>
      </c>
      <c r="H1035" s="867">
        <v>5365.588212</v>
      </c>
      <c r="I1035" s="867">
        <v>5915.965201</v>
      </c>
      <c r="J1035" s="868">
        <v>4845.085502</v>
      </c>
      <c r="K1035" s="50"/>
      <c r="L1035" s="869" t="s">
        <v>644</v>
      </c>
      <c r="M1035" s="865" t="s">
        <v>591</v>
      </c>
      <c r="N1035" s="865" t="s">
        <v>686</v>
      </c>
      <c r="O1035" s="866">
        <v>2004.0</v>
      </c>
      <c r="P1035" s="865" t="s">
        <v>593</v>
      </c>
      <c r="Q1035" s="865" t="s">
        <v>70</v>
      </c>
      <c r="R1035" s="867">
        <v>4865.595741</v>
      </c>
      <c r="S1035" s="867">
        <v>5240.850034</v>
      </c>
      <c r="T1035" s="868">
        <v>4513.442054</v>
      </c>
      <c r="AN1035" s="882"/>
      <c r="AO1035" s="882"/>
      <c r="AP1035" s="882"/>
      <c r="AY1035" s="882"/>
      <c r="AZ1035" s="882"/>
      <c r="BA1035" s="882"/>
      <c r="BJ1035" s="882"/>
      <c r="BK1035" s="882"/>
      <c r="BL1035" s="882"/>
      <c r="BU1035" s="882"/>
      <c r="BV1035" s="882"/>
      <c r="BW1035" s="882"/>
      <c r="CF1035" s="882"/>
      <c r="CG1035" s="882"/>
      <c r="CH1035" s="882"/>
      <c r="CI1035" s="530"/>
    </row>
    <row r="1036">
      <c r="A1036" s="857"/>
      <c r="B1036" s="865" t="s">
        <v>644</v>
      </c>
      <c r="C1036" s="865" t="s">
        <v>591</v>
      </c>
      <c r="D1036" s="865" t="s">
        <v>688</v>
      </c>
      <c r="E1036" s="866">
        <v>2019.0</v>
      </c>
      <c r="F1036" s="865" t="s">
        <v>593</v>
      </c>
      <c r="G1036" s="865" t="s">
        <v>70</v>
      </c>
      <c r="H1036" s="867">
        <v>63393.24575</v>
      </c>
      <c r="I1036" s="867">
        <v>69895.82894</v>
      </c>
      <c r="J1036" s="868">
        <v>57243.6206</v>
      </c>
      <c r="K1036" s="50"/>
      <c r="L1036" s="869" t="s">
        <v>644</v>
      </c>
      <c r="M1036" s="865" t="s">
        <v>591</v>
      </c>
      <c r="N1036" s="865" t="s">
        <v>688</v>
      </c>
      <c r="O1036" s="866">
        <v>2004.0</v>
      </c>
      <c r="P1036" s="865" t="s">
        <v>593</v>
      </c>
      <c r="Q1036" s="865" t="s">
        <v>70</v>
      </c>
      <c r="R1036" s="867">
        <v>57344.05068</v>
      </c>
      <c r="S1036" s="867">
        <v>61766.65428</v>
      </c>
      <c r="T1036" s="868">
        <v>53193.702</v>
      </c>
      <c r="AN1036" s="882"/>
      <c r="AO1036" s="882"/>
      <c r="AP1036" s="882"/>
      <c r="AY1036" s="882"/>
      <c r="AZ1036" s="882"/>
      <c r="BA1036" s="882"/>
      <c r="BJ1036" s="882"/>
      <c r="BK1036" s="882"/>
      <c r="BL1036" s="882"/>
      <c r="BU1036" s="882"/>
      <c r="BV1036" s="882"/>
      <c r="BW1036" s="882"/>
      <c r="CF1036" s="882"/>
      <c r="CG1036" s="882"/>
      <c r="CH1036" s="882"/>
      <c r="CI1036" s="530"/>
    </row>
    <row r="1037">
      <c r="A1037" s="857"/>
      <c r="B1037" s="865" t="s">
        <v>644</v>
      </c>
      <c r="C1037" s="865" t="s">
        <v>591</v>
      </c>
      <c r="D1037" s="865" t="s">
        <v>689</v>
      </c>
      <c r="E1037" s="866">
        <v>2019.0</v>
      </c>
      <c r="F1037" s="865" t="s">
        <v>593</v>
      </c>
      <c r="G1037" s="865" t="s">
        <v>70</v>
      </c>
      <c r="H1037" s="867">
        <v>329593.9351</v>
      </c>
      <c r="I1037" s="867">
        <v>363402.1422</v>
      </c>
      <c r="J1037" s="868">
        <v>297620.8262</v>
      </c>
      <c r="K1037" s="50"/>
      <c r="L1037" s="869" t="s">
        <v>644</v>
      </c>
      <c r="M1037" s="865" t="s">
        <v>591</v>
      </c>
      <c r="N1037" s="865" t="s">
        <v>689</v>
      </c>
      <c r="O1037" s="866">
        <v>2004.0</v>
      </c>
      <c r="P1037" s="865" t="s">
        <v>593</v>
      </c>
      <c r="Q1037" s="865" t="s">
        <v>70</v>
      </c>
      <c r="R1037" s="867">
        <v>276515.211</v>
      </c>
      <c r="S1037" s="867">
        <v>297841.1751</v>
      </c>
      <c r="T1037" s="868">
        <v>256502.0706</v>
      </c>
      <c r="AN1037" s="882"/>
      <c r="AO1037" s="882"/>
      <c r="AP1037" s="882"/>
      <c r="AY1037" s="882"/>
      <c r="AZ1037" s="882"/>
      <c r="BA1037" s="882"/>
      <c r="BJ1037" s="882"/>
      <c r="BK1037" s="882"/>
      <c r="BL1037" s="882"/>
      <c r="BU1037" s="882"/>
      <c r="BV1037" s="882"/>
      <c r="BW1037" s="882"/>
      <c r="CF1037" s="882"/>
      <c r="CG1037" s="882"/>
      <c r="CH1037" s="882"/>
      <c r="CI1037" s="530"/>
    </row>
    <row r="1038">
      <c r="A1038" s="857"/>
      <c r="B1038" s="865" t="s">
        <v>646</v>
      </c>
      <c r="C1038" s="865" t="s">
        <v>591</v>
      </c>
      <c r="D1038" s="865" t="s">
        <v>592</v>
      </c>
      <c r="E1038" s="866">
        <v>2019.0</v>
      </c>
      <c r="F1038" s="865" t="s">
        <v>593</v>
      </c>
      <c r="G1038" s="865" t="s">
        <v>70</v>
      </c>
      <c r="H1038" s="867">
        <v>821175.0817</v>
      </c>
      <c r="I1038" s="867">
        <v>916205.4587</v>
      </c>
      <c r="J1038" s="868">
        <v>714650.1465</v>
      </c>
      <c r="K1038" s="50"/>
      <c r="L1038" s="869" t="s">
        <v>646</v>
      </c>
      <c r="M1038" s="865" t="s">
        <v>591</v>
      </c>
      <c r="N1038" s="865" t="s">
        <v>592</v>
      </c>
      <c r="O1038" s="866">
        <v>2004.0</v>
      </c>
      <c r="P1038" s="865" t="s">
        <v>593</v>
      </c>
      <c r="Q1038" s="865" t="s">
        <v>70</v>
      </c>
      <c r="R1038" s="867">
        <v>707913.0842</v>
      </c>
      <c r="S1038" s="867">
        <v>778391.246</v>
      </c>
      <c r="T1038" s="868">
        <v>641893.4674</v>
      </c>
      <c r="AN1038" s="882"/>
      <c r="AO1038" s="882"/>
      <c r="AP1038" s="882"/>
      <c r="AY1038" s="882"/>
      <c r="AZ1038" s="882"/>
      <c r="BA1038" s="882"/>
      <c r="BJ1038" s="882"/>
      <c r="BK1038" s="882"/>
      <c r="BL1038" s="882"/>
      <c r="BU1038" s="882"/>
      <c r="BV1038" s="882"/>
      <c r="BW1038" s="882"/>
      <c r="CF1038" s="882"/>
      <c r="CG1038" s="882"/>
      <c r="CH1038" s="882"/>
      <c r="CI1038" s="530"/>
    </row>
    <row r="1039">
      <c r="A1039" s="857"/>
      <c r="B1039" s="865" t="s">
        <v>646</v>
      </c>
      <c r="C1039" s="865" t="s">
        <v>591</v>
      </c>
      <c r="D1039" s="865" t="s">
        <v>601</v>
      </c>
      <c r="E1039" s="866">
        <v>2019.0</v>
      </c>
      <c r="F1039" s="865" t="s">
        <v>593</v>
      </c>
      <c r="G1039" s="865" t="s">
        <v>70</v>
      </c>
      <c r="H1039" s="867">
        <v>1.459451287E7</v>
      </c>
      <c r="I1039" s="867">
        <v>1.628346093E7</v>
      </c>
      <c r="J1039" s="868">
        <v>1.270127527E7</v>
      </c>
      <c r="K1039" s="50"/>
      <c r="L1039" s="869" t="s">
        <v>646</v>
      </c>
      <c r="M1039" s="865" t="s">
        <v>591</v>
      </c>
      <c r="N1039" s="865" t="s">
        <v>601</v>
      </c>
      <c r="O1039" s="866">
        <v>2004.0</v>
      </c>
      <c r="P1039" s="865" t="s">
        <v>593</v>
      </c>
      <c r="Q1039" s="865" t="s">
        <v>70</v>
      </c>
      <c r="R1039" s="867">
        <v>1.104575612E7</v>
      </c>
      <c r="S1039" s="867">
        <v>1.214544562E7</v>
      </c>
      <c r="T1039" s="868">
        <v>1.001563448E7</v>
      </c>
      <c r="AN1039" s="882"/>
      <c r="AO1039" s="882"/>
      <c r="AP1039" s="882"/>
      <c r="AY1039" s="882"/>
      <c r="AZ1039" s="882"/>
      <c r="BA1039" s="882"/>
      <c r="BJ1039" s="882"/>
      <c r="BK1039" s="882"/>
      <c r="BL1039" s="882"/>
      <c r="BU1039" s="882"/>
      <c r="BV1039" s="882"/>
      <c r="BW1039" s="882"/>
      <c r="CF1039" s="882"/>
      <c r="CG1039" s="882"/>
      <c r="CH1039" s="882"/>
      <c r="CI1039" s="530"/>
    </row>
    <row r="1040">
      <c r="A1040" s="857"/>
      <c r="B1040" s="865" t="s">
        <v>646</v>
      </c>
      <c r="C1040" s="865" t="s">
        <v>591</v>
      </c>
      <c r="D1040" s="865" t="s">
        <v>606</v>
      </c>
      <c r="E1040" s="866">
        <v>2019.0</v>
      </c>
      <c r="F1040" s="865" t="s">
        <v>593</v>
      </c>
      <c r="G1040" s="865" t="s">
        <v>70</v>
      </c>
      <c r="H1040" s="867">
        <v>1.130668058E7</v>
      </c>
      <c r="I1040" s="867">
        <v>1.261514469E7</v>
      </c>
      <c r="J1040" s="868">
        <v>9839949.013</v>
      </c>
      <c r="K1040" s="50"/>
      <c r="L1040" s="869" t="s">
        <v>646</v>
      </c>
      <c r="M1040" s="865" t="s">
        <v>591</v>
      </c>
      <c r="N1040" s="865" t="s">
        <v>606</v>
      </c>
      <c r="O1040" s="866">
        <v>2004.0</v>
      </c>
      <c r="P1040" s="865" t="s">
        <v>593</v>
      </c>
      <c r="Q1040" s="865" t="s">
        <v>70</v>
      </c>
      <c r="R1040" s="867">
        <v>8791129.342</v>
      </c>
      <c r="S1040" s="867">
        <v>9666353.504</v>
      </c>
      <c r="T1040" s="868">
        <v>7971273.058</v>
      </c>
      <c r="AN1040" s="882"/>
      <c r="AO1040" s="882"/>
      <c r="AP1040" s="882"/>
      <c r="AY1040" s="882"/>
      <c r="AZ1040" s="882"/>
      <c r="BA1040" s="882"/>
      <c r="BJ1040" s="882"/>
      <c r="BK1040" s="882"/>
      <c r="BL1040" s="882"/>
      <c r="BU1040" s="882"/>
      <c r="BV1040" s="882"/>
      <c r="BW1040" s="882"/>
      <c r="CF1040" s="882"/>
      <c r="CG1040" s="882"/>
      <c r="CH1040" s="882"/>
      <c r="CI1040" s="530"/>
    </row>
    <row r="1041">
      <c r="A1041" s="857"/>
      <c r="B1041" s="865" t="s">
        <v>646</v>
      </c>
      <c r="C1041" s="865" t="s">
        <v>591</v>
      </c>
      <c r="D1041" s="865" t="s">
        <v>608</v>
      </c>
      <c r="E1041" s="866">
        <v>2019.0</v>
      </c>
      <c r="F1041" s="865" t="s">
        <v>593</v>
      </c>
      <c r="G1041" s="865" t="s">
        <v>70</v>
      </c>
      <c r="H1041" s="867">
        <v>3149459.738</v>
      </c>
      <c r="I1041" s="867">
        <v>3513930.547</v>
      </c>
      <c r="J1041" s="868">
        <v>2740903.753</v>
      </c>
      <c r="K1041" s="50"/>
      <c r="L1041" s="869" t="s">
        <v>646</v>
      </c>
      <c r="M1041" s="865" t="s">
        <v>591</v>
      </c>
      <c r="N1041" s="865" t="s">
        <v>608</v>
      </c>
      <c r="O1041" s="866">
        <v>2004.0</v>
      </c>
      <c r="P1041" s="865" t="s">
        <v>593</v>
      </c>
      <c r="Q1041" s="865" t="s">
        <v>70</v>
      </c>
      <c r="R1041" s="867">
        <v>2583593.965</v>
      </c>
      <c r="S1041" s="867">
        <v>2840810.505</v>
      </c>
      <c r="T1041" s="868">
        <v>2342649.297</v>
      </c>
      <c r="AN1041" s="882"/>
      <c r="AO1041" s="882"/>
      <c r="AP1041" s="882"/>
      <c r="AY1041" s="882"/>
      <c r="AZ1041" s="882"/>
      <c r="BA1041" s="882"/>
      <c r="BJ1041" s="882"/>
      <c r="BK1041" s="882"/>
      <c r="BL1041" s="882"/>
      <c r="BU1041" s="882"/>
      <c r="BV1041" s="882"/>
      <c r="BW1041" s="882"/>
      <c r="CF1041" s="882"/>
      <c r="CG1041" s="882"/>
      <c r="CH1041" s="882"/>
      <c r="CI1041" s="530"/>
    </row>
    <row r="1042">
      <c r="A1042" s="857"/>
      <c r="B1042" s="865" t="s">
        <v>646</v>
      </c>
      <c r="C1042" s="865" t="s">
        <v>591</v>
      </c>
      <c r="D1042" s="865" t="s">
        <v>610</v>
      </c>
      <c r="E1042" s="866">
        <v>2019.0</v>
      </c>
      <c r="F1042" s="865" t="s">
        <v>593</v>
      </c>
      <c r="G1042" s="865" t="s">
        <v>70</v>
      </c>
      <c r="H1042" s="867">
        <v>3564931.325</v>
      </c>
      <c r="I1042" s="867">
        <v>3977482.528</v>
      </c>
      <c r="J1042" s="868">
        <v>3102479.301</v>
      </c>
      <c r="K1042" s="50"/>
      <c r="L1042" s="869" t="s">
        <v>646</v>
      </c>
      <c r="M1042" s="865" t="s">
        <v>591</v>
      </c>
      <c r="N1042" s="865" t="s">
        <v>610</v>
      </c>
      <c r="O1042" s="866">
        <v>2004.0</v>
      </c>
      <c r="P1042" s="865" t="s">
        <v>593</v>
      </c>
      <c r="Q1042" s="865" t="s">
        <v>70</v>
      </c>
      <c r="R1042" s="867">
        <v>2580662.902</v>
      </c>
      <c r="S1042" s="867">
        <v>2837587.632</v>
      </c>
      <c r="T1042" s="868">
        <v>2339991.583</v>
      </c>
      <c r="AN1042" s="882"/>
      <c r="AO1042" s="882"/>
      <c r="AP1042" s="882"/>
      <c r="AY1042" s="882"/>
      <c r="AZ1042" s="882"/>
      <c r="BA1042" s="882"/>
      <c r="BJ1042" s="882"/>
      <c r="BK1042" s="882"/>
      <c r="BL1042" s="882"/>
      <c r="BU1042" s="882"/>
      <c r="BV1042" s="882"/>
      <c r="BW1042" s="882"/>
      <c r="CF1042" s="882"/>
      <c r="CG1042" s="882"/>
      <c r="CH1042" s="882"/>
      <c r="CI1042" s="530"/>
    </row>
    <row r="1043">
      <c r="A1043" s="857"/>
      <c r="B1043" s="865" t="s">
        <v>646</v>
      </c>
      <c r="C1043" s="865" t="s">
        <v>591</v>
      </c>
      <c r="D1043" s="865" t="s">
        <v>612</v>
      </c>
      <c r="E1043" s="866">
        <v>2019.0</v>
      </c>
      <c r="F1043" s="865" t="s">
        <v>593</v>
      </c>
      <c r="G1043" s="865" t="s">
        <v>70</v>
      </c>
      <c r="H1043" s="867">
        <v>6852763.613</v>
      </c>
      <c r="I1043" s="867">
        <v>7645798.769</v>
      </c>
      <c r="J1043" s="868">
        <v>5963805.562</v>
      </c>
      <c r="K1043" s="50"/>
      <c r="L1043" s="869" t="s">
        <v>646</v>
      </c>
      <c r="M1043" s="865" t="s">
        <v>591</v>
      </c>
      <c r="N1043" s="865" t="s">
        <v>612</v>
      </c>
      <c r="O1043" s="866">
        <v>2004.0</v>
      </c>
      <c r="P1043" s="865" t="s">
        <v>593</v>
      </c>
      <c r="Q1043" s="865" t="s">
        <v>70</v>
      </c>
      <c r="R1043" s="867">
        <v>4835289.677</v>
      </c>
      <c r="S1043" s="867">
        <v>5316679.746</v>
      </c>
      <c r="T1043" s="868">
        <v>4384353.003</v>
      </c>
      <c r="AN1043" s="882"/>
      <c r="AO1043" s="882"/>
      <c r="AP1043" s="882"/>
      <c r="AY1043" s="882"/>
      <c r="AZ1043" s="882"/>
      <c r="BA1043" s="882"/>
      <c r="BJ1043" s="882"/>
      <c r="BK1043" s="882"/>
      <c r="BL1043" s="882"/>
      <c r="BU1043" s="882"/>
      <c r="BV1043" s="882"/>
      <c r="BW1043" s="882"/>
      <c r="CF1043" s="882"/>
      <c r="CG1043" s="882"/>
      <c r="CH1043" s="882"/>
      <c r="CI1043" s="530"/>
    </row>
    <row r="1044">
      <c r="A1044" s="857"/>
      <c r="B1044" s="865" t="s">
        <v>646</v>
      </c>
      <c r="C1044" s="865" t="s">
        <v>591</v>
      </c>
      <c r="D1044" s="865" t="s">
        <v>614</v>
      </c>
      <c r="E1044" s="866">
        <v>2019.0</v>
      </c>
      <c r="F1044" s="865" t="s">
        <v>593</v>
      </c>
      <c r="G1044" s="865" t="s">
        <v>70</v>
      </c>
      <c r="H1044" s="867">
        <v>9931881.807</v>
      </c>
      <c r="I1044" s="867">
        <v>1.108124751E7</v>
      </c>
      <c r="J1044" s="868">
        <v>8643492.656</v>
      </c>
      <c r="K1044" s="50"/>
      <c r="L1044" s="869" t="s">
        <v>646</v>
      </c>
      <c r="M1044" s="865" t="s">
        <v>591</v>
      </c>
      <c r="N1044" s="865" t="s">
        <v>614</v>
      </c>
      <c r="O1044" s="866">
        <v>2004.0</v>
      </c>
      <c r="P1044" s="865" t="s">
        <v>593</v>
      </c>
      <c r="Q1044" s="865" t="s">
        <v>70</v>
      </c>
      <c r="R1044" s="867">
        <v>6814082.236</v>
      </c>
      <c r="S1044" s="867">
        <v>7492476.238</v>
      </c>
      <c r="T1044" s="868">
        <v>6178604.368</v>
      </c>
      <c r="AN1044" s="882"/>
      <c r="AO1044" s="882"/>
      <c r="AP1044" s="882"/>
      <c r="AY1044" s="882"/>
      <c r="AZ1044" s="882"/>
      <c r="BA1044" s="882"/>
      <c r="BJ1044" s="882"/>
      <c r="BK1044" s="882"/>
      <c r="BL1044" s="882"/>
      <c r="BU1044" s="882"/>
      <c r="BV1044" s="882"/>
      <c r="BW1044" s="882"/>
      <c r="CF1044" s="882"/>
      <c r="CG1044" s="882"/>
      <c r="CH1044" s="882"/>
      <c r="CI1044" s="530"/>
    </row>
    <row r="1045">
      <c r="A1045" s="857"/>
      <c r="B1045" s="865" t="s">
        <v>646</v>
      </c>
      <c r="C1045" s="865" t="s">
        <v>591</v>
      </c>
      <c r="D1045" s="865" t="s">
        <v>616</v>
      </c>
      <c r="E1045" s="866">
        <v>2019.0</v>
      </c>
      <c r="F1045" s="865" t="s">
        <v>593</v>
      </c>
      <c r="G1045" s="865" t="s">
        <v>70</v>
      </c>
      <c r="H1045" s="867">
        <v>3287832.288</v>
      </c>
      <c r="I1045" s="867">
        <v>3668316.241</v>
      </c>
      <c r="J1045" s="868">
        <v>2861326.261</v>
      </c>
      <c r="K1045" s="50"/>
      <c r="L1045" s="869" t="s">
        <v>646</v>
      </c>
      <c r="M1045" s="865" t="s">
        <v>591</v>
      </c>
      <c r="N1045" s="865" t="s">
        <v>616</v>
      </c>
      <c r="O1045" s="866">
        <v>2004.0</v>
      </c>
      <c r="P1045" s="865" t="s">
        <v>593</v>
      </c>
      <c r="Q1045" s="865" t="s">
        <v>70</v>
      </c>
      <c r="R1045" s="867">
        <v>2254626.775</v>
      </c>
      <c r="S1045" s="867">
        <v>2479092.114</v>
      </c>
      <c r="T1045" s="868">
        <v>2044361.42</v>
      </c>
      <c r="AN1045" s="882"/>
      <c r="AO1045" s="882"/>
      <c r="AP1045" s="882"/>
      <c r="AY1045" s="882"/>
      <c r="AZ1045" s="882"/>
      <c r="BA1045" s="882"/>
      <c r="BJ1045" s="882"/>
      <c r="BK1045" s="882"/>
      <c r="BL1045" s="882"/>
      <c r="BU1045" s="882"/>
      <c r="BV1045" s="882"/>
      <c r="BW1045" s="882"/>
      <c r="CF1045" s="882"/>
      <c r="CG1045" s="882"/>
      <c r="CH1045" s="882"/>
      <c r="CI1045" s="530"/>
    </row>
    <row r="1046">
      <c r="A1046" s="857"/>
      <c r="B1046" s="865" t="s">
        <v>646</v>
      </c>
      <c r="C1046" s="865" t="s">
        <v>591</v>
      </c>
      <c r="D1046" s="865" t="s">
        <v>618</v>
      </c>
      <c r="E1046" s="866">
        <v>2019.0</v>
      </c>
      <c r="F1046" s="865" t="s">
        <v>593</v>
      </c>
      <c r="G1046" s="865" t="s">
        <v>70</v>
      </c>
      <c r="H1046" s="867">
        <v>1.36132264E7</v>
      </c>
      <c r="I1046" s="867">
        <v>1.518912763E7</v>
      </c>
      <c r="J1046" s="868">
        <v>1.184743275E7</v>
      </c>
      <c r="K1046" s="50"/>
      <c r="L1046" s="869" t="s">
        <v>646</v>
      </c>
      <c r="M1046" s="865" t="s">
        <v>591</v>
      </c>
      <c r="N1046" s="865" t="s">
        <v>618</v>
      </c>
      <c r="O1046" s="866">
        <v>2004.0</v>
      </c>
      <c r="P1046" s="865" t="s">
        <v>593</v>
      </c>
      <c r="Q1046" s="865" t="s">
        <v>70</v>
      </c>
      <c r="R1046" s="867">
        <v>8533688.219</v>
      </c>
      <c r="S1046" s="867">
        <v>9383367.176</v>
      </c>
      <c r="T1046" s="868">
        <v>7737667.168</v>
      </c>
      <c r="AN1046" s="882"/>
      <c r="AO1046" s="882"/>
      <c r="AP1046" s="882"/>
      <c r="AY1046" s="882"/>
      <c r="AZ1046" s="882"/>
      <c r="BA1046" s="882"/>
      <c r="BJ1046" s="882"/>
      <c r="BK1046" s="882"/>
      <c r="BL1046" s="882"/>
      <c r="BU1046" s="882"/>
      <c r="BV1046" s="882"/>
      <c r="BW1046" s="882"/>
      <c r="CF1046" s="882"/>
      <c r="CG1046" s="882"/>
      <c r="CH1046" s="882"/>
      <c r="CI1046" s="530"/>
    </row>
    <row r="1047">
      <c r="A1047" s="857"/>
      <c r="B1047" s="865" t="s">
        <v>646</v>
      </c>
      <c r="C1047" s="865" t="s">
        <v>591</v>
      </c>
      <c r="D1047" s="865" t="s">
        <v>620</v>
      </c>
      <c r="E1047" s="866">
        <v>2019.0</v>
      </c>
      <c r="F1047" s="865" t="s">
        <v>593</v>
      </c>
      <c r="G1047" s="865" t="s">
        <v>70</v>
      </c>
      <c r="H1047" s="867">
        <v>1.660888603E7</v>
      </c>
      <c r="I1047" s="867">
        <v>1.853094715E7</v>
      </c>
      <c r="J1047" s="868">
        <v>1.445433878E7</v>
      </c>
      <c r="K1047" s="50"/>
      <c r="L1047" s="869" t="s">
        <v>646</v>
      </c>
      <c r="M1047" s="865" t="s">
        <v>591</v>
      </c>
      <c r="N1047" s="865" t="s">
        <v>620</v>
      </c>
      <c r="O1047" s="866">
        <v>2004.0</v>
      </c>
      <c r="P1047" s="865" t="s">
        <v>593</v>
      </c>
      <c r="Q1047" s="865" t="s">
        <v>70</v>
      </c>
      <c r="R1047" s="867">
        <v>1.039146517E7</v>
      </c>
      <c r="S1047" s="867">
        <v>1.1426015E7</v>
      </c>
      <c r="T1047" s="868">
        <v>9422362.372</v>
      </c>
      <c r="AN1047" s="882"/>
      <c r="AO1047" s="882"/>
      <c r="AP1047" s="882"/>
      <c r="AY1047" s="882"/>
      <c r="AZ1047" s="882"/>
      <c r="BA1047" s="882"/>
      <c r="BJ1047" s="882"/>
      <c r="BK1047" s="882"/>
      <c r="BL1047" s="882"/>
      <c r="BU1047" s="882"/>
      <c r="BV1047" s="882"/>
      <c r="BW1047" s="882"/>
      <c r="CF1047" s="882"/>
      <c r="CG1047" s="882"/>
      <c r="CH1047" s="882"/>
      <c r="CI1047" s="530"/>
    </row>
    <row r="1048">
      <c r="A1048" s="857"/>
      <c r="B1048" s="865" t="s">
        <v>646</v>
      </c>
      <c r="C1048" s="865" t="s">
        <v>591</v>
      </c>
      <c r="D1048" s="865" t="s">
        <v>622</v>
      </c>
      <c r="E1048" s="866">
        <v>2019.0</v>
      </c>
      <c r="F1048" s="865" t="s">
        <v>593</v>
      </c>
      <c r="G1048" s="865" t="s">
        <v>70</v>
      </c>
      <c r="H1048" s="867">
        <v>1.694149115E7</v>
      </c>
      <c r="I1048" s="867">
        <v>1.890268065E7</v>
      </c>
      <c r="J1048" s="868">
        <v>1.474398288E7</v>
      </c>
      <c r="K1048" s="50"/>
      <c r="L1048" s="869" t="s">
        <v>646</v>
      </c>
      <c r="M1048" s="865" t="s">
        <v>591</v>
      </c>
      <c r="N1048" s="865" t="s">
        <v>622</v>
      </c>
      <c r="O1048" s="866">
        <v>2004.0</v>
      </c>
      <c r="P1048" s="865" t="s">
        <v>593</v>
      </c>
      <c r="Q1048" s="865" t="s">
        <v>70</v>
      </c>
      <c r="R1048" s="867">
        <v>1.035889032E7</v>
      </c>
      <c r="S1048" s="867">
        <v>1.139030029E7</v>
      </c>
      <c r="T1048" s="868">
        <v>9392614.714</v>
      </c>
      <c r="AN1048" s="882"/>
      <c r="AO1048" s="882"/>
      <c r="AP1048" s="882"/>
      <c r="AY1048" s="882"/>
      <c r="AZ1048" s="882"/>
      <c r="BA1048" s="882"/>
      <c r="BJ1048" s="882"/>
      <c r="BK1048" s="882"/>
      <c r="BL1048" s="882"/>
      <c r="BU1048" s="882"/>
      <c r="BV1048" s="882"/>
      <c r="BW1048" s="882"/>
      <c r="CF1048" s="882"/>
      <c r="CG1048" s="882"/>
      <c r="CH1048" s="882"/>
      <c r="CI1048" s="530"/>
    </row>
    <row r="1049">
      <c r="A1049" s="857"/>
      <c r="B1049" s="865" t="s">
        <v>646</v>
      </c>
      <c r="C1049" s="865" t="s">
        <v>591</v>
      </c>
      <c r="D1049" s="865" t="s">
        <v>624</v>
      </c>
      <c r="E1049" s="866">
        <v>2019.0</v>
      </c>
      <c r="F1049" s="865" t="s">
        <v>593</v>
      </c>
      <c r="G1049" s="865" t="s">
        <v>70</v>
      </c>
      <c r="H1049" s="867">
        <v>3079118.194</v>
      </c>
      <c r="I1049" s="867">
        <v>3435448.737</v>
      </c>
      <c r="J1049" s="868">
        <v>2679687.094</v>
      </c>
      <c r="K1049" s="50"/>
      <c r="L1049" s="869" t="s">
        <v>646</v>
      </c>
      <c r="M1049" s="865" t="s">
        <v>591</v>
      </c>
      <c r="N1049" s="865" t="s">
        <v>624</v>
      </c>
      <c r="O1049" s="866">
        <v>2004.0</v>
      </c>
      <c r="P1049" s="865" t="s">
        <v>593</v>
      </c>
      <c r="Q1049" s="865" t="s">
        <v>70</v>
      </c>
      <c r="R1049" s="867">
        <v>1978792.559</v>
      </c>
      <c r="S1049" s="867">
        <v>2175796.493</v>
      </c>
      <c r="T1049" s="868">
        <v>1794251.364</v>
      </c>
      <c r="AN1049" s="882"/>
      <c r="AO1049" s="882"/>
      <c r="AP1049" s="882"/>
      <c r="AY1049" s="882"/>
      <c r="AZ1049" s="882"/>
      <c r="BA1049" s="882"/>
      <c r="BJ1049" s="882"/>
      <c r="BK1049" s="882"/>
      <c r="BL1049" s="882"/>
      <c r="BU1049" s="882"/>
      <c r="BV1049" s="882"/>
      <c r="BW1049" s="882"/>
      <c r="CF1049" s="882"/>
      <c r="CG1049" s="882"/>
      <c r="CH1049" s="882"/>
      <c r="CI1049" s="530"/>
    </row>
    <row r="1050">
      <c r="A1050" s="857"/>
      <c r="B1050" s="865" t="s">
        <v>646</v>
      </c>
      <c r="C1050" s="865" t="s">
        <v>591</v>
      </c>
      <c r="D1050" s="865" t="s">
        <v>625</v>
      </c>
      <c r="E1050" s="866">
        <v>2019.0</v>
      </c>
      <c r="F1050" s="865" t="s">
        <v>593</v>
      </c>
      <c r="G1050" s="865" t="s">
        <v>70</v>
      </c>
      <c r="H1050" s="867">
        <v>1.386260088E7</v>
      </c>
      <c r="I1050" s="867">
        <v>1.546684852E7</v>
      </c>
      <c r="J1050" s="868">
        <v>1.206430878E7</v>
      </c>
      <c r="K1050" s="50"/>
      <c r="L1050" s="869" t="s">
        <v>646</v>
      </c>
      <c r="M1050" s="865" t="s">
        <v>591</v>
      </c>
      <c r="N1050" s="865" t="s">
        <v>625</v>
      </c>
      <c r="O1050" s="866">
        <v>2004.0</v>
      </c>
      <c r="P1050" s="865" t="s">
        <v>593</v>
      </c>
      <c r="Q1050" s="865" t="s">
        <v>70</v>
      </c>
      <c r="R1050" s="867">
        <v>8380181.044</v>
      </c>
      <c r="S1050" s="867">
        <v>9214492.16</v>
      </c>
      <c r="T1050" s="868">
        <v>7598649.591</v>
      </c>
      <c r="AN1050" s="882"/>
      <c r="AO1050" s="882"/>
      <c r="AP1050" s="882"/>
      <c r="AY1050" s="882"/>
      <c r="AZ1050" s="882"/>
      <c r="BA1050" s="882"/>
      <c r="BJ1050" s="882"/>
      <c r="BK1050" s="882"/>
      <c r="BL1050" s="882"/>
      <c r="BU1050" s="882"/>
      <c r="BV1050" s="882"/>
      <c r="BW1050" s="882"/>
      <c r="CF1050" s="882"/>
      <c r="CG1050" s="882"/>
      <c r="CH1050" s="882"/>
      <c r="CI1050" s="530"/>
    </row>
    <row r="1051">
      <c r="A1051" s="857"/>
      <c r="B1051" s="865" t="s">
        <v>646</v>
      </c>
      <c r="C1051" s="865" t="s">
        <v>591</v>
      </c>
      <c r="D1051" s="865" t="s">
        <v>627</v>
      </c>
      <c r="E1051" s="866">
        <v>2019.0</v>
      </c>
      <c r="F1051" s="865" t="s">
        <v>593</v>
      </c>
      <c r="G1051" s="865" t="s">
        <v>70</v>
      </c>
      <c r="H1051" s="867">
        <v>2781059.652</v>
      </c>
      <c r="I1051" s="867">
        <v>3102897.409</v>
      </c>
      <c r="J1051" s="868">
        <v>2420293.469</v>
      </c>
      <c r="K1051" s="50"/>
      <c r="L1051" s="869" t="s">
        <v>646</v>
      </c>
      <c r="M1051" s="865" t="s">
        <v>591</v>
      </c>
      <c r="N1051" s="865" t="s">
        <v>627</v>
      </c>
      <c r="O1051" s="866">
        <v>2004.0</v>
      </c>
      <c r="P1051" s="865" t="s">
        <v>593</v>
      </c>
      <c r="Q1051" s="865" t="s">
        <v>70</v>
      </c>
      <c r="R1051" s="867">
        <v>1685535.038</v>
      </c>
      <c r="S1051" s="867">
        <v>1853342.942</v>
      </c>
      <c r="T1051" s="868">
        <v>1528342.891</v>
      </c>
      <c r="AN1051" s="882"/>
      <c r="AO1051" s="882"/>
      <c r="AP1051" s="882"/>
      <c r="AY1051" s="882"/>
      <c r="AZ1051" s="882"/>
      <c r="BA1051" s="882"/>
      <c r="BJ1051" s="882"/>
      <c r="BK1051" s="882"/>
      <c r="BL1051" s="882"/>
      <c r="BU1051" s="882"/>
      <c r="BV1051" s="882"/>
      <c r="BW1051" s="882"/>
      <c r="CF1051" s="882"/>
      <c r="CG1051" s="882"/>
      <c r="CH1051" s="882"/>
      <c r="CI1051" s="530"/>
    </row>
    <row r="1052">
      <c r="A1052" s="857"/>
      <c r="B1052" s="865" t="s">
        <v>646</v>
      </c>
      <c r="C1052" s="865" t="s">
        <v>591</v>
      </c>
      <c r="D1052" s="865" t="s">
        <v>629</v>
      </c>
      <c r="E1052" s="866">
        <v>2019.0</v>
      </c>
      <c r="F1052" s="865" t="s">
        <v>593</v>
      </c>
      <c r="G1052" s="865" t="s">
        <v>70</v>
      </c>
      <c r="H1052" s="867">
        <v>1.024179776E7</v>
      </c>
      <c r="I1052" s="867">
        <v>1.142741395E7</v>
      </c>
      <c r="J1052" s="868">
        <v>8913317.575</v>
      </c>
      <c r="K1052" s="50"/>
      <c r="L1052" s="869" t="s">
        <v>646</v>
      </c>
      <c r="M1052" s="865" t="s">
        <v>591</v>
      </c>
      <c r="N1052" s="865" t="s">
        <v>629</v>
      </c>
      <c r="O1052" s="866">
        <v>2004.0</v>
      </c>
      <c r="P1052" s="865" t="s">
        <v>593</v>
      </c>
      <c r="Q1052" s="865" t="s">
        <v>70</v>
      </c>
      <c r="R1052" s="867">
        <v>6157996.324</v>
      </c>
      <c r="S1052" s="867">
        <v>6771133.312</v>
      </c>
      <c r="T1052" s="868">
        <v>5583579.427</v>
      </c>
      <c r="AN1052" s="882"/>
      <c r="AO1052" s="882"/>
      <c r="AP1052" s="882"/>
      <c r="AY1052" s="882"/>
      <c r="AZ1052" s="882"/>
      <c r="BA1052" s="882"/>
      <c r="BJ1052" s="882"/>
      <c r="BK1052" s="882"/>
      <c r="BL1052" s="882"/>
      <c r="BU1052" s="882"/>
      <c r="BV1052" s="882"/>
      <c r="BW1052" s="882"/>
      <c r="CF1052" s="882"/>
      <c r="CG1052" s="882"/>
      <c r="CH1052" s="882"/>
      <c r="CI1052" s="530"/>
    </row>
    <row r="1053">
      <c r="A1053" s="857"/>
      <c r="B1053" s="865" t="s">
        <v>646</v>
      </c>
      <c r="C1053" s="865" t="s">
        <v>591</v>
      </c>
      <c r="D1053" s="865" t="s">
        <v>631</v>
      </c>
      <c r="E1053" s="866">
        <v>2019.0</v>
      </c>
      <c r="F1053" s="865" t="s">
        <v>593</v>
      </c>
      <c r="G1053" s="865" t="s">
        <v>70</v>
      </c>
      <c r="H1053" s="867">
        <v>2418646.051</v>
      </c>
      <c r="I1053" s="867">
        <v>2698543.544</v>
      </c>
      <c r="J1053" s="868">
        <v>2104893.09</v>
      </c>
      <c r="K1053" s="50"/>
      <c r="L1053" s="869" t="s">
        <v>646</v>
      </c>
      <c r="M1053" s="865" t="s">
        <v>591</v>
      </c>
      <c r="N1053" s="865" t="s">
        <v>631</v>
      </c>
      <c r="O1053" s="866">
        <v>2004.0</v>
      </c>
      <c r="P1053" s="865" t="s">
        <v>593</v>
      </c>
      <c r="Q1053" s="865" t="s">
        <v>70</v>
      </c>
      <c r="R1053" s="867">
        <v>1420352.872</v>
      </c>
      <c r="S1053" s="867">
        <v>1561759.864</v>
      </c>
      <c r="T1053" s="868">
        <v>1287891.48</v>
      </c>
      <c r="AN1053" s="882"/>
      <c r="AO1053" s="882"/>
      <c r="AP1053" s="882"/>
      <c r="AY1053" s="882"/>
      <c r="AZ1053" s="882"/>
      <c r="BA1053" s="882"/>
      <c r="BJ1053" s="882"/>
      <c r="BK1053" s="882"/>
      <c r="BL1053" s="882"/>
      <c r="BU1053" s="882"/>
      <c r="BV1053" s="882"/>
      <c r="BW1053" s="882"/>
      <c r="CF1053" s="882"/>
      <c r="CG1053" s="882"/>
      <c r="CH1053" s="882"/>
      <c r="CI1053" s="530"/>
    </row>
    <row r="1054">
      <c r="A1054" s="857"/>
      <c r="B1054" s="865" t="s">
        <v>646</v>
      </c>
      <c r="C1054" s="865" t="s">
        <v>591</v>
      </c>
      <c r="D1054" s="865" t="s">
        <v>633</v>
      </c>
      <c r="E1054" s="866">
        <v>2019.0</v>
      </c>
      <c r="F1054" s="865" t="s">
        <v>593</v>
      </c>
      <c r="G1054" s="865" t="s">
        <v>70</v>
      </c>
      <c r="H1054" s="867">
        <v>2046753.361</v>
      </c>
      <c r="I1054" s="867">
        <v>2283613.621</v>
      </c>
      <c r="J1054" s="868">
        <v>1781243.272</v>
      </c>
      <c r="K1054" s="50"/>
      <c r="L1054" s="869" t="s">
        <v>646</v>
      </c>
      <c r="M1054" s="865" t="s">
        <v>591</v>
      </c>
      <c r="N1054" s="865" t="s">
        <v>633</v>
      </c>
      <c r="O1054" s="866">
        <v>2004.0</v>
      </c>
      <c r="P1054" s="865" t="s">
        <v>593</v>
      </c>
      <c r="Q1054" s="865" t="s">
        <v>70</v>
      </c>
      <c r="R1054" s="867">
        <v>1194449.583</v>
      </c>
      <c r="S1054" s="867">
        <v>1313366.175</v>
      </c>
      <c r="T1054" s="868">
        <v>1083055.818</v>
      </c>
      <c r="AN1054" s="882"/>
      <c r="AO1054" s="882"/>
      <c r="AP1054" s="882"/>
      <c r="AY1054" s="882"/>
      <c r="AZ1054" s="882"/>
      <c r="BA1054" s="882"/>
      <c r="BJ1054" s="882"/>
      <c r="BK1054" s="882"/>
      <c r="BL1054" s="882"/>
      <c r="BU1054" s="882"/>
      <c r="BV1054" s="882"/>
      <c r="BW1054" s="882"/>
      <c r="CF1054" s="882"/>
      <c r="CG1054" s="882"/>
      <c r="CH1054" s="882"/>
      <c r="CI1054" s="530"/>
    </row>
    <row r="1055">
      <c r="A1055" s="857"/>
      <c r="B1055" s="865" t="s">
        <v>646</v>
      </c>
      <c r="C1055" s="865" t="s">
        <v>591</v>
      </c>
      <c r="D1055" s="865" t="s">
        <v>635</v>
      </c>
      <c r="E1055" s="866">
        <v>2019.0</v>
      </c>
      <c r="F1055" s="865" t="s">
        <v>593</v>
      </c>
      <c r="G1055" s="865" t="s">
        <v>70</v>
      </c>
      <c r="H1055" s="867">
        <v>1666359.95</v>
      </c>
      <c r="I1055" s="867">
        <v>1859199.233</v>
      </c>
      <c r="J1055" s="868">
        <v>1450195.468</v>
      </c>
      <c r="K1055" s="50"/>
      <c r="L1055" s="869" t="s">
        <v>646</v>
      </c>
      <c r="M1055" s="865" t="s">
        <v>591</v>
      </c>
      <c r="N1055" s="865" t="s">
        <v>635</v>
      </c>
      <c r="O1055" s="866">
        <v>2004.0</v>
      </c>
      <c r="P1055" s="865" t="s">
        <v>593</v>
      </c>
      <c r="Q1055" s="865" t="s">
        <v>70</v>
      </c>
      <c r="R1055" s="867">
        <v>1009700.243</v>
      </c>
      <c r="S1055" s="867">
        <v>1110223.624</v>
      </c>
      <c r="T1055" s="868">
        <v>915536.1078</v>
      </c>
      <c r="AN1055" s="882"/>
      <c r="AO1055" s="882"/>
      <c r="AP1055" s="882"/>
      <c r="AY1055" s="882"/>
      <c r="AZ1055" s="882"/>
      <c r="BA1055" s="882"/>
      <c r="BJ1055" s="882"/>
      <c r="BK1055" s="882"/>
      <c r="BL1055" s="882"/>
      <c r="BU1055" s="882"/>
      <c r="BV1055" s="882"/>
      <c r="BW1055" s="882"/>
      <c r="CF1055" s="882"/>
      <c r="CG1055" s="882"/>
      <c r="CH1055" s="882"/>
      <c r="CI1055" s="530"/>
    </row>
    <row r="1056">
      <c r="A1056" s="857"/>
      <c r="B1056" s="865" t="s">
        <v>646</v>
      </c>
      <c r="C1056" s="865" t="s">
        <v>591</v>
      </c>
      <c r="D1056" s="865" t="s">
        <v>637</v>
      </c>
      <c r="E1056" s="866">
        <v>2019.0</v>
      </c>
      <c r="F1056" s="865" t="s">
        <v>593</v>
      </c>
      <c r="G1056" s="865" t="s">
        <v>70</v>
      </c>
      <c r="H1056" s="867">
        <v>1329116.531</v>
      </c>
      <c r="I1056" s="867">
        <v>1482928.365</v>
      </c>
      <c r="J1056" s="868">
        <v>1156700.13</v>
      </c>
      <c r="K1056" s="50"/>
      <c r="L1056" s="869" t="s">
        <v>646</v>
      </c>
      <c r="M1056" s="865" t="s">
        <v>591</v>
      </c>
      <c r="N1056" s="865" t="s">
        <v>637</v>
      </c>
      <c r="O1056" s="866">
        <v>2004.0</v>
      </c>
      <c r="P1056" s="865" t="s">
        <v>593</v>
      </c>
      <c r="Q1056" s="865" t="s">
        <v>70</v>
      </c>
      <c r="R1056" s="867">
        <v>848008.0969</v>
      </c>
      <c r="S1056" s="867">
        <v>932433.7887</v>
      </c>
      <c r="T1056" s="868">
        <v>768923.29</v>
      </c>
      <c r="AN1056" s="882"/>
      <c r="AO1056" s="882"/>
      <c r="AP1056" s="882"/>
      <c r="AY1056" s="882"/>
      <c r="AZ1056" s="882"/>
      <c r="BA1056" s="882"/>
      <c r="BJ1056" s="882"/>
      <c r="BK1056" s="882"/>
      <c r="BL1056" s="882"/>
      <c r="BU1056" s="882"/>
      <c r="BV1056" s="882"/>
      <c r="BW1056" s="882"/>
      <c r="CF1056" s="882"/>
      <c r="CG1056" s="882"/>
      <c r="CH1056" s="882"/>
      <c r="CI1056" s="530"/>
    </row>
    <row r="1057">
      <c r="A1057" s="857"/>
      <c r="B1057" s="865" t="s">
        <v>646</v>
      </c>
      <c r="C1057" s="865" t="s">
        <v>591</v>
      </c>
      <c r="D1057" s="865" t="s">
        <v>639</v>
      </c>
      <c r="E1057" s="866">
        <v>2019.0</v>
      </c>
      <c r="F1057" s="865" t="s">
        <v>593</v>
      </c>
      <c r="G1057" s="865" t="s">
        <v>70</v>
      </c>
      <c r="H1057" s="867">
        <v>1.062373513E7</v>
      </c>
      <c r="I1057" s="867">
        <v>1.185356534E7</v>
      </c>
      <c r="J1057" s="868">
        <v>9245713.229</v>
      </c>
      <c r="K1057" s="50"/>
      <c r="L1057" s="869" t="s">
        <v>646</v>
      </c>
      <c r="M1057" s="865" t="s">
        <v>591</v>
      </c>
      <c r="N1057" s="865" t="s">
        <v>639</v>
      </c>
      <c r="O1057" s="866">
        <v>2004.0</v>
      </c>
      <c r="P1057" s="865" t="s">
        <v>593</v>
      </c>
      <c r="Q1057" s="865" t="s">
        <v>70</v>
      </c>
      <c r="R1057" s="867">
        <v>7754186.726</v>
      </c>
      <c r="S1057" s="867">
        <v>8526252.58</v>
      </c>
      <c r="T1057" s="868">
        <v>7030877.447</v>
      </c>
      <c r="AN1057" s="882"/>
      <c r="AO1057" s="882"/>
      <c r="AP1057" s="882"/>
      <c r="AY1057" s="882"/>
      <c r="AZ1057" s="882"/>
      <c r="BA1057" s="882"/>
      <c r="BJ1057" s="882"/>
      <c r="BK1057" s="882"/>
      <c r="BL1057" s="882"/>
      <c r="BU1057" s="882"/>
      <c r="BV1057" s="882"/>
      <c r="BW1057" s="882"/>
      <c r="CF1057" s="882"/>
      <c r="CG1057" s="882"/>
      <c r="CH1057" s="882"/>
      <c r="CI1057" s="530"/>
    </row>
    <row r="1058">
      <c r="A1058" s="857"/>
      <c r="B1058" s="865" t="s">
        <v>646</v>
      </c>
      <c r="C1058" s="865" t="s">
        <v>591</v>
      </c>
      <c r="D1058" s="865" t="s">
        <v>641</v>
      </c>
      <c r="E1058" s="866">
        <v>2019.0</v>
      </c>
      <c r="F1058" s="865" t="s">
        <v>593</v>
      </c>
      <c r="G1058" s="865" t="s">
        <v>70</v>
      </c>
      <c r="H1058" s="867">
        <v>3771114.439</v>
      </c>
      <c r="I1058" s="867">
        <v>4207526.155</v>
      </c>
      <c r="J1058" s="868">
        <v>3281915.813</v>
      </c>
      <c r="K1058" s="50"/>
      <c r="L1058" s="869" t="s">
        <v>646</v>
      </c>
      <c r="M1058" s="865" t="s">
        <v>591</v>
      </c>
      <c r="N1058" s="865" t="s">
        <v>641</v>
      </c>
      <c r="O1058" s="866">
        <v>2004.0</v>
      </c>
      <c r="P1058" s="865" t="s">
        <v>593</v>
      </c>
      <c r="Q1058" s="865" t="s">
        <v>70</v>
      </c>
      <c r="R1058" s="867">
        <v>2918959.39</v>
      </c>
      <c r="S1058" s="867">
        <v>3209564.122</v>
      </c>
      <c r="T1058" s="868">
        <v>2646738.711</v>
      </c>
      <c r="AN1058" s="882"/>
      <c r="AO1058" s="882"/>
      <c r="AP1058" s="882"/>
      <c r="AY1058" s="882"/>
      <c r="AZ1058" s="882"/>
      <c r="BA1058" s="882"/>
      <c r="BJ1058" s="882"/>
      <c r="BK1058" s="882"/>
      <c r="BL1058" s="882"/>
      <c r="BU1058" s="882"/>
      <c r="BV1058" s="882"/>
      <c r="BW1058" s="882"/>
      <c r="CF1058" s="882"/>
      <c r="CG1058" s="882"/>
      <c r="CH1058" s="882"/>
      <c r="CI1058" s="530"/>
    </row>
    <row r="1059">
      <c r="A1059" s="857"/>
      <c r="B1059" s="865" t="s">
        <v>646</v>
      </c>
      <c r="C1059" s="865" t="s">
        <v>591</v>
      </c>
      <c r="D1059" s="865" t="s">
        <v>643</v>
      </c>
      <c r="E1059" s="866">
        <v>2019.0</v>
      </c>
      <c r="F1059" s="865" t="s">
        <v>593</v>
      </c>
      <c r="G1059" s="865" t="s">
        <v>70</v>
      </c>
      <c r="H1059" s="867">
        <v>1027090.594</v>
      </c>
      <c r="I1059" s="867">
        <v>1145950.516</v>
      </c>
      <c r="J1059" s="868">
        <v>893853.7706</v>
      </c>
      <c r="K1059" s="50"/>
      <c r="L1059" s="869" t="s">
        <v>646</v>
      </c>
      <c r="M1059" s="865" t="s">
        <v>591</v>
      </c>
      <c r="N1059" s="865" t="s">
        <v>643</v>
      </c>
      <c r="O1059" s="866">
        <v>2004.0</v>
      </c>
      <c r="P1059" s="865" t="s">
        <v>593</v>
      </c>
      <c r="Q1059" s="865" t="s">
        <v>70</v>
      </c>
      <c r="R1059" s="867">
        <v>638221.7489</v>
      </c>
      <c r="S1059" s="867">
        <v>701761.6053</v>
      </c>
      <c r="T1059" s="868">
        <v>578701.5109</v>
      </c>
      <c r="AN1059" s="882"/>
      <c r="AO1059" s="882"/>
      <c r="AP1059" s="882"/>
      <c r="AY1059" s="882"/>
      <c r="AZ1059" s="882"/>
      <c r="BA1059" s="882"/>
      <c r="BJ1059" s="882"/>
      <c r="BK1059" s="882"/>
      <c r="BL1059" s="882"/>
      <c r="BU1059" s="882"/>
      <c r="BV1059" s="882"/>
      <c r="BW1059" s="882"/>
      <c r="CF1059" s="882"/>
      <c r="CG1059" s="882"/>
      <c r="CH1059" s="882"/>
      <c r="CI1059" s="530"/>
    </row>
    <row r="1060">
      <c r="A1060" s="857"/>
      <c r="B1060" s="865" t="s">
        <v>646</v>
      </c>
      <c r="C1060" s="865" t="s">
        <v>591</v>
      </c>
      <c r="D1060" s="865" t="s">
        <v>645</v>
      </c>
      <c r="E1060" s="866">
        <v>2019.0</v>
      </c>
      <c r="F1060" s="865" t="s">
        <v>593</v>
      </c>
      <c r="G1060" s="865" t="s">
        <v>70</v>
      </c>
      <c r="H1060" s="867">
        <v>2938945.574</v>
      </c>
      <c r="I1060" s="867">
        <v>3279054.659</v>
      </c>
      <c r="J1060" s="868">
        <v>2557698.025</v>
      </c>
      <c r="K1060" s="50"/>
      <c r="L1060" s="869" t="s">
        <v>646</v>
      </c>
      <c r="M1060" s="865" t="s">
        <v>591</v>
      </c>
      <c r="N1060" s="865" t="s">
        <v>645</v>
      </c>
      <c r="O1060" s="866">
        <v>2004.0</v>
      </c>
      <c r="P1060" s="865" t="s">
        <v>593</v>
      </c>
      <c r="Q1060" s="865" t="s">
        <v>70</v>
      </c>
      <c r="R1060" s="867">
        <v>1791702.756</v>
      </c>
      <c r="S1060" s="867">
        <v>1970080.468</v>
      </c>
      <c r="T1060" s="868">
        <v>1624609.461</v>
      </c>
      <c r="AN1060" s="882"/>
      <c r="AO1060" s="882"/>
      <c r="AP1060" s="882"/>
      <c r="AY1060" s="882"/>
      <c r="AZ1060" s="882"/>
      <c r="BA1060" s="882"/>
      <c r="BJ1060" s="882"/>
      <c r="BK1060" s="882"/>
      <c r="BL1060" s="882"/>
      <c r="BU1060" s="882"/>
      <c r="BV1060" s="882"/>
      <c r="BW1060" s="882"/>
      <c r="CF1060" s="882"/>
      <c r="CG1060" s="882"/>
      <c r="CH1060" s="882"/>
      <c r="CI1060" s="530"/>
    </row>
    <row r="1061">
      <c r="A1061" s="857"/>
      <c r="B1061" s="865" t="s">
        <v>646</v>
      </c>
      <c r="C1061" s="865" t="s">
        <v>591</v>
      </c>
      <c r="D1061" s="865" t="s">
        <v>604</v>
      </c>
      <c r="E1061" s="866">
        <v>2019.0</v>
      </c>
      <c r="F1061" s="865" t="s">
        <v>593</v>
      </c>
      <c r="G1061" s="865" t="s">
        <v>70</v>
      </c>
      <c r="H1061" s="867">
        <v>7336045.764</v>
      </c>
      <c r="I1061" s="867">
        <v>8185008.683</v>
      </c>
      <c r="J1061" s="868">
        <v>6384395.114</v>
      </c>
      <c r="K1061" s="50"/>
      <c r="L1061" s="869" t="s">
        <v>646</v>
      </c>
      <c r="M1061" s="865" t="s">
        <v>591</v>
      </c>
      <c r="N1061" s="865" t="s">
        <v>604</v>
      </c>
      <c r="O1061" s="866">
        <v>2004.0</v>
      </c>
      <c r="P1061" s="865" t="s">
        <v>593</v>
      </c>
      <c r="Q1061" s="865" t="s">
        <v>70</v>
      </c>
      <c r="R1061" s="867">
        <v>5499622.292</v>
      </c>
      <c r="S1061" s="867">
        <v>6047151.754</v>
      </c>
      <c r="T1061" s="868">
        <v>4986730.294</v>
      </c>
      <c r="AN1061" s="882"/>
      <c r="AO1061" s="882"/>
      <c r="AP1061" s="882"/>
      <c r="AY1061" s="882"/>
      <c r="AZ1061" s="882"/>
      <c r="BA1061" s="882"/>
      <c r="BJ1061" s="882"/>
      <c r="BK1061" s="882"/>
      <c r="BL1061" s="882"/>
      <c r="BU1061" s="882"/>
      <c r="BV1061" s="882"/>
      <c r="BW1061" s="882"/>
      <c r="CF1061" s="882"/>
      <c r="CG1061" s="882"/>
      <c r="CH1061" s="882"/>
      <c r="CI1061" s="530"/>
    </row>
    <row r="1062">
      <c r="A1062" s="857"/>
      <c r="B1062" s="865" t="s">
        <v>646</v>
      </c>
      <c r="C1062" s="865" t="s">
        <v>591</v>
      </c>
      <c r="D1062" s="865" t="s">
        <v>647</v>
      </c>
      <c r="E1062" s="866">
        <v>2019.0</v>
      </c>
      <c r="F1062" s="865" t="s">
        <v>593</v>
      </c>
      <c r="G1062" s="865" t="s">
        <v>70</v>
      </c>
      <c r="H1062" s="867">
        <v>2593539.85</v>
      </c>
      <c r="I1062" s="867">
        <v>2893774.526</v>
      </c>
      <c r="J1062" s="868">
        <v>2257127.593</v>
      </c>
      <c r="K1062" s="50"/>
      <c r="L1062" s="869" t="s">
        <v>646</v>
      </c>
      <c r="M1062" s="865" t="s">
        <v>591</v>
      </c>
      <c r="N1062" s="865" t="s">
        <v>647</v>
      </c>
      <c r="O1062" s="866">
        <v>2004.0</v>
      </c>
      <c r="P1062" s="865" t="s">
        <v>593</v>
      </c>
      <c r="Q1062" s="865" t="s">
        <v>70</v>
      </c>
      <c r="R1062" s="867">
        <v>1583900.728</v>
      </c>
      <c r="S1062" s="867">
        <v>1741605.941</v>
      </c>
      <c r="T1062" s="868">
        <v>1436154.725</v>
      </c>
      <c r="AN1062" s="882"/>
      <c r="AO1062" s="882"/>
      <c r="AP1062" s="882"/>
      <c r="AY1062" s="882"/>
      <c r="AZ1062" s="882"/>
      <c r="BA1062" s="882"/>
      <c r="BJ1062" s="882"/>
      <c r="BK1062" s="882"/>
      <c r="BL1062" s="882"/>
      <c r="BU1062" s="882"/>
      <c r="BV1062" s="882"/>
      <c r="BW1062" s="882"/>
      <c r="CF1062" s="882"/>
      <c r="CG1062" s="882"/>
      <c r="CH1062" s="882"/>
      <c r="CI1062" s="530"/>
    </row>
    <row r="1063">
      <c r="A1063" s="857"/>
      <c r="B1063" s="865" t="s">
        <v>646</v>
      </c>
      <c r="C1063" s="865" t="s">
        <v>591</v>
      </c>
      <c r="D1063" s="865" t="s">
        <v>649</v>
      </c>
      <c r="E1063" s="866">
        <v>2019.0</v>
      </c>
      <c r="F1063" s="865" t="s">
        <v>593</v>
      </c>
      <c r="G1063" s="865" t="s">
        <v>70</v>
      </c>
      <c r="H1063" s="867">
        <v>798341.816</v>
      </c>
      <c r="I1063" s="867">
        <v>890729.8163</v>
      </c>
      <c r="J1063" s="868">
        <v>694778.8704</v>
      </c>
      <c r="K1063" s="50"/>
      <c r="L1063" s="869" t="s">
        <v>646</v>
      </c>
      <c r="M1063" s="865" t="s">
        <v>591</v>
      </c>
      <c r="N1063" s="865" t="s">
        <v>649</v>
      </c>
      <c r="O1063" s="866">
        <v>2004.0</v>
      </c>
      <c r="P1063" s="865" t="s">
        <v>593</v>
      </c>
      <c r="Q1063" s="865" t="s">
        <v>70</v>
      </c>
      <c r="R1063" s="867">
        <v>463121.7239</v>
      </c>
      <c r="S1063" s="867">
        <v>509229.0335</v>
      </c>
      <c r="T1063" s="868">
        <v>419931.2257</v>
      </c>
      <c r="AN1063" s="882"/>
      <c r="AO1063" s="882"/>
      <c r="AP1063" s="882"/>
      <c r="AY1063" s="882"/>
      <c r="AZ1063" s="882"/>
      <c r="BA1063" s="882"/>
      <c r="BJ1063" s="882"/>
      <c r="BK1063" s="882"/>
      <c r="BL1063" s="882"/>
      <c r="BU1063" s="882"/>
      <c r="BV1063" s="882"/>
      <c r="BW1063" s="882"/>
      <c r="CF1063" s="882"/>
      <c r="CG1063" s="882"/>
      <c r="CH1063" s="882"/>
      <c r="CI1063" s="530"/>
    </row>
    <row r="1064">
      <c r="A1064" s="857"/>
      <c r="B1064" s="865" t="s">
        <v>646</v>
      </c>
      <c r="C1064" s="865" t="s">
        <v>591</v>
      </c>
      <c r="D1064" s="865" t="s">
        <v>651</v>
      </c>
      <c r="E1064" s="866">
        <v>2019.0</v>
      </c>
      <c r="F1064" s="865" t="s">
        <v>593</v>
      </c>
      <c r="G1064" s="865" t="s">
        <v>70</v>
      </c>
      <c r="H1064" s="867">
        <v>640292.2603</v>
      </c>
      <c r="I1064" s="867">
        <v>714389.9969</v>
      </c>
      <c r="J1064" s="868">
        <v>557231.908</v>
      </c>
      <c r="K1064" s="50"/>
      <c r="L1064" s="869" t="s">
        <v>646</v>
      </c>
      <c r="M1064" s="865" t="s">
        <v>591</v>
      </c>
      <c r="N1064" s="865" t="s">
        <v>651</v>
      </c>
      <c r="O1064" s="866">
        <v>2004.0</v>
      </c>
      <c r="P1064" s="865" t="s">
        <v>593</v>
      </c>
      <c r="Q1064" s="865" t="s">
        <v>70</v>
      </c>
      <c r="R1064" s="867">
        <v>379549.0402</v>
      </c>
      <c r="S1064" s="867">
        <v>417336.05</v>
      </c>
      <c r="T1064" s="868">
        <v>344152.4884</v>
      </c>
      <c r="AN1064" s="882"/>
      <c r="AO1064" s="882"/>
      <c r="AP1064" s="882"/>
      <c r="AY1064" s="882"/>
      <c r="AZ1064" s="882"/>
      <c r="BA1064" s="882"/>
      <c r="BJ1064" s="882"/>
      <c r="BK1064" s="882"/>
      <c r="BL1064" s="882"/>
      <c r="BU1064" s="882"/>
      <c r="BV1064" s="882"/>
      <c r="BW1064" s="882"/>
      <c r="CF1064" s="882"/>
      <c r="CG1064" s="882"/>
      <c r="CH1064" s="882"/>
      <c r="CI1064" s="530"/>
    </row>
    <row r="1065">
      <c r="A1065" s="857"/>
      <c r="B1065" s="865" t="s">
        <v>646</v>
      </c>
      <c r="C1065" s="865" t="s">
        <v>591</v>
      </c>
      <c r="D1065" s="865" t="s">
        <v>653</v>
      </c>
      <c r="E1065" s="866">
        <v>2019.0</v>
      </c>
      <c r="F1065" s="865" t="s">
        <v>593</v>
      </c>
      <c r="G1065" s="865" t="s">
        <v>70</v>
      </c>
      <c r="H1065" s="867">
        <v>473220.904</v>
      </c>
      <c r="I1065" s="867">
        <v>527984.3301</v>
      </c>
      <c r="J1065" s="868">
        <v>411833.4761</v>
      </c>
      <c r="K1065" s="50"/>
      <c r="L1065" s="869" t="s">
        <v>646</v>
      </c>
      <c r="M1065" s="865" t="s">
        <v>591</v>
      </c>
      <c r="N1065" s="865" t="s">
        <v>653</v>
      </c>
      <c r="O1065" s="866">
        <v>2004.0</v>
      </c>
      <c r="P1065" s="865" t="s">
        <v>593</v>
      </c>
      <c r="Q1065" s="865" t="s">
        <v>70</v>
      </c>
      <c r="R1065" s="867">
        <v>310810.2426</v>
      </c>
      <c r="S1065" s="867">
        <v>341753.7794</v>
      </c>
      <c r="T1065" s="868">
        <v>281824.2363</v>
      </c>
      <c r="AN1065" s="882"/>
      <c r="AO1065" s="882"/>
      <c r="AP1065" s="882"/>
      <c r="AY1065" s="882"/>
      <c r="AZ1065" s="882"/>
      <c r="BA1065" s="882"/>
      <c r="BJ1065" s="882"/>
      <c r="BK1065" s="882"/>
      <c r="BL1065" s="882"/>
      <c r="BU1065" s="882"/>
      <c r="BV1065" s="882"/>
      <c r="BW1065" s="882"/>
      <c r="CF1065" s="882"/>
      <c r="CG1065" s="882"/>
      <c r="CH1065" s="882"/>
      <c r="CI1065" s="530"/>
    </row>
    <row r="1066">
      <c r="A1066" s="857"/>
      <c r="B1066" s="865" t="s">
        <v>646</v>
      </c>
      <c r="C1066" s="865" t="s">
        <v>591</v>
      </c>
      <c r="D1066" s="865" t="s">
        <v>655</v>
      </c>
      <c r="E1066" s="866">
        <v>2019.0</v>
      </c>
      <c r="F1066" s="865" t="s">
        <v>593</v>
      </c>
      <c r="G1066" s="865" t="s">
        <v>70</v>
      </c>
      <c r="H1066" s="867">
        <v>784433.6529</v>
      </c>
      <c r="I1066" s="867">
        <v>875241.6595</v>
      </c>
      <c r="J1066" s="868">
        <v>682683.4927</v>
      </c>
      <c r="K1066" s="50"/>
      <c r="L1066" s="869" t="s">
        <v>646</v>
      </c>
      <c r="M1066" s="865" t="s">
        <v>591</v>
      </c>
      <c r="N1066" s="865" t="s">
        <v>655</v>
      </c>
      <c r="O1066" s="866">
        <v>2004.0</v>
      </c>
      <c r="P1066" s="865" t="s">
        <v>593</v>
      </c>
      <c r="Q1066" s="865" t="s">
        <v>70</v>
      </c>
      <c r="R1066" s="867">
        <v>528505.8579</v>
      </c>
      <c r="S1066" s="867">
        <v>581127.9241</v>
      </c>
      <c r="T1066" s="868">
        <v>479206.9173</v>
      </c>
      <c r="AN1066" s="882"/>
      <c r="AO1066" s="882"/>
      <c r="AP1066" s="882"/>
      <c r="AY1066" s="882"/>
      <c r="AZ1066" s="882"/>
      <c r="BA1066" s="882"/>
      <c r="BJ1066" s="882"/>
      <c r="BK1066" s="882"/>
      <c r="BL1066" s="882"/>
      <c r="BU1066" s="882"/>
      <c r="BV1066" s="882"/>
      <c r="BW1066" s="882"/>
      <c r="CF1066" s="882"/>
      <c r="CG1066" s="882"/>
      <c r="CH1066" s="882"/>
      <c r="CI1066" s="530"/>
    </row>
    <row r="1067">
      <c r="A1067" s="857"/>
      <c r="B1067" s="865" t="s">
        <v>646</v>
      </c>
      <c r="C1067" s="865" t="s">
        <v>591</v>
      </c>
      <c r="D1067" s="865" t="s">
        <v>657</v>
      </c>
      <c r="E1067" s="866">
        <v>2019.0</v>
      </c>
      <c r="F1067" s="865" t="s">
        <v>593</v>
      </c>
      <c r="G1067" s="865" t="s">
        <v>70</v>
      </c>
      <c r="H1067" s="867">
        <v>311223.3022</v>
      </c>
      <c r="I1067" s="867">
        <v>347239.5774</v>
      </c>
      <c r="J1067" s="868">
        <v>270850.6182</v>
      </c>
      <c r="K1067" s="50"/>
      <c r="L1067" s="869" t="s">
        <v>646</v>
      </c>
      <c r="M1067" s="865" t="s">
        <v>591</v>
      </c>
      <c r="N1067" s="865" t="s">
        <v>657</v>
      </c>
      <c r="O1067" s="866">
        <v>2004.0</v>
      </c>
      <c r="P1067" s="865" t="s">
        <v>593</v>
      </c>
      <c r="Q1067" s="865" t="s">
        <v>70</v>
      </c>
      <c r="R1067" s="867">
        <v>217699.8643</v>
      </c>
      <c r="S1067" s="867">
        <v>239373.5508</v>
      </c>
      <c r="T1067" s="868">
        <v>197397.2849</v>
      </c>
      <c r="AN1067" s="882"/>
      <c r="AO1067" s="882"/>
      <c r="AP1067" s="882"/>
      <c r="AY1067" s="882"/>
      <c r="AZ1067" s="882"/>
      <c r="BA1067" s="882"/>
      <c r="BJ1067" s="882"/>
      <c r="BK1067" s="882"/>
      <c r="BL1067" s="882"/>
      <c r="BU1067" s="882"/>
      <c r="BV1067" s="882"/>
      <c r="BW1067" s="882"/>
      <c r="CF1067" s="882"/>
      <c r="CG1067" s="882"/>
      <c r="CH1067" s="882"/>
      <c r="CI1067" s="530"/>
    </row>
    <row r="1068">
      <c r="A1068" s="857"/>
      <c r="B1068" s="865" t="s">
        <v>646</v>
      </c>
      <c r="C1068" s="865" t="s">
        <v>591</v>
      </c>
      <c r="D1068" s="865" t="s">
        <v>659</v>
      </c>
      <c r="E1068" s="866">
        <v>2019.0</v>
      </c>
      <c r="F1068" s="865" t="s">
        <v>593</v>
      </c>
      <c r="G1068" s="865" t="s">
        <v>70</v>
      </c>
      <c r="H1068" s="867">
        <v>681719.7616</v>
      </c>
      <c r="I1068" s="867">
        <v>760611.6902</v>
      </c>
      <c r="J1068" s="868">
        <v>593285.3277</v>
      </c>
      <c r="K1068" s="50"/>
      <c r="L1068" s="869" t="s">
        <v>646</v>
      </c>
      <c r="M1068" s="865" t="s">
        <v>591</v>
      </c>
      <c r="N1068" s="865" t="s">
        <v>659</v>
      </c>
      <c r="O1068" s="866">
        <v>2004.0</v>
      </c>
      <c r="P1068" s="865" t="s">
        <v>593</v>
      </c>
      <c r="Q1068" s="865" t="s">
        <v>70</v>
      </c>
      <c r="R1068" s="867">
        <v>430432.4555</v>
      </c>
      <c r="S1068" s="867">
        <v>473285.2985</v>
      </c>
      <c r="T1068" s="868">
        <v>390290.542</v>
      </c>
      <c r="AN1068" s="882"/>
      <c r="AO1068" s="882"/>
      <c r="AP1068" s="882"/>
      <c r="AY1068" s="882"/>
      <c r="AZ1068" s="882"/>
      <c r="BA1068" s="882"/>
      <c r="BJ1068" s="882"/>
      <c r="BK1068" s="882"/>
      <c r="BL1068" s="882"/>
      <c r="BU1068" s="882"/>
      <c r="BV1068" s="882"/>
      <c r="BW1068" s="882"/>
      <c r="CF1068" s="882"/>
      <c r="CG1068" s="882"/>
      <c r="CH1068" s="882"/>
      <c r="CI1068" s="530"/>
    </row>
    <row r="1069">
      <c r="A1069" s="857"/>
      <c r="B1069" s="865" t="s">
        <v>646</v>
      </c>
      <c r="C1069" s="865" t="s">
        <v>591</v>
      </c>
      <c r="D1069" s="865" t="s">
        <v>661</v>
      </c>
      <c r="E1069" s="866">
        <v>2019.0</v>
      </c>
      <c r="F1069" s="865" t="s">
        <v>593</v>
      </c>
      <c r="G1069" s="865" t="s">
        <v>70</v>
      </c>
      <c r="H1069" s="867">
        <v>370491.475</v>
      </c>
      <c r="I1069" s="867">
        <v>413380.4972</v>
      </c>
      <c r="J1069" s="868">
        <v>322434.4255</v>
      </c>
      <c r="K1069" s="50"/>
      <c r="L1069" s="869" t="s">
        <v>646</v>
      </c>
      <c r="M1069" s="865" t="s">
        <v>591</v>
      </c>
      <c r="N1069" s="865" t="s">
        <v>661</v>
      </c>
      <c r="O1069" s="866">
        <v>2004.0</v>
      </c>
      <c r="P1069" s="865" t="s">
        <v>593</v>
      </c>
      <c r="Q1069" s="865" t="s">
        <v>70</v>
      </c>
      <c r="R1069" s="867">
        <v>212730.8809</v>
      </c>
      <c r="S1069" s="867">
        <v>233911.9867</v>
      </c>
      <c r="T1069" s="868">
        <v>192887.3789</v>
      </c>
      <c r="AN1069" s="882"/>
      <c r="AO1069" s="882"/>
      <c r="AP1069" s="882"/>
      <c r="AY1069" s="882"/>
      <c r="AZ1069" s="882"/>
      <c r="BA1069" s="882"/>
      <c r="BJ1069" s="882"/>
      <c r="BK1069" s="882"/>
      <c r="BL1069" s="882"/>
      <c r="BU1069" s="882"/>
      <c r="BV1069" s="882"/>
      <c r="BW1069" s="882"/>
      <c r="CF1069" s="882"/>
      <c r="CG1069" s="882"/>
      <c r="CH1069" s="882"/>
      <c r="CI1069" s="530"/>
    </row>
    <row r="1070">
      <c r="A1070" s="857"/>
      <c r="B1070" s="865" t="s">
        <v>646</v>
      </c>
      <c r="C1070" s="865" t="s">
        <v>591</v>
      </c>
      <c r="D1070" s="865" t="s">
        <v>663</v>
      </c>
      <c r="E1070" s="866">
        <v>2019.0</v>
      </c>
      <c r="F1070" s="865" t="s">
        <v>593</v>
      </c>
      <c r="G1070" s="865" t="s">
        <v>70</v>
      </c>
      <c r="H1070" s="867">
        <v>198335.3112</v>
      </c>
      <c r="I1070" s="867">
        <v>221287.6387</v>
      </c>
      <c r="J1070" s="868">
        <v>172606.7466</v>
      </c>
      <c r="K1070" s="50"/>
      <c r="L1070" s="869" t="s">
        <v>646</v>
      </c>
      <c r="M1070" s="865" t="s">
        <v>591</v>
      </c>
      <c r="N1070" s="865" t="s">
        <v>663</v>
      </c>
      <c r="O1070" s="866">
        <v>2004.0</v>
      </c>
      <c r="P1070" s="865" t="s">
        <v>593</v>
      </c>
      <c r="Q1070" s="865" t="s">
        <v>70</v>
      </c>
      <c r="R1070" s="867">
        <v>121504.3608</v>
      </c>
      <c r="S1070" s="867">
        <v>133601.0492</v>
      </c>
      <c r="T1070" s="868">
        <v>110172.9255</v>
      </c>
      <c r="AN1070" s="882"/>
      <c r="AO1070" s="882"/>
      <c r="AP1070" s="882"/>
      <c r="AY1070" s="882"/>
      <c r="AZ1070" s="882"/>
      <c r="BA1070" s="882"/>
      <c r="BJ1070" s="882"/>
      <c r="BK1070" s="882"/>
      <c r="BL1070" s="882"/>
      <c r="BU1070" s="882"/>
      <c r="BV1070" s="882"/>
      <c r="BW1070" s="882"/>
      <c r="CF1070" s="882"/>
      <c r="CG1070" s="882"/>
      <c r="CH1070" s="882"/>
      <c r="CI1070" s="530"/>
    </row>
    <row r="1071">
      <c r="A1071" s="857"/>
      <c r="B1071" s="865" t="s">
        <v>646</v>
      </c>
      <c r="C1071" s="865" t="s">
        <v>591</v>
      </c>
      <c r="D1071" s="865" t="s">
        <v>665</v>
      </c>
      <c r="E1071" s="866">
        <v>2019.0</v>
      </c>
      <c r="F1071" s="865" t="s">
        <v>593</v>
      </c>
      <c r="G1071" s="865" t="s">
        <v>70</v>
      </c>
      <c r="H1071" s="867">
        <v>307807.0917</v>
      </c>
      <c r="I1071" s="867">
        <v>343439.6125</v>
      </c>
      <c r="J1071" s="868">
        <v>267880.9351</v>
      </c>
      <c r="K1071" s="50"/>
      <c r="L1071" s="869" t="s">
        <v>646</v>
      </c>
      <c r="M1071" s="865" t="s">
        <v>591</v>
      </c>
      <c r="N1071" s="865" t="s">
        <v>665</v>
      </c>
      <c r="O1071" s="866">
        <v>2004.0</v>
      </c>
      <c r="P1071" s="865" t="s">
        <v>593</v>
      </c>
      <c r="Q1071" s="865" t="s">
        <v>70</v>
      </c>
      <c r="R1071" s="867">
        <v>180822.8666</v>
      </c>
      <c r="S1071" s="867">
        <v>198826.9676</v>
      </c>
      <c r="T1071" s="868">
        <v>163955.739</v>
      </c>
      <c r="AN1071" s="882"/>
      <c r="AO1071" s="882"/>
      <c r="AP1071" s="882"/>
      <c r="AY1071" s="882"/>
      <c r="AZ1071" s="882"/>
      <c r="BA1071" s="882"/>
      <c r="BJ1071" s="882"/>
      <c r="BK1071" s="882"/>
      <c r="BL1071" s="882"/>
      <c r="BU1071" s="882"/>
      <c r="BV1071" s="882"/>
      <c r="BW1071" s="882"/>
      <c r="CF1071" s="882"/>
      <c r="CG1071" s="882"/>
      <c r="CH1071" s="882"/>
      <c r="CI1071" s="530"/>
    </row>
    <row r="1072">
      <c r="A1072" s="857"/>
      <c r="B1072" s="865" t="s">
        <v>646</v>
      </c>
      <c r="C1072" s="865" t="s">
        <v>591</v>
      </c>
      <c r="D1072" s="865" t="s">
        <v>667</v>
      </c>
      <c r="E1072" s="866">
        <v>2019.0</v>
      </c>
      <c r="F1072" s="865" t="s">
        <v>593</v>
      </c>
      <c r="G1072" s="865" t="s">
        <v>70</v>
      </c>
      <c r="H1072" s="867">
        <v>172161.1482</v>
      </c>
      <c r="I1072" s="867">
        <v>192084.4741</v>
      </c>
      <c r="J1072" s="868">
        <v>149827.963</v>
      </c>
      <c r="K1072" s="50"/>
      <c r="L1072" s="869" t="s">
        <v>646</v>
      </c>
      <c r="M1072" s="865" t="s">
        <v>591</v>
      </c>
      <c r="N1072" s="865" t="s">
        <v>667</v>
      </c>
      <c r="O1072" s="866">
        <v>2004.0</v>
      </c>
      <c r="P1072" s="865" t="s">
        <v>593</v>
      </c>
      <c r="Q1072" s="865" t="s">
        <v>70</v>
      </c>
      <c r="R1072" s="867">
        <v>91228.23037</v>
      </c>
      <c r="S1072" s="867">
        <v>100310.6984</v>
      </c>
      <c r="T1072" s="868">
        <v>82720.33167</v>
      </c>
      <c r="AN1072" s="882"/>
      <c r="AO1072" s="882"/>
      <c r="AP1072" s="882"/>
      <c r="AY1072" s="882"/>
      <c r="AZ1072" s="882"/>
      <c r="BA1072" s="882"/>
      <c r="BJ1072" s="882"/>
      <c r="BK1072" s="882"/>
      <c r="BL1072" s="882"/>
      <c r="BU1072" s="882"/>
      <c r="BV1072" s="882"/>
      <c r="BW1072" s="882"/>
      <c r="CF1072" s="882"/>
      <c r="CG1072" s="882"/>
      <c r="CH1072" s="882"/>
      <c r="CI1072" s="530"/>
    </row>
    <row r="1073">
      <c r="A1073" s="857"/>
      <c r="B1073" s="865" t="s">
        <v>646</v>
      </c>
      <c r="C1073" s="865" t="s">
        <v>591</v>
      </c>
      <c r="D1073" s="865" t="s">
        <v>669</v>
      </c>
      <c r="E1073" s="866">
        <v>2019.0</v>
      </c>
      <c r="F1073" s="865" t="s">
        <v>593</v>
      </c>
      <c r="G1073" s="865" t="s">
        <v>70</v>
      </c>
      <c r="H1073" s="867">
        <v>109475.9216</v>
      </c>
      <c r="I1073" s="867">
        <v>122145.008</v>
      </c>
      <c r="J1073" s="868">
        <v>95274.42458</v>
      </c>
      <c r="K1073" s="50"/>
      <c r="L1073" s="869" t="s">
        <v>646</v>
      </c>
      <c r="M1073" s="865" t="s">
        <v>591</v>
      </c>
      <c r="N1073" s="865" t="s">
        <v>669</v>
      </c>
      <c r="O1073" s="866">
        <v>2004.0</v>
      </c>
      <c r="P1073" s="865" t="s">
        <v>593</v>
      </c>
      <c r="Q1073" s="865" t="s">
        <v>70</v>
      </c>
      <c r="R1073" s="867">
        <v>59319.95953</v>
      </c>
      <c r="S1073" s="867">
        <v>65225.7152</v>
      </c>
      <c r="T1073" s="868">
        <v>53787.81006</v>
      </c>
      <c r="AN1073" s="882"/>
      <c r="AO1073" s="882"/>
      <c r="AP1073" s="882"/>
      <c r="AY1073" s="882"/>
      <c r="AZ1073" s="882"/>
      <c r="BA1073" s="882"/>
      <c r="BJ1073" s="882"/>
      <c r="BK1073" s="882"/>
      <c r="BL1073" s="882"/>
      <c r="BU1073" s="882"/>
      <c r="BV1073" s="882"/>
      <c r="BW1073" s="882"/>
      <c r="CF1073" s="882"/>
      <c r="CG1073" s="882"/>
      <c r="CH1073" s="882"/>
      <c r="CI1073" s="530"/>
    </row>
    <row r="1074">
      <c r="A1074" s="857"/>
      <c r="B1074" s="865" t="s">
        <v>646</v>
      </c>
      <c r="C1074" s="865" t="s">
        <v>591</v>
      </c>
      <c r="D1074" s="865" t="s">
        <v>671</v>
      </c>
      <c r="E1074" s="866">
        <v>2019.0</v>
      </c>
      <c r="F1074" s="865" t="s">
        <v>593</v>
      </c>
      <c r="G1074" s="865" t="s">
        <v>70</v>
      </c>
      <c r="H1074" s="867">
        <v>62684.38326</v>
      </c>
      <c r="I1074" s="867">
        <v>69940.88465</v>
      </c>
      <c r="J1074" s="868">
        <v>54553.49034</v>
      </c>
      <c r="K1074" s="50"/>
      <c r="L1074" s="869" t="s">
        <v>646</v>
      </c>
      <c r="M1074" s="865" t="s">
        <v>591</v>
      </c>
      <c r="N1074" s="865" t="s">
        <v>671</v>
      </c>
      <c r="O1074" s="866">
        <v>2004.0</v>
      </c>
      <c r="P1074" s="865" t="s">
        <v>593</v>
      </c>
      <c r="Q1074" s="865" t="s">
        <v>70</v>
      </c>
      <c r="R1074" s="867">
        <v>31908.01431</v>
      </c>
      <c r="S1074" s="867">
        <v>35085.01909</v>
      </c>
      <c r="T1074" s="868">
        <v>28931.63991</v>
      </c>
      <c r="AN1074" s="882"/>
      <c r="AO1074" s="882"/>
      <c r="AP1074" s="882"/>
      <c r="AY1074" s="882"/>
      <c r="AZ1074" s="882"/>
      <c r="BA1074" s="882"/>
      <c r="BJ1074" s="882"/>
      <c r="BK1074" s="882"/>
      <c r="BL1074" s="882"/>
      <c r="BU1074" s="882"/>
      <c r="BV1074" s="882"/>
      <c r="BW1074" s="882"/>
      <c r="CF1074" s="882"/>
      <c r="CG1074" s="882"/>
      <c r="CH1074" s="882"/>
      <c r="CI1074" s="530"/>
    </row>
    <row r="1075">
      <c r="A1075" s="857"/>
      <c r="B1075" s="865" t="s">
        <v>646</v>
      </c>
      <c r="C1075" s="865" t="s">
        <v>591</v>
      </c>
      <c r="D1075" s="865" t="s">
        <v>673</v>
      </c>
      <c r="E1075" s="866">
        <v>2019.0</v>
      </c>
      <c r="F1075" s="865" t="s">
        <v>593</v>
      </c>
      <c r="G1075" s="865" t="s">
        <v>70</v>
      </c>
      <c r="H1075" s="867">
        <v>46176.74128</v>
      </c>
      <c r="I1075" s="867">
        <v>51520.53851</v>
      </c>
      <c r="J1075" s="868">
        <v>40186.57611</v>
      </c>
      <c r="K1075" s="50"/>
      <c r="L1075" s="869" t="s">
        <v>646</v>
      </c>
      <c r="M1075" s="865" t="s">
        <v>591</v>
      </c>
      <c r="N1075" s="865" t="s">
        <v>673</v>
      </c>
      <c r="O1075" s="866">
        <v>2004.0</v>
      </c>
      <c r="P1075" s="865" t="s">
        <v>593</v>
      </c>
      <c r="Q1075" s="865" t="s">
        <v>70</v>
      </c>
      <c r="R1075" s="867">
        <v>23528.57184</v>
      </c>
      <c r="S1075" s="867">
        <v>25871.02112</v>
      </c>
      <c r="T1075" s="868">
        <v>21334.30911</v>
      </c>
      <c r="AN1075" s="882"/>
      <c r="AO1075" s="882"/>
      <c r="AP1075" s="882"/>
      <c r="AY1075" s="882"/>
      <c r="AZ1075" s="882"/>
      <c r="BA1075" s="882"/>
      <c r="BJ1075" s="882"/>
      <c r="BK1075" s="882"/>
      <c r="BL1075" s="882"/>
      <c r="BU1075" s="882"/>
      <c r="BV1075" s="882"/>
      <c r="BW1075" s="882"/>
      <c r="CF1075" s="882"/>
      <c r="CG1075" s="882"/>
      <c r="CH1075" s="882"/>
      <c r="CI1075" s="530"/>
    </row>
    <row r="1076">
      <c r="A1076" s="857"/>
      <c r="B1076" s="865" t="s">
        <v>646</v>
      </c>
      <c r="C1076" s="865" t="s">
        <v>591</v>
      </c>
      <c r="D1076" s="865" t="s">
        <v>674</v>
      </c>
      <c r="E1076" s="866">
        <v>2019.0</v>
      </c>
      <c r="F1076" s="865" t="s">
        <v>593</v>
      </c>
      <c r="G1076" s="865" t="s">
        <v>70</v>
      </c>
      <c r="H1076" s="867">
        <v>13471.20992</v>
      </c>
      <c r="I1076" s="867">
        <v>15030.1639</v>
      </c>
      <c r="J1076" s="868">
        <v>11723.69006</v>
      </c>
      <c r="K1076" s="50"/>
      <c r="L1076" s="869" t="s">
        <v>646</v>
      </c>
      <c r="M1076" s="865" t="s">
        <v>591</v>
      </c>
      <c r="N1076" s="865" t="s">
        <v>674</v>
      </c>
      <c r="O1076" s="866">
        <v>2004.0</v>
      </c>
      <c r="P1076" s="865" t="s">
        <v>593</v>
      </c>
      <c r="Q1076" s="865" t="s">
        <v>70</v>
      </c>
      <c r="R1076" s="867">
        <v>6925.948533</v>
      </c>
      <c r="S1076" s="867">
        <v>7615.479681</v>
      </c>
      <c r="T1076" s="868">
        <v>6280.03807</v>
      </c>
      <c r="AN1076" s="882"/>
      <c r="AO1076" s="882"/>
      <c r="AP1076" s="882"/>
      <c r="AY1076" s="882"/>
      <c r="AZ1076" s="882"/>
      <c r="BA1076" s="882"/>
      <c r="BJ1076" s="882"/>
      <c r="BK1076" s="882"/>
      <c r="BL1076" s="882"/>
      <c r="BU1076" s="882"/>
      <c r="BV1076" s="882"/>
      <c r="BW1076" s="882"/>
      <c r="CF1076" s="882"/>
      <c r="CG1076" s="882"/>
      <c r="CH1076" s="882"/>
      <c r="CI1076" s="530"/>
    </row>
    <row r="1077">
      <c r="A1077" s="857"/>
      <c r="B1077" s="865" t="s">
        <v>646</v>
      </c>
      <c r="C1077" s="865" t="s">
        <v>591</v>
      </c>
      <c r="D1077" s="865" t="s">
        <v>676</v>
      </c>
      <c r="E1077" s="866">
        <v>2019.0</v>
      </c>
      <c r="F1077" s="865" t="s">
        <v>593</v>
      </c>
      <c r="G1077" s="865" t="s">
        <v>70</v>
      </c>
      <c r="H1077" s="867">
        <v>3037.275381</v>
      </c>
      <c r="I1077" s="867">
        <v>3388.76367</v>
      </c>
      <c r="J1077" s="868">
        <v>2643.272238</v>
      </c>
      <c r="K1077" s="50"/>
      <c r="L1077" s="869" t="s">
        <v>646</v>
      </c>
      <c r="M1077" s="865" t="s">
        <v>591</v>
      </c>
      <c r="N1077" s="865" t="s">
        <v>676</v>
      </c>
      <c r="O1077" s="866">
        <v>2004.0</v>
      </c>
      <c r="P1077" s="865" t="s">
        <v>593</v>
      </c>
      <c r="Q1077" s="865" t="s">
        <v>70</v>
      </c>
      <c r="R1077" s="867">
        <v>1453.750465</v>
      </c>
      <c r="S1077" s="867">
        <v>1598.482442</v>
      </c>
      <c r="T1077" s="868">
        <v>1318.17443</v>
      </c>
      <c r="AN1077" s="882"/>
      <c r="AO1077" s="882"/>
      <c r="AP1077" s="882"/>
      <c r="AY1077" s="882"/>
      <c r="AZ1077" s="882"/>
      <c r="BA1077" s="882"/>
      <c r="BJ1077" s="882"/>
      <c r="BK1077" s="882"/>
      <c r="BL1077" s="882"/>
      <c r="BU1077" s="882"/>
      <c r="BV1077" s="882"/>
      <c r="BW1077" s="882"/>
      <c r="CF1077" s="882"/>
      <c r="CG1077" s="882"/>
      <c r="CH1077" s="882"/>
      <c r="CI1077" s="530"/>
    </row>
    <row r="1078">
      <c r="A1078" s="857"/>
      <c r="B1078" s="865" t="s">
        <v>646</v>
      </c>
      <c r="C1078" s="865" t="s">
        <v>591</v>
      </c>
      <c r="D1078" s="865" t="s">
        <v>678</v>
      </c>
      <c r="E1078" s="866">
        <v>2019.0</v>
      </c>
      <c r="F1078" s="865" t="s">
        <v>593</v>
      </c>
      <c r="G1078" s="865" t="s">
        <v>70</v>
      </c>
      <c r="H1078" s="867">
        <v>3.153623195E7</v>
      </c>
      <c r="I1078" s="867">
        <v>3.518575819E7</v>
      </c>
      <c r="J1078" s="868">
        <v>2.744527115E7</v>
      </c>
      <c r="K1078" s="50"/>
      <c r="L1078" s="869" t="s">
        <v>646</v>
      </c>
      <c r="M1078" s="865" t="s">
        <v>591</v>
      </c>
      <c r="N1078" s="865" t="s">
        <v>678</v>
      </c>
      <c r="O1078" s="866">
        <v>2004.0</v>
      </c>
      <c r="P1078" s="865" t="s">
        <v>593</v>
      </c>
      <c r="Q1078" s="865" t="s">
        <v>70</v>
      </c>
      <c r="R1078" s="867">
        <v>2.140472972E7</v>
      </c>
      <c r="S1078" s="867">
        <v>2.353573427E7</v>
      </c>
      <c r="T1078" s="868">
        <v>1.940853543E7</v>
      </c>
      <c r="AN1078" s="882"/>
      <c r="AO1078" s="882"/>
      <c r="AP1078" s="882"/>
      <c r="AY1078" s="882"/>
      <c r="AZ1078" s="882"/>
      <c r="BA1078" s="882"/>
      <c r="BJ1078" s="882"/>
      <c r="BK1078" s="882"/>
      <c r="BL1078" s="882"/>
      <c r="BU1078" s="882"/>
      <c r="BV1078" s="882"/>
      <c r="BW1078" s="882"/>
      <c r="CF1078" s="882"/>
      <c r="CG1078" s="882"/>
      <c r="CH1078" s="882"/>
      <c r="CI1078" s="530"/>
    </row>
    <row r="1079">
      <c r="A1079" s="857"/>
      <c r="B1079" s="865" t="s">
        <v>646</v>
      </c>
      <c r="C1079" s="865" t="s">
        <v>591</v>
      </c>
      <c r="D1079" s="865" t="s">
        <v>680</v>
      </c>
      <c r="E1079" s="866">
        <v>2019.0</v>
      </c>
      <c r="F1079" s="865" t="s">
        <v>593</v>
      </c>
      <c r="G1079" s="865" t="s">
        <v>70</v>
      </c>
      <c r="H1079" s="867">
        <v>854891.6104</v>
      </c>
      <c r="I1079" s="867">
        <v>987679.0871</v>
      </c>
      <c r="J1079" s="868">
        <v>734882.7419</v>
      </c>
      <c r="K1079" s="50"/>
      <c r="L1079" s="869" t="s">
        <v>646</v>
      </c>
      <c r="M1079" s="865" t="s">
        <v>591</v>
      </c>
      <c r="N1079" s="865" t="s">
        <v>680</v>
      </c>
      <c r="O1079" s="866">
        <v>2004.0</v>
      </c>
      <c r="P1079" s="865" t="s">
        <v>593</v>
      </c>
      <c r="Q1079" s="865" t="s">
        <v>70</v>
      </c>
      <c r="R1079" s="867">
        <v>747629.3202</v>
      </c>
      <c r="S1079" s="867">
        <v>799457.6067</v>
      </c>
      <c r="T1079" s="868">
        <v>695130.2105</v>
      </c>
      <c r="AN1079" s="882"/>
      <c r="AO1079" s="882"/>
      <c r="AP1079" s="882"/>
      <c r="AY1079" s="882"/>
      <c r="AZ1079" s="882"/>
      <c r="BA1079" s="882"/>
      <c r="BJ1079" s="882"/>
      <c r="BK1079" s="882"/>
      <c r="BL1079" s="882"/>
      <c r="BU1079" s="882"/>
      <c r="BV1079" s="882"/>
      <c r="BW1079" s="882"/>
      <c r="CF1079" s="882"/>
      <c r="CG1079" s="882"/>
      <c r="CH1079" s="882"/>
      <c r="CI1079" s="530"/>
    </row>
    <row r="1080">
      <c r="A1080" s="857"/>
      <c r="B1080" s="865" t="s">
        <v>646</v>
      </c>
      <c r="C1080" s="865" t="s">
        <v>591</v>
      </c>
      <c r="D1080" s="865" t="s">
        <v>682</v>
      </c>
      <c r="E1080" s="866">
        <v>2019.0</v>
      </c>
      <c r="F1080" s="865" t="s">
        <v>593</v>
      </c>
      <c r="G1080" s="865" t="s">
        <v>70</v>
      </c>
      <c r="H1080" s="867">
        <v>16210.80778</v>
      </c>
      <c r="I1080" s="867">
        <v>18086.80135</v>
      </c>
      <c r="J1080" s="868">
        <v>14107.90026</v>
      </c>
      <c r="K1080" s="50"/>
      <c r="L1080" s="869" t="s">
        <v>646</v>
      </c>
      <c r="M1080" s="865" t="s">
        <v>591</v>
      </c>
      <c r="N1080" s="865" t="s">
        <v>682</v>
      </c>
      <c r="O1080" s="866">
        <v>2004.0</v>
      </c>
      <c r="P1080" s="865" t="s">
        <v>593</v>
      </c>
      <c r="Q1080" s="865" t="s">
        <v>70</v>
      </c>
      <c r="R1080" s="867">
        <v>14167.87711</v>
      </c>
      <c r="S1080" s="867">
        <v>15578.39763</v>
      </c>
      <c r="T1080" s="868">
        <v>12846.58804</v>
      </c>
      <c r="AN1080" s="882"/>
      <c r="AO1080" s="882"/>
      <c r="AP1080" s="882"/>
      <c r="AY1080" s="882"/>
      <c r="AZ1080" s="882"/>
      <c r="BA1080" s="882"/>
      <c r="BJ1080" s="882"/>
      <c r="BK1080" s="882"/>
      <c r="BL1080" s="882"/>
      <c r="BU1080" s="882"/>
      <c r="BV1080" s="882"/>
      <c r="BW1080" s="882"/>
      <c r="CF1080" s="882"/>
      <c r="CG1080" s="882"/>
      <c r="CH1080" s="882"/>
      <c r="CI1080" s="530"/>
    </row>
    <row r="1081">
      <c r="A1081" s="857"/>
      <c r="B1081" s="865" t="s">
        <v>646</v>
      </c>
      <c r="C1081" s="865" t="s">
        <v>591</v>
      </c>
      <c r="D1081" s="865" t="s">
        <v>684</v>
      </c>
      <c r="E1081" s="866">
        <v>2019.0</v>
      </c>
      <c r="F1081" s="865" t="s">
        <v>593</v>
      </c>
      <c r="G1081" s="865" t="s">
        <v>70</v>
      </c>
      <c r="H1081" s="867">
        <v>48026.47384</v>
      </c>
      <c r="I1081" s="867">
        <v>53584.33112</v>
      </c>
      <c r="J1081" s="868">
        <v>41796.35662</v>
      </c>
      <c r="K1081" s="50"/>
      <c r="L1081" s="869" t="s">
        <v>646</v>
      </c>
      <c r="M1081" s="865" t="s">
        <v>591</v>
      </c>
      <c r="N1081" s="865" t="s">
        <v>684</v>
      </c>
      <c r="O1081" s="866">
        <v>2004.0</v>
      </c>
      <c r="P1081" s="865" t="s">
        <v>593</v>
      </c>
      <c r="Q1081" s="865" t="s">
        <v>70</v>
      </c>
      <c r="R1081" s="867">
        <v>41756.90162</v>
      </c>
      <c r="S1081" s="867">
        <v>45914.12054</v>
      </c>
      <c r="T1081" s="868">
        <v>37862.67406</v>
      </c>
      <c r="AN1081" s="882"/>
      <c r="AO1081" s="882"/>
      <c r="AP1081" s="882"/>
      <c r="AY1081" s="882"/>
      <c r="AZ1081" s="882"/>
      <c r="BA1081" s="882"/>
      <c r="BJ1081" s="882"/>
      <c r="BK1081" s="882"/>
      <c r="BL1081" s="882"/>
      <c r="BU1081" s="882"/>
      <c r="BV1081" s="882"/>
      <c r="BW1081" s="882"/>
      <c r="CF1081" s="882"/>
      <c r="CG1081" s="882"/>
      <c r="CH1081" s="882"/>
      <c r="CI1081" s="530"/>
    </row>
    <row r="1082">
      <c r="A1082" s="857"/>
      <c r="B1082" s="865" t="s">
        <v>646</v>
      </c>
      <c r="C1082" s="865" t="s">
        <v>591</v>
      </c>
      <c r="D1082" s="865" t="s">
        <v>686</v>
      </c>
      <c r="E1082" s="866">
        <v>2019.0</v>
      </c>
      <c r="F1082" s="865" t="s">
        <v>593</v>
      </c>
      <c r="G1082" s="865" t="s">
        <v>70</v>
      </c>
      <c r="H1082" s="867">
        <v>64237.28161</v>
      </c>
      <c r="I1082" s="867">
        <v>71671.13247</v>
      </c>
      <c r="J1082" s="868">
        <v>55904.25688</v>
      </c>
      <c r="K1082" s="50"/>
      <c r="L1082" s="869" t="s">
        <v>646</v>
      </c>
      <c r="M1082" s="865" t="s">
        <v>591</v>
      </c>
      <c r="N1082" s="865" t="s">
        <v>686</v>
      </c>
      <c r="O1082" s="866">
        <v>2004.0</v>
      </c>
      <c r="P1082" s="865" t="s">
        <v>593</v>
      </c>
      <c r="Q1082" s="865" t="s">
        <v>70</v>
      </c>
      <c r="R1082" s="867">
        <v>55924.77873</v>
      </c>
      <c r="S1082" s="867">
        <v>61492.51818</v>
      </c>
      <c r="T1082" s="868">
        <v>50709.2621</v>
      </c>
      <c r="AN1082" s="882"/>
      <c r="AO1082" s="882"/>
      <c r="AP1082" s="882"/>
      <c r="AY1082" s="882"/>
      <c r="AZ1082" s="882"/>
      <c r="BA1082" s="882"/>
      <c r="BJ1082" s="882"/>
      <c r="BK1082" s="882"/>
      <c r="BL1082" s="882"/>
      <c r="BU1082" s="882"/>
      <c r="BV1082" s="882"/>
      <c r="BW1082" s="882"/>
      <c r="CF1082" s="882"/>
      <c r="CG1082" s="882"/>
      <c r="CH1082" s="882"/>
      <c r="CI1082" s="530"/>
    </row>
    <row r="1083">
      <c r="A1083" s="857"/>
      <c r="B1083" s="865" t="s">
        <v>646</v>
      </c>
      <c r="C1083" s="865" t="s">
        <v>591</v>
      </c>
      <c r="D1083" s="865" t="s">
        <v>688</v>
      </c>
      <c r="E1083" s="866">
        <v>2019.0</v>
      </c>
      <c r="F1083" s="865" t="s">
        <v>593</v>
      </c>
      <c r="G1083" s="865" t="s">
        <v>70</v>
      </c>
      <c r="H1083" s="867">
        <v>756937.8001</v>
      </c>
      <c r="I1083" s="867">
        <v>844534.3262</v>
      </c>
      <c r="J1083" s="868">
        <v>658745.8896</v>
      </c>
      <c r="K1083" s="50"/>
      <c r="L1083" s="869" t="s">
        <v>646</v>
      </c>
      <c r="M1083" s="865" t="s">
        <v>591</v>
      </c>
      <c r="N1083" s="865" t="s">
        <v>688</v>
      </c>
      <c r="O1083" s="866">
        <v>2004.0</v>
      </c>
      <c r="P1083" s="865" t="s">
        <v>593</v>
      </c>
      <c r="Q1083" s="865" t="s">
        <v>70</v>
      </c>
      <c r="R1083" s="867">
        <v>651988.3055</v>
      </c>
      <c r="S1083" s="867">
        <v>716898.7278</v>
      </c>
      <c r="T1083" s="868">
        <v>591184.2053</v>
      </c>
      <c r="AN1083" s="882"/>
      <c r="AO1083" s="882"/>
      <c r="AP1083" s="882"/>
      <c r="AY1083" s="882"/>
      <c r="AZ1083" s="882"/>
      <c r="BA1083" s="882"/>
      <c r="BJ1083" s="882"/>
      <c r="BK1083" s="882"/>
      <c r="BL1083" s="882"/>
      <c r="BU1083" s="882"/>
      <c r="BV1083" s="882"/>
      <c r="BW1083" s="882"/>
      <c r="CF1083" s="882"/>
      <c r="CG1083" s="882"/>
      <c r="CH1083" s="882"/>
      <c r="CI1083" s="530"/>
    </row>
    <row r="1084">
      <c r="A1084" s="857"/>
      <c r="B1084" s="865" t="s">
        <v>646</v>
      </c>
      <c r="C1084" s="865" t="s">
        <v>591</v>
      </c>
      <c r="D1084" s="865" t="s">
        <v>689</v>
      </c>
      <c r="E1084" s="866">
        <v>2019.0</v>
      </c>
      <c r="F1084" s="865" t="s">
        <v>593</v>
      </c>
      <c r="G1084" s="865" t="s">
        <v>70</v>
      </c>
      <c r="H1084" s="867">
        <v>3970634.82</v>
      </c>
      <c r="I1084" s="867">
        <v>4430136.005</v>
      </c>
      <c r="J1084" s="868">
        <v>3455553.899</v>
      </c>
      <c r="K1084" s="50"/>
      <c r="L1084" s="869" t="s">
        <v>646</v>
      </c>
      <c r="M1084" s="865" t="s">
        <v>591</v>
      </c>
      <c r="N1084" s="865" t="s">
        <v>689</v>
      </c>
      <c r="O1084" s="866">
        <v>2004.0</v>
      </c>
      <c r="P1084" s="865" t="s">
        <v>593</v>
      </c>
      <c r="Q1084" s="865" t="s">
        <v>70</v>
      </c>
      <c r="R1084" s="867">
        <v>3291507.05</v>
      </c>
      <c r="S1084" s="867">
        <v>3619201.751</v>
      </c>
      <c r="T1084" s="868">
        <v>2984542.764</v>
      </c>
      <c r="AN1084" s="882"/>
      <c r="AO1084" s="882"/>
      <c r="AP1084" s="882"/>
      <c r="AY1084" s="882"/>
      <c r="AZ1084" s="882"/>
      <c r="BA1084" s="882"/>
      <c r="BJ1084" s="882"/>
      <c r="BK1084" s="882"/>
      <c r="BL1084" s="882"/>
      <c r="BU1084" s="882"/>
      <c r="BV1084" s="882"/>
      <c r="BW1084" s="882"/>
      <c r="CF1084" s="882"/>
      <c r="CG1084" s="882"/>
      <c r="CH1084" s="882"/>
      <c r="CI1084" s="530"/>
    </row>
    <row r="1085">
      <c r="A1085" s="857"/>
      <c r="B1085" s="865" t="s">
        <v>120</v>
      </c>
      <c r="C1085" s="865" t="s">
        <v>591</v>
      </c>
      <c r="D1085" s="865" t="s">
        <v>592</v>
      </c>
      <c r="E1085" s="866">
        <v>2019.0</v>
      </c>
      <c r="F1085" s="865" t="s">
        <v>593</v>
      </c>
      <c r="G1085" s="865" t="s">
        <v>70</v>
      </c>
      <c r="H1085" s="867">
        <v>454343.5847</v>
      </c>
      <c r="I1085" s="867">
        <v>501374.4215</v>
      </c>
      <c r="J1085" s="868">
        <v>408445.723</v>
      </c>
      <c r="K1085" s="50"/>
      <c r="L1085" s="869" t="s">
        <v>120</v>
      </c>
      <c r="M1085" s="865" t="s">
        <v>591</v>
      </c>
      <c r="N1085" s="865" t="s">
        <v>592</v>
      </c>
      <c r="O1085" s="866">
        <v>2004.0</v>
      </c>
      <c r="P1085" s="865" t="s">
        <v>593</v>
      </c>
      <c r="Q1085" s="865" t="s">
        <v>70</v>
      </c>
      <c r="R1085" s="867">
        <v>343358.7764</v>
      </c>
      <c r="S1085" s="867">
        <v>384108.0178</v>
      </c>
      <c r="T1085" s="868">
        <v>302903.3902</v>
      </c>
      <c r="AN1085" s="882"/>
      <c r="AO1085" s="882"/>
      <c r="AP1085" s="882"/>
      <c r="AY1085" s="882"/>
      <c r="AZ1085" s="882"/>
      <c r="BA1085" s="882"/>
      <c r="BJ1085" s="882"/>
      <c r="BK1085" s="882"/>
      <c r="BL1085" s="882"/>
      <c r="BU1085" s="882"/>
      <c r="BV1085" s="882"/>
      <c r="BW1085" s="882"/>
      <c r="CF1085" s="882"/>
      <c r="CG1085" s="882"/>
      <c r="CH1085" s="882"/>
      <c r="CI1085" s="530"/>
    </row>
    <row r="1086">
      <c r="A1086" s="857"/>
      <c r="B1086" s="865" t="s">
        <v>120</v>
      </c>
      <c r="C1086" s="865" t="s">
        <v>591</v>
      </c>
      <c r="D1086" s="865" t="s">
        <v>601</v>
      </c>
      <c r="E1086" s="866">
        <v>2019.0</v>
      </c>
      <c r="F1086" s="865" t="s">
        <v>593</v>
      </c>
      <c r="G1086" s="865" t="s">
        <v>70</v>
      </c>
      <c r="H1086" s="867">
        <v>7038856.577</v>
      </c>
      <c r="I1086" s="867">
        <v>7767475.46</v>
      </c>
      <c r="J1086" s="868">
        <v>6327790.158</v>
      </c>
      <c r="K1086" s="50"/>
      <c r="L1086" s="869" t="s">
        <v>120</v>
      </c>
      <c r="M1086" s="865" t="s">
        <v>591</v>
      </c>
      <c r="N1086" s="865" t="s">
        <v>601</v>
      </c>
      <c r="O1086" s="866">
        <v>2004.0</v>
      </c>
      <c r="P1086" s="865" t="s">
        <v>593</v>
      </c>
      <c r="Q1086" s="865" t="s">
        <v>70</v>
      </c>
      <c r="R1086" s="867">
        <v>4866471.581</v>
      </c>
      <c r="S1086" s="867">
        <v>5444016.234</v>
      </c>
      <c r="T1086" s="868">
        <v>4293091.779</v>
      </c>
      <c r="AN1086" s="882"/>
      <c r="AO1086" s="882"/>
      <c r="AP1086" s="882"/>
      <c r="AY1086" s="882"/>
      <c r="AZ1086" s="882"/>
      <c r="BA1086" s="882"/>
      <c r="BJ1086" s="882"/>
      <c r="BK1086" s="882"/>
      <c r="BL1086" s="882"/>
      <c r="BU1086" s="882"/>
      <c r="BV1086" s="882"/>
      <c r="BW1086" s="882"/>
      <c r="CF1086" s="882"/>
      <c r="CG1086" s="882"/>
      <c r="CH1086" s="882"/>
      <c r="CI1086" s="530"/>
    </row>
    <row r="1087">
      <c r="A1087" s="857"/>
      <c r="B1087" s="865" t="s">
        <v>120</v>
      </c>
      <c r="C1087" s="865" t="s">
        <v>591</v>
      </c>
      <c r="D1087" s="865" t="s">
        <v>606</v>
      </c>
      <c r="E1087" s="866">
        <v>2019.0</v>
      </c>
      <c r="F1087" s="865" t="s">
        <v>593</v>
      </c>
      <c r="G1087" s="865" t="s">
        <v>70</v>
      </c>
      <c r="H1087" s="867">
        <v>5713189.377</v>
      </c>
      <c r="I1087" s="867">
        <v>6304583.393</v>
      </c>
      <c r="J1087" s="868">
        <v>5136042.071</v>
      </c>
      <c r="K1087" s="50"/>
      <c r="L1087" s="869" t="s">
        <v>120</v>
      </c>
      <c r="M1087" s="865" t="s">
        <v>591</v>
      </c>
      <c r="N1087" s="865" t="s">
        <v>606</v>
      </c>
      <c r="O1087" s="866">
        <v>2004.0</v>
      </c>
      <c r="P1087" s="865" t="s">
        <v>593</v>
      </c>
      <c r="Q1087" s="865" t="s">
        <v>70</v>
      </c>
      <c r="R1087" s="867">
        <v>3960694.804</v>
      </c>
      <c r="S1087" s="867">
        <v>4430743.394</v>
      </c>
      <c r="T1087" s="868">
        <v>3494035.878</v>
      </c>
      <c r="AN1087" s="882"/>
      <c r="AO1087" s="882"/>
      <c r="AP1087" s="882"/>
      <c r="AY1087" s="882"/>
      <c r="AZ1087" s="882"/>
      <c r="BA1087" s="882"/>
      <c r="BJ1087" s="882"/>
      <c r="BK1087" s="882"/>
      <c r="BL1087" s="882"/>
      <c r="BU1087" s="882"/>
      <c r="BV1087" s="882"/>
      <c r="BW1087" s="882"/>
      <c r="CF1087" s="882"/>
      <c r="CG1087" s="882"/>
      <c r="CH1087" s="882"/>
      <c r="CI1087" s="530"/>
    </row>
    <row r="1088">
      <c r="A1088" s="857"/>
      <c r="B1088" s="865" t="s">
        <v>120</v>
      </c>
      <c r="C1088" s="865" t="s">
        <v>591</v>
      </c>
      <c r="D1088" s="865" t="s">
        <v>608</v>
      </c>
      <c r="E1088" s="866">
        <v>2019.0</v>
      </c>
      <c r="F1088" s="865" t="s">
        <v>593</v>
      </c>
      <c r="G1088" s="865" t="s">
        <v>70</v>
      </c>
      <c r="H1088" s="867">
        <v>1689051.292</v>
      </c>
      <c r="I1088" s="867">
        <v>1863891.432</v>
      </c>
      <c r="J1088" s="868">
        <v>1518423.06</v>
      </c>
      <c r="K1088" s="50"/>
      <c r="L1088" s="869" t="s">
        <v>120</v>
      </c>
      <c r="M1088" s="865" t="s">
        <v>591</v>
      </c>
      <c r="N1088" s="865" t="s">
        <v>608</v>
      </c>
      <c r="O1088" s="866">
        <v>2004.0</v>
      </c>
      <c r="P1088" s="865" t="s">
        <v>593</v>
      </c>
      <c r="Q1088" s="865" t="s">
        <v>70</v>
      </c>
      <c r="R1088" s="867">
        <v>1199497.938</v>
      </c>
      <c r="S1088" s="867">
        <v>1341852.334</v>
      </c>
      <c r="T1088" s="868">
        <v>1058170.104</v>
      </c>
      <c r="AN1088" s="882"/>
      <c r="AO1088" s="882"/>
      <c r="AP1088" s="882"/>
      <c r="AY1088" s="882"/>
      <c r="AZ1088" s="882"/>
      <c r="BA1088" s="882"/>
      <c r="BJ1088" s="882"/>
      <c r="BK1088" s="882"/>
      <c r="BL1088" s="882"/>
      <c r="BU1088" s="882"/>
      <c r="BV1088" s="882"/>
      <c r="BW1088" s="882"/>
      <c r="CF1088" s="882"/>
      <c r="CG1088" s="882"/>
      <c r="CH1088" s="882"/>
      <c r="CI1088" s="530"/>
    </row>
    <row r="1089">
      <c r="A1089" s="857"/>
      <c r="B1089" s="865" t="s">
        <v>120</v>
      </c>
      <c r="C1089" s="865" t="s">
        <v>591</v>
      </c>
      <c r="D1089" s="865" t="s">
        <v>610</v>
      </c>
      <c r="E1089" s="866">
        <v>2019.0</v>
      </c>
      <c r="F1089" s="865" t="s">
        <v>593</v>
      </c>
      <c r="G1089" s="865" t="s">
        <v>70</v>
      </c>
      <c r="H1089" s="867">
        <v>1636389.589</v>
      </c>
      <c r="I1089" s="867">
        <v>1805778.515</v>
      </c>
      <c r="J1089" s="868">
        <v>1471081.251</v>
      </c>
      <c r="K1089" s="50"/>
      <c r="L1089" s="869" t="s">
        <v>120</v>
      </c>
      <c r="M1089" s="865" t="s">
        <v>591</v>
      </c>
      <c r="N1089" s="865" t="s">
        <v>610</v>
      </c>
      <c r="O1089" s="866">
        <v>2004.0</v>
      </c>
      <c r="P1089" s="865" t="s">
        <v>593</v>
      </c>
      <c r="Q1089" s="865" t="s">
        <v>70</v>
      </c>
      <c r="R1089" s="867">
        <v>1111601.384</v>
      </c>
      <c r="S1089" s="867">
        <v>1243524.364</v>
      </c>
      <c r="T1089" s="868">
        <v>980629.7404</v>
      </c>
      <c r="AN1089" s="882"/>
      <c r="AO1089" s="882"/>
      <c r="AP1089" s="882"/>
      <c r="AY1089" s="882"/>
      <c r="AZ1089" s="882"/>
      <c r="BA1089" s="882"/>
      <c r="BJ1089" s="882"/>
      <c r="BK1089" s="882"/>
      <c r="BL1089" s="882"/>
      <c r="BU1089" s="882"/>
      <c r="BV1089" s="882"/>
      <c r="BW1089" s="882"/>
      <c r="CF1089" s="882"/>
      <c r="CG1089" s="882"/>
      <c r="CH1089" s="882"/>
      <c r="CI1089" s="530"/>
    </row>
    <row r="1090">
      <c r="A1090" s="857"/>
      <c r="B1090" s="865" t="s">
        <v>120</v>
      </c>
      <c r="C1090" s="865" t="s">
        <v>591</v>
      </c>
      <c r="D1090" s="865" t="s">
        <v>612</v>
      </c>
      <c r="E1090" s="866">
        <v>2019.0</v>
      </c>
      <c r="F1090" s="865" t="s">
        <v>593</v>
      </c>
      <c r="G1090" s="865" t="s">
        <v>70</v>
      </c>
      <c r="H1090" s="867">
        <v>2962056.789</v>
      </c>
      <c r="I1090" s="867">
        <v>3268670.581</v>
      </c>
      <c r="J1090" s="868">
        <v>2662829.338</v>
      </c>
      <c r="K1090" s="50"/>
      <c r="L1090" s="869" t="s">
        <v>120</v>
      </c>
      <c r="M1090" s="865" t="s">
        <v>591</v>
      </c>
      <c r="N1090" s="865" t="s">
        <v>612</v>
      </c>
      <c r="O1090" s="866">
        <v>2004.0</v>
      </c>
      <c r="P1090" s="865" t="s">
        <v>593</v>
      </c>
      <c r="Q1090" s="865" t="s">
        <v>70</v>
      </c>
      <c r="R1090" s="867">
        <v>2017378.161</v>
      </c>
      <c r="S1090" s="867">
        <v>2256797.204</v>
      </c>
      <c r="T1090" s="868">
        <v>1779685.641</v>
      </c>
      <c r="AN1090" s="882"/>
      <c r="AO1090" s="882"/>
      <c r="AP1090" s="882"/>
      <c r="AY1090" s="882"/>
      <c r="AZ1090" s="882"/>
      <c r="BA1090" s="882"/>
      <c r="BJ1090" s="882"/>
      <c r="BK1090" s="882"/>
      <c r="BL1090" s="882"/>
      <c r="BU1090" s="882"/>
      <c r="BV1090" s="882"/>
      <c r="BW1090" s="882"/>
      <c r="CF1090" s="882"/>
      <c r="CG1090" s="882"/>
      <c r="CH1090" s="882"/>
      <c r="CI1090" s="530"/>
    </row>
    <row r="1091">
      <c r="A1091" s="857"/>
      <c r="B1091" s="865" t="s">
        <v>120</v>
      </c>
      <c r="C1091" s="865" t="s">
        <v>591</v>
      </c>
      <c r="D1091" s="865" t="s">
        <v>614</v>
      </c>
      <c r="E1091" s="866">
        <v>2019.0</v>
      </c>
      <c r="F1091" s="865" t="s">
        <v>593</v>
      </c>
      <c r="G1091" s="865" t="s">
        <v>70</v>
      </c>
      <c r="H1091" s="867">
        <v>4060545.387</v>
      </c>
      <c r="I1091" s="867">
        <v>4480867.922</v>
      </c>
      <c r="J1091" s="868">
        <v>3650348.441</v>
      </c>
      <c r="K1091" s="50"/>
      <c r="L1091" s="869" t="s">
        <v>120</v>
      </c>
      <c r="M1091" s="865" t="s">
        <v>591</v>
      </c>
      <c r="N1091" s="865" t="s">
        <v>614</v>
      </c>
      <c r="O1091" s="866">
        <v>2004.0</v>
      </c>
      <c r="P1091" s="865" t="s">
        <v>593</v>
      </c>
      <c r="Q1091" s="865" t="s">
        <v>70</v>
      </c>
      <c r="R1091" s="867">
        <v>2716710.625</v>
      </c>
      <c r="S1091" s="867">
        <v>3039125.267</v>
      </c>
      <c r="T1091" s="868">
        <v>2396621.013</v>
      </c>
      <c r="AN1091" s="882"/>
      <c r="AO1091" s="882"/>
      <c r="AP1091" s="882"/>
      <c r="AY1091" s="882"/>
      <c r="AZ1091" s="882"/>
      <c r="BA1091" s="882"/>
      <c r="BJ1091" s="882"/>
      <c r="BK1091" s="882"/>
      <c r="BL1091" s="882"/>
      <c r="BU1091" s="882"/>
      <c r="BV1091" s="882"/>
      <c r="BW1091" s="882"/>
      <c r="CF1091" s="882"/>
      <c r="CG1091" s="882"/>
      <c r="CH1091" s="882"/>
      <c r="CI1091" s="530"/>
    </row>
    <row r="1092">
      <c r="A1092" s="857"/>
      <c r="B1092" s="865" t="s">
        <v>120</v>
      </c>
      <c r="C1092" s="865" t="s">
        <v>591</v>
      </c>
      <c r="D1092" s="865" t="s">
        <v>616</v>
      </c>
      <c r="E1092" s="866">
        <v>2019.0</v>
      </c>
      <c r="F1092" s="865" t="s">
        <v>593</v>
      </c>
      <c r="G1092" s="865" t="s">
        <v>70</v>
      </c>
      <c r="H1092" s="867">
        <v>1325667.2</v>
      </c>
      <c r="I1092" s="867">
        <v>1462892.067</v>
      </c>
      <c r="J1092" s="868">
        <v>1191748.087</v>
      </c>
      <c r="K1092" s="50"/>
      <c r="L1092" s="869" t="s">
        <v>120</v>
      </c>
      <c r="M1092" s="865" t="s">
        <v>591</v>
      </c>
      <c r="N1092" s="865" t="s">
        <v>616</v>
      </c>
      <c r="O1092" s="866">
        <v>2004.0</v>
      </c>
      <c r="P1092" s="865" t="s">
        <v>593</v>
      </c>
      <c r="Q1092" s="865" t="s">
        <v>70</v>
      </c>
      <c r="R1092" s="867">
        <v>905776.7768</v>
      </c>
      <c r="S1092" s="867">
        <v>1013272.84</v>
      </c>
      <c r="T1092" s="868">
        <v>799055.9011</v>
      </c>
      <c r="AN1092" s="882"/>
      <c r="AO1092" s="882"/>
      <c r="AP1092" s="882"/>
      <c r="AY1092" s="882"/>
      <c r="AZ1092" s="882"/>
      <c r="BA1092" s="882"/>
      <c r="BJ1092" s="882"/>
      <c r="BK1092" s="882"/>
      <c r="BL1092" s="882"/>
      <c r="BU1092" s="882"/>
      <c r="BV1092" s="882"/>
      <c r="BW1092" s="882"/>
      <c r="CF1092" s="882"/>
      <c r="CG1092" s="882"/>
      <c r="CH1092" s="882"/>
      <c r="CI1092" s="530"/>
    </row>
    <row r="1093">
      <c r="A1093" s="857"/>
      <c r="B1093" s="865" t="s">
        <v>120</v>
      </c>
      <c r="C1093" s="865" t="s">
        <v>591</v>
      </c>
      <c r="D1093" s="865" t="s">
        <v>618</v>
      </c>
      <c r="E1093" s="866">
        <v>2019.0</v>
      </c>
      <c r="F1093" s="865" t="s">
        <v>593</v>
      </c>
      <c r="G1093" s="865" t="s">
        <v>70</v>
      </c>
      <c r="H1093" s="867">
        <v>4823431.092</v>
      </c>
      <c r="I1093" s="867">
        <v>5322474.996</v>
      </c>
      <c r="J1093" s="868">
        <v>4335915.675</v>
      </c>
      <c r="K1093" s="50"/>
      <c r="L1093" s="869" t="s">
        <v>120</v>
      </c>
      <c r="M1093" s="865" t="s">
        <v>591</v>
      </c>
      <c r="N1093" s="865" t="s">
        <v>618</v>
      </c>
      <c r="O1093" s="866">
        <v>2004.0</v>
      </c>
      <c r="P1093" s="865" t="s">
        <v>593</v>
      </c>
      <c r="Q1093" s="865" t="s">
        <v>70</v>
      </c>
      <c r="R1093" s="867">
        <v>3064459.871</v>
      </c>
      <c r="S1093" s="867">
        <v>3427929.049</v>
      </c>
      <c r="T1093" s="868">
        <v>2703209.428</v>
      </c>
      <c r="AN1093" s="882"/>
      <c r="AO1093" s="882"/>
      <c r="AP1093" s="882"/>
      <c r="AY1093" s="882"/>
      <c r="AZ1093" s="882"/>
      <c r="BA1093" s="882"/>
      <c r="BJ1093" s="882"/>
      <c r="BK1093" s="882"/>
      <c r="BL1093" s="882"/>
      <c r="BU1093" s="882"/>
      <c r="BV1093" s="882"/>
      <c r="BW1093" s="882"/>
      <c r="CF1093" s="882"/>
      <c r="CG1093" s="882"/>
      <c r="CH1093" s="882"/>
      <c r="CI1093" s="530"/>
    </row>
    <row r="1094">
      <c r="A1094" s="857"/>
      <c r="B1094" s="865" t="s">
        <v>120</v>
      </c>
      <c r="C1094" s="865" t="s">
        <v>591</v>
      </c>
      <c r="D1094" s="865" t="s">
        <v>620</v>
      </c>
      <c r="E1094" s="866">
        <v>2019.0</v>
      </c>
      <c r="F1094" s="865" t="s">
        <v>593</v>
      </c>
      <c r="G1094" s="865" t="s">
        <v>70</v>
      </c>
      <c r="H1094" s="867">
        <v>5721977.427</v>
      </c>
      <c r="I1094" s="867">
        <v>6314281.128</v>
      </c>
      <c r="J1094" s="868">
        <v>5143942.351</v>
      </c>
      <c r="K1094" s="50"/>
      <c r="L1094" s="869" t="s">
        <v>120</v>
      </c>
      <c r="M1094" s="865" t="s">
        <v>591</v>
      </c>
      <c r="N1094" s="865" t="s">
        <v>620</v>
      </c>
      <c r="O1094" s="866">
        <v>2004.0</v>
      </c>
      <c r="P1094" s="865" t="s">
        <v>593</v>
      </c>
      <c r="Q1094" s="865" t="s">
        <v>70</v>
      </c>
      <c r="R1094" s="867">
        <v>3693178.831</v>
      </c>
      <c r="S1094" s="867">
        <v>4131479.076</v>
      </c>
      <c r="T1094" s="868">
        <v>3258039.304</v>
      </c>
      <c r="AN1094" s="882"/>
      <c r="AO1094" s="882"/>
      <c r="AP1094" s="882"/>
      <c r="AY1094" s="882"/>
      <c r="AZ1094" s="882"/>
      <c r="BA1094" s="882"/>
      <c r="BJ1094" s="882"/>
      <c r="BK1094" s="882"/>
      <c r="BL1094" s="882"/>
      <c r="BU1094" s="882"/>
      <c r="BV1094" s="882"/>
      <c r="BW1094" s="882"/>
      <c r="CF1094" s="882"/>
      <c r="CG1094" s="882"/>
      <c r="CH1094" s="882"/>
      <c r="CI1094" s="530"/>
    </row>
    <row r="1095">
      <c r="A1095" s="857"/>
      <c r="B1095" s="865" t="s">
        <v>120</v>
      </c>
      <c r="C1095" s="865" t="s">
        <v>591</v>
      </c>
      <c r="D1095" s="865" t="s">
        <v>622</v>
      </c>
      <c r="E1095" s="866">
        <v>2019.0</v>
      </c>
      <c r="F1095" s="865" t="s">
        <v>593</v>
      </c>
      <c r="G1095" s="865" t="s">
        <v>70</v>
      </c>
      <c r="H1095" s="867">
        <v>5604602.618</v>
      </c>
      <c r="I1095" s="867">
        <v>6184468.427</v>
      </c>
      <c r="J1095" s="868">
        <v>5038132.376</v>
      </c>
      <c r="K1095" s="50"/>
      <c r="L1095" s="869" t="s">
        <v>120</v>
      </c>
      <c r="M1095" s="865" t="s">
        <v>591</v>
      </c>
      <c r="N1095" s="865" t="s">
        <v>622</v>
      </c>
      <c r="O1095" s="866">
        <v>2004.0</v>
      </c>
      <c r="P1095" s="865" t="s">
        <v>593</v>
      </c>
      <c r="Q1095" s="865" t="s">
        <v>70</v>
      </c>
      <c r="R1095" s="867">
        <v>3765687.044</v>
      </c>
      <c r="S1095" s="867">
        <v>4212327.312</v>
      </c>
      <c r="T1095" s="868">
        <v>3321773.216</v>
      </c>
      <c r="AN1095" s="882"/>
      <c r="AO1095" s="882"/>
      <c r="AP1095" s="882"/>
      <c r="AY1095" s="882"/>
      <c r="AZ1095" s="882"/>
      <c r="BA1095" s="882"/>
      <c r="BJ1095" s="882"/>
      <c r="BK1095" s="882"/>
      <c r="BL1095" s="882"/>
      <c r="BU1095" s="882"/>
      <c r="BV1095" s="882"/>
      <c r="BW1095" s="882"/>
      <c r="CF1095" s="882"/>
      <c r="CG1095" s="882"/>
      <c r="CH1095" s="882"/>
      <c r="CI1095" s="530"/>
    </row>
    <row r="1096">
      <c r="A1096" s="857"/>
      <c r="B1096" s="865" t="s">
        <v>120</v>
      </c>
      <c r="C1096" s="865" t="s">
        <v>591</v>
      </c>
      <c r="D1096" s="865" t="s">
        <v>624</v>
      </c>
      <c r="E1096" s="866">
        <v>2019.0</v>
      </c>
      <c r="F1096" s="865" t="s">
        <v>593</v>
      </c>
      <c r="G1096" s="865" t="s">
        <v>70</v>
      </c>
      <c r="H1096" s="867">
        <v>1098488.598</v>
      </c>
      <c r="I1096" s="867">
        <v>1212197.341</v>
      </c>
      <c r="J1096" s="868">
        <v>987519.1037</v>
      </c>
      <c r="K1096" s="50"/>
      <c r="L1096" s="869" t="s">
        <v>120</v>
      </c>
      <c r="M1096" s="865" t="s">
        <v>591</v>
      </c>
      <c r="N1096" s="865" t="s">
        <v>624</v>
      </c>
      <c r="O1096" s="866">
        <v>2004.0</v>
      </c>
      <c r="P1096" s="865" t="s">
        <v>593</v>
      </c>
      <c r="Q1096" s="865" t="s">
        <v>70</v>
      </c>
      <c r="R1096" s="867">
        <v>699332.4642</v>
      </c>
      <c r="S1096" s="867">
        <v>782328.0634</v>
      </c>
      <c r="T1096" s="868">
        <v>616935.3715</v>
      </c>
      <c r="AN1096" s="882"/>
      <c r="AO1096" s="882"/>
      <c r="AP1096" s="882"/>
      <c r="AY1096" s="882"/>
      <c r="AZ1096" s="882"/>
      <c r="BA1096" s="882"/>
      <c r="BJ1096" s="882"/>
      <c r="BK1096" s="882"/>
      <c r="BL1096" s="882"/>
      <c r="BU1096" s="882"/>
      <c r="BV1096" s="882"/>
      <c r="BW1096" s="882"/>
      <c r="CF1096" s="882"/>
      <c r="CG1096" s="882"/>
      <c r="CH1096" s="882"/>
      <c r="CI1096" s="530"/>
    </row>
    <row r="1097">
      <c r="A1097" s="857"/>
      <c r="B1097" s="865" t="s">
        <v>120</v>
      </c>
      <c r="C1097" s="865" t="s">
        <v>591</v>
      </c>
      <c r="D1097" s="865" t="s">
        <v>625</v>
      </c>
      <c r="E1097" s="866">
        <v>2019.0</v>
      </c>
      <c r="F1097" s="865" t="s">
        <v>593</v>
      </c>
      <c r="G1097" s="865" t="s">
        <v>70</v>
      </c>
      <c r="H1097" s="867">
        <v>4505803.758</v>
      </c>
      <c r="I1097" s="867">
        <v>4972216.685</v>
      </c>
      <c r="J1097" s="868">
        <v>4050626.741</v>
      </c>
      <c r="K1097" s="50"/>
      <c r="L1097" s="869" t="s">
        <v>120</v>
      </c>
      <c r="M1097" s="865" t="s">
        <v>591</v>
      </c>
      <c r="N1097" s="865" t="s">
        <v>625</v>
      </c>
      <c r="O1097" s="866">
        <v>2004.0</v>
      </c>
      <c r="P1097" s="865" t="s">
        <v>593</v>
      </c>
      <c r="Q1097" s="865" t="s">
        <v>70</v>
      </c>
      <c r="R1097" s="867">
        <v>3066102.058</v>
      </c>
      <c r="S1097" s="867">
        <v>3429981.887</v>
      </c>
      <c r="T1097" s="868">
        <v>2704846.277</v>
      </c>
      <c r="AN1097" s="882"/>
      <c r="AO1097" s="882"/>
      <c r="AP1097" s="882"/>
      <c r="AY1097" s="882"/>
      <c r="AZ1097" s="882"/>
      <c r="BA1097" s="882"/>
      <c r="BJ1097" s="882"/>
      <c r="BK1097" s="882"/>
      <c r="BL1097" s="882"/>
      <c r="BU1097" s="882"/>
      <c r="BV1097" s="882"/>
      <c r="BW1097" s="882"/>
      <c r="CF1097" s="882"/>
      <c r="CG1097" s="882"/>
      <c r="CH1097" s="882"/>
      <c r="CI1097" s="530"/>
    </row>
    <row r="1098">
      <c r="A1098" s="857"/>
      <c r="B1098" s="865" t="s">
        <v>120</v>
      </c>
      <c r="C1098" s="865" t="s">
        <v>591</v>
      </c>
      <c r="D1098" s="865" t="s">
        <v>627</v>
      </c>
      <c r="E1098" s="866">
        <v>2019.0</v>
      </c>
      <c r="F1098" s="865" t="s">
        <v>593</v>
      </c>
      <c r="G1098" s="865" t="s">
        <v>70</v>
      </c>
      <c r="H1098" s="867">
        <v>950738.9684</v>
      </c>
      <c r="I1098" s="867">
        <v>1049153.584</v>
      </c>
      <c r="J1098" s="868">
        <v>854695.1655</v>
      </c>
      <c r="K1098" s="50"/>
      <c r="L1098" s="869" t="s">
        <v>120</v>
      </c>
      <c r="M1098" s="865" t="s">
        <v>591</v>
      </c>
      <c r="N1098" s="865" t="s">
        <v>627</v>
      </c>
      <c r="O1098" s="866">
        <v>2004.0</v>
      </c>
      <c r="P1098" s="865" t="s">
        <v>593</v>
      </c>
      <c r="Q1098" s="865" t="s">
        <v>70</v>
      </c>
      <c r="R1098" s="867">
        <v>554714.867</v>
      </c>
      <c r="S1098" s="867">
        <v>620547.4934</v>
      </c>
      <c r="T1098" s="868">
        <v>489356.9799</v>
      </c>
      <c r="AN1098" s="882"/>
      <c r="AO1098" s="882"/>
      <c r="AP1098" s="882"/>
      <c r="AY1098" s="882"/>
      <c r="AZ1098" s="882"/>
      <c r="BA1098" s="882"/>
      <c r="BJ1098" s="882"/>
      <c r="BK1098" s="882"/>
      <c r="BL1098" s="882"/>
      <c r="BU1098" s="882"/>
      <c r="BV1098" s="882"/>
      <c r="BW1098" s="882"/>
      <c r="CF1098" s="882"/>
      <c r="CG1098" s="882"/>
      <c r="CH1098" s="882"/>
      <c r="CI1098" s="530"/>
    </row>
    <row r="1099">
      <c r="A1099" s="857"/>
      <c r="B1099" s="865" t="s">
        <v>120</v>
      </c>
      <c r="C1099" s="865" t="s">
        <v>591</v>
      </c>
      <c r="D1099" s="865" t="s">
        <v>629</v>
      </c>
      <c r="E1099" s="866">
        <v>2019.0</v>
      </c>
      <c r="F1099" s="865" t="s">
        <v>593</v>
      </c>
      <c r="G1099" s="865" t="s">
        <v>70</v>
      </c>
      <c r="H1099" s="867">
        <v>3298004.201</v>
      </c>
      <c r="I1099" s="867">
        <v>3639223.732</v>
      </c>
      <c r="J1099" s="868">
        <v>2964667.234</v>
      </c>
      <c r="K1099" s="50"/>
      <c r="L1099" s="869" t="s">
        <v>120</v>
      </c>
      <c r="M1099" s="865" t="s">
        <v>591</v>
      </c>
      <c r="N1099" s="865" t="s">
        <v>629</v>
      </c>
      <c r="O1099" s="866">
        <v>2004.0</v>
      </c>
      <c r="P1099" s="865" t="s">
        <v>593</v>
      </c>
      <c r="Q1099" s="865" t="s">
        <v>70</v>
      </c>
      <c r="R1099" s="867">
        <v>2088209.623</v>
      </c>
      <c r="S1099" s="867">
        <v>2335887.801</v>
      </c>
      <c r="T1099" s="868">
        <v>1842043.355</v>
      </c>
      <c r="AN1099" s="882"/>
      <c r="AO1099" s="882"/>
      <c r="AP1099" s="882"/>
      <c r="AY1099" s="882"/>
      <c r="AZ1099" s="882"/>
      <c r="BA1099" s="882"/>
      <c r="BJ1099" s="882"/>
      <c r="BK1099" s="882"/>
      <c r="BL1099" s="882"/>
      <c r="BU1099" s="882"/>
      <c r="BV1099" s="882"/>
      <c r="BW1099" s="882"/>
      <c r="CF1099" s="882"/>
      <c r="CG1099" s="882"/>
      <c r="CH1099" s="882"/>
      <c r="CI1099" s="530"/>
    </row>
    <row r="1100">
      <c r="A1100" s="857"/>
      <c r="B1100" s="865" t="s">
        <v>120</v>
      </c>
      <c r="C1100" s="865" t="s">
        <v>591</v>
      </c>
      <c r="D1100" s="865" t="s">
        <v>631</v>
      </c>
      <c r="E1100" s="866">
        <v>2019.0</v>
      </c>
      <c r="F1100" s="865" t="s">
        <v>593</v>
      </c>
      <c r="G1100" s="865" t="s">
        <v>70</v>
      </c>
      <c r="H1100" s="867">
        <v>807730.4985</v>
      </c>
      <c r="I1100" s="867">
        <v>891341.7621</v>
      </c>
      <c r="J1100" s="868">
        <v>726133.4341</v>
      </c>
      <c r="K1100" s="50"/>
      <c r="L1100" s="869" t="s">
        <v>120</v>
      </c>
      <c r="M1100" s="865" t="s">
        <v>591</v>
      </c>
      <c r="N1100" s="865" t="s">
        <v>631</v>
      </c>
      <c r="O1100" s="866">
        <v>2004.0</v>
      </c>
      <c r="P1100" s="865" t="s">
        <v>593</v>
      </c>
      <c r="Q1100" s="865" t="s">
        <v>70</v>
      </c>
      <c r="R1100" s="867">
        <v>487725.8765</v>
      </c>
      <c r="S1100" s="867">
        <v>545608.3623</v>
      </c>
      <c r="T1100" s="868">
        <v>430260.7991</v>
      </c>
      <c r="AN1100" s="882"/>
      <c r="AO1100" s="882"/>
      <c r="AP1100" s="882"/>
      <c r="AY1100" s="882"/>
      <c r="AZ1100" s="882"/>
      <c r="BA1100" s="882"/>
      <c r="BJ1100" s="882"/>
      <c r="BK1100" s="882"/>
      <c r="BL1100" s="882"/>
      <c r="BU1100" s="882"/>
      <c r="BV1100" s="882"/>
      <c r="BW1100" s="882"/>
      <c r="CF1100" s="882"/>
      <c r="CG1100" s="882"/>
      <c r="CH1100" s="882"/>
      <c r="CI1100" s="530"/>
    </row>
    <row r="1101">
      <c r="A1101" s="857"/>
      <c r="B1101" s="865" t="s">
        <v>120</v>
      </c>
      <c r="C1101" s="865" t="s">
        <v>591</v>
      </c>
      <c r="D1101" s="865" t="s">
        <v>633</v>
      </c>
      <c r="E1101" s="866">
        <v>2019.0</v>
      </c>
      <c r="F1101" s="865" t="s">
        <v>593</v>
      </c>
      <c r="G1101" s="865" t="s">
        <v>70</v>
      </c>
      <c r="H1101" s="867">
        <v>640538.8096</v>
      </c>
      <c r="I1101" s="867">
        <v>706843.4241</v>
      </c>
      <c r="J1101" s="868">
        <v>575831.4764</v>
      </c>
      <c r="K1101" s="50"/>
      <c r="L1101" s="869" t="s">
        <v>120</v>
      </c>
      <c r="M1101" s="865" t="s">
        <v>591</v>
      </c>
      <c r="N1101" s="865" t="s">
        <v>633</v>
      </c>
      <c r="O1101" s="866">
        <v>2004.0</v>
      </c>
      <c r="P1101" s="865" t="s">
        <v>593</v>
      </c>
      <c r="Q1101" s="865" t="s">
        <v>70</v>
      </c>
      <c r="R1101" s="867">
        <v>416704.3869</v>
      </c>
      <c r="S1101" s="867">
        <v>466158.1619</v>
      </c>
      <c r="T1101" s="868">
        <v>367607.2382</v>
      </c>
      <c r="AN1101" s="882"/>
      <c r="AO1101" s="882"/>
      <c r="AP1101" s="882"/>
      <c r="AY1101" s="882"/>
      <c r="AZ1101" s="882"/>
      <c r="BA1101" s="882"/>
      <c r="BJ1101" s="882"/>
      <c r="BK1101" s="882"/>
      <c r="BL1101" s="882"/>
      <c r="BU1101" s="882"/>
      <c r="BV1101" s="882"/>
      <c r="BW1101" s="882"/>
      <c r="CF1101" s="882"/>
      <c r="CG1101" s="882"/>
      <c r="CH1101" s="882"/>
      <c r="CI1101" s="530"/>
    </row>
    <row r="1102">
      <c r="A1102" s="857"/>
      <c r="B1102" s="865" t="s">
        <v>120</v>
      </c>
      <c r="C1102" s="865" t="s">
        <v>591</v>
      </c>
      <c r="D1102" s="865" t="s">
        <v>635</v>
      </c>
      <c r="E1102" s="866">
        <v>2019.0</v>
      </c>
      <c r="F1102" s="865" t="s">
        <v>593</v>
      </c>
      <c r="G1102" s="865" t="s">
        <v>70</v>
      </c>
      <c r="H1102" s="867">
        <v>497046.3119</v>
      </c>
      <c r="I1102" s="867">
        <v>548497.4708</v>
      </c>
      <c r="J1102" s="868">
        <v>446834.6138</v>
      </c>
      <c r="K1102" s="50"/>
      <c r="L1102" s="869" t="s">
        <v>120</v>
      </c>
      <c r="M1102" s="865" t="s">
        <v>591</v>
      </c>
      <c r="N1102" s="865" t="s">
        <v>635</v>
      </c>
      <c r="O1102" s="866">
        <v>2004.0</v>
      </c>
      <c r="P1102" s="865" t="s">
        <v>593</v>
      </c>
      <c r="Q1102" s="865" t="s">
        <v>70</v>
      </c>
      <c r="R1102" s="867">
        <v>341133.7934</v>
      </c>
      <c r="S1102" s="867">
        <v>381618.9776</v>
      </c>
      <c r="T1102" s="868">
        <v>300940.5602</v>
      </c>
      <c r="AN1102" s="882"/>
      <c r="AO1102" s="882"/>
      <c r="AP1102" s="882"/>
      <c r="AY1102" s="882"/>
      <c r="AZ1102" s="882"/>
      <c r="BA1102" s="882"/>
      <c r="BJ1102" s="882"/>
      <c r="BK1102" s="882"/>
      <c r="BL1102" s="882"/>
      <c r="BU1102" s="882"/>
      <c r="BV1102" s="882"/>
      <c r="BW1102" s="882"/>
      <c r="CF1102" s="882"/>
      <c r="CG1102" s="882"/>
      <c r="CH1102" s="882"/>
      <c r="CI1102" s="530"/>
    </row>
    <row r="1103">
      <c r="A1103" s="857"/>
      <c r="B1103" s="865" t="s">
        <v>120</v>
      </c>
      <c r="C1103" s="865" t="s">
        <v>591</v>
      </c>
      <c r="D1103" s="865" t="s">
        <v>637</v>
      </c>
      <c r="E1103" s="866">
        <v>2019.0</v>
      </c>
      <c r="F1103" s="865" t="s">
        <v>593</v>
      </c>
      <c r="G1103" s="865" t="s">
        <v>70</v>
      </c>
      <c r="H1103" s="867">
        <v>401767.0408</v>
      </c>
      <c r="I1103" s="867">
        <v>443355.4791</v>
      </c>
      <c r="J1103" s="868">
        <v>361180.4699</v>
      </c>
      <c r="K1103" s="50"/>
      <c r="L1103" s="869" t="s">
        <v>120</v>
      </c>
      <c r="M1103" s="865" t="s">
        <v>591</v>
      </c>
      <c r="N1103" s="865" t="s">
        <v>637</v>
      </c>
      <c r="O1103" s="866">
        <v>2004.0</v>
      </c>
      <c r="P1103" s="865" t="s">
        <v>593</v>
      </c>
      <c r="Q1103" s="865" t="s">
        <v>70</v>
      </c>
      <c r="R1103" s="867">
        <v>287790.6665</v>
      </c>
      <c r="S1103" s="867">
        <v>321945.1782</v>
      </c>
      <c r="T1103" s="868">
        <v>253882.4534</v>
      </c>
      <c r="AN1103" s="882"/>
      <c r="AO1103" s="882"/>
      <c r="AP1103" s="882"/>
      <c r="AY1103" s="882"/>
      <c r="AZ1103" s="882"/>
      <c r="BA1103" s="882"/>
      <c r="BJ1103" s="882"/>
      <c r="BK1103" s="882"/>
      <c r="BL1103" s="882"/>
      <c r="BU1103" s="882"/>
      <c r="BV1103" s="882"/>
      <c r="BW1103" s="882"/>
      <c r="CF1103" s="882"/>
      <c r="CG1103" s="882"/>
      <c r="CH1103" s="882"/>
      <c r="CI1103" s="530"/>
    </row>
    <row r="1104">
      <c r="A1104" s="857"/>
      <c r="B1104" s="865" t="s">
        <v>120</v>
      </c>
      <c r="C1104" s="865" t="s">
        <v>591</v>
      </c>
      <c r="D1104" s="865" t="s">
        <v>639</v>
      </c>
      <c r="E1104" s="866">
        <v>2019.0</v>
      </c>
      <c r="F1104" s="865" t="s">
        <v>593</v>
      </c>
      <c r="G1104" s="865" t="s">
        <v>70</v>
      </c>
      <c r="H1104" s="867">
        <v>4895732.721</v>
      </c>
      <c r="I1104" s="867">
        <v>5402257.127</v>
      </c>
      <c r="J1104" s="868">
        <v>4400909.61</v>
      </c>
      <c r="K1104" s="50"/>
      <c r="L1104" s="869" t="s">
        <v>120</v>
      </c>
      <c r="M1104" s="865" t="s">
        <v>591</v>
      </c>
      <c r="N1104" s="865" t="s">
        <v>639</v>
      </c>
      <c r="O1104" s="866">
        <v>2004.0</v>
      </c>
      <c r="P1104" s="865" t="s">
        <v>593</v>
      </c>
      <c r="Q1104" s="865" t="s">
        <v>70</v>
      </c>
      <c r="R1104" s="867">
        <v>3323837.759</v>
      </c>
      <c r="S1104" s="867">
        <v>3718071.207</v>
      </c>
      <c r="T1104" s="868">
        <v>2932010.842</v>
      </c>
      <c r="AN1104" s="882"/>
      <c r="AO1104" s="882"/>
      <c r="AP1104" s="882"/>
      <c r="AY1104" s="882"/>
      <c r="AZ1104" s="882"/>
      <c r="BA1104" s="882"/>
      <c r="BJ1104" s="882"/>
      <c r="BK1104" s="882"/>
      <c r="BL1104" s="882"/>
      <c r="BU1104" s="882"/>
      <c r="BV1104" s="882"/>
      <c r="BW1104" s="882"/>
      <c r="CF1104" s="882"/>
      <c r="CG1104" s="882"/>
      <c r="CH1104" s="882"/>
      <c r="CI1104" s="530"/>
    </row>
    <row r="1105">
      <c r="A1105" s="857"/>
      <c r="B1105" s="865" t="s">
        <v>120</v>
      </c>
      <c r="C1105" s="865" t="s">
        <v>591</v>
      </c>
      <c r="D1105" s="865" t="s">
        <v>641</v>
      </c>
      <c r="E1105" s="866">
        <v>2019.0</v>
      </c>
      <c r="F1105" s="865" t="s">
        <v>593</v>
      </c>
      <c r="G1105" s="865" t="s">
        <v>70</v>
      </c>
      <c r="H1105" s="867">
        <v>1933404.911</v>
      </c>
      <c r="I1105" s="867">
        <v>2133539.026</v>
      </c>
      <c r="J1105" s="868">
        <v>1738092.037</v>
      </c>
      <c r="K1105" s="50"/>
      <c r="L1105" s="869" t="s">
        <v>120</v>
      </c>
      <c r="M1105" s="865" t="s">
        <v>591</v>
      </c>
      <c r="N1105" s="865" t="s">
        <v>641</v>
      </c>
      <c r="O1105" s="866">
        <v>2004.0</v>
      </c>
      <c r="P1105" s="865" t="s">
        <v>593</v>
      </c>
      <c r="Q1105" s="865" t="s">
        <v>70</v>
      </c>
      <c r="R1105" s="867">
        <v>1306236.706</v>
      </c>
      <c r="S1105" s="867">
        <v>1461258.678</v>
      </c>
      <c r="T1105" s="868">
        <v>1152332.644</v>
      </c>
      <c r="AN1105" s="882"/>
      <c r="AO1105" s="882"/>
      <c r="AP1105" s="882"/>
      <c r="AY1105" s="882"/>
      <c r="AZ1105" s="882"/>
      <c r="BA1105" s="882"/>
      <c r="BJ1105" s="882"/>
      <c r="BK1105" s="882"/>
      <c r="BL1105" s="882"/>
      <c r="BU1105" s="882"/>
      <c r="BV1105" s="882"/>
      <c r="BW1105" s="882"/>
      <c r="CF1105" s="882"/>
      <c r="CG1105" s="882"/>
      <c r="CH1105" s="882"/>
      <c r="CI1105" s="530"/>
    </row>
    <row r="1106">
      <c r="A1106" s="857"/>
      <c r="B1106" s="865" t="s">
        <v>120</v>
      </c>
      <c r="C1106" s="865" t="s">
        <v>591</v>
      </c>
      <c r="D1106" s="865" t="s">
        <v>643</v>
      </c>
      <c r="E1106" s="866">
        <v>2019.0</v>
      </c>
      <c r="F1106" s="865" t="s">
        <v>593</v>
      </c>
      <c r="G1106" s="865" t="s">
        <v>70</v>
      </c>
      <c r="H1106" s="867">
        <v>317770.4788</v>
      </c>
      <c r="I1106" s="867">
        <v>350664.1127</v>
      </c>
      <c r="J1106" s="868">
        <v>285669.2541</v>
      </c>
      <c r="K1106" s="50"/>
      <c r="L1106" s="869" t="s">
        <v>120</v>
      </c>
      <c r="M1106" s="865" t="s">
        <v>591</v>
      </c>
      <c r="N1106" s="865" t="s">
        <v>643</v>
      </c>
      <c r="O1106" s="866">
        <v>2004.0</v>
      </c>
      <c r="P1106" s="865" t="s">
        <v>593</v>
      </c>
      <c r="Q1106" s="865" t="s">
        <v>70</v>
      </c>
      <c r="R1106" s="867">
        <v>237700.806</v>
      </c>
      <c r="S1106" s="867">
        <v>265910.7374</v>
      </c>
      <c r="T1106" s="868">
        <v>209694.305</v>
      </c>
      <c r="AN1106" s="882"/>
      <c r="AO1106" s="882"/>
      <c r="AP1106" s="882"/>
      <c r="AY1106" s="882"/>
      <c r="AZ1106" s="882"/>
      <c r="BA1106" s="882"/>
      <c r="BJ1106" s="882"/>
      <c r="BK1106" s="882"/>
      <c r="BL1106" s="882"/>
      <c r="BU1106" s="882"/>
      <c r="BV1106" s="882"/>
      <c r="BW1106" s="882"/>
      <c r="CF1106" s="882"/>
      <c r="CG1106" s="882"/>
      <c r="CH1106" s="882"/>
      <c r="CI1106" s="530"/>
    </row>
    <row r="1107">
      <c r="A1107" s="857"/>
      <c r="B1107" s="865" t="s">
        <v>120</v>
      </c>
      <c r="C1107" s="865" t="s">
        <v>591</v>
      </c>
      <c r="D1107" s="865" t="s">
        <v>645</v>
      </c>
      <c r="E1107" s="866">
        <v>2019.0</v>
      </c>
      <c r="F1107" s="865" t="s">
        <v>593</v>
      </c>
      <c r="G1107" s="865" t="s">
        <v>70</v>
      </c>
      <c r="H1107" s="867">
        <v>948130.8024</v>
      </c>
      <c r="I1107" s="867">
        <v>1046275.437</v>
      </c>
      <c r="J1107" s="868">
        <v>852350.4768</v>
      </c>
      <c r="K1107" s="50"/>
      <c r="L1107" s="869" t="s">
        <v>120</v>
      </c>
      <c r="M1107" s="865" t="s">
        <v>591</v>
      </c>
      <c r="N1107" s="865" t="s">
        <v>645</v>
      </c>
      <c r="O1107" s="866">
        <v>2004.0</v>
      </c>
      <c r="P1107" s="865" t="s">
        <v>593</v>
      </c>
      <c r="Q1107" s="865" t="s">
        <v>70</v>
      </c>
      <c r="R1107" s="867">
        <v>716305.1981</v>
      </c>
      <c r="S1107" s="867">
        <v>801315.0928</v>
      </c>
      <c r="T1107" s="868">
        <v>631908.3357</v>
      </c>
      <c r="AN1107" s="882"/>
      <c r="AO1107" s="882"/>
      <c r="AP1107" s="882"/>
      <c r="AY1107" s="882"/>
      <c r="AZ1107" s="882"/>
      <c r="BA1107" s="882"/>
      <c r="BJ1107" s="882"/>
      <c r="BK1107" s="882"/>
      <c r="BL1107" s="882"/>
      <c r="BU1107" s="882"/>
      <c r="BV1107" s="882"/>
      <c r="BW1107" s="882"/>
      <c r="CF1107" s="882"/>
      <c r="CG1107" s="882"/>
      <c r="CH1107" s="882"/>
      <c r="CI1107" s="530"/>
    </row>
    <row r="1108">
      <c r="A1108" s="857"/>
      <c r="B1108" s="865" t="s">
        <v>120</v>
      </c>
      <c r="C1108" s="865" t="s">
        <v>591</v>
      </c>
      <c r="D1108" s="865" t="s">
        <v>604</v>
      </c>
      <c r="E1108" s="866">
        <v>2019.0</v>
      </c>
      <c r="F1108" s="865" t="s">
        <v>593</v>
      </c>
      <c r="G1108" s="865" t="s">
        <v>70</v>
      </c>
      <c r="H1108" s="867">
        <v>3569794.5</v>
      </c>
      <c r="I1108" s="867">
        <v>3939317.54</v>
      </c>
      <c r="J1108" s="868">
        <v>3209173.288</v>
      </c>
      <c r="K1108" s="50"/>
      <c r="L1108" s="869" t="s">
        <v>120</v>
      </c>
      <c r="M1108" s="865" t="s">
        <v>591</v>
      </c>
      <c r="N1108" s="865" t="s">
        <v>604</v>
      </c>
      <c r="O1108" s="866">
        <v>2004.0</v>
      </c>
      <c r="P1108" s="865" t="s">
        <v>593</v>
      </c>
      <c r="Q1108" s="865" t="s">
        <v>70</v>
      </c>
      <c r="R1108" s="867">
        <v>2417838.09</v>
      </c>
      <c r="S1108" s="867">
        <v>2704783.043</v>
      </c>
      <c r="T1108" s="868">
        <v>2132962.384</v>
      </c>
      <c r="AN1108" s="882"/>
      <c r="AO1108" s="882"/>
      <c r="AP1108" s="882"/>
      <c r="AY1108" s="882"/>
      <c r="AZ1108" s="882"/>
      <c r="BA1108" s="882"/>
      <c r="BJ1108" s="882"/>
      <c r="BK1108" s="882"/>
      <c r="BL1108" s="882"/>
      <c r="BU1108" s="882"/>
      <c r="BV1108" s="882"/>
      <c r="BW1108" s="882"/>
      <c r="CF1108" s="882"/>
      <c r="CG1108" s="882"/>
      <c r="CH1108" s="882"/>
      <c r="CI1108" s="530"/>
    </row>
    <row r="1109">
      <c r="A1109" s="857"/>
      <c r="B1109" s="865" t="s">
        <v>120</v>
      </c>
      <c r="C1109" s="865" t="s">
        <v>591</v>
      </c>
      <c r="D1109" s="865" t="s">
        <v>647</v>
      </c>
      <c r="E1109" s="866">
        <v>2019.0</v>
      </c>
      <c r="F1109" s="865" t="s">
        <v>593</v>
      </c>
      <c r="G1109" s="865" t="s">
        <v>70</v>
      </c>
      <c r="H1109" s="867">
        <v>890260.9338</v>
      </c>
      <c r="I1109" s="867">
        <v>982369.4938</v>
      </c>
      <c r="J1109" s="868">
        <v>800280.1873</v>
      </c>
      <c r="K1109" s="50"/>
      <c r="L1109" s="869" t="s">
        <v>120</v>
      </c>
      <c r="M1109" s="865" t="s">
        <v>591</v>
      </c>
      <c r="N1109" s="865" t="s">
        <v>647</v>
      </c>
      <c r="O1109" s="866">
        <v>2004.0</v>
      </c>
      <c r="P1109" s="865" t="s">
        <v>593</v>
      </c>
      <c r="Q1109" s="865" t="s">
        <v>70</v>
      </c>
      <c r="R1109" s="867">
        <v>740381.3103</v>
      </c>
      <c r="S1109" s="867">
        <v>828196.3897</v>
      </c>
      <c r="T1109" s="868">
        <v>653102.2832</v>
      </c>
      <c r="AN1109" s="882"/>
      <c r="AO1109" s="882"/>
      <c r="AP1109" s="882"/>
      <c r="AY1109" s="882"/>
      <c r="AZ1109" s="882"/>
      <c r="BA1109" s="882"/>
      <c r="BJ1109" s="882"/>
      <c r="BK1109" s="882"/>
      <c r="BL1109" s="882"/>
      <c r="BU1109" s="882"/>
      <c r="BV1109" s="882"/>
      <c r="BW1109" s="882"/>
      <c r="CF1109" s="882"/>
      <c r="CG1109" s="882"/>
      <c r="CH1109" s="882"/>
      <c r="CI1109" s="530"/>
    </row>
    <row r="1110">
      <c r="A1110" s="857"/>
      <c r="B1110" s="865" t="s">
        <v>120</v>
      </c>
      <c r="C1110" s="865" t="s">
        <v>591</v>
      </c>
      <c r="D1110" s="865" t="s">
        <v>649</v>
      </c>
      <c r="E1110" s="866">
        <v>2019.0</v>
      </c>
      <c r="F1110" s="865" t="s">
        <v>593</v>
      </c>
      <c r="G1110" s="865" t="s">
        <v>70</v>
      </c>
      <c r="H1110" s="867">
        <v>257609.8869</v>
      </c>
      <c r="I1110" s="867">
        <v>284276.0685</v>
      </c>
      <c r="J1110" s="868">
        <v>231586.0949</v>
      </c>
      <c r="K1110" s="50"/>
      <c r="L1110" s="869" t="s">
        <v>120</v>
      </c>
      <c r="M1110" s="865" t="s">
        <v>591</v>
      </c>
      <c r="N1110" s="865" t="s">
        <v>649</v>
      </c>
      <c r="O1110" s="866">
        <v>2004.0</v>
      </c>
      <c r="P1110" s="865" t="s">
        <v>593</v>
      </c>
      <c r="Q1110" s="865" t="s">
        <v>70</v>
      </c>
      <c r="R1110" s="867">
        <v>190674.6845</v>
      </c>
      <c r="S1110" s="867">
        <v>213303.635</v>
      </c>
      <c r="T1110" s="868">
        <v>168208.9183</v>
      </c>
      <c r="AN1110" s="882"/>
      <c r="AO1110" s="882"/>
      <c r="AP1110" s="882"/>
      <c r="AY1110" s="882"/>
      <c r="AZ1110" s="882"/>
      <c r="BA1110" s="882"/>
      <c r="BJ1110" s="882"/>
      <c r="BK1110" s="882"/>
      <c r="BL1110" s="882"/>
      <c r="BU1110" s="882"/>
      <c r="BV1110" s="882"/>
      <c r="BW1110" s="882"/>
      <c r="CF1110" s="882"/>
      <c r="CG1110" s="882"/>
      <c r="CH1110" s="882"/>
      <c r="CI1110" s="530"/>
    </row>
    <row r="1111">
      <c r="A1111" s="857"/>
      <c r="B1111" s="865" t="s">
        <v>120</v>
      </c>
      <c r="C1111" s="865" t="s">
        <v>591</v>
      </c>
      <c r="D1111" s="865" t="s">
        <v>651</v>
      </c>
      <c r="E1111" s="866">
        <v>2019.0</v>
      </c>
      <c r="F1111" s="865" t="s">
        <v>593</v>
      </c>
      <c r="G1111" s="865" t="s">
        <v>70</v>
      </c>
      <c r="H1111" s="867">
        <v>210656.5324</v>
      </c>
      <c r="I1111" s="867">
        <v>232462.3932</v>
      </c>
      <c r="J1111" s="868">
        <v>189375.9757</v>
      </c>
      <c r="K1111" s="50"/>
      <c r="L1111" s="869" t="s">
        <v>120</v>
      </c>
      <c r="M1111" s="865" t="s">
        <v>591</v>
      </c>
      <c r="N1111" s="865" t="s">
        <v>651</v>
      </c>
      <c r="O1111" s="866">
        <v>2004.0</v>
      </c>
      <c r="P1111" s="865" t="s">
        <v>593</v>
      </c>
      <c r="Q1111" s="865" t="s">
        <v>70</v>
      </c>
      <c r="R1111" s="867">
        <v>157528.6578</v>
      </c>
      <c r="S1111" s="867">
        <v>176223.8937</v>
      </c>
      <c r="T1111" s="868">
        <v>138968.239</v>
      </c>
      <c r="AN1111" s="882"/>
      <c r="AO1111" s="882"/>
      <c r="AP1111" s="882"/>
      <c r="AY1111" s="882"/>
      <c r="AZ1111" s="882"/>
      <c r="BA1111" s="882"/>
      <c r="BJ1111" s="882"/>
      <c r="BK1111" s="882"/>
      <c r="BL1111" s="882"/>
      <c r="BU1111" s="882"/>
      <c r="BV1111" s="882"/>
      <c r="BW1111" s="882"/>
      <c r="CF1111" s="882"/>
      <c r="CG1111" s="882"/>
      <c r="CH1111" s="882"/>
      <c r="CI1111" s="530"/>
    </row>
    <row r="1112">
      <c r="A1112" s="857"/>
      <c r="B1112" s="865" t="s">
        <v>120</v>
      </c>
      <c r="C1112" s="865" t="s">
        <v>591</v>
      </c>
      <c r="D1112" s="865" t="s">
        <v>653</v>
      </c>
      <c r="E1112" s="866">
        <v>2019.0</v>
      </c>
      <c r="F1112" s="865" t="s">
        <v>593</v>
      </c>
      <c r="G1112" s="865" t="s">
        <v>70</v>
      </c>
      <c r="H1112" s="867">
        <v>162093.9043</v>
      </c>
      <c r="I1112" s="867">
        <v>178872.8624</v>
      </c>
      <c r="J1112" s="868">
        <v>145719.1521</v>
      </c>
      <c r="K1112" s="50"/>
      <c r="L1112" s="869" t="s">
        <v>120</v>
      </c>
      <c r="M1112" s="865" t="s">
        <v>591</v>
      </c>
      <c r="N1112" s="865" t="s">
        <v>653</v>
      </c>
      <c r="O1112" s="866">
        <v>2004.0</v>
      </c>
      <c r="P1112" s="865" t="s">
        <v>593</v>
      </c>
      <c r="Q1112" s="865" t="s">
        <v>70</v>
      </c>
      <c r="R1112" s="867">
        <v>130401.0497</v>
      </c>
      <c r="S1112" s="867">
        <v>145876.8267</v>
      </c>
      <c r="T1112" s="868">
        <v>115036.8733</v>
      </c>
      <c r="AN1112" s="882"/>
      <c r="AO1112" s="882"/>
      <c r="AP1112" s="882"/>
      <c r="AY1112" s="882"/>
      <c r="AZ1112" s="882"/>
      <c r="BA1112" s="882"/>
      <c r="BJ1112" s="882"/>
      <c r="BK1112" s="882"/>
      <c r="BL1112" s="882"/>
      <c r="BU1112" s="882"/>
      <c r="BV1112" s="882"/>
      <c r="BW1112" s="882"/>
      <c r="CF1112" s="882"/>
      <c r="CG1112" s="882"/>
      <c r="CH1112" s="882"/>
      <c r="CI1112" s="530"/>
    </row>
    <row r="1113">
      <c r="A1113" s="857"/>
      <c r="B1113" s="865" t="s">
        <v>120</v>
      </c>
      <c r="C1113" s="865" t="s">
        <v>591</v>
      </c>
      <c r="D1113" s="865" t="s">
        <v>655</v>
      </c>
      <c r="E1113" s="866">
        <v>2019.0</v>
      </c>
      <c r="F1113" s="865" t="s">
        <v>593</v>
      </c>
      <c r="G1113" s="865" t="s">
        <v>70</v>
      </c>
      <c r="H1113" s="867">
        <v>274624.1687</v>
      </c>
      <c r="I1113" s="867">
        <v>303037.4527</v>
      </c>
      <c r="J1113" s="868">
        <v>246867.2643</v>
      </c>
      <c r="K1113" s="50"/>
      <c r="L1113" s="869" t="s">
        <v>120</v>
      </c>
      <c r="M1113" s="865" t="s">
        <v>591</v>
      </c>
      <c r="N1113" s="865" t="s">
        <v>655</v>
      </c>
      <c r="O1113" s="866">
        <v>2004.0</v>
      </c>
      <c r="P1113" s="865" t="s">
        <v>593</v>
      </c>
      <c r="Q1113" s="865" t="s">
        <v>70</v>
      </c>
      <c r="R1113" s="867">
        <v>242577.0257</v>
      </c>
      <c r="S1113" s="867">
        <v>271348.5796</v>
      </c>
      <c r="T1113" s="868">
        <v>213981.1029</v>
      </c>
      <c r="AN1113" s="882"/>
      <c r="AO1113" s="882"/>
      <c r="AP1113" s="882"/>
      <c r="AY1113" s="882"/>
      <c r="AZ1113" s="882"/>
      <c r="BA1113" s="882"/>
      <c r="BJ1113" s="882"/>
      <c r="BK1113" s="882"/>
      <c r="BL1113" s="882"/>
      <c r="BU1113" s="882"/>
      <c r="BV1113" s="882"/>
      <c r="BW1113" s="882"/>
      <c r="CF1113" s="882"/>
      <c r="CG1113" s="882"/>
      <c r="CH1113" s="882"/>
      <c r="CI1113" s="530"/>
    </row>
    <row r="1114">
      <c r="A1114" s="857"/>
      <c r="B1114" s="865" t="s">
        <v>120</v>
      </c>
      <c r="C1114" s="865" t="s">
        <v>591</v>
      </c>
      <c r="D1114" s="865" t="s">
        <v>657</v>
      </c>
      <c r="E1114" s="866">
        <v>2019.0</v>
      </c>
      <c r="F1114" s="865" t="s">
        <v>593</v>
      </c>
      <c r="G1114" s="865" t="s">
        <v>70</v>
      </c>
      <c r="H1114" s="867">
        <v>112515.0617</v>
      </c>
      <c r="I1114" s="867">
        <v>124161.9247</v>
      </c>
      <c r="J1114" s="868">
        <v>101148.7721</v>
      </c>
      <c r="K1114" s="50"/>
      <c r="L1114" s="869" t="s">
        <v>120</v>
      </c>
      <c r="M1114" s="865" t="s">
        <v>591</v>
      </c>
      <c r="N1114" s="865" t="s">
        <v>657</v>
      </c>
      <c r="O1114" s="866">
        <v>2004.0</v>
      </c>
      <c r="P1114" s="865" t="s">
        <v>593</v>
      </c>
      <c r="Q1114" s="865" t="s">
        <v>70</v>
      </c>
      <c r="R1114" s="867">
        <v>112159.709</v>
      </c>
      <c r="S1114" s="867">
        <v>125470.6345</v>
      </c>
      <c r="T1114" s="868">
        <v>98944.77279</v>
      </c>
      <c r="AN1114" s="882"/>
      <c r="AO1114" s="882"/>
      <c r="AP1114" s="882"/>
      <c r="AY1114" s="882"/>
      <c r="AZ1114" s="882"/>
      <c r="BA1114" s="882"/>
      <c r="BJ1114" s="882"/>
      <c r="BK1114" s="882"/>
      <c r="BL1114" s="882"/>
      <c r="BU1114" s="882"/>
      <c r="BV1114" s="882"/>
      <c r="BW1114" s="882"/>
      <c r="CF1114" s="882"/>
      <c r="CG1114" s="882"/>
      <c r="CH1114" s="882"/>
      <c r="CI1114" s="530"/>
    </row>
    <row r="1115">
      <c r="A1115" s="857"/>
      <c r="B1115" s="865" t="s">
        <v>120</v>
      </c>
      <c r="C1115" s="865" t="s">
        <v>591</v>
      </c>
      <c r="D1115" s="865" t="s">
        <v>659</v>
      </c>
      <c r="E1115" s="866">
        <v>2019.0</v>
      </c>
      <c r="F1115" s="865" t="s">
        <v>593</v>
      </c>
      <c r="G1115" s="865" t="s">
        <v>70</v>
      </c>
      <c r="H1115" s="867">
        <v>259851.3267</v>
      </c>
      <c r="I1115" s="867">
        <v>286749.5283</v>
      </c>
      <c r="J1115" s="868">
        <v>233601.104</v>
      </c>
      <c r="K1115" s="50"/>
      <c r="L1115" s="869" t="s">
        <v>120</v>
      </c>
      <c r="M1115" s="865" t="s">
        <v>591</v>
      </c>
      <c r="N1115" s="865" t="s">
        <v>659</v>
      </c>
      <c r="O1115" s="866">
        <v>2004.0</v>
      </c>
      <c r="P1115" s="865" t="s">
        <v>593</v>
      </c>
      <c r="Q1115" s="865" t="s">
        <v>70</v>
      </c>
      <c r="R1115" s="867">
        <v>261727.2691</v>
      </c>
      <c r="S1115" s="867">
        <v>292788.6207</v>
      </c>
      <c r="T1115" s="868">
        <v>230889.9104</v>
      </c>
      <c r="AN1115" s="882"/>
      <c r="AO1115" s="882"/>
      <c r="AP1115" s="882"/>
      <c r="AY1115" s="882"/>
      <c r="AZ1115" s="882"/>
      <c r="BA1115" s="882"/>
      <c r="BJ1115" s="882"/>
      <c r="BK1115" s="882"/>
      <c r="BL1115" s="882"/>
      <c r="BU1115" s="882"/>
      <c r="BV1115" s="882"/>
      <c r="BW1115" s="882"/>
      <c r="CF1115" s="882"/>
      <c r="CG1115" s="882"/>
      <c r="CH1115" s="882"/>
      <c r="CI1115" s="530"/>
    </row>
    <row r="1116">
      <c r="A1116" s="857"/>
      <c r="B1116" s="865" t="s">
        <v>120</v>
      </c>
      <c r="C1116" s="865" t="s">
        <v>591</v>
      </c>
      <c r="D1116" s="865" t="s">
        <v>661</v>
      </c>
      <c r="E1116" s="866">
        <v>2019.0</v>
      </c>
      <c r="F1116" s="865" t="s">
        <v>593</v>
      </c>
      <c r="G1116" s="865" t="s">
        <v>70</v>
      </c>
      <c r="H1116" s="867">
        <v>147344.4218</v>
      </c>
      <c r="I1116" s="867">
        <v>162589.0338</v>
      </c>
      <c r="J1116" s="868">
        <v>132451.9779</v>
      </c>
      <c r="K1116" s="50"/>
      <c r="L1116" s="869" t="s">
        <v>120</v>
      </c>
      <c r="M1116" s="865" t="s">
        <v>591</v>
      </c>
      <c r="N1116" s="865" t="s">
        <v>661</v>
      </c>
      <c r="O1116" s="866">
        <v>2004.0</v>
      </c>
      <c r="P1116" s="865" t="s">
        <v>593</v>
      </c>
      <c r="Q1116" s="865" t="s">
        <v>70</v>
      </c>
      <c r="R1116" s="867">
        <v>149577.5906</v>
      </c>
      <c r="S1116" s="867">
        <v>167318.6759</v>
      </c>
      <c r="T1116" s="868">
        <v>131944.8027</v>
      </c>
      <c r="AN1116" s="882"/>
      <c r="AO1116" s="882"/>
      <c r="AP1116" s="882"/>
      <c r="AY1116" s="882"/>
      <c r="AZ1116" s="882"/>
      <c r="BA1116" s="882"/>
      <c r="BJ1116" s="882"/>
      <c r="BK1116" s="882"/>
      <c r="BL1116" s="882"/>
      <c r="BU1116" s="882"/>
      <c r="BV1116" s="882"/>
      <c r="BW1116" s="882"/>
      <c r="CF1116" s="882"/>
      <c r="CG1116" s="882"/>
      <c r="CH1116" s="882"/>
      <c r="CI1116" s="530"/>
    </row>
    <row r="1117">
      <c r="A1117" s="857"/>
      <c r="B1117" s="865" t="s">
        <v>120</v>
      </c>
      <c r="C1117" s="865" t="s">
        <v>591</v>
      </c>
      <c r="D1117" s="865" t="s">
        <v>663</v>
      </c>
      <c r="E1117" s="866">
        <v>2019.0</v>
      </c>
      <c r="F1117" s="865" t="s">
        <v>593</v>
      </c>
      <c r="G1117" s="865" t="s">
        <v>70</v>
      </c>
      <c r="H1117" s="867">
        <v>72655.22793</v>
      </c>
      <c r="I1117" s="867">
        <v>80176.0476</v>
      </c>
      <c r="J1117" s="868">
        <v>65315.58516</v>
      </c>
      <c r="K1117" s="50"/>
      <c r="L1117" s="869" t="s">
        <v>120</v>
      </c>
      <c r="M1117" s="865" t="s">
        <v>591</v>
      </c>
      <c r="N1117" s="865" t="s">
        <v>663</v>
      </c>
      <c r="O1117" s="866">
        <v>2004.0</v>
      </c>
      <c r="P1117" s="865" t="s">
        <v>593</v>
      </c>
      <c r="Q1117" s="865" t="s">
        <v>70</v>
      </c>
      <c r="R1117" s="867">
        <v>82129.3556</v>
      </c>
      <c r="S1117" s="867">
        <v>91876.32923</v>
      </c>
      <c r="T1117" s="868">
        <v>72452.67038</v>
      </c>
      <c r="AN1117" s="882"/>
      <c r="AO1117" s="882"/>
      <c r="AP1117" s="882"/>
      <c r="AY1117" s="882"/>
      <c r="AZ1117" s="882"/>
      <c r="BA1117" s="882"/>
      <c r="BJ1117" s="882"/>
      <c r="BK1117" s="882"/>
      <c r="BL1117" s="882"/>
      <c r="BU1117" s="882"/>
      <c r="BV1117" s="882"/>
      <c r="BW1117" s="882"/>
      <c r="CF1117" s="882"/>
      <c r="CG1117" s="882"/>
      <c r="CH1117" s="882"/>
      <c r="CI1117" s="530"/>
    </row>
    <row r="1118">
      <c r="A1118" s="857"/>
      <c r="B1118" s="865" t="s">
        <v>120</v>
      </c>
      <c r="C1118" s="865" t="s">
        <v>591</v>
      </c>
      <c r="D1118" s="865" t="s">
        <v>665</v>
      </c>
      <c r="E1118" s="866">
        <v>2019.0</v>
      </c>
      <c r="F1118" s="865" t="s">
        <v>593</v>
      </c>
      <c r="G1118" s="865" t="s">
        <v>70</v>
      </c>
      <c r="H1118" s="867">
        <v>114924.8563</v>
      </c>
      <c r="I1118" s="867">
        <v>126815.2613</v>
      </c>
      <c r="J1118" s="868">
        <v>103309.1334</v>
      </c>
      <c r="K1118" s="50"/>
      <c r="L1118" s="869" t="s">
        <v>120</v>
      </c>
      <c r="M1118" s="865" t="s">
        <v>591</v>
      </c>
      <c r="N1118" s="865" t="s">
        <v>665</v>
      </c>
      <c r="O1118" s="866">
        <v>2004.0</v>
      </c>
      <c r="P1118" s="865" t="s">
        <v>593</v>
      </c>
      <c r="Q1118" s="865" t="s">
        <v>70</v>
      </c>
      <c r="R1118" s="867">
        <v>127791.7287</v>
      </c>
      <c r="S1118" s="867">
        <v>142948.8385</v>
      </c>
      <c r="T1118" s="868">
        <v>112727.143</v>
      </c>
      <c r="AN1118" s="882"/>
      <c r="AO1118" s="882"/>
      <c r="AP1118" s="882"/>
      <c r="AY1118" s="882"/>
      <c r="AZ1118" s="882"/>
      <c r="BA1118" s="882"/>
      <c r="BJ1118" s="882"/>
      <c r="BK1118" s="882"/>
      <c r="BL1118" s="882"/>
      <c r="BU1118" s="882"/>
      <c r="BV1118" s="882"/>
      <c r="BW1118" s="882"/>
      <c r="CF1118" s="882"/>
      <c r="CG1118" s="882"/>
      <c r="CH1118" s="882"/>
      <c r="CI1118" s="530"/>
    </row>
    <row r="1119">
      <c r="A1119" s="857"/>
      <c r="B1119" s="865" t="s">
        <v>120</v>
      </c>
      <c r="C1119" s="865" t="s">
        <v>591</v>
      </c>
      <c r="D1119" s="865" t="s">
        <v>667</v>
      </c>
      <c r="E1119" s="866">
        <v>2019.0</v>
      </c>
      <c r="F1119" s="865" t="s">
        <v>593</v>
      </c>
      <c r="G1119" s="865" t="s">
        <v>70</v>
      </c>
      <c r="H1119" s="867">
        <v>74681.03712</v>
      </c>
      <c r="I1119" s="867">
        <v>82411.55602</v>
      </c>
      <c r="J1119" s="868">
        <v>67136.74679</v>
      </c>
      <c r="K1119" s="50"/>
      <c r="L1119" s="869" t="s">
        <v>120</v>
      </c>
      <c r="M1119" s="865" t="s">
        <v>591</v>
      </c>
      <c r="N1119" s="865" t="s">
        <v>667</v>
      </c>
      <c r="O1119" s="866">
        <v>2004.0</v>
      </c>
      <c r="P1119" s="865" t="s">
        <v>593</v>
      </c>
      <c r="Q1119" s="865" t="s">
        <v>70</v>
      </c>
      <c r="R1119" s="867">
        <v>67438.20445</v>
      </c>
      <c r="S1119" s="867">
        <v>75441.65699</v>
      </c>
      <c r="T1119" s="868">
        <v>59492.46724</v>
      </c>
      <c r="AN1119" s="882"/>
      <c r="AO1119" s="882"/>
      <c r="AP1119" s="882"/>
      <c r="AY1119" s="882"/>
      <c r="AZ1119" s="882"/>
      <c r="BA1119" s="882"/>
      <c r="BJ1119" s="882"/>
      <c r="BK1119" s="882"/>
      <c r="BL1119" s="882"/>
      <c r="BU1119" s="882"/>
      <c r="BV1119" s="882"/>
      <c r="BW1119" s="882"/>
      <c r="CF1119" s="882"/>
      <c r="CG1119" s="882"/>
      <c r="CH1119" s="882"/>
      <c r="CI1119" s="530"/>
    </row>
    <row r="1120">
      <c r="A1120" s="857"/>
      <c r="B1120" s="865" t="s">
        <v>120</v>
      </c>
      <c r="C1120" s="865" t="s">
        <v>591</v>
      </c>
      <c r="D1120" s="865" t="s">
        <v>669</v>
      </c>
      <c r="E1120" s="866">
        <v>2019.0</v>
      </c>
      <c r="F1120" s="865" t="s">
        <v>593</v>
      </c>
      <c r="G1120" s="865" t="s">
        <v>70</v>
      </c>
      <c r="H1120" s="867">
        <v>42263.26633</v>
      </c>
      <c r="I1120" s="867">
        <v>46638.09817</v>
      </c>
      <c r="J1120" s="868">
        <v>37993.82439</v>
      </c>
      <c r="K1120" s="50"/>
      <c r="L1120" s="869" t="s">
        <v>120</v>
      </c>
      <c r="M1120" s="865" t="s">
        <v>591</v>
      </c>
      <c r="N1120" s="865" t="s">
        <v>669</v>
      </c>
      <c r="O1120" s="866">
        <v>2004.0</v>
      </c>
      <c r="P1120" s="865" t="s">
        <v>593</v>
      </c>
      <c r="Q1120" s="865" t="s">
        <v>70</v>
      </c>
      <c r="R1120" s="867">
        <v>45653.80358</v>
      </c>
      <c r="S1120" s="867">
        <v>51071.92011</v>
      </c>
      <c r="T1120" s="868">
        <v>40274.75874</v>
      </c>
      <c r="AN1120" s="882"/>
      <c r="AO1120" s="882"/>
      <c r="AP1120" s="882"/>
      <c r="AY1120" s="882"/>
      <c r="AZ1120" s="882"/>
      <c r="BA1120" s="882"/>
      <c r="BJ1120" s="882"/>
      <c r="BK1120" s="882"/>
      <c r="BL1120" s="882"/>
      <c r="BU1120" s="882"/>
      <c r="BV1120" s="882"/>
      <c r="BW1120" s="882"/>
      <c r="CF1120" s="882"/>
      <c r="CG1120" s="882"/>
      <c r="CH1120" s="882"/>
      <c r="CI1120" s="530"/>
    </row>
    <row r="1121">
      <c r="A1121" s="857"/>
      <c r="B1121" s="865" t="s">
        <v>120</v>
      </c>
      <c r="C1121" s="865" t="s">
        <v>591</v>
      </c>
      <c r="D1121" s="865" t="s">
        <v>671</v>
      </c>
      <c r="E1121" s="866">
        <v>2019.0</v>
      </c>
      <c r="F1121" s="865" t="s">
        <v>593</v>
      </c>
      <c r="G1121" s="865" t="s">
        <v>70</v>
      </c>
      <c r="H1121" s="867">
        <v>32419.56549</v>
      </c>
      <c r="I1121" s="867">
        <v>35773.77253</v>
      </c>
      <c r="J1121" s="868">
        <v>29142.84448</v>
      </c>
      <c r="K1121" s="50"/>
      <c r="L1121" s="869" t="s">
        <v>120</v>
      </c>
      <c r="M1121" s="865" t="s">
        <v>591</v>
      </c>
      <c r="N1121" s="865" t="s">
        <v>671</v>
      </c>
      <c r="O1121" s="866">
        <v>2004.0</v>
      </c>
      <c r="P1121" s="865" t="s">
        <v>593</v>
      </c>
      <c r="Q1121" s="865" t="s">
        <v>70</v>
      </c>
      <c r="R1121" s="867">
        <v>21785.8618</v>
      </c>
      <c r="S1121" s="867">
        <v>24369.83733</v>
      </c>
      <c r="T1121" s="868">
        <v>19217.65972</v>
      </c>
      <c r="AN1121" s="882"/>
      <c r="AO1121" s="882"/>
      <c r="AP1121" s="882"/>
      <c r="AY1121" s="882"/>
      <c r="AZ1121" s="882"/>
      <c r="BA1121" s="882"/>
      <c r="BJ1121" s="882"/>
      <c r="BK1121" s="882"/>
      <c r="BL1121" s="882"/>
      <c r="BU1121" s="882"/>
      <c r="BV1121" s="882"/>
      <c r="BW1121" s="882"/>
      <c r="CF1121" s="882"/>
      <c r="CG1121" s="882"/>
      <c r="CH1121" s="882"/>
      <c r="CI1121" s="530"/>
    </row>
    <row r="1122">
      <c r="A1122" s="857"/>
      <c r="B1122" s="865" t="s">
        <v>120</v>
      </c>
      <c r="C1122" s="865" t="s">
        <v>591</v>
      </c>
      <c r="D1122" s="865" t="s">
        <v>673</v>
      </c>
      <c r="E1122" s="866">
        <v>2019.0</v>
      </c>
      <c r="F1122" s="865" t="s">
        <v>593</v>
      </c>
      <c r="G1122" s="865" t="s">
        <v>70</v>
      </c>
      <c r="H1122" s="867">
        <v>22177.83738</v>
      </c>
      <c r="I1122" s="867">
        <v>24473.54989</v>
      </c>
      <c r="J1122" s="868">
        <v>19937.4287</v>
      </c>
      <c r="K1122" s="50"/>
      <c r="L1122" s="869" t="s">
        <v>120</v>
      </c>
      <c r="M1122" s="865" t="s">
        <v>591</v>
      </c>
      <c r="N1122" s="865" t="s">
        <v>673</v>
      </c>
      <c r="O1122" s="866">
        <v>2004.0</v>
      </c>
      <c r="P1122" s="865" t="s">
        <v>593</v>
      </c>
      <c r="Q1122" s="865" t="s">
        <v>70</v>
      </c>
      <c r="R1122" s="867">
        <v>16486.60017</v>
      </c>
      <c r="S1122" s="867">
        <v>18443.20212</v>
      </c>
      <c r="T1122" s="868">
        <v>14544.10788</v>
      </c>
      <c r="AN1122" s="882"/>
      <c r="AO1122" s="882"/>
      <c r="AP1122" s="882"/>
      <c r="AY1122" s="882"/>
      <c r="AZ1122" s="882"/>
      <c r="BA1122" s="882"/>
      <c r="BJ1122" s="882"/>
      <c r="BK1122" s="882"/>
      <c r="BL1122" s="882"/>
      <c r="BU1122" s="882"/>
      <c r="BV1122" s="882"/>
      <c r="BW1122" s="882"/>
      <c r="CF1122" s="882"/>
      <c r="CG1122" s="882"/>
      <c r="CH1122" s="882"/>
      <c r="CI1122" s="530"/>
    </row>
    <row r="1123">
      <c r="A1123" s="857"/>
      <c r="B1123" s="865" t="s">
        <v>120</v>
      </c>
      <c r="C1123" s="865" t="s">
        <v>591</v>
      </c>
      <c r="D1123" s="865" t="s">
        <v>674</v>
      </c>
      <c r="E1123" s="866">
        <v>2019.0</v>
      </c>
      <c r="F1123" s="865" t="s">
        <v>593</v>
      </c>
      <c r="G1123" s="865" t="s">
        <v>70</v>
      </c>
      <c r="H1123" s="867">
        <v>8337.754649</v>
      </c>
      <c r="I1123" s="867">
        <v>9200.827424</v>
      </c>
      <c r="J1123" s="868">
        <v>7495.473339</v>
      </c>
      <c r="K1123" s="50"/>
      <c r="L1123" s="869" t="s">
        <v>120</v>
      </c>
      <c r="M1123" s="865" t="s">
        <v>591</v>
      </c>
      <c r="N1123" s="865" t="s">
        <v>674</v>
      </c>
      <c r="O1123" s="866">
        <v>2004.0</v>
      </c>
      <c r="P1123" s="865" t="s">
        <v>593</v>
      </c>
      <c r="Q1123" s="865" t="s">
        <v>70</v>
      </c>
      <c r="R1123" s="867">
        <v>4332.76626</v>
      </c>
      <c r="S1123" s="867">
        <v>4846.971664</v>
      </c>
      <c r="T1123" s="868">
        <v>3822.268949</v>
      </c>
      <c r="AN1123" s="882"/>
      <c r="AO1123" s="882"/>
      <c r="AP1123" s="882"/>
      <c r="AY1123" s="882"/>
      <c r="AZ1123" s="882"/>
      <c r="BA1123" s="882"/>
      <c r="BJ1123" s="882"/>
      <c r="BK1123" s="882"/>
      <c r="BL1123" s="882"/>
      <c r="BU1123" s="882"/>
      <c r="BV1123" s="882"/>
      <c r="BW1123" s="882"/>
      <c r="CF1123" s="882"/>
      <c r="CG1123" s="882"/>
      <c r="CH1123" s="882"/>
      <c r="CI1123" s="530"/>
    </row>
    <row r="1124">
      <c r="A1124" s="857"/>
      <c r="B1124" s="865" t="s">
        <v>120</v>
      </c>
      <c r="C1124" s="865" t="s">
        <v>591</v>
      </c>
      <c r="D1124" s="865" t="s">
        <v>676</v>
      </c>
      <c r="E1124" s="866">
        <v>2019.0</v>
      </c>
      <c r="F1124" s="865" t="s">
        <v>593</v>
      </c>
      <c r="G1124" s="865" t="s">
        <v>70</v>
      </c>
      <c r="H1124" s="867">
        <v>1902.178762</v>
      </c>
      <c r="I1124" s="867">
        <v>2099.080539</v>
      </c>
      <c r="J1124" s="868">
        <v>1710.020359</v>
      </c>
      <c r="K1124" s="50"/>
      <c r="L1124" s="869" t="s">
        <v>120</v>
      </c>
      <c r="M1124" s="865" t="s">
        <v>591</v>
      </c>
      <c r="N1124" s="865" t="s">
        <v>676</v>
      </c>
      <c r="O1124" s="866">
        <v>2004.0</v>
      </c>
      <c r="P1124" s="865" t="s">
        <v>593</v>
      </c>
      <c r="Q1124" s="865" t="s">
        <v>70</v>
      </c>
      <c r="R1124" s="867">
        <v>965.0344381</v>
      </c>
      <c r="S1124" s="867">
        <v>1079.5631</v>
      </c>
      <c r="T1124" s="868">
        <v>851.3316772</v>
      </c>
      <c r="AN1124" s="882"/>
      <c r="AO1124" s="882"/>
      <c r="AP1124" s="882"/>
      <c r="AY1124" s="882"/>
      <c r="AZ1124" s="882"/>
      <c r="BA1124" s="882"/>
      <c r="BJ1124" s="882"/>
      <c r="BK1124" s="882"/>
      <c r="BL1124" s="882"/>
      <c r="BU1124" s="882"/>
      <c r="BV1124" s="882"/>
      <c r="BW1124" s="882"/>
      <c r="CF1124" s="882"/>
      <c r="CG1124" s="882"/>
      <c r="CH1124" s="882"/>
      <c r="CI1124" s="530"/>
    </row>
    <row r="1125">
      <c r="A1125" s="857"/>
      <c r="B1125" s="865" t="s">
        <v>120</v>
      </c>
      <c r="C1125" s="865" t="s">
        <v>591</v>
      </c>
      <c r="D1125" s="865" t="s">
        <v>678</v>
      </c>
      <c r="E1125" s="866">
        <v>2019.0</v>
      </c>
      <c r="F1125" s="865" t="s">
        <v>593</v>
      </c>
      <c r="G1125" s="865" t="s">
        <v>70</v>
      </c>
      <c r="H1125" s="867">
        <v>1.264314893E7</v>
      </c>
      <c r="I1125" s="867">
        <v>1.395188949E7</v>
      </c>
      <c r="J1125" s="868">
        <v>1.1365936E7</v>
      </c>
      <c r="K1125" s="50"/>
      <c r="L1125" s="869" t="s">
        <v>120</v>
      </c>
      <c r="M1125" s="865" t="s">
        <v>591</v>
      </c>
      <c r="N1125" s="865" t="s">
        <v>678</v>
      </c>
      <c r="O1125" s="866">
        <v>2004.0</v>
      </c>
      <c r="P1125" s="865" t="s">
        <v>593</v>
      </c>
      <c r="Q1125" s="865" t="s">
        <v>70</v>
      </c>
      <c r="R1125" s="867">
        <v>8631906.103</v>
      </c>
      <c r="S1125" s="867">
        <v>9656326.184</v>
      </c>
      <c r="T1125" s="868">
        <v>7614873.428</v>
      </c>
      <c r="AN1125" s="882"/>
      <c r="AO1125" s="882"/>
      <c r="AP1125" s="882"/>
      <c r="AY1125" s="882"/>
      <c r="AZ1125" s="882"/>
      <c r="BA1125" s="882"/>
      <c r="BJ1125" s="882"/>
      <c r="BK1125" s="882"/>
      <c r="BL1125" s="882"/>
      <c r="BU1125" s="882"/>
      <c r="BV1125" s="882"/>
      <c r="BW1125" s="882"/>
      <c r="CF1125" s="882"/>
      <c r="CG1125" s="882"/>
      <c r="CH1125" s="882"/>
      <c r="CI1125" s="530"/>
    </row>
    <row r="1126">
      <c r="A1126" s="857"/>
      <c r="B1126" s="865" t="s">
        <v>120</v>
      </c>
      <c r="C1126" s="865" t="s">
        <v>591</v>
      </c>
      <c r="D1126" s="865" t="s">
        <v>680</v>
      </c>
      <c r="E1126" s="866">
        <v>2019.0</v>
      </c>
      <c r="F1126" s="865" t="s">
        <v>593</v>
      </c>
      <c r="G1126" s="865" t="s">
        <v>70</v>
      </c>
      <c r="H1126" s="867">
        <v>477261.0768</v>
      </c>
      <c r="I1126" s="867">
        <v>512470.0897</v>
      </c>
      <c r="J1126" s="868">
        <v>440864.2207</v>
      </c>
      <c r="K1126" s="50"/>
      <c r="L1126" s="869" t="s">
        <v>120</v>
      </c>
      <c r="M1126" s="865" t="s">
        <v>591</v>
      </c>
      <c r="N1126" s="865" t="s">
        <v>680</v>
      </c>
      <c r="O1126" s="866">
        <v>2004.0</v>
      </c>
      <c r="P1126" s="865" t="s">
        <v>593</v>
      </c>
      <c r="Q1126" s="865" t="s">
        <v>70</v>
      </c>
      <c r="R1126" s="867">
        <v>366713.7386</v>
      </c>
      <c r="S1126" s="867">
        <v>385394.7453</v>
      </c>
      <c r="T1126" s="868">
        <v>347324.3563</v>
      </c>
      <c r="AN1126" s="882"/>
      <c r="AO1126" s="882"/>
      <c r="AP1126" s="882"/>
      <c r="AY1126" s="882"/>
      <c r="AZ1126" s="882"/>
      <c r="BA1126" s="882"/>
      <c r="BJ1126" s="882"/>
      <c r="BK1126" s="882"/>
      <c r="BL1126" s="882"/>
      <c r="BU1126" s="882"/>
      <c r="BV1126" s="882"/>
      <c r="BW1126" s="882"/>
      <c r="CF1126" s="882"/>
      <c r="CG1126" s="882"/>
      <c r="CH1126" s="882"/>
      <c r="CI1126" s="530"/>
    </row>
    <row r="1127">
      <c r="A1127" s="857"/>
      <c r="B1127" s="865" t="s">
        <v>120</v>
      </c>
      <c r="C1127" s="865" t="s">
        <v>591</v>
      </c>
      <c r="D1127" s="865" t="s">
        <v>682</v>
      </c>
      <c r="E1127" s="866">
        <v>2019.0</v>
      </c>
      <c r="F1127" s="865" t="s">
        <v>593</v>
      </c>
      <c r="G1127" s="865" t="s">
        <v>70</v>
      </c>
      <c r="H1127" s="867">
        <v>9102.907757</v>
      </c>
      <c r="I1127" s="867">
        <v>10045.18445</v>
      </c>
      <c r="J1127" s="868">
        <v>8183.330556</v>
      </c>
      <c r="K1127" s="50"/>
      <c r="L1127" s="869" t="s">
        <v>120</v>
      </c>
      <c r="M1127" s="865" t="s">
        <v>591</v>
      </c>
      <c r="N1127" s="865" t="s">
        <v>682</v>
      </c>
      <c r="O1127" s="866">
        <v>2004.0</v>
      </c>
      <c r="P1127" s="865" t="s">
        <v>593</v>
      </c>
      <c r="Q1127" s="865" t="s">
        <v>70</v>
      </c>
      <c r="R1127" s="867">
        <v>6960.683386</v>
      </c>
      <c r="S1127" s="867">
        <v>7786.76557</v>
      </c>
      <c r="T1127" s="868">
        <v>6140.558334</v>
      </c>
      <c r="AN1127" s="882"/>
      <c r="AO1127" s="882"/>
      <c r="AP1127" s="882"/>
      <c r="AY1127" s="882"/>
      <c r="AZ1127" s="882"/>
      <c r="BA1127" s="882"/>
      <c r="BJ1127" s="882"/>
      <c r="BK1127" s="882"/>
      <c r="BL1127" s="882"/>
      <c r="BU1127" s="882"/>
      <c r="BV1127" s="882"/>
      <c r="BW1127" s="882"/>
      <c r="CF1127" s="882"/>
      <c r="CG1127" s="882"/>
      <c r="CH1127" s="882"/>
      <c r="CI1127" s="530"/>
    </row>
    <row r="1128">
      <c r="A1128" s="857"/>
      <c r="B1128" s="865" t="s">
        <v>120</v>
      </c>
      <c r="C1128" s="865" t="s">
        <v>591</v>
      </c>
      <c r="D1128" s="865" t="s">
        <v>684</v>
      </c>
      <c r="E1128" s="866">
        <v>2019.0</v>
      </c>
      <c r="F1128" s="865" t="s">
        <v>593</v>
      </c>
      <c r="G1128" s="865" t="s">
        <v>70</v>
      </c>
      <c r="H1128" s="867">
        <v>26858.9216</v>
      </c>
      <c r="I1128" s="867">
        <v>29639.19099</v>
      </c>
      <c r="J1128" s="868">
        <v>24145.62904</v>
      </c>
      <c r="K1128" s="50"/>
      <c r="L1128" s="869" t="s">
        <v>120</v>
      </c>
      <c r="M1128" s="865" t="s">
        <v>591</v>
      </c>
      <c r="N1128" s="865" t="s">
        <v>684</v>
      </c>
      <c r="O1128" s="866">
        <v>2004.0</v>
      </c>
      <c r="P1128" s="865" t="s">
        <v>593</v>
      </c>
      <c r="Q1128" s="865" t="s">
        <v>70</v>
      </c>
      <c r="R1128" s="867">
        <v>20389.36738</v>
      </c>
      <c r="S1128" s="867">
        <v>22809.14316</v>
      </c>
      <c r="T1128" s="868">
        <v>17987.04133</v>
      </c>
      <c r="AN1128" s="882"/>
      <c r="AO1128" s="882"/>
      <c r="AP1128" s="882"/>
      <c r="AY1128" s="882"/>
      <c r="AZ1128" s="882"/>
      <c r="BA1128" s="882"/>
      <c r="BJ1128" s="882"/>
      <c r="BK1128" s="882"/>
      <c r="BL1128" s="882"/>
      <c r="BU1128" s="882"/>
      <c r="BV1128" s="882"/>
      <c r="BW1128" s="882"/>
      <c r="CF1128" s="882"/>
      <c r="CG1128" s="882"/>
      <c r="CH1128" s="882"/>
      <c r="CI1128" s="530"/>
    </row>
    <row r="1129">
      <c r="A1129" s="857"/>
      <c r="B1129" s="865" t="s">
        <v>120</v>
      </c>
      <c r="C1129" s="865" t="s">
        <v>591</v>
      </c>
      <c r="D1129" s="865" t="s">
        <v>686</v>
      </c>
      <c r="E1129" s="866">
        <v>2019.0</v>
      </c>
      <c r="F1129" s="865" t="s">
        <v>593</v>
      </c>
      <c r="G1129" s="865" t="s">
        <v>70</v>
      </c>
      <c r="H1129" s="867">
        <v>35961.82936</v>
      </c>
      <c r="I1129" s="867">
        <v>39684.37543</v>
      </c>
      <c r="J1129" s="868">
        <v>32328.9596</v>
      </c>
      <c r="K1129" s="50"/>
      <c r="L1129" s="869" t="s">
        <v>120</v>
      </c>
      <c r="M1129" s="865" t="s">
        <v>591</v>
      </c>
      <c r="N1129" s="865" t="s">
        <v>686</v>
      </c>
      <c r="O1129" s="866">
        <v>2004.0</v>
      </c>
      <c r="P1129" s="865" t="s">
        <v>593</v>
      </c>
      <c r="Q1129" s="865" t="s">
        <v>70</v>
      </c>
      <c r="R1129" s="867">
        <v>27350.05076</v>
      </c>
      <c r="S1129" s="867">
        <v>30595.90873</v>
      </c>
      <c r="T1129" s="868">
        <v>24127.59967</v>
      </c>
      <c r="AN1129" s="882"/>
      <c r="AO1129" s="882"/>
      <c r="AP1129" s="882"/>
      <c r="AY1129" s="882"/>
      <c r="AZ1129" s="882"/>
      <c r="BA1129" s="882"/>
      <c r="BJ1129" s="882"/>
      <c r="BK1129" s="882"/>
      <c r="BL1129" s="882"/>
      <c r="BU1129" s="882"/>
      <c r="BV1129" s="882"/>
      <c r="BW1129" s="882"/>
      <c r="CF1129" s="882"/>
      <c r="CG1129" s="882"/>
      <c r="CH1129" s="882"/>
      <c r="CI1129" s="530"/>
    </row>
    <row r="1130">
      <c r="A1130" s="857"/>
      <c r="B1130" s="865" t="s">
        <v>120</v>
      </c>
      <c r="C1130" s="865" t="s">
        <v>591</v>
      </c>
      <c r="D1130" s="865" t="s">
        <v>688</v>
      </c>
      <c r="E1130" s="866">
        <v>2019.0</v>
      </c>
      <c r="F1130" s="865" t="s">
        <v>593</v>
      </c>
      <c r="G1130" s="865" t="s">
        <v>70</v>
      </c>
      <c r="H1130" s="867">
        <v>418381.7553</v>
      </c>
      <c r="I1130" s="867">
        <v>461690.0461</v>
      </c>
      <c r="J1130" s="868">
        <v>376116.7634</v>
      </c>
      <c r="K1130" s="50"/>
      <c r="L1130" s="869" t="s">
        <v>120</v>
      </c>
      <c r="M1130" s="865" t="s">
        <v>591</v>
      </c>
      <c r="N1130" s="865" t="s">
        <v>688</v>
      </c>
      <c r="O1130" s="866">
        <v>2004.0</v>
      </c>
      <c r="P1130" s="865" t="s">
        <v>593</v>
      </c>
      <c r="Q1130" s="865" t="s">
        <v>70</v>
      </c>
      <c r="R1130" s="867">
        <v>316008.7256</v>
      </c>
      <c r="S1130" s="867">
        <v>353512.1091</v>
      </c>
      <c r="T1130" s="868">
        <v>278775.7906</v>
      </c>
      <c r="AN1130" s="882"/>
      <c r="AO1130" s="882"/>
      <c r="AP1130" s="882"/>
      <c r="AY1130" s="882"/>
      <c r="AZ1130" s="882"/>
      <c r="BA1130" s="882"/>
      <c r="BJ1130" s="882"/>
      <c r="BK1130" s="882"/>
      <c r="BL1130" s="882"/>
      <c r="BU1130" s="882"/>
      <c r="BV1130" s="882"/>
      <c r="BW1130" s="882"/>
      <c r="CF1130" s="882"/>
      <c r="CG1130" s="882"/>
      <c r="CH1130" s="882"/>
      <c r="CI1130" s="530"/>
    </row>
    <row r="1131">
      <c r="A1131" s="857"/>
      <c r="B1131" s="865" t="s">
        <v>120</v>
      </c>
      <c r="C1131" s="865" t="s">
        <v>591</v>
      </c>
      <c r="D1131" s="865" t="s">
        <v>689</v>
      </c>
      <c r="E1131" s="866">
        <v>2019.0</v>
      </c>
      <c r="F1131" s="865" t="s">
        <v>593</v>
      </c>
      <c r="G1131" s="865" t="s">
        <v>70</v>
      </c>
      <c r="H1131" s="867">
        <v>2143394.877</v>
      </c>
      <c r="I1131" s="867">
        <v>2365265.853</v>
      </c>
      <c r="J1131" s="868">
        <v>1926868.783</v>
      </c>
      <c r="K1131" s="50"/>
      <c r="L1131" s="869" t="s">
        <v>120</v>
      </c>
      <c r="M1131" s="865" t="s">
        <v>591</v>
      </c>
      <c r="N1131" s="865" t="s">
        <v>689</v>
      </c>
      <c r="O1131" s="866">
        <v>2004.0</v>
      </c>
      <c r="P1131" s="865" t="s">
        <v>593</v>
      </c>
      <c r="Q1131" s="865" t="s">
        <v>70</v>
      </c>
      <c r="R1131" s="867">
        <v>1542856.715</v>
      </c>
      <c r="S1131" s="867">
        <v>1725960.352</v>
      </c>
      <c r="T1131" s="868">
        <v>1361073.494</v>
      </c>
      <c r="AN1131" s="882"/>
      <c r="AO1131" s="882"/>
      <c r="AP1131" s="882"/>
      <c r="AY1131" s="882"/>
      <c r="AZ1131" s="882"/>
      <c r="BA1131" s="882"/>
      <c r="BJ1131" s="882"/>
      <c r="BK1131" s="882"/>
      <c r="BL1131" s="882"/>
      <c r="BU1131" s="882"/>
      <c r="BV1131" s="882"/>
      <c r="BW1131" s="882"/>
      <c r="CF1131" s="882"/>
      <c r="CG1131" s="882"/>
      <c r="CH1131" s="882"/>
      <c r="CI1131" s="530"/>
    </row>
    <row r="1132">
      <c r="A1132" s="857"/>
      <c r="B1132" s="865" t="s">
        <v>648</v>
      </c>
      <c r="C1132" s="865" t="s">
        <v>591</v>
      </c>
      <c r="D1132" s="865" t="s">
        <v>592</v>
      </c>
      <c r="E1132" s="866">
        <v>2019.0</v>
      </c>
      <c r="F1132" s="865" t="s">
        <v>593</v>
      </c>
      <c r="G1132" s="865" t="s">
        <v>70</v>
      </c>
      <c r="H1132" s="867">
        <v>59695.02792</v>
      </c>
      <c r="I1132" s="867">
        <v>67386.85288</v>
      </c>
      <c r="J1132" s="868">
        <v>52320.95024</v>
      </c>
      <c r="K1132" s="50"/>
      <c r="L1132" s="869" t="s">
        <v>648</v>
      </c>
      <c r="M1132" s="865" t="s">
        <v>591</v>
      </c>
      <c r="N1132" s="865" t="s">
        <v>592</v>
      </c>
      <c r="O1132" s="866">
        <v>2004.0</v>
      </c>
      <c r="P1132" s="865" t="s">
        <v>593</v>
      </c>
      <c r="Q1132" s="865" t="s">
        <v>70</v>
      </c>
      <c r="R1132" s="867">
        <v>52771.83366</v>
      </c>
      <c r="S1132" s="867">
        <v>58034.97022</v>
      </c>
      <c r="T1132" s="868">
        <v>47314.91361</v>
      </c>
      <c r="AN1132" s="882"/>
      <c r="AO1132" s="882"/>
      <c r="AP1132" s="882"/>
      <c r="AY1132" s="882"/>
      <c r="AZ1132" s="882"/>
      <c r="BA1132" s="882"/>
      <c r="BJ1132" s="882"/>
      <c r="BK1132" s="882"/>
      <c r="BL1132" s="882"/>
      <c r="BU1132" s="882"/>
      <c r="BV1132" s="882"/>
      <c r="BW1132" s="882"/>
      <c r="CF1132" s="882"/>
      <c r="CG1132" s="882"/>
      <c r="CH1132" s="882"/>
      <c r="CI1132" s="530"/>
    </row>
    <row r="1133">
      <c r="A1133" s="857"/>
      <c r="B1133" s="865" t="s">
        <v>648</v>
      </c>
      <c r="C1133" s="865" t="s">
        <v>591</v>
      </c>
      <c r="D1133" s="865" t="s">
        <v>601</v>
      </c>
      <c r="E1133" s="866">
        <v>2019.0</v>
      </c>
      <c r="F1133" s="865" t="s">
        <v>593</v>
      </c>
      <c r="G1133" s="865" t="s">
        <v>70</v>
      </c>
      <c r="H1133" s="867">
        <v>1001223.896</v>
      </c>
      <c r="I1133" s="867">
        <v>1130233.618</v>
      </c>
      <c r="J1133" s="868">
        <v>877543.5319</v>
      </c>
      <c r="K1133" s="50"/>
      <c r="L1133" s="869" t="s">
        <v>648</v>
      </c>
      <c r="M1133" s="865" t="s">
        <v>591</v>
      </c>
      <c r="N1133" s="865" t="s">
        <v>601</v>
      </c>
      <c r="O1133" s="866">
        <v>2004.0</v>
      </c>
      <c r="P1133" s="865" t="s">
        <v>593</v>
      </c>
      <c r="Q1133" s="865" t="s">
        <v>70</v>
      </c>
      <c r="R1133" s="867">
        <v>775461.6201</v>
      </c>
      <c r="S1133" s="867">
        <v>852801.3698</v>
      </c>
      <c r="T1133" s="868">
        <v>695274.2974</v>
      </c>
      <c r="AN1133" s="882"/>
      <c r="AO1133" s="882"/>
      <c r="AP1133" s="882"/>
      <c r="AY1133" s="882"/>
      <c r="AZ1133" s="882"/>
      <c r="BA1133" s="882"/>
      <c r="BJ1133" s="882"/>
      <c r="BK1133" s="882"/>
      <c r="BL1133" s="882"/>
      <c r="BU1133" s="882"/>
      <c r="BV1133" s="882"/>
      <c r="BW1133" s="882"/>
      <c r="CF1133" s="882"/>
      <c r="CG1133" s="882"/>
      <c r="CH1133" s="882"/>
      <c r="CI1133" s="530"/>
    </row>
    <row r="1134">
      <c r="A1134" s="857"/>
      <c r="B1134" s="865" t="s">
        <v>648</v>
      </c>
      <c r="C1134" s="865" t="s">
        <v>591</v>
      </c>
      <c r="D1134" s="865" t="s">
        <v>606</v>
      </c>
      <c r="E1134" s="866">
        <v>2019.0</v>
      </c>
      <c r="F1134" s="865" t="s">
        <v>593</v>
      </c>
      <c r="G1134" s="865" t="s">
        <v>70</v>
      </c>
      <c r="H1134" s="867">
        <v>794677.776</v>
      </c>
      <c r="I1134" s="867">
        <v>897073.613</v>
      </c>
      <c r="J1134" s="868">
        <v>696511.8841</v>
      </c>
      <c r="K1134" s="50"/>
      <c r="L1134" s="869" t="s">
        <v>648</v>
      </c>
      <c r="M1134" s="865" t="s">
        <v>591</v>
      </c>
      <c r="N1134" s="865" t="s">
        <v>606</v>
      </c>
      <c r="O1134" s="866">
        <v>2004.0</v>
      </c>
      <c r="P1134" s="865" t="s">
        <v>593</v>
      </c>
      <c r="Q1134" s="865" t="s">
        <v>70</v>
      </c>
      <c r="R1134" s="867">
        <v>617130.0761</v>
      </c>
      <c r="S1134" s="867">
        <v>678678.8161</v>
      </c>
      <c r="T1134" s="868">
        <v>553315.1725</v>
      </c>
      <c r="AN1134" s="882"/>
      <c r="AO1134" s="882"/>
      <c r="AP1134" s="882"/>
      <c r="AY1134" s="882"/>
      <c r="AZ1134" s="882"/>
      <c r="BA1134" s="882"/>
      <c r="BJ1134" s="882"/>
      <c r="BK1134" s="882"/>
      <c r="BL1134" s="882"/>
      <c r="BU1134" s="882"/>
      <c r="BV1134" s="882"/>
      <c r="BW1134" s="882"/>
      <c r="CF1134" s="882"/>
      <c r="CG1134" s="882"/>
      <c r="CH1134" s="882"/>
      <c r="CI1134" s="530"/>
    </row>
    <row r="1135">
      <c r="A1135" s="857"/>
      <c r="B1135" s="865" t="s">
        <v>648</v>
      </c>
      <c r="C1135" s="865" t="s">
        <v>591</v>
      </c>
      <c r="D1135" s="865" t="s">
        <v>608</v>
      </c>
      <c r="E1135" s="866">
        <v>2019.0</v>
      </c>
      <c r="F1135" s="865" t="s">
        <v>593</v>
      </c>
      <c r="G1135" s="865" t="s">
        <v>70</v>
      </c>
      <c r="H1135" s="867">
        <v>227753.8705</v>
      </c>
      <c r="I1135" s="867">
        <v>257100.4169</v>
      </c>
      <c r="J1135" s="868">
        <v>199619.6223</v>
      </c>
      <c r="K1135" s="50"/>
      <c r="L1135" s="869" t="s">
        <v>648</v>
      </c>
      <c r="M1135" s="865" t="s">
        <v>591</v>
      </c>
      <c r="N1135" s="865" t="s">
        <v>608</v>
      </c>
      <c r="O1135" s="866">
        <v>2004.0</v>
      </c>
      <c r="P1135" s="865" t="s">
        <v>593</v>
      </c>
      <c r="Q1135" s="865" t="s">
        <v>70</v>
      </c>
      <c r="R1135" s="867">
        <v>184296.0705</v>
      </c>
      <c r="S1135" s="867">
        <v>202676.6216</v>
      </c>
      <c r="T1135" s="868">
        <v>165238.7656</v>
      </c>
      <c r="AN1135" s="882"/>
      <c r="AO1135" s="882"/>
      <c r="AP1135" s="882"/>
      <c r="AY1135" s="882"/>
      <c r="AZ1135" s="882"/>
      <c r="BA1135" s="882"/>
      <c r="BJ1135" s="882"/>
      <c r="BK1135" s="882"/>
      <c r="BL1135" s="882"/>
      <c r="BU1135" s="882"/>
      <c r="BV1135" s="882"/>
      <c r="BW1135" s="882"/>
      <c r="CF1135" s="882"/>
      <c r="CG1135" s="882"/>
      <c r="CH1135" s="882"/>
      <c r="CI1135" s="530"/>
    </row>
    <row r="1136">
      <c r="A1136" s="857"/>
      <c r="B1136" s="865" t="s">
        <v>648</v>
      </c>
      <c r="C1136" s="865" t="s">
        <v>591</v>
      </c>
      <c r="D1136" s="865" t="s">
        <v>610</v>
      </c>
      <c r="E1136" s="866">
        <v>2019.0</v>
      </c>
      <c r="F1136" s="865" t="s">
        <v>593</v>
      </c>
      <c r="G1136" s="865" t="s">
        <v>70</v>
      </c>
      <c r="H1136" s="867">
        <v>238123.8488</v>
      </c>
      <c r="I1136" s="867">
        <v>268806.5879</v>
      </c>
      <c r="J1136" s="868">
        <v>208708.6057</v>
      </c>
      <c r="K1136" s="50"/>
      <c r="L1136" s="869" t="s">
        <v>648</v>
      </c>
      <c r="M1136" s="865" t="s">
        <v>591</v>
      </c>
      <c r="N1136" s="865" t="s">
        <v>610</v>
      </c>
      <c r="O1136" s="866">
        <v>2004.0</v>
      </c>
      <c r="P1136" s="865" t="s">
        <v>593</v>
      </c>
      <c r="Q1136" s="865" t="s">
        <v>70</v>
      </c>
      <c r="R1136" s="867">
        <v>179553.5413</v>
      </c>
      <c r="S1136" s="867">
        <v>197461.1019</v>
      </c>
      <c r="T1136" s="868">
        <v>160986.642</v>
      </c>
      <c r="AN1136" s="882"/>
      <c r="AO1136" s="882"/>
      <c r="AP1136" s="882"/>
      <c r="AY1136" s="882"/>
      <c r="AZ1136" s="882"/>
      <c r="BA1136" s="882"/>
      <c r="BJ1136" s="882"/>
      <c r="BK1136" s="882"/>
      <c r="BL1136" s="882"/>
      <c r="BU1136" s="882"/>
      <c r="BV1136" s="882"/>
      <c r="BW1136" s="882"/>
      <c r="CF1136" s="882"/>
      <c r="CG1136" s="882"/>
      <c r="CH1136" s="882"/>
      <c r="CI1136" s="530"/>
    </row>
    <row r="1137">
      <c r="A1137" s="857"/>
      <c r="B1137" s="865" t="s">
        <v>648</v>
      </c>
      <c r="C1137" s="865" t="s">
        <v>591</v>
      </c>
      <c r="D1137" s="865" t="s">
        <v>612</v>
      </c>
      <c r="E1137" s="866">
        <v>2019.0</v>
      </c>
      <c r="F1137" s="865" t="s">
        <v>593</v>
      </c>
      <c r="G1137" s="865" t="s">
        <v>70</v>
      </c>
      <c r="H1137" s="867">
        <v>444669.9689</v>
      </c>
      <c r="I1137" s="867">
        <v>501966.5927</v>
      </c>
      <c r="J1137" s="868">
        <v>389740.2534</v>
      </c>
      <c r="K1137" s="50"/>
      <c r="L1137" s="869" t="s">
        <v>648</v>
      </c>
      <c r="M1137" s="865" t="s">
        <v>591</v>
      </c>
      <c r="N1137" s="865" t="s">
        <v>612</v>
      </c>
      <c r="O1137" s="866">
        <v>2004.0</v>
      </c>
      <c r="P1137" s="865" t="s">
        <v>593</v>
      </c>
      <c r="Q1137" s="865" t="s">
        <v>70</v>
      </c>
      <c r="R1137" s="867">
        <v>337885.0853</v>
      </c>
      <c r="S1137" s="867">
        <v>371583.6556</v>
      </c>
      <c r="T1137" s="868">
        <v>302945.767</v>
      </c>
      <c r="AN1137" s="882"/>
      <c r="AO1137" s="882"/>
      <c r="AP1137" s="882"/>
      <c r="AY1137" s="882"/>
      <c r="AZ1137" s="882"/>
      <c r="BA1137" s="882"/>
      <c r="BJ1137" s="882"/>
      <c r="BK1137" s="882"/>
      <c r="BL1137" s="882"/>
      <c r="BU1137" s="882"/>
      <c r="BV1137" s="882"/>
      <c r="BW1137" s="882"/>
      <c r="CF1137" s="882"/>
      <c r="CG1137" s="882"/>
      <c r="CH1137" s="882"/>
      <c r="CI1137" s="530"/>
    </row>
    <row r="1138">
      <c r="A1138" s="857"/>
      <c r="B1138" s="865" t="s">
        <v>648</v>
      </c>
      <c r="C1138" s="865" t="s">
        <v>591</v>
      </c>
      <c r="D1138" s="865" t="s">
        <v>614</v>
      </c>
      <c r="E1138" s="866">
        <v>2019.0</v>
      </c>
      <c r="F1138" s="865" t="s">
        <v>593</v>
      </c>
      <c r="G1138" s="865" t="s">
        <v>70</v>
      </c>
      <c r="H1138" s="867">
        <v>627126.2713</v>
      </c>
      <c r="I1138" s="867">
        <v>707932.7584</v>
      </c>
      <c r="J1138" s="868">
        <v>549657.879</v>
      </c>
      <c r="K1138" s="50"/>
      <c r="L1138" s="869" t="s">
        <v>648</v>
      </c>
      <c r="M1138" s="865" t="s">
        <v>591</v>
      </c>
      <c r="N1138" s="865" t="s">
        <v>614</v>
      </c>
      <c r="O1138" s="866">
        <v>2004.0</v>
      </c>
      <c r="P1138" s="865" t="s">
        <v>593</v>
      </c>
      <c r="Q1138" s="865" t="s">
        <v>70</v>
      </c>
      <c r="R1138" s="867">
        <v>470458.836</v>
      </c>
      <c r="S1138" s="867">
        <v>517379.493</v>
      </c>
      <c r="T1138" s="868">
        <v>421810.607</v>
      </c>
      <c r="AN1138" s="882"/>
      <c r="AO1138" s="882"/>
      <c r="AP1138" s="882"/>
      <c r="AY1138" s="882"/>
      <c r="AZ1138" s="882"/>
      <c r="BA1138" s="882"/>
      <c r="BJ1138" s="882"/>
      <c r="BK1138" s="882"/>
      <c r="BL1138" s="882"/>
      <c r="BU1138" s="882"/>
      <c r="BV1138" s="882"/>
      <c r="BW1138" s="882"/>
      <c r="CF1138" s="882"/>
      <c r="CG1138" s="882"/>
      <c r="CH1138" s="882"/>
      <c r="CI1138" s="530"/>
    </row>
    <row r="1139">
      <c r="A1139" s="857"/>
      <c r="B1139" s="865" t="s">
        <v>648</v>
      </c>
      <c r="C1139" s="865" t="s">
        <v>591</v>
      </c>
      <c r="D1139" s="865" t="s">
        <v>616</v>
      </c>
      <c r="E1139" s="866">
        <v>2019.0</v>
      </c>
      <c r="F1139" s="865" t="s">
        <v>593</v>
      </c>
      <c r="G1139" s="865" t="s">
        <v>70</v>
      </c>
      <c r="H1139" s="867">
        <v>206546.12</v>
      </c>
      <c r="I1139" s="867">
        <v>233160.0049</v>
      </c>
      <c r="J1139" s="868">
        <v>181031.6477</v>
      </c>
      <c r="K1139" s="50"/>
      <c r="L1139" s="869" t="s">
        <v>648</v>
      </c>
      <c r="M1139" s="865" t="s">
        <v>591</v>
      </c>
      <c r="N1139" s="865" t="s">
        <v>616</v>
      </c>
      <c r="O1139" s="866">
        <v>2004.0</v>
      </c>
      <c r="P1139" s="865" t="s">
        <v>593</v>
      </c>
      <c r="Q1139" s="865" t="s">
        <v>70</v>
      </c>
      <c r="R1139" s="867">
        <v>158331.544</v>
      </c>
      <c r="S1139" s="867">
        <v>174122.5537</v>
      </c>
      <c r="T1139" s="868">
        <v>141959.1249</v>
      </c>
      <c r="AN1139" s="882"/>
      <c r="AO1139" s="882"/>
      <c r="AP1139" s="882"/>
      <c r="AY1139" s="882"/>
      <c r="AZ1139" s="882"/>
      <c r="BA1139" s="882"/>
      <c r="BJ1139" s="882"/>
      <c r="BK1139" s="882"/>
      <c r="BL1139" s="882"/>
      <c r="BU1139" s="882"/>
      <c r="BV1139" s="882"/>
      <c r="BW1139" s="882"/>
      <c r="CF1139" s="882"/>
      <c r="CG1139" s="882"/>
      <c r="CH1139" s="882"/>
      <c r="CI1139" s="530"/>
    </row>
    <row r="1140">
      <c r="A1140" s="857"/>
      <c r="B1140" s="865" t="s">
        <v>648</v>
      </c>
      <c r="C1140" s="865" t="s">
        <v>591</v>
      </c>
      <c r="D1140" s="865" t="s">
        <v>618</v>
      </c>
      <c r="E1140" s="866">
        <v>2019.0</v>
      </c>
      <c r="F1140" s="865" t="s">
        <v>593</v>
      </c>
      <c r="G1140" s="865" t="s">
        <v>70</v>
      </c>
      <c r="H1140" s="867">
        <v>803564.1719</v>
      </c>
      <c r="I1140" s="867">
        <v>907161.6163</v>
      </c>
      <c r="J1140" s="868">
        <v>704309.2532</v>
      </c>
      <c r="K1140" s="50"/>
      <c r="L1140" s="869" t="s">
        <v>648</v>
      </c>
      <c r="M1140" s="865" t="s">
        <v>591</v>
      </c>
      <c r="N1140" s="865" t="s">
        <v>618</v>
      </c>
      <c r="O1140" s="866">
        <v>2004.0</v>
      </c>
      <c r="P1140" s="865" t="s">
        <v>593</v>
      </c>
      <c r="Q1140" s="865" t="s">
        <v>70</v>
      </c>
      <c r="R1140" s="867">
        <v>541513.22</v>
      </c>
      <c r="S1140" s="867">
        <v>595537.4127</v>
      </c>
      <c r="T1140" s="868">
        <v>485497.8857</v>
      </c>
      <c r="AN1140" s="882"/>
      <c r="AO1140" s="882"/>
      <c r="AP1140" s="882"/>
      <c r="AY1140" s="882"/>
      <c r="AZ1140" s="882"/>
      <c r="BA1140" s="882"/>
      <c r="BJ1140" s="882"/>
      <c r="BK1140" s="882"/>
      <c r="BL1140" s="882"/>
      <c r="BU1140" s="882"/>
      <c r="BV1140" s="882"/>
      <c r="BW1140" s="882"/>
      <c r="CF1140" s="882"/>
      <c r="CG1140" s="882"/>
      <c r="CH1140" s="882"/>
      <c r="CI1140" s="530"/>
    </row>
    <row r="1141">
      <c r="A1141" s="857"/>
      <c r="B1141" s="865" t="s">
        <v>648</v>
      </c>
      <c r="C1141" s="865" t="s">
        <v>591</v>
      </c>
      <c r="D1141" s="865" t="s">
        <v>620</v>
      </c>
      <c r="E1141" s="866">
        <v>2019.0</v>
      </c>
      <c r="F1141" s="865" t="s">
        <v>593</v>
      </c>
      <c r="G1141" s="865" t="s">
        <v>70</v>
      </c>
      <c r="H1141" s="867">
        <v>946258.1791</v>
      </c>
      <c r="I1141" s="867">
        <v>1068185.457</v>
      </c>
      <c r="J1141" s="868">
        <v>829367.6848</v>
      </c>
      <c r="K1141" s="50"/>
      <c r="L1141" s="869" t="s">
        <v>648</v>
      </c>
      <c r="M1141" s="865" t="s">
        <v>591</v>
      </c>
      <c r="N1141" s="865" t="s">
        <v>620</v>
      </c>
      <c r="O1141" s="866">
        <v>2004.0</v>
      </c>
      <c r="P1141" s="865" t="s">
        <v>593</v>
      </c>
      <c r="Q1141" s="865" t="s">
        <v>70</v>
      </c>
      <c r="R1141" s="867">
        <v>634901.5523</v>
      </c>
      <c r="S1141" s="867">
        <v>698222.7095</v>
      </c>
      <c r="T1141" s="868">
        <v>569248.9728</v>
      </c>
      <c r="AN1141" s="882"/>
      <c r="AO1141" s="882"/>
      <c r="AP1141" s="882"/>
      <c r="AY1141" s="882"/>
      <c r="AZ1141" s="882"/>
      <c r="BA1141" s="882"/>
      <c r="BJ1141" s="882"/>
      <c r="BK1141" s="882"/>
      <c r="BL1141" s="882"/>
      <c r="BU1141" s="882"/>
      <c r="BV1141" s="882"/>
      <c r="BW1141" s="882"/>
      <c r="CF1141" s="882"/>
      <c r="CG1141" s="882"/>
      <c r="CH1141" s="882"/>
      <c r="CI1141" s="530"/>
    </row>
    <row r="1142">
      <c r="A1142" s="857"/>
      <c r="B1142" s="865" t="s">
        <v>648</v>
      </c>
      <c r="C1142" s="865" t="s">
        <v>591</v>
      </c>
      <c r="D1142" s="865" t="s">
        <v>622</v>
      </c>
      <c r="E1142" s="866">
        <v>2019.0</v>
      </c>
      <c r="F1142" s="865" t="s">
        <v>593</v>
      </c>
      <c r="G1142" s="865" t="s">
        <v>70</v>
      </c>
      <c r="H1142" s="867">
        <v>899934.7924</v>
      </c>
      <c r="I1142" s="867">
        <v>1015956.571</v>
      </c>
      <c r="J1142" s="868">
        <v>788776.3339</v>
      </c>
      <c r="K1142" s="50"/>
      <c r="L1142" s="869" t="s">
        <v>648</v>
      </c>
      <c r="M1142" s="865" t="s">
        <v>591</v>
      </c>
      <c r="N1142" s="865" t="s">
        <v>622</v>
      </c>
      <c r="O1142" s="866">
        <v>2004.0</v>
      </c>
      <c r="P1142" s="865" t="s">
        <v>593</v>
      </c>
      <c r="Q1142" s="865" t="s">
        <v>70</v>
      </c>
      <c r="R1142" s="867">
        <v>586686.3611</v>
      </c>
      <c r="S1142" s="867">
        <v>645217.2628</v>
      </c>
      <c r="T1142" s="868">
        <v>525998.2164</v>
      </c>
      <c r="AN1142" s="882"/>
      <c r="AO1142" s="882"/>
      <c r="AP1142" s="882"/>
      <c r="AY1142" s="882"/>
      <c r="AZ1142" s="882"/>
      <c r="BA1142" s="882"/>
      <c r="BJ1142" s="882"/>
      <c r="BK1142" s="882"/>
      <c r="BL1142" s="882"/>
      <c r="BU1142" s="882"/>
      <c r="BV1142" s="882"/>
      <c r="BW1142" s="882"/>
      <c r="CF1142" s="882"/>
      <c r="CG1142" s="882"/>
      <c r="CH1142" s="882"/>
      <c r="CI1142" s="530"/>
    </row>
    <row r="1143">
      <c r="A1143" s="857"/>
      <c r="B1143" s="865" t="s">
        <v>648</v>
      </c>
      <c r="C1143" s="865" t="s">
        <v>591</v>
      </c>
      <c r="D1143" s="865" t="s">
        <v>624</v>
      </c>
      <c r="E1143" s="866">
        <v>2019.0</v>
      </c>
      <c r="F1143" s="865" t="s">
        <v>593</v>
      </c>
      <c r="G1143" s="865" t="s">
        <v>70</v>
      </c>
      <c r="H1143" s="867">
        <v>182456.3025</v>
      </c>
      <c r="I1143" s="867">
        <v>205966.1657</v>
      </c>
      <c r="J1143" s="868">
        <v>159917.6256</v>
      </c>
      <c r="K1143" s="50"/>
      <c r="L1143" s="869" t="s">
        <v>648</v>
      </c>
      <c r="M1143" s="865" t="s">
        <v>591</v>
      </c>
      <c r="N1143" s="865" t="s">
        <v>624</v>
      </c>
      <c r="O1143" s="866">
        <v>2004.0</v>
      </c>
      <c r="P1143" s="865" t="s">
        <v>593</v>
      </c>
      <c r="Q1143" s="865" t="s">
        <v>70</v>
      </c>
      <c r="R1143" s="867">
        <v>132573.7508</v>
      </c>
      <c r="S1143" s="867">
        <v>145795.8374</v>
      </c>
      <c r="T1143" s="868">
        <v>118864.84</v>
      </c>
      <c r="AN1143" s="882"/>
      <c r="AO1143" s="882"/>
      <c r="AP1143" s="882"/>
      <c r="AY1143" s="882"/>
      <c r="AZ1143" s="882"/>
      <c r="BA1143" s="882"/>
      <c r="BJ1143" s="882"/>
      <c r="BK1143" s="882"/>
      <c r="BL1143" s="882"/>
      <c r="BU1143" s="882"/>
      <c r="BV1143" s="882"/>
      <c r="BW1143" s="882"/>
      <c r="CF1143" s="882"/>
      <c r="CG1143" s="882"/>
      <c r="CH1143" s="882"/>
      <c r="CI1143" s="530"/>
    </row>
    <row r="1144">
      <c r="A1144" s="857"/>
      <c r="B1144" s="865" t="s">
        <v>648</v>
      </c>
      <c r="C1144" s="865" t="s">
        <v>591</v>
      </c>
      <c r="D1144" s="865" t="s">
        <v>625</v>
      </c>
      <c r="E1144" s="866">
        <v>2019.0</v>
      </c>
      <c r="F1144" s="865" t="s">
        <v>593</v>
      </c>
      <c r="G1144" s="865" t="s">
        <v>70</v>
      </c>
      <c r="H1144" s="867">
        <v>717511.2439</v>
      </c>
      <c r="I1144" s="867">
        <v>809964.0173</v>
      </c>
      <c r="J1144" s="868">
        <v>628877.6702</v>
      </c>
      <c r="K1144" s="50"/>
      <c r="L1144" s="869" t="s">
        <v>648</v>
      </c>
      <c r="M1144" s="865" t="s">
        <v>591</v>
      </c>
      <c r="N1144" s="865" t="s">
        <v>625</v>
      </c>
      <c r="O1144" s="866">
        <v>2004.0</v>
      </c>
      <c r="P1144" s="865" t="s">
        <v>593</v>
      </c>
      <c r="Q1144" s="865" t="s">
        <v>70</v>
      </c>
      <c r="R1144" s="867">
        <v>454127.5973</v>
      </c>
      <c r="S1144" s="867">
        <v>499419.4774</v>
      </c>
      <c r="T1144" s="868">
        <v>407168.115</v>
      </c>
      <c r="AN1144" s="882"/>
      <c r="AO1144" s="882"/>
      <c r="AP1144" s="882"/>
      <c r="AY1144" s="882"/>
      <c r="AZ1144" s="882"/>
      <c r="BA1144" s="882"/>
      <c r="BJ1144" s="882"/>
      <c r="BK1144" s="882"/>
      <c r="BL1144" s="882"/>
      <c r="BU1144" s="882"/>
      <c r="BV1144" s="882"/>
      <c r="BW1144" s="882"/>
      <c r="CF1144" s="882"/>
      <c r="CG1144" s="882"/>
      <c r="CH1144" s="882"/>
      <c r="CI1144" s="530"/>
    </row>
    <row r="1145">
      <c r="A1145" s="857"/>
      <c r="B1145" s="865" t="s">
        <v>648</v>
      </c>
      <c r="C1145" s="865" t="s">
        <v>591</v>
      </c>
      <c r="D1145" s="865" t="s">
        <v>627</v>
      </c>
      <c r="E1145" s="866">
        <v>2019.0</v>
      </c>
      <c r="F1145" s="865" t="s">
        <v>593</v>
      </c>
      <c r="G1145" s="865" t="s">
        <v>70</v>
      </c>
      <c r="H1145" s="867">
        <v>165109.9381</v>
      </c>
      <c r="I1145" s="867">
        <v>186384.6873</v>
      </c>
      <c r="J1145" s="868">
        <v>144714.0433</v>
      </c>
      <c r="K1145" s="50"/>
      <c r="L1145" s="869" t="s">
        <v>648</v>
      </c>
      <c r="M1145" s="865" t="s">
        <v>591</v>
      </c>
      <c r="N1145" s="865" t="s">
        <v>627</v>
      </c>
      <c r="O1145" s="866">
        <v>2004.0</v>
      </c>
      <c r="P1145" s="865" t="s">
        <v>593</v>
      </c>
      <c r="Q1145" s="865" t="s">
        <v>70</v>
      </c>
      <c r="R1145" s="867">
        <v>104535.2245</v>
      </c>
      <c r="S1145" s="867">
        <v>114960.9218</v>
      </c>
      <c r="T1145" s="868">
        <v>93725.66337</v>
      </c>
      <c r="AN1145" s="882"/>
      <c r="AO1145" s="882"/>
      <c r="AP1145" s="882"/>
      <c r="AY1145" s="882"/>
      <c r="AZ1145" s="882"/>
      <c r="BA1145" s="882"/>
      <c r="BJ1145" s="882"/>
      <c r="BK1145" s="882"/>
      <c r="BL1145" s="882"/>
      <c r="BU1145" s="882"/>
      <c r="BV1145" s="882"/>
      <c r="BW1145" s="882"/>
      <c r="CF1145" s="882"/>
      <c r="CG1145" s="882"/>
      <c r="CH1145" s="882"/>
      <c r="CI1145" s="530"/>
    </row>
    <row r="1146">
      <c r="A1146" s="857"/>
      <c r="B1146" s="865" t="s">
        <v>648</v>
      </c>
      <c r="C1146" s="865" t="s">
        <v>591</v>
      </c>
      <c r="D1146" s="865" t="s">
        <v>629</v>
      </c>
      <c r="E1146" s="866">
        <v>2019.0</v>
      </c>
      <c r="F1146" s="865" t="s">
        <v>593</v>
      </c>
      <c r="G1146" s="865" t="s">
        <v>70</v>
      </c>
      <c r="H1146" s="867">
        <v>557235.4755</v>
      </c>
      <c r="I1146" s="867">
        <v>629075.6262</v>
      </c>
      <c r="J1146" s="868">
        <v>488406.6704</v>
      </c>
      <c r="K1146" s="50"/>
      <c r="L1146" s="869" t="s">
        <v>648</v>
      </c>
      <c r="M1146" s="865" t="s">
        <v>591</v>
      </c>
      <c r="N1146" s="865" t="s">
        <v>629</v>
      </c>
      <c r="O1146" s="866">
        <v>2004.0</v>
      </c>
      <c r="P1146" s="865" t="s">
        <v>593</v>
      </c>
      <c r="Q1146" s="865" t="s">
        <v>70</v>
      </c>
      <c r="R1146" s="867">
        <v>343987.4703</v>
      </c>
      <c r="S1146" s="867">
        <v>378305.4605</v>
      </c>
      <c r="T1146" s="868">
        <v>308404.6398</v>
      </c>
      <c r="AN1146" s="882"/>
      <c r="AO1146" s="882"/>
      <c r="AP1146" s="882"/>
      <c r="AY1146" s="882"/>
      <c r="AZ1146" s="882"/>
      <c r="BA1146" s="882"/>
      <c r="BJ1146" s="882"/>
      <c r="BK1146" s="882"/>
      <c r="BL1146" s="882"/>
      <c r="BU1146" s="882"/>
      <c r="BV1146" s="882"/>
      <c r="BW1146" s="882"/>
      <c r="CF1146" s="882"/>
      <c r="CG1146" s="882"/>
      <c r="CH1146" s="882"/>
      <c r="CI1146" s="530"/>
    </row>
    <row r="1147">
      <c r="A1147" s="857"/>
      <c r="B1147" s="865" t="s">
        <v>648</v>
      </c>
      <c r="C1147" s="865" t="s">
        <v>591</v>
      </c>
      <c r="D1147" s="865" t="s">
        <v>631</v>
      </c>
      <c r="E1147" s="866">
        <v>2019.0</v>
      </c>
      <c r="F1147" s="865" t="s">
        <v>593</v>
      </c>
      <c r="G1147" s="865" t="s">
        <v>70</v>
      </c>
      <c r="H1147" s="867">
        <v>140091.2376</v>
      </c>
      <c r="I1147" s="867">
        <v>158142.2766</v>
      </c>
      <c r="J1147" s="868">
        <v>122785.8822</v>
      </c>
      <c r="K1147" s="50"/>
      <c r="L1147" s="869" t="s">
        <v>648</v>
      </c>
      <c r="M1147" s="865" t="s">
        <v>591</v>
      </c>
      <c r="N1147" s="865" t="s">
        <v>631</v>
      </c>
      <c r="O1147" s="866">
        <v>2004.0</v>
      </c>
      <c r="P1147" s="865" t="s">
        <v>593</v>
      </c>
      <c r="Q1147" s="865" t="s">
        <v>70</v>
      </c>
      <c r="R1147" s="867">
        <v>81560.44182</v>
      </c>
      <c r="S1147" s="867">
        <v>89694.77625</v>
      </c>
      <c r="T1147" s="868">
        <v>73126.60925</v>
      </c>
      <c r="AN1147" s="882"/>
      <c r="AO1147" s="882"/>
      <c r="AP1147" s="882"/>
      <c r="AY1147" s="882"/>
      <c r="AZ1147" s="882"/>
      <c r="BA1147" s="882"/>
      <c r="BJ1147" s="882"/>
      <c r="BK1147" s="882"/>
      <c r="BL1147" s="882"/>
      <c r="BU1147" s="882"/>
      <c r="BV1147" s="882"/>
      <c r="BW1147" s="882"/>
      <c r="CF1147" s="882"/>
      <c r="CG1147" s="882"/>
      <c r="CH1147" s="882"/>
      <c r="CI1147" s="530"/>
    </row>
    <row r="1148">
      <c r="A1148" s="857"/>
      <c r="B1148" s="865" t="s">
        <v>648</v>
      </c>
      <c r="C1148" s="865" t="s">
        <v>591</v>
      </c>
      <c r="D1148" s="865" t="s">
        <v>633</v>
      </c>
      <c r="E1148" s="866">
        <v>2019.0</v>
      </c>
      <c r="F1148" s="865" t="s">
        <v>593</v>
      </c>
      <c r="G1148" s="865" t="s">
        <v>70</v>
      </c>
      <c r="H1148" s="867">
        <v>109389.8202</v>
      </c>
      <c r="I1148" s="867">
        <v>123484.9195</v>
      </c>
      <c r="J1148" s="868">
        <v>95876.98571</v>
      </c>
      <c r="K1148" s="50"/>
      <c r="L1148" s="869" t="s">
        <v>648</v>
      </c>
      <c r="M1148" s="865" t="s">
        <v>591</v>
      </c>
      <c r="N1148" s="865" t="s">
        <v>633</v>
      </c>
      <c r="O1148" s="866">
        <v>2004.0</v>
      </c>
      <c r="P1148" s="865" t="s">
        <v>593</v>
      </c>
      <c r="Q1148" s="865" t="s">
        <v>70</v>
      </c>
      <c r="R1148" s="867">
        <v>64526.09198</v>
      </c>
      <c r="S1148" s="867">
        <v>70961.52563</v>
      </c>
      <c r="T1148" s="868">
        <v>57853.71204</v>
      </c>
      <c r="AN1148" s="882"/>
      <c r="AO1148" s="882"/>
      <c r="AP1148" s="882"/>
      <c r="AY1148" s="882"/>
      <c r="AZ1148" s="882"/>
      <c r="BA1148" s="882"/>
      <c r="BJ1148" s="882"/>
      <c r="BK1148" s="882"/>
      <c r="BL1148" s="882"/>
      <c r="BU1148" s="882"/>
      <c r="BV1148" s="882"/>
      <c r="BW1148" s="882"/>
      <c r="CF1148" s="882"/>
      <c r="CG1148" s="882"/>
      <c r="CH1148" s="882"/>
      <c r="CI1148" s="530"/>
    </row>
    <row r="1149">
      <c r="A1149" s="857"/>
      <c r="B1149" s="865" t="s">
        <v>648</v>
      </c>
      <c r="C1149" s="865" t="s">
        <v>591</v>
      </c>
      <c r="D1149" s="865" t="s">
        <v>635</v>
      </c>
      <c r="E1149" s="866">
        <v>2019.0</v>
      </c>
      <c r="F1149" s="865" t="s">
        <v>593</v>
      </c>
      <c r="G1149" s="865" t="s">
        <v>70</v>
      </c>
      <c r="H1149" s="867">
        <v>81329.84466</v>
      </c>
      <c r="I1149" s="867">
        <v>91809.35946</v>
      </c>
      <c r="J1149" s="868">
        <v>71283.23586</v>
      </c>
      <c r="K1149" s="50"/>
      <c r="L1149" s="869" t="s">
        <v>648</v>
      </c>
      <c r="M1149" s="865" t="s">
        <v>591</v>
      </c>
      <c r="N1149" s="865" t="s">
        <v>635</v>
      </c>
      <c r="O1149" s="866">
        <v>2004.0</v>
      </c>
      <c r="P1149" s="865" t="s">
        <v>593</v>
      </c>
      <c r="Q1149" s="865" t="s">
        <v>70</v>
      </c>
      <c r="R1149" s="867">
        <v>52338.8724</v>
      </c>
      <c r="S1149" s="867">
        <v>57558.82809</v>
      </c>
      <c r="T1149" s="868">
        <v>46926.72312</v>
      </c>
      <c r="AN1149" s="882"/>
      <c r="AO1149" s="882"/>
      <c r="AP1149" s="882"/>
      <c r="AY1149" s="882"/>
      <c r="AZ1149" s="882"/>
      <c r="BA1149" s="882"/>
      <c r="BJ1149" s="882"/>
      <c r="BK1149" s="882"/>
      <c r="BL1149" s="882"/>
      <c r="BU1149" s="882"/>
      <c r="BV1149" s="882"/>
      <c r="BW1149" s="882"/>
      <c r="CF1149" s="882"/>
      <c r="CG1149" s="882"/>
      <c r="CH1149" s="882"/>
      <c r="CI1149" s="530"/>
    </row>
    <row r="1150">
      <c r="A1150" s="857"/>
      <c r="B1150" s="865" t="s">
        <v>648</v>
      </c>
      <c r="C1150" s="865" t="s">
        <v>591</v>
      </c>
      <c r="D1150" s="865" t="s">
        <v>637</v>
      </c>
      <c r="E1150" s="866">
        <v>2019.0</v>
      </c>
      <c r="F1150" s="865" t="s">
        <v>593</v>
      </c>
      <c r="G1150" s="865" t="s">
        <v>70</v>
      </c>
      <c r="H1150" s="867">
        <v>61334.91608</v>
      </c>
      <c r="I1150" s="867">
        <v>69238.04393</v>
      </c>
      <c r="J1150" s="868">
        <v>53758.26435</v>
      </c>
      <c r="K1150" s="50"/>
      <c r="L1150" s="869" t="s">
        <v>648</v>
      </c>
      <c r="M1150" s="865" t="s">
        <v>591</v>
      </c>
      <c r="N1150" s="865" t="s">
        <v>637</v>
      </c>
      <c r="O1150" s="866">
        <v>2004.0</v>
      </c>
      <c r="P1150" s="865" t="s">
        <v>593</v>
      </c>
      <c r="Q1150" s="865" t="s">
        <v>70</v>
      </c>
      <c r="R1150" s="867">
        <v>41035.62683</v>
      </c>
      <c r="S1150" s="867">
        <v>45128.26665</v>
      </c>
      <c r="T1150" s="868">
        <v>36792.30006</v>
      </c>
      <c r="AN1150" s="882"/>
      <c r="AO1150" s="882"/>
      <c r="AP1150" s="882"/>
      <c r="AY1150" s="882"/>
      <c r="AZ1150" s="882"/>
      <c r="BA1150" s="882"/>
      <c r="BJ1150" s="882"/>
      <c r="BK1150" s="882"/>
      <c r="BL1150" s="882"/>
      <c r="BU1150" s="882"/>
      <c r="BV1150" s="882"/>
      <c r="BW1150" s="882"/>
      <c r="CF1150" s="882"/>
      <c r="CG1150" s="882"/>
      <c r="CH1150" s="882"/>
      <c r="CI1150" s="530"/>
    </row>
    <row r="1151">
      <c r="A1151" s="857"/>
      <c r="B1151" s="865" t="s">
        <v>648</v>
      </c>
      <c r="C1151" s="865" t="s">
        <v>591</v>
      </c>
      <c r="D1151" s="865" t="s">
        <v>639</v>
      </c>
      <c r="E1151" s="866">
        <v>2019.0</v>
      </c>
      <c r="F1151" s="865" t="s">
        <v>593</v>
      </c>
      <c r="G1151" s="865" t="s">
        <v>70</v>
      </c>
      <c r="H1151" s="867">
        <v>713749.02</v>
      </c>
      <c r="I1151" s="867">
        <v>805767.2769</v>
      </c>
      <c r="J1151" s="868">
        <v>625587.9204</v>
      </c>
      <c r="K1151" s="50"/>
      <c r="L1151" s="869" t="s">
        <v>648</v>
      </c>
      <c r="M1151" s="865" t="s">
        <v>591</v>
      </c>
      <c r="N1151" s="865" t="s">
        <v>639</v>
      </c>
      <c r="O1151" s="866">
        <v>2004.0</v>
      </c>
      <c r="P1151" s="865" t="s">
        <v>593</v>
      </c>
      <c r="Q1151" s="865" t="s">
        <v>70</v>
      </c>
      <c r="R1151" s="867">
        <v>538379.963</v>
      </c>
      <c r="S1151" s="867">
        <v>592091.5656</v>
      </c>
      <c r="T1151" s="868">
        <v>482688.7398</v>
      </c>
      <c r="AN1151" s="882"/>
      <c r="AO1151" s="882"/>
      <c r="AP1151" s="882"/>
      <c r="AY1151" s="882"/>
      <c r="AZ1151" s="882"/>
      <c r="BA1151" s="882"/>
      <c r="BJ1151" s="882"/>
      <c r="BK1151" s="882"/>
      <c r="BL1151" s="882"/>
      <c r="BU1151" s="882"/>
      <c r="BV1151" s="882"/>
      <c r="BW1151" s="882"/>
      <c r="CF1151" s="882"/>
      <c r="CG1151" s="882"/>
      <c r="CH1151" s="882"/>
      <c r="CI1151" s="530"/>
    </row>
    <row r="1152">
      <c r="A1152" s="857"/>
      <c r="B1152" s="865" t="s">
        <v>648</v>
      </c>
      <c r="C1152" s="865" t="s">
        <v>591</v>
      </c>
      <c r="D1152" s="865" t="s">
        <v>641</v>
      </c>
      <c r="E1152" s="866">
        <v>2019.0</v>
      </c>
      <c r="F1152" s="865" t="s">
        <v>593</v>
      </c>
      <c r="G1152" s="865" t="s">
        <v>70</v>
      </c>
      <c r="H1152" s="867">
        <v>269105.0287</v>
      </c>
      <c r="I1152" s="867">
        <v>303779.7554</v>
      </c>
      <c r="J1152" s="868">
        <v>235862.7059</v>
      </c>
      <c r="K1152" s="50"/>
      <c r="L1152" s="869" t="s">
        <v>648</v>
      </c>
      <c r="M1152" s="865" t="s">
        <v>591</v>
      </c>
      <c r="N1152" s="865" t="s">
        <v>641</v>
      </c>
      <c r="O1152" s="866">
        <v>2004.0</v>
      </c>
      <c r="P1152" s="865" t="s">
        <v>593</v>
      </c>
      <c r="Q1152" s="865" t="s">
        <v>70</v>
      </c>
      <c r="R1152" s="867">
        <v>200508.6307</v>
      </c>
      <c r="S1152" s="867">
        <v>220506.1224</v>
      </c>
      <c r="T1152" s="868">
        <v>179774.8512</v>
      </c>
      <c r="AN1152" s="882"/>
      <c r="AO1152" s="882"/>
      <c r="AP1152" s="882"/>
      <c r="AY1152" s="882"/>
      <c r="AZ1152" s="882"/>
      <c r="BA1152" s="882"/>
      <c r="BJ1152" s="882"/>
      <c r="BK1152" s="882"/>
      <c r="BL1152" s="882"/>
      <c r="BU1152" s="882"/>
      <c r="BV1152" s="882"/>
      <c r="BW1152" s="882"/>
      <c r="CF1152" s="882"/>
      <c r="CG1152" s="882"/>
      <c r="CH1152" s="882"/>
      <c r="CI1152" s="530"/>
    </row>
    <row r="1153">
      <c r="A1153" s="857"/>
      <c r="B1153" s="865" t="s">
        <v>648</v>
      </c>
      <c r="C1153" s="865" t="s">
        <v>591</v>
      </c>
      <c r="D1153" s="865" t="s">
        <v>643</v>
      </c>
      <c r="E1153" s="866">
        <v>2019.0</v>
      </c>
      <c r="F1153" s="865" t="s">
        <v>593</v>
      </c>
      <c r="G1153" s="865" t="s">
        <v>70</v>
      </c>
      <c r="H1153" s="867">
        <v>47418.2683</v>
      </c>
      <c r="I1153" s="867">
        <v>53528.20797</v>
      </c>
      <c r="J1153" s="868">
        <v>41560.72863</v>
      </c>
      <c r="K1153" s="50"/>
      <c r="L1153" s="869" t="s">
        <v>648</v>
      </c>
      <c r="M1153" s="865" t="s">
        <v>591</v>
      </c>
      <c r="N1153" s="865" t="s">
        <v>643</v>
      </c>
      <c r="O1153" s="866">
        <v>2004.0</v>
      </c>
      <c r="P1153" s="865" t="s">
        <v>593</v>
      </c>
      <c r="Q1153" s="865" t="s">
        <v>70</v>
      </c>
      <c r="R1153" s="867">
        <v>31384.16742</v>
      </c>
      <c r="S1153" s="867">
        <v>34514.23033</v>
      </c>
      <c r="T1153" s="868">
        <v>28138.85869</v>
      </c>
      <c r="AN1153" s="882"/>
      <c r="AO1153" s="882"/>
      <c r="AP1153" s="882"/>
      <c r="AY1153" s="882"/>
      <c r="AZ1153" s="882"/>
      <c r="BA1153" s="882"/>
      <c r="BJ1153" s="882"/>
      <c r="BK1153" s="882"/>
      <c r="BL1153" s="882"/>
      <c r="BU1153" s="882"/>
      <c r="BV1153" s="882"/>
      <c r="BW1153" s="882"/>
      <c r="CF1153" s="882"/>
      <c r="CG1153" s="882"/>
      <c r="CH1153" s="882"/>
      <c r="CI1153" s="530"/>
    </row>
    <row r="1154">
      <c r="A1154" s="857"/>
      <c r="B1154" s="865" t="s">
        <v>648</v>
      </c>
      <c r="C1154" s="865" t="s">
        <v>591</v>
      </c>
      <c r="D1154" s="865" t="s">
        <v>645</v>
      </c>
      <c r="E1154" s="866">
        <v>2019.0</v>
      </c>
      <c r="F1154" s="865" t="s">
        <v>593</v>
      </c>
      <c r="G1154" s="865" t="s">
        <v>70</v>
      </c>
      <c r="H1154" s="867">
        <v>132262.129</v>
      </c>
      <c r="I1154" s="867">
        <v>149304.3715</v>
      </c>
      <c r="J1154" s="868">
        <v>115923.897</v>
      </c>
      <c r="K1154" s="50"/>
      <c r="L1154" s="869" t="s">
        <v>648</v>
      </c>
      <c r="M1154" s="865" t="s">
        <v>591</v>
      </c>
      <c r="N1154" s="865" t="s">
        <v>645</v>
      </c>
      <c r="O1154" s="866">
        <v>2004.0</v>
      </c>
      <c r="P1154" s="865" t="s">
        <v>593</v>
      </c>
      <c r="Q1154" s="865" t="s">
        <v>70</v>
      </c>
      <c r="R1154" s="867">
        <v>89961.01715</v>
      </c>
      <c r="S1154" s="867">
        <v>98933.17305</v>
      </c>
      <c r="T1154" s="868">
        <v>80658.51535</v>
      </c>
      <c r="AN1154" s="882"/>
      <c r="AO1154" s="882"/>
      <c r="AP1154" s="882"/>
      <c r="AY1154" s="882"/>
      <c r="AZ1154" s="882"/>
      <c r="BA1154" s="882"/>
      <c r="BJ1154" s="882"/>
      <c r="BK1154" s="882"/>
      <c r="BL1154" s="882"/>
      <c r="BU1154" s="882"/>
      <c r="BV1154" s="882"/>
      <c r="BW1154" s="882"/>
      <c r="CF1154" s="882"/>
      <c r="CG1154" s="882"/>
      <c r="CH1154" s="882"/>
      <c r="CI1154" s="530"/>
    </row>
    <row r="1155">
      <c r="A1155" s="857"/>
      <c r="B1155" s="865" t="s">
        <v>648</v>
      </c>
      <c r="C1155" s="865" t="s">
        <v>591</v>
      </c>
      <c r="D1155" s="865" t="s">
        <v>604</v>
      </c>
      <c r="E1155" s="866">
        <v>2019.0</v>
      </c>
      <c r="F1155" s="865" t="s">
        <v>593</v>
      </c>
      <c r="G1155" s="865" t="s">
        <v>70</v>
      </c>
      <c r="H1155" s="867">
        <v>507228.8776</v>
      </c>
      <c r="I1155" s="867">
        <v>572586.3432</v>
      </c>
      <c r="J1155" s="868">
        <v>444571.3116</v>
      </c>
      <c r="K1155" s="50"/>
      <c r="L1155" s="869" t="s">
        <v>648</v>
      </c>
      <c r="M1155" s="865" t="s">
        <v>591</v>
      </c>
      <c r="N1155" s="865" t="s">
        <v>604</v>
      </c>
      <c r="O1155" s="866">
        <v>2004.0</v>
      </c>
      <c r="P1155" s="865" t="s">
        <v>593</v>
      </c>
      <c r="Q1155" s="865" t="s">
        <v>70</v>
      </c>
      <c r="R1155" s="867">
        <v>380062.172</v>
      </c>
      <c r="S1155" s="867">
        <v>417967.2243</v>
      </c>
      <c r="T1155" s="868">
        <v>340761.4932</v>
      </c>
      <c r="AN1155" s="882"/>
      <c r="AO1155" s="882"/>
      <c r="AP1155" s="882"/>
      <c r="AY1155" s="882"/>
      <c r="AZ1155" s="882"/>
      <c r="BA1155" s="882"/>
      <c r="BJ1155" s="882"/>
      <c r="BK1155" s="882"/>
      <c r="BL1155" s="882"/>
      <c r="BU1155" s="882"/>
      <c r="BV1155" s="882"/>
      <c r="BW1155" s="882"/>
      <c r="CF1155" s="882"/>
      <c r="CG1155" s="882"/>
      <c r="CH1155" s="882"/>
      <c r="CI1155" s="530"/>
    </row>
    <row r="1156">
      <c r="A1156" s="857"/>
      <c r="B1156" s="865" t="s">
        <v>648</v>
      </c>
      <c r="C1156" s="865" t="s">
        <v>591</v>
      </c>
      <c r="D1156" s="865" t="s">
        <v>647</v>
      </c>
      <c r="E1156" s="866">
        <v>2019.0</v>
      </c>
      <c r="F1156" s="865" t="s">
        <v>593</v>
      </c>
      <c r="G1156" s="865" t="s">
        <v>70</v>
      </c>
      <c r="H1156" s="867">
        <v>112833.1123</v>
      </c>
      <c r="I1156" s="867">
        <v>127379.8311</v>
      </c>
      <c r="J1156" s="868">
        <v>98896.15269</v>
      </c>
      <c r="K1156" s="50"/>
      <c r="L1156" s="869" t="s">
        <v>648</v>
      </c>
      <c r="M1156" s="865" t="s">
        <v>591</v>
      </c>
      <c r="N1156" s="865" t="s">
        <v>647</v>
      </c>
      <c r="O1156" s="866">
        <v>2004.0</v>
      </c>
      <c r="P1156" s="865" t="s">
        <v>593</v>
      </c>
      <c r="Q1156" s="865" t="s">
        <v>70</v>
      </c>
      <c r="R1156" s="867">
        <v>78745.16081</v>
      </c>
      <c r="S1156" s="867">
        <v>86601.19015</v>
      </c>
      <c r="T1156" s="868">
        <v>70599.58589</v>
      </c>
      <c r="AN1156" s="882"/>
      <c r="AO1156" s="882"/>
      <c r="AP1156" s="882"/>
      <c r="AY1156" s="882"/>
      <c r="AZ1156" s="882"/>
      <c r="BA1156" s="882"/>
      <c r="BJ1156" s="882"/>
      <c r="BK1156" s="882"/>
      <c r="BL1156" s="882"/>
      <c r="BU1156" s="882"/>
      <c r="BV1156" s="882"/>
      <c r="BW1156" s="882"/>
      <c r="CF1156" s="882"/>
      <c r="CG1156" s="882"/>
      <c r="CH1156" s="882"/>
      <c r="CI1156" s="530"/>
    </row>
    <row r="1157">
      <c r="A1157" s="857"/>
      <c r="B1157" s="865" t="s">
        <v>648</v>
      </c>
      <c r="C1157" s="865" t="s">
        <v>591</v>
      </c>
      <c r="D1157" s="865" t="s">
        <v>649</v>
      </c>
      <c r="E1157" s="866">
        <v>2019.0</v>
      </c>
      <c r="F1157" s="865" t="s">
        <v>593</v>
      </c>
      <c r="G1157" s="865" t="s">
        <v>70</v>
      </c>
      <c r="H1157" s="867">
        <v>36770.83695</v>
      </c>
      <c r="I1157" s="867">
        <v>41508.83359</v>
      </c>
      <c r="J1157" s="868">
        <v>32228.56572</v>
      </c>
      <c r="K1157" s="50"/>
      <c r="L1157" s="869" t="s">
        <v>648</v>
      </c>
      <c r="M1157" s="865" t="s">
        <v>591</v>
      </c>
      <c r="N1157" s="865" t="s">
        <v>649</v>
      </c>
      <c r="O1157" s="866">
        <v>2004.0</v>
      </c>
      <c r="P1157" s="865" t="s">
        <v>593</v>
      </c>
      <c r="Q1157" s="865" t="s">
        <v>70</v>
      </c>
      <c r="R1157" s="867">
        <v>24856.93463</v>
      </c>
      <c r="S1157" s="867">
        <v>27336.01168</v>
      </c>
      <c r="T1157" s="868">
        <v>22286.58042</v>
      </c>
      <c r="AN1157" s="882"/>
      <c r="AO1157" s="882"/>
      <c r="AP1157" s="882"/>
      <c r="AY1157" s="882"/>
      <c r="AZ1157" s="882"/>
      <c r="BA1157" s="882"/>
      <c r="BJ1157" s="882"/>
      <c r="BK1157" s="882"/>
      <c r="BL1157" s="882"/>
      <c r="BU1157" s="882"/>
      <c r="BV1157" s="882"/>
      <c r="BW1157" s="882"/>
      <c r="CF1157" s="882"/>
      <c r="CG1157" s="882"/>
      <c r="CH1157" s="882"/>
      <c r="CI1157" s="530"/>
    </row>
    <row r="1158">
      <c r="A1158" s="857"/>
      <c r="B1158" s="865" t="s">
        <v>648</v>
      </c>
      <c r="C1158" s="865" t="s">
        <v>591</v>
      </c>
      <c r="D1158" s="865" t="s">
        <v>651</v>
      </c>
      <c r="E1158" s="866">
        <v>2019.0</v>
      </c>
      <c r="F1158" s="865" t="s">
        <v>593</v>
      </c>
      <c r="G1158" s="865" t="s">
        <v>70</v>
      </c>
      <c r="H1158" s="867">
        <v>27950.22631</v>
      </c>
      <c r="I1158" s="867">
        <v>31551.66944</v>
      </c>
      <c r="J1158" s="868">
        <v>24497.55785</v>
      </c>
      <c r="K1158" s="50"/>
      <c r="L1158" s="869" t="s">
        <v>648</v>
      </c>
      <c r="M1158" s="865" t="s">
        <v>591</v>
      </c>
      <c r="N1158" s="865" t="s">
        <v>651</v>
      </c>
      <c r="O1158" s="866">
        <v>2004.0</v>
      </c>
      <c r="P1158" s="865" t="s">
        <v>593</v>
      </c>
      <c r="Q1158" s="865" t="s">
        <v>70</v>
      </c>
      <c r="R1158" s="867">
        <v>19384.86109</v>
      </c>
      <c r="S1158" s="867">
        <v>21318.18734</v>
      </c>
      <c r="T1158" s="868">
        <v>17380.35169</v>
      </c>
      <c r="AN1158" s="882"/>
      <c r="AO1158" s="882"/>
      <c r="AP1158" s="882"/>
      <c r="AY1158" s="882"/>
      <c r="AZ1158" s="882"/>
      <c r="BA1158" s="882"/>
      <c r="BJ1158" s="882"/>
      <c r="BK1158" s="882"/>
      <c r="BL1158" s="882"/>
      <c r="BU1158" s="882"/>
      <c r="BV1158" s="882"/>
      <c r="BW1158" s="882"/>
      <c r="CF1158" s="882"/>
      <c r="CG1158" s="882"/>
      <c r="CH1158" s="882"/>
      <c r="CI1158" s="530"/>
    </row>
    <row r="1159">
      <c r="A1159" s="857"/>
      <c r="B1159" s="865" t="s">
        <v>648</v>
      </c>
      <c r="C1159" s="865" t="s">
        <v>591</v>
      </c>
      <c r="D1159" s="865" t="s">
        <v>653</v>
      </c>
      <c r="E1159" s="866">
        <v>2019.0</v>
      </c>
      <c r="F1159" s="865" t="s">
        <v>593</v>
      </c>
      <c r="G1159" s="865" t="s">
        <v>70</v>
      </c>
      <c r="H1159" s="867">
        <v>20122.79741</v>
      </c>
      <c r="I1159" s="867">
        <v>22715.66051</v>
      </c>
      <c r="J1159" s="868">
        <v>17637.0448</v>
      </c>
      <c r="K1159" s="50"/>
      <c r="L1159" s="869" t="s">
        <v>648</v>
      </c>
      <c r="M1159" s="865" t="s">
        <v>591</v>
      </c>
      <c r="N1159" s="865" t="s">
        <v>653</v>
      </c>
      <c r="O1159" s="866">
        <v>2004.0</v>
      </c>
      <c r="P1159" s="865" t="s">
        <v>593</v>
      </c>
      <c r="Q1159" s="865" t="s">
        <v>70</v>
      </c>
      <c r="R1159" s="867">
        <v>14335.054</v>
      </c>
      <c r="S1159" s="867">
        <v>15764.7437</v>
      </c>
      <c r="T1159" s="868">
        <v>12852.72455</v>
      </c>
      <c r="AN1159" s="882"/>
      <c r="AO1159" s="882"/>
      <c r="AP1159" s="882"/>
      <c r="AY1159" s="882"/>
      <c r="AZ1159" s="882"/>
      <c r="BA1159" s="882"/>
      <c r="BJ1159" s="882"/>
      <c r="BK1159" s="882"/>
      <c r="BL1159" s="882"/>
      <c r="BU1159" s="882"/>
      <c r="BV1159" s="882"/>
      <c r="BW1159" s="882"/>
      <c r="CF1159" s="882"/>
      <c r="CG1159" s="882"/>
      <c r="CH1159" s="882"/>
      <c r="CI1159" s="530"/>
    </row>
    <row r="1160">
      <c r="A1160" s="857"/>
      <c r="B1160" s="865" t="s">
        <v>648</v>
      </c>
      <c r="C1160" s="865" t="s">
        <v>591</v>
      </c>
      <c r="D1160" s="865" t="s">
        <v>655</v>
      </c>
      <c r="E1160" s="866">
        <v>2019.0</v>
      </c>
      <c r="F1160" s="865" t="s">
        <v>593</v>
      </c>
      <c r="G1160" s="865" t="s">
        <v>70</v>
      </c>
      <c r="H1160" s="867">
        <v>33828.74172</v>
      </c>
      <c r="I1160" s="867">
        <v>38190.02526</v>
      </c>
      <c r="J1160" s="868">
        <v>29650.27145</v>
      </c>
      <c r="K1160" s="50"/>
      <c r="L1160" s="869" t="s">
        <v>648</v>
      </c>
      <c r="M1160" s="865" t="s">
        <v>591</v>
      </c>
      <c r="N1160" s="865" t="s">
        <v>655</v>
      </c>
      <c r="O1160" s="866">
        <v>2004.0</v>
      </c>
      <c r="P1160" s="865" t="s">
        <v>593</v>
      </c>
      <c r="Q1160" s="865" t="s">
        <v>70</v>
      </c>
      <c r="R1160" s="867">
        <v>24185.25942</v>
      </c>
      <c r="S1160" s="867">
        <v>26598.10747</v>
      </c>
      <c r="T1160" s="868">
        <v>21683.48229</v>
      </c>
      <c r="AN1160" s="882"/>
      <c r="AO1160" s="882"/>
      <c r="AP1160" s="882"/>
      <c r="AY1160" s="882"/>
      <c r="AZ1160" s="882"/>
      <c r="BA1160" s="882"/>
      <c r="BJ1160" s="882"/>
      <c r="BK1160" s="882"/>
      <c r="BL1160" s="882"/>
      <c r="BU1160" s="882"/>
      <c r="BV1160" s="882"/>
      <c r="BW1160" s="882"/>
      <c r="CF1160" s="882"/>
      <c r="CG1160" s="882"/>
      <c r="CH1160" s="882"/>
      <c r="CI1160" s="530"/>
    </row>
    <row r="1161">
      <c r="A1161" s="857"/>
      <c r="B1161" s="865" t="s">
        <v>648</v>
      </c>
      <c r="C1161" s="865" t="s">
        <v>591</v>
      </c>
      <c r="D1161" s="865" t="s">
        <v>657</v>
      </c>
      <c r="E1161" s="866">
        <v>2019.0</v>
      </c>
      <c r="F1161" s="865" t="s">
        <v>593</v>
      </c>
      <c r="G1161" s="865" t="s">
        <v>70</v>
      </c>
      <c r="H1161" s="867">
        <v>13707.17555</v>
      </c>
      <c r="I1161" s="867">
        <v>15473.37281</v>
      </c>
      <c r="J1161" s="868">
        <v>12013.93943</v>
      </c>
      <c r="K1161" s="50"/>
      <c r="L1161" s="869" t="s">
        <v>648</v>
      </c>
      <c r="M1161" s="865" t="s">
        <v>591</v>
      </c>
      <c r="N1161" s="865" t="s">
        <v>657</v>
      </c>
      <c r="O1161" s="866">
        <v>2004.0</v>
      </c>
      <c r="P1161" s="865" t="s">
        <v>593</v>
      </c>
      <c r="Q1161" s="865" t="s">
        <v>70</v>
      </c>
      <c r="R1161" s="867">
        <v>9850.823231</v>
      </c>
      <c r="S1161" s="867">
        <v>10833.28346</v>
      </c>
      <c r="T1161" s="868">
        <v>8832.189786</v>
      </c>
      <c r="AN1161" s="882"/>
      <c r="AO1161" s="882"/>
      <c r="AP1161" s="882"/>
      <c r="AY1161" s="882"/>
      <c r="AZ1161" s="882"/>
      <c r="BA1161" s="882"/>
      <c r="BJ1161" s="882"/>
      <c r="BK1161" s="882"/>
      <c r="BL1161" s="882"/>
      <c r="BU1161" s="882"/>
      <c r="BV1161" s="882"/>
      <c r="BW1161" s="882"/>
      <c r="CF1161" s="882"/>
      <c r="CG1161" s="882"/>
      <c r="CH1161" s="882"/>
      <c r="CI1161" s="530"/>
    </row>
    <row r="1162">
      <c r="A1162" s="857"/>
      <c r="B1162" s="865" t="s">
        <v>648</v>
      </c>
      <c r="C1162" s="865" t="s">
        <v>591</v>
      </c>
      <c r="D1162" s="865" t="s">
        <v>659</v>
      </c>
      <c r="E1162" s="866">
        <v>2019.0</v>
      </c>
      <c r="F1162" s="865" t="s">
        <v>593</v>
      </c>
      <c r="G1162" s="865" t="s">
        <v>70</v>
      </c>
      <c r="H1162" s="867">
        <v>27993.35827</v>
      </c>
      <c r="I1162" s="867">
        <v>31600.35904</v>
      </c>
      <c r="J1162" s="868">
        <v>24535.36175</v>
      </c>
      <c r="K1162" s="50"/>
      <c r="L1162" s="869" t="s">
        <v>648</v>
      </c>
      <c r="M1162" s="865" t="s">
        <v>591</v>
      </c>
      <c r="N1162" s="865" t="s">
        <v>659</v>
      </c>
      <c r="O1162" s="866">
        <v>2004.0</v>
      </c>
      <c r="P1162" s="865" t="s">
        <v>593</v>
      </c>
      <c r="Q1162" s="865" t="s">
        <v>70</v>
      </c>
      <c r="R1162" s="867">
        <v>20170.32264</v>
      </c>
      <c r="S1162" s="867">
        <v>22181.98597</v>
      </c>
      <c r="T1162" s="868">
        <v>18084.59186</v>
      </c>
      <c r="AN1162" s="882"/>
      <c r="AO1162" s="882"/>
      <c r="AP1162" s="882"/>
      <c r="AY1162" s="882"/>
      <c r="AZ1162" s="882"/>
      <c r="BA1162" s="882"/>
      <c r="BJ1162" s="882"/>
      <c r="BK1162" s="882"/>
      <c r="BL1162" s="882"/>
      <c r="BU1162" s="882"/>
      <c r="BV1162" s="882"/>
      <c r="BW1162" s="882"/>
      <c r="CF1162" s="882"/>
      <c r="CG1162" s="882"/>
      <c r="CH1162" s="882"/>
      <c r="CI1162" s="530"/>
    </row>
    <row r="1163">
      <c r="A1163" s="857"/>
      <c r="B1163" s="865" t="s">
        <v>648</v>
      </c>
      <c r="C1163" s="865" t="s">
        <v>591</v>
      </c>
      <c r="D1163" s="865" t="s">
        <v>661</v>
      </c>
      <c r="E1163" s="866">
        <v>2019.0</v>
      </c>
      <c r="F1163" s="865" t="s">
        <v>593</v>
      </c>
      <c r="G1163" s="865" t="s">
        <v>70</v>
      </c>
      <c r="H1163" s="867">
        <v>14285.66278</v>
      </c>
      <c r="I1163" s="867">
        <v>16127.40512</v>
      </c>
      <c r="J1163" s="868">
        <v>12521.12132</v>
      </c>
      <c r="K1163" s="50"/>
      <c r="L1163" s="869" t="s">
        <v>648</v>
      </c>
      <c r="M1163" s="865" t="s">
        <v>591</v>
      </c>
      <c r="N1163" s="865" t="s">
        <v>661</v>
      </c>
      <c r="O1163" s="866">
        <v>2004.0</v>
      </c>
      <c r="P1163" s="865" t="s">
        <v>593</v>
      </c>
      <c r="Q1163" s="865" t="s">
        <v>70</v>
      </c>
      <c r="R1163" s="867">
        <v>10319.2358</v>
      </c>
      <c r="S1163" s="867">
        <v>11348.73677</v>
      </c>
      <c r="T1163" s="868">
        <v>9251.791051</v>
      </c>
      <c r="AN1163" s="882"/>
      <c r="AO1163" s="882"/>
      <c r="AP1163" s="882"/>
      <c r="AY1163" s="882"/>
      <c r="AZ1163" s="882"/>
      <c r="BA1163" s="882"/>
      <c r="BJ1163" s="882"/>
      <c r="BK1163" s="882"/>
      <c r="BL1163" s="882"/>
      <c r="BU1163" s="882"/>
      <c r="BV1163" s="882"/>
      <c r="BW1163" s="882"/>
      <c r="CF1163" s="882"/>
      <c r="CG1163" s="882"/>
      <c r="CH1163" s="882"/>
      <c r="CI1163" s="530"/>
    </row>
    <row r="1164">
      <c r="A1164" s="857"/>
      <c r="B1164" s="865" t="s">
        <v>648</v>
      </c>
      <c r="C1164" s="865" t="s">
        <v>591</v>
      </c>
      <c r="D1164" s="865" t="s">
        <v>663</v>
      </c>
      <c r="E1164" s="866">
        <v>2019.0</v>
      </c>
      <c r="F1164" s="865" t="s">
        <v>593</v>
      </c>
      <c r="G1164" s="865" t="s">
        <v>70</v>
      </c>
      <c r="H1164" s="867">
        <v>8117.82831</v>
      </c>
      <c r="I1164" s="867">
        <v>9163.826888</v>
      </c>
      <c r="J1164" s="868">
        <v>7115.039657</v>
      </c>
      <c r="K1164" s="50"/>
      <c r="L1164" s="869" t="s">
        <v>648</v>
      </c>
      <c r="M1164" s="865" t="s">
        <v>591</v>
      </c>
      <c r="N1164" s="865" t="s">
        <v>663</v>
      </c>
      <c r="O1164" s="866">
        <v>2004.0</v>
      </c>
      <c r="P1164" s="865" t="s">
        <v>593</v>
      </c>
      <c r="Q1164" s="865" t="s">
        <v>70</v>
      </c>
      <c r="R1164" s="867">
        <v>5846.692517</v>
      </c>
      <c r="S1164" s="867">
        <v>6429.805497</v>
      </c>
      <c r="T1164" s="868">
        <v>5242.109895</v>
      </c>
      <c r="AN1164" s="882"/>
      <c r="AO1164" s="882"/>
      <c r="AP1164" s="882"/>
      <c r="AY1164" s="882"/>
      <c r="AZ1164" s="882"/>
      <c r="BA1164" s="882"/>
      <c r="BJ1164" s="882"/>
      <c r="BK1164" s="882"/>
      <c r="BL1164" s="882"/>
      <c r="BU1164" s="882"/>
      <c r="BV1164" s="882"/>
      <c r="BW1164" s="882"/>
      <c r="CF1164" s="882"/>
      <c r="CG1164" s="882"/>
      <c r="CH1164" s="882"/>
      <c r="CI1164" s="530"/>
    </row>
    <row r="1165">
      <c r="A1165" s="857"/>
      <c r="B1165" s="865" t="s">
        <v>648</v>
      </c>
      <c r="C1165" s="865" t="s">
        <v>591</v>
      </c>
      <c r="D1165" s="865" t="s">
        <v>665</v>
      </c>
      <c r="E1165" s="866">
        <v>2019.0</v>
      </c>
      <c r="F1165" s="865" t="s">
        <v>593</v>
      </c>
      <c r="G1165" s="865" t="s">
        <v>70</v>
      </c>
      <c r="H1165" s="867">
        <v>12144.40187</v>
      </c>
      <c r="I1165" s="867">
        <v>13710.08765</v>
      </c>
      <c r="J1165" s="868">
        <v>10644.34542</v>
      </c>
      <c r="K1165" s="50"/>
      <c r="L1165" s="869" t="s">
        <v>648</v>
      </c>
      <c r="M1165" s="865" t="s">
        <v>591</v>
      </c>
      <c r="N1165" s="865" t="s">
        <v>665</v>
      </c>
      <c r="O1165" s="866">
        <v>2004.0</v>
      </c>
      <c r="P1165" s="865" t="s">
        <v>593</v>
      </c>
      <c r="Q1165" s="865" t="s">
        <v>70</v>
      </c>
      <c r="R1165" s="867">
        <v>8784.561241</v>
      </c>
      <c r="S1165" s="867">
        <v>9660.955043</v>
      </c>
      <c r="T1165" s="868">
        <v>7875.86665</v>
      </c>
      <c r="AN1165" s="882"/>
      <c r="AO1165" s="882"/>
      <c r="AP1165" s="882"/>
      <c r="AY1165" s="882"/>
      <c r="AZ1165" s="882"/>
      <c r="BA1165" s="882"/>
      <c r="BJ1165" s="882"/>
      <c r="BK1165" s="882"/>
      <c r="BL1165" s="882"/>
      <c r="BU1165" s="882"/>
      <c r="BV1165" s="882"/>
      <c r="BW1165" s="882"/>
      <c r="CF1165" s="882"/>
      <c r="CG1165" s="882"/>
      <c r="CH1165" s="882"/>
      <c r="CI1165" s="530"/>
    </row>
    <row r="1166">
      <c r="A1166" s="857"/>
      <c r="B1166" s="865" t="s">
        <v>648</v>
      </c>
      <c r="C1166" s="865" t="s">
        <v>591</v>
      </c>
      <c r="D1166" s="865" t="s">
        <v>667</v>
      </c>
      <c r="E1166" s="866">
        <v>2019.0</v>
      </c>
      <c r="F1166" s="865" t="s">
        <v>593</v>
      </c>
      <c r="G1166" s="865" t="s">
        <v>70</v>
      </c>
      <c r="H1166" s="867">
        <v>6168.354415</v>
      </c>
      <c r="I1166" s="867">
        <v>6963.159343</v>
      </c>
      <c r="J1166" s="868">
        <v>5406.382669</v>
      </c>
      <c r="K1166" s="50"/>
      <c r="L1166" s="869" t="s">
        <v>648</v>
      </c>
      <c r="M1166" s="865" t="s">
        <v>591</v>
      </c>
      <c r="N1166" s="865" t="s">
        <v>667</v>
      </c>
      <c r="O1166" s="866">
        <v>2004.0</v>
      </c>
      <c r="P1166" s="865" t="s">
        <v>593</v>
      </c>
      <c r="Q1166" s="865" t="s">
        <v>70</v>
      </c>
      <c r="R1166" s="867">
        <v>4472.806889</v>
      </c>
      <c r="S1166" s="867">
        <v>4918.897007</v>
      </c>
      <c r="T1166" s="868">
        <v>4010.292175</v>
      </c>
      <c r="AN1166" s="882"/>
      <c r="AO1166" s="882"/>
      <c r="AP1166" s="882"/>
      <c r="AY1166" s="882"/>
      <c r="AZ1166" s="882"/>
      <c r="BA1166" s="882"/>
      <c r="BJ1166" s="882"/>
      <c r="BK1166" s="882"/>
      <c r="BL1166" s="882"/>
      <c r="BU1166" s="882"/>
      <c r="BV1166" s="882"/>
      <c r="BW1166" s="882"/>
      <c r="CF1166" s="882"/>
      <c r="CG1166" s="882"/>
      <c r="CH1166" s="882"/>
      <c r="CI1166" s="530"/>
    </row>
    <row r="1167">
      <c r="A1167" s="857"/>
      <c r="B1167" s="865" t="s">
        <v>648</v>
      </c>
      <c r="C1167" s="865" t="s">
        <v>591</v>
      </c>
      <c r="D1167" s="865" t="s">
        <v>669</v>
      </c>
      <c r="E1167" s="866">
        <v>2019.0</v>
      </c>
      <c r="F1167" s="865" t="s">
        <v>593</v>
      </c>
      <c r="G1167" s="865" t="s">
        <v>70</v>
      </c>
      <c r="H1167" s="867">
        <v>4027.015568</v>
      </c>
      <c r="I1167" s="867">
        <v>4545.90466</v>
      </c>
      <c r="J1167" s="868">
        <v>3529.561648</v>
      </c>
      <c r="K1167" s="50"/>
      <c r="L1167" s="869" t="s">
        <v>648</v>
      </c>
      <c r="M1167" s="865" t="s">
        <v>591</v>
      </c>
      <c r="N1167" s="865" t="s">
        <v>669</v>
      </c>
      <c r="O1167" s="866">
        <v>2004.0</v>
      </c>
      <c r="P1167" s="865" t="s">
        <v>593</v>
      </c>
      <c r="Q1167" s="865" t="s">
        <v>70</v>
      </c>
      <c r="R1167" s="867">
        <v>2938.093127</v>
      </c>
      <c r="S1167" s="867">
        <v>3231.120379</v>
      </c>
      <c r="T1167" s="868">
        <v>2634.276902</v>
      </c>
      <c r="AN1167" s="882"/>
      <c r="AO1167" s="882"/>
      <c r="AP1167" s="882"/>
      <c r="AY1167" s="882"/>
      <c r="AZ1167" s="882"/>
      <c r="BA1167" s="882"/>
      <c r="BJ1167" s="882"/>
      <c r="BK1167" s="882"/>
      <c r="BL1167" s="882"/>
      <c r="BU1167" s="882"/>
      <c r="BV1167" s="882"/>
      <c r="BW1167" s="882"/>
      <c r="CF1167" s="882"/>
      <c r="CG1167" s="882"/>
      <c r="CH1167" s="882"/>
      <c r="CI1167" s="530"/>
    </row>
    <row r="1168">
      <c r="A1168" s="857"/>
      <c r="B1168" s="865" t="s">
        <v>648</v>
      </c>
      <c r="C1168" s="865" t="s">
        <v>591</v>
      </c>
      <c r="D1168" s="865" t="s">
        <v>671</v>
      </c>
      <c r="E1168" s="866">
        <v>2019.0</v>
      </c>
      <c r="F1168" s="865" t="s">
        <v>593</v>
      </c>
      <c r="G1168" s="865" t="s">
        <v>70</v>
      </c>
      <c r="H1168" s="867">
        <v>2141.260914</v>
      </c>
      <c r="I1168" s="867">
        <v>2417.317471</v>
      </c>
      <c r="J1168" s="868">
        <v>1876.775904</v>
      </c>
      <c r="K1168" s="50"/>
      <c r="L1168" s="869" t="s">
        <v>648</v>
      </c>
      <c r="M1168" s="865" t="s">
        <v>591</v>
      </c>
      <c r="N1168" s="865" t="s">
        <v>671</v>
      </c>
      <c r="O1168" s="866">
        <v>2004.0</v>
      </c>
      <c r="P1168" s="865" t="s">
        <v>593</v>
      </c>
      <c r="Q1168" s="865" t="s">
        <v>70</v>
      </c>
      <c r="R1168" s="867">
        <v>1534.674558</v>
      </c>
      <c r="S1168" s="867">
        <v>1687.781724</v>
      </c>
      <c r="T1168" s="868">
        <v>1375.924402</v>
      </c>
      <c r="AN1168" s="882"/>
      <c r="AO1168" s="882"/>
      <c r="AP1168" s="882"/>
      <c r="AY1168" s="882"/>
      <c r="AZ1168" s="882"/>
      <c r="BA1168" s="882"/>
      <c r="BJ1168" s="882"/>
      <c r="BK1168" s="882"/>
      <c r="BL1168" s="882"/>
      <c r="BU1168" s="882"/>
      <c r="BV1168" s="882"/>
      <c r="BW1168" s="882"/>
      <c r="CF1168" s="882"/>
      <c r="CG1168" s="882"/>
      <c r="CH1168" s="882"/>
      <c r="CI1168" s="530"/>
    </row>
    <row r="1169">
      <c r="A1169" s="857"/>
      <c r="B1169" s="865" t="s">
        <v>648</v>
      </c>
      <c r="C1169" s="865" t="s">
        <v>591</v>
      </c>
      <c r="D1169" s="865" t="s">
        <v>673</v>
      </c>
      <c r="E1169" s="866">
        <v>2019.0</v>
      </c>
      <c r="F1169" s="865" t="s">
        <v>593</v>
      </c>
      <c r="G1169" s="865" t="s">
        <v>70</v>
      </c>
      <c r="H1169" s="867">
        <v>1588.614335</v>
      </c>
      <c r="I1169" s="867">
        <v>1793.310502</v>
      </c>
      <c r="J1169" s="868">
        <v>1392.374114</v>
      </c>
      <c r="K1169" s="50"/>
      <c r="L1169" s="869" t="s">
        <v>648</v>
      </c>
      <c r="M1169" s="865" t="s">
        <v>591</v>
      </c>
      <c r="N1169" s="865" t="s">
        <v>673</v>
      </c>
      <c r="O1169" s="866">
        <v>2004.0</v>
      </c>
      <c r="P1169" s="865" t="s">
        <v>593</v>
      </c>
      <c r="Q1169" s="865" t="s">
        <v>70</v>
      </c>
      <c r="R1169" s="867">
        <v>1131.349526</v>
      </c>
      <c r="S1169" s="867">
        <v>1244.183337</v>
      </c>
      <c r="T1169" s="868">
        <v>1014.361287</v>
      </c>
      <c r="AN1169" s="882"/>
      <c r="AO1169" s="882"/>
      <c r="AP1169" s="882"/>
      <c r="AY1169" s="882"/>
      <c r="AZ1169" s="882"/>
      <c r="BA1169" s="882"/>
      <c r="BJ1169" s="882"/>
      <c r="BK1169" s="882"/>
      <c r="BL1169" s="882"/>
      <c r="BU1169" s="882"/>
      <c r="BV1169" s="882"/>
      <c r="BW1169" s="882"/>
      <c r="CF1169" s="882"/>
      <c r="CG1169" s="882"/>
      <c r="CH1169" s="882"/>
      <c r="CI1169" s="530"/>
    </row>
    <row r="1170">
      <c r="A1170" s="857"/>
      <c r="B1170" s="865" t="s">
        <v>648</v>
      </c>
      <c r="C1170" s="865" t="s">
        <v>591</v>
      </c>
      <c r="D1170" s="865" t="s">
        <v>674</v>
      </c>
      <c r="E1170" s="866">
        <v>2019.0</v>
      </c>
      <c r="F1170" s="865" t="s">
        <v>593</v>
      </c>
      <c r="G1170" s="865" t="s">
        <v>70</v>
      </c>
      <c r="H1170" s="867">
        <v>453.1392469</v>
      </c>
      <c r="I1170" s="867">
        <v>511.5271544</v>
      </c>
      <c r="J1170" s="868">
        <v>397.1633285</v>
      </c>
      <c r="K1170" s="50"/>
      <c r="L1170" s="869" t="s">
        <v>648</v>
      </c>
      <c r="M1170" s="865" t="s">
        <v>591</v>
      </c>
      <c r="N1170" s="865" t="s">
        <v>674</v>
      </c>
      <c r="O1170" s="866">
        <v>2004.0</v>
      </c>
      <c r="P1170" s="865" t="s">
        <v>593</v>
      </c>
      <c r="Q1170" s="865" t="s">
        <v>70</v>
      </c>
      <c r="R1170" s="867">
        <v>340.1324438</v>
      </c>
      <c r="S1170" s="867">
        <v>374.0551517</v>
      </c>
      <c r="T1170" s="868">
        <v>304.9607353</v>
      </c>
      <c r="AN1170" s="882"/>
      <c r="AO1170" s="882"/>
      <c r="AP1170" s="882"/>
      <c r="AY1170" s="882"/>
      <c r="AZ1170" s="882"/>
      <c r="BA1170" s="882"/>
      <c r="BJ1170" s="882"/>
      <c r="BK1170" s="882"/>
      <c r="BL1170" s="882"/>
      <c r="BU1170" s="882"/>
      <c r="BV1170" s="882"/>
      <c r="BW1170" s="882"/>
      <c r="CF1170" s="882"/>
      <c r="CG1170" s="882"/>
      <c r="CH1170" s="882"/>
      <c r="CI1170" s="530"/>
    </row>
    <row r="1171">
      <c r="A1171" s="857"/>
      <c r="B1171" s="865" t="s">
        <v>648</v>
      </c>
      <c r="C1171" s="865" t="s">
        <v>591</v>
      </c>
      <c r="D1171" s="865" t="s">
        <v>676</v>
      </c>
      <c r="E1171" s="866">
        <v>2019.0</v>
      </c>
      <c r="F1171" s="865" t="s">
        <v>593</v>
      </c>
      <c r="G1171" s="865" t="s">
        <v>70</v>
      </c>
      <c r="H1171" s="867">
        <v>99.58526471</v>
      </c>
      <c r="I1171" s="867">
        <v>112.4170273</v>
      </c>
      <c r="J1171" s="868">
        <v>87.28357889</v>
      </c>
      <c r="K1171" s="50"/>
      <c r="L1171" s="869" t="s">
        <v>648</v>
      </c>
      <c r="M1171" s="865" t="s">
        <v>591</v>
      </c>
      <c r="N1171" s="865" t="s">
        <v>676</v>
      </c>
      <c r="O1171" s="866">
        <v>2004.0</v>
      </c>
      <c r="P1171" s="865" t="s">
        <v>593</v>
      </c>
      <c r="Q1171" s="865" t="s">
        <v>70</v>
      </c>
      <c r="R1171" s="867">
        <v>63.2317916</v>
      </c>
      <c r="S1171" s="867">
        <v>69.53813973</v>
      </c>
      <c r="T1171" s="868">
        <v>56.69324997</v>
      </c>
      <c r="AN1171" s="882"/>
      <c r="AO1171" s="882"/>
      <c r="AP1171" s="882"/>
      <c r="AY1171" s="882"/>
      <c r="AZ1171" s="882"/>
      <c r="BA1171" s="882"/>
      <c r="BJ1171" s="882"/>
      <c r="BK1171" s="882"/>
      <c r="BL1171" s="882"/>
      <c r="BU1171" s="882"/>
      <c r="BV1171" s="882"/>
      <c r="BW1171" s="882"/>
      <c r="CF1171" s="882"/>
      <c r="CG1171" s="882"/>
      <c r="CH1171" s="882"/>
      <c r="CI1171" s="530"/>
    </row>
    <row r="1172">
      <c r="A1172" s="857"/>
      <c r="B1172" s="865" t="s">
        <v>648</v>
      </c>
      <c r="C1172" s="865" t="s">
        <v>591</v>
      </c>
      <c r="D1172" s="865" t="s">
        <v>678</v>
      </c>
      <c r="E1172" s="866">
        <v>2019.0</v>
      </c>
      <c r="F1172" s="865" t="s">
        <v>593</v>
      </c>
      <c r="G1172" s="865" t="s">
        <v>70</v>
      </c>
      <c r="H1172" s="867">
        <v>1901191.442</v>
      </c>
      <c r="I1172" s="867">
        <v>2146163.801</v>
      </c>
      <c r="J1172" s="868">
        <v>1666338.828</v>
      </c>
      <c r="K1172" s="50"/>
      <c r="L1172" s="869" t="s">
        <v>648</v>
      </c>
      <c r="M1172" s="865" t="s">
        <v>591</v>
      </c>
      <c r="N1172" s="865" t="s">
        <v>678</v>
      </c>
      <c r="O1172" s="866">
        <v>2004.0</v>
      </c>
      <c r="P1172" s="865" t="s">
        <v>593</v>
      </c>
      <c r="Q1172" s="865" t="s">
        <v>70</v>
      </c>
      <c r="R1172" s="867">
        <v>1362162.968</v>
      </c>
      <c r="S1172" s="867">
        <v>1498016.685</v>
      </c>
      <c r="T1172" s="868">
        <v>1221307.252</v>
      </c>
      <c r="AN1172" s="882"/>
      <c r="AO1172" s="882"/>
      <c r="AP1172" s="882"/>
      <c r="AY1172" s="882"/>
      <c r="AZ1172" s="882"/>
      <c r="BA1172" s="882"/>
      <c r="BJ1172" s="882"/>
      <c r="BK1172" s="882"/>
      <c r="BL1172" s="882"/>
      <c r="BU1172" s="882"/>
      <c r="BV1172" s="882"/>
      <c r="BW1172" s="882"/>
      <c r="CF1172" s="882"/>
      <c r="CG1172" s="882"/>
      <c r="CH1172" s="882"/>
      <c r="CI1172" s="530"/>
    </row>
    <row r="1173">
      <c r="A1173" s="857"/>
      <c r="B1173" s="865" t="s">
        <v>648</v>
      </c>
      <c r="C1173" s="865" t="s">
        <v>591</v>
      </c>
      <c r="D1173" s="865" t="s">
        <v>680</v>
      </c>
      <c r="E1173" s="866">
        <v>2019.0</v>
      </c>
      <c r="F1173" s="865" t="s">
        <v>593</v>
      </c>
      <c r="G1173" s="865" t="s">
        <v>70</v>
      </c>
      <c r="H1173" s="867">
        <v>62762.57452</v>
      </c>
      <c r="I1173" s="867">
        <v>70578.85063</v>
      </c>
      <c r="J1173" s="868">
        <v>55447.97366</v>
      </c>
      <c r="K1173" s="50"/>
      <c r="L1173" s="869" t="s">
        <v>648</v>
      </c>
      <c r="M1173" s="865" t="s">
        <v>591</v>
      </c>
      <c r="N1173" s="865" t="s">
        <v>680</v>
      </c>
      <c r="O1173" s="866">
        <v>2004.0</v>
      </c>
      <c r="P1173" s="865" t="s">
        <v>593</v>
      </c>
      <c r="Q1173" s="865" t="s">
        <v>70</v>
      </c>
      <c r="R1173" s="867">
        <v>56702.02634</v>
      </c>
      <c r="S1173" s="867">
        <v>61483.58776</v>
      </c>
      <c r="T1173" s="868">
        <v>51569.05184</v>
      </c>
      <c r="AN1173" s="882"/>
      <c r="AO1173" s="882"/>
      <c r="AP1173" s="882"/>
      <c r="AY1173" s="882"/>
      <c r="AZ1173" s="882"/>
      <c r="BA1173" s="882"/>
      <c r="BJ1173" s="882"/>
      <c r="BK1173" s="882"/>
      <c r="BL1173" s="882"/>
      <c r="BU1173" s="882"/>
      <c r="BV1173" s="882"/>
      <c r="BW1173" s="882"/>
      <c r="CF1173" s="882"/>
      <c r="CG1173" s="882"/>
      <c r="CH1173" s="882"/>
      <c r="CI1173" s="530"/>
    </row>
    <row r="1174">
      <c r="A1174" s="857"/>
      <c r="B1174" s="865" t="s">
        <v>648</v>
      </c>
      <c r="C1174" s="865" t="s">
        <v>591</v>
      </c>
      <c r="D1174" s="865" t="s">
        <v>682</v>
      </c>
      <c r="E1174" s="866">
        <v>2019.0</v>
      </c>
      <c r="F1174" s="865" t="s">
        <v>593</v>
      </c>
      <c r="G1174" s="865" t="s">
        <v>70</v>
      </c>
      <c r="H1174" s="867">
        <v>1184.83535</v>
      </c>
      <c r="I1174" s="867">
        <v>1337.503779</v>
      </c>
      <c r="J1174" s="868">
        <v>1038.473614</v>
      </c>
      <c r="K1174" s="50"/>
      <c r="L1174" s="869" t="s">
        <v>648</v>
      </c>
      <c r="M1174" s="865" t="s">
        <v>591</v>
      </c>
      <c r="N1174" s="865" t="s">
        <v>682</v>
      </c>
      <c r="O1174" s="866">
        <v>2004.0</v>
      </c>
      <c r="P1174" s="865" t="s">
        <v>593</v>
      </c>
      <c r="Q1174" s="865" t="s">
        <v>70</v>
      </c>
      <c r="R1174" s="867">
        <v>1069.42373</v>
      </c>
      <c r="S1174" s="867">
        <v>1176.081444</v>
      </c>
      <c r="T1174" s="868">
        <v>958.838985</v>
      </c>
      <c r="AN1174" s="882"/>
      <c r="AO1174" s="882"/>
      <c r="AP1174" s="882"/>
      <c r="AY1174" s="882"/>
      <c r="AZ1174" s="882"/>
      <c r="BA1174" s="882"/>
      <c r="BJ1174" s="882"/>
      <c r="BK1174" s="882"/>
      <c r="BL1174" s="882"/>
      <c r="BU1174" s="882"/>
      <c r="BV1174" s="882"/>
      <c r="BW1174" s="882"/>
      <c r="CF1174" s="882"/>
      <c r="CG1174" s="882"/>
      <c r="CH1174" s="882"/>
      <c r="CI1174" s="530"/>
    </row>
    <row r="1175">
      <c r="A1175" s="857"/>
      <c r="B1175" s="865" t="s">
        <v>648</v>
      </c>
      <c r="C1175" s="865" t="s">
        <v>591</v>
      </c>
      <c r="D1175" s="865" t="s">
        <v>684</v>
      </c>
      <c r="E1175" s="866">
        <v>2019.0</v>
      </c>
      <c r="F1175" s="865" t="s">
        <v>593</v>
      </c>
      <c r="G1175" s="865" t="s">
        <v>70</v>
      </c>
      <c r="H1175" s="867">
        <v>3495.474151</v>
      </c>
      <c r="I1175" s="867">
        <v>3945.873057</v>
      </c>
      <c r="J1175" s="868">
        <v>3063.681105</v>
      </c>
      <c r="K1175" s="50"/>
      <c r="L1175" s="869" t="s">
        <v>648</v>
      </c>
      <c r="M1175" s="865" t="s">
        <v>591</v>
      </c>
      <c r="N1175" s="865" t="s">
        <v>684</v>
      </c>
      <c r="O1175" s="866">
        <v>2004.0</v>
      </c>
      <c r="P1175" s="865" t="s">
        <v>593</v>
      </c>
      <c r="Q1175" s="865" t="s">
        <v>70</v>
      </c>
      <c r="R1175" s="867">
        <v>3127.980924</v>
      </c>
      <c r="S1175" s="867">
        <v>3439.946411</v>
      </c>
      <c r="T1175" s="868">
        <v>2804.529177</v>
      </c>
      <c r="AN1175" s="882"/>
      <c r="AO1175" s="882"/>
      <c r="AP1175" s="882"/>
      <c r="AY1175" s="882"/>
      <c r="AZ1175" s="882"/>
      <c r="BA1175" s="882"/>
      <c r="BJ1175" s="882"/>
      <c r="BK1175" s="882"/>
      <c r="BL1175" s="882"/>
      <c r="BU1175" s="882"/>
      <c r="BV1175" s="882"/>
      <c r="BW1175" s="882"/>
      <c r="CF1175" s="882"/>
      <c r="CG1175" s="882"/>
      <c r="CH1175" s="882"/>
      <c r="CI1175" s="530"/>
    </row>
    <row r="1176">
      <c r="A1176" s="857"/>
      <c r="B1176" s="865" t="s">
        <v>648</v>
      </c>
      <c r="C1176" s="865" t="s">
        <v>591</v>
      </c>
      <c r="D1176" s="865" t="s">
        <v>686</v>
      </c>
      <c r="E1176" s="866">
        <v>2019.0</v>
      </c>
      <c r="F1176" s="865" t="s">
        <v>593</v>
      </c>
      <c r="G1176" s="865" t="s">
        <v>70</v>
      </c>
      <c r="H1176" s="867">
        <v>4680.309501</v>
      </c>
      <c r="I1176" s="867">
        <v>5283.376836</v>
      </c>
      <c r="J1176" s="868">
        <v>4102.154719</v>
      </c>
      <c r="K1176" s="50"/>
      <c r="L1176" s="869" t="s">
        <v>648</v>
      </c>
      <c r="M1176" s="865" t="s">
        <v>591</v>
      </c>
      <c r="N1176" s="865" t="s">
        <v>686</v>
      </c>
      <c r="O1176" s="866">
        <v>2004.0</v>
      </c>
      <c r="P1176" s="865" t="s">
        <v>593</v>
      </c>
      <c r="Q1176" s="865" t="s">
        <v>70</v>
      </c>
      <c r="R1176" s="867">
        <v>4197.404654</v>
      </c>
      <c r="S1176" s="867">
        <v>4616.027855</v>
      </c>
      <c r="T1176" s="868">
        <v>3763.368162</v>
      </c>
      <c r="AN1176" s="882"/>
      <c r="AO1176" s="882"/>
      <c r="AP1176" s="882"/>
      <c r="AY1176" s="882"/>
      <c r="AZ1176" s="882"/>
      <c r="BA1176" s="882"/>
      <c r="BJ1176" s="882"/>
      <c r="BK1176" s="882"/>
      <c r="BL1176" s="882"/>
      <c r="BU1176" s="882"/>
      <c r="BV1176" s="882"/>
      <c r="BW1176" s="882"/>
      <c r="CF1176" s="882"/>
      <c r="CG1176" s="882"/>
      <c r="CH1176" s="882"/>
      <c r="CI1176" s="530"/>
    </row>
    <row r="1177">
      <c r="A1177" s="857"/>
      <c r="B1177" s="865" t="s">
        <v>648</v>
      </c>
      <c r="C1177" s="865" t="s">
        <v>591</v>
      </c>
      <c r="D1177" s="865" t="s">
        <v>688</v>
      </c>
      <c r="E1177" s="866">
        <v>2019.0</v>
      </c>
      <c r="F1177" s="865" t="s">
        <v>593</v>
      </c>
      <c r="G1177" s="865" t="s">
        <v>70</v>
      </c>
      <c r="H1177" s="867">
        <v>55014.71842</v>
      </c>
      <c r="I1177" s="867">
        <v>62103.47604</v>
      </c>
      <c r="J1177" s="868">
        <v>48218.79552</v>
      </c>
      <c r="K1177" s="50"/>
      <c r="L1177" s="869" t="s">
        <v>648</v>
      </c>
      <c r="M1177" s="865" t="s">
        <v>591</v>
      </c>
      <c r="N1177" s="865" t="s">
        <v>688</v>
      </c>
      <c r="O1177" s="866">
        <v>2004.0</v>
      </c>
      <c r="P1177" s="865" t="s">
        <v>593</v>
      </c>
      <c r="Q1177" s="865" t="s">
        <v>70</v>
      </c>
      <c r="R1177" s="867">
        <v>48574.429</v>
      </c>
      <c r="S1177" s="867">
        <v>53418.94237</v>
      </c>
      <c r="T1177" s="868">
        <v>43551.54545</v>
      </c>
      <c r="AN1177" s="882"/>
      <c r="AO1177" s="882"/>
      <c r="AP1177" s="882"/>
      <c r="AY1177" s="882"/>
      <c r="AZ1177" s="882"/>
      <c r="BA1177" s="882"/>
      <c r="BJ1177" s="882"/>
      <c r="BK1177" s="882"/>
      <c r="BL1177" s="882"/>
      <c r="BU1177" s="882"/>
      <c r="BV1177" s="882"/>
      <c r="BW1177" s="882"/>
      <c r="CF1177" s="882"/>
      <c r="CG1177" s="882"/>
      <c r="CH1177" s="882"/>
      <c r="CI1177" s="530"/>
    </row>
    <row r="1178">
      <c r="A1178" s="857"/>
      <c r="B1178" s="865" t="s">
        <v>648</v>
      </c>
      <c r="C1178" s="865" t="s">
        <v>591</v>
      </c>
      <c r="D1178" s="865" t="s">
        <v>689</v>
      </c>
      <c r="E1178" s="866">
        <v>2019.0</v>
      </c>
      <c r="F1178" s="865" t="s">
        <v>593</v>
      </c>
      <c r="G1178" s="865" t="s">
        <v>70</v>
      </c>
      <c r="H1178" s="867">
        <v>287448.8984</v>
      </c>
      <c r="I1178" s="867">
        <v>324487.2698</v>
      </c>
      <c r="J1178" s="868">
        <v>251940.5725</v>
      </c>
      <c r="K1178" s="50"/>
      <c r="L1178" s="869" t="s">
        <v>648</v>
      </c>
      <c r="M1178" s="865" t="s">
        <v>591</v>
      </c>
      <c r="N1178" s="865" t="s">
        <v>689</v>
      </c>
      <c r="O1178" s="866">
        <v>2004.0</v>
      </c>
      <c r="P1178" s="865" t="s">
        <v>593</v>
      </c>
      <c r="Q1178" s="865" t="s">
        <v>70</v>
      </c>
      <c r="R1178" s="867">
        <v>237067.9041</v>
      </c>
      <c r="S1178" s="867">
        <v>260711.5918</v>
      </c>
      <c r="T1178" s="868">
        <v>212553.6793</v>
      </c>
      <c r="AN1178" s="882"/>
      <c r="AO1178" s="882"/>
      <c r="AP1178" s="882"/>
      <c r="AY1178" s="882"/>
      <c r="AZ1178" s="882"/>
      <c r="BA1178" s="882"/>
      <c r="BJ1178" s="882"/>
      <c r="BK1178" s="882"/>
      <c r="BL1178" s="882"/>
      <c r="BU1178" s="882"/>
      <c r="BV1178" s="882"/>
      <c r="BW1178" s="882"/>
      <c r="CF1178" s="882"/>
      <c r="CG1178" s="882"/>
      <c r="CH1178" s="882"/>
      <c r="CI1178" s="530"/>
    </row>
    <row r="1179">
      <c r="A1179" s="857"/>
      <c r="B1179" s="865" t="s">
        <v>650</v>
      </c>
      <c r="C1179" s="865" t="s">
        <v>591</v>
      </c>
      <c r="D1179" s="865" t="s">
        <v>592</v>
      </c>
      <c r="E1179" s="866">
        <v>2019.0</v>
      </c>
      <c r="F1179" s="865" t="s">
        <v>593</v>
      </c>
      <c r="G1179" s="865" t="s">
        <v>70</v>
      </c>
      <c r="H1179" s="867">
        <v>2.289648662E7</v>
      </c>
      <c r="I1179" s="867">
        <v>2.566349107E7</v>
      </c>
      <c r="J1179" s="868">
        <v>2.03786006E7</v>
      </c>
      <c r="K1179" s="50"/>
      <c r="L1179" s="869" t="s">
        <v>650</v>
      </c>
      <c r="M1179" s="865" t="s">
        <v>591</v>
      </c>
      <c r="N1179" s="865" t="s">
        <v>592</v>
      </c>
      <c r="O1179" s="866">
        <v>2004.0</v>
      </c>
      <c r="P1179" s="865" t="s">
        <v>593</v>
      </c>
      <c r="Q1179" s="865" t="s">
        <v>70</v>
      </c>
      <c r="R1179" s="867">
        <v>2.563508023E7</v>
      </c>
      <c r="S1179" s="867">
        <v>2.801972806E7</v>
      </c>
      <c r="T1179" s="868">
        <v>2.337181853E7</v>
      </c>
      <c r="AN1179" s="882"/>
      <c r="AO1179" s="882"/>
      <c r="AP1179" s="882"/>
      <c r="AY1179" s="882"/>
      <c r="AZ1179" s="882"/>
      <c r="BA1179" s="882"/>
      <c r="BJ1179" s="882"/>
      <c r="BK1179" s="882"/>
      <c r="BL1179" s="882"/>
      <c r="BU1179" s="882"/>
      <c r="BV1179" s="882"/>
      <c r="BW1179" s="882"/>
      <c r="CF1179" s="882"/>
      <c r="CG1179" s="882"/>
      <c r="CH1179" s="882"/>
      <c r="CI1179" s="530"/>
    </row>
    <row r="1180">
      <c r="A1180" s="857"/>
      <c r="B1180" s="865" t="s">
        <v>650</v>
      </c>
      <c r="C1180" s="865" t="s">
        <v>591</v>
      </c>
      <c r="D1180" s="865" t="s">
        <v>601</v>
      </c>
      <c r="E1180" s="866">
        <v>2019.0</v>
      </c>
      <c r="F1180" s="865" t="s">
        <v>593</v>
      </c>
      <c r="G1180" s="865" t="s">
        <v>70</v>
      </c>
      <c r="H1180" s="867">
        <v>5.105071025E8</v>
      </c>
      <c r="I1180" s="867">
        <v>5.722010843E8</v>
      </c>
      <c r="J1180" s="868">
        <v>4.543675421E8</v>
      </c>
      <c r="K1180" s="50"/>
      <c r="L1180" s="869" t="s">
        <v>650</v>
      </c>
      <c r="M1180" s="865" t="s">
        <v>591</v>
      </c>
      <c r="N1180" s="865" t="s">
        <v>601</v>
      </c>
      <c r="O1180" s="866">
        <v>2004.0</v>
      </c>
      <c r="P1180" s="865" t="s">
        <v>593</v>
      </c>
      <c r="Q1180" s="865" t="s">
        <v>70</v>
      </c>
      <c r="R1180" s="867">
        <v>4.935400326E8</v>
      </c>
      <c r="S1180" s="867">
        <v>5.394505254E8</v>
      </c>
      <c r="T1180" s="868">
        <v>4.499665293E8</v>
      </c>
      <c r="AN1180" s="882"/>
      <c r="AO1180" s="882"/>
      <c r="AP1180" s="882"/>
      <c r="AY1180" s="882"/>
      <c r="AZ1180" s="882"/>
      <c r="BA1180" s="882"/>
      <c r="BJ1180" s="882"/>
      <c r="BK1180" s="882"/>
      <c r="BL1180" s="882"/>
      <c r="BU1180" s="882"/>
      <c r="BV1180" s="882"/>
      <c r="BW1180" s="882"/>
      <c r="CF1180" s="882"/>
      <c r="CG1180" s="882"/>
      <c r="CH1180" s="882"/>
      <c r="CI1180" s="530"/>
    </row>
    <row r="1181">
      <c r="A1181" s="857"/>
      <c r="B1181" s="865" t="s">
        <v>650</v>
      </c>
      <c r="C1181" s="865" t="s">
        <v>591</v>
      </c>
      <c r="D1181" s="865" t="s">
        <v>606</v>
      </c>
      <c r="E1181" s="866">
        <v>2019.0</v>
      </c>
      <c r="F1181" s="865" t="s">
        <v>593</v>
      </c>
      <c r="G1181" s="865" t="s">
        <v>70</v>
      </c>
      <c r="H1181" s="867">
        <v>3.761513869E8</v>
      </c>
      <c r="I1181" s="867">
        <v>4.216086914E8</v>
      </c>
      <c r="J1181" s="868">
        <v>3.347866862E8</v>
      </c>
      <c r="K1181" s="50"/>
      <c r="L1181" s="869" t="s">
        <v>650</v>
      </c>
      <c r="M1181" s="865" t="s">
        <v>591</v>
      </c>
      <c r="N1181" s="865" t="s">
        <v>606</v>
      </c>
      <c r="O1181" s="866">
        <v>2004.0</v>
      </c>
      <c r="P1181" s="865" t="s">
        <v>593</v>
      </c>
      <c r="Q1181" s="865" t="s">
        <v>70</v>
      </c>
      <c r="R1181" s="867">
        <v>3.771781681E8</v>
      </c>
      <c r="S1181" s="867">
        <v>4.122643504E8</v>
      </c>
      <c r="T1181" s="868">
        <v>3.438779836E8</v>
      </c>
      <c r="AN1181" s="882"/>
      <c r="AO1181" s="882"/>
      <c r="AP1181" s="882"/>
      <c r="AY1181" s="882"/>
      <c r="AZ1181" s="882"/>
      <c r="BA1181" s="882"/>
      <c r="BJ1181" s="882"/>
      <c r="BK1181" s="882"/>
      <c r="BL1181" s="882"/>
      <c r="BU1181" s="882"/>
      <c r="BV1181" s="882"/>
      <c r="BW1181" s="882"/>
      <c r="CF1181" s="882"/>
      <c r="CG1181" s="882"/>
      <c r="CH1181" s="882"/>
      <c r="CI1181" s="530"/>
    </row>
    <row r="1182">
      <c r="A1182" s="857"/>
      <c r="B1182" s="865" t="s">
        <v>650</v>
      </c>
      <c r="C1182" s="865" t="s">
        <v>591</v>
      </c>
      <c r="D1182" s="865" t="s">
        <v>608</v>
      </c>
      <c r="E1182" s="866">
        <v>2019.0</v>
      </c>
      <c r="F1182" s="865" t="s">
        <v>593</v>
      </c>
      <c r="G1182" s="865" t="s">
        <v>70</v>
      </c>
      <c r="H1182" s="867">
        <v>9.417427469E7</v>
      </c>
      <c r="I1182" s="867">
        <v>1.055550879E8</v>
      </c>
      <c r="J1182" s="868">
        <v>8.381809677E7</v>
      </c>
      <c r="K1182" s="50"/>
      <c r="L1182" s="869" t="s">
        <v>650</v>
      </c>
      <c r="M1182" s="865" t="s">
        <v>591</v>
      </c>
      <c r="N1182" s="865" t="s">
        <v>608</v>
      </c>
      <c r="O1182" s="866">
        <v>2004.0</v>
      </c>
      <c r="P1182" s="865" t="s">
        <v>593</v>
      </c>
      <c r="Q1182" s="865" t="s">
        <v>70</v>
      </c>
      <c r="R1182" s="867">
        <v>1.009653595E8</v>
      </c>
      <c r="S1182" s="867">
        <v>1.103574435E8</v>
      </c>
      <c r="T1182" s="868">
        <v>9.205136243E7</v>
      </c>
      <c r="AN1182" s="882"/>
      <c r="AO1182" s="882"/>
      <c r="AP1182" s="882"/>
      <c r="AY1182" s="882"/>
      <c r="AZ1182" s="882"/>
      <c r="BA1182" s="882"/>
      <c r="BJ1182" s="882"/>
      <c r="BK1182" s="882"/>
      <c r="BL1182" s="882"/>
      <c r="BU1182" s="882"/>
      <c r="BV1182" s="882"/>
      <c r="BW1182" s="882"/>
      <c r="CF1182" s="882"/>
      <c r="CG1182" s="882"/>
      <c r="CH1182" s="882"/>
      <c r="CI1182" s="530"/>
    </row>
    <row r="1183">
      <c r="A1183" s="857"/>
      <c r="B1183" s="865" t="s">
        <v>650</v>
      </c>
      <c r="C1183" s="865" t="s">
        <v>591</v>
      </c>
      <c r="D1183" s="865" t="s">
        <v>610</v>
      </c>
      <c r="E1183" s="866">
        <v>2019.0</v>
      </c>
      <c r="F1183" s="865" t="s">
        <v>593</v>
      </c>
      <c r="G1183" s="865" t="s">
        <v>70</v>
      </c>
      <c r="H1183" s="867">
        <v>1.334970097E8</v>
      </c>
      <c r="I1183" s="867">
        <v>1.496299137E8</v>
      </c>
      <c r="J1183" s="868">
        <v>1.188165804E8</v>
      </c>
      <c r="K1183" s="50"/>
      <c r="L1183" s="869" t="s">
        <v>650</v>
      </c>
      <c r="M1183" s="865" t="s">
        <v>591</v>
      </c>
      <c r="N1183" s="865" t="s">
        <v>610</v>
      </c>
      <c r="O1183" s="866">
        <v>2004.0</v>
      </c>
      <c r="P1183" s="865" t="s">
        <v>593</v>
      </c>
      <c r="Q1183" s="865" t="s">
        <v>70</v>
      </c>
      <c r="R1183" s="867">
        <v>1.238803505E8</v>
      </c>
      <c r="S1183" s="867">
        <v>1.354040518E8</v>
      </c>
      <c r="T1183" s="868">
        <v>1.12943242E8</v>
      </c>
      <c r="AN1183" s="882"/>
      <c r="AO1183" s="882"/>
      <c r="AP1183" s="882"/>
      <c r="AY1183" s="882"/>
      <c r="AZ1183" s="882"/>
      <c r="BA1183" s="882"/>
      <c r="BJ1183" s="882"/>
      <c r="BK1183" s="882"/>
      <c r="BL1183" s="882"/>
      <c r="BU1183" s="882"/>
      <c r="BV1183" s="882"/>
      <c r="BW1183" s="882"/>
      <c r="CF1183" s="882"/>
      <c r="CG1183" s="882"/>
      <c r="CH1183" s="882"/>
      <c r="CI1183" s="530"/>
    </row>
    <row r="1184">
      <c r="A1184" s="857"/>
      <c r="B1184" s="865" t="s">
        <v>650</v>
      </c>
      <c r="C1184" s="865" t="s">
        <v>591</v>
      </c>
      <c r="D1184" s="865" t="s">
        <v>612</v>
      </c>
      <c r="E1184" s="866">
        <v>2019.0</v>
      </c>
      <c r="F1184" s="865" t="s">
        <v>593</v>
      </c>
      <c r="G1184" s="865" t="s">
        <v>70</v>
      </c>
      <c r="H1184" s="867">
        <v>2.678527252E8</v>
      </c>
      <c r="I1184" s="867">
        <v>3.002223065E8</v>
      </c>
      <c r="J1184" s="868">
        <v>2.383974362E8</v>
      </c>
      <c r="K1184" s="50"/>
      <c r="L1184" s="869" t="s">
        <v>650</v>
      </c>
      <c r="M1184" s="865" t="s">
        <v>591</v>
      </c>
      <c r="N1184" s="865" t="s">
        <v>612</v>
      </c>
      <c r="O1184" s="866">
        <v>2004.0</v>
      </c>
      <c r="P1184" s="865" t="s">
        <v>593</v>
      </c>
      <c r="Q1184" s="865" t="s">
        <v>70</v>
      </c>
      <c r="R1184" s="867">
        <v>2.402422149E8</v>
      </c>
      <c r="S1184" s="867">
        <v>2.625902267E8</v>
      </c>
      <c r="T1184" s="868">
        <v>2.190317877E8</v>
      </c>
      <c r="AN1184" s="882"/>
      <c r="AO1184" s="882"/>
      <c r="AP1184" s="882"/>
      <c r="AY1184" s="882"/>
      <c r="AZ1184" s="882"/>
      <c r="BA1184" s="882"/>
      <c r="BJ1184" s="882"/>
      <c r="BK1184" s="882"/>
      <c r="BL1184" s="882"/>
      <c r="BU1184" s="882"/>
      <c r="BV1184" s="882"/>
      <c r="BW1184" s="882"/>
      <c r="CF1184" s="882"/>
      <c r="CG1184" s="882"/>
      <c r="CH1184" s="882"/>
      <c r="CI1184" s="530"/>
    </row>
    <row r="1185">
      <c r="A1185" s="857"/>
      <c r="B1185" s="865" t="s">
        <v>650</v>
      </c>
      <c r="C1185" s="865" t="s">
        <v>591</v>
      </c>
      <c r="D1185" s="865" t="s">
        <v>614</v>
      </c>
      <c r="E1185" s="866">
        <v>2019.0</v>
      </c>
      <c r="F1185" s="865" t="s">
        <v>593</v>
      </c>
      <c r="G1185" s="865" t="s">
        <v>70</v>
      </c>
      <c r="H1185" s="867">
        <v>3.973325807E8</v>
      </c>
      <c r="I1185" s="867">
        <v>4.453495992E8</v>
      </c>
      <c r="J1185" s="868">
        <v>3.536386217E8</v>
      </c>
      <c r="K1185" s="50"/>
      <c r="L1185" s="869" t="s">
        <v>650</v>
      </c>
      <c r="M1185" s="865" t="s">
        <v>591</v>
      </c>
      <c r="N1185" s="865" t="s">
        <v>614</v>
      </c>
      <c r="O1185" s="866">
        <v>2004.0</v>
      </c>
      <c r="P1185" s="865" t="s">
        <v>593</v>
      </c>
      <c r="Q1185" s="865" t="s">
        <v>70</v>
      </c>
      <c r="R1185" s="867">
        <v>3.427523044E8</v>
      </c>
      <c r="S1185" s="867">
        <v>3.746360952E8</v>
      </c>
      <c r="T1185" s="868">
        <v>3.124914994E8</v>
      </c>
      <c r="AN1185" s="882"/>
      <c r="AO1185" s="882"/>
      <c r="AP1185" s="882"/>
      <c r="AY1185" s="882"/>
      <c r="AZ1185" s="882"/>
      <c r="BA1185" s="882"/>
      <c r="BJ1185" s="882"/>
      <c r="BK1185" s="882"/>
      <c r="BL1185" s="882"/>
      <c r="BU1185" s="882"/>
      <c r="BV1185" s="882"/>
      <c r="BW1185" s="882"/>
      <c r="CF1185" s="882"/>
      <c r="CG1185" s="882"/>
      <c r="CH1185" s="882"/>
      <c r="CI1185" s="530"/>
    </row>
    <row r="1186">
      <c r="A1186" s="857"/>
      <c r="B1186" s="865" t="s">
        <v>650</v>
      </c>
      <c r="C1186" s="865" t="s">
        <v>591</v>
      </c>
      <c r="D1186" s="865" t="s">
        <v>616</v>
      </c>
      <c r="E1186" s="866">
        <v>2019.0</v>
      </c>
      <c r="F1186" s="865" t="s">
        <v>593</v>
      </c>
      <c r="G1186" s="865" t="s">
        <v>70</v>
      </c>
      <c r="H1186" s="867">
        <v>1.343557156E8</v>
      </c>
      <c r="I1186" s="867">
        <v>1.505923928E8</v>
      </c>
      <c r="J1186" s="868">
        <v>1.195808559E8</v>
      </c>
      <c r="K1186" s="50"/>
      <c r="L1186" s="869" t="s">
        <v>650</v>
      </c>
      <c r="M1186" s="865" t="s">
        <v>591</v>
      </c>
      <c r="N1186" s="865" t="s">
        <v>616</v>
      </c>
      <c r="O1186" s="866">
        <v>2004.0</v>
      </c>
      <c r="P1186" s="865" t="s">
        <v>593</v>
      </c>
      <c r="Q1186" s="865" t="s">
        <v>70</v>
      </c>
      <c r="R1186" s="867">
        <v>1.163618645E8</v>
      </c>
      <c r="S1186" s="867">
        <v>1.271861749E8</v>
      </c>
      <c r="T1186" s="868">
        <v>1.060885457E8</v>
      </c>
      <c r="AN1186" s="882"/>
      <c r="AO1186" s="882"/>
      <c r="AP1186" s="882"/>
      <c r="AY1186" s="882"/>
      <c r="AZ1186" s="882"/>
      <c r="BA1186" s="882"/>
      <c r="BJ1186" s="882"/>
      <c r="BK1186" s="882"/>
      <c r="BL1186" s="882"/>
      <c r="BU1186" s="882"/>
      <c r="BV1186" s="882"/>
      <c r="BW1186" s="882"/>
      <c r="CF1186" s="882"/>
      <c r="CG1186" s="882"/>
      <c r="CH1186" s="882"/>
      <c r="CI1186" s="530"/>
    </row>
    <row r="1187">
      <c r="A1187" s="857"/>
      <c r="B1187" s="865" t="s">
        <v>650</v>
      </c>
      <c r="C1187" s="865" t="s">
        <v>591</v>
      </c>
      <c r="D1187" s="865" t="s">
        <v>618</v>
      </c>
      <c r="E1187" s="866">
        <v>2019.0</v>
      </c>
      <c r="F1187" s="865" t="s">
        <v>593</v>
      </c>
      <c r="G1187" s="865" t="s">
        <v>70</v>
      </c>
      <c r="H1187" s="867">
        <v>5.961757322E8</v>
      </c>
      <c r="I1187" s="867">
        <v>6.682514224E8</v>
      </c>
      <c r="J1187" s="868">
        <v>5.305767457E8</v>
      </c>
      <c r="K1187" s="50"/>
      <c r="L1187" s="869" t="s">
        <v>650</v>
      </c>
      <c r="M1187" s="865" t="s">
        <v>591</v>
      </c>
      <c r="N1187" s="865" t="s">
        <v>618</v>
      </c>
      <c r="O1187" s="866">
        <v>2004.0</v>
      </c>
      <c r="P1187" s="865" t="s">
        <v>593</v>
      </c>
      <c r="Q1187" s="865" t="s">
        <v>70</v>
      </c>
      <c r="R1187" s="867">
        <v>4.659268531E8</v>
      </c>
      <c r="S1187" s="867">
        <v>5.092725261E8</v>
      </c>
      <c r="T1187" s="868">
        <v>4.247798069E8</v>
      </c>
      <c r="AN1187" s="882"/>
      <c r="AO1187" s="882"/>
      <c r="AP1187" s="882"/>
      <c r="AY1187" s="882"/>
      <c r="AZ1187" s="882"/>
      <c r="BA1187" s="882"/>
      <c r="BJ1187" s="882"/>
      <c r="BK1187" s="882"/>
      <c r="BL1187" s="882"/>
      <c r="BU1187" s="882"/>
      <c r="BV1187" s="882"/>
      <c r="BW1187" s="882"/>
      <c r="CF1187" s="882"/>
      <c r="CG1187" s="882"/>
      <c r="CH1187" s="882"/>
      <c r="CI1187" s="530"/>
    </row>
    <row r="1188">
      <c r="A1188" s="857"/>
      <c r="B1188" s="865" t="s">
        <v>650</v>
      </c>
      <c r="C1188" s="865" t="s">
        <v>591</v>
      </c>
      <c r="D1188" s="865" t="s">
        <v>620</v>
      </c>
      <c r="E1188" s="866">
        <v>2019.0</v>
      </c>
      <c r="F1188" s="865" t="s">
        <v>593</v>
      </c>
      <c r="G1188" s="865" t="s">
        <v>70</v>
      </c>
      <c r="H1188" s="867">
        <v>7.595886074E8</v>
      </c>
      <c r="I1188" s="867">
        <v>8.51383698E8</v>
      </c>
      <c r="J1188" s="868">
        <v>6.760579958E8</v>
      </c>
      <c r="K1188" s="50"/>
      <c r="L1188" s="869" t="s">
        <v>650</v>
      </c>
      <c r="M1188" s="865" t="s">
        <v>591</v>
      </c>
      <c r="N1188" s="865" t="s">
        <v>620</v>
      </c>
      <c r="O1188" s="866">
        <v>2004.0</v>
      </c>
      <c r="P1188" s="865" t="s">
        <v>593</v>
      </c>
      <c r="Q1188" s="865" t="s">
        <v>70</v>
      </c>
      <c r="R1188" s="867">
        <v>5.801477144E8</v>
      </c>
      <c r="S1188" s="867">
        <v>6.341146992E8</v>
      </c>
      <c r="T1188" s="868">
        <v>5.289278201E8</v>
      </c>
      <c r="AN1188" s="882"/>
      <c r="AO1188" s="882"/>
      <c r="AP1188" s="882"/>
      <c r="AY1188" s="882"/>
      <c r="AZ1188" s="882"/>
      <c r="BA1188" s="882"/>
      <c r="BJ1188" s="882"/>
      <c r="BK1188" s="882"/>
      <c r="BL1188" s="882"/>
      <c r="BU1188" s="882"/>
      <c r="BV1188" s="882"/>
      <c r="BW1188" s="882"/>
      <c r="CF1188" s="882"/>
      <c r="CG1188" s="882"/>
      <c r="CH1188" s="882"/>
      <c r="CI1188" s="530"/>
    </row>
    <row r="1189">
      <c r="A1189" s="857"/>
      <c r="B1189" s="865" t="s">
        <v>650</v>
      </c>
      <c r="C1189" s="865" t="s">
        <v>591</v>
      </c>
      <c r="D1189" s="865" t="s">
        <v>622</v>
      </c>
      <c r="E1189" s="866">
        <v>2019.0</v>
      </c>
      <c r="F1189" s="865" t="s">
        <v>593</v>
      </c>
      <c r="G1189" s="865" t="s">
        <v>70</v>
      </c>
      <c r="H1189" s="867">
        <v>8.802110833E8</v>
      </c>
      <c r="I1189" s="867">
        <v>9.866257157E8</v>
      </c>
      <c r="J1189" s="868">
        <v>7.833588435E8</v>
      </c>
      <c r="K1189" s="50"/>
      <c r="L1189" s="869" t="s">
        <v>650</v>
      </c>
      <c r="M1189" s="865" t="s">
        <v>591</v>
      </c>
      <c r="N1189" s="865" t="s">
        <v>622</v>
      </c>
      <c r="O1189" s="866">
        <v>2004.0</v>
      </c>
      <c r="P1189" s="865" t="s">
        <v>593</v>
      </c>
      <c r="Q1189" s="865" t="s">
        <v>70</v>
      </c>
      <c r="R1189" s="867">
        <v>6.168698881E8</v>
      </c>
      <c r="S1189" s="867">
        <v>6.74257953E8</v>
      </c>
      <c r="T1189" s="868">
        <v>5.623927237E8</v>
      </c>
      <c r="AN1189" s="882"/>
      <c r="AO1189" s="882"/>
      <c r="AP1189" s="882"/>
      <c r="AY1189" s="882"/>
      <c r="AZ1189" s="882"/>
      <c r="BA1189" s="882"/>
      <c r="BJ1189" s="882"/>
      <c r="BK1189" s="882"/>
      <c r="BL1189" s="882"/>
      <c r="BU1189" s="882"/>
      <c r="BV1189" s="882"/>
      <c r="BW1189" s="882"/>
      <c r="CF1189" s="882"/>
      <c r="CG1189" s="882"/>
      <c r="CH1189" s="882"/>
      <c r="CI1189" s="530"/>
    </row>
    <row r="1190">
      <c r="A1190" s="857"/>
      <c r="B1190" s="865" t="s">
        <v>650</v>
      </c>
      <c r="C1190" s="865" t="s">
        <v>591</v>
      </c>
      <c r="D1190" s="865" t="s">
        <v>624</v>
      </c>
      <c r="E1190" s="866">
        <v>2019.0</v>
      </c>
      <c r="F1190" s="865" t="s">
        <v>593</v>
      </c>
      <c r="G1190" s="865" t="s">
        <v>70</v>
      </c>
      <c r="H1190" s="867">
        <v>1.294798554E8</v>
      </c>
      <c r="I1190" s="867">
        <v>1.451272927E8</v>
      </c>
      <c r="J1190" s="868">
        <v>1.152411854E8</v>
      </c>
      <c r="K1190" s="50"/>
      <c r="L1190" s="869" t="s">
        <v>650</v>
      </c>
      <c r="M1190" s="865" t="s">
        <v>591</v>
      </c>
      <c r="N1190" s="865" t="s">
        <v>624</v>
      </c>
      <c r="O1190" s="866">
        <v>2004.0</v>
      </c>
      <c r="P1190" s="865" t="s">
        <v>593</v>
      </c>
      <c r="Q1190" s="865" t="s">
        <v>70</v>
      </c>
      <c r="R1190" s="867">
        <v>1.025100894E8</v>
      </c>
      <c r="S1190" s="867">
        <v>1.120458685E8</v>
      </c>
      <c r="T1190" s="868">
        <v>9.345971171E7</v>
      </c>
      <c r="AN1190" s="882"/>
      <c r="AO1190" s="882"/>
      <c r="AP1190" s="882"/>
      <c r="AY1190" s="882"/>
      <c r="AZ1190" s="882"/>
      <c r="BA1190" s="882"/>
      <c r="BJ1190" s="882"/>
      <c r="BK1190" s="882"/>
      <c r="BL1190" s="882"/>
      <c r="BU1190" s="882"/>
      <c r="BV1190" s="882"/>
      <c r="BW1190" s="882"/>
      <c r="CF1190" s="882"/>
      <c r="CG1190" s="882"/>
      <c r="CH1190" s="882"/>
      <c r="CI1190" s="530"/>
    </row>
    <row r="1191">
      <c r="A1191" s="857"/>
      <c r="B1191" s="865" t="s">
        <v>650</v>
      </c>
      <c r="C1191" s="865" t="s">
        <v>591</v>
      </c>
      <c r="D1191" s="865" t="s">
        <v>625</v>
      </c>
      <c r="E1191" s="866">
        <v>2019.0</v>
      </c>
      <c r="F1191" s="865" t="s">
        <v>593</v>
      </c>
      <c r="G1191" s="865" t="s">
        <v>70</v>
      </c>
      <c r="H1191" s="867">
        <v>7.507200097E8</v>
      </c>
      <c r="I1191" s="867">
        <v>8.414433441E8</v>
      </c>
      <c r="J1191" s="868">
        <v>6.68164662E8</v>
      </c>
      <c r="K1191" s="50"/>
      <c r="L1191" s="869" t="s">
        <v>650</v>
      </c>
      <c r="M1191" s="865" t="s">
        <v>591</v>
      </c>
      <c r="N1191" s="865" t="s">
        <v>625</v>
      </c>
      <c r="O1191" s="866">
        <v>2004.0</v>
      </c>
      <c r="P1191" s="865" t="s">
        <v>593</v>
      </c>
      <c r="Q1191" s="865" t="s">
        <v>70</v>
      </c>
      <c r="R1191" s="867">
        <v>5.14356058E8</v>
      </c>
      <c r="S1191" s="867">
        <v>5.622029165E8</v>
      </c>
      <c r="T1191" s="868">
        <v>4.689447562E8</v>
      </c>
      <c r="AN1191" s="882"/>
      <c r="AO1191" s="882"/>
      <c r="AP1191" s="882"/>
      <c r="AY1191" s="882"/>
      <c r="AZ1191" s="882"/>
      <c r="BA1191" s="882"/>
      <c r="BJ1191" s="882"/>
      <c r="BK1191" s="882"/>
      <c r="BL1191" s="882"/>
      <c r="BU1191" s="882"/>
      <c r="BV1191" s="882"/>
      <c r="BW1191" s="882"/>
      <c r="CF1191" s="882"/>
      <c r="CG1191" s="882"/>
      <c r="CH1191" s="882"/>
      <c r="CI1191" s="530"/>
    </row>
    <row r="1192">
      <c r="A1192" s="857"/>
      <c r="B1192" s="865" t="s">
        <v>650</v>
      </c>
      <c r="C1192" s="865" t="s">
        <v>591</v>
      </c>
      <c r="D1192" s="865" t="s">
        <v>627</v>
      </c>
      <c r="E1192" s="866">
        <v>2019.0</v>
      </c>
      <c r="F1192" s="865" t="s">
        <v>593</v>
      </c>
      <c r="G1192" s="865" t="s">
        <v>70</v>
      </c>
      <c r="H1192" s="867">
        <v>1.191259882E8</v>
      </c>
      <c r="I1192" s="867">
        <v>1.335221769E8</v>
      </c>
      <c r="J1192" s="868">
        <v>1.060259146E8</v>
      </c>
      <c r="K1192" s="50"/>
      <c r="L1192" s="869" t="s">
        <v>650</v>
      </c>
      <c r="M1192" s="865" t="s">
        <v>591</v>
      </c>
      <c r="N1192" s="865" t="s">
        <v>627</v>
      </c>
      <c r="O1192" s="866">
        <v>2004.0</v>
      </c>
      <c r="P1192" s="865" t="s">
        <v>593</v>
      </c>
      <c r="Q1192" s="865" t="s">
        <v>70</v>
      </c>
      <c r="R1192" s="867">
        <v>8.902539358E7</v>
      </c>
      <c r="S1192" s="867">
        <v>9.730678803E7</v>
      </c>
      <c r="T1192" s="868">
        <v>8.116554833E7</v>
      </c>
      <c r="AN1192" s="882"/>
      <c r="AO1192" s="882"/>
      <c r="AP1192" s="882"/>
      <c r="AY1192" s="882"/>
      <c r="AZ1192" s="882"/>
      <c r="BA1192" s="882"/>
      <c r="BJ1192" s="882"/>
      <c r="BK1192" s="882"/>
      <c r="BL1192" s="882"/>
      <c r="BU1192" s="882"/>
      <c r="BV1192" s="882"/>
      <c r="BW1192" s="882"/>
      <c r="CF1192" s="882"/>
      <c r="CG1192" s="882"/>
      <c r="CH1192" s="882"/>
      <c r="CI1192" s="530"/>
    </row>
    <row r="1193">
      <c r="A1193" s="857"/>
      <c r="B1193" s="865" t="s">
        <v>650</v>
      </c>
      <c r="C1193" s="865" t="s">
        <v>591</v>
      </c>
      <c r="D1193" s="865" t="s">
        <v>629</v>
      </c>
      <c r="E1193" s="866">
        <v>2019.0</v>
      </c>
      <c r="F1193" s="865" t="s">
        <v>593</v>
      </c>
      <c r="G1193" s="865" t="s">
        <v>70</v>
      </c>
      <c r="H1193" s="867">
        <v>4.957593548E8</v>
      </c>
      <c r="I1193" s="867">
        <v>5.556950344E8</v>
      </c>
      <c r="J1193" s="868">
        <v>4.412094806E8</v>
      </c>
      <c r="K1193" s="50"/>
      <c r="L1193" s="869" t="s">
        <v>650</v>
      </c>
      <c r="M1193" s="865" t="s">
        <v>591</v>
      </c>
      <c r="N1193" s="865" t="s">
        <v>629</v>
      </c>
      <c r="O1193" s="866">
        <v>2004.0</v>
      </c>
      <c r="P1193" s="865" t="s">
        <v>593</v>
      </c>
      <c r="Q1193" s="865" t="s">
        <v>70</v>
      </c>
      <c r="R1193" s="867">
        <v>3.612779512E8</v>
      </c>
      <c r="S1193" s="867">
        <v>3.948880251E8</v>
      </c>
      <c r="T1193" s="868">
        <v>3.293726845E8</v>
      </c>
      <c r="AN1193" s="882"/>
      <c r="AO1193" s="882"/>
      <c r="AP1193" s="882"/>
      <c r="AY1193" s="882"/>
      <c r="AZ1193" s="882"/>
      <c r="BA1193" s="882"/>
      <c r="BJ1193" s="882"/>
      <c r="BK1193" s="882"/>
      <c r="BL1193" s="882"/>
      <c r="BU1193" s="882"/>
      <c r="BV1193" s="882"/>
      <c r="BW1193" s="882"/>
      <c r="CF1193" s="882"/>
      <c r="CG1193" s="882"/>
      <c r="CH1193" s="882"/>
      <c r="CI1193" s="530"/>
    </row>
    <row r="1194">
      <c r="A1194" s="857"/>
      <c r="B1194" s="865" t="s">
        <v>650</v>
      </c>
      <c r="C1194" s="865" t="s">
        <v>591</v>
      </c>
      <c r="D1194" s="865" t="s">
        <v>631</v>
      </c>
      <c r="E1194" s="866">
        <v>2019.0</v>
      </c>
      <c r="F1194" s="865" t="s">
        <v>593</v>
      </c>
      <c r="G1194" s="865" t="s">
        <v>70</v>
      </c>
      <c r="H1194" s="867">
        <v>1.116388003E8</v>
      </c>
      <c r="I1194" s="867">
        <v>1.25130174E8</v>
      </c>
      <c r="J1194" s="868">
        <v>9.936207948E7</v>
      </c>
      <c r="K1194" s="50"/>
      <c r="L1194" s="869" t="s">
        <v>650</v>
      </c>
      <c r="M1194" s="865" t="s">
        <v>591</v>
      </c>
      <c r="N1194" s="865" t="s">
        <v>631</v>
      </c>
      <c r="O1194" s="866">
        <v>2004.0</v>
      </c>
      <c r="P1194" s="865" t="s">
        <v>593</v>
      </c>
      <c r="Q1194" s="865" t="s">
        <v>70</v>
      </c>
      <c r="R1194" s="867">
        <v>8.298727009E7</v>
      </c>
      <c r="S1194" s="867">
        <v>9.070698118E7</v>
      </c>
      <c r="T1194" s="868">
        <v>7.566051674E7</v>
      </c>
      <c r="AN1194" s="882"/>
      <c r="AO1194" s="882"/>
      <c r="AP1194" s="882"/>
      <c r="AY1194" s="882"/>
      <c r="AZ1194" s="882"/>
      <c r="BA1194" s="882"/>
      <c r="BJ1194" s="882"/>
      <c r="BK1194" s="882"/>
      <c r="BL1194" s="882"/>
      <c r="BU1194" s="882"/>
      <c r="BV1194" s="882"/>
      <c r="BW1194" s="882"/>
      <c r="CF1194" s="882"/>
      <c r="CG1194" s="882"/>
      <c r="CH1194" s="882"/>
      <c r="CI1194" s="530"/>
    </row>
    <row r="1195">
      <c r="A1195" s="857"/>
      <c r="B1195" s="865" t="s">
        <v>650</v>
      </c>
      <c r="C1195" s="865" t="s">
        <v>591</v>
      </c>
      <c r="D1195" s="865" t="s">
        <v>633</v>
      </c>
      <c r="E1195" s="866">
        <v>2019.0</v>
      </c>
      <c r="F1195" s="865" t="s">
        <v>593</v>
      </c>
      <c r="G1195" s="865" t="s">
        <v>70</v>
      </c>
      <c r="H1195" s="867">
        <v>1.015677745E8</v>
      </c>
      <c r="I1195" s="867">
        <v>1.138420806E8</v>
      </c>
      <c r="J1195" s="868">
        <v>9.039854651E7</v>
      </c>
      <c r="K1195" s="50"/>
      <c r="L1195" s="869" t="s">
        <v>650</v>
      </c>
      <c r="M1195" s="865" t="s">
        <v>591</v>
      </c>
      <c r="N1195" s="865" t="s">
        <v>633</v>
      </c>
      <c r="O1195" s="866">
        <v>2004.0</v>
      </c>
      <c r="P1195" s="865" t="s">
        <v>593</v>
      </c>
      <c r="Q1195" s="865" t="s">
        <v>70</v>
      </c>
      <c r="R1195" s="867">
        <v>7.503941022E7</v>
      </c>
      <c r="S1195" s="867">
        <v>8.201978886E7</v>
      </c>
      <c r="T1195" s="868">
        <v>6.841435497E7</v>
      </c>
      <c r="AN1195" s="882"/>
      <c r="AO1195" s="882"/>
      <c r="AP1195" s="882"/>
      <c r="AY1195" s="882"/>
      <c r="AZ1195" s="882"/>
      <c r="BA1195" s="882"/>
      <c r="BJ1195" s="882"/>
      <c r="BK1195" s="882"/>
      <c r="BL1195" s="882"/>
      <c r="BU1195" s="882"/>
      <c r="BV1195" s="882"/>
      <c r="BW1195" s="882"/>
      <c r="CF1195" s="882"/>
      <c r="CG1195" s="882"/>
      <c r="CH1195" s="882"/>
      <c r="CI1195" s="530"/>
    </row>
    <row r="1196">
      <c r="A1196" s="857"/>
      <c r="B1196" s="865" t="s">
        <v>650</v>
      </c>
      <c r="C1196" s="865" t="s">
        <v>591</v>
      </c>
      <c r="D1196" s="865" t="s">
        <v>635</v>
      </c>
      <c r="E1196" s="866">
        <v>2019.0</v>
      </c>
      <c r="F1196" s="865" t="s">
        <v>593</v>
      </c>
      <c r="G1196" s="865" t="s">
        <v>70</v>
      </c>
      <c r="H1196" s="867">
        <v>8.742705045E7</v>
      </c>
      <c r="I1196" s="867">
        <v>9.799247223E7</v>
      </c>
      <c r="J1196" s="868">
        <v>7.781285281E7</v>
      </c>
      <c r="K1196" s="50"/>
      <c r="L1196" s="869" t="s">
        <v>650</v>
      </c>
      <c r="M1196" s="865" t="s">
        <v>591</v>
      </c>
      <c r="N1196" s="865" t="s">
        <v>635</v>
      </c>
      <c r="O1196" s="866">
        <v>2004.0</v>
      </c>
      <c r="P1196" s="865" t="s">
        <v>593</v>
      </c>
      <c r="Q1196" s="865" t="s">
        <v>70</v>
      </c>
      <c r="R1196" s="867">
        <v>6.31899506E7</v>
      </c>
      <c r="S1196" s="867">
        <v>6.906805891E7</v>
      </c>
      <c r="T1196" s="868">
        <v>5.761105661E7</v>
      </c>
      <c r="AN1196" s="882"/>
      <c r="AO1196" s="882"/>
      <c r="AP1196" s="882"/>
      <c r="AY1196" s="882"/>
      <c r="AZ1196" s="882"/>
      <c r="BA1196" s="882"/>
      <c r="BJ1196" s="882"/>
      <c r="BK1196" s="882"/>
      <c r="BL1196" s="882"/>
      <c r="BU1196" s="882"/>
      <c r="BV1196" s="882"/>
      <c r="BW1196" s="882"/>
      <c r="CF1196" s="882"/>
      <c r="CG1196" s="882"/>
      <c r="CH1196" s="882"/>
      <c r="CI1196" s="530"/>
    </row>
    <row r="1197">
      <c r="A1197" s="857"/>
      <c r="B1197" s="865" t="s">
        <v>650</v>
      </c>
      <c r="C1197" s="865" t="s">
        <v>591</v>
      </c>
      <c r="D1197" s="865" t="s">
        <v>637</v>
      </c>
      <c r="E1197" s="866">
        <v>2019.0</v>
      </c>
      <c r="F1197" s="865" t="s">
        <v>593</v>
      </c>
      <c r="G1197" s="865" t="s">
        <v>70</v>
      </c>
      <c r="H1197" s="867">
        <v>7.599342295E7</v>
      </c>
      <c r="I1197" s="867">
        <v>8.51771088E7</v>
      </c>
      <c r="J1197" s="868">
        <v>6.763656105E7</v>
      </c>
      <c r="K1197" s="50"/>
      <c r="L1197" s="869" t="s">
        <v>650</v>
      </c>
      <c r="M1197" s="865" t="s">
        <v>591</v>
      </c>
      <c r="N1197" s="865" t="s">
        <v>637</v>
      </c>
      <c r="O1197" s="866">
        <v>2004.0</v>
      </c>
      <c r="P1197" s="865" t="s">
        <v>593</v>
      </c>
      <c r="Q1197" s="865" t="s">
        <v>70</v>
      </c>
      <c r="R1197" s="867">
        <v>5.103373604E7</v>
      </c>
      <c r="S1197" s="867">
        <v>5.578103882E7</v>
      </c>
      <c r="T1197" s="868">
        <v>4.6528086E7</v>
      </c>
      <c r="AN1197" s="882"/>
      <c r="AO1197" s="882"/>
      <c r="AP1197" s="882"/>
      <c r="AY1197" s="882"/>
      <c r="AZ1197" s="882"/>
      <c r="BA1197" s="882"/>
      <c r="BJ1197" s="882"/>
      <c r="BK1197" s="882"/>
      <c r="BL1197" s="882"/>
      <c r="BU1197" s="882"/>
      <c r="BV1197" s="882"/>
      <c r="BW1197" s="882"/>
      <c r="CF1197" s="882"/>
      <c r="CG1197" s="882"/>
      <c r="CH1197" s="882"/>
      <c r="CI1197" s="530"/>
    </row>
    <row r="1198">
      <c r="A1198" s="857"/>
      <c r="B1198" s="865" t="s">
        <v>650</v>
      </c>
      <c r="C1198" s="865" t="s">
        <v>591</v>
      </c>
      <c r="D1198" s="865" t="s">
        <v>639</v>
      </c>
      <c r="E1198" s="866">
        <v>2019.0</v>
      </c>
      <c r="F1198" s="865" t="s">
        <v>593</v>
      </c>
      <c r="G1198" s="865" t="s">
        <v>70</v>
      </c>
      <c r="H1198" s="867">
        <v>3.934413555E8</v>
      </c>
      <c r="I1198" s="867">
        <v>4.410071247E8</v>
      </c>
      <c r="J1198" s="868">
        <v>3.501498346E8</v>
      </c>
      <c r="K1198" s="50"/>
      <c r="L1198" s="869" t="s">
        <v>650</v>
      </c>
      <c r="M1198" s="865" t="s">
        <v>591</v>
      </c>
      <c r="N1198" s="865" t="s">
        <v>639</v>
      </c>
      <c r="O1198" s="866">
        <v>2004.0</v>
      </c>
      <c r="P1198" s="865" t="s">
        <v>593</v>
      </c>
      <c r="Q1198" s="865" t="s">
        <v>70</v>
      </c>
      <c r="R1198" s="867">
        <v>3.669418179E8</v>
      </c>
      <c r="S1198" s="867">
        <v>4.010788074E8</v>
      </c>
      <c r="T1198" s="868">
        <v>3.345363624E8</v>
      </c>
      <c r="AN1198" s="882"/>
      <c r="AO1198" s="882"/>
      <c r="AP1198" s="882"/>
      <c r="AY1198" s="882"/>
      <c r="AZ1198" s="882"/>
      <c r="BA1198" s="882"/>
      <c r="BJ1198" s="882"/>
      <c r="BK1198" s="882"/>
      <c r="BL1198" s="882"/>
      <c r="BU1198" s="882"/>
      <c r="BV1198" s="882"/>
      <c r="BW1198" s="882"/>
      <c r="CF1198" s="882"/>
      <c r="CG1198" s="882"/>
      <c r="CH1198" s="882"/>
      <c r="CI1198" s="530"/>
    </row>
    <row r="1199">
      <c r="A1199" s="857"/>
      <c r="B1199" s="865" t="s">
        <v>650</v>
      </c>
      <c r="C1199" s="865" t="s">
        <v>591</v>
      </c>
      <c r="D1199" s="865" t="s">
        <v>641</v>
      </c>
      <c r="E1199" s="866">
        <v>2019.0</v>
      </c>
      <c r="F1199" s="865" t="s">
        <v>593</v>
      </c>
      <c r="G1199" s="865" t="s">
        <v>70</v>
      </c>
      <c r="H1199" s="867">
        <v>1.255836159E8</v>
      </c>
      <c r="I1199" s="867">
        <v>1.407601987E8</v>
      </c>
      <c r="J1199" s="868">
        <v>1.117734085E8</v>
      </c>
      <c r="K1199" s="50"/>
      <c r="L1199" s="869" t="s">
        <v>650</v>
      </c>
      <c r="M1199" s="865" t="s">
        <v>591</v>
      </c>
      <c r="N1199" s="865" t="s">
        <v>641</v>
      </c>
      <c r="O1199" s="866">
        <v>2004.0</v>
      </c>
      <c r="P1199" s="865" t="s">
        <v>593</v>
      </c>
      <c r="Q1199" s="865" t="s">
        <v>70</v>
      </c>
      <c r="R1199" s="867">
        <v>1.266973779E8</v>
      </c>
      <c r="S1199" s="867">
        <v>1.384831271E8</v>
      </c>
      <c r="T1199" s="868">
        <v>1.155115607E8</v>
      </c>
      <c r="AN1199" s="882"/>
      <c r="AO1199" s="882"/>
      <c r="AP1199" s="882"/>
      <c r="AY1199" s="882"/>
      <c r="AZ1199" s="882"/>
      <c r="BA1199" s="882"/>
      <c r="BJ1199" s="882"/>
      <c r="BK1199" s="882"/>
      <c r="BL1199" s="882"/>
      <c r="BU1199" s="882"/>
      <c r="BV1199" s="882"/>
      <c r="BW1199" s="882"/>
      <c r="CF1199" s="882"/>
      <c r="CG1199" s="882"/>
      <c r="CH1199" s="882"/>
      <c r="CI1199" s="530"/>
    </row>
    <row r="1200">
      <c r="A1200" s="857"/>
      <c r="B1200" s="865" t="s">
        <v>650</v>
      </c>
      <c r="C1200" s="865" t="s">
        <v>591</v>
      </c>
      <c r="D1200" s="865" t="s">
        <v>643</v>
      </c>
      <c r="E1200" s="866">
        <v>2019.0</v>
      </c>
      <c r="F1200" s="865" t="s">
        <v>593</v>
      </c>
      <c r="G1200" s="865" t="s">
        <v>70</v>
      </c>
      <c r="H1200" s="867">
        <v>6.365676118E7</v>
      </c>
      <c r="I1200" s="867">
        <v>7.134958082E7</v>
      </c>
      <c r="J1200" s="868">
        <v>5.665654008E7</v>
      </c>
      <c r="K1200" s="50"/>
      <c r="L1200" s="869" t="s">
        <v>650</v>
      </c>
      <c r="M1200" s="865" t="s">
        <v>591</v>
      </c>
      <c r="N1200" s="865" t="s">
        <v>643</v>
      </c>
      <c r="O1200" s="866">
        <v>2004.0</v>
      </c>
      <c r="P1200" s="865" t="s">
        <v>593</v>
      </c>
      <c r="Q1200" s="865" t="s">
        <v>70</v>
      </c>
      <c r="R1200" s="867">
        <v>4.019658973E7</v>
      </c>
      <c r="S1200" s="867">
        <v>4.393579044E7</v>
      </c>
      <c r="T1200" s="868">
        <v>3.664772617E7</v>
      </c>
      <c r="AN1200" s="882"/>
      <c r="AO1200" s="882"/>
      <c r="AP1200" s="882"/>
      <c r="AY1200" s="882"/>
      <c r="AZ1200" s="882"/>
      <c r="BA1200" s="882"/>
      <c r="BJ1200" s="882"/>
      <c r="BK1200" s="882"/>
      <c r="BL1200" s="882"/>
      <c r="BU1200" s="882"/>
      <c r="BV1200" s="882"/>
      <c r="BW1200" s="882"/>
      <c r="CF1200" s="882"/>
      <c r="CG1200" s="882"/>
      <c r="CH1200" s="882"/>
      <c r="CI1200" s="530"/>
    </row>
    <row r="1201">
      <c r="A1201" s="857"/>
      <c r="B1201" s="865" t="s">
        <v>650</v>
      </c>
      <c r="C1201" s="865" t="s">
        <v>591</v>
      </c>
      <c r="D1201" s="865" t="s">
        <v>645</v>
      </c>
      <c r="E1201" s="866">
        <v>2019.0</v>
      </c>
      <c r="F1201" s="865" t="s">
        <v>593</v>
      </c>
      <c r="G1201" s="865" t="s">
        <v>70</v>
      </c>
      <c r="H1201" s="867">
        <v>1.984500438E8</v>
      </c>
      <c r="I1201" s="867">
        <v>2.2243242E8</v>
      </c>
      <c r="J1201" s="868">
        <v>1.766268446E8</v>
      </c>
      <c r="K1201" s="50"/>
      <c r="L1201" s="869" t="s">
        <v>650</v>
      </c>
      <c r="M1201" s="865" t="s">
        <v>591</v>
      </c>
      <c r="N1201" s="865" t="s">
        <v>645</v>
      </c>
      <c r="O1201" s="866">
        <v>2004.0</v>
      </c>
      <c r="P1201" s="865" t="s">
        <v>593</v>
      </c>
      <c r="Q1201" s="865" t="s">
        <v>70</v>
      </c>
      <c r="R1201" s="867">
        <v>1.234538889E8</v>
      </c>
      <c r="S1201" s="867">
        <v>1.349379195E8</v>
      </c>
      <c r="T1201" s="868">
        <v>1.125544317E8</v>
      </c>
      <c r="AN1201" s="882"/>
      <c r="AO1201" s="882"/>
      <c r="AP1201" s="882"/>
      <c r="AY1201" s="882"/>
      <c r="AZ1201" s="882"/>
      <c r="BA1201" s="882"/>
      <c r="BJ1201" s="882"/>
      <c r="BK1201" s="882"/>
      <c r="BL1201" s="882"/>
      <c r="BU1201" s="882"/>
      <c r="BV1201" s="882"/>
      <c r="BW1201" s="882"/>
      <c r="CF1201" s="882"/>
      <c r="CG1201" s="882"/>
      <c r="CH1201" s="882"/>
      <c r="CI1201" s="530"/>
    </row>
    <row r="1202">
      <c r="A1202" s="857"/>
      <c r="B1202" s="865" t="s">
        <v>650</v>
      </c>
      <c r="C1202" s="865" t="s">
        <v>591</v>
      </c>
      <c r="D1202" s="865" t="s">
        <v>604</v>
      </c>
      <c r="E1202" s="866">
        <v>2019.0</v>
      </c>
      <c r="F1202" s="865" t="s">
        <v>593</v>
      </c>
      <c r="G1202" s="865" t="s">
        <v>70</v>
      </c>
      <c r="H1202" s="867">
        <v>2.590806256E8</v>
      </c>
      <c r="I1202" s="867">
        <v>2.903901124E8</v>
      </c>
      <c r="J1202" s="868">
        <v>2.305899888E8</v>
      </c>
      <c r="K1202" s="50"/>
      <c r="L1202" s="869" t="s">
        <v>650</v>
      </c>
      <c r="M1202" s="865" t="s">
        <v>591</v>
      </c>
      <c r="N1202" s="865" t="s">
        <v>604</v>
      </c>
      <c r="O1202" s="866">
        <v>2004.0</v>
      </c>
      <c r="P1202" s="865" t="s">
        <v>593</v>
      </c>
      <c r="Q1202" s="865" t="s">
        <v>70</v>
      </c>
      <c r="R1202" s="867">
        <v>2.505777284E8</v>
      </c>
      <c r="S1202" s="867">
        <v>2.738871789E8</v>
      </c>
      <c r="T1202" s="868">
        <v>2.284548027E8</v>
      </c>
      <c r="AN1202" s="882"/>
      <c r="AO1202" s="882"/>
      <c r="AP1202" s="882"/>
      <c r="AY1202" s="882"/>
      <c r="AZ1202" s="882"/>
      <c r="BA1202" s="882"/>
      <c r="BJ1202" s="882"/>
      <c r="BK1202" s="882"/>
      <c r="BL1202" s="882"/>
      <c r="BU1202" s="882"/>
      <c r="BV1202" s="882"/>
      <c r="BW1202" s="882"/>
      <c r="CF1202" s="882"/>
      <c r="CG1202" s="882"/>
      <c r="CH1202" s="882"/>
      <c r="CI1202" s="530"/>
    </row>
    <row r="1203">
      <c r="A1203" s="857"/>
      <c r="B1203" s="865" t="s">
        <v>650</v>
      </c>
      <c r="C1203" s="865" t="s">
        <v>591</v>
      </c>
      <c r="D1203" s="865" t="s">
        <v>647</v>
      </c>
      <c r="E1203" s="866">
        <v>2019.0</v>
      </c>
      <c r="F1203" s="865" t="s">
        <v>593</v>
      </c>
      <c r="G1203" s="865" t="s">
        <v>70</v>
      </c>
      <c r="H1203" s="867">
        <v>1.913126503E8</v>
      </c>
      <c r="I1203" s="867">
        <v>2.144417222E8</v>
      </c>
      <c r="J1203" s="868">
        <v>1.702619512E8</v>
      </c>
      <c r="K1203" s="50"/>
      <c r="L1203" s="869" t="s">
        <v>650</v>
      </c>
      <c r="M1203" s="865" t="s">
        <v>591</v>
      </c>
      <c r="N1203" s="865" t="s">
        <v>647</v>
      </c>
      <c r="O1203" s="866">
        <v>2004.0</v>
      </c>
      <c r="P1203" s="865" t="s">
        <v>593</v>
      </c>
      <c r="Q1203" s="865" t="s">
        <v>70</v>
      </c>
      <c r="R1203" s="867">
        <v>1.128843923E8</v>
      </c>
      <c r="S1203" s="867">
        <v>1.233861479E8</v>
      </c>
      <c r="T1203" s="868">
        <v>1.029153182E8</v>
      </c>
      <c r="AN1203" s="882"/>
      <c r="AO1203" s="882"/>
      <c r="AP1203" s="882"/>
      <c r="AY1203" s="882"/>
      <c r="AZ1203" s="882"/>
      <c r="BA1203" s="882"/>
      <c r="BJ1203" s="882"/>
      <c r="BK1203" s="882"/>
      <c r="BL1203" s="882"/>
      <c r="BU1203" s="882"/>
      <c r="BV1203" s="882"/>
      <c r="BW1203" s="882"/>
      <c r="CF1203" s="882"/>
      <c r="CG1203" s="882"/>
      <c r="CH1203" s="882"/>
      <c r="CI1203" s="530"/>
    </row>
    <row r="1204">
      <c r="A1204" s="857"/>
      <c r="B1204" s="865" t="s">
        <v>650</v>
      </c>
      <c r="C1204" s="865" t="s">
        <v>591</v>
      </c>
      <c r="D1204" s="865" t="s">
        <v>649</v>
      </c>
      <c r="E1204" s="866">
        <v>2019.0</v>
      </c>
      <c r="F1204" s="865" t="s">
        <v>593</v>
      </c>
      <c r="G1204" s="865" t="s">
        <v>70</v>
      </c>
      <c r="H1204" s="867">
        <v>5.318783958E7</v>
      </c>
      <c r="I1204" s="867">
        <v>5.961550648E7</v>
      </c>
      <c r="J1204" s="868">
        <v>4.733886721E7</v>
      </c>
      <c r="K1204" s="50"/>
      <c r="L1204" s="869" t="s">
        <v>650</v>
      </c>
      <c r="M1204" s="865" t="s">
        <v>591</v>
      </c>
      <c r="N1204" s="865" t="s">
        <v>649</v>
      </c>
      <c r="O1204" s="866">
        <v>2004.0</v>
      </c>
      <c r="P1204" s="865" t="s">
        <v>593</v>
      </c>
      <c r="Q1204" s="865" t="s">
        <v>70</v>
      </c>
      <c r="R1204" s="867">
        <v>3.213679327E7</v>
      </c>
      <c r="S1204" s="867">
        <v>3.512624887E7</v>
      </c>
      <c r="T1204" s="868">
        <v>2.929951043E7</v>
      </c>
      <c r="AN1204" s="882"/>
      <c r="AO1204" s="882"/>
      <c r="AP1204" s="882"/>
      <c r="AY1204" s="882"/>
      <c r="AZ1204" s="882"/>
      <c r="BA1204" s="882"/>
      <c r="BJ1204" s="882"/>
      <c r="BK1204" s="882"/>
      <c r="BL1204" s="882"/>
      <c r="BU1204" s="882"/>
      <c r="BV1204" s="882"/>
      <c r="BW1204" s="882"/>
      <c r="CF1204" s="882"/>
      <c r="CG1204" s="882"/>
      <c r="CH1204" s="882"/>
      <c r="CI1204" s="530"/>
    </row>
    <row r="1205">
      <c r="A1205" s="857"/>
      <c r="B1205" s="865" t="s">
        <v>650</v>
      </c>
      <c r="C1205" s="865" t="s">
        <v>591</v>
      </c>
      <c r="D1205" s="865" t="s">
        <v>651</v>
      </c>
      <c r="E1205" s="866">
        <v>2019.0</v>
      </c>
      <c r="F1205" s="865" t="s">
        <v>593</v>
      </c>
      <c r="G1205" s="865" t="s">
        <v>70</v>
      </c>
      <c r="H1205" s="867">
        <v>4.49579556E7</v>
      </c>
      <c r="I1205" s="867">
        <v>5.039105395E7</v>
      </c>
      <c r="J1205" s="868">
        <v>4.001400898E7</v>
      </c>
      <c r="K1205" s="50"/>
      <c r="L1205" s="869" t="s">
        <v>650</v>
      </c>
      <c r="M1205" s="865" t="s">
        <v>591</v>
      </c>
      <c r="N1205" s="865" t="s">
        <v>651</v>
      </c>
      <c r="O1205" s="866">
        <v>2004.0</v>
      </c>
      <c r="P1205" s="865" t="s">
        <v>593</v>
      </c>
      <c r="Q1205" s="865" t="s">
        <v>70</v>
      </c>
      <c r="R1205" s="867">
        <v>2.828612668E7</v>
      </c>
      <c r="S1205" s="867">
        <v>3.091738236E7</v>
      </c>
      <c r="T1205" s="868">
        <v>2.578881025E7</v>
      </c>
      <c r="AN1205" s="882"/>
      <c r="AO1205" s="882"/>
      <c r="AP1205" s="882"/>
      <c r="AY1205" s="882"/>
      <c r="AZ1205" s="882"/>
      <c r="BA1205" s="882"/>
      <c r="BJ1205" s="882"/>
      <c r="BK1205" s="882"/>
      <c r="BL1205" s="882"/>
      <c r="BU1205" s="882"/>
      <c r="BV1205" s="882"/>
      <c r="BW1205" s="882"/>
      <c r="CF1205" s="882"/>
      <c r="CG1205" s="882"/>
      <c r="CH1205" s="882"/>
      <c r="CI1205" s="530"/>
    </row>
    <row r="1206">
      <c r="A1206" s="857"/>
      <c r="B1206" s="865" t="s">
        <v>650</v>
      </c>
      <c r="C1206" s="865" t="s">
        <v>591</v>
      </c>
      <c r="D1206" s="865" t="s">
        <v>653</v>
      </c>
      <c r="E1206" s="866">
        <v>2019.0</v>
      </c>
      <c r="F1206" s="865" t="s">
        <v>593</v>
      </c>
      <c r="G1206" s="865" t="s">
        <v>70</v>
      </c>
      <c r="H1206" s="867">
        <v>3.664748748E7</v>
      </c>
      <c r="I1206" s="867">
        <v>4.107627881E7</v>
      </c>
      <c r="J1206" s="868">
        <v>3.26174283E7</v>
      </c>
      <c r="K1206" s="50"/>
      <c r="L1206" s="869" t="s">
        <v>650</v>
      </c>
      <c r="M1206" s="865" t="s">
        <v>591</v>
      </c>
      <c r="N1206" s="865" t="s">
        <v>653</v>
      </c>
      <c r="O1206" s="866">
        <v>2004.0</v>
      </c>
      <c r="P1206" s="865" t="s">
        <v>593</v>
      </c>
      <c r="Q1206" s="865" t="s">
        <v>70</v>
      </c>
      <c r="R1206" s="867">
        <v>2.283437917E7</v>
      </c>
      <c r="S1206" s="867">
        <v>2.495849785E7</v>
      </c>
      <c r="T1206" s="868">
        <v>2.081838487E7</v>
      </c>
      <c r="AN1206" s="882"/>
      <c r="AO1206" s="882"/>
      <c r="AP1206" s="882"/>
      <c r="AY1206" s="882"/>
      <c r="AZ1206" s="882"/>
      <c r="BA1206" s="882"/>
      <c r="BJ1206" s="882"/>
      <c r="BK1206" s="882"/>
      <c r="BL1206" s="882"/>
      <c r="BU1206" s="882"/>
      <c r="BV1206" s="882"/>
      <c r="BW1206" s="882"/>
      <c r="CF1206" s="882"/>
      <c r="CG1206" s="882"/>
      <c r="CH1206" s="882"/>
      <c r="CI1206" s="530"/>
    </row>
    <row r="1207">
      <c r="A1207" s="857"/>
      <c r="B1207" s="865" t="s">
        <v>650</v>
      </c>
      <c r="C1207" s="865" t="s">
        <v>591</v>
      </c>
      <c r="D1207" s="865" t="s">
        <v>655</v>
      </c>
      <c r="E1207" s="866">
        <v>2019.0</v>
      </c>
      <c r="F1207" s="865" t="s">
        <v>593</v>
      </c>
      <c r="G1207" s="865" t="s">
        <v>70</v>
      </c>
      <c r="H1207" s="867">
        <v>6.223375542E7</v>
      </c>
      <c r="I1207" s="867">
        <v>6.975761229E7</v>
      </c>
      <c r="J1207" s="868">
        <v>5.538599047E7</v>
      </c>
      <c r="K1207" s="50"/>
      <c r="L1207" s="869" t="s">
        <v>650</v>
      </c>
      <c r="M1207" s="865" t="s">
        <v>591</v>
      </c>
      <c r="N1207" s="865" t="s">
        <v>655</v>
      </c>
      <c r="O1207" s="866">
        <v>2004.0</v>
      </c>
      <c r="P1207" s="865" t="s">
        <v>593</v>
      </c>
      <c r="Q1207" s="865" t="s">
        <v>70</v>
      </c>
      <c r="R1207" s="867">
        <v>3.852284832E7</v>
      </c>
      <c r="S1207" s="867">
        <v>4.210667007E7</v>
      </c>
      <c r="T1207" s="868">
        <v>3.512080912E7</v>
      </c>
      <c r="AN1207" s="882"/>
      <c r="AO1207" s="882"/>
      <c r="AP1207" s="882"/>
      <c r="AY1207" s="882"/>
      <c r="AZ1207" s="882"/>
      <c r="BA1207" s="882"/>
      <c r="BJ1207" s="882"/>
      <c r="BK1207" s="882"/>
      <c r="BL1207" s="882"/>
      <c r="BU1207" s="882"/>
      <c r="BV1207" s="882"/>
      <c r="BW1207" s="882"/>
      <c r="CF1207" s="882"/>
      <c r="CG1207" s="882"/>
      <c r="CH1207" s="882"/>
      <c r="CI1207" s="530"/>
    </row>
    <row r="1208">
      <c r="A1208" s="857"/>
      <c r="B1208" s="865" t="s">
        <v>650</v>
      </c>
      <c r="C1208" s="865" t="s">
        <v>591</v>
      </c>
      <c r="D1208" s="865" t="s">
        <v>657</v>
      </c>
      <c r="E1208" s="866">
        <v>2019.0</v>
      </c>
      <c r="F1208" s="865" t="s">
        <v>593</v>
      </c>
      <c r="G1208" s="865" t="s">
        <v>70</v>
      </c>
      <c r="H1208" s="867">
        <v>2.558547477E7</v>
      </c>
      <c r="I1208" s="867">
        <v>2.867743923E7</v>
      </c>
      <c r="J1208" s="868">
        <v>2.27718855E7</v>
      </c>
      <c r="K1208" s="50"/>
      <c r="L1208" s="869" t="s">
        <v>650</v>
      </c>
      <c r="M1208" s="865" t="s">
        <v>591</v>
      </c>
      <c r="N1208" s="865" t="s">
        <v>657</v>
      </c>
      <c r="O1208" s="866">
        <v>2004.0</v>
      </c>
      <c r="P1208" s="865" t="s">
        <v>593</v>
      </c>
      <c r="Q1208" s="865" t="s">
        <v>70</v>
      </c>
      <c r="R1208" s="867">
        <v>1.568823555E7</v>
      </c>
      <c r="S1208" s="867">
        <v>1.714759969E7</v>
      </c>
      <c r="T1208" s="868">
        <v>1.430315767E7</v>
      </c>
      <c r="AN1208" s="882"/>
      <c r="AO1208" s="882"/>
      <c r="AP1208" s="882"/>
      <c r="AY1208" s="882"/>
      <c r="AZ1208" s="882"/>
      <c r="BA1208" s="882"/>
      <c r="BJ1208" s="882"/>
      <c r="BK1208" s="882"/>
      <c r="BL1208" s="882"/>
      <c r="BU1208" s="882"/>
      <c r="BV1208" s="882"/>
      <c r="BW1208" s="882"/>
      <c r="CF1208" s="882"/>
      <c r="CG1208" s="882"/>
      <c r="CH1208" s="882"/>
      <c r="CI1208" s="530"/>
    </row>
    <row r="1209">
      <c r="A1209" s="857"/>
      <c r="B1209" s="865" t="s">
        <v>650</v>
      </c>
      <c r="C1209" s="865" t="s">
        <v>591</v>
      </c>
      <c r="D1209" s="865" t="s">
        <v>659</v>
      </c>
      <c r="E1209" s="866">
        <v>2019.0</v>
      </c>
      <c r="F1209" s="865" t="s">
        <v>593</v>
      </c>
      <c r="G1209" s="865" t="s">
        <v>70</v>
      </c>
      <c r="H1209" s="867">
        <v>5.651692943E7</v>
      </c>
      <c r="I1209" s="867">
        <v>6.334691161E7</v>
      </c>
      <c r="J1209" s="868">
        <v>5.030186296E7</v>
      </c>
      <c r="K1209" s="50"/>
      <c r="L1209" s="869" t="s">
        <v>650</v>
      </c>
      <c r="M1209" s="865" t="s">
        <v>591</v>
      </c>
      <c r="N1209" s="865" t="s">
        <v>659</v>
      </c>
      <c r="O1209" s="866">
        <v>2004.0</v>
      </c>
      <c r="P1209" s="865" t="s">
        <v>593</v>
      </c>
      <c r="Q1209" s="865" t="s">
        <v>70</v>
      </c>
      <c r="R1209" s="867">
        <v>2.962640866E7</v>
      </c>
      <c r="S1209" s="867">
        <v>3.238234117E7</v>
      </c>
      <c r="T1209" s="868">
        <v>2.701076184E7</v>
      </c>
      <c r="AN1209" s="882"/>
      <c r="AO1209" s="882"/>
      <c r="AP1209" s="882"/>
      <c r="AY1209" s="882"/>
      <c r="AZ1209" s="882"/>
      <c r="BA1209" s="882"/>
      <c r="BJ1209" s="882"/>
      <c r="BK1209" s="882"/>
      <c r="BL1209" s="882"/>
      <c r="BU1209" s="882"/>
      <c r="BV1209" s="882"/>
      <c r="BW1209" s="882"/>
      <c r="CF1209" s="882"/>
      <c r="CG1209" s="882"/>
      <c r="CH1209" s="882"/>
      <c r="CI1209" s="530"/>
    </row>
    <row r="1210">
      <c r="A1210" s="857"/>
      <c r="B1210" s="865" t="s">
        <v>650</v>
      </c>
      <c r="C1210" s="865" t="s">
        <v>591</v>
      </c>
      <c r="D1210" s="865" t="s">
        <v>661</v>
      </c>
      <c r="E1210" s="866">
        <v>2019.0</v>
      </c>
      <c r="F1210" s="865" t="s">
        <v>593</v>
      </c>
      <c r="G1210" s="865" t="s">
        <v>70</v>
      </c>
      <c r="H1210" s="867">
        <v>3.093184888E7</v>
      </c>
      <c r="I1210" s="867">
        <v>3.467140793E7</v>
      </c>
      <c r="J1210" s="868">
        <v>2.752832568E7</v>
      </c>
      <c r="K1210" s="50"/>
      <c r="L1210" s="869" t="s">
        <v>650</v>
      </c>
      <c r="M1210" s="865" t="s">
        <v>591</v>
      </c>
      <c r="N1210" s="865" t="s">
        <v>661</v>
      </c>
      <c r="O1210" s="866">
        <v>2004.0</v>
      </c>
      <c r="P1210" s="865" t="s">
        <v>593</v>
      </c>
      <c r="Q1210" s="865" t="s">
        <v>70</v>
      </c>
      <c r="R1210" s="867">
        <v>1.393825762E7</v>
      </c>
      <c r="S1210" s="867">
        <v>1.523494863E7</v>
      </c>
      <c r="T1210" s="868">
        <v>1.270733881E7</v>
      </c>
      <c r="AN1210" s="882"/>
      <c r="AO1210" s="882"/>
      <c r="AP1210" s="882"/>
      <c r="AY1210" s="882"/>
      <c r="AZ1210" s="882"/>
      <c r="BA1210" s="882"/>
      <c r="BJ1210" s="882"/>
      <c r="BK1210" s="882"/>
      <c r="BL1210" s="882"/>
      <c r="BU1210" s="882"/>
      <c r="BV1210" s="882"/>
      <c r="BW1210" s="882"/>
      <c r="CF1210" s="882"/>
      <c r="CG1210" s="882"/>
      <c r="CH1210" s="882"/>
      <c r="CI1210" s="530"/>
    </row>
    <row r="1211">
      <c r="A1211" s="857"/>
      <c r="B1211" s="865" t="s">
        <v>650</v>
      </c>
      <c r="C1211" s="865" t="s">
        <v>591</v>
      </c>
      <c r="D1211" s="865" t="s">
        <v>663</v>
      </c>
      <c r="E1211" s="866">
        <v>2019.0</v>
      </c>
      <c r="F1211" s="865" t="s">
        <v>593</v>
      </c>
      <c r="G1211" s="865" t="s">
        <v>70</v>
      </c>
      <c r="H1211" s="867">
        <v>1.646041085E7</v>
      </c>
      <c r="I1211" s="867">
        <v>1.844962565E7</v>
      </c>
      <c r="J1211" s="868">
        <v>1.465028867E7</v>
      </c>
      <c r="K1211" s="50"/>
      <c r="L1211" s="869" t="s">
        <v>650</v>
      </c>
      <c r="M1211" s="865" t="s">
        <v>591</v>
      </c>
      <c r="N1211" s="865" t="s">
        <v>663</v>
      </c>
      <c r="O1211" s="866">
        <v>2004.0</v>
      </c>
      <c r="P1211" s="865" t="s">
        <v>593</v>
      </c>
      <c r="Q1211" s="865" t="s">
        <v>70</v>
      </c>
      <c r="R1211" s="867">
        <v>8704652.159</v>
      </c>
      <c r="S1211" s="867">
        <v>9514383.576</v>
      </c>
      <c r="T1211" s="868">
        <v>7936138.635</v>
      </c>
      <c r="AN1211" s="882"/>
      <c r="AO1211" s="882"/>
      <c r="AP1211" s="882"/>
      <c r="AY1211" s="882"/>
      <c r="AZ1211" s="882"/>
      <c r="BA1211" s="882"/>
      <c r="BJ1211" s="882"/>
      <c r="BK1211" s="882"/>
      <c r="BL1211" s="882"/>
      <c r="BU1211" s="882"/>
      <c r="BV1211" s="882"/>
      <c r="BW1211" s="882"/>
      <c r="CF1211" s="882"/>
      <c r="CG1211" s="882"/>
      <c r="CH1211" s="882"/>
      <c r="CI1211" s="530"/>
    </row>
    <row r="1212">
      <c r="A1212" s="857"/>
      <c r="B1212" s="865" t="s">
        <v>650</v>
      </c>
      <c r="C1212" s="865" t="s">
        <v>591</v>
      </c>
      <c r="D1212" s="865" t="s">
        <v>665</v>
      </c>
      <c r="E1212" s="866">
        <v>2019.0</v>
      </c>
      <c r="F1212" s="865" t="s">
        <v>593</v>
      </c>
      <c r="G1212" s="865" t="s">
        <v>70</v>
      </c>
      <c r="H1212" s="867">
        <v>2.569245162E7</v>
      </c>
      <c r="I1212" s="867">
        <v>2.879858474E7</v>
      </c>
      <c r="J1212" s="868">
        <v>2.286543486E7</v>
      </c>
      <c r="K1212" s="50"/>
      <c r="L1212" s="869" t="s">
        <v>650</v>
      </c>
      <c r="M1212" s="865" t="s">
        <v>591</v>
      </c>
      <c r="N1212" s="865" t="s">
        <v>665</v>
      </c>
      <c r="O1212" s="866">
        <v>2004.0</v>
      </c>
      <c r="P1212" s="865" t="s">
        <v>593</v>
      </c>
      <c r="Q1212" s="865" t="s">
        <v>70</v>
      </c>
      <c r="R1212" s="867">
        <v>1.246298869E7</v>
      </c>
      <c r="S1212" s="867">
        <v>1.362243385E7</v>
      </c>
      <c r="T1212" s="868">
        <v>1.136235419E7</v>
      </c>
      <c r="AN1212" s="882"/>
      <c r="AO1212" s="882"/>
      <c r="AP1212" s="882"/>
      <c r="AY1212" s="882"/>
      <c r="AZ1212" s="882"/>
      <c r="BA1212" s="882"/>
      <c r="BJ1212" s="882"/>
      <c r="BK1212" s="882"/>
      <c r="BL1212" s="882"/>
      <c r="BU1212" s="882"/>
      <c r="BV1212" s="882"/>
      <c r="BW1212" s="882"/>
      <c r="CF1212" s="882"/>
      <c r="CG1212" s="882"/>
      <c r="CH1212" s="882"/>
      <c r="CI1212" s="530"/>
    </row>
    <row r="1213">
      <c r="A1213" s="857"/>
      <c r="B1213" s="865" t="s">
        <v>650</v>
      </c>
      <c r="C1213" s="865" t="s">
        <v>591</v>
      </c>
      <c r="D1213" s="865" t="s">
        <v>667</v>
      </c>
      <c r="E1213" s="866">
        <v>2019.0</v>
      </c>
      <c r="F1213" s="865" t="s">
        <v>593</v>
      </c>
      <c r="G1213" s="865" t="s">
        <v>70</v>
      </c>
      <c r="H1213" s="867">
        <v>1.447104381E7</v>
      </c>
      <c r="I1213" s="867">
        <v>1.621984673E7</v>
      </c>
      <c r="J1213" s="868">
        <v>1.287968879E7</v>
      </c>
      <c r="K1213" s="50"/>
      <c r="L1213" s="869" t="s">
        <v>650</v>
      </c>
      <c r="M1213" s="865" t="s">
        <v>591</v>
      </c>
      <c r="N1213" s="865" t="s">
        <v>667</v>
      </c>
      <c r="O1213" s="866">
        <v>2004.0</v>
      </c>
      <c r="P1213" s="865" t="s">
        <v>593</v>
      </c>
      <c r="Q1213" s="865" t="s">
        <v>70</v>
      </c>
      <c r="R1213" s="867">
        <v>5233520.946</v>
      </c>
      <c r="S1213" s="867">
        <v>5720357.898</v>
      </c>
      <c r="T1213" s="868">
        <v>4771465.536</v>
      </c>
      <c r="AN1213" s="882"/>
      <c r="AO1213" s="882"/>
      <c r="AP1213" s="882"/>
      <c r="AY1213" s="882"/>
      <c r="AZ1213" s="882"/>
      <c r="BA1213" s="882"/>
      <c r="BJ1213" s="882"/>
      <c r="BK1213" s="882"/>
      <c r="BL1213" s="882"/>
      <c r="BU1213" s="882"/>
      <c r="BV1213" s="882"/>
      <c r="BW1213" s="882"/>
      <c r="CF1213" s="882"/>
      <c r="CG1213" s="882"/>
      <c r="CH1213" s="882"/>
      <c r="CI1213" s="530"/>
    </row>
    <row r="1214">
      <c r="A1214" s="857"/>
      <c r="B1214" s="865" t="s">
        <v>650</v>
      </c>
      <c r="C1214" s="865" t="s">
        <v>591</v>
      </c>
      <c r="D1214" s="865" t="s">
        <v>669</v>
      </c>
      <c r="E1214" s="866">
        <v>2019.0</v>
      </c>
      <c r="F1214" s="865" t="s">
        <v>593</v>
      </c>
      <c r="G1214" s="865" t="s">
        <v>70</v>
      </c>
      <c r="H1214" s="867">
        <v>9231713.326</v>
      </c>
      <c r="I1214" s="867">
        <v>1.034735139E7</v>
      </c>
      <c r="J1214" s="868">
        <v>8216518.189</v>
      </c>
      <c r="K1214" s="50"/>
      <c r="L1214" s="869" t="s">
        <v>650</v>
      </c>
      <c r="M1214" s="865" t="s">
        <v>591</v>
      </c>
      <c r="N1214" s="865" t="s">
        <v>669</v>
      </c>
      <c r="O1214" s="866">
        <v>2004.0</v>
      </c>
      <c r="P1214" s="865" t="s">
        <v>593</v>
      </c>
      <c r="Q1214" s="865" t="s">
        <v>70</v>
      </c>
      <c r="R1214" s="867">
        <v>3758260.962</v>
      </c>
      <c r="S1214" s="867">
        <v>4107865.05</v>
      </c>
      <c r="T1214" s="868">
        <v>3426452.83</v>
      </c>
      <c r="AN1214" s="882"/>
      <c r="AO1214" s="882"/>
      <c r="AP1214" s="882"/>
      <c r="AY1214" s="882"/>
      <c r="AZ1214" s="882"/>
      <c r="BA1214" s="882"/>
      <c r="BJ1214" s="882"/>
      <c r="BK1214" s="882"/>
      <c r="BL1214" s="882"/>
      <c r="BU1214" s="882"/>
      <c r="BV1214" s="882"/>
      <c r="BW1214" s="882"/>
      <c r="CF1214" s="882"/>
      <c r="CG1214" s="882"/>
      <c r="CH1214" s="882"/>
      <c r="CI1214" s="530"/>
    </row>
    <row r="1215">
      <c r="A1215" s="857"/>
      <c r="B1215" s="865" t="s">
        <v>650</v>
      </c>
      <c r="C1215" s="865" t="s">
        <v>591</v>
      </c>
      <c r="D1215" s="865" t="s">
        <v>671</v>
      </c>
      <c r="E1215" s="866">
        <v>2019.0</v>
      </c>
      <c r="F1215" s="865" t="s">
        <v>593</v>
      </c>
      <c r="G1215" s="865" t="s">
        <v>70</v>
      </c>
      <c r="H1215" s="867">
        <v>5239397.255</v>
      </c>
      <c r="I1215" s="867">
        <v>5872823.195</v>
      </c>
      <c r="J1215" s="868">
        <v>4662890.814</v>
      </c>
      <c r="K1215" s="50"/>
      <c r="L1215" s="869" t="s">
        <v>650</v>
      </c>
      <c r="M1215" s="865" t="s">
        <v>591</v>
      </c>
      <c r="N1215" s="865" t="s">
        <v>671</v>
      </c>
      <c r="O1215" s="866">
        <v>2004.0</v>
      </c>
      <c r="P1215" s="865" t="s">
        <v>593</v>
      </c>
      <c r="Q1215" s="865" t="s">
        <v>70</v>
      </c>
      <c r="R1215" s="867">
        <v>1475268.929</v>
      </c>
      <c r="S1215" s="867">
        <v>1612514.774</v>
      </c>
      <c r="T1215" s="868">
        <v>1344984.619</v>
      </c>
      <c r="AN1215" s="882"/>
      <c r="AO1215" s="882"/>
      <c r="AP1215" s="882"/>
      <c r="AY1215" s="882"/>
      <c r="AZ1215" s="882"/>
      <c r="BA1215" s="882"/>
      <c r="BJ1215" s="882"/>
      <c r="BK1215" s="882"/>
      <c r="BL1215" s="882"/>
      <c r="BU1215" s="882"/>
      <c r="BV1215" s="882"/>
      <c r="BW1215" s="882"/>
      <c r="CF1215" s="882"/>
      <c r="CG1215" s="882"/>
      <c r="CH1215" s="882"/>
      <c r="CI1215" s="530"/>
    </row>
    <row r="1216">
      <c r="A1216" s="857"/>
      <c r="B1216" s="865" t="s">
        <v>650</v>
      </c>
      <c r="C1216" s="865" t="s">
        <v>591</v>
      </c>
      <c r="D1216" s="865" t="s">
        <v>673</v>
      </c>
      <c r="E1216" s="866">
        <v>2019.0</v>
      </c>
      <c r="F1216" s="865" t="s">
        <v>593</v>
      </c>
      <c r="G1216" s="865" t="s">
        <v>70</v>
      </c>
      <c r="H1216" s="867">
        <v>3860044.853</v>
      </c>
      <c r="I1216" s="867">
        <v>4326525.212</v>
      </c>
      <c r="J1216" s="868">
        <v>3435562.568</v>
      </c>
      <c r="K1216" s="50"/>
      <c r="L1216" s="869" t="s">
        <v>650</v>
      </c>
      <c r="M1216" s="865" t="s">
        <v>591</v>
      </c>
      <c r="N1216" s="865" t="s">
        <v>673</v>
      </c>
      <c r="O1216" s="866">
        <v>2004.0</v>
      </c>
      <c r="P1216" s="865" t="s">
        <v>593</v>
      </c>
      <c r="Q1216" s="865" t="s">
        <v>70</v>
      </c>
      <c r="R1216" s="867">
        <v>1194199.499</v>
      </c>
      <c r="S1216" s="867">
        <v>1305287.321</v>
      </c>
      <c r="T1216" s="868">
        <v>1088766.398</v>
      </c>
      <c r="AN1216" s="882"/>
      <c r="AO1216" s="882"/>
      <c r="AP1216" s="882"/>
      <c r="AY1216" s="882"/>
      <c r="AZ1216" s="882"/>
      <c r="BA1216" s="882"/>
      <c r="BJ1216" s="882"/>
      <c r="BK1216" s="882"/>
      <c r="BL1216" s="882"/>
      <c r="BU1216" s="882"/>
      <c r="BV1216" s="882"/>
      <c r="BW1216" s="882"/>
      <c r="CF1216" s="882"/>
      <c r="CG1216" s="882"/>
      <c r="CH1216" s="882"/>
      <c r="CI1216" s="530"/>
    </row>
    <row r="1217">
      <c r="A1217" s="857"/>
      <c r="B1217" s="865" t="s">
        <v>650</v>
      </c>
      <c r="C1217" s="865" t="s">
        <v>591</v>
      </c>
      <c r="D1217" s="865" t="s">
        <v>674</v>
      </c>
      <c r="E1217" s="866">
        <v>2019.0</v>
      </c>
      <c r="F1217" s="865" t="s">
        <v>593</v>
      </c>
      <c r="G1217" s="865" t="s">
        <v>70</v>
      </c>
      <c r="H1217" s="867">
        <v>1198652.818</v>
      </c>
      <c r="I1217" s="867">
        <v>1343508.129</v>
      </c>
      <c r="J1217" s="868">
        <v>1066839.094</v>
      </c>
      <c r="K1217" s="50"/>
      <c r="L1217" s="869" t="s">
        <v>650</v>
      </c>
      <c r="M1217" s="865" t="s">
        <v>591</v>
      </c>
      <c r="N1217" s="865" t="s">
        <v>674</v>
      </c>
      <c r="O1217" s="866">
        <v>2004.0</v>
      </c>
      <c r="P1217" s="865" t="s">
        <v>593</v>
      </c>
      <c r="Q1217" s="865" t="s">
        <v>70</v>
      </c>
      <c r="R1217" s="867">
        <v>248636.6764</v>
      </c>
      <c r="S1217" s="867">
        <v>271765.5648</v>
      </c>
      <c r="T1217" s="868">
        <v>226685.1216</v>
      </c>
      <c r="AN1217" s="882"/>
      <c r="AO1217" s="882"/>
      <c r="AP1217" s="882"/>
      <c r="AY1217" s="882"/>
      <c r="AZ1217" s="882"/>
      <c r="BA1217" s="882"/>
      <c r="BJ1217" s="882"/>
      <c r="BK1217" s="882"/>
      <c r="BL1217" s="882"/>
      <c r="BU1217" s="882"/>
      <c r="BV1217" s="882"/>
      <c r="BW1217" s="882"/>
      <c r="CF1217" s="882"/>
      <c r="CG1217" s="882"/>
      <c r="CH1217" s="882"/>
      <c r="CI1217" s="530"/>
    </row>
    <row r="1218">
      <c r="A1218" s="857"/>
      <c r="B1218" s="865" t="s">
        <v>650</v>
      </c>
      <c r="C1218" s="865" t="s">
        <v>591</v>
      </c>
      <c r="D1218" s="865" t="s">
        <v>676</v>
      </c>
      <c r="E1218" s="866">
        <v>2019.0</v>
      </c>
      <c r="F1218" s="865" t="s">
        <v>593</v>
      </c>
      <c r="G1218" s="865" t="s">
        <v>70</v>
      </c>
      <c r="H1218" s="867">
        <v>180632.809</v>
      </c>
      <c r="I1218" s="867">
        <v>202462.0004</v>
      </c>
      <c r="J1218" s="868">
        <v>160768.9395</v>
      </c>
      <c r="K1218" s="50"/>
      <c r="L1218" s="869" t="s">
        <v>650</v>
      </c>
      <c r="M1218" s="865" t="s">
        <v>591</v>
      </c>
      <c r="N1218" s="865" t="s">
        <v>676</v>
      </c>
      <c r="O1218" s="866">
        <v>2004.0</v>
      </c>
      <c r="P1218" s="865" t="s">
        <v>593</v>
      </c>
      <c r="Q1218" s="865" t="s">
        <v>70</v>
      </c>
      <c r="R1218" s="867">
        <v>32423.80853</v>
      </c>
      <c r="S1218" s="867">
        <v>35439.96311</v>
      </c>
      <c r="T1218" s="868">
        <v>29561.18578</v>
      </c>
      <c r="AN1218" s="882"/>
      <c r="AO1218" s="882"/>
      <c r="AP1218" s="882"/>
      <c r="AY1218" s="882"/>
      <c r="AZ1218" s="882"/>
      <c r="BA1218" s="882"/>
      <c r="BJ1218" s="882"/>
      <c r="BK1218" s="882"/>
      <c r="BL1218" s="882"/>
      <c r="BU1218" s="882"/>
      <c r="BV1218" s="882"/>
      <c r="BW1218" s="882"/>
      <c r="CF1218" s="882"/>
      <c r="CG1218" s="882"/>
      <c r="CH1218" s="882"/>
      <c r="CI1218" s="530"/>
    </row>
    <row r="1219">
      <c r="A1219" s="857"/>
      <c r="B1219" s="865" t="s">
        <v>650</v>
      </c>
      <c r="C1219" s="865" t="s">
        <v>591</v>
      </c>
      <c r="D1219" s="865" t="s">
        <v>678</v>
      </c>
      <c r="E1219" s="866">
        <v>2019.0</v>
      </c>
      <c r="F1219" s="865" t="s">
        <v>593</v>
      </c>
      <c r="G1219" s="865" t="s">
        <v>70</v>
      </c>
      <c r="H1219" s="867">
        <v>1.390706968E9</v>
      </c>
      <c r="I1219" s="867">
        <v>1.558771721E9</v>
      </c>
      <c r="J1219" s="868">
        <v>1.23777339E9</v>
      </c>
      <c r="K1219" s="50"/>
      <c r="L1219" s="869" t="s">
        <v>650</v>
      </c>
      <c r="M1219" s="865" t="s">
        <v>591</v>
      </c>
      <c r="N1219" s="865" t="s">
        <v>678</v>
      </c>
      <c r="O1219" s="866">
        <v>2004.0</v>
      </c>
      <c r="P1219" s="865" t="s">
        <v>593</v>
      </c>
      <c r="Q1219" s="865" t="s">
        <v>70</v>
      </c>
      <c r="R1219" s="867">
        <v>1.11040618E9</v>
      </c>
      <c r="S1219" s="867">
        <v>1.21369931E9</v>
      </c>
      <c r="T1219" s="868">
        <v>1.012370997E9</v>
      </c>
      <c r="AN1219" s="882"/>
      <c r="AO1219" s="882"/>
      <c r="AP1219" s="882"/>
      <c r="AY1219" s="882"/>
      <c r="AZ1219" s="882"/>
      <c r="BA1219" s="882"/>
      <c r="BJ1219" s="882"/>
      <c r="BK1219" s="882"/>
      <c r="BL1219" s="882"/>
      <c r="BU1219" s="882"/>
      <c r="BV1219" s="882"/>
      <c r="BW1219" s="882"/>
      <c r="CF1219" s="882"/>
      <c r="CG1219" s="882"/>
      <c r="CH1219" s="882"/>
      <c r="CI1219" s="530"/>
    </row>
    <row r="1220">
      <c r="A1220" s="857"/>
      <c r="B1220" s="865" t="s">
        <v>650</v>
      </c>
      <c r="C1220" s="865" t="s">
        <v>591</v>
      </c>
      <c r="D1220" s="865" t="s">
        <v>680</v>
      </c>
      <c r="E1220" s="866">
        <v>2019.0</v>
      </c>
      <c r="F1220" s="865" t="s">
        <v>593</v>
      </c>
      <c r="G1220" s="865" t="s">
        <v>70</v>
      </c>
      <c r="H1220" s="867">
        <v>2.346104003E7</v>
      </c>
      <c r="I1220" s="867">
        <v>2.577264386E7</v>
      </c>
      <c r="J1220" s="868">
        <v>2.114537992E7</v>
      </c>
      <c r="K1220" s="50"/>
      <c r="L1220" s="869" t="s">
        <v>650</v>
      </c>
      <c r="M1220" s="865" t="s">
        <v>591</v>
      </c>
      <c r="N1220" s="865" t="s">
        <v>680</v>
      </c>
      <c r="O1220" s="866">
        <v>2004.0</v>
      </c>
      <c r="P1220" s="865" t="s">
        <v>593</v>
      </c>
      <c r="Q1220" s="865" t="s">
        <v>70</v>
      </c>
      <c r="R1220" s="867">
        <v>2.66687669E7</v>
      </c>
      <c r="S1220" s="867">
        <v>2.792470562E7</v>
      </c>
      <c r="T1220" s="868">
        <v>2.540782468E7</v>
      </c>
      <c r="AN1220" s="882"/>
      <c r="AO1220" s="882"/>
      <c r="AP1220" s="882"/>
      <c r="AY1220" s="882"/>
      <c r="AZ1220" s="882"/>
      <c r="BA1220" s="882"/>
      <c r="BJ1220" s="882"/>
      <c r="BK1220" s="882"/>
      <c r="BL1220" s="882"/>
      <c r="BU1220" s="882"/>
      <c r="BV1220" s="882"/>
      <c r="BW1220" s="882"/>
      <c r="CF1220" s="882"/>
      <c r="CG1220" s="882"/>
      <c r="CH1220" s="882"/>
      <c r="CI1220" s="530"/>
    </row>
    <row r="1221">
      <c r="A1221" s="857"/>
      <c r="B1221" s="865" t="s">
        <v>650</v>
      </c>
      <c r="C1221" s="865" t="s">
        <v>591</v>
      </c>
      <c r="D1221" s="865" t="s">
        <v>682</v>
      </c>
      <c r="E1221" s="866">
        <v>2019.0</v>
      </c>
      <c r="F1221" s="865" t="s">
        <v>593</v>
      </c>
      <c r="G1221" s="865" t="s">
        <v>70</v>
      </c>
      <c r="H1221" s="867">
        <v>447211.0157</v>
      </c>
      <c r="I1221" s="867">
        <v>501255.7648</v>
      </c>
      <c r="J1221" s="868">
        <v>398032.0137</v>
      </c>
      <c r="K1221" s="50"/>
      <c r="L1221" s="869" t="s">
        <v>650</v>
      </c>
      <c r="M1221" s="865" t="s">
        <v>591</v>
      </c>
      <c r="N1221" s="865" t="s">
        <v>682</v>
      </c>
      <c r="O1221" s="866">
        <v>2004.0</v>
      </c>
      <c r="P1221" s="865" t="s">
        <v>593</v>
      </c>
      <c r="Q1221" s="865" t="s">
        <v>70</v>
      </c>
      <c r="R1221" s="867">
        <v>507915.2047</v>
      </c>
      <c r="S1221" s="867">
        <v>555162.9167</v>
      </c>
      <c r="T1221" s="868">
        <v>463072.5509</v>
      </c>
      <c r="AN1221" s="882"/>
      <c r="AO1221" s="882"/>
      <c r="AP1221" s="882"/>
      <c r="AY1221" s="882"/>
      <c r="AZ1221" s="882"/>
      <c r="BA1221" s="882"/>
      <c r="BJ1221" s="882"/>
      <c r="BK1221" s="882"/>
      <c r="BL1221" s="882"/>
      <c r="BU1221" s="882"/>
      <c r="BV1221" s="882"/>
      <c r="BW1221" s="882"/>
      <c r="CF1221" s="882"/>
      <c r="CG1221" s="882"/>
      <c r="CH1221" s="882"/>
      <c r="CI1221" s="530"/>
    </row>
    <row r="1222">
      <c r="A1222" s="857"/>
      <c r="B1222" s="865" t="s">
        <v>650</v>
      </c>
      <c r="C1222" s="865" t="s">
        <v>591</v>
      </c>
      <c r="D1222" s="865" t="s">
        <v>684</v>
      </c>
      <c r="E1222" s="866">
        <v>2019.0</v>
      </c>
      <c r="F1222" s="865" t="s">
        <v>593</v>
      </c>
      <c r="G1222" s="865" t="s">
        <v>70</v>
      </c>
      <c r="H1222" s="867">
        <v>1325434.782</v>
      </c>
      <c r="I1222" s="867">
        <v>1485611.495</v>
      </c>
      <c r="J1222" s="868">
        <v>1179679.071</v>
      </c>
      <c r="K1222" s="50"/>
      <c r="L1222" s="869" t="s">
        <v>650</v>
      </c>
      <c r="M1222" s="865" t="s">
        <v>591</v>
      </c>
      <c r="N1222" s="865" t="s">
        <v>684</v>
      </c>
      <c r="O1222" s="866">
        <v>2004.0</v>
      </c>
      <c r="P1222" s="865" t="s">
        <v>593</v>
      </c>
      <c r="Q1222" s="865" t="s">
        <v>70</v>
      </c>
      <c r="R1222" s="867">
        <v>1494584.553</v>
      </c>
      <c r="S1222" s="867">
        <v>1633615.044</v>
      </c>
      <c r="T1222" s="868">
        <v>1362631.154</v>
      </c>
      <c r="AN1222" s="882"/>
      <c r="AO1222" s="882"/>
      <c r="AP1222" s="882"/>
      <c r="AY1222" s="882"/>
      <c r="AZ1222" s="882"/>
      <c r="BA1222" s="882"/>
      <c r="BJ1222" s="882"/>
      <c r="BK1222" s="882"/>
      <c r="BL1222" s="882"/>
      <c r="BU1222" s="882"/>
      <c r="BV1222" s="882"/>
      <c r="BW1222" s="882"/>
      <c r="CF1222" s="882"/>
      <c r="CG1222" s="882"/>
      <c r="CH1222" s="882"/>
      <c r="CI1222" s="530"/>
    </row>
    <row r="1223">
      <c r="A1223" s="857"/>
      <c r="B1223" s="865" t="s">
        <v>650</v>
      </c>
      <c r="C1223" s="865" t="s">
        <v>591</v>
      </c>
      <c r="D1223" s="865" t="s">
        <v>686</v>
      </c>
      <c r="E1223" s="866">
        <v>2019.0</v>
      </c>
      <c r="F1223" s="865" t="s">
        <v>593</v>
      </c>
      <c r="G1223" s="865" t="s">
        <v>70</v>
      </c>
      <c r="H1223" s="867">
        <v>1772645.798</v>
      </c>
      <c r="I1223" s="867">
        <v>1986867.259</v>
      </c>
      <c r="J1223" s="868">
        <v>1577711.084</v>
      </c>
      <c r="K1223" s="50"/>
      <c r="L1223" s="869" t="s">
        <v>650</v>
      </c>
      <c r="M1223" s="865" t="s">
        <v>591</v>
      </c>
      <c r="N1223" s="865" t="s">
        <v>686</v>
      </c>
      <c r="O1223" s="866">
        <v>2004.0</v>
      </c>
      <c r="P1223" s="865" t="s">
        <v>593</v>
      </c>
      <c r="Q1223" s="865" t="s">
        <v>70</v>
      </c>
      <c r="R1223" s="867">
        <v>2002499.758</v>
      </c>
      <c r="S1223" s="867">
        <v>2188777.961</v>
      </c>
      <c r="T1223" s="868">
        <v>1825703.705</v>
      </c>
      <c r="AN1223" s="882"/>
      <c r="AO1223" s="882"/>
      <c r="AP1223" s="882"/>
      <c r="AY1223" s="882"/>
      <c r="AZ1223" s="882"/>
      <c r="BA1223" s="882"/>
      <c r="BJ1223" s="882"/>
      <c r="BK1223" s="882"/>
      <c r="BL1223" s="882"/>
      <c r="BU1223" s="882"/>
      <c r="BV1223" s="882"/>
      <c r="BW1223" s="882"/>
      <c r="CF1223" s="882"/>
      <c r="CG1223" s="882"/>
      <c r="CH1223" s="882"/>
      <c r="CI1223" s="530"/>
    </row>
    <row r="1224">
      <c r="A1224" s="857"/>
      <c r="B1224" s="865" t="s">
        <v>650</v>
      </c>
      <c r="C1224" s="865" t="s">
        <v>591</v>
      </c>
      <c r="D1224" s="865" t="s">
        <v>688</v>
      </c>
      <c r="E1224" s="866">
        <v>2019.0</v>
      </c>
      <c r="F1224" s="865" t="s">
        <v>593</v>
      </c>
      <c r="G1224" s="865" t="s">
        <v>70</v>
      </c>
      <c r="H1224" s="867">
        <v>2.112384082E7</v>
      </c>
      <c r="I1224" s="867">
        <v>2.367662381E7</v>
      </c>
      <c r="J1224" s="868">
        <v>1.880088952E7</v>
      </c>
      <c r="K1224" s="50"/>
      <c r="L1224" s="869" t="s">
        <v>650</v>
      </c>
      <c r="M1224" s="865" t="s">
        <v>591</v>
      </c>
      <c r="N1224" s="865" t="s">
        <v>688</v>
      </c>
      <c r="O1224" s="866">
        <v>2004.0</v>
      </c>
      <c r="P1224" s="865" t="s">
        <v>593</v>
      </c>
      <c r="Q1224" s="865" t="s">
        <v>70</v>
      </c>
      <c r="R1224" s="867">
        <v>2.363258047E7</v>
      </c>
      <c r="S1224" s="867">
        <v>2.58309501E7</v>
      </c>
      <c r="T1224" s="868">
        <v>2.154611483E7</v>
      </c>
      <c r="AN1224" s="882"/>
      <c r="AO1224" s="882"/>
      <c r="AP1224" s="882"/>
      <c r="AY1224" s="882"/>
      <c r="AZ1224" s="882"/>
      <c r="BA1224" s="882"/>
      <c r="BJ1224" s="882"/>
      <c r="BK1224" s="882"/>
      <c r="BL1224" s="882"/>
      <c r="BU1224" s="882"/>
      <c r="BV1224" s="882"/>
      <c r="BW1224" s="882"/>
      <c r="CF1224" s="882"/>
      <c r="CG1224" s="882"/>
      <c r="CH1224" s="882"/>
      <c r="CI1224" s="530"/>
    </row>
    <row r="1225">
      <c r="A1225" s="857"/>
      <c r="B1225" s="865" t="s">
        <v>650</v>
      </c>
      <c r="C1225" s="865" t="s">
        <v>591</v>
      </c>
      <c r="D1225" s="865" t="s">
        <v>689</v>
      </c>
      <c r="E1225" s="866">
        <v>2019.0</v>
      </c>
      <c r="F1225" s="865" t="s">
        <v>593</v>
      </c>
      <c r="G1225" s="865" t="s">
        <v>70</v>
      </c>
      <c r="H1225" s="867">
        <v>1.170707613E8</v>
      </c>
      <c r="I1225" s="867">
        <v>1.31218579E8</v>
      </c>
      <c r="J1225" s="868">
        <v>1.041966974E8</v>
      </c>
      <c r="K1225" s="50"/>
      <c r="L1225" s="869" t="s">
        <v>650</v>
      </c>
      <c r="M1225" s="865" t="s">
        <v>591</v>
      </c>
      <c r="N1225" s="865" t="s">
        <v>689</v>
      </c>
      <c r="O1225" s="866">
        <v>2004.0</v>
      </c>
      <c r="P1225" s="865" t="s">
        <v>593</v>
      </c>
      <c r="Q1225" s="865" t="s">
        <v>70</v>
      </c>
      <c r="R1225" s="867">
        <v>1.266004398E8</v>
      </c>
      <c r="S1225" s="867">
        <v>1.383771715E8</v>
      </c>
      <c r="T1225" s="868">
        <v>1.15423181E8</v>
      </c>
      <c r="AN1225" s="882"/>
      <c r="AO1225" s="882"/>
      <c r="AP1225" s="882"/>
      <c r="AY1225" s="882"/>
      <c r="AZ1225" s="882"/>
      <c r="BA1225" s="882"/>
      <c r="BJ1225" s="882"/>
      <c r="BK1225" s="882"/>
      <c r="BL1225" s="882"/>
      <c r="BU1225" s="882"/>
      <c r="BV1225" s="882"/>
      <c r="BW1225" s="882"/>
      <c r="CF1225" s="882"/>
      <c r="CG1225" s="882"/>
      <c r="CH1225" s="882"/>
      <c r="CI1225" s="530"/>
    </row>
    <row r="1226">
      <c r="A1226" s="857"/>
      <c r="B1226" s="865" t="s">
        <v>652</v>
      </c>
      <c r="C1226" s="865" t="s">
        <v>591</v>
      </c>
      <c r="D1226" s="865" t="s">
        <v>592</v>
      </c>
      <c r="E1226" s="866">
        <v>2019.0</v>
      </c>
      <c r="F1226" s="865" t="s">
        <v>593</v>
      </c>
      <c r="G1226" s="865" t="s">
        <v>70</v>
      </c>
      <c r="H1226" s="867">
        <v>1297967.836</v>
      </c>
      <c r="I1226" s="867">
        <v>1466546.315</v>
      </c>
      <c r="J1226" s="868">
        <v>1128016.18</v>
      </c>
      <c r="K1226" s="50"/>
      <c r="L1226" s="869" t="s">
        <v>652</v>
      </c>
      <c r="M1226" s="865" t="s">
        <v>591</v>
      </c>
      <c r="N1226" s="865" t="s">
        <v>592</v>
      </c>
      <c r="O1226" s="866">
        <v>2004.0</v>
      </c>
      <c r="P1226" s="865" t="s">
        <v>593</v>
      </c>
      <c r="Q1226" s="865" t="s">
        <v>70</v>
      </c>
      <c r="R1226" s="867">
        <v>1211860.115</v>
      </c>
      <c r="S1226" s="867">
        <v>1333011.249</v>
      </c>
      <c r="T1226" s="868">
        <v>1089419.644</v>
      </c>
      <c r="AN1226" s="882"/>
      <c r="AO1226" s="882"/>
      <c r="AP1226" s="882"/>
      <c r="AY1226" s="882"/>
      <c r="AZ1226" s="882"/>
      <c r="BA1226" s="882"/>
      <c r="BJ1226" s="882"/>
      <c r="BK1226" s="882"/>
      <c r="BL1226" s="882"/>
      <c r="BU1226" s="882"/>
      <c r="BV1226" s="882"/>
      <c r="BW1226" s="882"/>
      <c r="CF1226" s="882"/>
      <c r="CG1226" s="882"/>
      <c r="CH1226" s="882"/>
      <c r="CI1226" s="530"/>
    </row>
    <row r="1227">
      <c r="A1227" s="857"/>
      <c r="B1227" s="865" t="s">
        <v>652</v>
      </c>
      <c r="C1227" s="865" t="s">
        <v>591</v>
      </c>
      <c r="D1227" s="865" t="s">
        <v>601</v>
      </c>
      <c r="E1227" s="866">
        <v>2019.0</v>
      </c>
      <c r="F1227" s="865" t="s">
        <v>593</v>
      </c>
      <c r="G1227" s="865" t="s">
        <v>70</v>
      </c>
      <c r="H1227" s="867">
        <v>2.502329191E7</v>
      </c>
      <c r="I1227" s="867">
        <v>2.827328654E7</v>
      </c>
      <c r="J1227" s="868">
        <v>2.174682407E7</v>
      </c>
      <c r="K1227" s="50"/>
      <c r="L1227" s="869" t="s">
        <v>652</v>
      </c>
      <c r="M1227" s="865" t="s">
        <v>591</v>
      </c>
      <c r="N1227" s="865" t="s">
        <v>601</v>
      </c>
      <c r="O1227" s="866">
        <v>2004.0</v>
      </c>
      <c r="P1227" s="865" t="s">
        <v>593</v>
      </c>
      <c r="Q1227" s="865" t="s">
        <v>70</v>
      </c>
      <c r="R1227" s="867">
        <v>1.936084329E7</v>
      </c>
      <c r="S1227" s="867">
        <v>2.129637039E7</v>
      </c>
      <c r="T1227" s="868">
        <v>1.740471753E7</v>
      </c>
      <c r="AN1227" s="882"/>
      <c r="AO1227" s="882"/>
      <c r="AP1227" s="882"/>
      <c r="AY1227" s="882"/>
      <c r="AZ1227" s="882"/>
      <c r="BA1227" s="882"/>
      <c r="BJ1227" s="882"/>
      <c r="BK1227" s="882"/>
      <c r="BL1227" s="882"/>
      <c r="BU1227" s="882"/>
      <c r="BV1227" s="882"/>
      <c r="BW1227" s="882"/>
      <c r="CF1227" s="882"/>
      <c r="CG1227" s="882"/>
      <c r="CH1227" s="882"/>
      <c r="CI1227" s="530"/>
    </row>
    <row r="1228">
      <c r="A1228" s="857"/>
      <c r="B1228" s="865" t="s">
        <v>652</v>
      </c>
      <c r="C1228" s="865" t="s">
        <v>591</v>
      </c>
      <c r="D1228" s="865" t="s">
        <v>606</v>
      </c>
      <c r="E1228" s="866">
        <v>2019.0</v>
      </c>
      <c r="F1228" s="865" t="s">
        <v>593</v>
      </c>
      <c r="G1228" s="865" t="s">
        <v>70</v>
      </c>
      <c r="H1228" s="867">
        <v>1.916008587E7</v>
      </c>
      <c r="I1228" s="867">
        <v>2.164857445E7</v>
      </c>
      <c r="J1228" s="868">
        <v>1.665132701E7</v>
      </c>
      <c r="K1228" s="50"/>
      <c r="L1228" s="869" t="s">
        <v>652</v>
      </c>
      <c r="M1228" s="865" t="s">
        <v>591</v>
      </c>
      <c r="N1228" s="865" t="s">
        <v>606</v>
      </c>
      <c r="O1228" s="866">
        <v>2004.0</v>
      </c>
      <c r="P1228" s="865" t="s">
        <v>593</v>
      </c>
      <c r="Q1228" s="865" t="s">
        <v>70</v>
      </c>
      <c r="R1228" s="867">
        <v>1.526269692E7</v>
      </c>
      <c r="S1228" s="867">
        <v>1.678852734E7</v>
      </c>
      <c r="T1228" s="868">
        <v>1.372062801E7</v>
      </c>
      <c r="AN1228" s="882"/>
      <c r="AO1228" s="882"/>
      <c r="AP1228" s="882"/>
      <c r="AY1228" s="882"/>
      <c r="AZ1228" s="882"/>
      <c r="BA1228" s="882"/>
      <c r="BJ1228" s="882"/>
      <c r="BK1228" s="882"/>
      <c r="BL1228" s="882"/>
      <c r="BU1228" s="882"/>
      <c r="BV1228" s="882"/>
      <c r="BW1228" s="882"/>
      <c r="CF1228" s="882"/>
      <c r="CG1228" s="882"/>
      <c r="CH1228" s="882"/>
      <c r="CI1228" s="530"/>
    </row>
    <row r="1229">
      <c r="A1229" s="857"/>
      <c r="B1229" s="865" t="s">
        <v>652</v>
      </c>
      <c r="C1229" s="865" t="s">
        <v>591</v>
      </c>
      <c r="D1229" s="865" t="s">
        <v>608</v>
      </c>
      <c r="E1229" s="866">
        <v>2019.0</v>
      </c>
      <c r="F1229" s="865" t="s">
        <v>593</v>
      </c>
      <c r="G1229" s="865" t="s">
        <v>70</v>
      </c>
      <c r="H1229" s="867">
        <v>5118074.946</v>
      </c>
      <c r="I1229" s="867">
        <v>5782804.276</v>
      </c>
      <c r="J1229" s="868">
        <v>4447930.983</v>
      </c>
      <c r="K1229" s="50"/>
      <c r="L1229" s="869" t="s">
        <v>652</v>
      </c>
      <c r="M1229" s="865" t="s">
        <v>591</v>
      </c>
      <c r="N1229" s="865" t="s">
        <v>608</v>
      </c>
      <c r="O1229" s="866">
        <v>2004.0</v>
      </c>
      <c r="P1229" s="865" t="s">
        <v>593</v>
      </c>
      <c r="Q1229" s="865" t="s">
        <v>70</v>
      </c>
      <c r="R1229" s="867">
        <v>4541229.493</v>
      </c>
      <c r="S1229" s="867">
        <v>4995221.742</v>
      </c>
      <c r="T1229" s="868">
        <v>4082405.679</v>
      </c>
      <c r="AN1229" s="882"/>
      <c r="AO1229" s="882"/>
      <c r="AP1229" s="882"/>
      <c r="AY1229" s="882"/>
      <c r="AZ1229" s="882"/>
      <c r="BA1229" s="882"/>
      <c r="BJ1229" s="882"/>
      <c r="BK1229" s="882"/>
      <c r="BL1229" s="882"/>
      <c r="BU1229" s="882"/>
      <c r="BV1229" s="882"/>
      <c r="BW1229" s="882"/>
      <c r="CF1229" s="882"/>
      <c r="CG1229" s="882"/>
      <c r="CH1229" s="882"/>
      <c r="CI1229" s="530"/>
    </row>
    <row r="1230">
      <c r="A1230" s="857"/>
      <c r="B1230" s="865" t="s">
        <v>652</v>
      </c>
      <c r="C1230" s="865" t="s">
        <v>591</v>
      </c>
      <c r="D1230" s="865" t="s">
        <v>610</v>
      </c>
      <c r="E1230" s="866">
        <v>2019.0</v>
      </c>
      <c r="F1230" s="865" t="s">
        <v>593</v>
      </c>
      <c r="G1230" s="865" t="s">
        <v>70</v>
      </c>
      <c r="H1230" s="867">
        <v>6321182.594</v>
      </c>
      <c r="I1230" s="867">
        <v>7142170.077</v>
      </c>
      <c r="J1230" s="868">
        <v>5493507.658</v>
      </c>
      <c r="K1230" s="50"/>
      <c r="L1230" s="869" t="s">
        <v>652</v>
      </c>
      <c r="M1230" s="865" t="s">
        <v>591</v>
      </c>
      <c r="N1230" s="865" t="s">
        <v>610</v>
      </c>
      <c r="O1230" s="866">
        <v>2004.0</v>
      </c>
      <c r="P1230" s="865" t="s">
        <v>593</v>
      </c>
      <c r="Q1230" s="865" t="s">
        <v>70</v>
      </c>
      <c r="R1230" s="867">
        <v>4488816.749</v>
      </c>
      <c r="S1230" s="867">
        <v>4937569.233</v>
      </c>
      <c r="T1230" s="868">
        <v>4035288.465</v>
      </c>
      <c r="AN1230" s="882"/>
      <c r="AO1230" s="882"/>
      <c r="AP1230" s="882"/>
      <c r="AY1230" s="882"/>
      <c r="AZ1230" s="882"/>
      <c r="BA1230" s="882"/>
      <c r="BJ1230" s="882"/>
      <c r="BK1230" s="882"/>
      <c r="BL1230" s="882"/>
      <c r="BU1230" s="882"/>
      <c r="BV1230" s="882"/>
      <c r="BW1230" s="882"/>
      <c r="CF1230" s="882"/>
      <c r="CG1230" s="882"/>
      <c r="CH1230" s="882"/>
      <c r="CI1230" s="530"/>
    </row>
    <row r="1231">
      <c r="A1231" s="857"/>
      <c r="B1231" s="865" t="s">
        <v>652</v>
      </c>
      <c r="C1231" s="865" t="s">
        <v>591</v>
      </c>
      <c r="D1231" s="865" t="s">
        <v>612</v>
      </c>
      <c r="E1231" s="866">
        <v>2019.0</v>
      </c>
      <c r="F1231" s="865" t="s">
        <v>593</v>
      </c>
      <c r="G1231" s="865" t="s">
        <v>70</v>
      </c>
      <c r="H1231" s="867">
        <v>1.218438864E7</v>
      </c>
      <c r="I1231" s="867">
        <v>1.376688217E7</v>
      </c>
      <c r="J1231" s="868">
        <v>1.058900472E7</v>
      </c>
      <c r="K1231" s="50"/>
      <c r="L1231" s="869" t="s">
        <v>652</v>
      </c>
      <c r="M1231" s="865" t="s">
        <v>591</v>
      </c>
      <c r="N1231" s="865" t="s">
        <v>612</v>
      </c>
      <c r="O1231" s="866">
        <v>2004.0</v>
      </c>
      <c r="P1231" s="865" t="s">
        <v>593</v>
      </c>
      <c r="Q1231" s="865" t="s">
        <v>70</v>
      </c>
      <c r="R1231" s="867">
        <v>8586963.113</v>
      </c>
      <c r="S1231" s="867">
        <v>9445412.285</v>
      </c>
      <c r="T1231" s="868">
        <v>7719377.986</v>
      </c>
      <c r="AN1231" s="882"/>
      <c r="AO1231" s="882"/>
      <c r="AP1231" s="882"/>
      <c r="AY1231" s="882"/>
      <c r="AZ1231" s="882"/>
      <c r="BA1231" s="882"/>
      <c r="BJ1231" s="882"/>
      <c r="BK1231" s="882"/>
      <c r="BL1231" s="882"/>
      <c r="BU1231" s="882"/>
      <c r="BV1231" s="882"/>
      <c r="BW1231" s="882"/>
      <c r="CF1231" s="882"/>
      <c r="CG1231" s="882"/>
      <c r="CH1231" s="882"/>
      <c r="CI1231" s="530"/>
    </row>
    <row r="1232">
      <c r="A1232" s="857"/>
      <c r="B1232" s="865" t="s">
        <v>652</v>
      </c>
      <c r="C1232" s="865" t="s">
        <v>591</v>
      </c>
      <c r="D1232" s="865" t="s">
        <v>614</v>
      </c>
      <c r="E1232" s="866">
        <v>2019.0</v>
      </c>
      <c r="F1232" s="865" t="s">
        <v>593</v>
      </c>
      <c r="G1232" s="865" t="s">
        <v>70</v>
      </c>
      <c r="H1232" s="867">
        <v>1.714523506E7</v>
      </c>
      <c r="I1232" s="867">
        <v>1.937203727E7</v>
      </c>
      <c r="J1232" s="868">
        <v>1.490029416E7</v>
      </c>
      <c r="K1232" s="50"/>
      <c r="L1232" s="869" t="s">
        <v>652</v>
      </c>
      <c r="M1232" s="865" t="s">
        <v>591</v>
      </c>
      <c r="N1232" s="865" t="s">
        <v>614</v>
      </c>
      <c r="O1232" s="866">
        <v>2004.0</v>
      </c>
      <c r="P1232" s="865" t="s">
        <v>593</v>
      </c>
      <c r="Q1232" s="865" t="s">
        <v>70</v>
      </c>
      <c r="R1232" s="867">
        <v>1.206044925E7</v>
      </c>
      <c r="S1232" s="867">
        <v>1.326614707E7</v>
      </c>
      <c r="T1232" s="868">
        <v>1.084191992E7</v>
      </c>
      <c r="AN1232" s="882"/>
      <c r="AO1232" s="882"/>
      <c r="AP1232" s="882"/>
      <c r="AY1232" s="882"/>
      <c r="AZ1232" s="882"/>
      <c r="BA1232" s="882"/>
      <c r="BJ1232" s="882"/>
      <c r="BK1232" s="882"/>
      <c r="BL1232" s="882"/>
      <c r="BU1232" s="882"/>
      <c r="BV1232" s="882"/>
      <c r="BW1232" s="882"/>
      <c r="CF1232" s="882"/>
      <c r="CG1232" s="882"/>
      <c r="CH1232" s="882"/>
      <c r="CI1232" s="530"/>
    </row>
    <row r="1233">
      <c r="A1233" s="857"/>
      <c r="B1233" s="865" t="s">
        <v>652</v>
      </c>
      <c r="C1233" s="865" t="s">
        <v>591</v>
      </c>
      <c r="D1233" s="865" t="s">
        <v>616</v>
      </c>
      <c r="E1233" s="866">
        <v>2019.0</v>
      </c>
      <c r="F1233" s="865" t="s">
        <v>593</v>
      </c>
      <c r="G1233" s="865" t="s">
        <v>70</v>
      </c>
      <c r="H1233" s="867">
        <v>5863206.046</v>
      </c>
      <c r="I1233" s="867">
        <v>6624712.095</v>
      </c>
      <c r="J1233" s="868">
        <v>5095497.059</v>
      </c>
      <c r="K1233" s="50"/>
      <c r="L1233" s="869" t="s">
        <v>652</v>
      </c>
      <c r="M1233" s="865" t="s">
        <v>591</v>
      </c>
      <c r="N1233" s="865" t="s">
        <v>616</v>
      </c>
      <c r="O1233" s="866">
        <v>2004.0</v>
      </c>
      <c r="P1233" s="865" t="s">
        <v>593</v>
      </c>
      <c r="Q1233" s="865" t="s">
        <v>70</v>
      </c>
      <c r="R1233" s="867">
        <v>4098146.364</v>
      </c>
      <c r="S1233" s="867">
        <v>4507843.053</v>
      </c>
      <c r="T1233" s="868">
        <v>3684089.521</v>
      </c>
      <c r="AN1233" s="882"/>
      <c r="AO1233" s="882"/>
      <c r="AP1233" s="882"/>
      <c r="AY1233" s="882"/>
      <c r="AZ1233" s="882"/>
      <c r="BA1233" s="882"/>
      <c r="BJ1233" s="882"/>
      <c r="BK1233" s="882"/>
      <c r="BL1233" s="882"/>
      <c r="BU1233" s="882"/>
      <c r="BV1233" s="882"/>
      <c r="BW1233" s="882"/>
      <c r="CF1233" s="882"/>
      <c r="CG1233" s="882"/>
      <c r="CH1233" s="882"/>
      <c r="CI1233" s="530"/>
    </row>
    <row r="1234">
      <c r="A1234" s="857"/>
      <c r="B1234" s="865" t="s">
        <v>652</v>
      </c>
      <c r="C1234" s="865" t="s">
        <v>591</v>
      </c>
      <c r="D1234" s="865" t="s">
        <v>618</v>
      </c>
      <c r="E1234" s="866">
        <v>2019.0</v>
      </c>
      <c r="F1234" s="865" t="s">
        <v>593</v>
      </c>
      <c r="G1234" s="865" t="s">
        <v>70</v>
      </c>
      <c r="H1234" s="867">
        <v>2.16715646E7</v>
      </c>
      <c r="I1234" s="867">
        <v>2.448319321E7</v>
      </c>
      <c r="J1234" s="868">
        <v>1.883250097E7</v>
      </c>
      <c r="K1234" s="50"/>
      <c r="L1234" s="869" t="s">
        <v>652</v>
      </c>
      <c r="M1234" s="865" t="s">
        <v>591</v>
      </c>
      <c r="N1234" s="865" t="s">
        <v>618</v>
      </c>
      <c r="O1234" s="866">
        <v>2004.0</v>
      </c>
      <c r="P1234" s="865" t="s">
        <v>593</v>
      </c>
      <c r="Q1234" s="865" t="s">
        <v>70</v>
      </c>
      <c r="R1234" s="867">
        <v>1.425143922E7</v>
      </c>
      <c r="S1234" s="867">
        <v>1.567460661E7</v>
      </c>
      <c r="T1234" s="868">
        <v>1.282127775E7</v>
      </c>
      <c r="AN1234" s="882"/>
      <c r="AO1234" s="882"/>
      <c r="AP1234" s="882"/>
      <c r="AY1234" s="882"/>
      <c r="AZ1234" s="882"/>
      <c r="BA1234" s="882"/>
      <c r="BJ1234" s="882"/>
      <c r="BK1234" s="882"/>
      <c r="BL1234" s="882"/>
      <c r="BU1234" s="882"/>
      <c r="BV1234" s="882"/>
      <c r="BW1234" s="882"/>
      <c r="CF1234" s="882"/>
      <c r="CG1234" s="882"/>
      <c r="CH1234" s="882"/>
      <c r="CI1234" s="530"/>
    </row>
    <row r="1235">
      <c r="A1235" s="857"/>
      <c r="B1235" s="865" t="s">
        <v>652</v>
      </c>
      <c r="C1235" s="865" t="s">
        <v>591</v>
      </c>
      <c r="D1235" s="865" t="s">
        <v>620</v>
      </c>
      <c r="E1235" s="866">
        <v>2019.0</v>
      </c>
      <c r="F1235" s="865" t="s">
        <v>593</v>
      </c>
      <c r="G1235" s="865" t="s">
        <v>70</v>
      </c>
      <c r="H1235" s="867">
        <v>2.604776849E7</v>
      </c>
      <c r="I1235" s="867">
        <v>2.943082089E7</v>
      </c>
      <c r="J1235" s="868">
        <v>2.263715904E7</v>
      </c>
      <c r="K1235" s="50"/>
      <c r="L1235" s="869" t="s">
        <v>652</v>
      </c>
      <c r="M1235" s="865" t="s">
        <v>591</v>
      </c>
      <c r="N1235" s="865" t="s">
        <v>620</v>
      </c>
      <c r="O1235" s="866">
        <v>2004.0</v>
      </c>
      <c r="P1235" s="865" t="s">
        <v>593</v>
      </c>
      <c r="Q1235" s="865" t="s">
        <v>70</v>
      </c>
      <c r="R1235" s="867">
        <v>1.659353413E7</v>
      </c>
      <c r="S1235" s="867">
        <v>1.825240997E7</v>
      </c>
      <c r="T1235" s="868">
        <v>1.491700388E7</v>
      </c>
      <c r="AN1235" s="882"/>
      <c r="AO1235" s="882"/>
      <c r="AP1235" s="882"/>
      <c r="AY1235" s="882"/>
      <c r="AZ1235" s="882"/>
      <c r="BA1235" s="882"/>
      <c r="BJ1235" s="882"/>
      <c r="BK1235" s="882"/>
      <c r="BL1235" s="882"/>
      <c r="BU1235" s="882"/>
      <c r="BV1235" s="882"/>
      <c r="BW1235" s="882"/>
      <c r="CF1235" s="882"/>
      <c r="CG1235" s="882"/>
      <c r="CH1235" s="882"/>
      <c r="CI1235" s="530"/>
    </row>
    <row r="1236">
      <c r="A1236" s="857"/>
      <c r="B1236" s="865" t="s">
        <v>652</v>
      </c>
      <c r="C1236" s="865" t="s">
        <v>591</v>
      </c>
      <c r="D1236" s="865" t="s">
        <v>622</v>
      </c>
      <c r="E1236" s="866">
        <v>2019.0</v>
      </c>
      <c r="F1236" s="865" t="s">
        <v>593</v>
      </c>
      <c r="G1236" s="865" t="s">
        <v>70</v>
      </c>
      <c r="H1236" s="867">
        <v>2.52080684E7</v>
      </c>
      <c r="I1236" s="867">
        <v>2.847851646E7</v>
      </c>
      <c r="J1236" s="868">
        <v>2.19057083E7</v>
      </c>
      <c r="K1236" s="50"/>
      <c r="L1236" s="869" t="s">
        <v>652</v>
      </c>
      <c r="M1236" s="865" t="s">
        <v>591</v>
      </c>
      <c r="N1236" s="865" t="s">
        <v>622</v>
      </c>
      <c r="O1236" s="866">
        <v>2004.0</v>
      </c>
      <c r="P1236" s="865" t="s">
        <v>593</v>
      </c>
      <c r="Q1236" s="865" t="s">
        <v>70</v>
      </c>
      <c r="R1236" s="867">
        <v>1.529885196E7</v>
      </c>
      <c r="S1236" s="867">
        <v>1.682661536E7</v>
      </c>
      <c r="T1236" s="868">
        <v>1.376358045E7</v>
      </c>
      <c r="AN1236" s="882"/>
      <c r="AO1236" s="882"/>
      <c r="AP1236" s="882"/>
      <c r="AY1236" s="882"/>
      <c r="AZ1236" s="882"/>
      <c r="BA1236" s="882"/>
      <c r="BJ1236" s="882"/>
      <c r="BK1236" s="882"/>
      <c r="BL1236" s="882"/>
      <c r="BU1236" s="882"/>
      <c r="BV1236" s="882"/>
      <c r="BW1236" s="882"/>
      <c r="CF1236" s="882"/>
      <c r="CG1236" s="882"/>
      <c r="CH1236" s="882"/>
      <c r="CI1236" s="530"/>
    </row>
    <row r="1237">
      <c r="A1237" s="857"/>
      <c r="B1237" s="865" t="s">
        <v>652</v>
      </c>
      <c r="C1237" s="865" t="s">
        <v>591</v>
      </c>
      <c r="D1237" s="865" t="s">
        <v>624</v>
      </c>
      <c r="E1237" s="866">
        <v>2019.0</v>
      </c>
      <c r="F1237" s="865" t="s">
        <v>593</v>
      </c>
      <c r="G1237" s="865" t="s">
        <v>70</v>
      </c>
      <c r="H1237" s="867">
        <v>4960846.416</v>
      </c>
      <c r="I1237" s="867">
        <v>5605155.097</v>
      </c>
      <c r="J1237" s="868">
        <v>4311289.442</v>
      </c>
      <c r="K1237" s="50"/>
      <c r="L1237" s="869" t="s">
        <v>652</v>
      </c>
      <c r="M1237" s="865" t="s">
        <v>591</v>
      </c>
      <c r="N1237" s="865" t="s">
        <v>624</v>
      </c>
      <c r="O1237" s="866">
        <v>2004.0</v>
      </c>
      <c r="P1237" s="865" t="s">
        <v>593</v>
      </c>
      <c r="Q1237" s="865" t="s">
        <v>70</v>
      </c>
      <c r="R1237" s="867">
        <v>3473486.137</v>
      </c>
      <c r="S1237" s="867">
        <v>3820734.781</v>
      </c>
      <c r="T1237" s="868">
        <v>3122541.936</v>
      </c>
      <c r="AN1237" s="882"/>
      <c r="AO1237" s="882"/>
      <c r="AP1237" s="882"/>
      <c r="AY1237" s="882"/>
      <c r="AZ1237" s="882"/>
      <c r="BA1237" s="882"/>
      <c r="BJ1237" s="882"/>
      <c r="BK1237" s="882"/>
      <c r="BL1237" s="882"/>
      <c r="BU1237" s="882"/>
      <c r="BV1237" s="882"/>
      <c r="BW1237" s="882"/>
      <c r="CF1237" s="882"/>
      <c r="CG1237" s="882"/>
      <c r="CH1237" s="882"/>
      <c r="CI1237" s="530"/>
    </row>
    <row r="1238">
      <c r="A1238" s="857"/>
      <c r="B1238" s="865" t="s">
        <v>652</v>
      </c>
      <c r="C1238" s="865" t="s">
        <v>591</v>
      </c>
      <c r="D1238" s="865" t="s">
        <v>625</v>
      </c>
      <c r="E1238" s="866">
        <v>2019.0</v>
      </c>
      <c r="F1238" s="865" t="s">
        <v>593</v>
      </c>
      <c r="G1238" s="865" t="s">
        <v>70</v>
      </c>
      <c r="H1238" s="867">
        <v>2.024357112E7</v>
      </c>
      <c r="I1238" s="867">
        <v>2.287278144E7</v>
      </c>
      <c r="J1238" s="868">
        <v>1.759294425E7</v>
      </c>
      <c r="K1238" s="50"/>
      <c r="L1238" s="869" t="s">
        <v>652</v>
      </c>
      <c r="M1238" s="865" t="s">
        <v>591</v>
      </c>
      <c r="N1238" s="865" t="s">
        <v>625</v>
      </c>
      <c r="O1238" s="866">
        <v>2004.0</v>
      </c>
      <c r="P1238" s="865" t="s">
        <v>593</v>
      </c>
      <c r="Q1238" s="865" t="s">
        <v>70</v>
      </c>
      <c r="R1238" s="867">
        <v>1.182370152E7</v>
      </c>
      <c r="S1238" s="867">
        <v>1.300573137E7</v>
      </c>
      <c r="T1238" s="868">
        <v>1.062909203E7</v>
      </c>
      <c r="AN1238" s="882"/>
      <c r="AO1238" s="882"/>
      <c r="AP1238" s="882"/>
      <c r="AY1238" s="882"/>
      <c r="AZ1238" s="882"/>
      <c r="BA1238" s="882"/>
      <c r="BJ1238" s="882"/>
      <c r="BK1238" s="882"/>
      <c r="BL1238" s="882"/>
      <c r="BU1238" s="882"/>
      <c r="BV1238" s="882"/>
      <c r="BW1238" s="882"/>
      <c r="CF1238" s="882"/>
      <c r="CG1238" s="882"/>
      <c r="CH1238" s="882"/>
      <c r="CI1238" s="530"/>
    </row>
    <row r="1239">
      <c r="A1239" s="857"/>
      <c r="B1239" s="865" t="s">
        <v>652</v>
      </c>
      <c r="C1239" s="865" t="s">
        <v>591</v>
      </c>
      <c r="D1239" s="865" t="s">
        <v>627</v>
      </c>
      <c r="E1239" s="866">
        <v>2019.0</v>
      </c>
      <c r="F1239" s="865" t="s">
        <v>593</v>
      </c>
      <c r="G1239" s="865" t="s">
        <v>70</v>
      </c>
      <c r="H1239" s="867">
        <v>4160016.246</v>
      </c>
      <c r="I1239" s="867">
        <v>4700314.081</v>
      </c>
      <c r="J1239" s="868">
        <v>3615317.35</v>
      </c>
      <c r="K1239" s="50"/>
      <c r="L1239" s="869" t="s">
        <v>652</v>
      </c>
      <c r="M1239" s="865" t="s">
        <v>591</v>
      </c>
      <c r="N1239" s="865" t="s">
        <v>627</v>
      </c>
      <c r="O1239" s="866">
        <v>2004.0</v>
      </c>
      <c r="P1239" s="865" t="s">
        <v>593</v>
      </c>
      <c r="Q1239" s="865" t="s">
        <v>70</v>
      </c>
      <c r="R1239" s="867">
        <v>2817336.836</v>
      </c>
      <c r="S1239" s="867">
        <v>3098989.435</v>
      </c>
      <c r="T1239" s="868">
        <v>2532686.779</v>
      </c>
      <c r="AN1239" s="882"/>
      <c r="AO1239" s="882"/>
      <c r="AP1239" s="882"/>
      <c r="AY1239" s="882"/>
      <c r="AZ1239" s="882"/>
      <c r="BA1239" s="882"/>
      <c r="BJ1239" s="882"/>
      <c r="BK1239" s="882"/>
      <c r="BL1239" s="882"/>
      <c r="BU1239" s="882"/>
      <c r="BV1239" s="882"/>
      <c r="BW1239" s="882"/>
      <c r="CF1239" s="882"/>
      <c r="CG1239" s="882"/>
      <c r="CH1239" s="882"/>
      <c r="CI1239" s="530"/>
    </row>
    <row r="1240">
      <c r="A1240" s="857"/>
      <c r="B1240" s="865" t="s">
        <v>652</v>
      </c>
      <c r="C1240" s="865" t="s">
        <v>591</v>
      </c>
      <c r="D1240" s="865" t="s">
        <v>629</v>
      </c>
      <c r="E1240" s="866">
        <v>2019.0</v>
      </c>
      <c r="F1240" s="865" t="s">
        <v>593</v>
      </c>
      <c r="G1240" s="865" t="s">
        <v>70</v>
      </c>
      <c r="H1240" s="867">
        <v>1.522592119E7</v>
      </c>
      <c r="I1240" s="867">
        <v>1.720130398E7</v>
      </c>
      <c r="J1240" s="868">
        <v>1.323126322E7</v>
      </c>
      <c r="K1240" s="50"/>
      <c r="L1240" s="869" t="s">
        <v>652</v>
      </c>
      <c r="M1240" s="865" t="s">
        <v>591</v>
      </c>
      <c r="N1240" s="865" t="s">
        <v>629</v>
      </c>
      <c r="O1240" s="866">
        <v>2004.0</v>
      </c>
      <c r="P1240" s="865" t="s">
        <v>593</v>
      </c>
      <c r="Q1240" s="865" t="s">
        <v>70</v>
      </c>
      <c r="R1240" s="867">
        <v>9022883.199</v>
      </c>
      <c r="S1240" s="867">
        <v>9923920.136</v>
      </c>
      <c r="T1240" s="868">
        <v>8117418.164</v>
      </c>
      <c r="AN1240" s="882"/>
      <c r="AO1240" s="882"/>
      <c r="AP1240" s="882"/>
      <c r="AY1240" s="882"/>
      <c r="AZ1240" s="882"/>
      <c r="BA1240" s="882"/>
      <c r="BJ1240" s="882"/>
      <c r="BK1240" s="882"/>
      <c r="BL1240" s="882"/>
      <c r="BU1240" s="882"/>
      <c r="BV1240" s="882"/>
      <c r="BW1240" s="882"/>
      <c r="CF1240" s="882"/>
      <c r="CG1240" s="882"/>
      <c r="CH1240" s="882"/>
      <c r="CI1240" s="530"/>
    </row>
    <row r="1241">
      <c r="A1241" s="857"/>
      <c r="B1241" s="865" t="s">
        <v>652</v>
      </c>
      <c r="C1241" s="865" t="s">
        <v>591</v>
      </c>
      <c r="D1241" s="865" t="s">
        <v>631</v>
      </c>
      <c r="E1241" s="866">
        <v>2019.0</v>
      </c>
      <c r="F1241" s="865" t="s">
        <v>593</v>
      </c>
      <c r="G1241" s="865" t="s">
        <v>70</v>
      </c>
      <c r="H1241" s="867">
        <v>3628033.851</v>
      </c>
      <c r="I1241" s="867">
        <v>4099238.461</v>
      </c>
      <c r="J1241" s="868">
        <v>3152990.986</v>
      </c>
      <c r="K1241" s="50"/>
      <c r="L1241" s="869" t="s">
        <v>652</v>
      </c>
      <c r="M1241" s="865" t="s">
        <v>591</v>
      </c>
      <c r="N1241" s="865" t="s">
        <v>631</v>
      </c>
      <c r="O1241" s="866">
        <v>2004.0</v>
      </c>
      <c r="P1241" s="865" t="s">
        <v>593</v>
      </c>
      <c r="Q1241" s="865" t="s">
        <v>70</v>
      </c>
      <c r="R1241" s="867">
        <v>2195970.435</v>
      </c>
      <c r="S1241" s="867">
        <v>2415504.277</v>
      </c>
      <c r="T1241" s="868">
        <v>1974100.227</v>
      </c>
      <c r="AN1241" s="882"/>
      <c r="AO1241" s="882"/>
      <c r="AP1241" s="882"/>
      <c r="AY1241" s="882"/>
      <c r="AZ1241" s="882"/>
      <c r="BA1241" s="882"/>
      <c r="BJ1241" s="882"/>
      <c r="BK1241" s="882"/>
      <c r="BL1241" s="882"/>
      <c r="BU1241" s="882"/>
      <c r="BV1241" s="882"/>
      <c r="BW1241" s="882"/>
      <c r="CF1241" s="882"/>
      <c r="CG1241" s="882"/>
      <c r="CH1241" s="882"/>
      <c r="CI1241" s="530"/>
    </row>
    <row r="1242">
      <c r="A1242" s="857"/>
      <c r="B1242" s="865" t="s">
        <v>652</v>
      </c>
      <c r="C1242" s="865" t="s">
        <v>591</v>
      </c>
      <c r="D1242" s="865" t="s">
        <v>633</v>
      </c>
      <c r="E1242" s="866">
        <v>2019.0</v>
      </c>
      <c r="F1242" s="865" t="s">
        <v>593</v>
      </c>
      <c r="G1242" s="865" t="s">
        <v>70</v>
      </c>
      <c r="H1242" s="867">
        <v>3056323.357</v>
      </c>
      <c r="I1242" s="867">
        <v>3453274.906</v>
      </c>
      <c r="J1242" s="868">
        <v>2656138.391</v>
      </c>
      <c r="K1242" s="50"/>
      <c r="L1242" s="869" t="s">
        <v>652</v>
      </c>
      <c r="M1242" s="865" t="s">
        <v>591</v>
      </c>
      <c r="N1242" s="865" t="s">
        <v>633</v>
      </c>
      <c r="O1242" s="866">
        <v>2004.0</v>
      </c>
      <c r="P1242" s="865" t="s">
        <v>593</v>
      </c>
      <c r="Q1242" s="865" t="s">
        <v>70</v>
      </c>
      <c r="R1242" s="867">
        <v>1664949.081</v>
      </c>
      <c r="S1242" s="867">
        <v>1831396.07</v>
      </c>
      <c r="T1242" s="868">
        <v>1496730.697</v>
      </c>
      <c r="AN1242" s="882"/>
      <c r="AO1242" s="882"/>
      <c r="AP1242" s="882"/>
      <c r="AY1242" s="882"/>
      <c r="AZ1242" s="882"/>
      <c r="BA1242" s="882"/>
      <c r="BJ1242" s="882"/>
      <c r="BK1242" s="882"/>
      <c r="BL1242" s="882"/>
      <c r="BU1242" s="882"/>
      <c r="BV1242" s="882"/>
      <c r="BW1242" s="882"/>
      <c r="CF1242" s="882"/>
      <c r="CG1242" s="882"/>
      <c r="CH1242" s="882"/>
      <c r="CI1242" s="530"/>
    </row>
    <row r="1243">
      <c r="A1243" s="857"/>
      <c r="B1243" s="865" t="s">
        <v>652</v>
      </c>
      <c r="C1243" s="865" t="s">
        <v>591</v>
      </c>
      <c r="D1243" s="865" t="s">
        <v>635</v>
      </c>
      <c r="E1243" s="866">
        <v>2019.0</v>
      </c>
      <c r="F1243" s="865" t="s">
        <v>593</v>
      </c>
      <c r="G1243" s="865" t="s">
        <v>70</v>
      </c>
      <c r="H1243" s="867">
        <v>2452964.84</v>
      </c>
      <c r="I1243" s="867">
        <v>2771552.921</v>
      </c>
      <c r="J1243" s="868">
        <v>2131781.662</v>
      </c>
      <c r="K1243" s="50"/>
      <c r="L1243" s="869" t="s">
        <v>652</v>
      </c>
      <c r="M1243" s="865" t="s">
        <v>591</v>
      </c>
      <c r="N1243" s="865" t="s">
        <v>635</v>
      </c>
      <c r="O1243" s="866">
        <v>2004.0</v>
      </c>
      <c r="P1243" s="865" t="s">
        <v>593</v>
      </c>
      <c r="Q1243" s="865" t="s">
        <v>70</v>
      </c>
      <c r="R1243" s="867">
        <v>1315755.026</v>
      </c>
      <c r="S1243" s="867">
        <v>1447292.66</v>
      </c>
      <c r="T1243" s="868">
        <v>1182817.517</v>
      </c>
      <c r="AN1243" s="882"/>
      <c r="AO1243" s="882"/>
      <c r="AP1243" s="882"/>
      <c r="AY1243" s="882"/>
      <c r="AZ1243" s="882"/>
      <c r="BA1243" s="882"/>
      <c r="BJ1243" s="882"/>
      <c r="BK1243" s="882"/>
      <c r="BL1243" s="882"/>
      <c r="BU1243" s="882"/>
      <c r="BV1243" s="882"/>
      <c r="BW1243" s="882"/>
      <c r="CF1243" s="882"/>
      <c r="CG1243" s="882"/>
      <c r="CH1243" s="882"/>
      <c r="CI1243" s="530"/>
    </row>
    <row r="1244">
      <c r="A1244" s="857"/>
      <c r="B1244" s="865" t="s">
        <v>652</v>
      </c>
      <c r="C1244" s="865" t="s">
        <v>591</v>
      </c>
      <c r="D1244" s="865" t="s">
        <v>637</v>
      </c>
      <c r="E1244" s="866">
        <v>2019.0</v>
      </c>
      <c r="F1244" s="865" t="s">
        <v>593</v>
      </c>
      <c r="G1244" s="865" t="s">
        <v>70</v>
      </c>
      <c r="H1244" s="867">
        <v>1926377.738</v>
      </c>
      <c r="I1244" s="867">
        <v>2176573.329</v>
      </c>
      <c r="J1244" s="868">
        <v>1674144.149</v>
      </c>
      <c r="K1244" s="50"/>
      <c r="L1244" s="869" t="s">
        <v>652</v>
      </c>
      <c r="M1244" s="865" t="s">
        <v>591</v>
      </c>
      <c r="N1244" s="865" t="s">
        <v>637</v>
      </c>
      <c r="O1244" s="866">
        <v>2004.0</v>
      </c>
      <c r="P1244" s="865" t="s">
        <v>593</v>
      </c>
      <c r="Q1244" s="865" t="s">
        <v>70</v>
      </c>
      <c r="R1244" s="867">
        <v>1027890.251</v>
      </c>
      <c r="S1244" s="867">
        <v>1130649.692</v>
      </c>
      <c r="T1244" s="868">
        <v>924037.2026</v>
      </c>
      <c r="AN1244" s="882"/>
      <c r="AO1244" s="882"/>
      <c r="AP1244" s="882"/>
      <c r="AY1244" s="882"/>
      <c r="AZ1244" s="882"/>
      <c r="BA1244" s="882"/>
      <c r="BJ1244" s="882"/>
      <c r="BK1244" s="882"/>
      <c r="BL1244" s="882"/>
      <c r="BU1244" s="882"/>
      <c r="BV1244" s="882"/>
      <c r="BW1244" s="882"/>
      <c r="CF1244" s="882"/>
      <c r="CG1244" s="882"/>
      <c r="CH1244" s="882"/>
      <c r="CI1244" s="530"/>
    </row>
    <row r="1245">
      <c r="A1245" s="857"/>
      <c r="B1245" s="865" t="s">
        <v>652</v>
      </c>
      <c r="C1245" s="865" t="s">
        <v>591</v>
      </c>
      <c r="D1245" s="865" t="s">
        <v>639</v>
      </c>
      <c r="E1245" s="866">
        <v>2019.0</v>
      </c>
      <c r="F1245" s="865" t="s">
        <v>593</v>
      </c>
      <c r="G1245" s="865" t="s">
        <v>70</v>
      </c>
      <c r="H1245" s="867">
        <v>1.86099444E7</v>
      </c>
      <c r="I1245" s="867">
        <v>2.102436408E7</v>
      </c>
      <c r="J1245" s="868">
        <v>1.617196554E7</v>
      </c>
      <c r="K1245" s="50"/>
      <c r="L1245" s="869" t="s">
        <v>652</v>
      </c>
      <c r="M1245" s="865" t="s">
        <v>591</v>
      </c>
      <c r="N1245" s="865" t="s">
        <v>639</v>
      </c>
      <c r="O1245" s="866">
        <v>2004.0</v>
      </c>
      <c r="P1245" s="865" t="s">
        <v>593</v>
      </c>
      <c r="Q1245" s="865" t="s">
        <v>70</v>
      </c>
      <c r="R1245" s="867">
        <v>1.360923418E7</v>
      </c>
      <c r="S1245" s="867">
        <v>1.496827014E7</v>
      </c>
      <c r="T1245" s="868">
        <v>1.224351932E7</v>
      </c>
      <c r="AN1245" s="882"/>
      <c r="AO1245" s="882"/>
      <c r="AP1245" s="882"/>
      <c r="AY1245" s="882"/>
      <c r="AZ1245" s="882"/>
      <c r="BA1245" s="882"/>
      <c r="BJ1245" s="882"/>
      <c r="BK1245" s="882"/>
      <c r="BL1245" s="882"/>
      <c r="BU1245" s="882"/>
      <c r="BV1245" s="882"/>
      <c r="BW1245" s="882"/>
      <c r="CF1245" s="882"/>
      <c r="CG1245" s="882"/>
      <c r="CH1245" s="882"/>
      <c r="CI1245" s="530"/>
    </row>
    <row r="1246">
      <c r="A1246" s="857"/>
      <c r="B1246" s="865" t="s">
        <v>652</v>
      </c>
      <c r="C1246" s="865" t="s">
        <v>591</v>
      </c>
      <c r="D1246" s="865" t="s">
        <v>641</v>
      </c>
      <c r="E1246" s="866">
        <v>2019.0</v>
      </c>
      <c r="F1246" s="865" t="s">
        <v>593</v>
      </c>
      <c r="G1246" s="865" t="s">
        <v>70</v>
      </c>
      <c r="H1246" s="867">
        <v>6422860.493</v>
      </c>
      <c r="I1246" s="867">
        <v>7257053.778</v>
      </c>
      <c r="J1246" s="868">
        <v>5581872.186</v>
      </c>
      <c r="K1246" s="50"/>
      <c r="L1246" s="869" t="s">
        <v>652</v>
      </c>
      <c r="M1246" s="865" t="s">
        <v>591</v>
      </c>
      <c r="N1246" s="865" t="s">
        <v>641</v>
      </c>
      <c r="O1246" s="866">
        <v>2004.0</v>
      </c>
      <c r="P1246" s="865" t="s">
        <v>593</v>
      </c>
      <c r="Q1246" s="865" t="s">
        <v>70</v>
      </c>
      <c r="R1246" s="867">
        <v>5020790.564</v>
      </c>
      <c r="S1246" s="867">
        <v>5522725.118</v>
      </c>
      <c r="T1246" s="868">
        <v>4513514.224</v>
      </c>
      <c r="AN1246" s="882"/>
      <c r="AO1246" s="882"/>
      <c r="AP1246" s="882"/>
      <c r="AY1246" s="882"/>
      <c r="AZ1246" s="882"/>
      <c r="BA1246" s="882"/>
      <c r="BJ1246" s="882"/>
      <c r="BK1246" s="882"/>
      <c r="BL1246" s="882"/>
      <c r="BU1246" s="882"/>
      <c r="BV1246" s="882"/>
      <c r="BW1246" s="882"/>
      <c r="CF1246" s="882"/>
      <c r="CG1246" s="882"/>
      <c r="CH1246" s="882"/>
      <c r="CI1246" s="530"/>
    </row>
    <row r="1247">
      <c r="A1247" s="857"/>
      <c r="B1247" s="865" t="s">
        <v>652</v>
      </c>
      <c r="C1247" s="865" t="s">
        <v>591</v>
      </c>
      <c r="D1247" s="865" t="s">
        <v>643</v>
      </c>
      <c r="E1247" s="866">
        <v>2019.0</v>
      </c>
      <c r="F1247" s="865" t="s">
        <v>593</v>
      </c>
      <c r="G1247" s="865" t="s">
        <v>70</v>
      </c>
      <c r="H1247" s="867">
        <v>1482256.135</v>
      </c>
      <c r="I1247" s="867">
        <v>1674769.754</v>
      </c>
      <c r="J1247" s="868">
        <v>1288174.374</v>
      </c>
      <c r="K1247" s="50"/>
      <c r="L1247" s="869" t="s">
        <v>652</v>
      </c>
      <c r="M1247" s="865" t="s">
        <v>591</v>
      </c>
      <c r="N1247" s="865" t="s">
        <v>643</v>
      </c>
      <c r="O1247" s="866">
        <v>2004.0</v>
      </c>
      <c r="P1247" s="865" t="s">
        <v>593</v>
      </c>
      <c r="Q1247" s="865" t="s">
        <v>70</v>
      </c>
      <c r="R1247" s="867">
        <v>795793.5143</v>
      </c>
      <c r="S1247" s="867">
        <v>875349.9622</v>
      </c>
      <c r="T1247" s="868">
        <v>715390.3953</v>
      </c>
      <c r="AN1247" s="882"/>
      <c r="AO1247" s="882"/>
      <c r="AP1247" s="882"/>
      <c r="AY1247" s="882"/>
      <c r="AZ1247" s="882"/>
      <c r="BA1247" s="882"/>
      <c r="BJ1247" s="882"/>
      <c r="BK1247" s="882"/>
      <c r="BL1247" s="882"/>
      <c r="BU1247" s="882"/>
      <c r="BV1247" s="882"/>
      <c r="BW1247" s="882"/>
      <c r="CF1247" s="882"/>
      <c r="CG1247" s="882"/>
      <c r="CH1247" s="882"/>
      <c r="CI1247" s="530"/>
    </row>
    <row r="1248">
      <c r="A1248" s="857"/>
      <c r="B1248" s="865" t="s">
        <v>652</v>
      </c>
      <c r="C1248" s="865" t="s">
        <v>591</v>
      </c>
      <c r="D1248" s="865" t="s">
        <v>645</v>
      </c>
      <c r="E1248" s="866">
        <v>2019.0</v>
      </c>
      <c r="F1248" s="865" t="s">
        <v>593</v>
      </c>
      <c r="G1248" s="865" t="s">
        <v>70</v>
      </c>
      <c r="H1248" s="867">
        <v>4134770.048</v>
      </c>
      <c r="I1248" s="867">
        <v>4671788.937</v>
      </c>
      <c r="J1248" s="868">
        <v>3593376.806</v>
      </c>
      <c r="K1248" s="50"/>
      <c r="L1248" s="869" t="s">
        <v>652</v>
      </c>
      <c r="M1248" s="865" t="s">
        <v>591</v>
      </c>
      <c r="N1248" s="865" t="s">
        <v>645</v>
      </c>
      <c r="O1248" s="866">
        <v>2004.0</v>
      </c>
      <c r="P1248" s="865" t="s">
        <v>593</v>
      </c>
      <c r="Q1248" s="865" t="s">
        <v>70</v>
      </c>
      <c r="R1248" s="867">
        <v>2253067.62</v>
      </c>
      <c r="S1248" s="867">
        <v>2478309.537</v>
      </c>
      <c r="T1248" s="868">
        <v>2025428.589</v>
      </c>
      <c r="AN1248" s="882"/>
      <c r="AO1248" s="882"/>
      <c r="AP1248" s="882"/>
      <c r="AY1248" s="882"/>
      <c r="AZ1248" s="882"/>
      <c r="BA1248" s="882"/>
      <c r="BJ1248" s="882"/>
      <c r="BK1248" s="882"/>
      <c r="BL1248" s="882"/>
      <c r="BU1248" s="882"/>
      <c r="BV1248" s="882"/>
      <c r="BW1248" s="882"/>
      <c r="CF1248" s="882"/>
      <c r="CG1248" s="882"/>
      <c r="CH1248" s="882"/>
      <c r="CI1248" s="530"/>
    </row>
    <row r="1249">
      <c r="A1249" s="857"/>
      <c r="B1249" s="865" t="s">
        <v>652</v>
      </c>
      <c r="C1249" s="865" t="s">
        <v>591</v>
      </c>
      <c r="D1249" s="865" t="s">
        <v>604</v>
      </c>
      <c r="E1249" s="866">
        <v>2019.0</v>
      </c>
      <c r="F1249" s="865" t="s">
        <v>593</v>
      </c>
      <c r="G1249" s="865" t="s">
        <v>70</v>
      </c>
      <c r="H1249" s="867">
        <v>1.274404309E7</v>
      </c>
      <c r="I1249" s="867">
        <v>1.439922386E7</v>
      </c>
      <c r="J1249" s="868">
        <v>1.107537984E7</v>
      </c>
      <c r="K1249" s="50"/>
      <c r="L1249" s="869" t="s">
        <v>652</v>
      </c>
      <c r="M1249" s="865" t="s">
        <v>591</v>
      </c>
      <c r="N1249" s="865" t="s">
        <v>604</v>
      </c>
      <c r="O1249" s="866">
        <v>2004.0</v>
      </c>
      <c r="P1249" s="865" t="s">
        <v>593</v>
      </c>
      <c r="Q1249" s="865" t="s">
        <v>70</v>
      </c>
      <c r="R1249" s="867">
        <v>9509607.313</v>
      </c>
      <c r="S1249" s="867">
        <v>1.046029435E7</v>
      </c>
      <c r="T1249" s="868">
        <v>8548802.689</v>
      </c>
      <c r="AN1249" s="882"/>
      <c r="AO1249" s="882"/>
      <c r="AP1249" s="882"/>
      <c r="AY1249" s="882"/>
      <c r="AZ1249" s="882"/>
      <c r="BA1249" s="882"/>
      <c r="BJ1249" s="882"/>
      <c r="BK1249" s="882"/>
      <c r="BL1249" s="882"/>
      <c r="BU1249" s="882"/>
      <c r="BV1249" s="882"/>
      <c r="BW1249" s="882"/>
      <c r="CF1249" s="882"/>
      <c r="CG1249" s="882"/>
      <c r="CH1249" s="882"/>
      <c r="CI1249" s="530"/>
    </row>
    <row r="1250">
      <c r="A1250" s="857"/>
      <c r="B1250" s="865" t="s">
        <v>652</v>
      </c>
      <c r="C1250" s="865" t="s">
        <v>591</v>
      </c>
      <c r="D1250" s="865" t="s">
        <v>647</v>
      </c>
      <c r="E1250" s="866">
        <v>2019.0</v>
      </c>
      <c r="F1250" s="865" t="s">
        <v>593</v>
      </c>
      <c r="G1250" s="865" t="s">
        <v>70</v>
      </c>
      <c r="H1250" s="867">
        <v>3538111.373</v>
      </c>
      <c r="I1250" s="867">
        <v>3997139.383</v>
      </c>
      <c r="J1250" s="868">
        <v>3074604.308</v>
      </c>
      <c r="K1250" s="50"/>
      <c r="L1250" s="869" t="s">
        <v>652</v>
      </c>
      <c r="M1250" s="865" t="s">
        <v>591</v>
      </c>
      <c r="N1250" s="865" t="s">
        <v>647</v>
      </c>
      <c r="O1250" s="866">
        <v>2004.0</v>
      </c>
      <c r="P1250" s="865" t="s">
        <v>593</v>
      </c>
      <c r="Q1250" s="865" t="s">
        <v>70</v>
      </c>
      <c r="R1250" s="867">
        <v>2006224.623</v>
      </c>
      <c r="S1250" s="867">
        <v>2206568.843</v>
      </c>
      <c r="T1250" s="868">
        <v>1804895.823</v>
      </c>
      <c r="AN1250" s="882"/>
      <c r="AO1250" s="882"/>
      <c r="AP1250" s="882"/>
      <c r="AY1250" s="882"/>
      <c r="AZ1250" s="882"/>
      <c r="BA1250" s="882"/>
      <c r="BJ1250" s="882"/>
      <c r="BK1250" s="882"/>
      <c r="BL1250" s="882"/>
      <c r="BU1250" s="882"/>
      <c r="BV1250" s="882"/>
      <c r="BW1250" s="882"/>
      <c r="CF1250" s="882"/>
      <c r="CG1250" s="882"/>
      <c r="CH1250" s="882"/>
      <c r="CI1250" s="530"/>
    </row>
    <row r="1251">
      <c r="A1251" s="857"/>
      <c r="B1251" s="865" t="s">
        <v>652</v>
      </c>
      <c r="C1251" s="865" t="s">
        <v>591</v>
      </c>
      <c r="D1251" s="865" t="s">
        <v>649</v>
      </c>
      <c r="E1251" s="866">
        <v>2019.0</v>
      </c>
      <c r="F1251" s="865" t="s">
        <v>593</v>
      </c>
      <c r="G1251" s="865" t="s">
        <v>70</v>
      </c>
      <c r="H1251" s="867">
        <v>1154928.593</v>
      </c>
      <c r="I1251" s="867">
        <v>1304929.31</v>
      </c>
      <c r="J1251" s="868">
        <v>1003706.028</v>
      </c>
      <c r="K1251" s="50"/>
      <c r="L1251" s="869" t="s">
        <v>652</v>
      </c>
      <c r="M1251" s="865" t="s">
        <v>591</v>
      </c>
      <c r="N1251" s="865" t="s">
        <v>649</v>
      </c>
      <c r="O1251" s="866">
        <v>2004.0</v>
      </c>
      <c r="P1251" s="865" t="s">
        <v>593</v>
      </c>
      <c r="Q1251" s="865" t="s">
        <v>70</v>
      </c>
      <c r="R1251" s="867">
        <v>616084.3393</v>
      </c>
      <c r="S1251" s="867">
        <v>677675.0418</v>
      </c>
      <c r="T1251" s="868">
        <v>553838.1641</v>
      </c>
      <c r="AN1251" s="882"/>
      <c r="AO1251" s="882"/>
      <c r="AP1251" s="882"/>
      <c r="AY1251" s="882"/>
      <c r="AZ1251" s="882"/>
      <c r="BA1251" s="882"/>
      <c r="BJ1251" s="882"/>
      <c r="BK1251" s="882"/>
      <c r="BL1251" s="882"/>
      <c r="BU1251" s="882"/>
      <c r="BV1251" s="882"/>
      <c r="BW1251" s="882"/>
      <c r="CF1251" s="882"/>
      <c r="CG1251" s="882"/>
      <c r="CH1251" s="882"/>
      <c r="CI1251" s="530"/>
    </row>
    <row r="1252">
      <c r="A1252" s="857"/>
      <c r="B1252" s="865" t="s">
        <v>652</v>
      </c>
      <c r="C1252" s="865" t="s">
        <v>591</v>
      </c>
      <c r="D1252" s="865" t="s">
        <v>651</v>
      </c>
      <c r="E1252" s="866">
        <v>2019.0</v>
      </c>
      <c r="F1252" s="865" t="s">
        <v>593</v>
      </c>
      <c r="G1252" s="865" t="s">
        <v>70</v>
      </c>
      <c r="H1252" s="867">
        <v>873979.9696</v>
      </c>
      <c r="I1252" s="867">
        <v>987491.4219</v>
      </c>
      <c r="J1252" s="868">
        <v>759543.8962</v>
      </c>
      <c r="K1252" s="50"/>
      <c r="L1252" s="869" t="s">
        <v>652</v>
      </c>
      <c r="M1252" s="865" t="s">
        <v>591</v>
      </c>
      <c r="N1252" s="865" t="s">
        <v>651</v>
      </c>
      <c r="O1252" s="866">
        <v>2004.0</v>
      </c>
      <c r="P1252" s="865" t="s">
        <v>593</v>
      </c>
      <c r="Q1252" s="865" t="s">
        <v>70</v>
      </c>
      <c r="R1252" s="867">
        <v>480927.0863</v>
      </c>
      <c r="S1252" s="867">
        <v>529005.9534</v>
      </c>
      <c r="T1252" s="868">
        <v>432336.5448</v>
      </c>
      <c r="AN1252" s="882"/>
      <c r="AO1252" s="882"/>
      <c r="AP1252" s="882"/>
      <c r="AY1252" s="882"/>
      <c r="AZ1252" s="882"/>
      <c r="BA1252" s="882"/>
      <c r="BJ1252" s="882"/>
      <c r="BK1252" s="882"/>
      <c r="BL1252" s="882"/>
      <c r="BU1252" s="882"/>
      <c r="BV1252" s="882"/>
      <c r="BW1252" s="882"/>
      <c r="CF1252" s="882"/>
      <c r="CG1252" s="882"/>
      <c r="CH1252" s="882"/>
      <c r="CI1252" s="530"/>
    </row>
    <row r="1253">
      <c r="A1253" s="857"/>
      <c r="B1253" s="865" t="s">
        <v>652</v>
      </c>
      <c r="C1253" s="865" t="s">
        <v>591</v>
      </c>
      <c r="D1253" s="865" t="s">
        <v>653</v>
      </c>
      <c r="E1253" s="866">
        <v>2019.0</v>
      </c>
      <c r="F1253" s="865" t="s">
        <v>593</v>
      </c>
      <c r="G1253" s="865" t="s">
        <v>70</v>
      </c>
      <c r="H1253" s="867">
        <v>623605.3495</v>
      </c>
      <c r="I1253" s="867">
        <v>704598.4515</v>
      </c>
      <c r="J1253" s="868">
        <v>541952.5085</v>
      </c>
      <c r="K1253" s="50"/>
      <c r="L1253" s="869" t="s">
        <v>652</v>
      </c>
      <c r="M1253" s="865" t="s">
        <v>591</v>
      </c>
      <c r="N1253" s="865" t="s">
        <v>653</v>
      </c>
      <c r="O1253" s="866">
        <v>2004.0</v>
      </c>
      <c r="P1253" s="865" t="s">
        <v>593</v>
      </c>
      <c r="Q1253" s="865" t="s">
        <v>70</v>
      </c>
      <c r="R1253" s="867">
        <v>360262.6801</v>
      </c>
      <c r="S1253" s="867">
        <v>396278.5795</v>
      </c>
      <c r="T1253" s="868">
        <v>323863.4853</v>
      </c>
      <c r="AN1253" s="882"/>
      <c r="AO1253" s="882"/>
      <c r="AP1253" s="882"/>
      <c r="AY1253" s="882"/>
      <c r="AZ1253" s="882"/>
      <c r="BA1253" s="882"/>
      <c r="BJ1253" s="882"/>
      <c r="BK1253" s="882"/>
      <c r="BL1253" s="882"/>
      <c r="BU1253" s="882"/>
      <c r="BV1253" s="882"/>
      <c r="BW1253" s="882"/>
      <c r="CF1253" s="882"/>
      <c r="CG1253" s="882"/>
      <c r="CH1253" s="882"/>
      <c r="CI1253" s="530"/>
    </row>
    <row r="1254">
      <c r="A1254" s="857"/>
      <c r="B1254" s="865" t="s">
        <v>652</v>
      </c>
      <c r="C1254" s="865" t="s">
        <v>591</v>
      </c>
      <c r="D1254" s="865" t="s">
        <v>655</v>
      </c>
      <c r="E1254" s="866">
        <v>2019.0</v>
      </c>
      <c r="F1254" s="865" t="s">
        <v>593</v>
      </c>
      <c r="G1254" s="865" t="s">
        <v>70</v>
      </c>
      <c r="H1254" s="867">
        <v>1043944.987</v>
      </c>
      <c r="I1254" s="867">
        <v>1179384.474</v>
      </c>
      <c r="J1254" s="868">
        <v>907183.9224</v>
      </c>
      <c r="K1254" s="50"/>
      <c r="L1254" s="869" t="s">
        <v>652</v>
      </c>
      <c r="M1254" s="865" t="s">
        <v>591</v>
      </c>
      <c r="N1254" s="865" t="s">
        <v>655</v>
      </c>
      <c r="O1254" s="866">
        <v>2004.0</v>
      </c>
      <c r="P1254" s="865" t="s">
        <v>593</v>
      </c>
      <c r="Q1254" s="865" t="s">
        <v>70</v>
      </c>
      <c r="R1254" s="867">
        <v>616238.3727</v>
      </c>
      <c r="S1254" s="867">
        <v>677776.7439</v>
      </c>
      <c r="T1254" s="868">
        <v>554397.5745</v>
      </c>
      <c r="AN1254" s="882"/>
      <c r="AO1254" s="882"/>
      <c r="AP1254" s="882"/>
      <c r="AY1254" s="882"/>
      <c r="AZ1254" s="882"/>
      <c r="BA1254" s="882"/>
      <c r="BJ1254" s="882"/>
      <c r="BK1254" s="882"/>
      <c r="BL1254" s="882"/>
      <c r="BU1254" s="882"/>
      <c r="BV1254" s="882"/>
      <c r="BW1254" s="882"/>
      <c r="CF1254" s="882"/>
      <c r="CG1254" s="882"/>
      <c r="CH1254" s="882"/>
      <c r="CI1254" s="530"/>
    </row>
    <row r="1255">
      <c r="A1255" s="857"/>
      <c r="B1255" s="865" t="s">
        <v>652</v>
      </c>
      <c r="C1255" s="865" t="s">
        <v>591</v>
      </c>
      <c r="D1255" s="865" t="s">
        <v>657</v>
      </c>
      <c r="E1255" s="866">
        <v>2019.0</v>
      </c>
      <c r="F1255" s="865" t="s">
        <v>593</v>
      </c>
      <c r="G1255" s="865" t="s">
        <v>70</v>
      </c>
      <c r="H1255" s="867">
        <v>420188.4435</v>
      </c>
      <c r="I1255" s="867">
        <v>474762.006</v>
      </c>
      <c r="J1255" s="868">
        <v>365170.3456</v>
      </c>
      <c r="K1255" s="50"/>
      <c r="L1255" s="869" t="s">
        <v>652</v>
      </c>
      <c r="M1255" s="865" t="s">
        <v>591</v>
      </c>
      <c r="N1255" s="865" t="s">
        <v>657</v>
      </c>
      <c r="O1255" s="866">
        <v>2004.0</v>
      </c>
      <c r="P1255" s="865" t="s">
        <v>593</v>
      </c>
      <c r="Q1255" s="865" t="s">
        <v>70</v>
      </c>
      <c r="R1255" s="867">
        <v>255908.6541</v>
      </c>
      <c r="S1255" s="867">
        <v>281492.1542</v>
      </c>
      <c r="T1255" s="868">
        <v>230052.8842</v>
      </c>
      <c r="AN1255" s="882"/>
      <c r="AO1255" s="882"/>
      <c r="AP1255" s="882"/>
      <c r="AY1255" s="882"/>
      <c r="AZ1255" s="882"/>
      <c r="BA1255" s="882"/>
      <c r="BJ1255" s="882"/>
      <c r="BK1255" s="882"/>
      <c r="BL1255" s="882"/>
      <c r="BU1255" s="882"/>
      <c r="BV1255" s="882"/>
      <c r="BW1255" s="882"/>
      <c r="CF1255" s="882"/>
      <c r="CG1255" s="882"/>
      <c r="CH1255" s="882"/>
      <c r="CI1255" s="530"/>
    </row>
    <row r="1256">
      <c r="A1256" s="857"/>
      <c r="B1256" s="865" t="s">
        <v>652</v>
      </c>
      <c r="C1256" s="865" t="s">
        <v>591</v>
      </c>
      <c r="D1256" s="865" t="s">
        <v>659</v>
      </c>
      <c r="E1256" s="866">
        <v>2019.0</v>
      </c>
      <c r="F1256" s="865" t="s">
        <v>593</v>
      </c>
      <c r="G1256" s="865" t="s">
        <v>70</v>
      </c>
      <c r="H1256" s="867">
        <v>885085.0384</v>
      </c>
      <c r="I1256" s="867">
        <v>1000038.803</v>
      </c>
      <c r="J1256" s="868">
        <v>769194.9037</v>
      </c>
      <c r="K1256" s="50"/>
      <c r="L1256" s="869" t="s">
        <v>652</v>
      </c>
      <c r="M1256" s="865" t="s">
        <v>591</v>
      </c>
      <c r="N1256" s="865" t="s">
        <v>659</v>
      </c>
      <c r="O1256" s="866">
        <v>2004.0</v>
      </c>
      <c r="P1256" s="865" t="s">
        <v>593</v>
      </c>
      <c r="Q1256" s="865" t="s">
        <v>70</v>
      </c>
      <c r="R1256" s="867">
        <v>548732.2671</v>
      </c>
      <c r="S1256" s="867">
        <v>603589.7009</v>
      </c>
      <c r="T1256" s="868">
        <v>493291.0189</v>
      </c>
      <c r="AN1256" s="882"/>
      <c r="AO1256" s="882"/>
      <c r="AP1256" s="882"/>
      <c r="AY1256" s="882"/>
      <c r="AZ1256" s="882"/>
      <c r="BA1256" s="882"/>
      <c r="BJ1256" s="882"/>
      <c r="BK1256" s="882"/>
      <c r="BL1256" s="882"/>
      <c r="BU1256" s="882"/>
      <c r="BV1256" s="882"/>
      <c r="BW1256" s="882"/>
      <c r="CF1256" s="882"/>
      <c r="CG1256" s="882"/>
      <c r="CH1256" s="882"/>
      <c r="CI1256" s="530"/>
    </row>
    <row r="1257">
      <c r="A1257" s="857"/>
      <c r="B1257" s="865" t="s">
        <v>652</v>
      </c>
      <c r="C1257" s="865" t="s">
        <v>591</v>
      </c>
      <c r="D1257" s="865" t="s">
        <v>661</v>
      </c>
      <c r="E1257" s="866">
        <v>2019.0</v>
      </c>
      <c r="F1257" s="865" t="s">
        <v>593</v>
      </c>
      <c r="G1257" s="865" t="s">
        <v>70</v>
      </c>
      <c r="H1257" s="867">
        <v>464963.9353</v>
      </c>
      <c r="I1257" s="867">
        <v>525287.4942</v>
      </c>
      <c r="J1257" s="868">
        <v>404051.7574</v>
      </c>
      <c r="K1257" s="50"/>
      <c r="L1257" s="869" t="s">
        <v>652</v>
      </c>
      <c r="M1257" s="865" t="s">
        <v>591</v>
      </c>
      <c r="N1257" s="865" t="s">
        <v>661</v>
      </c>
      <c r="O1257" s="866">
        <v>2004.0</v>
      </c>
      <c r="P1257" s="865" t="s">
        <v>593</v>
      </c>
      <c r="Q1257" s="865" t="s">
        <v>70</v>
      </c>
      <c r="R1257" s="867">
        <v>292855.4719</v>
      </c>
      <c r="S1257" s="867">
        <v>322100.4029</v>
      </c>
      <c r="T1257" s="868">
        <v>263466.8181</v>
      </c>
      <c r="AN1257" s="882"/>
      <c r="AO1257" s="882"/>
      <c r="AP1257" s="882"/>
      <c r="AY1257" s="882"/>
      <c r="AZ1257" s="882"/>
      <c r="BA1257" s="882"/>
      <c r="BJ1257" s="882"/>
      <c r="BK1257" s="882"/>
      <c r="BL1257" s="882"/>
      <c r="BU1257" s="882"/>
      <c r="BV1257" s="882"/>
      <c r="BW1257" s="882"/>
      <c r="CF1257" s="882"/>
      <c r="CG1257" s="882"/>
      <c r="CH1257" s="882"/>
      <c r="CI1257" s="530"/>
    </row>
    <row r="1258">
      <c r="A1258" s="857"/>
      <c r="B1258" s="865" t="s">
        <v>652</v>
      </c>
      <c r="C1258" s="865" t="s">
        <v>591</v>
      </c>
      <c r="D1258" s="865" t="s">
        <v>663</v>
      </c>
      <c r="E1258" s="866">
        <v>2019.0</v>
      </c>
      <c r="F1258" s="865" t="s">
        <v>593</v>
      </c>
      <c r="G1258" s="865" t="s">
        <v>70</v>
      </c>
      <c r="H1258" s="867">
        <v>254167.8279</v>
      </c>
      <c r="I1258" s="867">
        <v>287178.8353</v>
      </c>
      <c r="J1258" s="868">
        <v>220887.9254</v>
      </c>
      <c r="K1258" s="50"/>
      <c r="L1258" s="869" t="s">
        <v>652</v>
      </c>
      <c r="M1258" s="865" t="s">
        <v>591</v>
      </c>
      <c r="N1258" s="865" t="s">
        <v>663</v>
      </c>
      <c r="O1258" s="866">
        <v>2004.0</v>
      </c>
      <c r="P1258" s="865" t="s">
        <v>593</v>
      </c>
      <c r="Q1258" s="865" t="s">
        <v>70</v>
      </c>
      <c r="R1258" s="867">
        <v>158444.7429</v>
      </c>
      <c r="S1258" s="867">
        <v>174284.657</v>
      </c>
      <c r="T1258" s="868">
        <v>142436.2541</v>
      </c>
      <c r="AN1258" s="882"/>
      <c r="AO1258" s="882"/>
      <c r="AP1258" s="882"/>
      <c r="AY1258" s="882"/>
      <c r="AZ1258" s="882"/>
      <c r="BA1258" s="882"/>
      <c r="BJ1258" s="882"/>
      <c r="BK1258" s="882"/>
      <c r="BL1258" s="882"/>
      <c r="BU1258" s="882"/>
      <c r="BV1258" s="882"/>
      <c r="BW1258" s="882"/>
      <c r="CF1258" s="882"/>
      <c r="CG1258" s="882"/>
      <c r="CH1258" s="882"/>
      <c r="CI1258" s="530"/>
    </row>
    <row r="1259">
      <c r="A1259" s="857"/>
      <c r="B1259" s="865" t="s">
        <v>652</v>
      </c>
      <c r="C1259" s="865" t="s">
        <v>591</v>
      </c>
      <c r="D1259" s="865" t="s">
        <v>665</v>
      </c>
      <c r="E1259" s="866">
        <v>2019.0</v>
      </c>
      <c r="F1259" s="865" t="s">
        <v>593</v>
      </c>
      <c r="G1259" s="865" t="s">
        <v>70</v>
      </c>
      <c r="H1259" s="867">
        <v>386184.2951</v>
      </c>
      <c r="I1259" s="867">
        <v>436287.1296</v>
      </c>
      <c r="J1259" s="868">
        <v>335592.5724</v>
      </c>
      <c r="K1259" s="50"/>
      <c r="L1259" s="869" t="s">
        <v>652</v>
      </c>
      <c r="M1259" s="865" t="s">
        <v>591</v>
      </c>
      <c r="N1259" s="865" t="s">
        <v>665</v>
      </c>
      <c r="O1259" s="866">
        <v>2004.0</v>
      </c>
      <c r="P1259" s="865" t="s">
        <v>593</v>
      </c>
      <c r="Q1259" s="865" t="s">
        <v>70</v>
      </c>
      <c r="R1259" s="867">
        <v>242049.4698</v>
      </c>
      <c r="S1259" s="867">
        <v>266220.847</v>
      </c>
      <c r="T1259" s="868">
        <v>217759.3037</v>
      </c>
      <c r="AN1259" s="882"/>
      <c r="AO1259" s="882"/>
      <c r="AP1259" s="882"/>
      <c r="AY1259" s="882"/>
      <c r="AZ1259" s="882"/>
      <c r="BA1259" s="882"/>
      <c r="BJ1259" s="882"/>
      <c r="BK1259" s="882"/>
      <c r="BL1259" s="882"/>
      <c r="BU1259" s="882"/>
      <c r="BV1259" s="882"/>
      <c r="BW1259" s="882"/>
      <c r="CF1259" s="882"/>
      <c r="CG1259" s="882"/>
      <c r="CH1259" s="882"/>
      <c r="CI1259" s="530"/>
    </row>
    <row r="1260">
      <c r="A1260" s="857"/>
      <c r="B1260" s="865" t="s">
        <v>652</v>
      </c>
      <c r="C1260" s="865" t="s">
        <v>591</v>
      </c>
      <c r="D1260" s="865" t="s">
        <v>667</v>
      </c>
      <c r="E1260" s="866">
        <v>2019.0</v>
      </c>
      <c r="F1260" s="865" t="s">
        <v>593</v>
      </c>
      <c r="G1260" s="865" t="s">
        <v>70</v>
      </c>
      <c r="H1260" s="867">
        <v>210728.7669</v>
      </c>
      <c r="I1260" s="867">
        <v>238097.9621</v>
      </c>
      <c r="J1260" s="868">
        <v>183136.6327</v>
      </c>
      <c r="K1260" s="50"/>
      <c r="L1260" s="869" t="s">
        <v>652</v>
      </c>
      <c r="M1260" s="865" t="s">
        <v>591</v>
      </c>
      <c r="N1260" s="865" t="s">
        <v>667</v>
      </c>
      <c r="O1260" s="866">
        <v>2004.0</v>
      </c>
      <c r="P1260" s="865" t="s">
        <v>593</v>
      </c>
      <c r="Q1260" s="865" t="s">
        <v>70</v>
      </c>
      <c r="R1260" s="867">
        <v>134378.8702</v>
      </c>
      <c r="S1260" s="867">
        <v>147812.8897</v>
      </c>
      <c r="T1260" s="868">
        <v>120801.8806</v>
      </c>
      <c r="AN1260" s="882"/>
      <c r="AO1260" s="882"/>
      <c r="AP1260" s="882"/>
      <c r="AY1260" s="882"/>
      <c r="AZ1260" s="882"/>
      <c r="BA1260" s="882"/>
      <c r="BJ1260" s="882"/>
      <c r="BK1260" s="882"/>
      <c r="BL1260" s="882"/>
      <c r="BU1260" s="882"/>
      <c r="BV1260" s="882"/>
      <c r="BW1260" s="882"/>
      <c r="CF1260" s="882"/>
      <c r="CG1260" s="882"/>
      <c r="CH1260" s="882"/>
      <c r="CI1260" s="530"/>
    </row>
    <row r="1261">
      <c r="A1261" s="857"/>
      <c r="B1261" s="865" t="s">
        <v>652</v>
      </c>
      <c r="C1261" s="865" t="s">
        <v>591</v>
      </c>
      <c r="D1261" s="865" t="s">
        <v>669</v>
      </c>
      <c r="E1261" s="866">
        <v>2019.0</v>
      </c>
      <c r="F1261" s="865" t="s">
        <v>593</v>
      </c>
      <c r="G1261" s="865" t="s">
        <v>70</v>
      </c>
      <c r="H1261" s="867">
        <v>131960.5364</v>
      </c>
      <c r="I1261" s="867">
        <v>149099.4098</v>
      </c>
      <c r="J1261" s="868">
        <v>114682.0561</v>
      </c>
      <c r="K1261" s="50"/>
      <c r="L1261" s="869" t="s">
        <v>652</v>
      </c>
      <c r="M1261" s="865" t="s">
        <v>591</v>
      </c>
      <c r="N1261" s="865" t="s">
        <v>669</v>
      </c>
      <c r="O1261" s="866">
        <v>2004.0</v>
      </c>
      <c r="P1261" s="865" t="s">
        <v>593</v>
      </c>
      <c r="Q1261" s="865" t="s">
        <v>70</v>
      </c>
      <c r="R1261" s="867">
        <v>83578.39517</v>
      </c>
      <c r="S1261" s="867">
        <v>91933.82924</v>
      </c>
      <c r="T1261" s="868">
        <v>75134.03928</v>
      </c>
      <c r="AN1261" s="882"/>
      <c r="AO1261" s="882"/>
      <c r="AP1261" s="882"/>
      <c r="AY1261" s="882"/>
      <c r="AZ1261" s="882"/>
      <c r="BA1261" s="882"/>
      <c r="BJ1261" s="882"/>
      <c r="BK1261" s="882"/>
      <c r="BL1261" s="882"/>
      <c r="BU1261" s="882"/>
      <c r="BV1261" s="882"/>
      <c r="BW1261" s="882"/>
      <c r="CF1261" s="882"/>
      <c r="CG1261" s="882"/>
      <c r="CH1261" s="882"/>
      <c r="CI1261" s="530"/>
    </row>
    <row r="1262">
      <c r="A1262" s="857"/>
      <c r="B1262" s="865" t="s">
        <v>652</v>
      </c>
      <c r="C1262" s="865" t="s">
        <v>591</v>
      </c>
      <c r="D1262" s="865" t="s">
        <v>671</v>
      </c>
      <c r="E1262" s="866">
        <v>2019.0</v>
      </c>
      <c r="F1262" s="865" t="s">
        <v>593</v>
      </c>
      <c r="G1262" s="865" t="s">
        <v>70</v>
      </c>
      <c r="H1262" s="867">
        <v>78779.64018</v>
      </c>
      <c r="I1262" s="867">
        <v>89000.36464</v>
      </c>
      <c r="J1262" s="868">
        <v>68459.185</v>
      </c>
      <c r="K1262" s="50"/>
      <c r="L1262" s="869" t="s">
        <v>652</v>
      </c>
      <c r="M1262" s="865" t="s">
        <v>591</v>
      </c>
      <c r="N1262" s="865" t="s">
        <v>671</v>
      </c>
      <c r="O1262" s="866">
        <v>2004.0</v>
      </c>
      <c r="P1262" s="865" t="s">
        <v>593</v>
      </c>
      <c r="Q1262" s="865" t="s">
        <v>70</v>
      </c>
      <c r="R1262" s="867">
        <v>50806.00203</v>
      </c>
      <c r="S1262" s="867">
        <v>55879.55596</v>
      </c>
      <c r="T1262" s="868">
        <v>45707.5144</v>
      </c>
      <c r="AN1262" s="882"/>
      <c r="AO1262" s="882"/>
      <c r="AP1262" s="882"/>
      <c r="AY1262" s="882"/>
      <c r="AZ1262" s="882"/>
      <c r="BA1262" s="882"/>
      <c r="BJ1262" s="882"/>
      <c r="BK1262" s="882"/>
      <c r="BL1262" s="882"/>
      <c r="BU1262" s="882"/>
      <c r="BV1262" s="882"/>
      <c r="BW1262" s="882"/>
      <c r="CF1262" s="882"/>
      <c r="CG1262" s="882"/>
      <c r="CH1262" s="882"/>
      <c r="CI1262" s="530"/>
    </row>
    <row r="1263">
      <c r="A1263" s="857"/>
      <c r="B1263" s="865" t="s">
        <v>652</v>
      </c>
      <c r="C1263" s="865" t="s">
        <v>591</v>
      </c>
      <c r="D1263" s="865" t="s">
        <v>673</v>
      </c>
      <c r="E1263" s="866">
        <v>2019.0</v>
      </c>
      <c r="F1263" s="865" t="s">
        <v>593</v>
      </c>
      <c r="G1263" s="865" t="s">
        <v>70</v>
      </c>
      <c r="H1263" s="867">
        <v>56422.83506</v>
      </c>
      <c r="I1263" s="867">
        <v>63750.96404</v>
      </c>
      <c r="J1263" s="868">
        <v>49035.01392</v>
      </c>
      <c r="K1263" s="50"/>
      <c r="L1263" s="869" t="s">
        <v>652</v>
      </c>
      <c r="M1263" s="865" t="s">
        <v>591</v>
      </c>
      <c r="N1263" s="865" t="s">
        <v>673</v>
      </c>
      <c r="O1263" s="866">
        <v>2004.0</v>
      </c>
      <c r="P1263" s="865" t="s">
        <v>593</v>
      </c>
      <c r="Q1263" s="865" t="s">
        <v>70</v>
      </c>
      <c r="R1263" s="867">
        <v>35288.55167</v>
      </c>
      <c r="S1263" s="867">
        <v>38816.39121</v>
      </c>
      <c r="T1263" s="868">
        <v>31723.16748</v>
      </c>
      <c r="AN1263" s="882"/>
      <c r="AO1263" s="882"/>
      <c r="AP1263" s="882"/>
      <c r="AY1263" s="882"/>
      <c r="AZ1263" s="882"/>
      <c r="BA1263" s="882"/>
      <c r="BJ1263" s="882"/>
      <c r="BK1263" s="882"/>
      <c r="BL1263" s="882"/>
      <c r="BU1263" s="882"/>
      <c r="BV1263" s="882"/>
      <c r="BW1263" s="882"/>
      <c r="CF1263" s="882"/>
      <c r="CG1263" s="882"/>
      <c r="CH1263" s="882"/>
      <c r="CI1263" s="530"/>
    </row>
    <row r="1264">
      <c r="A1264" s="857"/>
      <c r="B1264" s="865" t="s">
        <v>652</v>
      </c>
      <c r="C1264" s="865" t="s">
        <v>591</v>
      </c>
      <c r="D1264" s="865" t="s">
        <v>674</v>
      </c>
      <c r="E1264" s="866">
        <v>2019.0</v>
      </c>
      <c r="F1264" s="865" t="s">
        <v>593</v>
      </c>
      <c r="G1264" s="865" t="s">
        <v>70</v>
      </c>
      <c r="H1264" s="867">
        <v>17834.45815</v>
      </c>
      <c r="I1264" s="867">
        <v>20150.77582</v>
      </c>
      <c r="J1264" s="868">
        <v>15499.27264</v>
      </c>
      <c r="K1264" s="50"/>
      <c r="L1264" s="869" t="s">
        <v>652</v>
      </c>
      <c r="M1264" s="865" t="s">
        <v>591</v>
      </c>
      <c r="N1264" s="865" t="s">
        <v>674</v>
      </c>
      <c r="O1264" s="866">
        <v>2004.0</v>
      </c>
      <c r="P1264" s="865" t="s">
        <v>593</v>
      </c>
      <c r="Q1264" s="865" t="s">
        <v>70</v>
      </c>
      <c r="R1264" s="867">
        <v>12026.13361</v>
      </c>
      <c r="S1264" s="867">
        <v>13228.40085</v>
      </c>
      <c r="T1264" s="868">
        <v>10811.07137</v>
      </c>
      <c r="AN1264" s="882"/>
      <c r="AO1264" s="882"/>
      <c r="AP1264" s="882"/>
      <c r="AY1264" s="882"/>
      <c r="AZ1264" s="882"/>
      <c r="BA1264" s="882"/>
      <c r="BJ1264" s="882"/>
      <c r="BK1264" s="882"/>
      <c r="BL1264" s="882"/>
      <c r="BU1264" s="882"/>
      <c r="BV1264" s="882"/>
      <c r="BW1264" s="882"/>
      <c r="CF1264" s="882"/>
      <c r="CG1264" s="882"/>
      <c r="CH1264" s="882"/>
      <c r="CI1264" s="530"/>
    </row>
    <row r="1265">
      <c r="A1265" s="857"/>
      <c r="B1265" s="865" t="s">
        <v>652</v>
      </c>
      <c r="C1265" s="865" t="s">
        <v>591</v>
      </c>
      <c r="D1265" s="865" t="s">
        <v>676</v>
      </c>
      <c r="E1265" s="866">
        <v>2019.0</v>
      </c>
      <c r="F1265" s="865" t="s">
        <v>593</v>
      </c>
      <c r="G1265" s="865" t="s">
        <v>70</v>
      </c>
      <c r="H1265" s="867">
        <v>4510.93737</v>
      </c>
      <c r="I1265" s="867">
        <v>5096.812413</v>
      </c>
      <c r="J1265" s="868">
        <v>3920.290012</v>
      </c>
      <c r="K1265" s="50"/>
      <c r="L1265" s="869" t="s">
        <v>652</v>
      </c>
      <c r="M1265" s="865" t="s">
        <v>591</v>
      </c>
      <c r="N1265" s="865" t="s">
        <v>676</v>
      </c>
      <c r="O1265" s="866">
        <v>2004.0</v>
      </c>
      <c r="P1265" s="865" t="s">
        <v>593</v>
      </c>
      <c r="Q1265" s="865" t="s">
        <v>70</v>
      </c>
      <c r="R1265" s="867">
        <v>3485.78973</v>
      </c>
      <c r="S1265" s="867">
        <v>3834.268379</v>
      </c>
      <c r="T1265" s="868">
        <v>3133.602433</v>
      </c>
      <c r="AN1265" s="882"/>
      <c r="AO1265" s="882"/>
      <c r="AP1265" s="882"/>
      <c r="AY1265" s="882"/>
      <c r="AZ1265" s="882"/>
      <c r="BA1265" s="882"/>
      <c r="BJ1265" s="882"/>
      <c r="BK1265" s="882"/>
      <c r="BL1265" s="882"/>
      <c r="BU1265" s="882"/>
      <c r="BV1265" s="882"/>
      <c r="BW1265" s="882"/>
      <c r="CF1265" s="882"/>
      <c r="CG1265" s="882"/>
      <c r="CH1265" s="882"/>
      <c r="CI1265" s="530"/>
    </row>
    <row r="1266">
      <c r="A1266" s="857"/>
      <c r="B1266" s="865" t="s">
        <v>652</v>
      </c>
      <c r="C1266" s="865" t="s">
        <v>591</v>
      </c>
      <c r="D1266" s="865" t="s">
        <v>678</v>
      </c>
      <c r="E1266" s="866">
        <v>2019.0</v>
      </c>
      <c r="F1266" s="865" t="s">
        <v>593</v>
      </c>
      <c r="G1266" s="865" t="s">
        <v>70</v>
      </c>
      <c r="H1266" s="867">
        <v>5.022770945E7</v>
      </c>
      <c r="I1266" s="867">
        <v>5.675122308E7</v>
      </c>
      <c r="J1266" s="868">
        <v>4.365105776E7</v>
      </c>
      <c r="K1266" s="50"/>
      <c r="L1266" s="869" t="s">
        <v>652</v>
      </c>
      <c r="M1266" s="865" t="s">
        <v>591</v>
      </c>
      <c r="N1266" s="865" t="s">
        <v>678</v>
      </c>
      <c r="O1266" s="866">
        <v>2004.0</v>
      </c>
      <c r="P1266" s="865" t="s">
        <v>593</v>
      </c>
      <c r="Q1266" s="865" t="s">
        <v>70</v>
      </c>
      <c r="R1266" s="867">
        <v>3.465803094E7</v>
      </c>
      <c r="S1266" s="867">
        <v>3.812283655E7</v>
      </c>
      <c r="T1266" s="868">
        <v>3.11563515E7</v>
      </c>
      <c r="AN1266" s="882"/>
      <c r="AO1266" s="882"/>
      <c r="AP1266" s="882"/>
      <c r="AY1266" s="882"/>
      <c r="AZ1266" s="882"/>
      <c r="BA1266" s="882"/>
      <c r="BJ1266" s="882"/>
      <c r="BK1266" s="882"/>
      <c r="BL1266" s="882"/>
      <c r="BU1266" s="882"/>
      <c r="BV1266" s="882"/>
      <c r="BW1266" s="882"/>
      <c r="CF1266" s="882"/>
      <c r="CG1266" s="882"/>
      <c r="CH1266" s="882"/>
      <c r="CI1266" s="530"/>
    </row>
    <row r="1267">
      <c r="A1267" s="857"/>
      <c r="B1267" s="865" t="s">
        <v>652</v>
      </c>
      <c r="C1267" s="865" t="s">
        <v>591</v>
      </c>
      <c r="D1267" s="865" t="s">
        <v>680</v>
      </c>
      <c r="E1267" s="866">
        <v>2019.0</v>
      </c>
      <c r="F1267" s="865" t="s">
        <v>593</v>
      </c>
      <c r="G1267" s="865" t="s">
        <v>70</v>
      </c>
      <c r="H1267" s="867">
        <v>1342679.831</v>
      </c>
      <c r="I1267" s="867">
        <v>1554709.921</v>
      </c>
      <c r="J1267" s="868">
        <v>1166728.812</v>
      </c>
      <c r="K1267" s="50"/>
      <c r="L1267" s="869" t="s">
        <v>652</v>
      </c>
      <c r="M1267" s="865" t="s">
        <v>591</v>
      </c>
      <c r="N1267" s="865" t="s">
        <v>680</v>
      </c>
      <c r="O1267" s="866">
        <v>2004.0</v>
      </c>
      <c r="P1267" s="865" t="s">
        <v>593</v>
      </c>
      <c r="Q1267" s="865" t="s">
        <v>70</v>
      </c>
      <c r="R1267" s="867">
        <v>1266413.409</v>
      </c>
      <c r="S1267" s="867">
        <v>1346155.715</v>
      </c>
      <c r="T1267" s="868">
        <v>1189599.586</v>
      </c>
      <c r="AN1267" s="882"/>
      <c r="AO1267" s="882"/>
      <c r="AP1267" s="882"/>
      <c r="AY1267" s="882"/>
      <c r="AZ1267" s="882"/>
      <c r="BA1267" s="882"/>
      <c r="BJ1267" s="882"/>
      <c r="BK1267" s="882"/>
      <c r="BL1267" s="882"/>
      <c r="BU1267" s="882"/>
      <c r="BV1267" s="882"/>
      <c r="BW1267" s="882"/>
      <c r="CF1267" s="882"/>
      <c r="CG1267" s="882"/>
      <c r="CH1267" s="882"/>
      <c r="CI1267" s="530"/>
    </row>
    <row r="1268">
      <c r="A1268" s="857"/>
      <c r="B1268" s="865" t="s">
        <v>652</v>
      </c>
      <c r="C1268" s="865" t="s">
        <v>591</v>
      </c>
      <c r="D1268" s="865" t="s">
        <v>682</v>
      </c>
      <c r="E1268" s="866">
        <v>2019.0</v>
      </c>
      <c r="F1268" s="865" t="s">
        <v>593</v>
      </c>
      <c r="G1268" s="865" t="s">
        <v>70</v>
      </c>
      <c r="H1268" s="867">
        <v>25561.40228</v>
      </c>
      <c r="I1268" s="867">
        <v>28881.28603</v>
      </c>
      <c r="J1268" s="868">
        <v>22214.47603</v>
      </c>
      <c r="K1268" s="50"/>
      <c r="L1268" s="869" t="s">
        <v>652</v>
      </c>
      <c r="M1268" s="865" t="s">
        <v>591</v>
      </c>
      <c r="N1268" s="865" t="s">
        <v>682</v>
      </c>
      <c r="O1268" s="866">
        <v>2004.0</v>
      </c>
      <c r="P1268" s="865" t="s">
        <v>593</v>
      </c>
      <c r="Q1268" s="865" t="s">
        <v>70</v>
      </c>
      <c r="R1268" s="867">
        <v>24040.67498</v>
      </c>
      <c r="S1268" s="867">
        <v>26444.05057</v>
      </c>
      <c r="T1268" s="868">
        <v>21611.72172</v>
      </c>
      <c r="AN1268" s="882"/>
      <c r="AO1268" s="882"/>
      <c r="AP1268" s="882"/>
      <c r="AY1268" s="882"/>
      <c r="AZ1268" s="882"/>
      <c r="BA1268" s="882"/>
      <c r="BJ1268" s="882"/>
      <c r="BK1268" s="882"/>
      <c r="BL1268" s="882"/>
      <c r="BU1268" s="882"/>
      <c r="BV1268" s="882"/>
      <c r="BW1268" s="882"/>
      <c r="CF1268" s="882"/>
      <c r="CG1268" s="882"/>
      <c r="CH1268" s="882"/>
      <c r="CI1268" s="530"/>
    </row>
    <row r="1269">
      <c r="A1269" s="857"/>
      <c r="B1269" s="865" t="s">
        <v>652</v>
      </c>
      <c r="C1269" s="865" t="s">
        <v>591</v>
      </c>
      <c r="D1269" s="865" t="s">
        <v>684</v>
      </c>
      <c r="E1269" s="866">
        <v>2019.0</v>
      </c>
      <c r="F1269" s="865" t="s">
        <v>593</v>
      </c>
      <c r="G1269" s="865" t="s">
        <v>70</v>
      </c>
      <c r="H1269" s="867">
        <v>75868.58173</v>
      </c>
      <c r="I1269" s="867">
        <v>85722.30057</v>
      </c>
      <c r="J1269" s="868">
        <v>65934.59824</v>
      </c>
      <c r="K1269" s="50"/>
      <c r="L1269" s="869" t="s">
        <v>652</v>
      </c>
      <c r="M1269" s="865" t="s">
        <v>591</v>
      </c>
      <c r="N1269" s="865" t="s">
        <v>684</v>
      </c>
      <c r="O1269" s="866">
        <v>2004.0</v>
      </c>
      <c r="P1269" s="865" t="s">
        <v>593</v>
      </c>
      <c r="Q1269" s="865" t="s">
        <v>70</v>
      </c>
      <c r="R1269" s="867">
        <v>71149.32639</v>
      </c>
      <c r="S1269" s="867">
        <v>78262.2113</v>
      </c>
      <c r="T1269" s="868">
        <v>63960.74336</v>
      </c>
      <c r="AN1269" s="882"/>
      <c r="AO1269" s="882"/>
      <c r="AP1269" s="882"/>
      <c r="AY1269" s="882"/>
      <c r="AZ1269" s="882"/>
      <c r="BA1269" s="882"/>
      <c r="BJ1269" s="882"/>
      <c r="BK1269" s="882"/>
      <c r="BL1269" s="882"/>
      <c r="BU1269" s="882"/>
      <c r="BV1269" s="882"/>
      <c r="BW1269" s="882"/>
      <c r="CF1269" s="882"/>
      <c r="CG1269" s="882"/>
      <c r="CH1269" s="882"/>
      <c r="CI1269" s="530"/>
    </row>
    <row r="1270">
      <c r="A1270" s="857"/>
      <c r="B1270" s="865" t="s">
        <v>652</v>
      </c>
      <c r="C1270" s="865" t="s">
        <v>591</v>
      </c>
      <c r="D1270" s="865" t="s">
        <v>686</v>
      </c>
      <c r="E1270" s="866">
        <v>2019.0</v>
      </c>
      <c r="F1270" s="865" t="s">
        <v>593</v>
      </c>
      <c r="G1270" s="865" t="s">
        <v>70</v>
      </c>
      <c r="H1270" s="867">
        <v>101429.984</v>
      </c>
      <c r="I1270" s="867">
        <v>114603.5866</v>
      </c>
      <c r="J1270" s="868">
        <v>88149.07427</v>
      </c>
      <c r="K1270" s="50"/>
      <c r="L1270" s="869" t="s">
        <v>652</v>
      </c>
      <c r="M1270" s="865" t="s">
        <v>591</v>
      </c>
      <c r="N1270" s="865" t="s">
        <v>686</v>
      </c>
      <c r="O1270" s="866">
        <v>2004.0</v>
      </c>
      <c r="P1270" s="865" t="s">
        <v>593</v>
      </c>
      <c r="Q1270" s="865" t="s">
        <v>70</v>
      </c>
      <c r="R1270" s="867">
        <v>95190.00138</v>
      </c>
      <c r="S1270" s="867">
        <v>104706.2619</v>
      </c>
      <c r="T1270" s="868">
        <v>85572.46508</v>
      </c>
      <c r="AN1270" s="882"/>
      <c r="AO1270" s="882"/>
      <c r="AP1270" s="882"/>
      <c r="AY1270" s="882"/>
      <c r="AZ1270" s="882"/>
      <c r="BA1270" s="882"/>
      <c r="BJ1270" s="882"/>
      <c r="BK1270" s="882"/>
      <c r="BL1270" s="882"/>
      <c r="BU1270" s="882"/>
      <c r="BV1270" s="882"/>
      <c r="BW1270" s="882"/>
      <c r="CF1270" s="882"/>
      <c r="CG1270" s="882"/>
      <c r="CH1270" s="882"/>
      <c r="CI1270" s="530"/>
    </row>
    <row r="1271">
      <c r="A1271" s="857"/>
      <c r="B1271" s="865" t="s">
        <v>652</v>
      </c>
      <c r="C1271" s="865" t="s">
        <v>591</v>
      </c>
      <c r="D1271" s="865" t="s">
        <v>688</v>
      </c>
      <c r="E1271" s="866">
        <v>2019.0</v>
      </c>
      <c r="F1271" s="865" t="s">
        <v>593</v>
      </c>
      <c r="G1271" s="865" t="s">
        <v>70</v>
      </c>
      <c r="H1271" s="867">
        <v>1196537.852</v>
      </c>
      <c r="I1271" s="867">
        <v>1351942.728</v>
      </c>
      <c r="J1271" s="868">
        <v>1039867.106</v>
      </c>
      <c r="K1271" s="50"/>
      <c r="L1271" s="869" t="s">
        <v>652</v>
      </c>
      <c r="M1271" s="865" t="s">
        <v>591</v>
      </c>
      <c r="N1271" s="865" t="s">
        <v>688</v>
      </c>
      <c r="O1271" s="866">
        <v>2004.0</v>
      </c>
      <c r="P1271" s="865" t="s">
        <v>593</v>
      </c>
      <c r="Q1271" s="865" t="s">
        <v>70</v>
      </c>
      <c r="R1271" s="867">
        <v>1116670.114</v>
      </c>
      <c r="S1271" s="867">
        <v>1228304.987</v>
      </c>
      <c r="T1271" s="868">
        <v>1003847.179</v>
      </c>
      <c r="AN1271" s="882"/>
      <c r="AO1271" s="882"/>
      <c r="AP1271" s="882"/>
      <c r="AY1271" s="882"/>
      <c r="AZ1271" s="882"/>
      <c r="BA1271" s="882"/>
      <c r="BJ1271" s="882"/>
      <c r="BK1271" s="882"/>
      <c r="BL1271" s="882"/>
      <c r="BU1271" s="882"/>
      <c r="BV1271" s="882"/>
      <c r="BW1271" s="882"/>
      <c r="CF1271" s="882"/>
      <c r="CG1271" s="882"/>
      <c r="CH1271" s="882"/>
      <c r="CI1271" s="530"/>
    </row>
    <row r="1272">
      <c r="A1272" s="857"/>
      <c r="B1272" s="865" t="s">
        <v>652</v>
      </c>
      <c r="C1272" s="865" t="s">
        <v>591</v>
      </c>
      <c r="D1272" s="865" t="s">
        <v>689</v>
      </c>
      <c r="E1272" s="866">
        <v>2019.0</v>
      </c>
      <c r="F1272" s="865" t="s">
        <v>593</v>
      </c>
      <c r="G1272" s="865" t="s">
        <v>70</v>
      </c>
      <c r="H1272" s="867">
        <v>6416042.782</v>
      </c>
      <c r="I1272" s="867">
        <v>7249350.591</v>
      </c>
      <c r="J1272" s="868">
        <v>5575947.164</v>
      </c>
      <c r="K1272" s="50"/>
      <c r="L1272" s="869" t="s">
        <v>652</v>
      </c>
      <c r="M1272" s="865" t="s">
        <v>591</v>
      </c>
      <c r="N1272" s="865" t="s">
        <v>689</v>
      </c>
      <c r="O1272" s="866">
        <v>2004.0</v>
      </c>
      <c r="P1272" s="865" t="s">
        <v>593</v>
      </c>
      <c r="Q1272" s="865" t="s">
        <v>70</v>
      </c>
      <c r="R1272" s="867">
        <v>5753089.608</v>
      </c>
      <c r="S1272" s="867">
        <v>6328232.991</v>
      </c>
      <c r="T1272" s="868">
        <v>5171825.322</v>
      </c>
      <c r="AN1272" s="882"/>
      <c r="AO1272" s="882"/>
      <c r="AP1272" s="882"/>
      <c r="AY1272" s="882"/>
      <c r="AZ1272" s="882"/>
      <c r="BA1272" s="882"/>
      <c r="BJ1272" s="882"/>
      <c r="BK1272" s="882"/>
      <c r="BL1272" s="882"/>
      <c r="BU1272" s="882"/>
      <c r="BV1272" s="882"/>
      <c r="BW1272" s="882"/>
      <c r="CF1272" s="882"/>
      <c r="CG1272" s="882"/>
      <c r="CH1272" s="882"/>
      <c r="CI1272" s="530"/>
    </row>
    <row r="1273">
      <c r="A1273" s="857"/>
      <c r="B1273" s="865" t="s">
        <v>654</v>
      </c>
      <c r="C1273" s="865" t="s">
        <v>591</v>
      </c>
      <c r="D1273" s="865" t="s">
        <v>592</v>
      </c>
      <c r="E1273" s="866">
        <v>2019.0</v>
      </c>
      <c r="F1273" s="865" t="s">
        <v>593</v>
      </c>
      <c r="G1273" s="865" t="s">
        <v>70</v>
      </c>
      <c r="H1273" s="867">
        <v>44584.44771</v>
      </c>
      <c r="I1273" s="867">
        <v>48457.28771</v>
      </c>
      <c r="J1273" s="868">
        <v>40721.13182</v>
      </c>
      <c r="K1273" s="50"/>
      <c r="L1273" s="869" t="s">
        <v>654</v>
      </c>
      <c r="M1273" s="865" t="s">
        <v>591</v>
      </c>
      <c r="N1273" s="865" t="s">
        <v>592</v>
      </c>
      <c r="O1273" s="866">
        <v>2004.0</v>
      </c>
      <c r="P1273" s="865" t="s">
        <v>593</v>
      </c>
      <c r="Q1273" s="865" t="s">
        <v>70</v>
      </c>
      <c r="R1273" s="867">
        <v>52539.21063</v>
      </c>
      <c r="S1273" s="867">
        <v>56757.40972</v>
      </c>
      <c r="T1273" s="868">
        <v>48338.89893</v>
      </c>
      <c r="AN1273" s="882"/>
      <c r="AO1273" s="882"/>
      <c r="AP1273" s="882"/>
      <c r="AY1273" s="882"/>
      <c r="AZ1273" s="882"/>
      <c r="BA1273" s="882"/>
      <c r="BJ1273" s="882"/>
      <c r="BK1273" s="882"/>
      <c r="BL1273" s="882"/>
      <c r="BU1273" s="882"/>
      <c r="BV1273" s="882"/>
      <c r="BW1273" s="882"/>
      <c r="CF1273" s="882"/>
      <c r="CG1273" s="882"/>
      <c r="CH1273" s="882"/>
      <c r="CI1273" s="530"/>
    </row>
    <row r="1274">
      <c r="A1274" s="857"/>
      <c r="B1274" s="865" t="s">
        <v>654</v>
      </c>
      <c r="C1274" s="865" t="s">
        <v>591</v>
      </c>
      <c r="D1274" s="865" t="s">
        <v>601</v>
      </c>
      <c r="E1274" s="866">
        <v>2019.0</v>
      </c>
      <c r="F1274" s="865" t="s">
        <v>593</v>
      </c>
      <c r="G1274" s="865" t="s">
        <v>70</v>
      </c>
      <c r="H1274" s="867">
        <v>880626.2063</v>
      </c>
      <c r="I1274" s="867">
        <v>957122.0377</v>
      </c>
      <c r="J1274" s="868">
        <v>804318.4938</v>
      </c>
      <c r="K1274" s="50"/>
      <c r="L1274" s="869" t="s">
        <v>654</v>
      </c>
      <c r="M1274" s="865" t="s">
        <v>591</v>
      </c>
      <c r="N1274" s="865" t="s">
        <v>601</v>
      </c>
      <c r="O1274" s="866">
        <v>2004.0</v>
      </c>
      <c r="P1274" s="865" t="s">
        <v>593</v>
      </c>
      <c r="Q1274" s="865" t="s">
        <v>70</v>
      </c>
      <c r="R1274" s="867">
        <v>948209.4297</v>
      </c>
      <c r="S1274" s="867">
        <v>1024338.022</v>
      </c>
      <c r="T1274" s="868">
        <v>872403.6626</v>
      </c>
      <c r="AN1274" s="882"/>
      <c r="AO1274" s="882"/>
      <c r="AP1274" s="882"/>
      <c r="AY1274" s="882"/>
      <c r="AZ1274" s="882"/>
      <c r="BA1274" s="882"/>
      <c r="BJ1274" s="882"/>
      <c r="BK1274" s="882"/>
      <c r="BL1274" s="882"/>
      <c r="BU1274" s="882"/>
      <c r="BV1274" s="882"/>
      <c r="BW1274" s="882"/>
      <c r="CF1274" s="882"/>
      <c r="CG1274" s="882"/>
      <c r="CH1274" s="882"/>
      <c r="CI1274" s="530"/>
    </row>
    <row r="1275">
      <c r="A1275" s="857"/>
      <c r="B1275" s="865" t="s">
        <v>654</v>
      </c>
      <c r="C1275" s="865" t="s">
        <v>591</v>
      </c>
      <c r="D1275" s="865" t="s">
        <v>606</v>
      </c>
      <c r="E1275" s="866">
        <v>2019.0</v>
      </c>
      <c r="F1275" s="865" t="s">
        <v>593</v>
      </c>
      <c r="G1275" s="865" t="s">
        <v>70</v>
      </c>
      <c r="H1275" s="867">
        <v>660821.1594</v>
      </c>
      <c r="I1275" s="867">
        <v>718223.5665</v>
      </c>
      <c r="J1275" s="868">
        <v>603559.9165</v>
      </c>
      <c r="K1275" s="50"/>
      <c r="L1275" s="869" t="s">
        <v>654</v>
      </c>
      <c r="M1275" s="865" t="s">
        <v>591</v>
      </c>
      <c r="N1275" s="865" t="s">
        <v>606</v>
      </c>
      <c r="O1275" s="866">
        <v>2004.0</v>
      </c>
      <c r="P1275" s="865" t="s">
        <v>593</v>
      </c>
      <c r="Q1275" s="865" t="s">
        <v>70</v>
      </c>
      <c r="R1275" s="867">
        <v>708609.0656</v>
      </c>
      <c r="S1275" s="867">
        <v>765500.9388</v>
      </c>
      <c r="T1275" s="868">
        <v>651958.4438</v>
      </c>
      <c r="AN1275" s="882"/>
      <c r="AO1275" s="882"/>
      <c r="AP1275" s="882"/>
      <c r="AY1275" s="882"/>
      <c r="AZ1275" s="882"/>
      <c r="BA1275" s="882"/>
      <c r="BJ1275" s="882"/>
      <c r="BK1275" s="882"/>
      <c r="BL1275" s="882"/>
      <c r="BU1275" s="882"/>
      <c r="BV1275" s="882"/>
      <c r="BW1275" s="882"/>
      <c r="CF1275" s="882"/>
      <c r="CG1275" s="882"/>
      <c r="CH1275" s="882"/>
      <c r="CI1275" s="530"/>
    </row>
    <row r="1276">
      <c r="A1276" s="857"/>
      <c r="B1276" s="865" t="s">
        <v>654</v>
      </c>
      <c r="C1276" s="865" t="s">
        <v>591</v>
      </c>
      <c r="D1276" s="865" t="s">
        <v>608</v>
      </c>
      <c r="E1276" s="866">
        <v>2019.0</v>
      </c>
      <c r="F1276" s="865" t="s">
        <v>593</v>
      </c>
      <c r="G1276" s="865" t="s">
        <v>70</v>
      </c>
      <c r="H1276" s="867">
        <v>173824.7973</v>
      </c>
      <c r="I1276" s="867">
        <v>188924.135</v>
      </c>
      <c r="J1276" s="868">
        <v>158762.5921</v>
      </c>
      <c r="K1276" s="50"/>
      <c r="L1276" s="869" t="s">
        <v>654</v>
      </c>
      <c r="M1276" s="865" t="s">
        <v>591</v>
      </c>
      <c r="N1276" s="865" t="s">
        <v>608</v>
      </c>
      <c r="O1276" s="866">
        <v>2004.0</v>
      </c>
      <c r="P1276" s="865" t="s">
        <v>593</v>
      </c>
      <c r="Q1276" s="865" t="s">
        <v>70</v>
      </c>
      <c r="R1276" s="867">
        <v>194540.1716</v>
      </c>
      <c r="S1276" s="867">
        <v>210159.1572</v>
      </c>
      <c r="T1276" s="868">
        <v>178987.4187</v>
      </c>
      <c r="AN1276" s="882"/>
      <c r="AO1276" s="882"/>
      <c r="AP1276" s="882"/>
      <c r="AY1276" s="882"/>
      <c r="AZ1276" s="882"/>
      <c r="BA1276" s="882"/>
      <c r="BJ1276" s="882"/>
      <c r="BK1276" s="882"/>
      <c r="BL1276" s="882"/>
      <c r="BU1276" s="882"/>
      <c r="BV1276" s="882"/>
      <c r="BW1276" s="882"/>
      <c r="CF1276" s="882"/>
      <c r="CG1276" s="882"/>
      <c r="CH1276" s="882"/>
      <c r="CI1276" s="530"/>
    </row>
    <row r="1277">
      <c r="A1277" s="857"/>
      <c r="B1277" s="865" t="s">
        <v>654</v>
      </c>
      <c r="C1277" s="865" t="s">
        <v>591</v>
      </c>
      <c r="D1277" s="865" t="s">
        <v>610</v>
      </c>
      <c r="E1277" s="866">
        <v>2019.0</v>
      </c>
      <c r="F1277" s="865" t="s">
        <v>593</v>
      </c>
      <c r="G1277" s="865" t="s">
        <v>70</v>
      </c>
      <c r="H1277" s="867">
        <v>224254.0483</v>
      </c>
      <c r="I1277" s="867">
        <v>243733.9363</v>
      </c>
      <c r="J1277" s="868">
        <v>204822.0653</v>
      </c>
      <c r="K1277" s="50"/>
      <c r="L1277" s="869" t="s">
        <v>654</v>
      </c>
      <c r="M1277" s="865" t="s">
        <v>591</v>
      </c>
      <c r="N1277" s="865" t="s">
        <v>610</v>
      </c>
      <c r="O1277" s="866">
        <v>2004.0</v>
      </c>
      <c r="P1277" s="865" t="s">
        <v>593</v>
      </c>
      <c r="Q1277" s="865" t="s">
        <v>70</v>
      </c>
      <c r="R1277" s="867">
        <v>237183.3489</v>
      </c>
      <c r="S1277" s="867">
        <v>256226.0139</v>
      </c>
      <c r="T1277" s="868">
        <v>218221.4348</v>
      </c>
      <c r="AN1277" s="882"/>
      <c r="AO1277" s="882"/>
      <c r="AP1277" s="882"/>
      <c r="AY1277" s="882"/>
      <c r="AZ1277" s="882"/>
      <c r="BA1277" s="882"/>
      <c r="BJ1277" s="882"/>
      <c r="BK1277" s="882"/>
      <c r="BL1277" s="882"/>
      <c r="BU1277" s="882"/>
      <c r="BV1277" s="882"/>
      <c r="BW1277" s="882"/>
      <c r="CF1277" s="882"/>
      <c r="CG1277" s="882"/>
      <c r="CH1277" s="882"/>
      <c r="CI1277" s="530"/>
    </row>
    <row r="1278">
      <c r="A1278" s="857"/>
      <c r="B1278" s="865" t="s">
        <v>654</v>
      </c>
      <c r="C1278" s="865" t="s">
        <v>591</v>
      </c>
      <c r="D1278" s="865" t="s">
        <v>612</v>
      </c>
      <c r="E1278" s="866">
        <v>2019.0</v>
      </c>
      <c r="F1278" s="865" t="s">
        <v>593</v>
      </c>
      <c r="G1278" s="865" t="s">
        <v>70</v>
      </c>
      <c r="H1278" s="867">
        <v>444059.0952</v>
      </c>
      <c r="I1278" s="867">
        <v>482632.4075</v>
      </c>
      <c r="J1278" s="868">
        <v>405580.6426</v>
      </c>
      <c r="K1278" s="50"/>
      <c r="L1278" s="869" t="s">
        <v>654</v>
      </c>
      <c r="M1278" s="865" t="s">
        <v>591</v>
      </c>
      <c r="N1278" s="865" t="s">
        <v>612</v>
      </c>
      <c r="O1278" s="866">
        <v>2004.0</v>
      </c>
      <c r="P1278" s="865" t="s">
        <v>593</v>
      </c>
      <c r="Q1278" s="865" t="s">
        <v>70</v>
      </c>
      <c r="R1278" s="867">
        <v>476783.713</v>
      </c>
      <c r="S1278" s="867">
        <v>515063.0971</v>
      </c>
      <c r="T1278" s="868">
        <v>438666.6537</v>
      </c>
      <c r="AN1278" s="882"/>
      <c r="AO1278" s="882"/>
      <c r="AP1278" s="882"/>
      <c r="AY1278" s="882"/>
      <c r="AZ1278" s="882"/>
      <c r="BA1278" s="882"/>
      <c r="BJ1278" s="882"/>
      <c r="BK1278" s="882"/>
      <c r="BL1278" s="882"/>
      <c r="BU1278" s="882"/>
      <c r="BV1278" s="882"/>
      <c r="BW1278" s="882"/>
      <c r="CF1278" s="882"/>
      <c r="CG1278" s="882"/>
      <c r="CH1278" s="882"/>
      <c r="CI1278" s="530"/>
    </row>
    <row r="1279">
      <c r="A1279" s="857"/>
      <c r="B1279" s="865" t="s">
        <v>654</v>
      </c>
      <c r="C1279" s="865" t="s">
        <v>591</v>
      </c>
      <c r="D1279" s="865" t="s">
        <v>614</v>
      </c>
      <c r="E1279" s="866">
        <v>2019.0</v>
      </c>
      <c r="F1279" s="865" t="s">
        <v>593</v>
      </c>
      <c r="G1279" s="865" t="s">
        <v>70</v>
      </c>
      <c r="H1279" s="867">
        <v>652312.1915</v>
      </c>
      <c r="I1279" s="867">
        <v>708975.4648</v>
      </c>
      <c r="J1279" s="868">
        <v>595788.2648</v>
      </c>
      <c r="K1279" s="50"/>
      <c r="L1279" s="869" t="s">
        <v>654</v>
      </c>
      <c r="M1279" s="865" t="s">
        <v>591</v>
      </c>
      <c r="N1279" s="865" t="s">
        <v>614</v>
      </c>
      <c r="O1279" s="866">
        <v>2004.0</v>
      </c>
      <c r="P1279" s="865" t="s">
        <v>593</v>
      </c>
      <c r="Q1279" s="865" t="s">
        <v>70</v>
      </c>
      <c r="R1279" s="867">
        <v>687794.8434</v>
      </c>
      <c r="S1279" s="867">
        <v>743015.6118</v>
      </c>
      <c r="T1279" s="868">
        <v>632808.2401</v>
      </c>
      <c r="AN1279" s="882"/>
      <c r="AO1279" s="882"/>
      <c r="AP1279" s="882"/>
      <c r="AY1279" s="882"/>
      <c r="AZ1279" s="882"/>
      <c r="BA1279" s="882"/>
      <c r="BJ1279" s="882"/>
      <c r="BK1279" s="882"/>
      <c r="BL1279" s="882"/>
      <c r="BU1279" s="882"/>
      <c r="BV1279" s="882"/>
      <c r="BW1279" s="882"/>
      <c r="CF1279" s="882"/>
      <c r="CG1279" s="882"/>
      <c r="CH1279" s="882"/>
      <c r="CI1279" s="530"/>
    </row>
    <row r="1280">
      <c r="A1280" s="857"/>
      <c r="B1280" s="865" t="s">
        <v>654</v>
      </c>
      <c r="C1280" s="865" t="s">
        <v>591</v>
      </c>
      <c r="D1280" s="865" t="s">
        <v>616</v>
      </c>
      <c r="E1280" s="866">
        <v>2019.0</v>
      </c>
      <c r="F1280" s="865" t="s">
        <v>593</v>
      </c>
      <c r="G1280" s="865" t="s">
        <v>70</v>
      </c>
      <c r="H1280" s="867">
        <v>219805.0469</v>
      </c>
      <c r="I1280" s="867">
        <v>238898.4712</v>
      </c>
      <c r="J1280" s="868">
        <v>200758.5773</v>
      </c>
      <c r="K1280" s="50"/>
      <c r="L1280" s="869" t="s">
        <v>654</v>
      </c>
      <c r="M1280" s="865" t="s">
        <v>591</v>
      </c>
      <c r="N1280" s="865" t="s">
        <v>616</v>
      </c>
      <c r="O1280" s="866">
        <v>2004.0</v>
      </c>
      <c r="P1280" s="865" t="s">
        <v>593</v>
      </c>
      <c r="Q1280" s="865" t="s">
        <v>70</v>
      </c>
      <c r="R1280" s="867">
        <v>239600.3641</v>
      </c>
      <c r="S1280" s="867">
        <v>258837.0832</v>
      </c>
      <c r="T1280" s="868">
        <v>220445.2188</v>
      </c>
      <c r="AN1280" s="882"/>
      <c r="AO1280" s="882"/>
      <c r="AP1280" s="882"/>
      <c r="AY1280" s="882"/>
      <c r="AZ1280" s="882"/>
      <c r="BA1280" s="882"/>
      <c r="BJ1280" s="882"/>
      <c r="BK1280" s="882"/>
      <c r="BL1280" s="882"/>
      <c r="BU1280" s="882"/>
      <c r="BV1280" s="882"/>
      <c r="BW1280" s="882"/>
      <c r="CF1280" s="882"/>
      <c r="CG1280" s="882"/>
      <c r="CH1280" s="882"/>
      <c r="CI1280" s="530"/>
    </row>
    <row r="1281">
      <c r="A1281" s="857"/>
      <c r="B1281" s="865" t="s">
        <v>654</v>
      </c>
      <c r="C1281" s="865" t="s">
        <v>591</v>
      </c>
      <c r="D1281" s="865" t="s">
        <v>618</v>
      </c>
      <c r="E1281" s="866">
        <v>2019.0</v>
      </c>
      <c r="F1281" s="865" t="s">
        <v>593</v>
      </c>
      <c r="G1281" s="865" t="s">
        <v>70</v>
      </c>
      <c r="H1281" s="867">
        <v>950038.632</v>
      </c>
      <c r="I1281" s="867">
        <v>1032533.939</v>
      </c>
      <c r="J1281" s="868">
        <v>867654.2493</v>
      </c>
      <c r="K1281" s="50"/>
      <c r="L1281" s="869" t="s">
        <v>654</v>
      </c>
      <c r="M1281" s="865" t="s">
        <v>591</v>
      </c>
      <c r="N1281" s="865" t="s">
        <v>618</v>
      </c>
      <c r="O1281" s="866">
        <v>2004.0</v>
      </c>
      <c r="P1281" s="865" t="s">
        <v>593</v>
      </c>
      <c r="Q1281" s="865" t="s">
        <v>70</v>
      </c>
      <c r="R1281" s="867">
        <v>838211.3089</v>
      </c>
      <c r="S1281" s="867">
        <v>905471.1523</v>
      </c>
      <c r="T1281" s="868">
        <v>771165.1731</v>
      </c>
      <c r="AN1281" s="882"/>
      <c r="AO1281" s="882"/>
      <c r="AP1281" s="882"/>
      <c r="AY1281" s="882"/>
      <c r="AZ1281" s="882"/>
      <c r="BA1281" s="882"/>
      <c r="BJ1281" s="882"/>
      <c r="BK1281" s="882"/>
      <c r="BL1281" s="882"/>
      <c r="BU1281" s="882"/>
      <c r="BV1281" s="882"/>
      <c r="BW1281" s="882"/>
      <c r="CF1281" s="882"/>
      <c r="CG1281" s="882"/>
      <c r="CH1281" s="882"/>
      <c r="CI1281" s="530"/>
    </row>
    <row r="1282">
      <c r="A1282" s="857"/>
      <c r="B1282" s="865" t="s">
        <v>654</v>
      </c>
      <c r="C1282" s="865" t="s">
        <v>591</v>
      </c>
      <c r="D1282" s="865" t="s">
        <v>620</v>
      </c>
      <c r="E1282" s="866">
        <v>2019.0</v>
      </c>
      <c r="F1282" s="865" t="s">
        <v>593</v>
      </c>
      <c r="G1282" s="865" t="s">
        <v>70</v>
      </c>
      <c r="H1282" s="867">
        <v>1147116.172</v>
      </c>
      <c r="I1282" s="867">
        <v>1246760.726</v>
      </c>
      <c r="J1282" s="868">
        <v>1047716.665</v>
      </c>
      <c r="K1282" s="50"/>
      <c r="L1282" s="869" t="s">
        <v>654</v>
      </c>
      <c r="M1282" s="865" t="s">
        <v>591</v>
      </c>
      <c r="N1282" s="865" t="s">
        <v>620</v>
      </c>
      <c r="O1282" s="866">
        <v>2004.0</v>
      </c>
      <c r="P1282" s="865" t="s">
        <v>593</v>
      </c>
      <c r="Q1282" s="865" t="s">
        <v>70</v>
      </c>
      <c r="R1282" s="867">
        <v>1001114.943</v>
      </c>
      <c r="S1282" s="867">
        <v>1081491.143</v>
      </c>
      <c r="T1282" s="868">
        <v>921079.5792</v>
      </c>
      <c r="AN1282" s="882"/>
      <c r="AO1282" s="882"/>
      <c r="AP1282" s="882"/>
      <c r="AY1282" s="882"/>
      <c r="AZ1282" s="882"/>
      <c r="BA1282" s="882"/>
      <c r="BJ1282" s="882"/>
      <c r="BK1282" s="882"/>
      <c r="BL1282" s="882"/>
      <c r="BU1282" s="882"/>
      <c r="BV1282" s="882"/>
      <c r="BW1282" s="882"/>
      <c r="CF1282" s="882"/>
      <c r="CG1282" s="882"/>
      <c r="CH1282" s="882"/>
      <c r="CI1282" s="530"/>
    </row>
    <row r="1283">
      <c r="A1283" s="857"/>
      <c r="B1283" s="865" t="s">
        <v>654</v>
      </c>
      <c r="C1283" s="865" t="s">
        <v>591</v>
      </c>
      <c r="D1283" s="865" t="s">
        <v>622</v>
      </c>
      <c r="E1283" s="866">
        <v>2019.0</v>
      </c>
      <c r="F1283" s="865" t="s">
        <v>593</v>
      </c>
      <c r="G1283" s="865" t="s">
        <v>70</v>
      </c>
      <c r="H1283" s="867">
        <v>1211018.64</v>
      </c>
      <c r="I1283" s="867">
        <v>1316175.79</v>
      </c>
      <c r="J1283" s="868">
        <v>1106002.886</v>
      </c>
      <c r="K1283" s="50"/>
      <c r="L1283" s="869" t="s">
        <v>654</v>
      </c>
      <c r="M1283" s="865" t="s">
        <v>591</v>
      </c>
      <c r="N1283" s="865" t="s">
        <v>622</v>
      </c>
      <c r="O1283" s="866">
        <v>2004.0</v>
      </c>
      <c r="P1283" s="865" t="s">
        <v>593</v>
      </c>
      <c r="Q1283" s="865" t="s">
        <v>70</v>
      </c>
      <c r="R1283" s="867">
        <v>1006515.352</v>
      </c>
      <c r="S1283" s="867">
        <v>1087280.266</v>
      </c>
      <c r="T1283" s="868">
        <v>926007.0546</v>
      </c>
      <c r="AN1283" s="882"/>
      <c r="AO1283" s="882"/>
      <c r="AP1283" s="882"/>
      <c r="AY1283" s="882"/>
      <c r="AZ1283" s="882"/>
      <c r="BA1283" s="882"/>
      <c r="BJ1283" s="882"/>
      <c r="BK1283" s="882"/>
      <c r="BL1283" s="882"/>
      <c r="BU1283" s="882"/>
      <c r="BV1283" s="882"/>
      <c r="BW1283" s="882"/>
      <c r="CF1283" s="882"/>
      <c r="CG1283" s="882"/>
      <c r="CH1283" s="882"/>
      <c r="CI1283" s="530"/>
    </row>
    <row r="1284">
      <c r="A1284" s="857"/>
      <c r="B1284" s="865" t="s">
        <v>654</v>
      </c>
      <c r="C1284" s="865" t="s">
        <v>591</v>
      </c>
      <c r="D1284" s="865" t="s">
        <v>624</v>
      </c>
      <c r="E1284" s="866">
        <v>2019.0</v>
      </c>
      <c r="F1284" s="865" t="s">
        <v>593</v>
      </c>
      <c r="G1284" s="865" t="s">
        <v>70</v>
      </c>
      <c r="H1284" s="867">
        <v>208253.0963</v>
      </c>
      <c r="I1284" s="867">
        <v>226343.0573</v>
      </c>
      <c r="J1284" s="868">
        <v>190207.6222</v>
      </c>
      <c r="K1284" s="50"/>
      <c r="L1284" s="869" t="s">
        <v>654</v>
      </c>
      <c r="M1284" s="865" t="s">
        <v>591</v>
      </c>
      <c r="N1284" s="865" t="s">
        <v>624</v>
      </c>
      <c r="O1284" s="866">
        <v>2004.0</v>
      </c>
      <c r="P1284" s="865" t="s">
        <v>593</v>
      </c>
      <c r="Q1284" s="865" t="s">
        <v>70</v>
      </c>
      <c r="R1284" s="867">
        <v>211011.1304</v>
      </c>
      <c r="S1284" s="867">
        <v>227952.5147</v>
      </c>
      <c r="T1284" s="868">
        <v>194141.5865</v>
      </c>
      <c r="AN1284" s="882"/>
      <c r="AO1284" s="882"/>
      <c r="AP1284" s="882"/>
      <c r="AY1284" s="882"/>
      <c r="AZ1284" s="882"/>
      <c r="BA1284" s="882"/>
      <c r="BJ1284" s="882"/>
      <c r="BK1284" s="882"/>
      <c r="BL1284" s="882"/>
      <c r="BU1284" s="882"/>
      <c r="BV1284" s="882"/>
      <c r="BW1284" s="882"/>
      <c r="CF1284" s="882"/>
      <c r="CG1284" s="882"/>
      <c r="CH1284" s="882"/>
      <c r="CI1284" s="530"/>
    </row>
    <row r="1285">
      <c r="A1285" s="857"/>
      <c r="B1285" s="865" t="s">
        <v>654</v>
      </c>
      <c r="C1285" s="865" t="s">
        <v>591</v>
      </c>
      <c r="D1285" s="865" t="s">
        <v>625</v>
      </c>
      <c r="E1285" s="866">
        <v>2019.0</v>
      </c>
      <c r="F1285" s="865" t="s">
        <v>593</v>
      </c>
      <c r="G1285" s="865" t="s">
        <v>70</v>
      </c>
      <c r="H1285" s="867">
        <v>1002708.638</v>
      </c>
      <c r="I1285" s="867">
        <v>1089809.193</v>
      </c>
      <c r="J1285" s="868">
        <v>915822.2815</v>
      </c>
      <c r="K1285" s="50"/>
      <c r="L1285" s="869" t="s">
        <v>654</v>
      </c>
      <c r="M1285" s="865" t="s">
        <v>591</v>
      </c>
      <c r="N1285" s="865" t="s">
        <v>625</v>
      </c>
      <c r="O1285" s="866">
        <v>2004.0</v>
      </c>
      <c r="P1285" s="865" t="s">
        <v>593</v>
      </c>
      <c r="Q1285" s="865" t="s">
        <v>70</v>
      </c>
      <c r="R1285" s="867">
        <v>795459.7191</v>
      </c>
      <c r="S1285" s="867">
        <v>859324.5435</v>
      </c>
      <c r="T1285" s="868">
        <v>731865.7151</v>
      </c>
      <c r="AN1285" s="882"/>
      <c r="AO1285" s="882"/>
      <c r="AP1285" s="882"/>
      <c r="AY1285" s="882"/>
      <c r="AZ1285" s="882"/>
      <c r="BA1285" s="882"/>
      <c r="BJ1285" s="882"/>
      <c r="BK1285" s="882"/>
      <c r="BL1285" s="882"/>
      <c r="BU1285" s="882"/>
      <c r="BV1285" s="882"/>
      <c r="BW1285" s="882"/>
      <c r="CF1285" s="882"/>
      <c r="CG1285" s="882"/>
      <c r="CH1285" s="882"/>
      <c r="CI1285" s="530"/>
    </row>
    <row r="1286">
      <c r="A1286" s="857"/>
      <c r="B1286" s="865" t="s">
        <v>654</v>
      </c>
      <c r="C1286" s="865" t="s">
        <v>591</v>
      </c>
      <c r="D1286" s="865" t="s">
        <v>627</v>
      </c>
      <c r="E1286" s="866">
        <v>2019.0</v>
      </c>
      <c r="F1286" s="865" t="s">
        <v>593</v>
      </c>
      <c r="G1286" s="865" t="s">
        <v>70</v>
      </c>
      <c r="H1286" s="867">
        <v>195248.4004</v>
      </c>
      <c r="I1286" s="867">
        <v>212208.705</v>
      </c>
      <c r="J1286" s="868">
        <v>178329.8046</v>
      </c>
      <c r="K1286" s="50"/>
      <c r="L1286" s="869" t="s">
        <v>654</v>
      </c>
      <c r="M1286" s="865" t="s">
        <v>591</v>
      </c>
      <c r="N1286" s="865" t="s">
        <v>627</v>
      </c>
      <c r="O1286" s="866">
        <v>2004.0</v>
      </c>
      <c r="P1286" s="865" t="s">
        <v>593</v>
      </c>
      <c r="Q1286" s="865" t="s">
        <v>70</v>
      </c>
      <c r="R1286" s="867">
        <v>162646.1021</v>
      </c>
      <c r="S1286" s="867">
        <v>175704.4186</v>
      </c>
      <c r="T1286" s="868">
        <v>149643.1598</v>
      </c>
      <c r="AN1286" s="882"/>
      <c r="AO1286" s="882"/>
      <c r="AP1286" s="882"/>
      <c r="AY1286" s="882"/>
      <c r="AZ1286" s="882"/>
      <c r="BA1286" s="882"/>
      <c r="BJ1286" s="882"/>
      <c r="BK1286" s="882"/>
      <c r="BL1286" s="882"/>
      <c r="BU1286" s="882"/>
      <c r="BV1286" s="882"/>
      <c r="BW1286" s="882"/>
      <c r="CF1286" s="882"/>
      <c r="CG1286" s="882"/>
      <c r="CH1286" s="882"/>
      <c r="CI1286" s="530"/>
    </row>
    <row r="1287">
      <c r="A1287" s="857"/>
      <c r="B1287" s="865" t="s">
        <v>654</v>
      </c>
      <c r="C1287" s="865" t="s">
        <v>591</v>
      </c>
      <c r="D1287" s="865" t="s">
        <v>629</v>
      </c>
      <c r="E1287" s="866">
        <v>2019.0</v>
      </c>
      <c r="F1287" s="865" t="s">
        <v>593</v>
      </c>
      <c r="G1287" s="865" t="s">
        <v>70</v>
      </c>
      <c r="H1287" s="867">
        <v>719091.8192</v>
      </c>
      <c r="I1287" s="867">
        <v>781533.1752</v>
      </c>
      <c r="J1287" s="868">
        <v>656734.4228</v>
      </c>
      <c r="K1287" s="50"/>
      <c r="L1287" s="869" t="s">
        <v>654</v>
      </c>
      <c r="M1287" s="865" t="s">
        <v>591</v>
      </c>
      <c r="N1287" s="865" t="s">
        <v>629</v>
      </c>
      <c r="O1287" s="866">
        <v>2004.0</v>
      </c>
      <c r="P1287" s="865" t="s">
        <v>593</v>
      </c>
      <c r="Q1287" s="865" t="s">
        <v>70</v>
      </c>
      <c r="R1287" s="867">
        <v>550527.789</v>
      </c>
      <c r="S1287" s="867">
        <v>594703.3</v>
      </c>
      <c r="T1287" s="868">
        <v>506492.6388</v>
      </c>
      <c r="AN1287" s="882"/>
      <c r="AO1287" s="882"/>
      <c r="AP1287" s="882"/>
      <c r="AY1287" s="882"/>
      <c r="AZ1287" s="882"/>
      <c r="BA1287" s="882"/>
      <c r="BJ1287" s="882"/>
      <c r="BK1287" s="882"/>
      <c r="BL1287" s="882"/>
      <c r="BU1287" s="882"/>
      <c r="BV1287" s="882"/>
      <c r="BW1287" s="882"/>
      <c r="CF1287" s="882"/>
      <c r="CG1287" s="882"/>
      <c r="CH1287" s="882"/>
      <c r="CI1287" s="530"/>
    </row>
    <row r="1288">
      <c r="A1288" s="857"/>
      <c r="B1288" s="865" t="s">
        <v>654</v>
      </c>
      <c r="C1288" s="865" t="s">
        <v>591</v>
      </c>
      <c r="D1288" s="865" t="s">
        <v>631</v>
      </c>
      <c r="E1288" s="866">
        <v>2019.0</v>
      </c>
      <c r="F1288" s="865" t="s">
        <v>593</v>
      </c>
      <c r="G1288" s="865" t="s">
        <v>70</v>
      </c>
      <c r="H1288" s="867">
        <v>174451.8636</v>
      </c>
      <c r="I1288" s="867">
        <v>189605.6714</v>
      </c>
      <c r="J1288" s="868">
        <v>159335.322</v>
      </c>
      <c r="K1288" s="50"/>
      <c r="L1288" s="869" t="s">
        <v>654</v>
      </c>
      <c r="M1288" s="865" t="s">
        <v>591</v>
      </c>
      <c r="N1288" s="865" t="s">
        <v>631</v>
      </c>
      <c r="O1288" s="866">
        <v>2004.0</v>
      </c>
      <c r="P1288" s="865" t="s">
        <v>593</v>
      </c>
      <c r="Q1288" s="865" t="s">
        <v>70</v>
      </c>
      <c r="R1288" s="867">
        <v>124107.2281</v>
      </c>
      <c r="S1288" s="867">
        <v>134071.3861</v>
      </c>
      <c r="T1288" s="868">
        <v>114185.3233</v>
      </c>
      <c r="AN1288" s="882"/>
      <c r="AO1288" s="882"/>
      <c r="AP1288" s="882"/>
      <c r="AY1288" s="882"/>
      <c r="AZ1288" s="882"/>
      <c r="BA1288" s="882"/>
      <c r="BJ1288" s="882"/>
      <c r="BK1288" s="882"/>
      <c r="BL1288" s="882"/>
      <c r="BU1288" s="882"/>
      <c r="BV1288" s="882"/>
      <c r="BW1288" s="882"/>
      <c r="CF1288" s="882"/>
      <c r="CG1288" s="882"/>
      <c r="CH1288" s="882"/>
      <c r="CI1288" s="530"/>
    </row>
    <row r="1289">
      <c r="A1289" s="857"/>
      <c r="B1289" s="865" t="s">
        <v>654</v>
      </c>
      <c r="C1289" s="865" t="s">
        <v>591</v>
      </c>
      <c r="D1289" s="865" t="s">
        <v>633</v>
      </c>
      <c r="E1289" s="866">
        <v>2019.0</v>
      </c>
      <c r="F1289" s="865" t="s">
        <v>593</v>
      </c>
      <c r="G1289" s="865" t="s">
        <v>70</v>
      </c>
      <c r="H1289" s="867">
        <v>152235.5826</v>
      </c>
      <c r="I1289" s="867">
        <v>165459.5672</v>
      </c>
      <c r="J1289" s="868">
        <v>139044.1184</v>
      </c>
      <c r="K1289" s="50"/>
      <c r="L1289" s="869" t="s">
        <v>654</v>
      </c>
      <c r="M1289" s="865" t="s">
        <v>591</v>
      </c>
      <c r="N1289" s="865" t="s">
        <v>633</v>
      </c>
      <c r="O1289" s="866">
        <v>2004.0</v>
      </c>
      <c r="P1289" s="865" t="s">
        <v>593</v>
      </c>
      <c r="Q1289" s="865" t="s">
        <v>70</v>
      </c>
      <c r="R1289" s="867">
        <v>100809.4236</v>
      </c>
      <c r="S1289" s="867">
        <v>108903.0781</v>
      </c>
      <c r="T1289" s="868">
        <v>92750.09042</v>
      </c>
      <c r="AN1289" s="882"/>
      <c r="AO1289" s="882"/>
      <c r="AP1289" s="882"/>
      <c r="AY1289" s="882"/>
      <c r="AZ1289" s="882"/>
      <c r="BA1289" s="882"/>
      <c r="BJ1289" s="882"/>
      <c r="BK1289" s="882"/>
      <c r="BL1289" s="882"/>
      <c r="BU1289" s="882"/>
      <c r="BV1289" s="882"/>
      <c r="BW1289" s="882"/>
      <c r="CF1289" s="882"/>
      <c r="CG1289" s="882"/>
      <c r="CH1289" s="882"/>
      <c r="CI1289" s="530"/>
    </row>
    <row r="1290">
      <c r="A1290" s="857"/>
      <c r="B1290" s="865" t="s">
        <v>654</v>
      </c>
      <c r="C1290" s="865" t="s">
        <v>591</v>
      </c>
      <c r="D1290" s="865" t="s">
        <v>635</v>
      </c>
      <c r="E1290" s="866">
        <v>2019.0</v>
      </c>
      <c r="F1290" s="865" t="s">
        <v>593</v>
      </c>
      <c r="G1290" s="865" t="s">
        <v>70</v>
      </c>
      <c r="H1290" s="867">
        <v>113596.097</v>
      </c>
      <c r="I1290" s="867">
        <v>123463.6524</v>
      </c>
      <c r="J1290" s="868">
        <v>103752.8079</v>
      </c>
      <c r="K1290" s="50"/>
      <c r="L1290" s="869" t="s">
        <v>654</v>
      </c>
      <c r="M1290" s="865" t="s">
        <v>591</v>
      </c>
      <c r="N1290" s="865" t="s">
        <v>635</v>
      </c>
      <c r="O1290" s="866">
        <v>2004.0</v>
      </c>
      <c r="P1290" s="865" t="s">
        <v>593</v>
      </c>
      <c r="Q1290" s="865" t="s">
        <v>70</v>
      </c>
      <c r="R1290" s="867">
        <v>87751.74776</v>
      </c>
      <c r="S1290" s="867">
        <v>94797.04474</v>
      </c>
      <c r="T1290" s="868">
        <v>80736.32654</v>
      </c>
      <c r="AN1290" s="882"/>
      <c r="AO1290" s="882"/>
      <c r="AP1290" s="882"/>
      <c r="AY1290" s="882"/>
      <c r="AZ1290" s="882"/>
      <c r="BA1290" s="882"/>
      <c r="BJ1290" s="882"/>
      <c r="BK1290" s="882"/>
      <c r="BL1290" s="882"/>
      <c r="BU1290" s="882"/>
      <c r="BV1290" s="882"/>
      <c r="BW1290" s="882"/>
      <c r="CF1290" s="882"/>
      <c r="CG1290" s="882"/>
      <c r="CH1290" s="882"/>
      <c r="CI1290" s="530"/>
    </row>
    <row r="1291">
      <c r="A1291" s="857"/>
      <c r="B1291" s="865" t="s">
        <v>654</v>
      </c>
      <c r="C1291" s="865" t="s">
        <v>591</v>
      </c>
      <c r="D1291" s="865" t="s">
        <v>637</v>
      </c>
      <c r="E1291" s="866">
        <v>2019.0</v>
      </c>
      <c r="F1291" s="865" t="s">
        <v>593</v>
      </c>
      <c r="G1291" s="865" t="s">
        <v>70</v>
      </c>
      <c r="H1291" s="867">
        <v>83526.08566</v>
      </c>
      <c r="I1291" s="867">
        <v>90781.60148</v>
      </c>
      <c r="J1291" s="868">
        <v>76288.41264</v>
      </c>
      <c r="K1291" s="50"/>
      <c r="L1291" s="869" t="s">
        <v>654</v>
      </c>
      <c r="M1291" s="865" t="s">
        <v>591</v>
      </c>
      <c r="N1291" s="865" t="s">
        <v>637</v>
      </c>
      <c r="O1291" s="866">
        <v>2004.0</v>
      </c>
      <c r="P1291" s="865" t="s">
        <v>593</v>
      </c>
      <c r="Q1291" s="865" t="s">
        <v>70</v>
      </c>
      <c r="R1291" s="867">
        <v>75188.9465</v>
      </c>
      <c r="S1291" s="867">
        <v>81225.61781</v>
      </c>
      <c r="T1291" s="868">
        <v>69177.87385</v>
      </c>
      <c r="AN1291" s="882"/>
      <c r="AO1291" s="882"/>
      <c r="AP1291" s="882"/>
      <c r="AY1291" s="882"/>
      <c r="AZ1291" s="882"/>
      <c r="BA1291" s="882"/>
      <c r="BJ1291" s="882"/>
      <c r="BK1291" s="882"/>
      <c r="BL1291" s="882"/>
      <c r="BU1291" s="882"/>
      <c r="BV1291" s="882"/>
      <c r="BW1291" s="882"/>
      <c r="CF1291" s="882"/>
      <c r="CG1291" s="882"/>
      <c r="CH1291" s="882"/>
      <c r="CI1291" s="530"/>
    </row>
    <row r="1292">
      <c r="A1292" s="857"/>
      <c r="B1292" s="865" t="s">
        <v>654</v>
      </c>
      <c r="C1292" s="865" t="s">
        <v>591</v>
      </c>
      <c r="D1292" s="865" t="s">
        <v>639</v>
      </c>
      <c r="E1292" s="866">
        <v>2019.0</v>
      </c>
      <c r="F1292" s="865" t="s">
        <v>593</v>
      </c>
      <c r="G1292" s="865" t="s">
        <v>70</v>
      </c>
      <c r="H1292" s="867">
        <v>662248.0803</v>
      </c>
      <c r="I1292" s="867">
        <v>719753.4878</v>
      </c>
      <c r="J1292" s="868">
        <v>604819.9953</v>
      </c>
      <c r="K1292" s="50"/>
      <c r="L1292" s="869" t="s">
        <v>654</v>
      </c>
      <c r="M1292" s="865" t="s">
        <v>591</v>
      </c>
      <c r="N1292" s="865" t="s">
        <v>639</v>
      </c>
      <c r="O1292" s="866">
        <v>2004.0</v>
      </c>
      <c r="P1292" s="865" t="s">
        <v>593</v>
      </c>
      <c r="Q1292" s="865" t="s">
        <v>70</v>
      </c>
      <c r="R1292" s="867">
        <v>701161.0486</v>
      </c>
      <c r="S1292" s="867">
        <v>757423.69</v>
      </c>
      <c r="T1292" s="868">
        <v>645077.1728</v>
      </c>
      <c r="AN1292" s="882"/>
      <c r="AO1292" s="882"/>
      <c r="AP1292" s="882"/>
      <c r="AY1292" s="882"/>
      <c r="AZ1292" s="882"/>
      <c r="BA1292" s="882"/>
      <c r="BJ1292" s="882"/>
      <c r="BK1292" s="882"/>
      <c r="BL1292" s="882"/>
      <c r="BU1292" s="882"/>
      <c r="BV1292" s="882"/>
      <c r="BW1292" s="882"/>
      <c r="CF1292" s="882"/>
      <c r="CG1292" s="882"/>
      <c r="CH1292" s="882"/>
      <c r="CI1292" s="530"/>
    </row>
    <row r="1293">
      <c r="A1293" s="857"/>
      <c r="B1293" s="865" t="s">
        <v>654</v>
      </c>
      <c r="C1293" s="865" t="s">
        <v>591</v>
      </c>
      <c r="D1293" s="865" t="s">
        <v>641</v>
      </c>
      <c r="E1293" s="866">
        <v>2019.0</v>
      </c>
      <c r="F1293" s="865" t="s">
        <v>593</v>
      </c>
      <c r="G1293" s="865" t="s">
        <v>70</v>
      </c>
      <c r="H1293" s="867">
        <v>218157.8661</v>
      </c>
      <c r="I1293" s="867">
        <v>237108.2076</v>
      </c>
      <c r="J1293" s="868">
        <v>199254.1273</v>
      </c>
      <c r="K1293" s="50"/>
      <c r="L1293" s="869" t="s">
        <v>654</v>
      </c>
      <c r="M1293" s="865" t="s">
        <v>591</v>
      </c>
      <c r="N1293" s="865" t="s">
        <v>641</v>
      </c>
      <c r="O1293" s="866">
        <v>2004.0</v>
      </c>
      <c r="P1293" s="865" t="s">
        <v>593</v>
      </c>
      <c r="Q1293" s="865" t="s">
        <v>70</v>
      </c>
      <c r="R1293" s="867">
        <v>224346.3344</v>
      </c>
      <c r="S1293" s="867">
        <v>242358.3581</v>
      </c>
      <c r="T1293" s="868">
        <v>206410.6913</v>
      </c>
      <c r="AN1293" s="882"/>
      <c r="AO1293" s="882"/>
      <c r="AP1293" s="882"/>
      <c r="AY1293" s="882"/>
      <c r="AZ1293" s="882"/>
      <c r="BA1293" s="882"/>
      <c r="BJ1293" s="882"/>
      <c r="BK1293" s="882"/>
      <c r="BL1293" s="882"/>
      <c r="BU1293" s="882"/>
      <c r="BV1293" s="882"/>
      <c r="BW1293" s="882"/>
      <c r="CF1293" s="882"/>
      <c r="CG1293" s="882"/>
      <c r="CH1293" s="882"/>
      <c r="CI1293" s="530"/>
    </row>
    <row r="1294">
      <c r="A1294" s="857"/>
      <c r="B1294" s="865" t="s">
        <v>654</v>
      </c>
      <c r="C1294" s="865" t="s">
        <v>591</v>
      </c>
      <c r="D1294" s="865" t="s">
        <v>643</v>
      </c>
      <c r="E1294" s="866">
        <v>2019.0</v>
      </c>
      <c r="F1294" s="865" t="s">
        <v>593</v>
      </c>
      <c r="G1294" s="865" t="s">
        <v>70</v>
      </c>
      <c r="H1294" s="867">
        <v>72831.69721</v>
      </c>
      <c r="I1294" s="867">
        <v>79158.24211</v>
      </c>
      <c r="J1294" s="868">
        <v>66520.71058</v>
      </c>
      <c r="K1294" s="50"/>
      <c r="L1294" s="869" t="s">
        <v>654</v>
      </c>
      <c r="M1294" s="865" t="s">
        <v>591</v>
      </c>
      <c r="N1294" s="865" t="s">
        <v>643</v>
      </c>
      <c r="O1294" s="866">
        <v>2004.0</v>
      </c>
      <c r="P1294" s="865" t="s">
        <v>593</v>
      </c>
      <c r="Q1294" s="865" t="s">
        <v>70</v>
      </c>
      <c r="R1294" s="867">
        <v>64006.39574</v>
      </c>
      <c r="S1294" s="867">
        <v>69145.25711</v>
      </c>
      <c r="T1294" s="868">
        <v>58889.32584</v>
      </c>
      <c r="AN1294" s="882"/>
      <c r="AO1294" s="882"/>
      <c r="AP1294" s="882"/>
      <c r="AY1294" s="882"/>
      <c r="AZ1294" s="882"/>
      <c r="BA1294" s="882"/>
      <c r="BJ1294" s="882"/>
      <c r="BK1294" s="882"/>
      <c r="BL1294" s="882"/>
      <c r="BU1294" s="882"/>
      <c r="BV1294" s="882"/>
      <c r="BW1294" s="882"/>
      <c r="CF1294" s="882"/>
      <c r="CG1294" s="882"/>
      <c r="CH1294" s="882"/>
      <c r="CI1294" s="530"/>
    </row>
    <row r="1295">
      <c r="A1295" s="857"/>
      <c r="B1295" s="865" t="s">
        <v>654</v>
      </c>
      <c r="C1295" s="865" t="s">
        <v>591</v>
      </c>
      <c r="D1295" s="865" t="s">
        <v>645</v>
      </c>
      <c r="E1295" s="866">
        <v>2019.0</v>
      </c>
      <c r="F1295" s="865" t="s">
        <v>593</v>
      </c>
      <c r="G1295" s="865" t="s">
        <v>70</v>
      </c>
      <c r="H1295" s="867">
        <v>229184.98</v>
      </c>
      <c r="I1295" s="867">
        <v>249093.1947</v>
      </c>
      <c r="J1295" s="868">
        <v>209325.7236</v>
      </c>
      <c r="K1295" s="50"/>
      <c r="L1295" s="869" t="s">
        <v>654</v>
      </c>
      <c r="M1295" s="865" t="s">
        <v>591</v>
      </c>
      <c r="N1295" s="865" t="s">
        <v>645</v>
      </c>
      <c r="O1295" s="866">
        <v>2004.0</v>
      </c>
      <c r="P1295" s="865" t="s">
        <v>593</v>
      </c>
      <c r="Q1295" s="865" t="s">
        <v>70</v>
      </c>
      <c r="R1295" s="867">
        <v>189042.2412</v>
      </c>
      <c r="S1295" s="867">
        <v>204219.8162</v>
      </c>
      <c r="T1295" s="868">
        <v>173929.0271</v>
      </c>
      <c r="AN1295" s="882"/>
      <c r="AO1295" s="882"/>
      <c r="AP1295" s="882"/>
      <c r="AY1295" s="882"/>
      <c r="AZ1295" s="882"/>
      <c r="BA1295" s="882"/>
      <c r="BJ1295" s="882"/>
      <c r="BK1295" s="882"/>
      <c r="BL1295" s="882"/>
      <c r="BU1295" s="882"/>
      <c r="BV1295" s="882"/>
      <c r="BW1295" s="882"/>
      <c r="CF1295" s="882"/>
      <c r="CG1295" s="882"/>
      <c r="CH1295" s="882"/>
      <c r="CI1295" s="530"/>
    </row>
    <row r="1296">
      <c r="A1296" s="857"/>
      <c r="B1296" s="865" t="s">
        <v>654</v>
      </c>
      <c r="C1296" s="865" t="s">
        <v>591</v>
      </c>
      <c r="D1296" s="865" t="s">
        <v>604</v>
      </c>
      <c r="E1296" s="866">
        <v>2019.0</v>
      </c>
      <c r="F1296" s="865" t="s">
        <v>593</v>
      </c>
      <c r="G1296" s="865" t="s">
        <v>70</v>
      </c>
      <c r="H1296" s="867">
        <v>442411.9143</v>
      </c>
      <c r="I1296" s="867">
        <v>480842.1438</v>
      </c>
      <c r="J1296" s="868">
        <v>404076.1926</v>
      </c>
      <c r="K1296" s="50"/>
      <c r="L1296" s="869" t="s">
        <v>654</v>
      </c>
      <c r="M1296" s="865" t="s">
        <v>591</v>
      </c>
      <c r="N1296" s="865" t="s">
        <v>604</v>
      </c>
      <c r="O1296" s="866">
        <v>2004.0</v>
      </c>
      <c r="P1296" s="865" t="s">
        <v>593</v>
      </c>
      <c r="Q1296" s="865" t="s">
        <v>70</v>
      </c>
      <c r="R1296" s="867">
        <v>461529.6833</v>
      </c>
      <c r="S1296" s="867">
        <v>498584.3719</v>
      </c>
      <c r="T1296" s="868">
        <v>424632.1261</v>
      </c>
      <c r="AN1296" s="882"/>
      <c r="AO1296" s="882"/>
      <c r="AP1296" s="882"/>
      <c r="AY1296" s="882"/>
      <c r="AZ1296" s="882"/>
      <c r="BA1296" s="882"/>
      <c r="BJ1296" s="882"/>
      <c r="BK1296" s="882"/>
      <c r="BL1296" s="882"/>
      <c r="BU1296" s="882"/>
      <c r="BV1296" s="882"/>
      <c r="BW1296" s="882"/>
      <c r="CF1296" s="882"/>
      <c r="CG1296" s="882"/>
      <c r="CH1296" s="882"/>
      <c r="CI1296" s="530"/>
    </row>
    <row r="1297">
      <c r="A1297" s="857"/>
      <c r="B1297" s="865" t="s">
        <v>654</v>
      </c>
      <c r="C1297" s="865" t="s">
        <v>591</v>
      </c>
      <c r="D1297" s="865" t="s">
        <v>647</v>
      </c>
      <c r="E1297" s="866">
        <v>2019.0</v>
      </c>
      <c r="F1297" s="865" t="s">
        <v>593</v>
      </c>
      <c r="G1297" s="865" t="s">
        <v>70</v>
      </c>
      <c r="H1297" s="867">
        <v>210828.8184</v>
      </c>
      <c r="I1297" s="867">
        <v>229135.8509</v>
      </c>
      <c r="J1297" s="868">
        <v>192546.4018</v>
      </c>
      <c r="K1297" s="50"/>
      <c r="L1297" s="869" t="s">
        <v>654</v>
      </c>
      <c r="M1297" s="865" t="s">
        <v>591</v>
      </c>
      <c r="N1297" s="865" t="s">
        <v>647</v>
      </c>
      <c r="O1297" s="866">
        <v>2004.0</v>
      </c>
      <c r="P1297" s="865" t="s">
        <v>593</v>
      </c>
      <c r="Q1297" s="865" t="s">
        <v>70</v>
      </c>
      <c r="R1297" s="867">
        <v>180957.8762</v>
      </c>
      <c r="S1297" s="867">
        <v>195478.3179</v>
      </c>
      <c r="T1297" s="868">
        <v>166483.571</v>
      </c>
      <c r="AN1297" s="882"/>
      <c r="AO1297" s="882"/>
      <c r="AP1297" s="882"/>
      <c r="AY1297" s="882"/>
      <c r="AZ1297" s="882"/>
      <c r="BA1297" s="882"/>
      <c r="BJ1297" s="882"/>
      <c r="BK1297" s="882"/>
      <c r="BL1297" s="882"/>
      <c r="BU1297" s="882"/>
      <c r="BV1297" s="882"/>
      <c r="BW1297" s="882"/>
      <c r="CF1297" s="882"/>
      <c r="CG1297" s="882"/>
      <c r="CH1297" s="882"/>
      <c r="CI1297" s="530"/>
    </row>
    <row r="1298">
      <c r="A1298" s="857"/>
      <c r="B1298" s="865" t="s">
        <v>654</v>
      </c>
      <c r="C1298" s="865" t="s">
        <v>591</v>
      </c>
      <c r="D1298" s="865" t="s">
        <v>649</v>
      </c>
      <c r="E1298" s="866">
        <v>2019.0</v>
      </c>
      <c r="F1298" s="865" t="s">
        <v>593</v>
      </c>
      <c r="G1298" s="865" t="s">
        <v>70</v>
      </c>
      <c r="H1298" s="867">
        <v>63655.62283</v>
      </c>
      <c r="I1298" s="867">
        <v>69185.08557</v>
      </c>
      <c r="J1298" s="868">
        <v>58139.75817</v>
      </c>
      <c r="K1298" s="50"/>
      <c r="L1298" s="869" t="s">
        <v>654</v>
      </c>
      <c r="M1298" s="865" t="s">
        <v>591</v>
      </c>
      <c r="N1298" s="865" t="s">
        <v>649</v>
      </c>
      <c r="O1298" s="866">
        <v>2004.0</v>
      </c>
      <c r="P1298" s="865" t="s">
        <v>593</v>
      </c>
      <c r="Q1298" s="865" t="s">
        <v>70</v>
      </c>
      <c r="R1298" s="867">
        <v>49415.29223</v>
      </c>
      <c r="S1298" s="867">
        <v>53382.68227</v>
      </c>
      <c r="T1298" s="868">
        <v>45464.72602</v>
      </c>
      <c r="AN1298" s="882"/>
      <c r="AO1298" s="882"/>
      <c r="AP1298" s="882"/>
      <c r="AY1298" s="882"/>
      <c r="AZ1298" s="882"/>
      <c r="BA1298" s="882"/>
      <c r="BJ1298" s="882"/>
      <c r="BK1298" s="882"/>
      <c r="BL1298" s="882"/>
      <c r="BU1298" s="882"/>
      <c r="BV1298" s="882"/>
      <c r="BW1298" s="882"/>
      <c r="CF1298" s="882"/>
      <c r="CG1298" s="882"/>
      <c r="CH1298" s="882"/>
      <c r="CI1298" s="530"/>
    </row>
    <row r="1299">
      <c r="A1299" s="857"/>
      <c r="B1299" s="865" t="s">
        <v>654</v>
      </c>
      <c r="C1299" s="865" t="s">
        <v>591</v>
      </c>
      <c r="D1299" s="865" t="s">
        <v>651</v>
      </c>
      <c r="E1299" s="866">
        <v>2019.0</v>
      </c>
      <c r="F1299" s="865" t="s">
        <v>593</v>
      </c>
      <c r="G1299" s="865" t="s">
        <v>70</v>
      </c>
      <c r="H1299" s="867">
        <v>51235.07354</v>
      </c>
      <c r="I1299" s="867">
        <v>55685.62193</v>
      </c>
      <c r="J1299" s="868">
        <v>46795.46996</v>
      </c>
      <c r="K1299" s="50"/>
      <c r="L1299" s="869" t="s">
        <v>654</v>
      </c>
      <c r="M1299" s="865" t="s">
        <v>591</v>
      </c>
      <c r="N1299" s="865" t="s">
        <v>651</v>
      </c>
      <c r="O1299" s="866">
        <v>2004.0</v>
      </c>
      <c r="P1299" s="865" t="s">
        <v>593</v>
      </c>
      <c r="Q1299" s="865" t="s">
        <v>70</v>
      </c>
      <c r="R1299" s="867">
        <v>40566.56122</v>
      </c>
      <c r="S1299" s="867">
        <v>43823.51596</v>
      </c>
      <c r="T1299" s="868">
        <v>37323.41767</v>
      </c>
      <c r="AN1299" s="882"/>
      <c r="AO1299" s="882"/>
      <c r="AP1299" s="882"/>
      <c r="AY1299" s="882"/>
      <c r="AZ1299" s="882"/>
      <c r="BA1299" s="882"/>
      <c r="BJ1299" s="882"/>
      <c r="BK1299" s="882"/>
      <c r="BL1299" s="882"/>
      <c r="BU1299" s="882"/>
      <c r="BV1299" s="882"/>
      <c r="BW1299" s="882"/>
      <c r="CF1299" s="882"/>
      <c r="CG1299" s="882"/>
      <c r="CH1299" s="882"/>
      <c r="CI1299" s="530"/>
    </row>
    <row r="1300">
      <c r="A1300" s="857"/>
      <c r="B1300" s="865" t="s">
        <v>654</v>
      </c>
      <c r="C1300" s="865" t="s">
        <v>591</v>
      </c>
      <c r="D1300" s="865" t="s">
        <v>653</v>
      </c>
      <c r="E1300" s="866">
        <v>2019.0</v>
      </c>
      <c r="F1300" s="865" t="s">
        <v>593</v>
      </c>
      <c r="G1300" s="865" t="s">
        <v>70</v>
      </c>
      <c r="H1300" s="867">
        <v>41462.58637</v>
      </c>
      <c r="I1300" s="867">
        <v>45064.24504</v>
      </c>
      <c r="J1300" s="868">
        <v>37869.78491</v>
      </c>
      <c r="K1300" s="50"/>
      <c r="L1300" s="869" t="s">
        <v>654</v>
      </c>
      <c r="M1300" s="865" t="s">
        <v>591</v>
      </c>
      <c r="N1300" s="865" t="s">
        <v>653</v>
      </c>
      <c r="O1300" s="866">
        <v>2004.0</v>
      </c>
      <c r="P1300" s="865" t="s">
        <v>593</v>
      </c>
      <c r="Q1300" s="865" t="s">
        <v>70</v>
      </c>
      <c r="R1300" s="867">
        <v>35053.99203</v>
      </c>
      <c r="S1300" s="867">
        <v>37868.36086</v>
      </c>
      <c r="T1300" s="868">
        <v>32251.55759</v>
      </c>
      <c r="AN1300" s="882"/>
      <c r="AO1300" s="882"/>
      <c r="AP1300" s="882"/>
      <c r="AY1300" s="882"/>
      <c r="AZ1300" s="882"/>
      <c r="BA1300" s="882"/>
      <c r="BJ1300" s="882"/>
      <c r="BK1300" s="882"/>
      <c r="BL1300" s="882"/>
      <c r="BU1300" s="882"/>
      <c r="BV1300" s="882"/>
      <c r="BW1300" s="882"/>
      <c r="CF1300" s="882"/>
      <c r="CG1300" s="882"/>
      <c r="CH1300" s="882"/>
      <c r="CI1300" s="530"/>
    </row>
    <row r="1301">
      <c r="A1301" s="857"/>
      <c r="B1301" s="865" t="s">
        <v>654</v>
      </c>
      <c r="C1301" s="865" t="s">
        <v>591</v>
      </c>
      <c r="D1301" s="865" t="s">
        <v>655</v>
      </c>
      <c r="E1301" s="866">
        <v>2019.0</v>
      </c>
      <c r="F1301" s="865" t="s">
        <v>593</v>
      </c>
      <c r="G1301" s="865" t="s">
        <v>70</v>
      </c>
      <c r="H1301" s="867">
        <v>68545.90173</v>
      </c>
      <c r="I1301" s="867">
        <v>74497.99149</v>
      </c>
      <c r="J1301" s="868">
        <v>62601.81524</v>
      </c>
      <c r="K1301" s="50"/>
      <c r="L1301" s="869" t="s">
        <v>654</v>
      </c>
      <c r="M1301" s="865" t="s">
        <v>591</v>
      </c>
      <c r="N1301" s="865" t="s">
        <v>655</v>
      </c>
      <c r="O1301" s="866">
        <v>2004.0</v>
      </c>
      <c r="P1301" s="865" t="s">
        <v>593</v>
      </c>
      <c r="Q1301" s="865" t="s">
        <v>70</v>
      </c>
      <c r="R1301" s="867">
        <v>60564.25632</v>
      </c>
      <c r="S1301" s="867">
        <v>65424.05999</v>
      </c>
      <c r="T1301" s="868">
        <v>55719.89391</v>
      </c>
      <c r="AN1301" s="882"/>
      <c r="AO1301" s="882"/>
      <c r="AP1301" s="882"/>
      <c r="AY1301" s="882"/>
      <c r="AZ1301" s="882"/>
      <c r="BA1301" s="882"/>
      <c r="BJ1301" s="882"/>
      <c r="BK1301" s="882"/>
      <c r="BL1301" s="882"/>
      <c r="BU1301" s="882"/>
      <c r="BV1301" s="882"/>
      <c r="BW1301" s="882"/>
      <c r="CF1301" s="882"/>
      <c r="CG1301" s="882"/>
      <c r="CH1301" s="882"/>
      <c r="CI1301" s="530"/>
    </row>
    <row r="1302">
      <c r="A1302" s="857"/>
      <c r="B1302" s="865" t="s">
        <v>654</v>
      </c>
      <c r="C1302" s="865" t="s">
        <v>591</v>
      </c>
      <c r="D1302" s="865" t="s">
        <v>657</v>
      </c>
      <c r="E1302" s="866">
        <v>2019.0</v>
      </c>
      <c r="F1302" s="865" t="s">
        <v>593</v>
      </c>
      <c r="G1302" s="865" t="s">
        <v>70</v>
      </c>
      <c r="H1302" s="867">
        <v>27080.09439</v>
      </c>
      <c r="I1302" s="867">
        <v>29432.41405</v>
      </c>
      <c r="J1302" s="868">
        <v>24733.55957</v>
      </c>
      <c r="K1302" s="50"/>
      <c r="L1302" s="869" t="s">
        <v>654</v>
      </c>
      <c r="M1302" s="865" t="s">
        <v>591</v>
      </c>
      <c r="N1302" s="865" t="s">
        <v>657</v>
      </c>
      <c r="O1302" s="866">
        <v>2004.0</v>
      </c>
      <c r="P1302" s="865" t="s">
        <v>593</v>
      </c>
      <c r="Q1302" s="865" t="s">
        <v>70</v>
      </c>
      <c r="R1302" s="867">
        <v>25507.58651</v>
      </c>
      <c r="S1302" s="867">
        <v>27555.50609</v>
      </c>
      <c r="T1302" s="868">
        <v>23468.35119</v>
      </c>
      <c r="AN1302" s="882"/>
      <c r="AO1302" s="882"/>
      <c r="AP1302" s="882"/>
      <c r="AY1302" s="882"/>
      <c r="AZ1302" s="882"/>
      <c r="BA1302" s="882"/>
      <c r="BJ1302" s="882"/>
      <c r="BK1302" s="882"/>
      <c r="BL1302" s="882"/>
      <c r="BU1302" s="882"/>
      <c r="BV1302" s="882"/>
      <c r="BW1302" s="882"/>
      <c r="CF1302" s="882"/>
      <c r="CG1302" s="882"/>
      <c r="CH1302" s="882"/>
      <c r="CI1302" s="530"/>
    </row>
    <row r="1303">
      <c r="A1303" s="857"/>
      <c r="B1303" s="865" t="s">
        <v>654</v>
      </c>
      <c r="C1303" s="865" t="s">
        <v>591</v>
      </c>
      <c r="D1303" s="865" t="s">
        <v>659</v>
      </c>
      <c r="E1303" s="866">
        <v>2019.0</v>
      </c>
      <c r="F1303" s="865" t="s">
        <v>593</v>
      </c>
      <c r="G1303" s="865" t="s">
        <v>70</v>
      </c>
      <c r="H1303" s="867">
        <v>54465.62887</v>
      </c>
      <c r="I1303" s="867">
        <v>59196.80032</v>
      </c>
      <c r="J1303" s="868">
        <v>49746.09234</v>
      </c>
      <c r="K1303" s="50"/>
      <c r="L1303" s="869" t="s">
        <v>654</v>
      </c>
      <c r="M1303" s="865" t="s">
        <v>591</v>
      </c>
      <c r="N1303" s="865" t="s">
        <v>659</v>
      </c>
      <c r="O1303" s="866">
        <v>2004.0</v>
      </c>
      <c r="P1303" s="865" t="s">
        <v>593</v>
      </c>
      <c r="Q1303" s="865" t="s">
        <v>70</v>
      </c>
      <c r="R1303" s="867">
        <v>55914.02988</v>
      </c>
      <c r="S1303" s="867">
        <v>60403.18202</v>
      </c>
      <c r="T1303" s="868">
        <v>51443.91411</v>
      </c>
      <c r="AN1303" s="882"/>
      <c r="AO1303" s="882"/>
      <c r="AP1303" s="882"/>
      <c r="AY1303" s="882"/>
      <c r="AZ1303" s="882"/>
      <c r="BA1303" s="882"/>
      <c r="BJ1303" s="882"/>
      <c r="BK1303" s="882"/>
      <c r="BL1303" s="882"/>
      <c r="BU1303" s="882"/>
      <c r="BV1303" s="882"/>
      <c r="BW1303" s="882"/>
      <c r="CF1303" s="882"/>
      <c r="CG1303" s="882"/>
      <c r="CH1303" s="882"/>
      <c r="CI1303" s="530"/>
    </row>
    <row r="1304">
      <c r="A1304" s="857"/>
      <c r="B1304" s="865" t="s">
        <v>654</v>
      </c>
      <c r="C1304" s="865" t="s">
        <v>591</v>
      </c>
      <c r="D1304" s="865" t="s">
        <v>661</v>
      </c>
      <c r="E1304" s="866">
        <v>2019.0</v>
      </c>
      <c r="F1304" s="865" t="s">
        <v>593</v>
      </c>
      <c r="G1304" s="865" t="s">
        <v>70</v>
      </c>
      <c r="H1304" s="867">
        <v>27386.82138</v>
      </c>
      <c r="I1304" s="867">
        <v>29764.91861</v>
      </c>
      <c r="J1304" s="868">
        <v>25011.92178</v>
      </c>
      <c r="K1304" s="50"/>
      <c r="L1304" s="869" t="s">
        <v>654</v>
      </c>
      <c r="M1304" s="865" t="s">
        <v>591</v>
      </c>
      <c r="N1304" s="865" t="s">
        <v>661</v>
      </c>
      <c r="O1304" s="866">
        <v>2004.0</v>
      </c>
      <c r="P1304" s="865" t="s">
        <v>593</v>
      </c>
      <c r="Q1304" s="865" t="s">
        <v>70</v>
      </c>
      <c r="R1304" s="867">
        <v>30407.78782</v>
      </c>
      <c r="S1304" s="867">
        <v>32847.77286</v>
      </c>
      <c r="T1304" s="868">
        <v>27975.55546</v>
      </c>
      <c r="AN1304" s="882"/>
      <c r="AO1304" s="882"/>
      <c r="AP1304" s="882"/>
      <c r="AY1304" s="882"/>
      <c r="AZ1304" s="882"/>
      <c r="BA1304" s="882"/>
      <c r="BJ1304" s="882"/>
      <c r="BK1304" s="882"/>
      <c r="BL1304" s="882"/>
      <c r="BU1304" s="882"/>
      <c r="BV1304" s="882"/>
      <c r="BW1304" s="882"/>
      <c r="CF1304" s="882"/>
      <c r="CG1304" s="882"/>
      <c r="CH1304" s="882"/>
      <c r="CI1304" s="530"/>
    </row>
    <row r="1305">
      <c r="A1305" s="857"/>
      <c r="B1305" s="865" t="s">
        <v>654</v>
      </c>
      <c r="C1305" s="865" t="s">
        <v>591</v>
      </c>
      <c r="D1305" s="865" t="s">
        <v>663</v>
      </c>
      <c r="E1305" s="866">
        <v>2019.0</v>
      </c>
      <c r="F1305" s="865" t="s">
        <v>593</v>
      </c>
      <c r="G1305" s="865" t="s">
        <v>70</v>
      </c>
      <c r="H1305" s="867">
        <v>15329.63914</v>
      </c>
      <c r="I1305" s="867">
        <v>16661.25236</v>
      </c>
      <c r="J1305" s="868">
        <v>14001.30064</v>
      </c>
      <c r="K1305" s="50"/>
      <c r="L1305" s="869" t="s">
        <v>654</v>
      </c>
      <c r="M1305" s="865" t="s">
        <v>591</v>
      </c>
      <c r="N1305" s="865" t="s">
        <v>663</v>
      </c>
      <c r="O1305" s="866">
        <v>2004.0</v>
      </c>
      <c r="P1305" s="865" t="s">
        <v>593</v>
      </c>
      <c r="Q1305" s="865" t="s">
        <v>70</v>
      </c>
      <c r="R1305" s="867">
        <v>16267.50807</v>
      </c>
      <c r="S1305" s="867">
        <v>17573.57238</v>
      </c>
      <c r="T1305" s="868">
        <v>14966.98217</v>
      </c>
      <c r="AN1305" s="882"/>
      <c r="AO1305" s="882"/>
      <c r="AP1305" s="882"/>
      <c r="AY1305" s="882"/>
      <c r="AZ1305" s="882"/>
      <c r="BA1305" s="882"/>
      <c r="BJ1305" s="882"/>
      <c r="BK1305" s="882"/>
      <c r="BL1305" s="882"/>
      <c r="BU1305" s="882"/>
      <c r="BV1305" s="882"/>
      <c r="BW1305" s="882"/>
      <c r="CF1305" s="882"/>
      <c r="CG1305" s="882"/>
      <c r="CH1305" s="882"/>
      <c r="CI1305" s="530"/>
    </row>
    <row r="1306">
      <c r="A1306" s="857"/>
      <c r="B1306" s="865" t="s">
        <v>654</v>
      </c>
      <c r="C1306" s="865" t="s">
        <v>591</v>
      </c>
      <c r="D1306" s="865" t="s">
        <v>665</v>
      </c>
      <c r="E1306" s="866">
        <v>2019.0</v>
      </c>
      <c r="F1306" s="865" t="s">
        <v>593</v>
      </c>
      <c r="G1306" s="865" t="s">
        <v>70</v>
      </c>
      <c r="H1306" s="867">
        <v>23309.466</v>
      </c>
      <c r="I1306" s="867">
        <v>25333.51164</v>
      </c>
      <c r="J1306" s="868">
        <v>21288.14191</v>
      </c>
      <c r="K1306" s="50"/>
      <c r="L1306" s="869" t="s">
        <v>654</v>
      </c>
      <c r="M1306" s="865" t="s">
        <v>591</v>
      </c>
      <c r="N1306" s="865" t="s">
        <v>665</v>
      </c>
      <c r="O1306" s="866">
        <v>2004.0</v>
      </c>
      <c r="P1306" s="865" t="s">
        <v>593</v>
      </c>
      <c r="Q1306" s="865" t="s">
        <v>70</v>
      </c>
      <c r="R1306" s="867">
        <v>25182.85815</v>
      </c>
      <c r="S1306" s="867">
        <v>27203.58381</v>
      </c>
      <c r="T1306" s="868">
        <v>23168.55304</v>
      </c>
      <c r="AN1306" s="882"/>
      <c r="AO1306" s="882"/>
      <c r="AP1306" s="882"/>
      <c r="AY1306" s="882"/>
      <c r="AZ1306" s="882"/>
      <c r="BA1306" s="882"/>
      <c r="BJ1306" s="882"/>
      <c r="BK1306" s="882"/>
      <c r="BL1306" s="882"/>
      <c r="BU1306" s="882"/>
      <c r="BV1306" s="882"/>
      <c r="BW1306" s="882"/>
      <c r="CF1306" s="882"/>
      <c r="CG1306" s="882"/>
      <c r="CH1306" s="882"/>
      <c r="CI1306" s="530"/>
    </row>
    <row r="1307">
      <c r="A1307" s="857"/>
      <c r="B1307" s="865" t="s">
        <v>654</v>
      </c>
      <c r="C1307" s="865" t="s">
        <v>591</v>
      </c>
      <c r="D1307" s="865" t="s">
        <v>667</v>
      </c>
      <c r="E1307" s="866">
        <v>2019.0</v>
      </c>
      <c r="F1307" s="865" t="s">
        <v>593</v>
      </c>
      <c r="G1307" s="865" t="s">
        <v>70</v>
      </c>
      <c r="H1307" s="867">
        <v>12055.89533</v>
      </c>
      <c r="I1307" s="867">
        <v>13103.13391</v>
      </c>
      <c r="J1307" s="868">
        <v>11011.23213</v>
      </c>
      <c r="K1307" s="50"/>
      <c r="L1307" s="869" t="s">
        <v>654</v>
      </c>
      <c r="M1307" s="865" t="s">
        <v>591</v>
      </c>
      <c r="N1307" s="865" t="s">
        <v>667</v>
      </c>
      <c r="O1307" s="866">
        <v>2004.0</v>
      </c>
      <c r="P1307" s="865" t="s">
        <v>593</v>
      </c>
      <c r="Q1307" s="865" t="s">
        <v>70</v>
      </c>
      <c r="R1307" s="867">
        <v>14138.9353</v>
      </c>
      <c r="S1307" s="867">
        <v>15274.10355</v>
      </c>
      <c r="T1307" s="868">
        <v>13008.58076</v>
      </c>
      <c r="AN1307" s="882"/>
      <c r="AO1307" s="882"/>
      <c r="AP1307" s="882"/>
      <c r="AY1307" s="882"/>
      <c r="AZ1307" s="882"/>
      <c r="BA1307" s="882"/>
      <c r="BJ1307" s="882"/>
      <c r="BK1307" s="882"/>
      <c r="BL1307" s="882"/>
      <c r="BU1307" s="882"/>
      <c r="BV1307" s="882"/>
      <c r="BW1307" s="882"/>
      <c r="CF1307" s="882"/>
      <c r="CG1307" s="882"/>
      <c r="CH1307" s="882"/>
      <c r="CI1307" s="530"/>
    </row>
    <row r="1308">
      <c r="A1308" s="857"/>
      <c r="B1308" s="865" t="s">
        <v>654</v>
      </c>
      <c r="C1308" s="865" t="s">
        <v>591</v>
      </c>
      <c r="D1308" s="865" t="s">
        <v>669</v>
      </c>
      <c r="E1308" s="866">
        <v>2019.0</v>
      </c>
      <c r="F1308" s="865" t="s">
        <v>593</v>
      </c>
      <c r="G1308" s="865" t="s">
        <v>70</v>
      </c>
      <c r="H1308" s="867">
        <v>7978.731542</v>
      </c>
      <c r="I1308" s="867">
        <v>8671.806195</v>
      </c>
      <c r="J1308" s="868">
        <v>7287.3613</v>
      </c>
      <c r="K1308" s="50"/>
      <c r="L1308" s="869" t="s">
        <v>654</v>
      </c>
      <c r="M1308" s="865" t="s">
        <v>591</v>
      </c>
      <c r="N1308" s="865" t="s">
        <v>669</v>
      </c>
      <c r="O1308" s="866">
        <v>2004.0</v>
      </c>
      <c r="P1308" s="865" t="s">
        <v>593</v>
      </c>
      <c r="Q1308" s="865" t="s">
        <v>70</v>
      </c>
      <c r="R1308" s="867">
        <v>8914.236645</v>
      </c>
      <c r="S1308" s="867">
        <v>9629.93116</v>
      </c>
      <c r="T1308" s="868">
        <v>8201.577051</v>
      </c>
      <c r="AN1308" s="882"/>
      <c r="AO1308" s="882"/>
      <c r="AP1308" s="882"/>
      <c r="AY1308" s="882"/>
      <c r="AZ1308" s="882"/>
      <c r="BA1308" s="882"/>
      <c r="BJ1308" s="882"/>
      <c r="BK1308" s="882"/>
      <c r="BL1308" s="882"/>
      <c r="BU1308" s="882"/>
      <c r="BV1308" s="882"/>
      <c r="BW1308" s="882"/>
      <c r="CF1308" s="882"/>
      <c r="CG1308" s="882"/>
      <c r="CH1308" s="882"/>
      <c r="CI1308" s="530"/>
    </row>
    <row r="1309">
      <c r="A1309" s="857"/>
      <c r="B1309" s="865" t="s">
        <v>654</v>
      </c>
      <c r="C1309" s="865" t="s">
        <v>591</v>
      </c>
      <c r="D1309" s="865" t="s">
        <v>671</v>
      </c>
      <c r="E1309" s="866">
        <v>2019.0</v>
      </c>
      <c r="F1309" s="865" t="s">
        <v>593</v>
      </c>
      <c r="G1309" s="865" t="s">
        <v>70</v>
      </c>
      <c r="H1309" s="867">
        <v>4077.355385</v>
      </c>
      <c r="I1309" s="867">
        <v>4431.406971</v>
      </c>
      <c r="J1309" s="868">
        <v>3723.779862</v>
      </c>
      <c r="K1309" s="50"/>
      <c r="L1309" s="869" t="s">
        <v>654</v>
      </c>
      <c r="M1309" s="865" t="s">
        <v>591</v>
      </c>
      <c r="N1309" s="865" t="s">
        <v>671</v>
      </c>
      <c r="O1309" s="866">
        <v>2004.0</v>
      </c>
      <c r="P1309" s="865" t="s">
        <v>593</v>
      </c>
      <c r="Q1309" s="865" t="s">
        <v>70</v>
      </c>
      <c r="R1309" s="867">
        <v>5224.929669</v>
      </c>
      <c r="S1309" s="867">
        <v>5644.189047</v>
      </c>
      <c r="T1309" s="868">
        <v>4807.002423</v>
      </c>
      <c r="AN1309" s="882"/>
      <c r="AO1309" s="882"/>
      <c r="AP1309" s="882"/>
      <c r="AY1309" s="882"/>
      <c r="AZ1309" s="882"/>
      <c r="BA1309" s="882"/>
      <c r="BJ1309" s="882"/>
      <c r="BK1309" s="882"/>
      <c r="BL1309" s="882"/>
      <c r="BU1309" s="882"/>
      <c r="BV1309" s="882"/>
      <c r="BW1309" s="882"/>
      <c r="CF1309" s="882"/>
      <c r="CG1309" s="882"/>
      <c r="CH1309" s="882"/>
      <c r="CI1309" s="530"/>
    </row>
    <row r="1310">
      <c r="A1310" s="857"/>
      <c r="B1310" s="865" t="s">
        <v>654</v>
      </c>
      <c r="C1310" s="865" t="s">
        <v>591</v>
      </c>
      <c r="D1310" s="865" t="s">
        <v>673</v>
      </c>
      <c r="E1310" s="866">
        <v>2019.0</v>
      </c>
      <c r="F1310" s="865" t="s">
        <v>593</v>
      </c>
      <c r="G1310" s="865" t="s">
        <v>70</v>
      </c>
      <c r="H1310" s="867">
        <v>3105.143022</v>
      </c>
      <c r="I1310" s="867">
        <v>3374.872102</v>
      </c>
      <c r="J1310" s="868">
        <v>2836.07726</v>
      </c>
      <c r="K1310" s="50"/>
      <c r="L1310" s="869" t="s">
        <v>654</v>
      </c>
      <c r="M1310" s="865" t="s">
        <v>591</v>
      </c>
      <c r="N1310" s="865" t="s">
        <v>673</v>
      </c>
      <c r="O1310" s="866">
        <v>2004.0</v>
      </c>
      <c r="P1310" s="865" t="s">
        <v>593</v>
      </c>
      <c r="Q1310" s="865" t="s">
        <v>70</v>
      </c>
      <c r="R1310" s="867">
        <v>3745.550408</v>
      </c>
      <c r="S1310" s="867">
        <v>4046.268237</v>
      </c>
      <c r="T1310" s="868">
        <v>3446.107782</v>
      </c>
      <c r="AN1310" s="882"/>
      <c r="AO1310" s="882"/>
      <c r="AP1310" s="882"/>
      <c r="AY1310" s="882"/>
      <c r="AZ1310" s="882"/>
      <c r="BA1310" s="882"/>
      <c r="BJ1310" s="882"/>
      <c r="BK1310" s="882"/>
      <c r="BL1310" s="882"/>
      <c r="BU1310" s="882"/>
      <c r="BV1310" s="882"/>
      <c r="BW1310" s="882"/>
      <c r="CF1310" s="882"/>
      <c r="CG1310" s="882"/>
      <c r="CH1310" s="882"/>
      <c r="CI1310" s="530"/>
    </row>
    <row r="1311">
      <c r="A1311" s="857"/>
      <c r="B1311" s="865" t="s">
        <v>654</v>
      </c>
      <c r="C1311" s="865" t="s">
        <v>591</v>
      </c>
      <c r="D1311" s="865" t="s">
        <v>674</v>
      </c>
      <c r="E1311" s="866">
        <v>2019.0</v>
      </c>
      <c r="F1311" s="865" t="s">
        <v>593</v>
      </c>
      <c r="G1311" s="865" t="s">
        <v>70</v>
      </c>
      <c r="H1311" s="867">
        <v>812.8468632</v>
      </c>
      <c r="I1311" s="867">
        <v>883.4550238</v>
      </c>
      <c r="J1311" s="868">
        <v>742.4123425</v>
      </c>
      <c r="K1311" s="50"/>
      <c r="L1311" s="869" t="s">
        <v>654</v>
      </c>
      <c r="M1311" s="865" t="s">
        <v>591</v>
      </c>
      <c r="N1311" s="865" t="s">
        <v>674</v>
      </c>
      <c r="O1311" s="866">
        <v>2004.0</v>
      </c>
      <c r="P1311" s="865" t="s">
        <v>593</v>
      </c>
      <c r="Q1311" s="865" t="s">
        <v>70</v>
      </c>
      <c r="R1311" s="867">
        <v>1160.213139</v>
      </c>
      <c r="S1311" s="867">
        <v>1253.362806</v>
      </c>
      <c r="T1311" s="868">
        <v>1067.458475</v>
      </c>
      <c r="AN1311" s="882"/>
      <c r="AO1311" s="882"/>
      <c r="AP1311" s="882"/>
      <c r="AY1311" s="882"/>
      <c r="AZ1311" s="882"/>
      <c r="BA1311" s="882"/>
      <c r="BJ1311" s="882"/>
      <c r="BK1311" s="882"/>
      <c r="BL1311" s="882"/>
      <c r="BU1311" s="882"/>
      <c r="BV1311" s="882"/>
      <c r="BW1311" s="882"/>
      <c r="CF1311" s="882"/>
      <c r="CG1311" s="882"/>
      <c r="CH1311" s="882"/>
      <c r="CI1311" s="530"/>
    </row>
    <row r="1312">
      <c r="A1312" s="857"/>
      <c r="B1312" s="865" t="s">
        <v>654</v>
      </c>
      <c r="C1312" s="865" t="s">
        <v>591</v>
      </c>
      <c r="D1312" s="865" t="s">
        <v>676</v>
      </c>
      <c r="E1312" s="866">
        <v>2019.0</v>
      </c>
      <c r="F1312" s="865" t="s">
        <v>593</v>
      </c>
      <c r="G1312" s="865" t="s">
        <v>70</v>
      </c>
      <c r="H1312" s="867">
        <v>159.1739056</v>
      </c>
      <c r="I1312" s="867">
        <v>173.0005896</v>
      </c>
      <c r="J1312" s="868">
        <v>145.3812243</v>
      </c>
      <c r="K1312" s="50"/>
      <c r="L1312" s="869" t="s">
        <v>654</v>
      </c>
      <c r="M1312" s="865" t="s">
        <v>591</v>
      </c>
      <c r="N1312" s="865" t="s">
        <v>676</v>
      </c>
      <c r="O1312" s="866">
        <v>2004.0</v>
      </c>
      <c r="P1312" s="865" t="s">
        <v>593</v>
      </c>
      <c r="Q1312" s="865" t="s">
        <v>70</v>
      </c>
      <c r="R1312" s="867">
        <v>318.9351072</v>
      </c>
      <c r="S1312" s="867">
        <v>344.5413499</v>
      </c>
      <c r="T1312" s="868">
        <v>293.4374485</v>
      </c>
      <c r="AN1312" s="882"/>
      <c r="AO1312" s="882"/>
      <c r="AP1312" s="882"/>
      <c r="AY1312" s="882"/>
      <c r="AZ1312" s="882"/>
      <c r="BA1312" s="882"/>
      <c r="BJ1312" s="882"/>
      <c r="BK1312" s="882"/>
      <c r="BL1312" s="882"/>
      <c r="BU1312" s="882"/>
      <c r="BV1312" s="882"/>
      <c r="BW1312" s="882"/>
      <c r="CF1312" s="882"/>
      <c r="CG1312" s="882"/>
      <c r="CH1312" s="882"/>
      <c r="CI1312" s="530"/>
    </row>
    <row r="1313">
      <c r="A1313" s="857"/>
      <c r="B1313" s="865" t="s">
        <v>654</v>
      </c>
      <c r="C1313" s="865" t="s">
        <v>591</v>
      </c>
      <c r="D1313" s="865" t="s">
        <v>678</v>
      </c>
      <c r="E1313" s="866">
        <v>2019.0</v>
      </c>
      <c r="F1313" s="865" t="s">
        <v>593</v>
      </c>
      <c r="G1313" s="865" t="s">
        <v>70</v>
      </c>
      <c r="H1313" s="867">
        <v>2091587.941</v>
      </c>
      <c r="I1313" s="867">
        <v>2273274.288</v>
      </c>
      <c r="J1313" s="868">
        <v>1910348.397</v>
      </c>
      <c r="K1313" s="50"/>
      <c r="L1313" s="869" t="s">
        <v>654</v>
      </c>
      <c r="M1313" s="865" t="s">
        <v>591</v>
      </c>
      <c r="N1313" s="865" t="s">
        <v>678</v>
      </c>
      <c r="O1313" s="866">
        <v>2004.0</v>
      </c>
      <c r="P1313" s="865" t="s">
        <v>593</v>
      </c>
      <c r="Q1313" s="865" t="s">
        <v>70</v>
      </c>
      <c r="R1313" s="867">
        <v>1954680.279</v>
      </c>
      <c r="S1313" s="867">
        <v>2111615.08</v>
      </c>
      <c r="T1313" s="868">
        <v>1798410.964</v>
      </c>
      <c r="AN1313" s="882"/>
      <c r="AO1313" s="882"/>
      <c r="AP1313" s="882"/>
      <c r="AY1313" s="882"/>
      <c r="AZ1313" s="882"/>
      <c r="BA1313" s="882"/>
      <c r="BJ1313" s="882"/>
      <c r="BK1313" s="882"/>
      <c r="BL1313" s="882"/>
      <c r="BU1313" s="882"/>
      <c r="BV1313" s="882"/>
      <c r="BW1313" s="882"/>
      <c r="CF1313" s="882"/>
      <c r="CG1313" s="882"/>
      <c r="CH1313" s="882"/>
      <c r="CI1313" s="530"/>
    </row>
    <row r="1314">
      <c r="A1314" s="857"/>
      <c r="B1314" s="865" t="s">
        <v>654</v>
      </c>
      <c r="C1314" s="865" t="s">
        <v>591</v>
      </c>
      <c r="D1314" s="865" t="s">
        <v>680</v>
      </c>
      <c r="E1314" s="866">
        <v>2019.0</v>
      </c>
      <c r="F1314" s="865" t="s">
        <v>593</v>
      </c>
      <c r="G1314" s="865" t="s">
        <v>70</v>
      </c>
      <c r="H1314" s="867">
        <v>46889.3262</v>
      </c>
      <c r="I1314" s="867">
        <v>53774.36728</v>
      </c>
      <c r="J1314" s="868">
        <v>40549.33052</v>
      </c>
      <c r="K1314" s="50"/>
      <c r="L1314" s="869" t="s">
        <v>654</v>
      </c>
      <c r="M1314" s="865" t="s">
        <v>591</v>
      </c>
      <c r="N1314" s="865" t="s">
        <v>680</v>
      </c>
      <c r="O1314" s="866">
        <v>2004.0</v>
      </c>
      <c r="P1314" s="865" t="s">
        <v>593</v>
      </c>
      <c r="Q1314" s="865" t="s">
        <v>70</v>
      </c>
      <c r="R1314" s="867">
        <v>56763.72265</v>
      </c>
      <c r="S1314" s="867">
        <v>59453.57326</v>
      </c>
      <c r="T1314" s="868">
        <v>54199.96009</v>
      </c>
      <c r="AN1314" s="882"/>
      <c r="AO1314" s="882"/>
      <c r="AP1314" s="882"/>
      <c r="AY1314" s="882"/>
      <c r="AZ1314" s="882"/>
      <c r="BA1314" s="882"/>
      <c r="BJ1314" s="882"/>
      <c r="BK1314" s="882"/>
      <c r="BL1314" s="882"/>
      <c r="BU1314" s="882"/>
      <c r="BV1314" s="882"/>
      <c r="BW1314" s="882"/>
      <c r="CF1314" s="882"/>
      <c r="CG1314" s="882"/>
      <c r="CH1314" s="882"/>
      <c r="CI1314" s="530"/>
    </row>
    <row r="1315">
      <c r="A1315" s="857"/>
      <c r="B1315" s="865" t="s">
        <v>654</v>
      </c>
      <c r="C1315" s="865" t="s">
        <v>591</v>
      </c>
      <c r="D1315" s="865" t="s">
        <v>682</v>
      </c>
      <c r="E1315" s="866">
        <v>2019.0</v>
      </c>
      <c r="F1315" s="865" t="s">
        <v>593</v>
      </c>
      <c r="G1315" s="865" t="s">
        <v>70</v>
      </c>
      <c r="H1315" s="867">
        <v>880.3070219</v>
      </c>
      <c r="I1315" s="867">
        <v>956.7751272</v>
      </c>
      <c r="J1315" s="868">
        <v>804.0269672</v>
      </c>
      <c r="K1315" s="50"/>
      <c r="L1315" s="869" t="s">
        <v>654</v>
      </c>
      <c r="M1315" s="865" t="s">
        <v>591</v>
      </c>
      <c r="N1315" s="865" t="s">
        <v>682</v>
      </c>
      <c r="O1315" s="866">
        <v>2004.0</v>
      </c>
      <c r="P1315" s="865" t="s">
        <v>593</v>
      </c>
      <c r="Q1315" s="865" t="s">
        <v>70</v>
      </c>
      <c r="R1315" s="867">
        <v>1048.390094</v>
      </c>
      <c r="S1315" s="867">
        <v>1132.56186</v>
      </c>
      <c r="T1315" s="868">
        <v>964.5752611</v>
      </c>
      <c r="AN1315" s="882"/>
      <c r="AO1315" s="882"/>
      <c r="AP1315" s="882"/>
      <c r="AY1315" s="882"/>
      <c r="AZ1315" s="882"/>
      <c r="BA1315" s="882"/>
      <c r="BJ1315" s="882"/>
      <c r="BK1315" s="882"/>
      <c r="BL1315" s="882"/>
      <c r="BU1315" s="882"/>
      <c r="BV1315" s="882"/>
      <c r="BW1315" s="882"/>
      <c r="CF1315" s="882"/>
      <c r="CG1315" s="882"/>
      <c r="CH1315" s="882"/>
      <c r="CI1315" s="530"/>
    </row>
    <row r="1316">
      <c r="A1316" s="857"/>
      <c r="B1316" s="865" t="s">
        <v>654</v>
      </c>
      <c r="C1316" s="865" t="s">
        <v>591</v>
      </c>
      <c r="D1316" s="865" t="s">
        <v>684</v>
      </c>
      <c r="E1316" s="866">
        <v>2019.0</v>
      </c>
      <c r="F1316" s="865" t="s">
        <v>593</v>
      </c>
      <c r="G1316" s="865" t="s">
        <v>70</v>
      </c>
      <c r="H1316" s="867">
        <v>2602.44142</v>
      </c>
      <c r="I1316" s="867">
        <v>2828.503191</v>
      </c>
      <c r="J1316" s="868">
        <v>2376.935581</v>
      </c>
      <c r="K1316" s="50"/>
      <c r="L1316" s="869" t="s">
        <v>654</v>
      </c>
      <c r="M1316" s="865" t="s">
        <v>591</v>
      </c>
      <c r="N1316" s="865" t="s">
        <v>684</v>
      </c>
      <c r="O1316" s="866">
        <v>2004.0</v>
      </c>
      <c r="P1316" s="865" t="s">
        <v>593</v>
      </c>
      <c r="Q1316" s="865" t="s">
        <v>70</v>
      </c>
      <c r="R1316" s="867">
        <v>3086.085855</v>
      </c>
      <c r="S1316" s="867">
        <v>3333.857459</v>
      </c>
      <c r="T1316" s="868">
        <v>2839.364932</v>
      </c>
      <c r="AN1316" s="882"/>
      <c r="AO1316" s="882"/>
      <c r="AP1316" s="882"/>
      <c r="AY1316" s="882"/>
      <c r="AZ1316" s="882"/>
      <c r="BA1316" s="882"/>
      <c r="BJ1316" s="882"/>
      <c r="BK1316" s="882"/>
      <c r="BL1316" s="882"/>
      <c r="BU1316" s="882"/>
      <c r="BV1316" s="882"/>
      <c r="BW1316" s="882"/>
      <c r="CF1316" s="882"/>
      <c r="CG1316" s="882"/>
      <c r="CH1316" s="882"/>
      <c r="CI1316" s="530"/>
    </row>
    <row r="1317">
      <c r="A1317" s="857"/>
      <c r="B1317" s="865" t="s">
        <v>654</v>
      </c>
      <c r="C1317" s="865" t="s">
        <v>591</v>
      </c>
      <c r="D1317" s="865" t="s">
        <v>686</v>
      </c>
      <c r="E1317" s="866">
        <v>2019.0</v>
      </c>
      <c r="F1317" s="865" t="s">
        <v>593</v>
      </c>
      <c r="G1317" s="865" t="s">
        <v>70</v>
      </c>
      <c r="H1317" s="867">
        <v>3482.748442</v>
      </c>
      <c r="I1317" s="867">
        <v>3785.278318</v>
      </c>
      <c r="J1317" s="868">
        <v>3180.962548</v>
      </c>
      <c r="K1317" s="50"/>
      <c r="L1317" s="869" t="s">
        <v>654</v>
      </c>
      <c r="M1317" s="865" t="s">
        <v>591</v>
      </c>
      <c r="N1317" s="865" t="s">
        <v>686</v>
      </c>
      <c r="O1317" s="866">
        <v>2004.0</v>
      </c>
      <c r="P1317" s="865" t="s">
        <v>593</v>
      </c>
      <c r="Q1317" s="865" t="s">
        <v>70</v>
      </c>
      <c r="R1317" s="867">
        <v>4134.475949</v>
      </c>
      <c r="S1317" s="867">
        <v>4466.41932</v>
      </c>
      <c r="T1317" s="868">
        <v>3803.940193</v>
      </c>
      <c r="AN1317" s="882"/>
      <c r="AO1317" s="882"/>
      <c r="AP1317" s="882"/>
      <c r="AY1317" s="882"/>
      <c r="AZ1317" s="882"/>
      <c r="BA1317" s="882"/>
      <c r="BJ1317" s="882"/>
      <c r="BK1317" s="882"/>
      <c r="BL1317" s="882"/>
      <c r="BU1317" s="882"/>
      <c r="BV1317" s="882"/>
      <c r="BW1317" s="882"/>
      <c r="CF1317" s="882"/>
      <c r="CG1317" s="882"/>
      <c r="CH1317" s="882"/>
      <c r="CI1317" s="530"/>
    </row>
    <row r="1318">
      <c r="A1318" s="857"/>
      <c r="B1318" s="865" t="s">
        <v>654</v>
      </c>
      <c r="C1318" s="865" t="s">
        <v>591</v>
      </c>
      <c r="D1318" s="865" t="s">
        <v>688</v>
      </c>
      <c r="E1318" s="866">
        <v>2019.0</v>
      </c>
      <c r="F1318" s="865" t="s">
        <v>593</v>
      </c>
      <c r="G1318" s="865" t="s">
        <v>70</v>
      </c>
      <c r="H1318" s="867">
        <v>41101.69927</v>
      </c>
      <c r="I1318" s="867">
        <v>44672.00939</v>
      </c>
      <c r="J1318" s="868">
        <v>37540.16927</v>
      </c>
      <c r="K1318" s="50"/>
      <c r="L1318" s="869" t="s">
        <v>654</v>
      </c>
      <c r="M1318" s="865" t="s">
        <v>591</v>
      </c>
      <c r="N1318" s="865" t="s">
        <v>688</v>
      </c>
      <c r="O1318" s="866">
        <v>2004.0</v>
      </c>
      <c r="P1318" s="865" t="s">
        <v>593</v>
      </c>
      <c r="Q1318" s="865" t="s">
        <v>70</v>
      </c>
      <c r="R1318" s="867">
        <v>48404.73468</v>
      </c>
      <c r="S1318" s="867">
        <v>52290.9904</v>
      </c>
      <c r="T1318" s="868">
        <v>44534.95874</v>
      </c>
      <c r="AN1318" s="882"/>
      <c r="AO1318" s="882"/>
      <c r="AP1318" s="882"/>
      <c r="AY1318" s="882"/>
      <c r="AZ1318" s="882"/>
      <c r="BA1318" s="882"/>
      <c r="BJ1318" s="882"/>
      <c r="BK1318" s="882"/>
      <c r="BL1318" s="882"/>
      <c r="BU1318" s="882"/>
      <c r="BV1318" s="882"/>
      <c r="BW1318" s="882"/>
      <c r="CF1318" s="882"/>
      <c r="CG1318" s="882"/>
      <c r="CH1318" s="882"/>
      <c r="CI1318" s="530"/>
    </row>
    <row r="1319">
      <c r="A1319" s="857"/>
      <c r="B1319" s="865" t="s">
        <v>654</v>
      </c>
      <c r="C1319" s="865" t="s">
        <v>591</v>
      </c>
      <c r="D1319" s="865" t="s">
        <v>689</v>
      </c>
      <c r="E1319" s="866">
        <v>2019.0</v>
      </c>
      <c r="F1319" s="865" t="s">
        <v>593</v>
      </c>
      <c r="G1319" s="865" t="s">
        <v>70</v>
      </c>
      <c r="H1319" s="867">
        <v>218409.2451</v>
      </c>
      <c r="I1319" s="867">
        <v>237381.4227</v>
      </c>
      <c r="J1319" s="868">
        <v>199483.7239</v>
      </c>
      <c r="K1319" s="50"/>
      <c r="L1319" s="869" t="s">
        <v>654</v>
      </c>
      <c r="M1319" s="865" t="s">
        <v>591</v>
      </c>
      <c r="N1319" s="865" t="s">
        <v>689</v>
      </c>
      <c r="O1319" s="866">
        <v>2004.0</v>
      </c>
      <c r="P1319" s="865" t="s">
        <v>593</v>
      </c>
      <c r="Q1319" s="865" t="s">
        <v>70</v>
      </c>
      <c r="R1319" s="867">
        <v>247079.3822</v>
      </c>
      <c r="S1319" s="867">
        <v>266916.5669</v>
      </c>
      <c r="T1319" s="868">
        <v>227326.3176</v>
      </c>
      <c r="AN1319" s="882"/>
      <c r="AO1319" s="882"/>
      <c r="AP1319" s="882"/>
      <c r="AY1319" s="882"/>
      <c r="AZ1319" s="882"/>
      <c r="BA1319" s="882"/>
      <c r="BJ1319" s="882"/>
      <c r="BK1319" s="882"/>
      <c r="BL1319" s="882"/>
      <c r="BU1319" s="882"/>
      <c r="BV1319" s="882"/>
      <c r="BW1319" s="882"/>
      <c r="CF1319" s="882"/>
      <c r="CG1319" s="882"/>
      <c r="CH1319" s="882"/>
      <c r="CI1319" s="530"/>
    </row>
    <row r="1320">
      <c r="A1320" s="857"/>
      <c r="B1320" s="865" t="s">
        <v>656</v>
      </c>
      <c r="C1320" s="865" t="s">
        <v>591</v>
      </c>
      <c r="D1320" s="865" t="s">
        <v>592</v>
      </c>
      <c r="E1320" s="866">
        <v>2019.0</v>
      </c>
      <c r="F1320" s="865" t="s">
        <v>593</v>
      </c>
      <c r="G1320" s="865" t="s">
        <v>70</v>
      </c>
      <c r="H1320" s="867">
        <v>129304.2765</v>
      </c>
      <c r="I1320" s="867">
        <v>146337.0351</v>
      </c>
      <c r="J1320" s="868">
        <v>111518.2101</v>
      </c>
      <c r="K1320" s="50"/>
      <c r="L1320" s="869" t="s">
        <v>656</v>
      </c>
      <c r="M1320" s="865" t="s">
        <v>591</v>
      </c>
      <c r="N1320" s="865" t="s">
        <v>592</v>
      </c>
      <c r="O1320" s="866">
        <v>2004.0</v>
      </c>
      <c r="P1320" s="865" t="s">
        <v>593</v>
      </c>
      <c r="Q1320" s="865" t="s">
        <v>70</v>
      </c>
      <c r="R1320" s="867">
        <v>121253.4513</v>
      </c>
      <c r="S1320" s="867">
        <v>131869.6186</v>
      </c>
      <c r="T1320" s="868">
        <v>109821.2437</v>
      </c>
      <c r="AN1320" s="882"/>
      <c r="AO1320" s="882"/>
      <c r="AP1320" s="882"/>
      <c r="AY1320" s="882"/>
      <c r="AZ1320" s="882"/>
      <c r="BA1320" s="882"/>
      <c r="BJ1320" s="882"/>
      <c r="BK1320" s="882"/>
      <c r="BL1320" s="882"/>
      <c r="BU1320" s="882"/>
      <c r="BV1320" s="882"/>
      <c r="BW1320" s="882"/>
      <c r="CF1320" s="882"/>
      <c r="CG1320" s="882"/>
      <c r="CH1320" s="882"/>
      <c r="CI1320" s="530"/>
    </row>
    <row r="1321">
      <c r="A1321" s="857"/>
      <c r="B1321" s="865" t="s">
        <v>656</v>
      </c>
      <c r="C1321" s="865" t="s">
        <v>591</v>
      </c>
      <c r="D1321" s="865" t="s">
        <v>601</v>
      </c>
      <c r="E1321" s="866">
        <v>2019.0</v>
      </c>
      <c r="F1321" s="865" t="s">
        <v>593</v>
      </c>
      <c r="G1321" s="865" t="s">
        <v>70</v>
      </c>
      <c r="H1321" s="867">
        <v>2398004.17</v>
      </c>
      <c r="I1321" s="867">
        <v>2713884.101</v>
      </c>
      <c r="J1321" s="868">
        <v>2068153.816</v>
      </c>
      <c r="K1321" s="50"/>
      <c r="L1321" s="869" t="s">
        <v>656</v>
      </c>
      <c r="M1321" s="865" t="s">
        <v>591</v>
      </c>
      <c r="N1321" s="865" t="s">
        <v>601</v>
      </c>
      <c r="O1321" s="866">
        <v>2004.0</v>
      </c>
      <c r="P1321" s="865" t="s">
        <v>593</v>
      </c>
      <c r="Q1321" s="865" t="s">
        <v>70</v>
      </c>
      <c r="R1321" s="867">
        <v>1704132.57</v>
      </c>
      <c r="S1321" s="867">
        <v>1853335.388</v>
      </c>
      <c r="T1321" s="868">
        <v>1543460.878</v>
      </c>
      <c r="AN1321" s="882"/>
      <c r="AO1321" s="882"/>
      <c r="AP1321" s="882"/>
      <c r="AY1321" s="882"/>
      <c r="AZ1321" s="882"/>
      <c r="BA1321" s="882"/>
      <c r="BJ1321" s="882"/>
      <c r="BK1321" s="882"/>
      <c r="BL1321" s="882"/>
      <c r="BU1321" s="882"/>
      <c r="BV1321" s="882"/>
      <c r="BW1321" s="882"/>
      <c r="CF1321" s="882"/>
      <c r="CG1321" s="882"/>
      <c r="CH1321" s="882"/>
      <c r="CI1321" s="530"/>
    </row>
    <row r="1322">
      <c r="A1322" s="857"/>
      <c r="B1322" s="865" t="s">
        <v>656</v>
      </c>
      <c r="C1322" s="865" t="s">
        <v>591</v>
      </c>
      <c r="D1322" s="865" t="s">
        <v>606</v>
      </c>
      <c r="E1322" s="866">
        <v>2019.0</v>
      </c>
      <c r="F1322" s="865" t="s">
        <v>593</v>
      </c>
      <c r="G1322" s="865" t="s">
        <v>70</v>
      </c>
      <c r="H1322" s="867">
        <v>1868042.297</v>
      </c>
      <c r="I1322" s="867">
        <v>2114112.375</v>
      </c>
      <c r="J1322" s="868">
        <v>1611089.277</v>
      </c>
      <c r="K1322" s="50"/>
      <c r="L1322" s="869" t="s">
        <v>656</v>
      </c>
      <c r="M1322" s="865" t="s">
        <v>591</v>
      </c>
      <c r="N1322" s="865" t="s">
        <v>606</v>
      </c>
      <c r="O1322" s="866">
        <v>2004.0</v>
      </c>
      <c r="P1322" s="865" t="s">
        <v>593</v>
      </c>
      <c r="Q1322" s="865" t="s">
        <v>70</v>
      </c>
      <c r="R1322" s="867">
        <v>1380419.838</v>
      </c>
      <c r="S1322" s="867">
        <v>1501280.464</v>
      </c>
      <c r="T1322" s="868">
        <v>1250268.936</v>
      </c>
      <c r="AN1322" s="882"/>
      <c r="AO1322" s="882"/>
      <c r="AP1322" s="882"/>
      <c r="AY1322" s="882"/>
      <c r="AZ1322" s="882"/>
      <c r="BA1322" s="882"/>
      <c r="BJ1322" s="882"/>
      <c r="BK1322" s="882"/>
      <c r="BL1322" s="882"/>
      <c r="BU1322" s="882"/>
      <c r="BV1322" s="882"/>
      <c r="BW1322" s="882"/>
      <c r="CF1322" s="882"/>
      <c r="CG1322" s="882"/>
      <c r="CH1322" s="882"/>
      <c r="CI1322" s="530"/>
    </row>
    <row r="1323">
      <c r="A1323" s="857"/>
      <c r="B1323" s="865" t="s">
        <v>656</v>
      </c>
      <c r="C1323" s="865" t="s">
        <v>591</v>
      </c>
      <c r="D1323" s="865" t="s">
        <v>608</v>
      </c>
      <c r="E1323" s="866">
        <v>2019.0</v>
      </c>
      <c r="F1323" s="865" t="s">
        <v>593</v>
      </c>
      <c r="G1323" s="865" t="s">
        <v>70</v>
      </c>
      <c r="H1323" s="867">
        <v>504025.8036</v>
      </c>
      <c r="I1323" s="867">
        <v>570419.1979</v>
      </c>
      <c r="J1323" s="868">
        <v>434696.0285</v>
      </c>
      <c r="K1323" s="50"/>
      <c r="L1323" s="869" t="s">
        <v>656</v>
      </c>
      <c r="M1323" s="865" t="s">
        <v>591</v>
      </c>
      <c r="N1323" s="865" t="s">
        <v>608</v>
      </c>
      <c r="O1323" s="866">
        <v>2004.0</v>
      </c>
      <c r="P1323" s="865" t="s">
        <v>593</v>
      </c>
      <c r="Q1323" s="865" t="s">
        <v>70</v>
      </c>
      <c r="R1323" s="867">
        <v>419220.5213</v>
      </c>
      <c r="S1323" s="867">
        <v>455924.7566</v>
      </c>
      <c r="T1323" s="868">
        <v>379694.9163</v>
      </c>
      <c r="AN1323" s="882"/>
      <c r="AO1323" s="882"/>
      <c r="AP1323" s="882"/>
      <c r="AY1323" s="882"/>
      <c r="AZ1323" s="882"/>
      <c r="BA1323" s="882"/>
      <c r="BJ1323" s="882"/>
      <c r="BK1323" s="882"/>
      <c r="BL1323" s="882"/>
      <c r="BU1323" s="882"/>
      <c r="BV1323" s="882"/>
      <c r="BW1323" s="882"/>
      <c r="CF1323" s="882"/>
      <c r="CG1323" s="882"/>
      <c r="CH1323" s="882"/>
      <c r="CI1323" s="530"/>
    </row>
    <row r="1324">
      <c r="A1324" s="857"/>
      <c r="B1324" s="865" t="s">
        <v>656</v>
      </c>
      <c r="C1324" s="865" t="s">
        <v>591</v>
      </c>
      <c r="D1324" s="865" t="s">
        <v>610</v>
      </c>
      <c r="E1324" s="866">
        <v>2019.0</v>
      </c>
      <c r="F1324" s="865" t="s">
        <v>593</v>
      </c>
      <c r="G1324" s="865" t="s">
        <v>70</v>
      </c>
      <c r="H1324" s="867">
        <v>607570.0735</v>
      </c>
      <c r="I1324" s="867">
        <v>687602.959</v>
      </c>
      <c r="J1324" s="868">
        <v>523997.5734</v>
      </c>
      <c r="K1324" s="50"/>
      <c r="L1324" s="869" t="s">
        <v>656</v>
      </c>
      <c r="M1324" s="865" t="s">
        <v>591</v>
      </c>
      <c r="N1324" s="865" t="s">
        <v>610</v>
      </c>
      <c r="O1324" s="866">
        <v>2004.0</v>
      </c>
      <c r="P1324" s="865" t="s">
        <v>593</v>
      </c>
      <c r="Q1324" s="865" t="s">
        <v>70</v>
      </c>
      <c r="R1324" s="867">
        <v>388123.0141</v>
      </c>
      <c r="S1324" s="867">
        <v>422104.553</v>
      </c>
      <c r="T1324" s="868">
        <v>351529.393</v>
      </c>
      <c r="AN1324" s="882"/>
      <c r="AO1324" s="882"/>
      <c r="AP1324" s="882"/>
      <c r="AY1324" s="882"/>
      <c r="AZ1324" s="882"/>
      <c r="BA1324" s="882"/>
      <c r="BJ1324" s="882"/>
      <c r="BK1324" s="882"/>
      <c r="BL1324" s="882"/>
      <c r="BU1324" s="882"/>
      <c r="BV1324" s="882"/>
      <c r="BW1324" s="882"/>
      <c r="CF1324" s="882"/>
      <c r="CG1324" s="882"/>
      <c r="CH1324" s="882"/>
      <c r="CI1324" s="530"/>
    </row>
    <row r="1325">
      <c r="A1325" s="857"/>
      <c r="B1325" s="865" t="s">
        <v>656</v>
      </c>
      <c r="C1325" s="865" t="s">
        <v>591</v>
      </c>
      <c r="D1325" s="865" t="s">
        <v>612</v>
      </c>
      <c r="E1325" s="866">
        <v>2019.0</v>
      </c>
      <c r="F1325" s="865" t="s">
        <v>593</v>
      </c>
      <c r="G1325" s="865" t="s">
        <v>70</v>
      </c>
      <c r="H1325" s="867">
        <v>1137531.946</v>
      </c>
      <c r="I1325" s="867">
        <v>1287374.685</v>
      </c>
      <c r="J1325" s="868">
        <v>981062.112</v>
      </c>
      <c r="K1325" s="50"/>
      <c r="L1325" s="869" t="s">
        <v>656</v>
      </c>
      <c r="M1325" s="865" t="s">
        <v>591</v>
      </c>
      <c r="N1325" s="865" t="s">
        <v>612</v>
      </c>
      <c r="O1325" s="866">
        <v>2004.0</v>
      </c>
      <c r="P1325" s="865" t="s">
        <v>593</v>
      </c>
      <c r="Q1325" s="865" t="s">
        <v>70</v>
      </c>
      <c r="R1325" s="867">
        <v>711835.7465</v>
      </c>
      <c r="S1325" s="867">
        <v>774159.4768</v>
      </c>
      <c r="T1325" s="868">
        <v>644721.3352</v>
      </c>
      <c r="AN1325" s="882"/>
      <c r="AO1325" s="882"/>
      <c r="AP1325" s="882"/>
      <c r="AY1325" s="882"/>
      <c r="AZ1325" s="882"/>
      <c r="BA1325" s="882"/>
      <c r="BJ1325" s="882"/>
      <c r="BK1325" s="882"/>
      <c r="BL1325" s="882"/>
      <c r="BU1325" s="882"/>
      <c r="BV1325" s="882"/>
      <c r="BW1325" s="882"/>
      <c r="CF1325" s="882"/>
      <c r="CG1325" s="882"/>
      <c r="CH1325" s="882"/>
      <c r="CI1325" s="530"/>
    </row>
    <row r="1326">
      <c r="A1326" s="857"/>
      <c r="B1326" s="865" t="s">
        <v>656</v>
      </c>
      <c r="C1326" s="865" t="s">
        <v>591</v>
      </c>
      <c r="D1326" s="865" t="s">
        <v>614</v>
      </c>
      <c r="E1326" s="866">
        <v>2019.0</v>
      </c>
      <c r="F1326" s="865" t="s">
        <v>593</v>
      </c>
      <c r="G1326" s="865" t="s">
        <v>70</v>
      </c>
      <c r="H1326" s="867">
        <v>1587301.875</v>
      </c>
      <c r="I1326" s="867">
        <v>1796391.089</v>
      </c>
      <c r="J1326" s="868">
        <v>1368965.272</v>
      </c>
      <c r="K1326" s="50"/>
      <c r="L1326" s="869" t="s">
        <v>656</v>
      </c>
      <c r="M1326" s="865" t="s">
        <v>591</v>
      </c>
      <c r="N1326" s="865" t="s">
        <v>614</v>
      </c>
      <c r="O1326" s="866">
        <v>2004.0</v>
      </c>
      <c r="P1326" s="865" t="s">
        <v>593</v>
      </c>
      <c r="Q1326" s="865" t="s">
        <v>70</v>
      </c>
      <c r="R1326" s="867">
        <v>995158.1898</v>
      </c>
      <c r="S1326" s="867">
        <v>1082287.799</v>
      </c>
      <c r="T1326" s="868">
        <v>901331.1287</v>
      </c>
      <c r="AN1326" s="882"/>
      <c r="AO1326" s="882"/>
      <c r="AP1326" s="882"/>
      <c r="AY1326" s="882"/>
      <c r="AZ1326" s="882"/>
      <c r="BA1326" s="882"/>
      <c r="BJ1326" s="882"/>
      <c r="BK1326" s="882"/>
      <c r="BL1326" s="882"/>
      <c r="BU1326" s="882"/>
      <c r="BV1326" s="882"/>
      <c r="BW1326" s="882"/>
      <c r="CF1326" s="882"/>
      <c r="CG1326" s="882"/>
      <c r="CH1326" s="882"/>
      <c r="CI1326" s="530"/>
    </row>
    <row r="1327">
      <c r="A1327" s="857"/>
      <c r="B1327" s="865" t="s">
        <v>656</v>
      </c>
      <c r="C1327" s="865" t="s">
        <v>591</v>
      </c>
      <c r="D1327" s="865" t="s">
        <v>616</v>
      </c>
      <c r="E1327" s="866">
        <v>2019.0</v>
      </c>
      <c r="F1327" s="865" t="s">
        <v>593</v>
      </c>
      <c r="G1327" s="865" t="s">
        <v>70</v>
      </c>
      <c r="H1327" s="867">
        <v>529961.8727</v>
      </c>
      <c r="I1327" s="867">
        <v>599771.7264</v>
      </c>
      <c r="J1327" s="868">
        <v>457064.5386</v>
      </c>
      <c r="K1327" s="50"/>
      <c r="L1327" s="869" t="s">
        <v>656</v>
      </c>
      <c r="M1327" s="865" t="s">
        <v>591</v>
      </c>
      <c r="N1327" s="865" t="s">
        <v>616</v>
      </c>
      <c r="O1327" s="866">
        <v>2004.0</v>
      </c>
      <c r="P1327" s="865" t="s">
        <v>593</v>
      </c>
      <c r="Q1327" s="865" t="s">
        <v>70</v>
      </c>
      <c r="R1327" s="867">
        <v>323712.7324</v>
      </c>
      <c r="S1327" s="867">
        <v>352054.9239</v>
      </c>
      <c r="T1327" s="868">
        <v>293191.9422</v>
      </c>
      <c r="AN1327" s="882"/>
      <c r="AO1327" s="882"/>
      <c r="AP1327" s="882"/>
      <c r="AY1327" s="882"/>
      <c r="AZ1327" s="882"/>
      <c r="BA1327" s="882"/>
      <c r="BJ1327" s="882"/>
      <c r="BK1327" s="882"/>
      <c r="BL1327" s="882"/>
      <c r="BU1327" s="882"/>
      <c r="BV1327" s="882"/>
      <c r="BW1327" s="882"/>
      <c r="CF1327" s="882"/>
      <c r="CG1327" s="882"/>
      <c r="CH1327" s="882"/>
      <c r="CI1327" s="530"/>
    </row>
    <row r="1328">
      <c r="A1328" s="857"/>
      <c r="B1328" s="865" t="s">
        <v>656</v>
      </c>
      <c r="C1328" s="865" t="s">
        <v>591</v>
      </c>
      <c r="D1328" s="865" t="s">
        <v>618</v>
      </c>
      <c r="E1328" s="866">
        <v>2019.0</v>
      </c>
      <c r="F1328" s="865" t="s">
        <v>593</v>
      </c>
      <c r="G1328" s="865" t="s">
        <v>70</v>
      </c>
      <c r="H1328" s="867">
        <v>1985051.745</v>
      </c>
      <c r="I1328" s="867">
        <v>2246603.986</v>
      </c>
      <c r="J1328" s="868">
        <v>1711960.467</v>
      </c>
      <c r="K1328" s="50"/>
      <c r="L1328" s="869" t="s">
        <v>656</v>
      </c>
      <c r="M1328" s="865" t="s">
        <v>591</v>
      </c>
      <c r="N1328" s="865" t="s">
        <v>618</v>
      </c>
      <c r="O1328" s="866">
        <v>2004.0</v>
      </c>
      <c r="P1328" s="865" t="s">
        <v>593</v>
      </c>
      <c r="Q1328" s="865" t="s">
        <v>70</v>
      </c>
      <c r="R1328" s="867">
        <v>1201952.679</v>
      </c>
      <c r="S1328" s="867">
        <v>1307247.454</v>
      </c>
      <c r="T1328" s="868">
        <v>1088618.283</v>
      </c>
      <c r="AN1328" s="882"/>
      <c r="AO1328" s="882"/>
      <c r="AP1328" s="882"/>
      <c r="AY1328" s="882"/>
      <c r="AZ1328" s="882"/>
      <c r="BA1328" s="882"/>
      <c r="BJ1328" s="882"/>
      <c r="BK1328" s="882"/>
      <c r="BL1328" s="882"/>
      <c r="BU1328" s="882"/>
      <c r="BV1328" s="882"/>
      <c r="BW1328" s="882"/>
      <c r="CF1328" s="882"/>
      <c r="CG1328" s="882"/>
      <c r="CH1328" s="882"/>
      <c r="CI1328" s="530"/>
    </row>
    <row r="1329">
      <c r="A1329" s="857"/>
      <c r="B1329" s="865" t="s">
        <v>656</v>
      </c>
      <c r="C1329" s="865" t="s">
        <v>591</v>
      </c>
      <c r="D1329" s="865" t="s">
        <v>620</v>
      </c>
      <c r="E1329" s="866">
        <v>2019.0</v>
      </c>
      <c r="F1329" s="865" t="s">
        <v>593</v>
      </c>
      <c r="G1329" s="865" t="s">
        <v>70</v>
      </c>
      <c r="H1329" s="867">
        <v>2473421.466</v>
      </c>
      <c r="I1329" s="867">
        <v>2799235.83</v>
      </c>
      <c r="J1329" s="868">
        <v>2133197.31</v>
      </c>
      <c r="K1329" s="50"/>
      <c r="L1329" s="869" t="s">
        <v>656</v>
      </c>
      <c r="M1329" s="865" t="s">
        <v>591</v>
      </c>
      <c r="N1329" s="865" t="s">
        <v>620</v>
      </c>
      <c r="O1329" s="866">
        <v>2004.0</v>
      </c>
      <c r="P1329" s="865" t="s">
        <v>593</v>
      </c>
      <c r="Q1329" s="865" t="s">
        <v>70</v>
      </c>
      <c r="R1329" s="867">
        <v>1442159.355</v>
      </c>
      <c r="S1329" s="867">
        <v>1568425.494</v>
      </c>
      <c r="T1329" s="868">
        <v>1306187.431</v>
      </c>
      <c r="AN1329" s="882"/>
      <c r="AO1329" s="882"/>
      <c r="AP1329" s="882"/>
      <c r="AY1329" s="882"/>
      <c r="AZ1329" s="882"/>
      <c r="BA1329" s="882"/>
      <c r="BJ1329" s="882"/>
      <c r="BK1329" s="882"/>
      <c r="BL1329" s="882"/>
      <c r="BU1329" s="882"/>
      <c r="BV1329" s="882"/>
      <c r="BW1329" s="882"/>
      <c r="CF1329" s="882"/>
      <c r="CG1329" s="882"/>
      <c r="CH1329" s="882"/>
      <c r="CI1329" s="530"/>
    </row>
    <row r="1330">
      <c r="A1330" s="857"/>
      <c r="B1330" s="865" t="s">
        <v>656</v>
      </c>
      <c r="C1330" s="865" t="s">
        <v>591</v>
      </c>
      <c r="D1330" s="865" t="s">
        <v>622</v>
      </c>
      <c r="E1330" s="866">
        <v>2019.0</v>
      </c>
      <c r="F1330" s="865" t="s">
        <v>593</v>
      </c>
      <c r="G1330" s="865" t="s">
        <v>70</v>
      </c>
      <c r="H1330" s="867">
        <v>2391889.347</v>
      </c>
      <c r="I1330" s="867">
        <v>2707046.885</v>
      </c>
      <c r="J1330" s="868">
        <v>2062827.841</v>
      </c>
      <c r="K1330" s="50"/>
      <c r="L1330" s="869" t="s">
        <v>656</v>
      </c>
      <c r="M1330" s="865" t="s">
        <v>591</v>
      </c>
      <c r="N1330" s="865" t="s">
        <v>622</v>
      </c>
      <c r="O1330" s="866">
        <v>2004.0</v>
      </c>
      <c r="P1330" s="865" t="s">
        <v>593</v>
      </c>
      <c r="Q1330" s="865" t="s">
        <v>70</v>
      </c>
      <c r="R1330" s="867">
        <v>1404456.146</v>
      </c>
      <c r="S1330" s="867">
        <v>1527490.851</v>
      </c>
      <c r="T1330" s="868">
        <v>1272027.314</v>
      </c>
      <c r="AN1330" s="882"/>
      <c r="AO1330" s="882"/>
      <c r="AP1330" s="882"/>
      <c r="AY1330" s="882"/>
      <c r="AZ1330" s="882"/>
      <c r="BA1330" s="882"/>
      <c r="BJ1330" s="882"/>
      <c r="BK1330" s="882"/>
      <c r="BL1330" s="882"/>
      <c r="BU1330" s="882"/>
      <c r="BV1330" s="882"/>
      <c r="BW1330" s="882"/>
      <c r="CF1330" s="882"/>
      <c r="CG1330" s="882"/>
      <c r="CH1330" s="882"/>
      <c r="CI1330" s="530"/>
    </row>
    <row r="1331">
      <c r="A1331" s="857"/>
      <c r="B1331" s="865" t="s">
        <v>656</v>
      </c>
      <c r="C1331" s="865" t="s">
        <v>591</v>
      </c>
      <c r="D1331" s="865" t="s">
        <v>624</v>
      </c>
      <c r="E1331" s="866">
        <v>2019.0</v>
      </c>
      <c r="F1331" s="865" t="s">
        <v>593</v>
      </c>
      <c r="G1331" s="865" t="s">
        <v>70</v>
      </c>
      <c r="H1331" s="867">
        <v>449769.9287</v>
      </c>
      <c r="I1331" s="867">
        <v>509016.4038</v>
      </c>
      <c r="J1331" s="868">
        <v>387903.1597</v>
      </c>
      <c r="K1331" s="50"/>
      <c r="L1331" s="869" t="s">
        <v>656</v>
      </c>
      <c r="M1331" s="865" t="s">
        <v>591</v>
      </c>
      <c r="N1331" s="865" t="s">
        <v>624</v>
      </c>
      <c r="O1331" s="866">
        <v>2004.0</v>
      </c>
      <c r="P1331" s="865" t="s">
        <v>593</v>
      </c>
      <c r="Q1331" s="865" t="s">
        <v>70</v>
      </c>
      <c r="R1331" s="867">
        <v>283322.4433</v>
      </c>
      <c r="S1331" s="867">
        <v>308128.3225</v>
      </c>
      <c r="T1331" s="868">
        <v>256609.7935</v>
      </c>
      <c r="AN1331" s="882"/>
      <c r="AO1331" s="882"/>
      <c r="AP1331" s="882"/>
      <c r="AY1331" s="882"/>
      <c r="AZ1331" s="882"/>
      <c r="BA1331" s="882"/>
      <c r="BJ1331" s="882"/>
      <c r="BK1331" s="882"/>
      <c r="BL1331" s="882"/>
      <c r="BU1331" s="882"/>
      <c r="BV1331" s="882"/>
      <c r="BW1331" s="882"/>
      <c r="CF1331" s="882"/>
      <c r="CG1331" s="882"/>
      <c r="CH1331" s="882"/>
      <c r="CI1331" s="530"/>
    </row>
    <row r="1332">
      <c r="A1332" s="857"/>
      <c r="B1332" s="865" t="s">
        <v>656</v>
      </c>
      <c r="C1332" s="865" t="s">
        <v>591</v>
      </c>
      <c r="D1332" s="865" t="s">
        <v>625</v>
      </c>
      <c r="E1332" s="866">
        <v>2019.0</v>
      </c>
      <c r="F1332" s="865" t="s">
        <v>593</v>
      </c>
      <c r="G1332" s="865" t="s">
        <v>70</v>
      </c>
      <c r="H1332" s="867">
        <v>1942132.839</v>
      </c>
      <c r="I1332" s="867">
        <v>2197962.581</v>
      </c>
      <c r="J1332" s="868">
        <v>1674988.514</v>
      </c>
      <c r="K1332" s="50"/>
      <c r="L1332" s="869" t="s">
        <v>656</v>
      </c>
      <c r="M1332" s="865" t="s">
        <v>591</v>
      </c>
      <c r="N1332" s="865" t="s">
        <v>625</v>
      </c>
      <c r="O1332" s="866">
        <v>2004.0</v>
      </c>
      <c r="P1332" s="865" t="s">
        <v>593</v>
      </c>
      <c r="Q1332" s="865" t="s">
        <v>70</v>
      </c>
      <c r="R1332" s="867">
        <v>1121143.194</v>
      </c>
      <c r="S1332" s="867">
        <v>1219303.235</v>
      </c>
      <c r="T1332" s="868">
        <v>1015437.818</v>
      </c>
      <c r="AN1332" s="882"/>
      <c r="AO1332" s="882"/>
      <c r="AP1332" s="882"/>
      <c r="AY1332" s="882"/>
      <c r="AZ1332" s="882"/>
      <c r="BA1332" s="882"/>
      <c r="BJ1332" s="882"/>
      <c r="BK1332" s="882"/>
      <c r="BL1332" s="882"/>
      <c r="BU1332" s="882"/>
      <c r="BV1332" s="882"/>
      <c r="BW1332" s="882"/>
      <c r="CF1332" s="882"/>
      <c r="CG1332" s="882"/>
      <c r="CH1332" s="882"/>
      <c r="CI1332" s="530"/>
    </row>
    <row r="1333">
      <c r="A1333" s="857"/>
      <c r="B1333" s="865" t="s">
        <v>656</v>
      </c>
      <c r="C1333" s="865" t="s">
        <v>591</v>
      </c>
      <c r="D1333" s="865" t="s">
        <v>627</v>
      </c>
      <c r="E1333" s="866">
        <v>2019.0</v>
      </c>
      <c r="F1333" s="865" t="s">
        <v>593</v>
      </c>
      <c r="G1333" s="865" t="s">
        <v>70</v>
      </c>
      <c r="H1333" s="867">
        <v>379026.4984</v>
      </c>
      <c r="I1333" s="867">
        <v>428954.2116</v>
      </c>
      <c r="J1333" s="868">
        <v>326890.6322</v>
      </c>
      <c r="K1333" s="50"/>
      <c r="L1333" s="869" t="s">
        <v>656</v>
      </c>
      <c r="M1333" s="865" t="s">
        <v>591</v>
      </c>
      <c r="N1333" s="865" t="s">
        <v>627</v>
      </c>
      <c r="O1333" s="866">
        <v>2004.0</v>
      </c>
      <c r="P1333" s="865" t="s">
        <v>593</v>
      </c>
      <c r="Q1333" s="865" t="s">
        <v>70</v>
      </c>
      <c r="R1333" s="867">
        <v>245828.304</v>
      </c>
      <c r="S1333" s="867">
        <v>267351.4391</v>
      </c>
      <c r="T1333" s="868">
        <v>222650.7353</v>
      </c>
      <c r="AN1333" s="882"/>
      <c r="AO1333" s="882"/>
      <c r="AP1333" s="882"/>
      <c r="AY1333" s="882"/>
      <c r="AZ1333" s="882"/>
      <c r="BA1333" s="882"/>
      <c r="BJ1333" s="882"/>
      <c r="BK1333" s="882"/>
      <c r="BL1333" s="882"/>
      <c r="BU1333" s="882"/>
      <c r="BV1333" s="882"/>
      <c r="BW1333" s="882"/>
      <c r="CF1333" s="882"/>
      <c r="CG1333" s="882"/>
      <c r="CH1333" s="882"/>
      <c r="CI1333" s="530"/>
    </row>
    <row r="1334">
      <c r="A1334" s="857"/>
      <c r="B1334" s="865" t="s">
        <v>656</v>
      </c>
      <c r="C1334" s="865" t="s">
        <v>591</v>
      </c>
      <c r="D1334" s="865" t="s">
        <v>629</v>
      </c>
      <c r="E1334" s="866">
        <v>2019.0</v>
      </c>
      <c r="F1334" s="865" t="s">
        <v>593</v>
      </c>
      <c r="G1334" s="865" t="s">
        <v>70</v>
      </c>
      <c r="H1334" s="867">
        <v>1493681.284</v>
      </c>
      <c r="I1334" s="867">
        <v>1690490.102</v>
      </c>
      <c r="J1334" s="868">
        <v>1288189.749</v>
      </c>
      <c r="K1334" s="50"/>
      <c r="L1334" s="869" t="s">
        <v>656</v>
      </c>
      <c r="M1334" s="865" t="s">
        <v>591</v>
      </c>
      <c r="N1334" s="865" t="s">
        <v>629</v>
      </c>
      <c r="O1334" s="866">
        <v>2004.0</v>
      </c>
      <c r="P1334" s="865" t="s">
        <v>593</v>
      </c>
      <c r="Q1334" s="865" t="s">
        <v>70</v>
      </c>
      <c r="R1334" s="867">
        <v>835118.5358</v>
      </c>
      <c r="S1334" s="867">
        <v>908277.5041</v>
      </c>
      <c r="T1334" s="868">
        <v>756373.6261</v>
      </c>
      <c r="AN1334" s="882"/>
      <c r="AO1334" s="882"/>
      <c r="AP1334" s="882"/>
      <c r="AY1334" s="882"/>
      <c r="AZ1334" s="882"/>
      <c r="BA1334" s="882"/>
      <c r="BJ1334" s="882"/>
      <c r="BK1334" s="882"/>
      <c r="BL1334" s="882"/>
      <c r="BU1334" s="882"/>
      <c r="BV1334" s="882"/>
      <c r="BW1334" s="882"/>
      <c r="CF1334" s="882"/>
      <c r="CG1334" s="882"/>
      <c r="CH1334" s="882"/>
      <c r="CI1334" s="530"/>
    </row>
    <row r="1335">
      <c r="A1335" s="857"/>
      <c r="B1335" s="865" t="s">
        <v>656</v>
      </c>
      <c r="C1335" s="865" t="s">
        <v>591</v>
      </c>
      <c r="D1335" s="865" t="s">
        <v>631</v>
      </c>
      <c r="E1335" s="866">
        <v>2019.0</v>
      </c>
      <c r="F1335" s="865" t="s">
        <v>593</v>
      </c>
      <c r="G1335" s="865" t="s">
        <v>70</v>
      </c>
      <c r="H1335" s="867">
        <v>325608.3118</v>
      </c>
      <c r="I1335" s="867">
        <v>368499.4513</v>
      </c>
      <c r="J1335" s="868">
        <v>280820.2259</v>
      </c>
      <c r="K1335" s="50"/>
      <c r="L1335" s="869" t="s">
        <v>656</v>
      </c>
      <c r="M1335" s="865" t="s">
        <v>591</v>
      </c>
      <c r="N1335" s="865" t="s">
        <v>631</v>
      </c>
      <c r="O1335" s="866">
        <v>2004.0</v>
      </c>
      <c r="P1335" s="865" t="s">
        <v>593</v>
      </c>
      <c r="Q1335" s="865" t="s">
        <v>70</v>
      </c>
      <c r="R1335" s="867">
        <v>202518.7602</v>
      </c>
      <c r="S1335" s="867">
        <v>220249.992</v>
      </c>
      <c r="T1335" s="868">
        <v>183424.5697</v>
      </c>
      <c r="AN1335" s="882"/>
      <c r="AO1335" s="882"/>
      <c r="AP1335" s="882"/>
      <c r="AY1335" s="882"/>
      <c r="AZ1335" s="882"/>
      <c r="BA1335" s="882"/>
      <c r="BJ1335" s="882"/>
      <c r="BK1335" s="882"/>
      <c r="BL1335" s="882"/>
      <c r="BU1335" s="882"/>
      <c r="BV1335" s="882"/>
      <c r="BW1335" s="882"/>
      <c r="CF1335" s="882"/>
      <c r="CG1335" s="882"/>
      <c r="CH1335" s="882"/>
      <c r="CI1335" s="530"/>
    </row>
    <row r="1336">
      <c r="A1336" s="857"/>
      <c r="B1336" s="865" t="s">
        <v>656</v>
      </c>
      <c r="C1336" s="865" t="s">
        <v>591</v>
      </c>
      <c r="D1336" s="865" t="s">
        <v>633</v>
      </c>
      <c r="E1336" s="866">
        <v>2019.0</v>
      </c>
      <c r="F1336" s="865" t="s">
        <v>593</v>
      </c>
      <c r="G1336" s="865" t="s">
        <v>70</v>
      </c>
      <c r="H1336" s="867">
        <v>300696.2705</v>
      </c>
      <c r="I1336" s="867">
        <v>340305.8419</v>
      </c>
      <c r="J1336" s="868">
        <v>259334.8865</v>
      </c>
      <c r="K1336" s="50"/>
      <c r="L1336" s="869" t="s">
        <v>656</v>
      </c>
      <c r="M1336" s="865" t="s">
        <v>591</v>
      </c>
      <c r="N1336" s="865" t="s">
        <v>633</v>
      </c>
      <c r="O1336" s="866">
        <v>2004.0</v>
      </c>
      <c r="P1336" s="865" t="s">
        <v>593</v>
      </c>
      <c r="Q1336" s="865" t="s">
        <v>70</v>
      </c>
      <c r="R1336" s="867">
        <v>146578.562</v>
      </c>
      <c r="S1336" s="867">
        <v>159412.0321</v>
      </c>
      <c r="T1336" s="868">
        <v>132758.6128</v>
      </c>
      <c r="AN1336" s="882"/>
      <c r="AO1336" s="882"/>
      <c r="AP1336" s="882"/>
      <c r="AY1336" s="882"/>
      <c r="AZ1336" s="882"/>
      <c r="BA1336" s="882"/>
      <c r="BJ1336" s="882"/>
      <c r="BK1336" s="882"/>
      <c r="BL1336" s="882"/>
      <c r="BU1336" s="882"/>
      <c r="BV1336" s="882"/>
      <c r="BW1336" s="882"/>
      <c r="CF1336" s="882"/>
      <c r="CG1336" s="882"/>
      <c r="CH1336" s="882"/>
      <c r="CI1336" s="530"/>
    </row>
    <row r="1337">
      <c r="A1337" s="857"/>
      <c r="B1337" s="865" t="s">
        <v>656</v>
      </c>
      <c r="C1337" s="865" t="s">
        <v>591</v>
      </c>
      <c r="D1337" s="865" t="s">
        <v>635</v>
      </c>
      <c r="E1337" s="866">
        <v>2019.0</v>
      </c>
      <c r="F1337" s="865" t="s">
        <v>593</v>
      </c>
      <c r="G1337" s="865" t="s">
        <v>70</v>
      </c>
      <c r="H1337" s="867">
        <v>266641.9079</v>
      </c>
      <c r="I1337" s="867">
        <v>301765.6281</v>
      </c>
      <c r="J1337" s="868">
        <v>229964.7708</v>
      </c>
      <c r="K1337" s="50"/>
      <c r="L1337" s="869" t="s">
        <v>656</v>
      </c>
      <c r="M1337" s="865" t="s">
        <v>591</v>
      </c>
      <c r="N1337" s="865" t="s">
        <v>635</v>
      </c>
      <c r="O1337" s="866">
        <v>2004.0</v>
      </c>
      <c r="P1337" s="865" t="s">
        <v>593</v>
      </c>
      <c r="Q1337" s="865" t="s">
        <v>70</v>
      </c>
      <c r="R1337" s="867">
        <v>139338.7123</v>
      </c>
      <c r="S1337" s="867">
        <v>151538.3081</v>
      </c>
      <c r="T1337" s="868">
        <v>126201.3619</v>
      </c>
      <c r="AN1337" s="882"/>
      <c r="AO1337" s="882"/>
      <c r="AP1337" s="882"/>
      <c r="AY1337" s="882"/>
      <c r="AZ1337" s="882"/>
      <c r="BA1337" s="882"/>
      <c r="BJ1337" s="882"/>
      <c r="BK1337" s="882"/>
      <c r="BL1337" s="882"/>
      <c r="BU1337" s="882"/>
      <c r="BV1337" s="882"/>
      <c r="BW1337" s="882"/>
      <c r="CF1337" s="882"/>
      <c r="CG1337" s="882"/>
      <c r="CH1337" s="882"/>
      <c r="CI1337" s="530"/>
    </row>
    <row r="1338">
      <c r="A1338" s="857"/>
      <c r="B1338" s="865" t="s">
        <v>656</v>
      </c>
      <c r="C1338" s="865" t="s">
        <v>591</v>
      </c>
      <c r="D1338" s="865" t="s">
        <v>637</v>
      </c>
      <c r="E1338" s="866">
        <v>2019.0</v>
      </c>
      <c r="F1338" s="865" t="s">
        <v>593</v>
      </c>
      <c r="G1338" s="865" t="s">
        <v>70</v>
      </c>
      <c r="H1338" s="867">
        <v>221716.6762</v>
      </c>
      <c r="I1338" s="867">
        <v>250922.5673</v>
      </c>
      <c r="J1338" s="868">
        <v>191219.0962</v>
      </c>
      <c r="K1338" s="50"/>
      <c r="L1338" s="869" t="s">
        <v>656</v>
      </c>
      <c r="M1338" s="865" t="s">
        <v>591</v>
      </c>
      <c r="N1338" s="865" t="s">
        <v>637</v>
      </c>
      <c r="O1338" s="866">
        <v>2004.0</v>
      </c>
      <c r="P1338" s="865" t="s">
        <v>593</v>
      </c>
      <c r="Q1338" s="865" t="s">
        <v>70</v>
      </c>
      <c r="R1338" s="867">
        <v>100859.841</v>
      </c>
      <c r="S1338" s="867">
        <v>109690.4758</v>
      </c>
      <c r="T1338" s="868">
        <v>91350.4157</v>
      </c>
      <c r="AN1338" s="882"/>
      <c r="AO1338" s="882"/>
      <c r="AP1338" s="882"/>
      <c r="AY1338" s="882"/>
      <c r="AZ1338" s="882"/>
      <c r="BA1338" s="882"/>
      <c r="BJ1338" s="882"/>
      <c r="BK1338" s="882"/>
      <c r="BL1338" s="882"/>
      <c r="BU1338" s="882"/>
      <c r="BV1338" s="882"/>
      <c r="BW1338" s="882"/>
      <c r="CF1338" s="882"/>
      <c r="CG1338" s="882"/>
      <c r="CH1338" s="882"/>
      <c r="CI1338" s="530"/>
    </row>
    <row r="1339">
      <c r="A1339" s="857"/>
      <c r="B1339" s="865" t="s">
        <v>656</v>
      </c>
      <c r="C1339" s="865" t="s">
        <v>591</v>
      </c>
      <c r="D1339" s="865" t="s">
        <v>639</v>
      </c>
      <c r="E1339" s="866">
        <v>2019.0</v>
      </c>
      <c r="F1339" s="865" t="s">
        <v>593</v>
      </c>
      <c r="G1339" s="865" t="s">
        <v>70</v>
      </c>
      <c r="H1339" s="867">
        <v>1764664.189</v>
      </c>
      <c r="I1339" s="867">
        <v>1997177.963</v>
      </c>
      <c r="J1339" s="868">
        <v>1521892.483</v>
      </c>
      <c r="K1339" s="50"/>
      <c r="L1339" s="869" t="s">
        <v>656</v>
      </c>
      <c r="M1339" s="865" t="s">
        <v>591</v>
      </c>
      <c r="N1339" s="865" t="s">
        <v>639</v>
      </c>
      <c r="O1339" s="866">
        <v>2004.0</v>
      </c>
      <c r="P1339" s="865" t="s">
        <v>593</v>
      </c>
      <c r="Q1339" s="865" t="s">
        <v>70</v>
      </c>
      <c r="R1339" s="867">
        <v>1163650.734</v>
      </c>
      <c r="S1339" s="867">
        <v>1265590.139</v>
      </c>
      <c r="T1339" s="868">
        <v>1053927.9</v>
      </c>
      <c r="AN1339" s="882"/>
      <c r="AO1339" s="882"/>
      <c r="AP1339" s="882"/>
      <c r="AY1339" s="882"/>
      <c r="AZ1339" s="882"/>
      <c r="BA1339" s="882"/>
      <c r="BJ1339" s="882"/>
      <c r="BK1339" s="882"/>
      <c r="BL1339" s="882"/>
      <c r="BU1339" s="882"/>
      <c r="BV1339" s="882"/>
      <c r="BW1339" s="882"/>
      <c r="CF1339" s="882"/>
      <c r="CG1339" s="882"/>
      <c r="CH1339" s="882"/>
      <c r="CI1339" s="530"/>
    </row>
    <row r="1340">
      <c r="A1340" s="857"/>
      <c r="B1340" s="865" t="s">
        <v>656</v>
      </c>
      <c r="C1340" s="865" t="s">
        <v>591</v>
      </c>
      <c r="D1340" s="865" t="s">
        <v>641</v>
      </c>
      <c r="E1340" s="866">
        <v>2019.0</v>
      </c>
      <c r="F1340" s="865" t="s">
        <v>593</v>
      </c>
      <c r="G1340" s="865" t="s">
        <v>70</v>
      </c>
      <c r="H1340" s="867">
        <v>627142.1434</v>
      </c>
      <c r="I1340" s="867">
        <v>709753.183</v>
      </c>
      <c r="J1340" s="868">
        <v>540877.4653</v>
      </c>
      <c r="K1340" s="50"/>
      <c r="L1340" s="869" t="s">
        <v>656</v>
      </c>
      <c r="M1340" s="865" t="s">
        <v>591</v>
      </c>
      <c r="N1340" s="865" t="s">
        <v>641</v>
      </c>
      <c r="O1340" s="866">
        <v>2004.0</v>
      </c>
      <c r="P1340" s="865" t="s">
        <v>593</v>
      </c>
      <c r="Q1340" s="865" t="s">
        <v>70</v>
      </c>
      <c r="R1340" s="867">
        <v>451822.8514</v>
      </c>
      <c r="S1340" s="867">
        <v>491381.5357</v>
      </c>
      <c r="T1340" s="868">
        <v>409223.3826</v>
      </c>
      <c r="AN1340" s="882"/>
      <c r="AO1340" s="882"/>
      <c r="AP1340" s="882"/>
      <c r="AY1340" s="882"/>
      <c r="AZ1340" s="882"/>
      <c r="BA1340" s="882"/>
      <c r="BJ1340" s="882"/>
      <c r="BK1340" s="882"/>
      <c r="BL1340" s="882"/>
      <c r="BU1340" s="882"/>
      <c r="BV1340" s="882"/>
      <c r="BW1340" s="882"/>
      <c r="CF1340" s="882"/>
      <c r="CG1340" s="882"/>
      <c r="CH1340" s="882"/>
      <c r="CI1340" s="530"/>
    </row>
    <row r="1341">
      <c r="A1341" s="857"/>
      <c r="B1341" s="865" t="s">
        <v>656</v>
      </c>
      <c r="C1341" s="865" t="s">
        <v>591</v>
      </c>
      <c r="D1341" s="865" t="s">
        <v>643</v>
      </c>
      <c r="E1341" s="866">
        <v>2019.0</v>
      </c>
      <c r="F1341" s="865" t="s">
        <v>593</v>
      </c>
      <c r="G1341" s="865" t="s">
        <v>70</v>
      </c>
      <c r="H1341" s="867">
        <v>135576.7735</v>
      </c>
      <c r="I1341" s="867">
        <v>153435.7842</v>
      </c>
      <c r="J1341" s="868">
        <v>116927.9124</v>
      </c>
      <c r="K1341" s="50"/>
      <c r="L1341" s="869" t="s">
        <v>656</v>
      </c>
      <c r="M1341" s="865" t="s">
        <v>591</v>
      </c>
      <c r="N1341" s="865" t="s">
        <v>643</v>
      </c>
      <c r="O1341" s="866">
        <v>2004.0</v>
      </c>
      <c r="P1341" s="865" t="s">
        <v>593</v>
      </c>
      <c r="Q1341" s="865" t="s">
        <v>70</v>
      </c>
      <c r="R1341" s="867">
        <v>75327.71505</v>
      </c>
      <c r="S1341" s="867">
        <v>81922.92219</v>
      </c>
      <c r="T1341" s="868">
        <v>68225.54959</v>
      </c>
      <c r="AN1341" s="882"/>
      <c r="AO1341" s="882"/>
      <c r="AP1341" s="882"/>
      <c r="AY1341" s="882"/>
      <c r="AZ1341" s="882"/>
      <c r="BA1341" s="882"/>
      <c r="BJ1341" s="882"/>
      <c r="BK1341" s="882"/>
      <c r="BL1341" s="882"/>
      <c r="BU1341" s="882"/>
      <c r="BV1341" s="882"/>
      <c r="BW1341" s="882"/>
      <c r="CF1341" s="882"/>
      <c r="CG1341" s="882"/>
      <c r="CH1341" s="882"/>
      <c r="CI1341" s="530"/>
    </row>
    <row r="1342">
      <c r="A1342" s="857"/>
      <c r="B1342" s="865" t="s">
        <v>656</v>
      </c>
      <c r="C1342" s="865" t="s">
        <v>591</v>
      </c>
      <c r="D1342" s="865" t="s">
        <v>645</v>
      </c>
      <c r="E1342" s="866">
        <v>2019.0</v>
      </c>
      <c r="F1342" s="865" t="s">
        <v>593</v>
      </c>
      <c r="G1342" s="865" t="s">
        <v>70</v>
      </c>
      <c r="H1342" s="867">
        <v>364115.8639</v>
      </c>
      <c r="I1342" s="867">
        <v>412079.4561</v>
      </c>
      <c r="J1342" s="868">
        <v>314030.9858</v>
      </c>
      <c r="K1342" s="50"/>
      <c r="L1342" s="869" t="s">
        <v>656</v>
      </c>
      <c r="M1342" s="865" t="s">
        <v>591</v>
      </c>
      <c r="N1342" s="865" t="s">
        <v>645</v>
      </c>
      <c r="O1342" s="866">
        <v>2004.0</v>
      </c>
      <c r="P1342" s="865" t="s">
        <v>593</v>
      </c>
      <c r="Q1342" s="865" t="s">
        <v>70</v>
      </c>
      <c r="R1342" s="867">
        <v>215860.8722</v>
      </c>
      <c r="S1342" s="867">
        <v>234760.253</v>
      </c>
      <c r="T1342" s="868">
        <v>195508.7398</v>
      </c>
      <c r="AN1342" s="882"/>
      <c r="AO1342" s="882"/>
      <c r="AP1342" s="882"/>
      <c r="AY1342" s="882"/>
      <c r="AZ1342" s="882"/>
      <c r="BA1342" s="882"/>
      <c r="BJ1342" s="882"/>
      <c r="BK1342" s="882"/>
      <c r="BL1342" s="882"/>
      <c r="BU1342" s="882"/>
      <c r="BV1342" s="882"/>
      <c r="BW1342" s="882"/>
      <c r="CF1342" s="882"/>
      <c r="CG1342" s="882"/>
      <c r="CH1342" s="882"/>
      <c r="CI1342" s="530"/>
    </row>
    <row r="1343">
      <c r="A1343" s="857"/>
      <c r="B1343" s="865" t="s">
        <v>656</v>
      </c>
      <c r="C1343" s="865" t="s">
        <v>591</v>
      </c>
      <c r="D1343" s="865" t="s">
        <v>604</v>
      </c>
      <c r="E1343" s="866">
        <v>2019.0</v>
      </c>
      <c r="F1343" s="865" t="s">
        <v>593</v>
      </c>
      <c r="G1343" s="865" t="s">
        <v>70</v>
      </c>
      <c r="H1343" s="867">
        <v>1234712.217</v>
      </c>
      <c r="I1343" s="867">
        <v>1397356.142</v>
      </c>
      <c r="J1343" s="868">
        <v>1064875.039</v>
      </c>
      <c r="K1343" s="50"/>
      <c r="L1343" s="869" t="s">
        <v>656</v>
      </c>
      <c r="M1343" s="865" t="s">
        <v>591</v>
      </c>
      <c r="N1343" s="865" t="s">
        <v>604</v>
      </c>
      <c r="O1343" s="866">
        <v>2004.0</v>
      </c>
      <c r="P1343" s="865" t="s">
        <v>593</v>
      </c>
      <c r="Q1343" s="865" t="s">
        <v>70</v>
      </c>
      <c r="R1343" s="867">
        <v>839945.8655</v>
      </c>
      <c r="S1343" s="867">
        <v>913486.0887</v>
      </c>
      <c r="T1343" s="868">
        <v>760752.7756</v>
      </c>
      <c r="AN1343" s="882"/>
      <c r="AO1343" s="882"/>
      <c r="AP1343" s="882"/>
      <c r="AY1343" s="882"/>
      <c r="AZ1343" s="882"/>
      <c r="BA1343" s="882"/>
      <c r="BJ1343" s="882"/>
      <c r="BK1343" s="882"/>
      <c r="BL1343" s="882"/>
      <c r="BU1343" s="882"/>
      <c r="BV1343" s="882"/>
      <c r="BW1343" s="882"/>
      <c r="CF1343" s="882"/>
      <c r="CG1343" s="882"/>
      <c r="CH1343" s="882"/>
      <c r="CI1343" s="530"/>
    </row>
    <row r="1344">
      <c r="A1344" s="857"/>
      <c r="B1344" s="865" t="s">
        <v>656</v>
      </c>
      <c r="C1344" s="865" t="s">
        <v>591</v>
      </c>
      <c r="D1344" s="865" t="s">
        <v>647</v>
      </c>
      <c r="E1344" s="866">
        <v>2019.0</v>
      </c>
      <c r="F1344" s="865" t="s">
        <v>593</v>
      </c>
      <c r="G1344" s="865" t="s">
        <v>70</v>
      </c>
      <c r="H1344" s="867">
        <v>312864.6449</v>
      </c>
      <c r="I1344" s="867">
        <v>354087.9779</v>
      </c>
      <c r="J1344" s="868">
        <v>269822.6407</v>
      </c>
      <c r="K1344" s="50"/>
      <c r="L1344" s="869" t="s">
        <v>656</v>
      </c>
      <c r="M1344" s="865" t="s">
        <v>591</v>
      </c>
      <c r="N1344" s="865" t="s">
        <v>647</v>
      </c>
      <c r="O1344" s="866">
        <v>2004.0</v>
      </c>
      <c r="P1344" s="865" t="s">
        <v>593</v>
      </c>
      <c r="Q1344" s="865" t="s">
        <v>70</v>
      </c>
      <c r="R1344" s="867">
        <v>210689.8758</v>
      </c>
      <c r="S1344" s="867">
        <v>229146.961</v>
      </c>
      <c r="T1344" s="868">
        <v>190823.528</v>
      </c>
      <c r="AN1344" s="882"/>
      <c r="AO1344" s="882"/>
      <c r="AP1344" s="882"/>
      <c r="AY1344" s="882"/>
      <c r="AZ1344" s="882"/>
      <c r="BA1344" s="882"/>
      <c r="BJ1344" s="882"/>
      <c r="BK1344" s="882"/>
      <c r="BL1344" s="882"/>
      <c r="BU1344" s="882"/>
      <c r="BV1344" s="882"/>
      <c r="BW1344" s="882"/>
      <c r="CF1344" s="882"/>
      <c r="CG1344" s="882"/>
      <c r="CH1344" s="882"/>
      <c r="CI1344" s="530"/>
    </row>
    <row r="1345">
      <c r="A1345" s="857"/>
      <c r="B1345" s="865" t="s">
        <v>656</v>
      </c>
      <c r="C1345" s="865" t="s">
        <v>591</v>
      </c>
      <c r="D1345" s="865" t="s">
        <v>649</v>
      </c>
      <c r="E1345" s="866">
        <v>2019.0</v>
      </c>
      <c r="F1345" s="865" t="s">
        <v>593</v>
      </c>
      <c r="G1345" s="865" t="s">
        <v>70</v>
      </c>
      <c r="H1345" s="867">
        <v>101466.7854</v>
      </c>
      <c r="I1345" s="867">
        <v>114832.6176</v>
      </c>
      <c r="J1345" s="868">
        <v>87509.82261</v>
      </c>
      <c r="K1345" s="50"/>
      <c r="L1345" s="869" t="s">
        <v>656</v>
      </c>
      <c r="M1345" s="865" t="s">
        <v>591</v>
      </c>
      <c r="N1345" s="865" t="s">
        <v>649</v>
      </c>
      <c r="O1345" s="866">
        <v>2004.0</v>
      </c>
      <c r="P1345" s="865" t="s">
        <v>593</v>
      </c>
      <c r="Q1345" s="865" t="s">
        <v>70</v>
      </c>
      <c r="R1345" s="867">
        <v>57570.83973</v>
      </c>
      <c r="S1345" s="867">
        <v>62611.36981</v>
      </c>
      <c r="T1345" s="868">
        <v>52142.85577</v>
      </c>
      <c r="AN1345" s="882"/>
      <c r="AO1345" s="882"/>
      <c r="AP1345" s="882"/>
      <c r="AY1345" s="882"/>
      <c r="AZ1345" s="882"/>
      <c r="BA1345" s="882"/>
      <c r="BJ1345" s="882"/>
      <c r="BK1345" s="882"/>
      <c r="BL1345" s="882"/>
      <c r="BU1345" s="882"/>
      <c r="BV1345" s="882"/>
      <c r="BW1345" s="882"/>
      <c r="CF1345" s="882"/>
      <c r="CG1345" s="882"/>
      <c r="CH1345" s="882"/>
      <c r="CI1345" s="530"/>
    </row>
    <row r="1346">
      <c r="A1346" s="857"/>
      <c r="B1346" s="865" t="s">
        <v>656</v>
      </c>
      <c r="C1346" s="865" t="s">
        <v>591</v>
      </c>
      <c r="D1346" s="865" t="s">
        <v>651</v>
      </c>
      <c r="E1346" s="866">
        <v>2019.0</v>
      </c>
      <c r="F1346" s="865" t="s">
        <v>593</v>
      </c>
      <c r="G1346" s="865" t="s">
        <v>70</v>
      </c>
      <c r="H1346" s="867">
        <v>72914.43026</v>
      </c>
      <c r="I1346" s="867">
        <v>82519.16971</v>
      </c>
      <c r="J1346" s="868">
        <v>62884.90199</v>
      </c>
      <c r="K1346" s="50"/>
      <c r="L1346" s="869" t="s">
        <v>656</v>
      </c>
      <c r="M1346" s="865" t="s">
        <v>591</v>
      </c>
      <c r="N1346" s="865" t="s">
        <v>651</v>
      </c>
      <c r="O1346" s="866">
        <v>2004.0</v>
      </c>
      <c r="P1346" s="865" t="s">
        <v>593</v>
      </c>
      <c r="Q1346" s="865" t="s">
        <v>70</v>
      </c>
      <c r="R1346" s="867">
        <v>45129.46635</v>
      </c>
      <c r="S1346" s="867">
        <v>49080.7103</v>
      </c>
      <c r="T1346" s="868">
        <v>40874.49941</v>
      </c>
      <c r="AN1346" s="882"/>
      <c r="AO1346" s="882"/>
      <c r="AP1346" s="882"/>
      <c r="AY1346" s="882"/>
      <c r="AZ1346" s="882"/>
      <c r="BA1346" s="882"/>
      <c r="BJ1346" s="882"/>
      <c r="BK1346" s="882"/>
      <c r="BL1346" s="882"/>
      <c r="BU1346" s="882"/>
      <c r="BV1346" s="882"/>
      <c r="BW1346" s="882"/>
      <c r="CF1346" s="882"/>
      <c r="CG1346" s="882"/>
      <c r="CH1346" s="882"/>
      <c r="CI1346" s="530"/>
    </row>
    <row r="1347">
      <c r="A1347" s="857"/>
      <c r="B1347" s="865" t="s">
        <v>656</v>
      </c>
      <c r="C1347" s="865" t="s">
        <v>591</v>
      </c>
      <c r="D1347" s="865" t="s">
        <v>653</v>
      </c>
      <c r="E1347" s="866">
        <v>2019.0</v>
      </c>
      <c r="F1347" s="865" t="s">
        <v>593</v>
      </c>
      <c r="G1347" s="865" t="s">
        <v>70</v>
      </c>
      <c r="H1347" s="867">
        <v>54157.87462</v>
      </c>
      <c r="I1347" s="867">
        <v>61291.88462</v>
      </c>
      <c r="J1347" s="868">
        <v>46708.34875</v>
      </c>
      <c r="K1347" s="50"/>
      <c r="L1347" s="869" t="s">
        <v>656</v>
      </c>
      <c r="M1347" s="865" t="s">
        <v>591</v>
      </c>
      <c r="N1347" s="865" t="s">
        <v>653</v>
      </c>
      <c r="O1347" s="866">
        <v>2004.0</v>
      </c>
      <c r="P1347" s="865" t="s">
        <v>593</v>
      </c>
      <c r="Q1347" s="865" t="s">
        <v>70</v>
      </c>
      <c r="R1347" s="867">
        <v>37832.85111</v>
      </c>
      <c r="S1347" s="867">
        <v>41145.25067</v>
      </c>
      <c r="T1347" s="868">
        <v>34265.83506</v>
      </c>
      <c r="AN1347" s="882"/>
      <c r="AO1347" s="882"/>
      <c r="AP1347" s="882"/>
      <c r="AY1347" s="882"/>
      <c r="AZ1347" s="882"/>
      <c r="BA1347" s="882"/>
      <c r="BJ1347" s="882"/>
      <c r="BK1347" s="882"/>
      <c r="BL1347" s="882"/>
      <c r="BU1347" s="882"/>
      <c r="BV1347" s="882"/>
      <c r="BW1347" s="882"/>
      <c r="CF1347" s="882"/>
      <c r="CG1347" s="882"/>
      <c r="CH1347" s="882"/>
      <c r="CI1347" s="530"/>
    </row>
    <row r="1348">
      <c r="A1348" s="857"/>
      <c r="B1348" s="865" t="s">
        <v>656</v>
      </c>
      <c r="C1348" s="865" t="s">
        <v>591</v>
      </c>
      <c r="D1348" s="865" t="s">
        <v>655</v>
      </c>
      <c r="E1348" s="866">
        <v>2019.0</v>
      </c>
      <c r="F1348" s="865" t="s">
        <v>593</v>
      </c>
      <c r="G1348" s="865" t="s">
        <v>70</v>
      </c>
      <c r="H1348" s="867">
        <v>91316.69582</v>
      </c>
      <c r="I1348" s="867">
        <v>103348.6675</v>
      </c>
      <c r="J1348" s="868">
        <v>78753.90333</v>
      </c>
      <c r="K1348" s="50"/>
      <c r="L1348" s="869" t="s">
        <v>656</v>
      </c>
      <c r="M1348" s="865" t="s">
        <v>591</v>
      </c>
      <c r="N1348" s="865" t="s">
        <v>655</v>
      </c>
      <c r="O1348" s="866">
        <v>2004.0</v>
      </c>
      <c r="P1348" s="865" t="s">
        <v>593</v>
      </c>
      <c r="Q1348" s="865" t="s">
        <v>70</v>
      </c>
      <c r="R1348" s="867">
        <v>68596.79824</v>
      </c>
      <c r="S1348" s="867">
        <v>74606.09006</v>
      </c>
      <c r="T1348" s="868">
        <v>62128.67611</v>
      </c>
      <c r="AN1348" s="882"/>
      <c r="AO1348" s="882"/>
      <c r="AP1348" s="882"/>
      <c r="AY1348" s="882"/>
      <c r="AZ1348" s="882"/>
      <c r="BA1348" s="882"/>
      <c r="BJ1348" s="882"/>
      <c r="BK1348" s="882"/>
      <c r="BL1348" s="882"/>
      <c r="BU1348" s="882"/>
      <c r="BV1348" s="882"/>
      <c r="BW1348" s="882"/>
      <c r="CF1348" s="882"/>
      <c r="CG1348" s="882"/>
      <c r="CH1348" s="882"/>
      <c r="CI1348" s="530"/>
    </row>
    <row r="1349">
      <c r="A1349" s="857"/>
      <c r="B1349" s="865" t="s">
        <v>656</v>
      </c>
      <c r="C1349" s="865" t="s">
        <v>591</v>
      </c>
      <c r="D1349" s="865" t="s">
        <v>657</v>
      </c>
      <c r="E1349" s="866">
        <v>2019.0</v>
      </c>
      <c r="F1349" s="865" t="s">
        <v>593</v>
      </c>
      <c r="G1349" s="865" t="s">
        <v>70</v>
      </c>
      <c r="H1349" s="867">
        <v>37159.33353</v>
      </c>
      <c r="I1349" s="867">
        <v>42054.19063</v>
      </c>
      <c r="J1349" s="868">
        <v>32047.99158</v>
      </c>
      <c r="K1349" s="50"/>
      <c r="L1349" s="869" t="s">
        <v>656</v>
      </c>
      <c r="M1349" s="865" t="s">
        <v>591</v>
      </c>
      <c r="N1349" s="865" t="s">
        <v>657</v>
      </c>
      <c r="O1349" s="866">
        <v>2004.0</v>
      </c>
      <c r="P1349" s="865" t="s">
        <v>593</v>
      </c>
      <c r="Q1349" s="865" t="s">
        <v>70</v>
      </c>
      <c r="R1349" s="867">
        <v>30764.41071</v>
      </c>
      <c r="S1349" s="867">
        <v>33457.94338</v>
      </c>
      <c r="T1349" s="868">
        <v>27863.83242</v>
      </c>
      <c r="AN1349" s="882"/>
      <c r="AO1349" s="882"/>
      <c r="AP1349" s="882"/>
      <c r="AY1349" s="882"/>
      <c r="AZ1349" s="882"/>
      <c r="BA1349" s="882"/>
      <c r="BJ1349" s="882"/>
      <c r="BK1349" s="882"/>
      <c r="BL1349" s="882"/>
      <c r="BU1349" s="882"/>
      <c r="BV1349" s="882"/>
      <c r="BW1349" s="882"/>
      <c r="CF1349" s="882"/>
      <c r="CG1349" s="882"/>
      <c r="CH1349" s="882"/>
      <c r="CI1349" s="530"/>
    </row>
    <row r="1350">
      <c r="A1350" s="857"/>
      <c r="B1350" s="865" t="s">
        <v>656</v>
      </c>
      <c r="C1350" s="865" t="s">
        <v>591</v>
      </c>
      <c r="D1350" s="865" t="s">
        <v>659</v>
      </c>
      <c r="E1350" s="866">
        <v>2019.0</v>
      </c>
      <c r="F1350" s="865" t="s">
        <v>593</v>
      </c>
      <c r="G1350" s="865" t="s">
        <v>70</v>
      </c>
      <c r="H1350" s="867">
        <v>84327.30993</v>
      </c>
      <c r="I1350" s="867">
        <v>95435.42444</v>
      </c>
      <c r="J1350" s="868">
        <v>72727.91683</v>
      </c>
      <c r="K1350" s="50"/>
      <c r="L1350" s="869" t="s">
        <v>656</v>
      </c>
      <c r="M1350" s="865" t="s">
        <v>591</v>
      </c>
      <c r="N1350" s="865" t="s">
        <v>659</v>
      </c>
      <c r="O1350" s="866">
        <v>2004.0</v>
      </c>
      <c r="P1350" s="865" t="s">
        <v>593</v>
      </c>
      <c r="Q1350" s="865" t="s">
        <v>70</v>
      </c>
      <c r="R1350" s="867">
        <v>70158.14245</v>
      </c>
      <c r="S1350" s="867">
        <v>76300.73528</v>
      </c>
      <c r="T1350" s="868">
        <v>63543.38272</v>
      </c>
      <c r="AN1350" s="882"/>
      <c r="AO1350" s="882"/>
      <c r="AP1350" s="882"/>
      <c r="AY1350" s="882"/>
      <c r="AZ1350" s="882"/>
      <c r="BA1350" s="882"/>
      <c r="BJ1350" s="882"/>
      <c r="BK1350" s="882"/>
      <c r="BL1350" s="882"/>
      <c r="BU1350" s="882"/>
      <c r="BV1350" s="882"/>
      <c r="BW1350" s="882"/>
      <c r="CF1350" s="882"/>
      <c r="CG1350" s="882"/>
      <c r="CH1350" s="882"/>
      <c r="CI1350" s="530"/>
    </row>
    <row r="1351">
      <c r="A1351" s="857"/>
      <c r="B1351" s="865" t="s">
        <v>656</v>
      </c>
      <c r="C1351" s="865" t="s">
        <v>591</v>
      </c>
      <c r="D1351" s="865" t="s">
        <v>661</v>
      </c>
      <c r="E1351" s="866">
        <v>2019.0</v>
      </c>
      <c r="F1351" s="865" t="s">
        <v>593</v>
      </c>
      <c r="G1351" s="865" t="s">
        <v>70</v>
      </c>
      <c r="H1351" s="867">
        <v>47167.71176</v>
      </c>
      <c r="I1351" s="867">
        <v>53382.57278</v>
      </c>
      <c r="J1351" s="868">
        <v>40678.66647</v>
      </c>
      <c r="K1351" s="50"/>
      <c r="L1351" s="869" t="s">
        <v>656</v>
      </c>
      <c r="M1351" s="865" t="s">
        <v>591</v>
      </c>
      <c r="N1351" s="865" t="s">
        <v>661</v>
      </c>
      <c r="O1351" s="866">
        <v>2004.0</v>
      </c>
      <c r="P1351" s="865" t="s">
        <v>593</v>
      </c>
      <c r="Q1351" s="865" t="s">
        <v>70</v>
      </c>
      <c r="R1351" s="867">
        <v>39393.46551</v>
      </c>
      <c r="S1351" s="867">
        <v>42844.45501</v>
      </c>
      <c r="T1351" s="868">
        <v>35678.98098</v>
      </c>
      <c r="AN1351" s="882"/>
      <c r="AO1351" s="882"/>
      <c r="AP1351" s="882"/>
      <c r="AY1351" s="882"/>
      <c r="AZ1351" s="882"/>
      <c r="BA1351" s="882"/>
      <c r="BJ1351" s="882"/>
      <c r="BK1351" s="882"/>
      <c r="BL1351" s="882"/>
      <c r="BU1351" s="882"/>
      <c r="BV1351" s="882"/>
      <c r="BW1351" s="882"/>
      <c r="CF1351" s="882"/>
      <c r="CG1351" s="882"/>
      <c r="CH1351" s="882"/>
      <c r="CI1351" s="530"/>
    </row>
    <row r="1352">
      <c r="A1352" s="857"/>
      <c r="B1352" s="865" t="s">
        <v>656</v>
      </c>
      <c r="C1352" s="865" t="s">
        <v>591</v>
      </c>
      <c r="D1352" s="865" t="s">
        <v>663</v>
      </c>
      <c r="E1352" s="866">
        <v>2019.0</v>
      </c>
      <c r="F1352" s="865" t="s">
        <v>593</v>
      </c>
      <c r="G1352" s="865" t="s">
        <v>70</v>
      </c>
      <c r="H1352" s="867">
        <v>23503.61631</v>
      </c>
      <c r="I1352" s="867">
        <v>26599.65793</v>
      </c>
      <c r="J1352" s="868">
        <v>20270.64606</v>
      </c>
      <c r="K1352" s="50"/>
      <c r="L1352" s="869" t="s">
        <v>656</v>
      </c>
      <c r="M1352" s="865" t="s">
        <v>591</v>
      </c>
      <c r="N1352" s="865" t="s">
        <v>663</v>
      </c>
      <c r="O1352" s="866">
        <v>2004.0</v>
      </c>
      <c r="P1352" s="865" t="s">
        <v>593</v>
      </c>
      <c r="Q1352" s="865" t="s">
        <v>70</v>
      </c>
      <c r="R1352" s="867">
        <v>21258.60458</v>
      </c>
      <c r="S1352" s="867">
        <v>23119.8704</v>
      </c>
      <c r="T1352" s="868">
        <v>19254.26757</v>
      </c>
      <c r="AN1352" s="882"/>
      <c r="AO1352" s="882"/>
      <c r="AP1352" s="882"/>
      <c r="AY1352" s="882"/>
      <c r="AZ1352" s="882"/>
      <c r="BA1352" s="882"/>
      <c r="BJ1352" s="882"/>
      <c r="BK1352" s="882"/>
      <c r="BL1352" s="882"/>
      <c r="BU1352" s="882"/>
      <c r="BV1352" s="882"/>
      <c r="BW1352" s="882"/>
      <c r="CF1352" s="882"/>
      <c r="CG1352" s="882"/>
      <c r="CH1352" s="882"/>
      <c r="CI1352" s="530"/>
    </row>
    <row r="1353">
      <c r="A1353" s="857"/>
      <c r="B1353" s="865" t="s">
        <v>656</v>
      </c>
      <c r="C1353" s="865" t="s">
        <v>591</v>
      </c>
      <c r="D1353" s="865" t="s">
        <v>665</v>
      </c>
      <c r="E1353" s="866">
        <v>2019.0</v>
      </c>
      <c r="F1353" s="865" t="s">
        <v>593</v>
      </c>
      <c r="G1353" s="865" t="s">
        <v>70</v>
      </c>
      <c r="H1353" s="867">
        <v>37378.12722</v>
      </c>
      <c r="I1353" s="867">
        <v>42303.1036</v>
      </c>
      <c r="J1353" s="868">
        <v>32235.8731</v>
      </c>
      <c r="K1353" s="50"/>
      <c r="L1353" s="869" t="s">
        <v>656</v>
      </c>
      <c r="M1353" s="865" t="s">
        <v>591</v>
      </c>
      <c r="N1353" s="865" t="s">
        <v>665</v>
      </c>
      <c r="O1353" s="866">
        <v>2004.0</v>
      </c>
      <c r="P1353" s="865" t="s">
        <v>593</v>
      </c>
      <c r="Q1353" s="865" t="s">
        <v>70</v>
      </c>
      <c r="R1353" s="867">
        <v>32538.78017</v>
      </c>
      <c r="S1353" s="867">
        <v>35389.27801</v>
      </c>
      <c r="T1353" s="868">
        <v>29470.63691</v>
      </c>
      <c r="AN1353" s="882"/>
      <c r="AO1353" s="882"/>
      <c r="AP1353" s="882"/>
      <c r="AY1353" s="882"/>
      <c r="AZ1353" s="882"/>
      <c r="BA1353" s="882"/>
      <c r="BJ1353" s="882"/>
      <c r="BK1353" s="882"/>
      <c r="BL1353" s="882"/>
      <c r="BU1353" s="882"/>
      <c r="BV1353" s="882"/>
      <c r="BW1353" s="882"/>
      <c r="CF1353" s="882"/>
      <c r="CG1353" s="882"/>
      <c r="CH1353" s="882"/>
      <c r="CI1353" s="530"/>
    </row>
    <row r="1354">
      <c r="A1354" s="857"/>
      <c r="B1354" s="865" t="s">
        <v>656</v>
      </c>
      <c r="C1354" s="865" t="s">
        <v>591</v>
      </c>
      <c r="D1354" s="865" t="s">
        <v>667</v>
      </c>
      <c r="E1354" s="866">
        <v>2019.0</v>
      </c>
      <c r="F1354" s="865" t="s">
        <v>593</v>
      </c>
      <c r="G1354" s="865" t="s">
        <v>70</v>
      </c>
      <c r="H1354" s="867">
        <v>23664.36008</v>
      </c>
      <c r="I1354" s="867">
        <v>26781.57587</v>
      </c>
      <c r="J1354" s="868">
        <v>20409.2792</v>
      </c>
      <c r="K1354" s="50"/>
      <c r="L1354" s="869" t="s">
        <v>656</v>
      </c>
      <c r="M1354" s="865" t="s">
        <v>591</v>
      </c>
      <c r="N1354" s="865" t="s">
        <v>667</v>
      </c>
      <c r="O1354" s="866">
        <v>2004.0</v>
      </c>
      <c r="P1354" s="865" t="s">
        <v>593</v>
      </c>
      <c r="Q1354" s="865" t="s">
        <v>70</v>
      </c>
      <c r="R1354" s="867">
        <v>18135.12715</v>
      </c>
      <c r="S1354" s="867">
        <v>19722.9215</v>
      </c>
      <c r="T1354" s="868">
        <v>16425.28273</v>
      </c>
      <c r="AN1354" s="882"/>
      <c r="AO1354" s="882"/>
      <c r="AP1354" s="882"/>
      <c r="AY1354" s="882"/>
      <c r="AZ1354" s="882"/>
      <c r="BA1354" s="882"/>
      <c r="BJ1354" s="882"/>
      <c r="BK1354" s="882"/>
      <c r="BL1354" s="882"/>
      <c r="BU1354" s="882"/>
      <c r="BV1354" s="882"/>
      <c r="BW1354" s="882"/>
      <c r="CF1354" s="882"/>
      <c r="CG1354" s="882"/>
      <c r="CH1354" s="882"/>
      <c r="CI1354" s="530"/>
    </row>
    <row r="1355">
      <c r="A1355" s="857"/>
      <c r="B1355" s="865" t="s">
        <v>656</v>
      </c>
      <c r="C1355" s="865" t="s">
        <v>591</v>
      </c>
      <c r="D1355" s="865" t="s">
        <v>669</v>
      </c>
      <c r="E1355" s="866">
        <v>2019.0</v>
      </c>
      <c r="F1355" s="865" t="s">
        <v>593</v>
      </c>
      <c r="G1355" s="865" t="s">
        <v>70</v>
      </c>
      <c r="H1355" s="867">
        <v>13874.72062</v>
      </c>
      <c r="I1355" s="867">
        <v>15702.38458</v>
      </c>
      <c r="J1355" s="868">
        <v>11966.22456</v>
      </c>
      <c r="K1355" s="50"/>
      <c r="L1355" s="869" t="s">
        <v>656</v>
      </c>
      <c r="M1355" s="865" t="s">
        <v>591</v>
      </c>
      <c r="N1355" s="865" t="s">
        <v>669</v>
      </c>
      <c r="O1355" s="866">
        <v>2004.0</v>
      </c>
      <c r="P1355" s="865" t="s">
        <v>593</v>
      </c>
      <c r="Q1355" s="865" t="s">
        <v>70</v>
      </c>
      <c r="R1355" s="867">
        <v>11280.39548</v>
      </c>
      <c r="S1355" s="867">
        <v>12268.0339</v>
      </c>
      <c r="T1355" s="868">
        <v>10216.83959</v>
      </c>
      <c r="AN1355" s="882"/>
      <c r="AO1355" s="882"/>
      <c r="AP1355" s="882"/>
      <c r="AY1355" s="882"/>
      <c r="AZ1355" s="882"/>
      <c r="BA1355" s="882"/>
      <c r="BJ1355" s="882"/>
      <c r="BK1355" s="882"/>
      <c r="BL1355" s="882"/>
      <c r="BU1355" s="882"/>
      <c r="BV1355" s="882"/>
      <c r="BW1355" s="882"/>
      <c r="CF1355" s="882"/>
      <c r="CG1355" s="882"/>
      <c r="CH1355" s="882"/>
      <c r="CI1355" s="530"/>
    </row>
    <row r="1356">
      <c r="A1356" s="857"/>
      <c r="B1356" s="865" t="s">
        <v>656</v>
      </c>
      <c r="C1356" s="865" t="s">
        <v>591</v>
      </c>
      <c r="D1356" s="865" t="s">
        <v>671</v>
      </c>
      <c r="E1356" s="866">
        <v>2019.0</v>
      </c>
      <c r="F1356" s="865" t="s">
        <v>593</v>
      </c>
      <c r="G1356" s="865" t="s">
        <v>70</v>
      </c>
      <c r="H1356" s="867">
        <v>9789.584538</v>
      </c>
      <c r="I1356" s="867">
        <v>11079.46919</v>
      </c>
      <c r="J1356" s="868">
        <v>8442.793374</v>
      </c>
      <c r="K1356" s="50"/>
      <c r="L1356" s="869" t="s">
        <v>656</v>
      </c>
      <c r="M1356" s="865" t="s">
        <v>591</v>
      </c>
      <c r="N1356" s="865" t="s">
        <v>671</v>
      </c>
      <c r="O1356" s="866">
        <v>2004.0</v>
      </c>
      <c r="P1356" s="865" t="s">
        <v>593</v>
      </c>
      <c r="Q1356" s="865" t="s">
        <v>70</v>
      </c>
      <c r="R1356" s="867">
        <v>6854.685345</v>
      </c>
      <c r="S1356" s="867">
        <v>7455.176996</v>
      </c>
      <c r="T1356" s="868">
        <v>6208.344071</v>
      </c>
      <c r="AN1356" s="882"/>
      <c r="AO1356" s="882"/>
      <c r="AP1356" s="882"/>
      <c r="AY1356" s="882"/>
      <c r="AZ1356" s="882"/>
      <c r="BA1356" s="882"/>
      <c r="BJ1356" s="882"/>
      <c r="BK1356" s="882"/>
      <c r="BL1356" s="882"/>
      <c r="BU1356" s="882"/>
      <c r="BV1356" s="882"/>
      <c r="BW1356" s="882"/>
      <c r="CF1356" s="882"/>
      <c r="CG1356" s="882"/>
      <c r="CH1356" s="882"/>
      <c r="CI1356" s="530"/>
    </row>
    <row r="1357">
      <c r="A1357" s="857"/>
      <c r="B1357" s="865" t="s">
        <v>656</v>
      </c>
      <c r="C1357" s="865" t="s">
        <v>591</v>
      </c>
      <c r="D1357" s="865" t="s">
        <v>673</v>
      </c>
      <c r="E1357" s="866">
        <v>2019.0</v>
      </c>
      <c r="F1357" s="865" t="s">
        <v>593</v>
      </c>
      <c r="G1357" s="865" t="s">
        <v>70</v>
      </c>
      <c r="H1357" s="867">
        <v>6842.58653</v>
      </c>
      <c r="I1357" s="867">
        <v>7743.934323</v>
      </c>
      <c r="J1357" s="868">
        <v>5901.374827</v>
      </c>
      <c r="K1357" s="50"/>
      <c r="L1357" s="869" t="s">
        <v>656</v>
      </c>
      <c r="M1357" s="865" t="s">
        <v>591</v>
      </c>
      <c r="N1357" s="865" t="s">
        <v>673</v>
      </c>
      <c r="O1357" s="866">
        <v>2004.0</v>
      </c>
      <c r="P1357" s="865" t="s">
        <v>593</v>
      </c>
      <c r="Q1357" s="865" t="s">
        <v>70</v>
      </c>
      <c r="R1357" s="867">
        <v>5168.671271</v>
      </c>
      <c r="S1357" s="867">
        <v>5621.206672</v>
      </c>
      <c r="T1357" s="868">
        <v>4681.350522</v>
      </c>
      <c r="AN1357" s="882"/>
      <c r="AO1357" s="882"/>
      <c r="AP1357" s="882"/>
      <c r="AY1357" s="882"/>
      <c r="AZ1357" s="882"/>
      <c r="BA1357" s="882"/>
      <c r="BJ1357" s="882"/>
      <c r="BK1357" s="882"/>
      <c r="BL1357" s="882"/>
      <c r="BU1357" s="882"/>
      <c r="BV1357" s="882"/>
      <c r="BW1357" s="882"/>
      <c r="CF1357" s="882"/>
      <c r="CG1357" s="882"/>
      <c r="CH1357" s="882"/>
      <c r="CI1357" s="530"/>
    </row>
    <row r="1358">
      <c r="A1358" s="857"/>
      <c r="B1358" s="865" t="s">
        <v>656</v>
      </c>
      <c r="C1358" s="865" t="s">
        <v>591</v>
      </c>
      <c r="D1358" s="865" t="s">
        <v>674</v>
      </c>
      <c r="E1358" s="866">
        <v>2019.0</v>
      </c>
      <c r="F1358" s="865" t="s">
        <v>593</v>
      </c>
      <c r="G1358" s="865" t="s">
        <v>70</v>
      </c>
      <c r="H1358" s="867">
        <v>2398.669749</v>
      </c>
      <c r="I1358" s="867">
        <v>2714.637355</v>
      </c>
      <c r="J1358" s="868">
        <v>2068.727844</v>
      </c>
      <c r="K1358" s="50"/>
      <c r="L1358" s="869" t="s">
        <v>656</v>
      </c>
      <c r="M1358" s="865" t="s">
        <v>591</v>
      </c>
      <c r="N1358" s="865" t="s">
        <v>674</v>
      </c>
      <c r="O1358" s="866">
        <v>2004.0</v>
      </c>
      <c r="P1358" s="865" t="s">
        <v>593</v>
      </c>
      <c r="Q1358" s="865" t="s">
        <v>70</v>
      </c>
      <c r="R1358" s="867">
        <v>1406.842121</v>
      </c>
      <c r="S1358" s="867">
        <v>1530.016111</v>
      </c>
      <c r="T1358" s="868">
        <v>1274.200031</v>
      </c>
      <c r="AN1358" s="882"/>
      <c r="AO1358" s="882"/>
      <c r="AP1358" s="882"/>
      <c r="AY1358" s="882"/>
      <c r="AZ1358" s="882"/>
      <c r="BA1358" s="882"/>
      <c r="BJ1358" s="882"/>
      <c r="BK1358" s="882"/>
      <c r="BL1358" s="882"/>
      <c r="BU1358" s="882"/>
      <c r="BV1358" s="882"/>
      <c r="BW1358" s="882"/>
      <c r="CF1358" s="882"/>
      <c r="CG1358" s="882"/>
      <c r="CH1358" s="882"/>
      <c r="CI1358" s="530"/>
    </row>
    <row r="1359">
      <c r="A1359" s="857"/>
      <c r="B1359" s="865" t="s">
        <v>656</v>
      </c>
      <c r="C1359" s="865" t="s">
        <v>591</v>
      </c>
      <c r="D1359" s="865" t="s">
        <v>676</v>
      </c>
      <c r="E1359" s="866">
        <v>2019.0</v>
      </c>
      <c r="F1359" s="865" t="s">
        <v>593</v>
      </c>
      <c r="G1359" s="865" t="s">
        <v>70</v>
      </c>
      <c r="H1359" s="867">
        <v>548.3831835</v>
      </c>
      <c r="I1359" s="867">
        <v>620.6196061</v>
      </c>
      <c r="J1359" s="868">
        <v>472.9519606</v>
      </c>
      <c r="K1359" s="50"/>
      <c r="L1359" s="869" t="s">
        <v>656</v>
      </c>
      <c r="M1359" s="865" t="s">
        <v>591</v>
      </c>
      <c r="N1359" s="865" t="s">
        <v>676</v>
      </c>
      <c r="O1359" s="866">
        <v>2004.0</v>
      </c>
      <c r="P1359" s="865" t="s">
        <v>593</v>
      </c>
      <c r="Q1359" s="865" t="s">
        <v>70</v>
      </c>
      <c r="R1359" s="867">
        <v>279.2182776</v>
      </c>
      <c r="S1359" s="867">
        <v>303.6648226</v>
      </c>
      <c r="T1359" s="868">
        <v>252.8925832</v>
      </c>
      <c r="AN1359" s="882"/>
      <c r="AO1359" s="882"/>
      <c r="AP1359" s="882"/>
      <c r="AY1359" s="882"/>
      <c r="AZ1359" s="882"/>
      <c r="BA1359" s="882"/>
      <c r="BJ1359" s="882"/>
      <c r="BK1359" s="882"/>
      <c r="BL1359" s="882"/>
      <c r="BU1359" s="882"/>
      <c r="BV1359" s="882"/>
      <c r="BW1359" s="882"/>
      <c r="CF1359" s="882"/>
      <c r="CG1359" s="882"/>
      <c r="CH1359" s="882"/>
      <c r="CI1359" s="530"/>
    </row>
    <row r="1360">
      <c r="A1360" s="857"/>
      <c r="B1360" s="865" t="s">
        <v>656</v>
      </c>
      <c r="C1360" s="865" t="s">
        <v>591</v>
      </c>
      <c r="D1360" s="865" t="s">
        <v>678</v>
      </c>
      <c r="E1360" s="866">
        <v>2019.0</v>
      </c>
      <c r="F1360" s="865" t="s">
        <v>593</v>
      </c>
      <c r="G1360" s="865" t="s">
        <v>70</v>
      </c>
      <c r="H1360" s="867">
        <v>4789906.937</v>
      </c>
      <c r="I1360" s="867">
        <v>5420863.086</v>
      </c>
      <c r="J1360" s="868">
        <v>4131045.49</v>
      </c>
      <c r="K1360" s="50"/>
      <c r="L1360" s="869" t="s">
        <v>656</v>
      </c>
      <c r="M1360" s="865" t="s">
        <v>591</v>
      </c>
      <c r="N1360" s="865" t="s">
        <v>678</v>
      </c>
      <c r="O1360" s="866">
        <v>2004.0</v>
      </c>
      <c r="P1360" s="865" t="s">
        <v>593</v>
      </c>
      <c r="Q1360" s="865" t="s">
        <v>70</v>
      </c>
      <c r="R1360" s="867">
        <v>3108598.208</v>
      </c>
      <c r="S1360" s="867">
        <v>3380766.946</v>
      </c>
      <c r="T1360" s="868">
        <v>2815508.489</v>
      </c>
      <c r="AN1360" s="882"/>
      <c r="AO1360" s="882"/>
      <c r="AP1360" s="882"/>
      <c r="AY1360" s="882"/>
      <c r="AZ1360" s="882"/>
      <c r="BA1360" s="882"/>
      <c r="BJ1360" s="882"/>
      <c r="BK1360" s="882"/>
      <c r="BL1360" s="882"/>
      <c r="BU1360" s="882"/>
      <c r="BV1360" s="882"/>
      <c r="BW1360" s="882"/>
      <c r="CF1360" s="882"/>
      <c r="CG1360" s="882"/>
      <c r="CH1360" s="882"/>
      <c r="CI1360" s="530"/>
    </row>
    <row r="1361">
      <c r="A1361" s="857"/>
      <c r="B1361" s="865" t="s">
        <v>656</v>
      </c>
      <c r="C1361" s="865" t="s">
        <v>591</v>
      </c>
      <c r="D1361" s="865" t="s">
        <v>680</v>
      </c>
      <c r="E1361" s="866">
        <v>2019.0</v>
      </c>
      <c r="F1361" s="865" t="s">
        <v>593</v>
      </c>
      <c r="G1361" s="865" t="s">
        <v>70</v>
      </c>
      <c r="H1361" s="867">
        <v>135490.8639</v>
      </c>
      <c r="I1361" s="867">
        <v>156199.6003</v>
      </c>
      <c r="J1361" s="868">
        <v>118028.5727</v>
      </c>
      <c r="K1361" s="50"/>
      <c r="L1361" s="869" t="s">
        <v>656</v>
      </c>
      <c r="M1361" s="865" t="s">
        <v>591</v>
      </c>
      <c r="N1361" s="865" t="s">
        <v>680</v>
      </c>
      <c r="O1361" s="866">
        <v>2004.0</v>
      </c>
      <c r="P1361" s="865" t="s">
        <v>593</v>
      </c>
      <c r="Q1361" s="865" t="s">
        <v>70</v>
      </c>
      <c r="R1361" s="867">
        <v>129138.5362</v>
      </c>
      <c r="S1361" s="867">
        <v>136453.6428</v>
      </c>
      <c r="T1361" s="868">
        <v>122153.5035</v>
      </c>
      <c r="AN1361" s="882"/>
      <c r="AO1361" s="882"/>
      <c r="AP1361" s="882"/>
      <c r="AY1361" s="882"/>
      <c r="AZ1361" s="882"/>
      <c r="BA1361" s="882"/>
      <c r="BJ1361" s="882"/>
      <c r="BK1361" s="882"/>
      <c r="BL1361" s="882"/>
      <c r="BU1361" s="882"/>
      <c r="BV1361" s="882"/>
      <c r="BW1361" s="882"/>
      <c r="CF1361" s="882"/>
      <c r="CG1361" s="882"/>
      <c r="CH1361" s="882"/>
      <c r="CI1361" s="530"/>
    </row>
    <row r="1362">
      <c r="A1362" s="857"/>
      <c r="B1362" s="865" t="s">
        <v>656</v>
      </c>
      <c r="C1362" s="865" t="s">
        <v>591</v>
      </c>
      <c r="D1362" s="865" t="s">
        <v>682</v>
      </c>
      <c r="E1362" s="866">
        <v>2019.0</v>
      </c>
      <c r="F1362" s="865" t="s">
        <v>593</v>
      </c>
      <c r="G1362" s="865" t="s">
        <v>70</v>
      </c>
      <c r="H1362" s="867">
        <v>2554.384436</v>
      </c>
      <c r="I1362" s="867">
        <v>2890.863743</v>
      </c>
      <c r="J1362" s="868">
        <v>2203.023658</v>
      </c>
      <c r="K1362" s="50"/>
      <c r="L1362" s="869" t="s">
        <v>656</v>
      </c>
      <c r="M1362" s="865" t="s">
        <v>591</v>
      </c>
      <c r="N1362" s="865" t="s">
        <v>682</v>
      </c>
      <c r="O1362" s="866">
        <v>2004.0</v>
      </c>
      <c r="P1362" s="865" t="s">
        <v>593</v>
      </c>
      <c r="Q1362" s="865" t="s">
        <v>70</v>
      </c>
      <c r="R1362" s="867">
        <v>2456.214005</v>
      </c>
      <c r="S1362" s="867">
        <v>2671.264205</v>
      </c>
      <c r="T1362" s="868">
        <v>2224.633394</v>
      </c>
      <c r="AN1362" s="882"/>
      <c r="AO1362" s="882"/>
      <c r="AP1362" s="882"/>
      <c r="AY1362" s="882"/>
      <c r="AZ1362" s="882"/>
      <c r="BA1362" s="882"/>
      <c r="BJ1362" s="882"/>
      <c r="BK1362" s="882"/>
      <c r="BL1362" s="882"/>
      <c r="BU1362" s="882"/>
      <c r="BV1362" s="882"/>
      <c r="BW1362" s="882"/>
      <c r="CF1362" s="882"/>
      <c r="CG1362" s="882"/>
      <c r="CH1362" s="882"/>
      <c r="CI1362" s="530"/>
    </row>
    <row r="1363">
      <c r="A1363" s="857"/>
      <c r="B1363" s="865" t="s">
        <v>656</v>
      </c>
      <c r="C1363" s="865" t="s">
        <v>591</v>
      </c>
      <c r="D1363" s="865" t="s">
        <v>684</v>
      </c>
      <c r="E1363" s="866">
        <v>2019.0</v>
      </c>
      <c r="F1363" s="865" t="s">
        <v>593</v>
      </c>
      <c r="G1363" s="865" t="s">
        <v>70</v>
      </c>
      <c r="H1363" s="867">
        <v>7567.422377</v>
      </c>
      <c r="I1363" s="867">
        <v>8564.250029</v>
      </c>
      <c r="J1363" s="868">
        <v>6526.508029</v>
      </c>
      <c r="K1363" s="50"/>
      <c r="L1363" s="869" t="s">
        <v>656</v>
      </c>
      <c r="M1363" s="865" t="s">
        <v>591</v>
      </c>
      <c r="N1363" s="865" t="s">
        <v>684</v>
      </c>
      <c r="O1363" s="866">
        <v>2004.0</v>
      </c>
      <c r="P1363" s="865" t="s">
        <v>593</v>
      </c>
      <c r="Q1363" s="865" t="s">
        <v>70</v>
      </c>
      <c r="R1363" s="867">
        <v>7230.802028</v>
      </c>
      <c r="S1363" s="867">
        <v>7863.88425</v>
      </c>
      <c r="T1363" s="868">
        <v>6549.056241</v>
      </c>
      <c r="AN1363" s="882"/>
      <c r="AO1363" s="882"/>
      <c r="AP1363" s="882"/>
      <c r="AY1363" s="882"/>
      <c r="AZ1363" s="882"/>
      <c r="BA1363" s="882"/>
      <c r="BJ1363" s="882"/>
      <c r="BK1363" s="882"/>
      <c r="BL1363" s="882"/>
      <c r="BU1363" s="882"/>
      <c r="BV1363" s="882"/>
      <c r="BW1363" s="882"/>
      <c r="CF1363" s="882"/>
      <c r="CG1363" s="882"/>
      <c r="CH1363" s="882"/>
      <c r="CI1363" s="530"/>
    </row>
    <row r="1364">
      <c r="A1364" s="857"/>
      <c r="B1364" s="865" t="s">
        <v>656</v>
      </c>
      <c r="C1364" s="865" t="s">
        <v>591</v>
      </c>
      <c r="D1364" s="865" t="s">
        <v>686</v>
      </c>
      <c r="E1364" s="866">
        <v>2019.0</v>
      </c>
      <c r="F1364" s="865" t="s">
        <v>593</v>
      </c>
      <c r="G1364" s="865" t="s">
        <v>70</v>
      </c>
      <c r="H1364" s="867">
        <v>10121.80681</v>
      </c>
      <c r="I1364" s="867">
        <v>11455.11377</v>
      </c>
      <c r="J1364" s="868">
        <v>8729.531687</v>
      </c>
      <c r="K1364" s="50"/>
      <c r="L1364" s="869" t="s">
        <v>656</v>
      </c>
      <c r="M1364" s="865" t="s">
        <v>591</v>
      </c>
      <c r="N1364" s="865" t="s">
        <v>686</v>
      </c>
      <c r="O1364" s="866">
        <v>2004.0</v>
      </c>
      <c r="P1364" s="865" t="s">
        <v>593</v>
      </c>
      <c r="Q1364" s="865" t="s">
        <v>70</v>
      </c>
      <c r="R1364" s="867">
        <v>9687.016033</v>
      </c>
      <c r="S1364" s="867">
        <v>10535.14845</v>
      </c>
      <c r="T1364" s="868">
        <v>8773.689635</v>
      </c>
      <c r="AN1364" s="882"/>
      <c r="AO1364" s="882"/>
      <c r="AP1364" s="882"/>
      <c r="AY1364" s="882"/>
      <c r="AZ1364" s="882"/>
      <c r="BA1364" s="882"/>
      <c r="BJ1364" s="882"/>
      <c r="BK1364" s="882"/>
      <c r="BL1364" s="882"/>
      <c r="BU1364" s="882"/>
      <c r="BV1364" s="882"/>
      <c r="BW1364" s="882"/>
      <c r="CF1364" s="882"/>
      <c r="CG1364" s="882"/>
      <c r="CH1364" s="882"/>
      <c r="CI1364" s="530"/>
    </row>
    <row r="1365">
      <c r="A1365" s="857"/>
      <c r="B1365" s="865" t="s">
        <v>656</v>
      </c>
      <c r="C1365" s="865" t="s">
        <v>591</v>
      </c>
      <c r="D1365" s="865" t="s">
        <v>688</v>
      </c>
      <c r="E1365" s="866">
        <v>2019.0</v>
      </c>
      <c r="F1365" s="865" t="s">
        <v>593</v>
      </c>
      <c r="G1365" s="865" t="s">
        <v>70</v>
      </c>
      <c r="H1365" s="867">
        <v>119182.4697</v>
      </c>
      <c r="I1365" s="867">
        <v>134881.9213</v>
      </c>
      <c r="J1365" s="868">
        <v>102788.6784</v>
      </c>
      <c r="K1365" s="50"/>
      <c r="L1365" s="869" t="s">
        <v>656</v>
      </c>
      <c r="M1365" s="865" t="s">
        <v>591</v>
      </c>
      <c r="N1365" s="865" t="s">
        <v>688</v>
      </c>
      <c r="O1365" s="866">
        <v>2004.0</v>
      </c>
      <c r="P1365" s="865" t="s">
        <v>593</v>
      </c>
      <c r="Q1365" s="865" t="s">
        <v>70</v>
      </c>
      <c r="R1365" s="867">
        <v>111566.4352</v>
      </c>
      <c r="S1365" s="867">
        <v>121334.4702</v>
      </c>
      <c r="T1365" s="868">
        <v>101047.5541</v>
      </c>
      <c r="AN1365" s="882"/>
      <c r="AO1365" s="882"/>
      <c r="AP1365" s="882"/>
      <c r="AY1365" s="882"/>
      <c r="AZ1365" s="882"/>
      <c r="BA1365" s="882"/>
      <c r="BJ1365" s="882"/>
      <c r="BK1365" s="882"/>
      <c r="BL1365" s="882"/>
      <c r="BU1365" s="882"/>
      <c r="BV1365" s="882"/>
      <c r="BW1365" s="882"/>
      <c r="CF1365" s="882"/>
      <c r="CG1365" s="882"/>
      <c r="CH1365" s="882"/>
      <c r="CI1365" s="530"/>
    </row>
    <row r="1366">
      <c r="A1366" s="857"/>
      <c r="B1366" s="865" t="s">
        <v>656</v>
      </c>
      <c r="C1366" s="865" t="s">
        <v>591</v>
      </c>
      <c r="D1366" s="865" t="s">
        <v>689</v>
      </c>
      <c r="E1366" s="866">
        <v>2019.0</v>
      </c>
      <c r="F1366" s="865" t="s">
        <v>593</v>
      </c>
      <c r="G1366" s="865" t="s">
        <v>70</v>
      </c>
      <c r="H1366" s="867">
        <v>633330.0801</v>
      </c>
      <c r="I1366" s="867">
        <v>716756.233</v>
      </c>
      <c r="J1366" s="868">
        <v>546214.2387</v>
      </c>
      <c r="K1366" s="50"/>
      <c r="L1366" s="869" t="s">
        <v>656</v>
      </c>
      <c r="M1366" s="865" t="s">
        <v>591</v>
      </c>
      <c r="N1366" s="865" t="s">
        <v>689</v>
      </c>
      <c r="O1366" s="866">
        <v>2004.0</v>
      </c>
      <c r="P1366" s="865" t="s">
        <v>593</v>
      </c>
      <c r="Q1366" s="865" t="s">
        <v>70</v>
      </c>
      <c r="R1366" s="867">
        <v>540473.9725</v>
      </c>
      <c r="S1366" s="867">
        <v>587794.3752</v>
      </c>
      <c r="T1366" s="868">
        <v>489516.1601</v>
      </c>
      <c r="AN1366" s="882"/>
      <c r="AO1366" s="882"/>
      <c r="AP1366" s="882"/>
      <c r="AY1366" s="882"/>
      <c r="AZ1366" s="882"/>
      <c r="BA1366" s="882"/>
      <c r="BJ1366" s="882"/>
      <c r="BK1366" s="882"/>
      <c r="BL1366" s="882"/>
      <c r="BU1366" s="882"/>
      <c r="BV1366" s="882"/>
      <c r="BW1366" s="882"/>
      <c r="CF1366" s="882"/>
      <c r="CG1366" s="882"/>
      <c r="CH1366" s="882"/>
      <c r="CI1366" s="530"/>
    </row>
    <row r="1367">
      <c r="A1367" s="857"/>
      <c r="B1367" s="865" t="s">
        <v>658</v>
      </c>
      <c r="C1367" s="865" t="s">
        <v>591</v>
      </c>
      <c r="D1367" s="865" t="s">
        <v>592</v>
      </c>
      <c r="E1367" s="866">
        <v>2019.0</v>
      </c>
      <c r="F1367" s="865" t="s">
        <v>593</v>
      </c>
      <c r="G1367" s="865" t="s">
        <v>70</v>
      </c>
      <c r="H1367" s="867">
        <v>821150.9114</v>
      </c>
      <c r="I1367" s="867">
        <v>1010483.285</v>
      </c>
      <c r="J1367" s="868">
        <v>626817.0409</v>
      </c>
      <c r="K1367" s="50"/>
      <c r="L1367" s="869" t="s">
        <v>658</v>
      </c>
      <c r="M1367" s="865" t="s">
        <v>591</v>
      </c>
      <c r="N1367" s="865" t="s">
        <v>592</v>
      </c>
      <c r="O1367" s="866">
        <v>2004.0</v>
      </c>
      <c r="P1367" s="865" t="s">
        <v>593</v>
      </c>
      <c r="Q1367" s="865" t="s">
        <v>70</v>
      </c>
      <c r="R1367" s="867">
        <v>684179.2076</v>
      </c>
      <c r="S1367" s="867">
        <v>782487.3214</v>
      </c>
      <c r="T1367" s="868">
        <v>593342.617</v>
      </c>
      <c r="AN1367" s="882"/>
      <c r="AO1367" s="882"/>
      <c r="AP1367" s="882"/>
      <c r="AY1367" s="882"/>
      <c r="AZ1367" s="882"/>
      <c r="BA1367" s="882"/>
      <c r="BJ1367" s="882"/>
      <c r="BK1367" s="882"/>
      <c r="BL1367" s="882"/>
      <c r="BU1367" s="882"/>
      <c r="BV1367" s="882"/>
      <c r="BW1367" s="882"/>
      <c r="CF1367" s="882"/>
      <c r="CG1367" s="882"/>
      <c r="CH1367" s="882"/>
      <c r="CI1367" s="530"/>
    </row>
    <row r="1368">
      <c r="A1368" s="857"/>
      <c r="B1368" s="865" t="s">
        <v>658</v>
      </c>
      <c r="C1368" s="865" t="s">
        <v>591</v>
      </c>
      <c r="D1368" s="865" t="s">
        <v>601</v>
      </c>
      <c r="E1368" s="866">
        <v>2019.0</v>
      </c>
      <c r="F1368" s="865" t="s">
        <v>593</v>
      </c>
      <c r="G1368" s="865" t="s">
        <v>70</v>
      </c>
      <c r="H1368" s="867">
        <v>1.38717503E7</v>
      </c>
      <c r="I1368" s="867">
        <v>1.707015313E7</v>
      </c>
      <c r="J1368" s="868">
        <v>1.058885687E7</v>
      </c>
      <c r="K1368" s="50"/>
      <c r="L1368" s="869" t="s">
        <v>658</v>
      </c>
      <c r="M1368" s="865" t="s">
        <v>591</v>
      </c>
      <c r="N1368" s="865" t="s">
        <v>601</v>
      </c>
      <c r="O1368" s="866">
        <v>2004.0</v>
      </c>
      <c r="P1368" s="865" t="s">
        <v>593</v>
      </c>
      <c r="Q1368" s="865" t="s">
        <v>70</v>
      </c>
      <c r="R1368" s="867">
        <v>9936692.58</v>
      </c>
      <c r="S1368" s="867">
        <v>1.136447275E7</v>
      </c>
      <c r="T1368" s="868">
        <v>8617425.252</v>
      </c>
      <c r="AN1368" s="882"/>
      <c r="AO1368" s="882"/>
      <c r="AP1368" s="882"/>
      <c r="AY1368" s="882"/>
      <c r="AZ1368" s="882"/>
      <c r="BA1368" s="882"/>
      <c r="BJ1368" s="882"/>
      <c r="BK1368" s="882"/>
      <c r="BL1368" s="882"/>
      <c r="BU1368" s="882"/>
      <c r="BV1368" s="882"/>
      <c r="BW1368" s="882"/>
      <c r="CF1368" s="882"/>
      <c r="CG1368" s="882"/>
      <c r="CH1368" s="882"/>
      <c r="CI1368" s="530"/>
    </row>
    <row r="1369">
      <c r="A1369" s="857"/>
      <c r="B1369" s="865" t="s">
        <v>658</v>
      </c>
      <c r="C1369" s="865" t="s">
        <v>591</v>
      </c>
      <c r="D1369" s="865" t="s">
        <v>606</v>
      </c>
      <c r="E1369" s="866">
        <v>2019.0</v>
      </c>
      <c r="F1369" s="865" t="s">
        <v>593</v>
      </c>
      <c r="G1369" s="865" t="s">
        <v>70</v>
      </c>
      <c r="H1369" s="867">
        <v>1.092713005E7</v>
      </c>
      <c r="I1369" s="867">
        <v>1.344659321E7</v>
      </c>
      <c r="J1369" s="868">
        <v>8341111.518</v>
      </c>
      <c r="K1369" s="50"/>
      <c r="L1369" s="869" t="s">
        <v>658</v>
      </c>
      <c r="M1369" s="865" t="s">
        <v>591</v>
      </c>
      <c r="N1369" s="865" t="s">
        <v>606</v>
      </c>
      <c r="O1369" s="866">
        <v>2004.0</v>
      </c>
      <c r="P1369" s="865" t="s">
        <v>593</v>
      </c>
      <c r="Q1369" s="865" t="s">
        <v>70</v>
      </c>
      <c r="R1369" s="867">
        <v>8065620.008</v>
      </c>
      <c r="S1369" s="867">
        <v>9224550.126</v>
      </c>
      <c r="T1369" s="868">
        <v>6994769.836</v>
      </c>
      <c r="AN1369" s="882"/>
      <c r="AO1369" s="882"/>
      <c r="AP1369" s="882"/>
      <c r="AY1369" s="882"/>
      <c r="AZ1369" s="882"/>
      <c r="BA1369" s="882"/>
      <c r="BJ1369" s="882"/>
      <c r="BK1369" s="882"/>
      <c r="BL1369" s="882"/>
      <c r="BU1369" s="882"/>
      <c r="BV1369" s="882"/>
      <c r="BW1369" s="882"/>
      <c r="CF1369" s="882"/>
      <c r="CG1369" s="882"/>
      <c r="CH1369" s="882"/>
      <c r="CI1369" s="530"/>
    </row>
    <row r="1370">
      <c r="A1370" s="857"/>
      <c r="B1370" s="865" t="s">
        <v>658</v>
      </c>
      <c r="C1370" s="865" t="s">
        <v>591</v>
      </c>
      <c r="D1370" s="865" t="s">
        <v>608</v>
      </c>
      <c r="E1370" s="866">
        <v>2019.0</v>
      </c>
      <c r="F1370" s="865" t="s">
        <v>593</v>
      </c>
      <c r="G1370" s="865" t="s">
        <v>70</v>
      </c>
      <c r="H1370" s="867">
        <v>3118030.605</v>
      </c>
      <c r="I1370" s="867">
        <v>3836953.431</v>
      </c>
      <c r="J1370" s="868">
        <v>2380116.358</v>
      </c>
      <c r="K1370" s="50"/>
      <c r="L1370" s="869" t="s">
        <v>658</v>
      </c>
      <c r="M1370" s="865" t="s">
        <v>591</v>
      </c>
      <c r="N1370" s="865" t="s">
        <v>608</v>
      </c>
      <c r="O1370" s="866">
        <v>2004.0</v>
      </c>
      <c r="P1370" s="865" t="s">
        <v>593</v>
      </c>
      <c r="Q1370" s="865" t="s">
        <v>70</v>
      </c>
      <c r="R1370" s="867">
        <v>2476790.073</v>
      </c>
      <c r="S1370" s="867">
        <v>2832674.259</v>
      </c>
      <c r="T1370" s="868">
        <v>2147953.471</v>
      </c>
      <c r="AN1370" s="882"/>
      <c r="AO1370" s="882"/>
      <c r="AP1370" s="882"/>
      <c r="AY1370" s="882"/>
      <c r="AZ1370" s="882"/>
      <c r="BA1370" s="882"/>
      <c r="BJ1370" s="882"/>
      <c r="BK1370" s="882"/>
      <c r="BL1370" s="882"/>
      <c r="BU1370" s="882"/>
      <c r="BV1370" s="882"/>
      <c r="BW1370" s="882"/>
      <c r="CF1370" s="882"/>
      <c r="CG1370" s="882"/>
      <c r="CH1370" s="882"/>
      <c r="CI1370" s="530"/>
    </row>
    <row r="1371">
      <c r="A1371" s="857"/>
      <c r="B1371" s="865" t="s">
        <v>658</v>
      </c>
      <c r="C1371" s="865" t="s">
        <v>591</v>
      </c>
      <c r="D1371" s="865" t="s">
        <v>610</v>
      </c>
      <c r="E1371" s="866">
        <v>2019.0</v>
      </c>
      <c r="F1371" s="865" t="s">
        <v>593</v>
      </c>
      <c r="G1371" s="865" t="s">
        <v>70</v>
      </c>
      <c r="H1371" s="867">
        <v>3323064.282</v>
      </c>
      <c r="I1371" s="867">
        <v>4089261.626</v>
      </c>
      <c r="J1371" s="868">
        <v>2536626.692</v>
      </c>
      <c r="K1371" s="50"/>
      <c r="L1371" s="869" t="s">
        <v>658</v>
      </c>
      <c r="M1371" s="865" t="s">
        <v>591</v>
      </c>
      <c r="N1371" s="865" t="s">
        <v>610</v>
      </c>
      <c r="O1371" s="866">
        <v>2004.0</v>
      </c>
      <c r="P1371" s="865" t="s">
        <v>593</v>
      </c>
      <c r="Q1371" s="865" t="s">
        <v>70</v>
      </c>
      <c r="R1371" s="867">
        <v>2236442.357</v>
      </c>
      <c r="S1371" s="867">
        <v>2557791.54</v>
      </c>
      <c r="T1371" s="868">
        <v>1939516.06</v>
      </c>
      <c r="AN1371" s="882"/>
      <c r="AO1371" s="882"/>
      <c r="AP1371" s="882"/>
      <c r="AY1371" s="882"/>
      <c r="AZ1371" s="882"/>
      <c r="BA1371" s="882"/>
      <c r="BJ1371" s="882"/>
      <c r="BK1371" s="882"/>
      <c r="BL1371" s="882"/>
      <c r="BU1371" s="882"/>
      <c r="BV1371" s="882"/>
      <c r="BW1371" s="882"/>
      <c r="CF1371" s="882"/>
      <c r="CG1371" s="882"/>
      <c r="CH1371" s="882"/>
      <c r="CI1371" s="530"/>
    </row>
    <row r="1372">
      <c r="A1372" s="857"/>
      <c r="B1372" s="865" t="s">
        <v>658</v>
      </c>
      <c r="C1372" s="865" t="s">
        <v>591</v>
      </c>
      <c r="D1372" s="865" t="s">
        <v>612</v>
      </c>
      <c r="E1372" s="866">
        <v>2019.0</v>
      </c>
      <c r="F1372" s="865" t="s">
        <v>593</v>
      </c>
      <c r="G1372" s="865" t="s">
        <v>70</v>
      </c>
      <c r="H1372" s="867">
        <v>6267684.527</v>
      </c>
      <c r="I1372" s="867">
        <v>7712821.553</v>
      </c>
      <c r="J1372" s="868">
        <v>4784372.049</v>
      </c>
      <c r="K1372" s="50"/>
      <c r="L1372" s="869" t="s">
        <v>658</v>
      </c>
      <c r="M1372" s="865" t="s">
        <v>591</v>
      </c>
      <c r="N1372" s="865" t="s">
        <v>612</v>
      </c>
      <c r="O1372" s="866">
        <v>2004.0</v>
      </c>
      <c r="P1372" s="865" t="s">
        <v>593</v>
      </c>
      <c r="Q1372" s="865" t="s">
        <v>70</v>
      </c>
      <c r="R1372" s="867">
        <v>4107514.929</v>
      </c>
      <c r="S1372" s="867">
        <v>4697714.165</v>
      </c>
      <c r="T1372" s="868">
        <v>3562171.476</v>
      </c>
      <c r="AN1372" s="882"/>
      <c r="AO1372" s="882"/>
      <c r="AP1372" s="882"/>
      <c r="AY1372" s="882"/>
      <c r="AZ1372" s="882"/>
      <c r="BA1372" s="882"/>
      <c r="BJ1372" s="882"/>
      <c r="BK1372" s="882"/>
      <c r="BL1372" s="882"/>
      <c r="BU1372" s="882"/>
      <c r="BV1372" s="882"/>
      <c r="BW1372" s="882"/>
      <c r="CF1372" s="882"/>
      <c r="CG1372" s="882"/>
      <c r="CH1372" s="882"/>
      <c r="CI1372" s="530"/>
    </row>
    <row r="1373">
      <c r="A1373" s="857"/>
      <c r="B1373" s="865" t="s">
        <v>658</v>
      </c>
      <c r="C1373" s="865" t="s">
        <v>591</v>
      </c>
      <c r="D1373" s="865" t="s">
        <v>614</v>
      </c>
      <c r="E1373" s="866">
        <v>2019.0</v>
      </c>
      <c r="F1373" s="865" t="s">
        <v>593</v>
      </c>
      <c r="G1373" s="865" t="s">
        <v>70</v>
      </c>
      <c r="H1373" s="867">
        <v>8807424.284</v>
      </c>
      <c r="I1373" s="867">
        <v>1.083814789E7</v>
      </c>
      <c r="J1373" s="868">
        <v>6723056.08</v>
      </c>
      <c r="K1373" s="50"/>
      <c r="L1373" s="869" t="s">
        <v>658</v>
      </c>
      <c r="M1373" s="865" t="s">
        <v>591</v>
      </c>
      <c r="N1373" s="865" t="s">
        <v>614</v>
      </c>
      <c r="O1373" s="866">
        <v>2004.0</v>
      </c>
      <c r="P1373" s="865" t="s">
        <v>593</v>
      </c>
      <c r="Q1373" s="865" t="s">
        <v>70</v>
      </c>
      <c r="R1373" s="867">
        <v>5701010.785</v>
      </c>
      <c r="S1373" s="867">
        <v>6520175.722</v>
      </c>
      <c r="T1373" s="868">
        <v>4944103.272</v>
      </c>
      <c r="AN1373" s="882"/>
      <c r="AO1373" s="882"/>
      <c r="AP1373" s="882"/>
      <c r="AY1373" s="882"/>
      <c r="AZ1373" s="882"/>
      <c r="BA1373" s="882"/>
      <c r="BJ1373" s="882"/>
      <c r="BK1373" s="882"/>
      <c r="BL1373" s="882"/>
      <c r="BU1373" s="882"/>
      <c r="BV1373" s="882"/>
      <c r="BW1373" s="882"/>
      <c r="CF1373" s="882"/>
      <c r="CG1373" s="882"/>
      <c r="CH1373" s="882"/>
      <c r="CI1373" s="530"/>
    </row>
    <row r="1374">
      <c r="A1374" s="857"/>
      <c r="B1374" s="865" t="s">
        <v>658</v>
      </c>
      <c r="C1374" s="865" t="s">
        <v>591</v>
      </c>
      <c r="D1374" s="865" t="s">
        <v>616</v>
      </c>
      <c r="E1374" s="866">
        <v>2019.0</v>
      </c>
      <c r="F1374" s="865" t="s">
        <v>593</v>
      </c>
      <c r="G1374" s="865" t="s">
        <v>70</v>
      </c>
      <c r="H1374" s="867">
        <v>2944620.245</v>
      </c>
      <c r="I1374" s="867">
        <v>3623559.927</v>
      </c>
      <c r="J1374" s="868">
        <v>2247745.357</v>
      </c>
      <c r="K1374" s="50"/>
      <c r="L1374" s="869" t="s">
        <v>658</v>
      </c>
      <c r="M1374" s="865" t="s">
        <v>591</v>
      </c>
      <c r="N1374" s="865" t="s">
        <v>616</v>
      </c>
      <c r="O1374" s="866">
        <v>2004.0</v>
      </c>
      <c r="P1374" s="865" t="s">
        <v>593</v>
      </c>
      <c r="Q1374" s="865" t="s">
        <v>70</v>
      </c>
      <c r="R1374" s="867">
        <v>1871072.572</v>
      </c>
      <c r="S1374" s="867">
        <v>2139922.624</v>
      </c>
      <c r="T1374" s="868">
        <v>1622655.416</v>
      </c>
      <c r="AN1374" s="882"/>
      <c r="AO1374" s="882"/>
      <c r="AP1374" s="882"/>
      <c r="AY1374" s="882"/>
      <c r="AZ1374" s="882"/>
      <c r="BA1374" s="882"/>
      <c r="BJ1374" s="882"/>
      <c r="BK1374" s="882"/>
      <c r="BL1374" s="882"/>
      <c r="BU1374" s="882"/>
      <c r="BV1374" s="882"/>
      <c r="BW1374" s="882"/>
      <c r="CF1374" s="882"/>
      <c r="CG1374" s="882"/>
      <c r="CH1374" s="882"/>
      <c r="CI1374" s="530"/>
    </row>
    <row r="1375">
      <c r="A1375" s="857"/>
      <c r="B1375" s="865" t="s">
        <v>658</v>
      </c>
      <c r="C1375" s="865" t="s">
        <v>591</v>
      </c>
      <c r="D1375" s="865" t="s">
        <v>618</v>
      </c>
      <c r="E1375" s="866">
        <v>2019.0</v>
      </c>
      <c r="F1375" s="865" t="s">
        <v>593</v>
      </c>
      <c r="G1375" s="865" t="s">
        <v>70</v>
      </c>
      <c r="H1375" s="867">
        <v>1.092561081E7</v>
      </c>
      <c r="I1375" s="867">
        <v>1.344311141E7</v>
      </c>
      <c r="J1375" s="868">
        <v>8338722.233</v>
      </c>
      <c r="K1375" s="50"/>
      <c r="L1375" s="869" t="s">
        <v>658</v>
      </c>
      <c r="M1375" s="865" t="s">
        <v>591</v>
      </c>
      <c r="N1375" s="865" t="s">
        <v>618</v>
      </c>
      <c r="O1375" s="866">
        <v>2004.0</v>
      </c>
      <c r="P1375" s="865" t="s">
        <v>593</v>
      </c>
      <c r="Q1375" s="865" t="s">
        <v>70</v>
      </c>
      <c r="R1375" s="867">
        <v>6926477.944</v>
      </c>
      <c r="S1375" s="867">
        <v>7921353.924</v>
      </c>
      <c r="T1375" s="868">
        <v>6006157.516</v>
      </c>
      <c r="AN1375" s="882"/>
      <c r="AO1375" s="882"/>
      <c r="AP1375" s="882"/>
      <c r="AY1375" s="882"/>
      <c r="AZ1375" s="882"/>
      <c r="BA1375" s="882"/>
      <c r="BJ1375" s="882"/>
      <c r="BK1375" s="882"/>
      <c r="BL1375" s="882"/>
      <c r="BU1375" s="882"/>
      <c r="BV1375" s="882"/>
      <c r="BW1375" s="882"/>
      <c r="CF1375" s="882"/>
      <c r="CG1375" s="882"/>
      <c r="CH1375" s="882"/>
      <c r="CI1375" s="530"/>
    </row>
    <row r="1376">
      <c r="A1376" s="857"/>
      <c r="B1376" s="865" t="s">
        <v>658</v>
      </c>
      <c r="C1376" s="865" t="s">
        <v>591</v>
      </c>
      <c r="D1376" s="865" t="s">
        <v>620</v>
      </c>
      <c r="E1376" s="866">
        <v>2019.0</v>
      </c>
      <c r="F1376" s="865" t="s">
        <v>593</v>
      </c>
      <c r="G1376" s="865" t="s">
        <v>70</v>
      </c>
      <c r="H1376" s="867">
        <v>1.320563891E7</v>
      </c>
      <c r="I1376" s="867">
        <v>1.625045676E7</v>
      </c>
      <c r="J1376" s="868">
        <v>1.008038764E7</v>
      </c>
      <c r="K1376" s="50"/>
      <c r="L1376" s="869" t="s">
        <v>658</v>
      </c>
      <c r="M1376" s="865" t="s">
        <v>591</v>
      </c>
      <c r="N1376" s="865" t="s">
        <v>620</v>
      </c>
      <c r="O1376" s="866">
        <v>2004.0</v>
      </c>
      <c r="P1376" s="865" t="s">
        <v>593</v>
      </c>
      <c r="Q1376" s="865" t="s">
        <v>70</v>
      </c>
      <c r="R1376" s="867">
        <v>8290536.336</v>
      </c>
      <c r="S1376" s="867">
        <v>9481784.156</v>
      </c>
      <c r="T1376" s="868">
        <v>7189824.641</v>
      </c>
      <c r="AN1376" s="882"/>
      <c r="AO1376" s="882"/>
      <c r="AP1376" s="882"/>
      <c r="AY1376" s="882"/>
      <c r="AZ1376" s="882"/>
      <c r="BA1376" s="882"/>
      <c r="BJ1376" s="882"/>
      <c r="BK1376" s="882"/>
      <c r="BL1376" s="882"/>
      <c r="BU1376" s="882"/>
      <c r="BV1376" s="882"/>
      <c r="BW1376" s="882"/>
      <c r="CF1376" s="882"/>
      <c r="CG1376" s="882"/>
      <c r="CH1376" s="882"/>
      <c r="CI1376" s="530"/>
    </row>
    <row r="1377">
      <c r="A1377" s="857"/>
      <c r="B1377" s="865" t="s">
        <v>658</v>
      </c>
      <c r="C1377" s="865" t="s">
        <v>591</v>
      </c>
      <c r="D1377" s="865" t="s">
        <v>622</v>
      </c>
      <c r="E1377" s="866">
        <v>2019.0</v>
      </c>
      <c r="F1377" s="865" t="s">
        <v>593</v>
      </c>
      <c r="G1377" s="865" t="s">
        <v>70</v>
      </c>
      <c r="H1377" s="867">
        <v>1.282030445E7</v>
      </c>
      <c r="I1377" s="867">
        <v>1.577438407E7</v>
      </c>
      <c r="J1377" s="868">
        <v>9784803.765</v>
      </c>
      <c r="K1377" s="50"/>
      <c r="L1377" s="869" t="s">
        <v>658</v>
      </c>
      <c r="M1377" s="865" t="s">
        <v>591</v>
      </c>
      <c r="N1377" s="865" t="s">
        <v>622</v>
      </c>
      <c r="O1377" s="866">
        <v>2004.0</v>
      </c>
      <c r="P1377" s="865" t="s">
        <v>593</v>
      </c>
      <c r="Q1377" s="865" t="s">
        <v>70</v>
      </c>
      <c r="R1377" s="867">
        <v>7859054.953</v>
      </c>
      <c r="S1377" s="867">
        <v>8987880.463</v>
      </c>
      <c r="T1377" s="868">
        <v>6814823.112</v>
      </c>
      <c r="AN1377" s="882"/>
      <c r="AO1377" s="882"/>
      <c r="AP1377" s="882"/>
      <c r="AY1377" s="882"/>
      <c r="AZ1377" s="882"/>
      <c r="BA1377" s="882"/>
      <c r="BJ1377" s="882"/>
      <c r="BK1377" s="882"/>
      <c r="BL1377" s="882"/>
      <c r="BU1377" s="882"/>
      <c r="BV1377" s="882"/>
      <c r="BW1377" s="882"/>
      <c r="CF1377" s="882"/>
      <c r="CG1377" s="882"/>
      <c r="CH1377" s="882"/>
      <c r="CI1377" s="530"/>
    </row>
    <row r="1378">
      <c r="A1378" s="857"/>
      <c r="B1378" s="865" t="s">
        <v>658</v>
      </c>
      <c r="C1378" s="865" t="s">
        <v>591</v>
      </c>
      <c r="D1378" s="865" t="s">
        <v>624</v>
      </c>
      <c r="E1378" s="866">
        <v>2019.0</v>
      </c>
      <c r="F1378" s="865" t="s">
        <v>593</v>
      </c>
      <c r="G1378" s="865" t="s">
        <v>70</v>
      </c>
      <c r="H1378" s="867">
        <v>2539739.757</v>
      </c>
      <c r="I1378" s="867">
        <v>3125326.339</v>
      </c>
      <c r="J1378" s="868">
        <v>1938684.031</v>
      </c>
      <c r="K1378" s="50"/>
      <c r="L1378" s="869" t="s">
        <v>658</v>
      </c>
      <c r="M1378" s="865" t="s">
        <v>591</v>
      </c>
      <c r="N1378" s="865" t="s">
        <v>624</v>
      </c>
      <c r="O1378" s="866">
        <v>2004.0</v>
      </c>
      <c r="P1378" s="865" t="s">
        <v>593</v>
      </c>
      <c r="Q1378" s="865" t="s">
        <v>70</v>
      </c>
      <c r="R1378" s="867">
        <v>1593495.856</v>
      </c>
      <c r="S1378" s="867">
        <v>1822461.557</v>
      </c>
      <c r="T1378" s="868">
        <v>1381931.796</v>
      </c>
      <c r="AN1378" s="882"/>
      <c r="AO1378" s="882"/>
      <c r="AP1378" s="882"/>
      <c r="AY1378" s="882"/>
      <c r="AZ1378" s="882"/>
      <c r="BA1378" s="882"/>
      <c r="BJ1378" s="882"/>
      <c r="BK1378" s="882"/>
      <c r="BL1378" s="882"/>
      <c r="BU1378" s="882"/>
      <c r="BV1378" s="882"/>
      <c r="BW1378" s="882"/>
      <c r="CF1378" s="882"/>
      <c r="CG1378" s="882"/>
      <c r="CH1378" s="882"/>
      <c r="CI1378" s="530"/>
    </row>
    <row r="1379">
      <c r="A1379" s="857"/>
      <c r="B1379" s="865" t="s">
        <v>658</v>
      </c>
      <c r="C1379" s="865" t="s">
        <v>591</v>
      </c>
      <c r="D1379" s="865" t="s">
        <v>625</v>
      </c>
      <c r="E1379" s="866">
        <v>2019.0</v>
      </c>
      <c r="F1379" s="865" t="s">
        <v>593</v>
      </c>
      <c r="G1379" s="865" t="s">
        <v>70</v>
      </c>
      <c r="H1379" s="867">
        <v>1.027885395E7</v>
      </c>
      <c r="I1379" s="867">
        <v>1.264884439E7</v>
      </c>
      <c r="J1379" s="868">
        <v>7846256.668</v>
      </c>
      <c r="K1379" s="50"/>
      <c r="L1379" s="869" t="s">
        <v>658</v>
      </c>
      <c r="M1379" s="865" t="s">
        <v>591</v>
      </c>
      <c r="N1379" s="865" t="s">
        <v>625</v>
      </c>
      <c r="O1379" s="866">
        <v>2004.0</v>
      </c>
      <c r="P1379" s="865" t="s">
        <v>593</v>
      </c>
      <c r="Q1379" s="865" t="s">
        <v>70</v>
      </c>
      <c r="R1379" s="867">
        <v>6264900.719</v>
      </c>
      <c r="S1379" s="867">
        <v>7165089.684</v>
      </c>
      <c r="T1379" s="868">
        <v>5433127.091</v>
      </c>
      <c r="AN1379" s="882"/>
      <c r="AO1379" s="882"/>
      <c r="AP1379" s="882"/>
      <c r="AY1379" s="882"/>
      <c r="AZ1379" s="882"/>
      <c r="BA1379" s="882"/>
      <c r="BJ1379" s="882"/>
      <c r="BK1379" s="882"/>
      <c r="BL1379" s="882"/>
      <c r="BU1379" s="882"/>
      <c r="BV1379" s="882"/>
      <c r="BW1379" s="882"/>
      <c r="CF1379" s="882"/>
      <c r="CG1379" s="882"/>
      <c r="CH1379" s="882"/>
      <c r="CI1379" s="530"/>
    </row>
    <row r="1380">
      <c r="A1380" s="857"/>
      <c r="B1380" s="865" t="s">
        <v>658</v>
      </c>
      <c r="C1380" s="865" t="s">
        <v>591</v>
      </c>
      <c r="D1380" s="865" t="s">
        <v>627</v>
      </c>
      <c r="E1380" s="866">
        <v>2019.0</v>
      </c>
      <c r="F1380" s="865" t="s">
        <v>593</v>
      </c>
      <c r="G1380" s="865" t="s">
        <v>70</v>
      </c>
      <c r="H1380" s="867">
        <v>2138488.986</v>
      </c>
      <c r="I1380" s="867">
        <v>2631559.369</v>
      </c>
      <c r="J1380" s="868">
        <v>1632393.412</v>
      </c>
      <c r="K1380" s="50"/>
      <c r="L1380" s="869" t="s">
        <v>658</v>
      </c>
      <c r="M1380" s="865" t="s">
        <v>591</v>
      </c>
      <c r="N1380" s="865" t="s">
        <v>627</v>
      </c>
      <c r="O1380" s="866">
        <v>2004.0</v>
      </c>
      <c r="P1380" s="865" t="s">
        <v>593</v>
      </c>
      <c r="Q1380" s="865" t="s">
        <v>70</v>
      </c>
      <c r="R1380" s="867">
        <v>1376136.287</v>
      </c>
      <c r="S1380" s="867">
        <v>1573870.098</v>
      </c>
      <c r="T1380" s="868">
        <v>1193430.459</v>
      </c>
      <c r="AN1380" s="882"/>
      <c r="AO1380" s="882"/>
      <c r="AP1380" s="882"/>
      <c r="AY1380" s="882"/>
      <c r="AZ1380" s="882"/>
      <c r="BA1380" s="882"/>
      <c r="BJ1380" s="882"/>
      <c r="BK1380" s="882"/>
      <c r="BL1380" s="882"/>
      <c r="BU1380" s="882"/>
      <c r="BV1380" s="882"/>
      <c r="BW1380" s="882"/>
      <c r="CF1380" s="882"/>
      <c r="CG1380" s="882"/>
      <c r="CH1380" s="882"/>
      <c r="CI1380" s="530"/>
    </row>
    <row r="1381">
      <c r="A1381" s="857"/>
      <c r="B1381" s="865" t="s">
        <v>658</v>
      </c>
      <c r="C1381" s="865" t="s">
        <v>591</v>
      </c>
      <c r="D1381" s="865" t="s">
        <v>629</v>
      </c>
      <c r="E1381" s="866">
        <v>2019.0</v>
      </c>
      <c r="F1381" s="865" t="s">
        <v>593</v>
      </c>
      <c r="G1381" s="865" t="s">
        <v>70</v>
      </c>
      <c r="H1381" s="867">
        <v>7722309.374</v>
      </c>
      <c r="I1381" s="867">
        <v>9501698.996</v>
      </c>
      <c r="J1381" s="868">
        <v>5893875.775</v>
      </c>
      <c r="K1381" s="50"/>
      <c r="L1381" s="869" t="s">
        <v>658</v>
      </c>
      <c r="M1381" s="865" t="s">
        <v>591</v>
      </c>
      <c r="N1381" s="865" t="s">
        <v>629</v>
      </c>
      <c r="O1381" s="866">
        <v>2004.0</v>
      </c>
      <c r="P1381" s="865" t="s">
        <v>593</v>
      </c>
      <c r="Q1381" s="865" t="s">
        <v>70</v>
      </c>
      <c r="R1381" s="867">
        <v>4826372.228</v>
      </c>
      <c r="S1381" s="867">
        <v>5519602.155</v>
      </c>
      <c r="T1381" s="868">
        <v>4185092.636</v>
      </c>
      <c r="AN1381" s="882"/>
      <c r="AO1381" s="882"/>
      <c r="AP1381" s="882"/>
      <c r="AY1381" s="882"/>
      <c r="AZ1381" s="882"/>
      <c r="BA1381" s="882"/>
      <c r="BJ1381" s="882"/>
      <c r="BK1381" s="882"/>
      <c r="BL1381" s="882"/>
      <c r="BU1381" s="882"/>
      <c r="BV1381" s="882"/>
      <c r="BW1381" s="882"/>
      <c r="CF1381" s="882"/>
      <c r="CG1381" s="882"/>
      <c r="CH1381" s="882"/>
      <c r="CI1381" s="530"/>
    </row>
    <row r="1382">
      <c r="A1382" s="857"/>
      <c r="B1382" s="865" t="s">
        <v>658</v>
      </c>
      <c r="C1382" s="865" t="s">
        <v>591</v>
      </c>
      <c r="D1382" s="865" t="s">
        <v>631</v>
      </c>
      <c r="E1382" s="866">
        <v>2019.0</v>
      </c>
      <c r="F1382" s="865" t="s">
        <v>593</v>
      </c>
      <c r="G1382" s="865" t="s">
        <v>70</v>
      </c>
      <c r="H1382" s="867">
        <v>1787772.99</v>
      </c>
      <c r="I1382" s="867">
        <v>2199978.954</v>
      </c>
      <c r="J1382" s="868">
        <v>1364677.99</v>
      </c>
      <c r="K1382" s="50"/>
      <c r="L1382" s="869" t="s">
        <v>658</v>
      </c>
      <c r="M1382" s="865" t="s">
        <v>591</v>
      </c>
      <c r="N1382" s="865" t="s">
        <v>631</v>
      </c>
      <c r="O1382" s="866">
        <v>2004.0</v>
      </c>
      <c r="P1382" s="865" t="s">
        <v>593</v>
      </c>
      <c r="Q1382" s="865" t="s">
        <v>70</v>
      </c>
      <c r="R1382" s="867">
        <v>1148317.035</v>
      </c>
      <c r="S1382" s="867">
        <v>1313316.031</v>
      </c>
      <c r="T1382" s="868">
        <v>995858.1427</v>
      </c>
      <c r="AN1382" s="882"/>
      <c r="AO1382" s="882"/>
      <c r="AP1382" s="882"/>
      <c r="AY1382" s="882"/>
      <c r="AZ1382" s="882"/>
      <c r="BA1382" s="882"/>
      <c r="BJ1382" s="882"/>
      <c r="BK1382" s="882"/>
      <c r="BL1382" s="882"/>
      <c r="BU1382" s="882"/>
      <c r="BV1382" s="882"/>
      <c r="BW1382" s="882"/>
      <c r="CF1382" s="882"/>
      <c r="CG1382" s="882"/>
      <c r="CH1382" s="882"/>
      <c r="CI1382" s="530"/>
    </row>
    <row r="1383">
      <c r="A1383" s="857"/>
      <c r="B1383" s="865" t="s">
        <v>658</v>
      </c>
      <c r="C1383" s="865" t="s">
        <v>591</v>
      </c>
      <c r="D1383" s="865" t="s">
        <v>633</v>
      </c>
      <c r="E1383" s="866">
        <v>2019.0</v>
      </c>
      <c r="F1383" s="865" t="s">
        <v>593</v>
      </c>
      <c r="G1383" s="865" t="s">
        <v>70</v>
      </c>
      <c r="H1383" s="867">
        <v>1513530.911</v>
      </c>
      <c r="I1383" s="867">
        <v>1862505.01</v>
      </c>
      <c r="J1383" s="868">
        <v>1155338.14</v>
      </c>
      <c r="K1383" s="50"/>
      <c r="L1383" s="869" t="s">
        <v>658</v>
      </c>
      <c r="M1383" s="865" t="s">
        <v>591</v>
      </c>
      <c r="N1383" s="865" t="s">
        <v>633</v>
      </c>
      <c r="O1383" s="866">
        <v>2004.0</v>
      </c>
      <c r="P1383" s="865" t="s">
        <v>593</v>
      </c>
      <c r="Q1383" s="865" t="s">
        <v>70</v>
      </c>
      <c r="R1383" s="867">
        <v>936875.9403</v>
      </c>
      <c r="S1383" s="867">
        <v>1071493.458</v>
      </c>
      <c r="T1383" s="868">
        <v>812489.4999</v>
      </c>
      <c r="AN1383" s="882"/>
      <c r="AO1383" s="882"/>
      <c r="AP1383" s="882"/>
      <c r="AY1383" s="882"/>
      <c r="AZ1383" s="882"/>
      <c r="BA1383" s="882"/>
      <c r="BJ1383" s="882"/>
      <c r="BK1383" s="882"/>
      <c r="BL1383" s="882"/>
      <c r="BU1383" s="882"/>
      <c r="BV1383" s="882"/>
      <c r="BW1383" s="882"/>
      <c r="CF1383" s="882"/>
      <c r="CG1383" s="882"/>
      <c r="CH1383" s="882"/>
      <c r="CI1383" s="530"/>
    </row>
    <row r="1384">
      <c r="A1384" s="857"/>
      <c r="B1384" s="865" t="s">
        <v>658</v>
      </c>
      <c r="C1384" s="865" t="s">
        <v>591</v>
      </c>
      <c r="D1384" s="865" t="s">
        <v>635</v>
      </c>
      <c r="E1384" s="866">
        <v>2019.0</v>
      </c>
      <c r="F1384" s="865" t="s">
        <v>593</v>
      </c>
      <c r="G1384" s="865" t="s">
        <v>70</v>
      </c>
      <c r="H1384" s="867">
        <v>1262266.745</v>
      </c>
      <c r="I1384" s="867">
        <v>1553306.985</v>
      </c>
      <c r="J1384" s="868">
        <v>963538.2424</v>
      </c>
      <c r="K1384" s="50"/>
      <c r="L1384" s="869" t="s">
        <v>658</v>
      </c>
      <c r="M1384" s="865" t="s">
        <v>591</v>
      </c>
      <c r="N1384" s="865" t="s">
        <v>635</v>
      </c>
      <c r="O1384" s="866">
        <v>2004.0</v>
      </c>
      <c r="P1384" s="865" t="s">
        <v>593</v>
      </c>
      <c r="Q1384" s="865" t="s">
        <v>70</v>
      </c>
      <c r="R1384" s="867">
        <v>759200.4555</v>
      </c>
      <c r="S1384" s="867">
        <v>868288.1974</v>
      </c>
      <c r="T1384" s="868">
        <v>658403.5003</v>
      </c>
      <c r="AN1384" s="882"/>
      <c r="AO1384" s="882"/>
      <c r="AP1384" s="882"/>
      <c r="AY1384" s="882"/>
      <c r="AZ1384" s="882"/>
      <c r="BA1384" s="882"/>
      <c r="BJ1384" s="882"/>
      <c r="BK1384" s="882"/>
      <c r="BL1384" s="882"/>
      <c r="BU1384" s="882"/>
      <c r="BV1384" s="882"/>
      <c r="BW1384" s="882"/>
      <c r="CF1384" s="882"/>
      <c r="CG1384" s="882"/>
      <c r="CH1384" s="882"/>
      <c r="CI1384" s="530"/>
    </row>
    <row r="1385">
      <c r="A1385" s="857"/>
      <c r="B1385" s="865" t="s">
        <v>658</v>
      </c>
      <c r="C1385" s="865" t="s">
        <v>591</v>
      </c>
      <c r="D1385" s="865" t="s">
        <v>637</v>
      </c>
      <c r="E1385" s="866">
        <v>2019.0</v>
      </c>
      <c r="F1385" s="865" t="s">
        <v>593</v>
      </c>
      <c r="G1385" s="865" t="s">
        <v>70</v>
      </c>
      <c r="H1385" s="867">
        <v>1019219.273</v>
      </c>
      <c r="I1385" s="867">
        <v>1254220.173</v>
      </c>
      <c r="J1385" s="868">
        <v>778010.4723</v>
      </c>
      <c r="K1385" s="50"/>
      <c r="L1385" s="869" t="s">
        <v>658</v>
      </c>
      <c r="M1385" s="865" t="s">
        <v>591</v>
      </c>
      <c r="N1385" s="865" t="s">
        <v>637</v>
      </c>
      <c r="O1385" s="866">
        <v>2004.0</v>
      </c>
      <c r="P1385" s="865" t="s">
        <v>593</v>
      </c>
      <c r="Q1385" s="865" t="s">
        <v>70</v>
      </c>
      <c r="R1385" s="867">
        <v>605438.1895</v>
      </c>
      <c r="S1385" s="867">
        <v>692432.1901</v>
      </c>
      <c r="T1385" s="868">
        <v>525055.8272</v>
      </c>
      <c r="AN1385" s="882"/>
      <c r="AO1385" s="882"/>
      <c r="AP1385" s="882"/>
      <c r="AY1385" s="882"/>
      <c r="AZ1385" s="882"/>
      <c r="BA1385" s="882"/>
      <c r="BJ1385" s="882"/>
      <c r="BK1385" s="882"/>
      <c r="BL1385" s="882"/>
      <c r="BU1385" s="882"/>
      <c r="BV1385" s="882"/>
      <c r="BW1385" s="882"/>
      <c r="CF1385" s="882"/>
      <c r="CG1385" s="882"/>
      <c r="CH1385" s="882"/>
      <c r="CI1385" s="530"/>
    </row>
    <row r="1386">
      <c r="A1386" s="857"/>
      <c r="B1386" s="865" t="s">
        <v>658</v>
      </c>
      <c r="C1386" s="865" t="s">
        <v>591</v>
      </c>
      <c r="D1386" s="865" t="s">
        <v>639</v>
      </c>
      <c r="E1386" s="866">
        <v>2019.0</v>
      </c>
      <c r="F1386" s="865" t="s">
        <v>593</v>
      </c>
      <c r="G1386" s="865" t="s">
        <v>70</v>
      </c>
      <c r="H1386" s="867">
        <v>9933894.366</v>
      </c>
      <c r="I1386" s="867">
        <v>1.222288173E7</v>
      </c>
      <c r="J1386" s="868">
        <v>7581817.371</v>
      </c>
      <c r="K1386" s="50"/>
      <c r="L1386" s="869" t="s">
        <v>658</v>
      </c>
      <c r="M1386" s="865" t="s">
        <v>591</v>
      </c>
      <c r="N1386" s="865" t="s">
        <v>639</v>
      </c>
      <c r="O1386" s="866">
        <v>2004.0</v>
      </c>
      <c r="P1386" s="865" t="s">
        <v>593</v>
      </c>
      <c r="Q1386" s="865" t="s">
        <v>70</v>
      </c>
      <c r="R1386" s="867">
        <v>6776290.972</v>
      </c>
      <c r="S1386" s="867">
        <v>7749595.035</v>
      </c>
      <c r="T1386" s="868">
        <v>5875925.872</v>
      </c>
      <c r="AN1386" s="882"/>
      <c r="AO1386" s="882"/>
      <c r="AP1386" s="882"/>
      <c r="AY1386" s="882"/>
      <c r="AZ1386" s="882"/>
      <c r="BA1386" s="882"/>
      <c r="BJ1386" s="882"/>
      <c r="BK1386" s="882"/>
      <c r="BL1386" s="882"/>
      <c r="BU1386" s="882"/>
      <c r="BV1386" s="882"/>
      <c r="BW1386" s="882"/>
      <c r="CF1386" s="882"/>
      <c r="CG1386" s="882"/>
      <c r="CH1386" s="882"/>
      <c r="CI1386" s="530"/>
    </row>
    <row r="1387">
      <c r="A1387" s="857"/>
      <c r="B1387" s="865" t="s">
        <v>658</v>
      </c>
      <c r="C1387" s="865" t="s">
        <v>591</v>
      </c>
      <c r="D1387" s="865" t="s">
        <v>641</v>
      </c>
      <c r="E1387" s="866">
        <v>2019.0</v>
      </c>
      <c r="F1387" s="865" t="s">
        <v>593</v>
      </c>
      <c r="G1387" s="865" t="s">
        <v>70</v>
      </c>
      <c r="H1387" s="867">
        <v>3664884.255</v>
      </c>
      <c r="I1387" s="867">
        <v>4509894.866</v>
      </c>
      <c r="J1387" s="868">
        <v>2797551.427</v>
      </c>
      <c r="K1387" s="50"/>
      <c r="L1387" s="869" t="s">
        <v>658</v>
      </c>
      <c r="M1387" s="865" t="s">
        <v>591</v>
      </c>
      <c r="N1387" s="865" t="s">
        <v>641</v>
      </c>
      <c r="O1387" s="866">
        <v>2004.0</v>
      </c>
      <c r="P1387" s="865" t="s">
        <v>593</v>
      </c>
      <c r="Q1387" s="865" t="s">
        <v>70</v>
      </c>
      <c r="R1387" s="867">
        <v>2668208.371</v>
      </c>
      <c r="S1387" s="867">
        <v>3051597.005</v>
      </c>
      <c r="T1387" s="868">
        <v>2313957.688</v>
      </c>
      <c r="AN1387" s="882"/>
      <c r="AO1387" s="882"/>
      <c r="AP1387" s="882"/>
      <c r="AY1387" s="882"/>
      <c r="AZ1387" s="882"/>
      <c r="BA1387" s="882"/>
      <c r="BJ1387" s="882"/>
      <c r="BK1387" s="882"/>
      <c r="BL1387" s="882"/>
      <c r="BU1387" s="882"/>
      <c r="BV1387" s="882"/>
      <c r="BW1387" s="882"/>
      <c r="CF1387" s="882"/>
      <c r="CG1387" s="882"/>
      <c r="CH1387" s="882"/>
      <c r="CI1387" s="530"/>
    </row>
    <row r="1388">
      <c r="A1388" s="857"/>
      <c r="B1388" s="865" t="s">
        <v>658</v>
      </c>
      <c r="C1388" s="865" t="s">
        <v>591</v>
      </c>
      <c r="D1388" s="865" t="s">
        <v>643</v>
      </c>
      <c r="E1388" s="866">
        <v>2019.0</v>
      </c>
      <c r="F1388" s="865" t="s">
        <v>593</v>
      </c>
      <c r="G1388" s="865" t="s">
        <v>70</v>
      </c>
      <c r="H1388" s="867">
        <v>804920.8921</v>
      </c>
      <c r="I1388" s="867">
        <v>990511.1174</v>
      </c>
      <c r="J1388" s="868">
        <v>614428.0237</v>
      </c>
      <c r="K1388" s="50"/>
      <c r="L1388" s="869" t="s">
        <v>658</v>
      </c>
      <c r="M1388" s="865" t="s">
        <v>591</v>
      </c>
      <c r="N1388" s="865" t="s">
        <v>643</v>
      </c>
      <c r="O1388" s="866">
        <v>2004.0</v>
      </c>
      <c r="P1388" s="865" t="s">
        <v>593</v>
      </c>
      <c r="Q1388" s="865" t="s">
        <v>70</v>
      </c>
      <c r="R1388" s="867">
        <v>440859.5269</v>
      </c>
      <c r="S1388" s="867">
        <v>504205.6036</v>
      </c>
      <c r="T1388" s="868">
        <v>382327.8207</v>
      </c>
      <c r="AN1388" s="882"/>
      <c r="AO1388" s="882"/>
      <c r="AP1388" s="882"/>
      <c r="AY1388" s="882"/>
      <c r="AZ1388" s="882"/>
      <c r="BA1388" s="882"/>
      <c r="BJ1388" s="882"/>
      <c r="BK1388" s="882"/>
      <c r="BL1388" s="882"/>
      <c r="BU1388" s="882"/>
      <c r="BV1388" s="882"/>
      <c r="BW1388" s="882"/>
      <c r="CF1388" s="882"/>
      <c r="CG1388" s="882"/>
      <c r="CH1388" s="882"/>
      <c r="CI1388" s="530"/>
    </row>
    <row r="1389">
      <c r="A1389" s="857"/>
      <c r="B1389" s="865" t="s">
        <v>658</v>
      </c>
      <c r="C1389" s="865" t="s">
        <v>591</v>
      </c>
      <c r="D1389" s="865" t="s">
        <v>645</v>
      </c>
      <c r="E1389" s="866">
        <v>2019.0</v>
      </c>
      <c r="F1389" s="865" t="s">
        <v>593</v>
      </c>
      <c r="G1389" s="865" t="s">
        <v>70</v>
      </c>
      <c r="H1389" s="867">
        <v>2186763.325</v>
      </c>
      <c r="I1389" s="867">
        <v>2690964.299</v>
      </c>
      <c r="J1389" s="868">
        <v>1669243.128</v>
      </c>
      <c r="K1389" s="50"/>
      <c r="L1389" s="869" t="s">
        <v>658</v>
      </c>
      <c r="M1389" s="865" t="s">
        <v>591</v>
      </c>
      <c r="N1389" s="865" t="s">
        <v>645</v>
      </c>
      <c r="O1389" s="866">
        <v>2004.0</v>
      </c>
      <c r="P1389" s="865" t="s">
        <v>593</v>
      </c>
      <c r="Q1389" s="865" t="s">
        <v>70</v>
      </c>
      <c r="R1389" s="867">
        <v>1177917.254</v>
      </c>
      <c r="S1389" s="867">
        <v>1347169.436</v>
      </c>
      <c r="T1389" s="868">
        <v>1021528.422</v>
      </c>
      <c r="AN1389" s="882"/>
      <c r="AO1389" s="882"/>
      <c r="AP1389" s="882"/>
      <c r="AY1389" s="882"/>
      <c r="AZ1389" s="882"/>
      <c r="BA1389" s="882"/>
      <c r="BJ1389" s="882"/>
      <c r="BK1389" s="882"/>
      <c r="BL1389" s="882"/>
      <c r="BU1389" s="882"/>
      <c r="BV1389" s="882"/>
      <c r="BW1389" s="882"/>
      <c r="CF1389" s="882"/>
      <c r="CG1389" s="882"/>
      <c r="CH1389" s="882"/>
      <c r="CI1389" s="530"/>
    </row>
    <row r="1390">
      <c r="A1390" s="857"/>
      <c r="B1390" s="865" t="s">
        <v>658</v>
      </c>
      <c r="C1390" s="865" t="s">
        <v>591</v>
      </c>
      <c r="D1390" s="865" t="s">
        <v>604</v>
      </c>
      <c r="E1390" s="866">
        <v>2019.0</v>
      </c>
      <c r="F1390" s="865" t="s">
        <v>593</v>
      </c>
      <c r="G1390" s="865" t="s">
        <v>70</v>
      </c>
      <c r="H1390" s="867">
        <v>6987948.538</v>
      </c>
      <c r="I1390" s="867">
        <v>8599156.492</v>
      </c>
      <c r="J1390" s="868">
        <v>5334178.119</v>
      </c>
      <c r="K1390" s="50"/>
      <c r="L1390" s="869" t="s">
        <v>658</v>
      </c>
      <c r="M1390" s="865" t="s">
        <v>591</v>
      </c>
      <c r="N1390" s="865" t="s">
        <v>604</v>
      </c>
      <c r="O1390" s="866">
        <v>2004.0</v>
      </c>
      <c r="P1390" s="865" t="s">
        <v>593</v>
      </c>
      <c r="Q1390" s="865" t="s">
        <v>70</v>
      </c>
      <c r="R1390" s="867">
        <v>4904650.728</v>
      </c>
      <c r="S1390" s="867">
        <v>5609388.546</v>
      </c>
      <c r="T1390" s="868">
        <v>4253473.748</v>
      </c>
      <c r="AN1390" s="882"/>
      <c r="AO1390" s="882"/>
      <c r="AP1390" s="882"/>
      <c r="AY1390" s="882"/>
      <c r="AZ1390" s="882"/>
      <c r="BA1390" s="882"/>
      <c r="BJ1390" s="882"/>
      <c r="BK1390" s="882"/>
      <c r="BL1390" s="882"/>
      <c r="BU1390" s="882"/>
      <c r="BV1390" s="882"/>
      <c r="BW1390" s="882"/>
      <c r="CF1390" s="882"/>
      <c r="CG1390" s="882"/>
      <c r="CH1390" s="882"/>
      <c r="CI1390" s="530"/>
    </row>
    <row r="1391">
      <c r="A1391" s="857"/>
      <c r="B1391" s="865" t="s">
        <v>658</v>
      </c>
      <c r="C1391" s="865" t="s">
        <v>591</v>
      </c>
      <c r="D1391" s="865" t="s">
        <v>647</v>
      </c>
      <c r="E1391" s="866">
        <v>2019.0</v>
      </c>
      <c r="F1391" s="865" t="s">
        <v>593</v>
      </c>
      <c r="G1391" s="865" t="s">
        <v>70</v>
      </c>
      <c r="H1391" s="867">
        <v>1752888.057</v>
      </c>
      <c r="I1391" s="867">
        <v>2156791.949</v>
      </c>
      <c r="J1391" s="868">
        <v>1337851.665</v>
      </c>
      <c r="K1391" s="50"/>
      <c r="L1391" s="869" t="s">
        <v>658</v>
      </c>
      <c r="M1391" s="865" t="s">
        <v>591</v>
      </c>
      <c r="N1391" s="865" t="s">
        <v>647</v>
      </c>
      <c r="O1391" s="866">
        <v>2004.0</v>
      </c>
      <c r="P1391" s="865" t="s">
        <v>593</v>
      </c>
      <c r="Q1391" s="865" t="s">
        <v>70</v>
      </c>
      <c r="R1391" s="867">
        <v>998156.9034</v>
      </c>
      <c r="S1391" s="867">
        <v>1141525.92</v>
      </c>
      <c r="T1391" s="868">
        <v>865531.8961</v>
      </c>
      <c r="AN1391" s="882"/>
      <c r="AO1391" s="882"/>
      <c r="AP1391" s="882"/>
      <c r="AY1391" s="882"/>
      <c r="AZ1391" s="882"/>
      <c r="BA1391" s="882"/>
      <c r="BJ1391" s="882"/>
      <c r="BK1391" s="882"/>
      <c r="BL1391" s="882"/>
      <c r="BU1391" s="882"/>
      <c r="BV1391" s="882"/>
      <c r="BW1391" s="882"/>
      <c r="CF1391" s="882"/>
      <c r="CG1391" s="882"/>
      <c r="CH1391" s="882"/>
      <c r="CI1391" s="530"/>
    </row>
    <row r="1392">
      <c r="A1392" s="857"/>
      <c r="B1392" s="865" t="s">
        <v>658</v>
      </c>
      <c r="C1392" s="865" t="s">
        <v>591</v>
      </c>
      <c r="D1392" s="865" t="s">
        <v>649</v>
      </c>
      <c r="E1392" s="866">
        <v>2019.0</v>
      </c>
      <c r="F1392" s="865" t="s">
        <v>593</v>
      </c>
      <c r="G1392" s="865" t="s">
        <v>70</v>
      </c>
      <c r="H1392" s="867">
        <v>627977.7639</v>
      </c>
      <c r="I1392" s="867">
        <v>772770.2968</v>
      </c>
      <c r="J1392" s="868">
        <v>479360.32</v>
      </c>
      <c r="K1392" s="50"/>
      <c r="L1392" s="869" t="s">
        <v>658</v>
      </c>
      <c r="M1392" s="865" t="s">
        <v>591</v>
      </c>
      <c r="N1392" s="865" t="s">
        <v>649</v>
      </c>
      <c r="O1392" s="866">
        <v>2004.0</v>
      </c>
      <c r="P1392" s="865" t="s">
        <v>593</v>
      </c>
      <c r="Q1392" s="865" t="s">
        <v>70</v>
      </c>
      <c r="R1392" s="867">
        <v>325796.2699</v>
      </c>
      <c r="S1392" s="867">
        <v>372609.1757</v>
      </c>
      <c r="T1392" s="868">
        <v>282541.1957</v>
      </c>
      <c r="AN1392" s="882"/>
      <c r="AO1392" s="882"/>
      <c r="AP1392" s="882"/>
      <c r="AY1392" s="882"/>
      <c r="AZ1392" s="882"/>
      <c r="BA1392" s="882"/>
      <c r="BJ1392" s="882"/>
      <c r="BK1392" s="882"/>
      <c r="BL1392" s="882"/>
      <c r="BU1392" s="882"/>
      <c r="BV1392" s="882"/>
      <c r="BW1392" s="882"/>
      <c r="CF1392" s="882"/>
      <c r="CG1392" s="882"/>
      <c r="CH1392" s="882"/>
      <c r="CI1392" s="530"/>
    </row>
    <row r="1393">
      <c r="A1393" s="857"/>
      <c r="B1393" s="865" t="s">
        <v>658</v>
      </c>
      <c r="C1393" s="865" t="s">
        <v>591</v>
      </c>
      <c r="D1393" s="865" t="s">
        <v>651</v>
      </c>
      <c r="E1393" s="866">
        <v>2019.0</v>
      </c>
      <c r="F1393" s="865" t="s">
        <v>593</v>
      </c>
      <c r="G1393" s="865" t="s">
        <v>70</v>
      </c>
      <c r="H1393" s="867">
        <v>460221.1762</v>
      </c>
      <c r="I1393" s="867">
        <v>566334.1528</v>
      </c>
      <c r="J1393" s="868">
        <v>351305.0668</v>
      </c>
      <c r="K1393" s="50"/>
      <c r="L1393" s="869" t="s">
        <v>658</v>
      </c>
      <c r="M1393" s="865" t="s">
        <v>591</v>
      </c>
      <c r="N1393" s="865" t="s">
        <v>651</v>
      </c>
      <c r="O1393" s="866">
        <v>2004.0</v>
      </c>
      <c r="P1393" s="865" t="s">
        <v>593</v>
      </c>
      <c r="Q1393" s="865" t="s">
        <v>70</v>
      </c>
      <c r="R1393" s="867">
        <v>237840.9351</v>
      </c>
      <c r="S1393" s="867">
        <v>272015.744</v>
      </c>
      <c r="T1393" s="868">
        <v>206263.4486</v>
      </c>
      <c r="AN1393" s="882"/>
      <c r="AO1393" s="882"/>
      <c r="AP1393" s="882"/>
      <c r="AY1393" s="882"/>
      <c r="AZ1393" s="882"/>
      <c r="BA1393" s="882"/>
      <c r="BJ1393" s="882"/>
      <c r="BK1393" s="882"/>
      <c r="BL1393" s="882"/>
      <c r="BU1393" s="882"/>
      <c r="BV1393" s="882"/>
      <c r="BW1393" s="882"/>
      <c r="CF1393" s="882"/>
      <c r="CG1393" s="882"/>
      <c r="CH1393" s="882"/>
      <c r="CI1393" s="530"/>
    </row>
    <row r="1394">
      <c r="A1394" s="857"/>
      <c r="B1394" s="865" t="s">
        <v>658</v>
      </c>
      <c r="C1394" s="865" t="s">
        <v>591</v>
      </c>
      <c r="D1394" s="865" t="s">
        <v>653</v>
      </c>
      <c r="E1394" s="866">
        <v>2019.0</v>
      </c>
      <c r="F1394" s="865" t="s">
        <v>593</v>
      </c>
      <c r="G1394" s="865" t="s">
        <v>70</v>
      </c>
      <c r="H1394" s="867">
        <v>293643.4927</v>
      </c>
      <c r="I1394" s="867">
        <v>361348.7325</v>
      </c>
      <c r="J1394" s="868">
        <v>224149.7179</v>
      </c>
      <c r="K1394" s="50"/>
      <c r="L1394" s="869" t="s">
        <v>658</v>
      </c>
      <c r="M1394" s="865" t="s">
        <v>591</v>
      </c>
      <c r="N1394" s="865" t="s">
        <v>653</v>
      </c>
      <c r="O1394" s="866">
        <v>2004.0</v>
      </c>
      <c r="P1394" s="865" t="s">
        <v>593</v>
      </c>
      <c r="Q1394" s="865" t="s">
        <v>70</v>
      </c>
      <c r="R1394" s="867">
        <v>173420.5223</v>
      </c>
      <c r="S1394" s="867">
        <v>198338.9124</v>
      </c>
      <c r="T1394" s="868">
        <v>150395.9568</v>
      </c>
      <c r="AN1394" s="882"/>
      <c r="AO1394" s="882"/>
      <c r="AP1394" s="882"/>
      <c r="AY1394" s="882"/>
      <c r="AZ1394" s="882"/>
      <c r="BA1394" s="882"/>
      <c r="BJ1394" s="882"/>
      <c r="BK1394" s="882"/>
      <c r="BL1394" s="882"/>
      <c r="BU1394" s="882"/>
      <c r="BV1394" s="882"/>
      <c r="BW1394" s="882"/>
      <c r="CF1394" s="882"/>
      <c r="CG1394" s="882"/>
      <c r="CH1394" s="882"/>
      <c r="CI1394" s="530"/>
    </row>
    <row r="1395">
      <c r="A1395" s="857"/>
      <c r="B1395" s="865" t="s">
        <v>658</v>
      </c>
      <c r="C1395" s="865" t="s">
        <v>591</v>
      </c>
      <c r="D1395" s="865" t="s">
        <v>655</v>
      </c>
      <c r="E1395" s="866">
        <v>2019.0</v>
      </c>
      <c r="F1395" s="865" t="s">
        <v>593</v>
      </c>
      <c r="G1395" s="865" t="s">
        <v>70</v>
      </c>
      <c r="H1395" s="867">
        <v>475443.9606</v>
      </c>
      <c r="I1395" s="867">
        <v>584996.6875</v>
      </c>
      <c r="J1395" s="868">
        <v>362871.7144</v>
      </c>
      <c r="K1395" s="50"/>
      <c r="L1395" s="869" t="s">
        <v>658</v>
      </c>
      <c r="M1395" s="865" t="s">
        <v>591</v>
      </c>
      <c r="N1395" s="865" t="s">
        <v>655</v>
      </c>
      <c r="O1395" s="866">
        <v>2004.0</v>
      </c>
      <c r="P1395" s="865" t="s">
        <v>593</v>
      </c>
      <c r="Q1395" s="865" t="s">
        <v>70</v>
      </c>
      <c r="R1395" s="867">
        <v>297847.0025</v>
      </c>
      <c r="S1395" s="867">
        <v>340627.8835</v>
      </c>
      <c r="T1395" s="868">
        <v>258272.1013</v>
      </c>
      <c r="AN1395" s="882"/>
      <c r="AO1395" s="882"/>
      <c r="AP1395" s="882"/>
      <c r="AY1395" s="882"/>
      <c r="AZ1395" s="882"/>
      <c r="BA1395" s="882"/>
      <c r="BJ1395" s="882"/>
      <c r="BK1395" s="882"/>
      <c r="BL1395" s="882"/>
      <c r="BU1395" s="882"/>
      <c r="BV1395" s="882"/>
      <c r="BW1395" s="882"/>
      <c r="CF1395" s="882"/>
      <c r="CG1395" s="882"/>
      <c r="CH1395" s="882"/>
      <c r="CI1395" s="530"/>
    </row>
    <row r="1396">
      <c r="A1396" s="857"/>
      <c r="B1396" s="865" t="s">
        <v>658</v>
      </c>
      <c r="C1396" s="865" t="s">
        <v>591</v>
      </c>
      <c r="D1396" s="865" t="s">
        <v>657</v>
      </c>
      <c r="E1396" s="866">
        <v>2019.0</v>
      </c>
      <c r="F1396" s="865" t="s">
        <v>593</v>
      </c>
      <c r="G1396" s="865" t="s">
        <v>70</v>
      </c>
      <c r="H1396" s="867">
        <v>181737.0244</v>
      </c>
      <c r="I1396" s="867">
        <v>223640.0432</v>
      </c>
      <c r="J1396" s="868">
        <v>138727.0747</v>
      </c>
      <c r="K1396" s="50"/>
      <c r="L1396" s="869" t="s">
        <v>658</v>
      </c>
      <c r="M1396" s="865" t="s">
        <v>591</v>
      </c>
      <c r="N1396" s="865" t="s">
        <v>657</v>
      </c>
      <c r="O1396" s="866">
        <v>2004.0</v>
      </c>
      <c r="P1396" s="865" t="s">
        <v>593</v>
      </c>
      <c r="Q1396" s="865" t="s">
        <v>70</v>
      </c>
      <c r="R1396" s="867">
        <v>124401.5287</v>
      </c>
      <c r="S1396" s="867">
        <v>142276.494</v>
      </c>
      <c r="T1396" s="868">
        <v>107885.08</v>
      </c>
      <c r="AN1396" s="882"/>
      <c r="AO1396" s="882"/>
      <c r="AP1396" s="882"/>
      <c r="AY1396" s="882"/>
      <c r="AZ1396" s="882"/>
      <c r="BA1396" s="882"/>
      <c r="BJ1396" s="882"/>
      <c r="BK1396" s="882"/>
      <c r="BL1396" s="882"/>
      <c r="BU1396" s="882"/>
      <c r="BV1396" s="882"/>
      <c r="BW1396" s="882"/>
      <c r="CF1396" s="882"/>
      <c r="CG1396" s="882"/>
      <c r="CH1396" s="882"/>
      <c r="CI1396" s="530"/>
    </row>
    <row r="1397">
      <c r="A1397" s="857"/>
      <c r="B1397" s="865" t="s">
        <v>658</v>
      </c>
      <c r="C1397" s="865" t="s">
        <v>591</v>
      </c>
      <c r="D1397" s="865" t="s">
        <v>659</v>
      </c>
      <c r="E1397" s="866">
        <v>2019.0</v>
      </c>
      <c r="F1397" s="865" t="s">
        <v>593</v>
      </c>
      <c r="G1397" s="865" t="s">
        <v>70</v>
      </c>
      <c r="H1397" s="867">
        <v>370811.7175</v>
      </c>
      <c r="I1397" s="867">
        <v>456309.598</v>
      </c>
      <c r="J1397" s="868">
        <v>283055.2829</v>
      </c>
      <c r="K1397" s="50"/>
      <c r="L1397" s="869" t="s">
        <v>658</v>
      </c>
      <c r="M1397" s="865" t="s">
        <v>591</v>
      </c>
      <c r="N1397" s="865" t="s">
        <v>659</v>
      </c>
      <c r="O1397" s="866">
        <v>2004.0</v>
      </c>
      <c r="P1397" s="865" t="s">
        <v>593</v>
      </c>
      <c r="Q1397" s="865" t="s">
        <v>70</v>
      </c>
      <c r="R1397" s="867">
        <v>261015.5574</v>
      </c>
      <c r="S1397" s="867">
        <v>298520.2737</v>
      </c>
      <c r="T1397" s="868">
        <v>226361.2401</v>
      </c>
      <c r="AN1397" s="882"/>
      <c r="AO1397" s="882"/>
      <c r="AP1397" s="882"/>
      <c r="AY1397" s="882"/>
      <c r="AZ1397" s="882"/>
      <c r="BA1397" s="882"/>
      <c r="BJ1397" s="882"/>
      <c r="BK1397" s="882"/>
      <c r="BL1397" s="882"/>
      <c r="BU1397" s="882"/>
      <c r="BV1397" s="882"/>
      <c r="BW1397" s="882"/>
      <c r="CF1397" s="882"/>
      <c r="CG1397" s="882"/>
      <c r="CH1397" s="882"/>
      <c r="CI1397" s="530"/>
    </row>
    <row r="1398">
      <c r="A1398" s="857"/>
      <c r="B1398" s="865" t="s">
        <v>658</v>
      </c>
      <c r="C1398" s="865" t="s">
        <v>591</v>
      </c>
      <c r="D1398" s="865" t="s">
        <v>661</v>
      </c>
      <c r="E1398" s="866">
        <v>2019.0</v>
      </c>
      <c r="F1398" s="865" t="s">
        <v>593</v>
      </c>
      <c r="G1398" s="865" t="s">
        <v>70</v>
      </c>
      <c r="H1398" s="867">
        <v>189099.9267</v>
      </c>
      <c r="I1398" s="867">
        <v>232672.7015</v>
      </c>
      <c r="J1398" s="868">
        <v>144326.1883</v>
      </c>
      <c r="K1398" s="50"/>
      <c r="L1398" s="869" t="s">
        <v>658</v>
      </c>
      <c r="M1398" s="865" t="s">
        <v>591</v>
      </c>
      <c r="N1398" s="865" t="s">
        <v>661</v>
      </c>
      <c r="O1398" s="866">
        <v>2004.0</v>
      </c>
      <c r="P1398" s="865" t="s">
        <v>593</v>
      </c>
      <c r="Q1398" s="865" t="s">
        <v>70</v>
      </c>
      <c r="R1398" s="867">
        <v>136625.4743</v>
      </c>
      <c r="S1398" s="867">
        <v>156249.5031</v>
      </c>
      <c r="T1398" s="868">
        <v>118472.0613</v>
      </c>
      <c r="AN1398" s="882"/>
      <c r="AO1398" s="882"/>
      <c r="AP1398" s="882"/>
      <c r="AY1398" s="882"/>
      <c r="AZ1398" s="882"/>
      <c r="BA1398" s="882"/>
      <c r="BJ1398" s="882"/>
      <c r="BK1398" s="882"/>
      <c r="BL1398" s="882"/>
      <c r="BU1398" s="882"/>
      <c r="BV1398" s="882"/>
      <c r="BW1398" s="882"/>
      <c r="CF1398" s="882"/>
      <c r="CG1398" s="882"/>
      <c r="CH1398" s="882"/>
      <c r="CI1398" s="530"/>
    </row>
    <row r="1399">
      <c r="A1399" s="857"/>
      <c r="B1399" s="865" t="s">
        <v>658</v>
      </c>
      <c r="C1399" s="865" t="s">
        <v>591</v>
      </c>
      <c r="D1399" s="865" t="s">
        <v>663</v>
      </c>
      <c r="E1399" s="866">
        <v>2019.0</v>
      </c>
      <c r="F1399" s="865" t="s">
        <v>593</v>
      </c>
      <c r="G1399" s="865" t="s">
        <v>70</v>
      </c>
      <c r="H1399" s="867">
        <v>103518.7098</v>
      </c>
      <c r="I1399" s="867">
        <v>127386.9692</v>
      </c>
      <c r="J1399" s="868">
        <v>79019.93465</v>
      </c>
      <c r="K1399" s="50"/>
      <c r="L1399" s="869" t="s">
        <v>658</v>
      </c>
      <c r="M1399" s="865" t="s">
        <v>591</v>
      </c>
      <c r="N1399" s="865" t="s">
        <v>663</v>
      </c>
      <c r="O1399" s="866">
        <v>2004.0</v>
      </c>
      <c r="P1399" s="865" t="s">
        <v>593</v>
      </c>
      <c r="Q1399" s="865" t="s">
        <v>70</v>
      </c>
      <c r="R1399" s="867">
        <v>75706.82602</v>
      </c>
      <c r="S1399" s="867">
        <v>86584.96318</v>
      </c>
      <c r="T1399" s="868">
        <v>65655.43907</v>
      </c>
      <c r="AN1399" s="882"/>
      <c r="AO1399" s="882"/>
      <c r="AP1399" s="882"/>
      <c r="AY1399" s="882"/>
      <c r="AZ1399" s="882"/>
      <c r="BA1399" s="882"/>
      <c r="BJ1399" s="882"/>
      <c r="BK1399" s="882"/>
      <c r="BL1399" s="882"/>
      <c r="BU1399" s="882"/>
      <c r="BV1399" s="882"/>
      <c r="BW1399" s="882"/>
      <c r="CF1399" s="882"/>
      <c r="CG1399" s="882"/>
      <c r="CH1399" s="882"/>
      <c r="CI1399" s="530"/>
    </row>
    <row r="1400">
      <c r="A1400" s="857"/>
      <c r="B1400" s="865" t="s">
        <v>658</v>
      </c>
      <c r="C1400" s="865" t="s">
        <v>591</v>
      </c>
      <c r="D1400" s="865" t="s">
        <v>665</v>
      </c>
      <c r="E1400" s="866">
        <v>2019.0</v>
      </c>
      <c r="F1400" s="865" t="s">
        <v>593</v>
      </c>
      <c r="G1400" s="865" t="s">
        <v>70</v>
      </c>
      <c r="H1400" s="867">
        <v>157092.7389</v>
      </c>
      <c r="I1400" s="867">
        <v>193290.3549</v>
      </c>
      <c r="J1400" s="868">
        <v>119897.4352</v>
      </c>
      <c r="K1400" s="50"/>
      <c r="L1400" s="869" t="s">
        <v>658</v>
      </c>
      <c r="M1400" s="865" t="s">
        <v>591</v>
      </c>
      <c r="N1400" s="865" t="s">
        <v>665</v>
      </c>
      <c r="O1400" s="866">
        <v>2004.0</v>
      </c>
      <c r="P1400" s="865" t="s">
        <v>593</v>
      </c>
      <c r="Q1400" s="865" t="s">
        <v>70</v>
      </c>
      <c r="R1400" s="867">
        <v>115192.802</v>
      </c>
      <c r="S1400" s="867">
        <v>131738.3758</v>
      </c>
      <c r="T1400" s="868">
        <v>99887.14601</v>
      </c>
      <c r="AN1400" s="882"/>
      <c r="AO1400" s="882"/>
      <c r="AP1400" s="882"/>
      <c r="AY1400" s="882"/>
      <c r="AZ1400" s="882"/>
      <c r="BA1400" s="882"/>
      <c r="BJ1400" s="882"/>
      <c r="BK1400" s="882"/>
      <c r="BL1400" s="882"/>
      <c r="BU1400" s="882"/>
      <c r="BV1400" s="882"/>
      <c r="BW1400" s="882"/>
      <c r="CF1400" s="882"/>
      <c r="CG1400" s="882"/>
      <c r="CH1400" s="882"/>
      <c r="CI1400" s="530"/>
    </row>
    <row r="1401">
      <c r="A1401" s="857"/>
      <c r="B1401" s="865" t="s">
        <v>658</v>
      </c>
      <c r="C1401" s="865" t="s">
        <v>591</v>
      </c>
      <c r="D1401" s="865" t="s">
        <v>667</v>
      </c>
      <c r="E1401" s="866">
        <v>2019.0</v>
      </c>
      <c r="F1401" s="865" t="s">
        <v>593</v>
      </c>
      <c r="G1401" s="865" t="s">
        <v>70</v>
      </c>
      <c r="H1401" s="867">
        <v>85555.98333</v>
      </c>
      <c r="I1401" s="867">
        <v>105282.5855</v>
      </c>
      <c r="J1401" s="868">
        <v>65308.27349</v>
      </c>
      <c r="K1401" s="50"/>
      <c r="L1401" s="869" t="s">
        <v>658</v>
      </c>
      <c r="M1401" s="865" t="s">
        <v>591</v>
      </c>
      <c r="N1401" s="865" t="s">
        <v>667</v>
      </c>
      <c r="O1401" s="866">
        <v>2004.0</v>
      </c>
      <c r="P1401" s="865" t="s">
        <v>593</v>
      </c>
      <c r="Q1401" s="865" t="s">
        <v>70</v>
      </c>
      <c r="R1401" s="867">
        <v>60907.20271</v>
      </c>
      <c r="S1401" s="867">
        <v>69658.81654</v>
      </c>
      <c r="T1401" s="868">
        <v>52820.72102</v>
      </c>
      <c r="AN1401" s="882"/>
      <c r="AO1401" s="882"/>
      <c r="AP1401" s="882"/>
      <c r="AY1401" s="882"/>
      <c r="AZ1401" s="882"/>
      <c r="BA1401" s="882"/>
      <c r="BJ1401" s="882"/>
      <c r="BK1401" s="882"/>
      <c r="BL1401" s="882"/>
      <c r="BU1401" s="882"/>
      <c r="BV1401" s="882"/>
      <c r="BW1401" s="882"/>
      <c r="CF1401" s="882"/>
      <c r="CG1401" s="882"/>
      <c r="CH1401" s="882"/>
      <c r="CI1401" s="530"/>
    </row>
    <row r="1402">
      <c r="A1402" s="857"/>
      <c r="B1402" s="865" t="s">
        <v>658</v>
      </c>
      <c r="C1402" s="865" t="s">
        <v>591</v>
      </c>
      <c r="D1402" s="865" t="s">
        <v>669</v>
      </c>
      <c r="E1402" s="866">
        <v>2019.0</v>
      </c>
      <c r="F1402" s="865" t="s">
        <v>593</v>
      </c>
      <c r="G1402" s="865" t="s">
        <v>70</v>
      </c>
      <c r="H1402" s="867">
        <v>53553.06655</v>
      </c>
      <c r="I1402" s="867">
        <v>65900.7715</v>
      </c>
      <c r="J1402" s="868">
        <v>40879.17852</v>
      </c>
      <c r="K1402" s="50"/>
      <c r="L1402" s="869" t="s">
        <v>658</v>
      </c>
      <c r="M1402" s="865" t="s">
        <v>591</v>
      </c>
      <c r="N1402" s="865" t="s">
        <v>669</v>
      </c>
      <c r="O1402" s="866">
        <v>2004.0</v>
      </c>
      <c r="P1402" s="865" t="s">
        <v>593</v>
      </c>
      <c r="Q1402" s="865" t="s">
        <v>70</v>
      </c>
      <c r="R1402" s="867">
        <v>39476.32594</v>
      </c>
      <c r="S1402" s="867">
        <v>45148.5871</v>
      </c>
      <c r="T1402" s="868">
        <v>34235.16278</v>
      </c>
      <c r="AN1402" s="882"/>
      <c r="AO1402" s="882"/>
      <c r="AP1402" s="882"/>
      <c r="AY1402" s="882"/>
      <c r="AZ1402" s="882"/>
      <c r="BA1402" s="882"/>
      <c r="BJ1402" s="882"/>
      <c r="BK1402" s="882"/>
      <c r="BL1402" s="882"/>
      <c r="BU1402" s="882"/>
      <c r="BV1402" s="882"/>
      <c r="BW1402" s="882"/>
      <c r="CF1402" s="882"/>
      <c r="CG1402" s="882"/>
      <c r="CH1402" s="882"/>
      <c r="CI1402" s="530"/>
    </row>
    <row r="1403">
      <c r="A1403" s="857"/>
      <c r="B1403" s="865" t="s">
        <v>658</v>
      </c>
      <c r="C1403" s="865" t="s">
        <v>591</v>
      </c>
      <c r="D1403" s="865" t="s">
        <v>671</v>
      </c>
      <c r="E1403" s="866">
        <v>2019.0</v>
      </c>
      <c r="F1403" s="865" t="s">
        <v>593</v>
      </c>
      <c r="G1403" s="865" t="s">
        <v>70</v>
      </c>
      <c r="H1403" s="867">
        <v>32007.18784</v>
      </c>
      <c r="I1403" s="867">
        <v>39382.34664</v>
      </c>
      <c r="J1403" s="868">
        <v>24428.7531</v>
      </c>
      <c r="K1403" s="50"/>
      <c r="L1403" s="869" t="s">
        <v>658</v>
      </c>
      <c r="M1403" s="865" t="s">
        <v>591</v>
      </c>
      <c r="N1403" s="865" t="s">
        <v>671</v>
      </c>
      <c r="O1403" s="866">
        <v>2004.0</v>
      </c>
      <c r="P1403" s="865" t="s">
        <v>593</v>
      </c>
      <c r="Q1403" s="865" t="s">
        <v>70</v>
      </c>
      <c r="R1403" s="867">
        <v>21432.67225</v>
      </c>
      <c r="S1403" s="867">
        <v>24511.12727</v>
      </c>
      <c r="T1403" s="868">
        <v>18584.91524</v>
      </c>
      <c r="AN1403" s="882"/>
      <c r="AO1403" s="882"/>
      <c r="AP1403" s="882"/>
      <c r="AY1403" s="882"/>
      <c r="AZ1403" s="882"/>
      <c r="BA1403" s="882"/>
      <c r="BJ1403" s="882"/>
      <c r="BK1403" s="882"/>
      <c r="BL1403" s="882"/>
      <c r="BU1403" s="882"/>
      <c r="BV1403" s="882"/>
      <c r="BW1403" s="882"/>
      <c r="CF1403" s="882"/>
      <c r="CG1403" s="882"/>
      <c r="CH1403" s="882"/>
      <c r="CI1403" s="530"/>
    </row>
    <row r="1404">
      <c r="A1404" s="857"/>
      <c r="B1404" s="865" t="s">
        <v>658</v>
      </c>
      <c r="C1404" s="865" t="s">
        <v>591</v>
      </c>
      <c r="D1404" s="865" t="s">
        <v>673</v>
      </c>
      <c r="E1404" s="866">
        <v>2019.0</v>
      </c>
      <c r="F1404" s="865" t="s">
        <v>593</v>
      </c>
      <c r="G1404" s="865" t="s">
        <v>70</v>
      </c>
      <c r="H1404" s="867">
        <v>23267.0683</v>
      </c>
      <c r="I1404" s="867">
        <v>28631.74511</v>
      </c>
      <c r="J1404" s="868">
        <v>17760.67553</v>
      </c>
      <c r="K1404" s="50"/>
      <c r="L1404" s="869" t="s">
        <v>658</v>
      </c>
      <c r="M1404" s="865" t="s">
        <v>591</v>
      </c>
      <c r="N1404" s="865" t="s">
        <v>673</v>
      </c>
      <c r="O1404" s="866">
        <v>2004.0</v>
      </c>
      <c r="P1404" s="865" t="s">
        <v>593</v>
      </c>
      <c r="Q1404" s="865" t="s">
        <v>70</v>
      </c>
      <c r="R1404" s="867">
        <v>15087.93232</v>
      </c>
      <c r="S1404" s="867">
        <v>17255.8821</v>
      </c>
      <c r="T1404" s="868">
        <v>13084.74906</v>
      </c>
      <c r="AN1404" s="882"/>
      <c r="AO1404" s="882"/>
      <c r="AP1404" s="882"/>
      <c r="AY1404" s="882"/>
      <c r="AZ1404" s="882"/>
      <c r="BA1404" s="882"/>
      <c r="BJ1404" s="882"/>
      <c r="BK1404" s="882"/>
      <c r="BL1404" s="882"/>
      <c r="BU1404" s="882"/>
      <c r="BV1404" s="882"/>
      <c r="BW1404" s="882"/>
      <c r="CF1404" s="882"/>
      <c r="CG1404" s="882"/>
      <c r="CH1404" s="882"/>
      <c r="CI1404" s="530"/>
    </row>
    <row r="1405">
      <c r="A1405" s="857"/>
      <c r="B1405" s="865" t="s">
        <v>658</v>
      </c>
      <c r="C1405" s="865" t="s">
        <v>591</v>
      </c>
      <c r="D1405" s="865" t="s">
        <v>674</v>
      </c>
      <c r="E1405" s="866">
        <v>2019.0</v>
      </c>
      <c r="F1405" s="865" t="s">
        <v>593</v>
      </c>
      <c r="G1405" s="865" t="s">
        <v>70</v>
      </c>
      <c r="H1405" s="867">
        <v>7153.134501</v>
      </c>
      <c r="I1405" s="867">
        <v>8802.429304</v>
      </c>
      <c r="J1405" s="868">
        <v>5460.271113</v>
      </c>
      <c r="K1405" s="50"/>
      <c r="L1405" s="869" t="s">
        <v>658</v>
      </c>
      <c r="M1405" s="865" t="s">
        <v>591</v>
      </c>
      <c r="N1405" s="865" t="s">
        <v>674</v>
      </c>
      <c r="O1405" s="866">
        <v>2004.0</v>
      </c>
      <c r="P1405" s="865" t="s">
        <v>593</v>
      </c>
      <c r="Q1405" s="865" t="s">
        <v>70</v>
      </c>
      <c r="R1405" s="867">
        <v>5080.110695</v>
      </c>
      <c r="S1405" s="867">
        <v>5810.059946</v>
      </c>
      <c r="T1405" s="868">
        <v>4405.638378</v>
      </c>
      <c r="AN1405" s="882"/>
      <c r="AO1405" s="882"/>
      <c r="AP1405" s="882"/>
      <c r="AY1405" s="882"/>
      <c r="AZ1405" s="882"/>
      <c r="BA1405" s="882"/>
      <c r="BJ1405" s="882"/>
      <c r="BK1405" s="882"/>
      <c r="BL1405" s="882"/>
      <c r="BU1405" s="882"/>
      <c r="BV1405" s="882"/>
      <c r="BW1405" s="882"/>
      <c r="CF1405" s="882"/>
      <c r="CG1405" s="882"/>
      <c r="CH1405" s="882"/>
      <c r="CI1405" s="530"/>
    </row>
    <row r="1406">
      <c r="A1406" s="857"/>
      <c r="B1406" s="865" t="s">
        <v>658</v>
      </c>
      <c r="C1406" s="865" t="s">
        <v>591</v>
      </c>
      <c r="D1406" s="865" t="s">
        <v>676</v>
      </c>
      <c r="E1406" s="866">
        <v>2019.0</v>
      </c>
      <c r="F1406" s="865" t="s">
        <v>593</v>
      </c>
      <c r="G1406" s="865" t="s">
        <v>70</v>
      </c>
      <c r="H1406" s="867">
        <v>1582.713991</v>
      </c>
      <c r="I1406" s="867">
        <v>1947.639599</v>
      </c>
      <c r="J1406" s="868">
        <v>1208.148328</v>
      </c>
      <c r="K1406" s="50"/>
      <c r="L1406" s="869" t="s">
        <v>658</v>
      </c>
      <c r="M1406" s="865" t="s">
        <v>591</v>
      </c>
      <c r="N1406" s="865" t="s">
        <v>676</v>
      </c>
      <c r="O1406" s="866">
        <v>2004.0</v>
      </c>
      <c r="P1406" s="865" t="s">
        <v>593</v>
      </c>
      <c r="Q1406" s="865" t="s">
        <v>70</v>
      </c>
      <c r="R1406" s="867">
        <v>1262.833754</v>
      </c>
      <c r="S1406" s="867">
        <v>1444.287389</v>
      </c>
      <c r="T1406" s="868">
        <v>1095.170791</v>
      </c>
      <c r="AN1406" s="882"/>
      <c r="AO1406" s="882"/>
      <c r="AP1406" s="882"/>
      <c r="AY1406" s="882"/>
      <c r="AZ1406" s="882"/>
      <c r="BA1406" s="882"/>
      <c r="BJ1406" s="882"/>
      <c r="BK1406" s="882"/>
      <c r="BL1406" s="882"/>
      <c r="BU1406" s="882"/>
      <c r="BV1406" s="882"/>
      <c r="BW1406" s="882"/>
      <c r="CF1406" s="882"/>
      <c r="CG1406" s="882"/>
      <c r="CH1406" s="882"/>
      <c r="CI1406" s="530"/>
    </row>
    <row r="1407">
      <c r="A1407" s="857"/>
      <c r="B1407" s="865" t="s">
        <v>658</v>
      </c>
      <c r="C1407" s="865" t="s">
        <v>591</v>
      </c>
      <c r="D1407" s="865" t="s">
        <v>678</v>
      </c>
      <c r="E1407" s="866">
        <v>2019.0</v>
      </c>
      <c r="F1407" s="865" t="s">
        <v>593</v>
      </c>
      <c r="G1407" s="865" t="s">
        <v>70</v>
      </c>
      <c r="H1407" s="867">
        <v>2.6690344E7</v>
      </c>
      <c r="I1407" s="867">
        <v>3.284432386E7</v>
      </c>
      <c r="J1407" s="868">
        <v>2.037379757E7</v>
      </c>
      <c r="K1407" s="50"/>
      <c r="L1407" s="869" t="s">
        <v>658</v>
      </c>
      <c r="M1407" s="865" t="s">
        <v>591</v>
      </c>
      <c r="N1407" s="865" t="s">
        <v>678</v>
      </c>
      <c r="O1407" s="866">
        <v>2004.0</v>
      </c>
      <c r="P1407" s="865" t="s">
        <v>593</v>
      </c>
      <c r="Q1407" s="865" t="s">
        <v>70</v>
      </c>
      <c r="R1407" s="867">
        <v>1.779508915E7</v>
      </c>
      <c r="S1407" s="867">
        <v>2.035202399E7</v>
      </c>
      <c r="T1407" s="868">
        <v>1.543248414E7</v>
      </c>
      <c r="AN1407" s="882"/>
      <c r="AO1407" s="882"/>
      <c r="AP1407" s="882"/>
      <c r="AY1407" s="882"/>
      <c r="AZ1407" s="882"/>
      <c r="BA1407" s="882"/>
      <c r="BJ1407" s="882"/>
      <c r="BK1407" s="882"/>
      <c r="BL1407" s="882"/>
      <c r="BU1407" s="882"/>
      <c r="BV1407" s="882"/>
      <c r="BW1407" s="882"/>
      <c r="CF1407" s="882"/>
      <c r="CG1407" s="882"/>
      <c r="CH1407" s="882"/>
      <c r="CI1407" s="530"/>
    </row>
    <row r="1408">
      <c r="A1408" s="857"/>
      <c r="B1408" s="865" t="s">
        <v>658</v>
      </c>
      <c r="C1408" s="865" t="s">
        <v>591</v>
      </c>
      <c r="D1408" s="865" t="s">
        <v>680</v>
      </c>
      <c r="E1408" s="866">
        <v>2019.0</v>
      </c>
      <c r="F1408" s="865" t="s">
        <v>593</v>
      </c>
      <c r="G1408" s="865" t="s">
        <v>70</v>
      </c>
      <c r="H1408" s="867">
        <v>861811.9848</v>
      </c>
      <c r="I1408" s="867">
        <v>973268.8622</v>
      </c>
      <c r="J1408" s="868">
        <v>756948.2164</v>
      </c>
      <c r="K1408" s="50"/>
      <c r="L1408" s="869" t="s">
        <v>658</v>
      </c>
      <c r="M1408" s="865" t="s">
        <v>591</v>
      </c>
      <c r="N1408" s="865" t="s">
        <v>680</v>
      </c>
      <c r="O1408" s="866">
        <v>2004.0</v>
      </c>
      <c r="P1408" s="865" t="s">
        <v>593</v>
      </c>
      <c r="Q1408" s="865" t="s">
        <v>70</v>
      </c>
      <c r="R1408" s="867">
        <v>727169.1265</v>
      </c>
      <c r="S1408" s="867">
        <v>761282.3559</v>
      </c>
      <c r="T1408" s="868">
        <v>690856.1602</v>
      </c>
      <c r="AN1408" s="882"/>
      <c r="AO1408" s="882"/>
      <c r="AP1408" s="882"/>
      <c r="AY1408" s="882"/>
      <c r="AZ1408" s="882"/>
      <c r="BA1408" s="882"/>
      <c r="BJ1408" s="882"/>
      <c r="BK1408" s="882"/>
      <c r="BL1408" s="882"/>
      <c r="BU1408" s="882"/>
      <c r="BV1408" s="882"/>
      <c r="BW1408" s="882"/>
      <c r="CF1408" s="882"/>
      <c r="CG1408" s="882"/>
      <c r="CH1408" s="882"/>
      <c r="CI1408" s="530"/>
    </row>
    <row r="1409">
      <c r="A1409" s="857"/>
      <c r="B1409" s="865" t="s">
        <v>658</v>
      </c>
      <c r="C1409" s="865" t="s">
        <v>591</v>
      </c>
      <c r="D1409" s="865" t="s">
        <v>682</v>
      </c>
      <c r="E1409" s="866">
        <v>2019.0</v>
      </c>
      <c r="F1409" s="865" t="s">
        <v>593</v>
      </c>
      <c r="G1409" s="865" t="s">
        <v>70</v>
      </c>
      <c r="H1409" s="867">
        <v>16273.97111</v>
      </c>
      <c r="I1409" s="867">
        <v>20026.25285</v>
      </c>
      <c r="J1409" s="868">
        <v>12422.56724</v>
      </c>
      <c r="K1409" s="50"/>
      <c r="L1409" s="869" t="s">
        <v>658</v>
      </c>
      <c r="M1409" s="865" t="s">
        <v>591</v>
      </c>
      <c r="N1409" s="865" t="s">
        <v>682</v>
      </c>
      <c r="O1409" s="866">
        <v>2004.0</v>
      </c>
      <c r="P1409" s="865" t="s">
        <v>593</v>
      </c>
      <c r="Q1409" s="865" t="s">
        <v>70</v>
      </c>
      <c r="R1409" s="867">
        <v>13695.26951</v>
      </c>
      <c r="S1409" s="867">
        <v>15663.11083</v>
      </c>
      <c r="T1409" s="868">
        <v>11876.98626</v>
      </c>
      <c r="AN1409" s="882"/>
      <c r="AO1409" s="882"/>
      <c r="AP1409" s="882"/>
      <c r="AY1409" s="882"/>
      <c r="AZ1409" s="882"/>
      <c r="BA1409" s="882"/>
      <c r="BJ1409" s="882"/>
      <c r="BK1409" s="882"/>
      <c r="BL1409" s="882"/>
      <c r="BU1409" s="882"/>
      <c r="BV1409" s="882"/>
      <c r="BW1409" s="882"/>
      <c r="CF1409" s="882"/>
      <c r="CG1409" s="882"/>
      <c r="CH1409" s="882"/>
      <c r="CI1409" s="530"/>
    </row>
    <row r="1410">
      <c r="A1410" s="857"/>
      <c r="B1410" s="865" t="s">
        <v>658</v>
      </c>
      <c r="C1410" s="865" t="s">
        <v>591</v>
      </c>
      <c r="D1410" s="865" t="s">
        <v>684</v>
      </c>
      <c r="E1410" s="866">
        <v>2019.0</v>
      </c>
      <c r="F1410" s="865" t="s">
        <v>593</v>
      </c>
      <c r="G1410" s="865" t="s">
        <v>70</v>
      </c>
      <c r="H1410" s="867">
        <v>48215.63303</v>
      </c>
      <c r="I1410" s="867">
        <v>59332.68849</v>
      </c>
      <c r="J1410" s="868">
        <v>36804.90395</v>
      </c>
      <c r="K1410" s="50"/>
      <c r="L1410" s="869" t="s">
        <v>658</v>
      </c>
      <c r="M1410" s="865" t="s">
        <v>591</v>
      </c>
      <c r="N1410" s="865" t="s">
        <v>684</v>
      </c>
      <c r="O1410" s="866">
        <v>2004.0</v>
      </c>
      <c r="P1410" s="865" t="s">
        <v>593</v>
      </c>
      <c r="Q1410" s="865" t="s">
        <v>70</v>
      </c>
      <c r="R1410" s="867">
        <v>40439.26239</v>
      </c>
      <c r="S1410" s="867">
        <v>46249.88564</v>
      </c>
      <c r="T1410" s="868">
        <v>35070.25281</v>
      </c>
      <c r="AN1410" s="882"/>
      <c r="AO1410" s="882"/>
      <c r="AP1410" s="882"/>
      <c r="AY1410" s="882"/>
      <c r="AZ1410" s="882"/>
      <c r="BA1410" s="882"/>
      <c r="BJ1410" s="882"/>
      <c r="BK1410" s="882"/>
      <c r="BL1410" s="882"/>
      <c r="BU1410" s="882"/>
      <c r="BV1410" s="882"/>
      <c r="BW1410" s="882"/>
      <c r="CF1410" s="882"/>
      <c r="CG1410" s="882"/>
      <c r="CH1410" s="882"/>
      <c r="CI1410" s="530"/>
    </row>
    <row r="1411">
      <c r="A1411" s="857"/>
      <c r="B1411" s="865" t="s">
        <v>658</v>
      </c>
      <c r="C1411" s="865" t="s">
        <v>591</v>
      </c>
      <c r="D1411" s="865" t="s">
        <v>686</v>
      </c>
      <c r="E1411" s="866">
        <v>2019.0</v>
      </c>
      <c r="F1411" s="865" t="s">
        <v>593</v>
      </c>
      <c r="G1411" s="865" t="s">
        <v>70</v>
      </c>
      <c r="H1411" s="867">
        <v>64489.60415</v>
      </c>
      <c r="I1411" s="867">
        <v>79358.94135</v>
      </c>
      <c r="J1411" s="868">
        <v>49227.47119</v>
      </c>
      <c r="K1411" s="50"/>
      <c r="L1411" s="869" t="s">
        <v>658</v>
      </c>
      <c r="M1411" s="865" t="s">
        <v>591</v>
      </c>
      <c r="N1411" s="865" t="s">
        <v>686</v>
      </c>
      <c r="O1411" s="866">
        <v>2004.0</v>
      </c>
      <c r="P1411" s="865" t="s">
        <v>593</v>
      </c>
      <c r="Q1411" s="865" t="s">
        <v>70</v>
      </c>
      <c r="R1411" s="867">
        <v>54134.5319</v>
      </c>
      <c r="S1411" s="867">
        <v>61912.99646</v>
      </c>
      <c r="T1411" s="868">
        <v>46947.23907</v>
      </c>
      <c r="AN1411" s="882"/>
      <c r="AO1411" s="882"/>
      <c r="AP1411" s="882"/>
      <c r="AY1411" s="882"/>
      <c r="AZ1411" s="882"/>
      <c r="BA1411" s="882"/>
      <c r="BJ1411" s="882"/>
      <c r="BK1411" s="882"/>
      <c r="BL1411" s="882"/>
      <c r="BU1411" s="882"/>
      <c r="BV1411" s="882"/>
      <c r="BW1411" s="882"/>
      <c r="CF1411" s="882"/>
      <c r="CG1411" s="882"/>
      <c r="CH1411" s="882"/>
      <c r="CI1411" s="530"/>
    </row>
    <row r="1412">
      <c r="A1412" s="857"/>
      <c r="B1412" s="865" t="s">
        <v>658</v>
      </c>
      <c r="C1412" s="865" t="s">
        <v>591</v>
      </c>
      <c r="D1412" s="865" t="s">
        <v>688</v>
      </c>
      <c r="E1412" s="866">
        <v>2019.0</v>
      </c>
      <c r="F1412" s="865" t="s">
        <v>593</v>
      </c>
      <c r="G1412" s="865" t="s">
        <v>70</v>
      </c>
      <c r="H1412" s="867">
        <v>756661.3073</v>
      </c>
      <c r="I1412" s="867">
        <v>931124.3432</v>
      </c>
      <c r="J1412" s="868">
        <v>577589.5697</v>
      </c>
      <c r="K1412" s="50"/>
      <c r="L1412" s="869" t="s">
        <v>658</v>
      </c>
      <c r="M1412" s="865" t="s">
        <v>591</v>
      </c>
      <c r="N1412" s="865" t="s">
        <v>688</v>
      </c>
      <c r="O1412" s="866">
        <v>2004.0</v>
      </c>
      <c r="P1412" s="865" t="s">
        <v>593</v>
      </c>
      <c r="Q1412" s="865" t="s">
        <v>70</v>
      </c>
      <c r="R1412" s="867">
        <v>630044.6757</v>
      </c>
      <c r="S1412" s="867">
        <v>720574.325</v>
      </c>
      <c r="T1412" s="868">
        <v>546395.378</v>
      </c>
      <c r="AN1412" s="882"/>
      <c r="AO1412" s="882"/>
      <c r="AP1412" s="882"/>
      <c r="AY1412" s="882"/>
      <c r="AZ1412" s="882"/>
      <c r="BA1412" s="882"/>
      <c r="BJ1412" s="882"/>
      <c r="BK1412" s="882"/>
      <c r="BL1412" s="882"/>
      <c r="BU1412" s="882"/>
      <c r="BV1412" s="882"/>
      <c r="BW1412" s="882"/>
      <c r="CF1412" s="882"/>
      <c r="CG1412" s="882"/>
      <c r="CH1412" s="882"/>
      <c r="CI1412" s="530"/>
    </row>
    <row r="1413">
      <c r="A1413" s="857"/>
      <c r="B1413" s="865" t="s">
        <v>658</v>
      </c>
      <c r="C1413" s="865" t="s">
        <v>591</v>
      </c>
      <c r="D1413" s="865" t="s">
        <v>689</v>
      </c>
      <c r="E1413" s="866">
        <v>2019.0</v>
      </c>
      <c r="F1413" s="865" t="s">
        <v>593</v>
      </c>
      <c r="G1413" s="865" t="s">
        <v>70</v>
      </c>
      <c r="H1413" s="867">
        <v>3939181.516</v>
      </c>
      <c r="I1413" s="867">
        <v>4847436.715</v>
      </c>
      <c r="J1413" s="868">
        <v>3006933.399</v>
      </c>
      <c r="K1413" s="50"/>
      <c r="L1413" s="869" t="s">
        <v>658</v>
      </c>
      <c r="M1413" s="865" t="s">
        <v>591</v>
      </c>
      <c r="N1413" s="865" t="s">
        <v>689</v>
      </c>
      <c r="O1413" s="866">
        <v>2004.0</v>
      </c>
      <c r="P1413" s="865" t="s">
        <v>593</v>
      </c>
      <c r="Q1413" s="865" t="s">
        <v>70</v>
      </c>
      <c r="R1413" s="867">
        <v>3160969.28</v>
      </c>
      <c r="S1413" s="867">
        <v>3615161.58</v>
      </c>
      <c r="T1413" s="868">
        <v>2741296.088</v>
      </c>
      <c r="AN1413" s="882"/>
      <c r="AO1413" s="882"/>
      <c r="AP1413" s="882"/>
      <c r="AY1413" s="882"/>
      <c r="AZ1413" s="882"/>
      <c r="BA1413" s="882"/>
      <c r="BJ1413" s="882"/>
      <c r="BK1413" s="882"/>
      <c r="BL1413" s="882"/>
      <c r="BU1413" s="882"/>
      <c r="BV1413" s="882"/>
      <c r="BW1413" s="882"/>
      <c r="CF1413" s="882"/>
      <c r="CG1413" s="882"/>
      <c r="CH1413" s="882"/>
      <c r="CI1413" s="530"/>
    </row>
    <row r="1414">
      <c r="A1414" s="857"/>
      <c r="B1414" s="865" t="s">
        <v>660</v>
      </c>
      <c r="C1414" s="865" t="s">
        <v>591</v>
      </c>
      <c r="D1414" s="865" t="s">
        <v>592</v>
      </c>
      <c r="E1414" s="866">
        <v>2019.0</v>
      </c>
      <c r="F1414" s="865" t="s">
        <v>593</v>
      </c>
      <c r="G1414" s="865" t="s">
        <v>70</v>
      </c>
      <c r="H1414" s="867">
        <v>524249.5908</v>
      </c>
      <c r="I1414" s="867">
        <v>561287.37</v>
      </c>
      <c r="J1414" s="868">
        <v>487509.2708</v>
      </c>
      <c r="K1414" s="50"/>
      <c r="L1414" s="869" t="s">
        <v>660</v>
      </c>
      <c r="M1414" s="865" t="s">
        <v>591</v>
      </c>
      <c r="N1414" s="865" t="s">
        <v>592</v>
      </c>
      <c r="O1414" s="866">
        <v>2004.0</v>
      </c>
      <c r="P1414" s="865" t="s">
        <v>593</v>
      </c>
      <c r="Q1414" s="865" t="s">
        <v>70</v>
      </c>
      <c r="R1414" s="867">
        <v>509406.8748</v>
      </c>
      <c r="S1414" s="867">
        <v>557731.1862</v>
      </c>
      <c r="T1414" s="868">
        <v>464389.405</v>
      </c>
      <c r="AN1414" s="882"/>
      <c r="AO1414" s="882"/>
      <c r="AP1414" s="882"/>
      <c r="AY1414" s="882"/>
      <c r="AZ1414" s="882"/>
      <c r="BA1414" s="882"/>
      <c r="BJ1414" s="882"/>
      <c r="BK1414" s="882"/>
      <c r="BL1414" s="882"/>
      <c r="BU1414" s="882"/>
      <c r="BV1414" s="882"/>
      <c r="BW1414" s="882"/>
      <c r="CF1414" s="882"/>
      <c r="CG1414" s="882"/>
      <c r="CH1414" s="882"/>
      <c r="CI1414" s="530"/>
    </row>
    <row r="1415">
      <c r="A1415" s="857"/>
      <c r="B1415" s="865" t="s">
        <v>660</v>
      </c>
      <c r="C1415" s="865" t="s">
        <v>591</v>
      </c>
      <c r="D1415" s="865" t="s">
        <v>601</v>
      </c>
      <c r="E1415" s="866">
        <v>2019.0</v>
      </c>
      <c r="F1415" s="865" t="s">
        <v>593</v>
      </c>
      <c r="G1415" s="865" t="s">
        <v>70</v>
      </c>
      <c r="H1415" s="867">
        <v>1.017409322E7</v>
      </c>
      <c r="I1415" s="867">
        <v>1.089288409E7</v>
      </c>
      <c r="J1415" s="868">
        <v>9461075.131</v>
      </c>
      <c r="K1415" s="50"/>
      <c r="L1415" s="869" t="s">
        <v>660</v>
      </c>
      <c r="M1415" s="865" t="s">
        <v>591</v>
      </c>
      <c r="N1415" s="865" t="s">
        <v>601</v>
      </c>
      <c r="O1415" s="866">
        <v>2004.0</v>
      </c>
      <c r="P1415" s="865" t="s">
        <v>593</v>
      </c>
      <c r="Q1415" s="865" t="s">
        <v>70</v>
      </c>
      <c r="R1415" s="867">
        <v>6894721.133</v>
      </c>
      <c r="S1415" s="867">
        <v>7548781.114</v>
      </c>
      <c r="T1415" s="868">
        <v>6285418.597</v>
      </c>
      <c r="AN1415" s="882"/>
      <c r="AO1415" s="882"/>
      <c r="AP1415" s="882"/>
      <c r="AY1415" s="882"/>
      <c r="AZ1415" s="882"/>
      <c r="BA1415" s="882"/>
      <c r="BJ1415" s="882"/>
      <c r="BK1415" s="882"/>
      <c r="BL1415" s="882"/>
      <c r="BU1415" s="882"/>
      <c r="BV1415" s="882"/>
      <c r="BW1415" s="882"/>
      <c r="CF1415" s="882"/>
      <c r="CG1415" s="882"/>
      <c r="CH1415" s="882"/>
      <c r="CI1415" s="530"/>
    </row>
    <row r="1416">
      <c r="A1416" s="857"/>
      <c r="B1416" s="865" t="s">
        <v>660</v>
      </c>
      <c r="C1416" s="865" t="s">
        <v>591</v>
      </c>
      <c r="D1416" s="865" t="s">
        <v>606</v>
      </c>
      <c r="E1416" s="866">
        <v>2019.0</v>
      </c>
      <c r="F1416" s="865" t="s">
        <v>593</v>
      </c>
      <c r="G1416" s="865" t="s">
        <v>70</v>
      </c>
      <c r="H1416" s="867">
        <v>7877896.399</v>
      </c>
      <c r="I1416" s="867">
        <v>8434462.951</v>
      </c>
      <c r="J1416" s="868">
        <v>7325799.765</v>
      </c>
      <c r="K1416" s="50"/>
      <c r="L1416" s="869" t="s">
        <v>660</v>
      </c>
      <c r="M1416" s="865" t="s">
        <v>591</v>
      </c>
      <c r="N1416" s="865" t="s">
        <v>606</v>
      </c>
      <c r="O1416" s="866">
        <v>2004.0</v>
      </c>
      <c r="P1416" s="865" t="s">
        <v>593</v>
      </c>
      <c r="Q1416" s="865" t="s">
        <v>70</v>
      </c>
      <c r="R1416" s="867">
        <v>5591127.025</v>
      </c>
      <c r="S1416" s="867">
        <v>6121523.014</v>
      </c>
      <c r="T1416" s="868">
        <v>5097026.131</v>
      </c>
      <c r="AN1416" s="882"/>
      <c r="AO1416" s="882"/>
      <c r="AP1416" s="882"/>
      <c r="AY1416" s="882"/>
      <c r="AZ1416" s="882"/>
      <c r="BA1416" s="882"/>
      <c r="BJ1416" s="882"/>
      <c r="BK1416" s="882"/>
      <c r="BL1416" s="882"/>
      <c r="BU1416" s="882"/>
      <c r="BV1416" s="882"/>
      <c r="BW1416" s="882"/>
      <c r="CF1416" s="882"/>
      <c r="CG1416" s="882"/>
      <c r="CH1416" s="882"/>
      <c r="CI1416" s="530"/>
    </row>
    <row r="1417">
      <c r="A1417" s="857"/>
      <c r="B1417" s="865" t="s">
        <v>660</v>
      </c>
      <c r="C1417" s="865" t="s">
        <v>591</v>
      </c>
      <c r="D1417" s="865" t="s">
        <v>608</v>
      </c>
      <c r="E1417" s="866">
        <v>2019.0</v>
      </c>
      <c r="F1417" s="865" t="s">
        <v>593</v>
      </c>
      <c r="G1417" s="865" t="s">
        <v>70</v>
      </c>
      <c r="H1417" s="867">
        <v>2061761.216</v>
      </c>
      <c r="I1417" s="867">
        <v>2207422.859</v>
      </c>
      <c r="J1417" s="868">
        <v>1917269.416</v>
      </c>
      <c r="K1417" s="50"/>
      <c r="L1417" s="869" t="s">
        <v>660</v>
      </c>
      <c r="M1417" s="865" t="s">
        <v>591</v>
      </c>
      <c r="N1417" s="865" t="s">
        <v>608</v>
      </c>
      <c r="O1417" s="866">
        <v>2004.0</v>
      </c>
      <c r="P1417" s="865" t="s">
        <v>593</v>
      </c>
      <c r="Q1417" s="865" t="s">
        <v>70</v>
      </c>
      <c r="R1417" s="867">
        <v>1794919.617</v>
      </c>
      <c r="S1417" s="867">
        <v>1965192.652</v>
      </c>
      <c r="T1417" s="868">
        <v>1636298.398</v>
      </c>
      <c r="AN1417" s="882"/>
      <c r="AO1417" s="882"/>
      <c r="AP1417" s="882"/>
      <c r="AY1417" s="882"/>
      <c r="AZ1417" s="882"/>
      <c r="BA1417" s="882"/>
      <c r="BJ1417" s="882"/>
      <c r="BK1417" s="882"/>
      <c r="BL1417" s="882"/>
      <c r="BU1417" s="882"/>
      <c r="BV1417" s="882"/>
      <c r="BW1417" s="882"/>
      <c r="CF1417" s="882"/>
      <c r="CG1417" s="882"/>
      <c r="CH1417" s="882"/>
      <c r="CI1417" s="530"/>
    </row>
    <row r="1418">
      <c r="A1418" s="857"/>
      <c r="B1418" s="865" t="s">
        <v>660</v>
      </c>
      <c r="C1418" s="865" t="s">
        <v>591</v>
      </c>
      <c r="D1418" s="865" t="s">
        <v>610</v>
      </c>
      <c r="E1418" s="866">
        <v>2019.0</v>
      </c>
      <c r="F1418" s="865" t="s">
        <v>593</v>
      </c>
      <c r="G1418" s="865" t="s">
        <v>70</v>
      </c>
      <c r="H1418" s="867">
        <v>2614289.45</v>
      </c>
      <c r="I1418" s="867">
        <v>2798986.733</v>
      </c>
      <c r="J1418" s="868">
        <v>2431075.514</v>
      </c>
      <c r="K1418" s="50"/>
      <c r="L1418" s="869" t="s">
        <v>660</v>
      </c>
      <c r="M1418" s="865" t="s">
        <v>591</v>
      </c>
      <c r="N1418" s="865" t="s">
        <v>610</v>
      </c>
      <c r="O1418" s="866">
        <v>2004.0</v>
      </c>
      <c r="P1418" s="865" t="s">
        <v>593</v>
      </c>
      <c r="Q1418" s="865" t="s">
        <v>70</v>
      </c>
      <c r="R1418" s="867">
        <v>1464167.628</v>
      </c>
      <c r="S1418" s="867">
        <v>1603064.247</v>
      </c>
      <c r="T1418" s="868">
        <v>1334775.731</v>
      </c>
      <c r="AN1418" s="882"/>
      <c r="AO1418" s="882"/>
      <c r="AP1418" s="882"/>
      <c r="AY1418" s="882"/>
      <c r="AZ1418" s="882"/>
      <c r="BA1418" s="882"/>
      <c r="BJ1418" s="882"/>
      <c r="BK1418" s="882"/>
      <c r="BL1418" s="882"/>
      <c r="BU1418" s="882"/>
      <c r="BV1418" s="882"/>
      <c r="BW1418" s="882"/>
      <c r="CF1418" s="882"/>
      <c r="CG1418" s="882"/>
      <c r="CH1418" s="882"/>
      <c r="CI1418" s="530"/>
    </row>
    <row r="1419">
      <c r="A1419" s="857"/>
      <c r="B1419" s="865" t="s">
        <v>660</v>
      </c>
      <c r="C1419" s="865" t="s">
        <v>591</v>
      </c>
      <c r="D1419" s="865" t="s">
        <v>612</v>
      </c>
      <c r="E1419" s="866">
        <v>2019.0</v>
      </c>
      <c r="F1419" s="865" t="s">
        <v>593</v>
      </c>
      <c r="G1419" s="865" t="s">
        <v>70</v>
      </c>
      <c r="H1419" s="867">
        <v>4910486.269</v>
      </c>
      <c r="I1419" s="867">
        <v>5257407.867</v>
      </c>
      <c r="J1419" s="868">
        <v>4566350.88</v>
      </c>
      <c r="K1419" s="50"/>
      <c r="L1419" s="869" t="s">
        <v>660</v>
      </c>
      <c r="M1419" s="865" t="s">
        <v>591</v>
      </c>
      <c r="N1419" s="865" t="s">
        <v>612</v>
      </c>
      <c r="O1419" s="866">
        <v>2004.0</v>
      </c>
      <c r="P1419" s="865" t="s">
        <v>593</v>
      </c>
      <c r="Q1419" s="865" t="s">
        <v>70</v>
      </c>
      <c r="R1419" s="867">
        <v>2767761.736</v>
      </c>
      <c r="S1419" s="867">
        <v>3030322.346</v>
      </c>
      <c r="T1419" s="868">
        <v>2523168.197</v>
      </c>
      <c r="AN1419" s="882"/>
      <c r="AO1419" s="882"/>
      <c r="AP1419" s="882"/>
      <c r="AY1419" s="882"/>
      <c r="AZ1419" s="882"/>
      <c r="BA1419" s="882"/>
      <c r="BJ1419" s="882"/>
      <c r="BK1419" s="882"/>
      <c r="BL1419" s="882"/>
      <c r="BU1419" s="882"/>
      <c r="BV1419" s="882"/>
      <c r="BW1419" s="882"/>
      <c r="CF1419" s="882"/>
      <c r="CG1419" s="882"/>
      <c r="CH1419" s="882"/>
      <c r="CI1419" s="530"/>
    </row>
    <row r="1420">
      <c r="A1420" s="857"/>
      <c r="B1420" s="865" t="s">
        <v>660</v>
      </c>
      <c r="C1420" s="865" t="s">
        <v>591</v>
      </c>
      <c r="D1420" s="865" t="s">
        <v>614</v>
      </c>
      <c r="E1420" s="866">
        <v>2019.0</v>
      </c>
      <c r="F1420" s="865" t="s">
        <v>593</v>
      </c>
      <c r="G1420" s="865" t="s">
        <v>70</v>
      </c>
      <c r="H1420" s="867">
        <v>6645386.496</v>
      </c>
      <c r="I1420" s="867">
        <v>7114877.292</v>
      </c>
      <c r="J1420" s="868">
        <v>6179666.292</v>
      </c>
      <c r="K1420" s="50"/>
      <c r="L1420" s="869" t="s">
        <v>660</v>
      </c>
      <c r="M1420" s="865" t="s">
        <v>591</v>
      </c>
      <c r="N1420" s="865" t="s">
        <v>614</v>
      </c>
      <c r="O1420" s="866">
        <v>2004.0</v>
      </c>
      <c r="P1420" s="865" t="s">
        <v>593</v>
      </c>
      <c r="Q1420" s="865" t="s">
        <v>70</v>
      </c>
      <c r="R1420" s="867">
        <v>3936854.387</v>
      </c>
      <c r="S1420" s="867">
        <v>4310319.66</v>
      </c>
      <c r="T1420" s="868">
        <v>3588945.412</v>
      </c>
      <c r="AN1420" s="882"/>
      <c r="AO1420" s="882"/>
      <c r="AP1420" s="882"/>
      <c r="AY1420" s="882"/>
      <c r="AZ1420" s="882"/>
      <c r="BA1420" s="882"/>
      <c r="BJ1420" s="882"/>
      <c r="BK1420" s="882"/>
      <c r="BL1420" s="882"/>
      <c r="BU1420" s="882"/>
      <c r="BV1420" s="882"/>
      <c r="BW1420" s="882"/>
      <c r="CF1420" s="882"/>
      <c r="CG1420" s="882"/>
      <c r="CH1420" s="882"/>
      <c r="CI1420" s="530"/>
    </row>
    <row r="1421">
      <c r="A1421" s="857"/>
      <c r="B1421" s="865" t="s">
        <v>660</v>
      </c>
      <c r="C1421" s="865" t="s">
        <v>591</v>
      </c>
      <c r="D1421" s="865" t="s">
        <v>616</v>
      </c>
      <c r="E1421" s="866">
        <v>2019.0</v>
      </c>
      <c r="F1421" s="865" t="s">
        <v>593</v>
      </c>
      <c r="G1421" s="865" t="s">
        <v>70</v>
      </c>
      <c r="H1421" s="867">
        <v>2296196.819</v>
      </c>
      <c r="I1421" s="867">
        <v>2458421.134</v>
      </c>
      <c r="J1421" s="868">
        <v>2135275.366</v>
      </c>
      <c r="K1421" s="50"/>
      <c r="L1421" s="869" t="s">
        <v>660</v>
      </c>
      <c r="M1421" s="865" t="s">
        <v>591</v>
      </c>
      <c r="N1421" s="865" t="s">
        <v>616</v>
      </c>
      <c r="O1421" s="866">
        <v>2004.0</v>
      </c>
      <c r="P1421" s="865" t="s">
        <v>593</v>
      </c>
      <c r="Q1421" s="865" t="s">
        <v>70</v>
      </c>
      <c r="R1421" s="867">
        <v>1303594.108</v>
      </c>
      <c r="S1421" s="867">
        <v>1427258.1</v>
      </c>
      <c r="T1421" s="868">
        <v>1188392.466</v>
      </c>
      <c r="AN1421" s="882"/>
      <c r="AO1421" s="882"/>
      <c r="AP1421" s="882"/>
      <c r="AY1421" s="882"/>
      <c r="AZ1421" s="882"/>
      <c r="BA1421" s="882"/>
      <c r="BJ1421" s="882"/>
      <c r="BK1421" s="882"/>
      <c r="BL1421" s="882"/>
      <c r="BU1421" s="882"/>
      <c r="BV1421" s="882"/>
      <c r="BW1421" s="882"/>
      <c r="CF1421" s="882"/>
      <c r="CG1421" s="882"/>
      <c r="CH1421" s="882"/>
      <c r="CI1421" s="530"/>
    </row>
    <row r="1422">
      <c r="A1422" s="857"/>
      <c r="B1422" s="865" t="s">
        <v>660</v>
      </c>
      <c r="C1422" s="865" t="s">
        <v>591</v>
      </c>
      <c r="D1422" s="865" t="s">
        <v>618</v>
      </c>
      <c r="E1422" s="866">
        <v>2019.0</v>
      </c>
      <c r="F1422" s="865" t="s">
        <v>593</v>
      </c>
      <c r="G1422" s="865" t="s">
        <v>70</v>
      </c>
      <c r="H1422" s="867">
        <v>7621979.659</v>
      </c>
      <c r="I1422" s="867">
        <v>8160817.906</v>
      </c>
      <c r="J1422" s="868">
        <v>7087930.86</v>
      </c>
      <c r="K1422" s="50"/>
      <c r="L1422" s="869" t="s">
        <v>660</v>
      </c>
      <c r="M1422" s="865" t="s">
        <v>591</v>
      </c>
      <c r="N1422" s="865" t="s">
        <v>618</v>
      </c>
      <c r="O1422" s="866">
        <v>2004.0</v>
      </c>
      <c r="P1422" s="865" t="s">
        <v>593</v>
      </c>
      <c r="Q1422" s="865" t="s">
        <v>70</v>
      </c>
      <c r="R1422" s="867">
        <v>4827543.623</v>
      </c>
      <c r="S1422" s="867">
        <v>5286031.278</v>
      </c>
      <c r="T1422" s="868">
        <v>4400989.82</v>
      </c>
      <c r="AN1422" s="882"/>
      <c r="AO1422" s="882"/>
      <c r="AP1422" s="882"/>
      <c r="AY1422" s="882"/>
      <c r="AZ1422" s="882"/>
      <c r="BA1422" s="882"/>
      <c r="BJ1422" s="882"/>
      <c r="BK1422" s="882"/>
      <c r="BL1422" s="882"/>
      <c r="BU1422" s="882"/>
      <c r="BV1422" s="882"/>
      <c r="BW1422" s="882"/>
      <c r="CF1422" s="882"/>
      <c r="CG1422" s="882"/>
      <c r="CH1422" s="882"/>
      <c r="CI1422" s="530"/>
    </row>
    <row r="1423">
      <c r="A1423" s="857"/>
      <c r="B1423" s="865" t="s">
        <v>660</v>
      </c>
      <c r="C1423" s="865" t="s">
        <v>591</v>
      </c>
      <c r="D1423" s="865" t="s">
        <v>620</v>
      </c>
      <c r="E1423" s="866">
        <v>2019.0</v>
      </c>
      <c r="F1423" s="865" t="s">
        <v>593</v>
      </c>
      <c r="G1423" s="865" t="s">
        <v>70</v>
      </c>
      <c r="H1423" s="867">
        <v>8999476.376</v>
      </c>
      <c r="I1423" s="867">
        <v>9635281.581</v>
      </c>
      <c r="J1423" s="868">
        <v>8368777.473</v>
      </c>
      <c r="K1423" s="50"/>
      <c r="L1423" s="869" t="s">
        <v>660</v>
      </c>
      <c r="M1423" s="865" t="s">
        <v>591</v>
      </c>
      <c r="N1423" s="865" t="s">
        <v>620</v>
      </c>
      <c r="O1423" s="866">
        <v>2004.0</v>
      </c>
      <c r="P1423" s="865" t="s">
        <v>593</v>
      </c>
      <c r="Q1423" s="865" t="s">
        <v>70</v>
      </c>
      <c r="R1423" s="867">
        <v>5584152.45</v>
      </c>
      <c r="S1423" s="867">
        <v>6113886.804</v>
      </c>
      <c r="T1423" s="868">
        <v>5090667.915</v>
      </c>
      <c r="AN1423" s="882"/>
      <c r="AO1423" s="882"/>
      <c r="AP1423" s="882"/>
      <c r="AY1423" s="882"/>
      <c r="AZ1423" s="882"/>
      <c r="BA1423" s="882"/>
      <c r="BJ1423" s="882"/>
      <c r="BK1423" s="882"/>
      <c r="BL1423" s="882"/>
      <c r="BU1423" s="882"/>
      <c r="BV1423" s="882"/>
      <c r="BW1423" s="882"/>
      <c r="CF1423" s="882"/>
      <c r="CG1423" s="882"/>
      <c r="CH1423" s="882"/>
      <c r="CI1423" s="530"/>
    </row>
    <row r="1424">
      <c r="A1424" s="857"/>
      <c r="B1424" s="865" t="s">
        <v>660</v>
      </c>
      <c r="C1424" s="865" t="s">
        <v>591</v>
      </c>
      <c r="D1424" s="865" t="s">
        <v>622</v>
      </c>
      <c r="E1424" s="866">
        <v>2019.0</v>
      </c>
      <c r="F1424" s="865" t="s">
        <v>593</v>
      </c>
      <c r="G1424" s="865" t="s">
        <v>70</v>
      </c>
      <c r="H1424" s="867">
        <v>8267968.305</v>
      </c>
      <c r="I1424" s="867">
        <v>8852474.922</v>
      </c>
      <c r="J1424" s="868">
        <v>7688657.058</v>
      </c>
      <c r="K1424" s="50"/>
      <c r="L1424" s="869" t="s">
        <v>660</v>
      </c>
      <c r="M1424" s="865" t="s">
        <v>591</v>
      </c>
      <c r="N1424" s="865" t="s">
        <v>622</v>
      </c>
      <c r="O1424" s="866">
        <v>2004.0</v>
      </c>
      <c r="P1424" s="865" t="s">
        <v>593</v>
      </c>
      <c r="Q1424" s="865" t="s">
        <v>70</v>
      </c>
      <c r="R1424" s="867">
        <v>5303807.012</v>
      </c>
      <c r="S1424" s="867">
        <v>5807526.963</v>
      </c>
      <c r="T1424" s="868">
        <v>4835171.36</v>
      </c>
      <c r="AN1424" s="882"/>
      <c r="AO1424" s="882"/>
      <c r="AP1424" s="882"/>
      <c r="AY1424" s="882"/>
      <c r="AZ1424" s="882"/>
      <c r="BA1424" s="882"/>
      <c r="BJ1424" s="882"/>
      <c r="BK1424" s="882"/>
      <c r="BL1424" s="882"/>
      <c r="BU1424" s="882"/>
      <c r="BV1424" s="882"/>
      <c r="BW1424" s="882"/>
      <c r="CF1424" s="882"/>
      <c r="CG1424" s="882"/>
      <c r="CH1424" s="882"/>
      <c r="CI1424" s="530"/>
    </row>
    <row r="1425">
      <c r="A1425" s="857"/>
      <c r="B1425" s="865" t="s">
        <v>660</v>
      </c>
      <c r="C1425" s="865" t="s">
        <v>591</v>
      </c>
      <c r="D1425" s="865" t="s">
        <v>624</v>
      </c>
      <c r="E1425" s="866">
        <v>2019.0</v>
      </c>
      <c r="F1425" s="865" t="s">
        <v>593</v>
      </c>
      <c r="G1425" s="865" t="s">
        <v>70</v>
      </c>
      <c r="H1425" s="867">
        <v>1734900.228</v>
      </c>
      <c r="I1425" s="867">
        <v>1857469.425</v>
      </c>
      <c r="J1425" s="868">
        <v>1613315.413</v>
      </c>
      <c r="K1425" s="50"/>
      <c r="L1425" s="869" t="s">
        <v>660</v>
      </c>
      <c r="M1425" s="865" t="s">
        <v>591</v>
      </c>
      <c r="N1425" s="865" t="s">
        <v>624</v>
      </c>
      <c r="O1425" s="866">
        <v>2004.0</v>
      </c>
      <c r="P1425" s="865" t="s">
        <v>593</v>
      </c>
      <c r="Q1425" s="865" t="s">
        <v>70</v>
      </c>
      <c r="R1425" s="867">
        <v>1169092.651</v>
      </c>
      <c r="S1425" s="867">
        <v>1279997.313</v>
      </c>
      <c r="T1425" s="868">
        <v>1065777.216</v>
      </c>
      <c r="AN1425" s="882"/>
      <c r="AO1425" s="882"/>
      <c r="AP1425" s="882"/>
      <c r="AY1425" s="882"/>
      <c r="AZ1425" s="882"/>
      <c r="BA1425" s="882"/>
      <c r="BJ1425" s="882"/>
      <c r="BK1425" s="882"/>
      <c r="BL1425" s="882"/>
      <c r="BU1425" s="882"/>
      <c r="BV1425" s="882"/>
      <c r="BW1425" s="882"/>
      <c r="CF1425" s="882"/>
      <c r="CG1425" s="882"/>
      <c r="CH1425" s="882"/>
      <c r="CI1425" s="530"/>
    </row>
    <row r="1426">
      <c r="A1426" s="857"/>
      <c r="B1426" s="865" t="s">
        <v>660</v>
      </c>
      <c r="C1426" s="865" t="s">
        <v>591</v>
      </c>
      <c r="D1426" s="865" t="s">
        <v>625</v>
      </c>
      <c r="E1426" s="866">
        <v>2019.0</v>
      </c>
      <c r="F1426" s="865" t="s">
        <v>593</v>
      </c>
      <c r="G1426" s="865" t="s">
        <v>70</v>
      </c>
      <c r="H1426" s="867">
        <v>6533245.036</v>
      </c>
      <c r="I1426" s="867">
        <v>6994813.135</v>
      </c>
      <c r="J1426" s="868">
        <v>6075383.9</v>
      </c>
      <c r="K1426" s="50"/>
      <c r="L1426" s="869" t="s">
        <v>660</v>
      </c>
      <c r="M1426" s="865" t="s">
        <v>591</v>
      </c>
      <c r="N1426" s="865" t="s">
        <v>625</v>
      </c>
      <c r="O1426" s="866">
        <v>2004.0</v>
      </c>
      <c r="P1426" s="865" t="s">
        <v>593</v>
      </c>
      <c r="Q1426" s="865" t="s">
        <v>70</v>
      </c>
      <c r="R1426" s="867">
        <v>4134862.685</v>
      </c>
      <c r="S1426" s="867">
        <v>4527111.792</v>
      </c>
      <c r="T1426" s="868">
        <v>3769455.256</v>
      </c>
      <c r="AN1426" s="882"/>
      <c r="AO1426" s="882"/>
      <c r="AP1426" s="882"/>
      <c r="AY1426" s="882"/>
      <c r="AZ1426" s="882"/>
      <c r="BA1426" s="882"/>
      <c r="BJ1426" s="882"/>
      <c r="BK1426" s="882"/>
      <c r="BL1426" s="882"/>
      <c r="BU1426" s="882"/>
      <c r="BV1426" s="882"/>
      <c r="BW1426" s="882"/>
      <c r="CF1426" s="882"/>
      <c r="CG1426" s="882"/>
      <c r="CH1426" s="882"/>
      <c r="CI1426" s="530"/>
    </row>
    <row r="1427">
      <c r="A1427" s="857"/>
      <c r="B1427" s="865" t="s">
        <v>660</v>
      </c>
      <c r="C1427" s="865" t="s">
        <v>591</v>
      </c>
      <c r="D1427" s="865" t="s">
        <v>627</v>
      </c>
      <c r="E1427" s="866">
        <v>2019.0</v>
      </c>
      <c r="F1427" s="865" t="s">
        <v>593</v>
      </c>
      <c r="G1427" s="865" t="s">
        <v>70</v>
      </c>
      <c r="H1427" s="867">
        <v>1378530.288</v>
      </c>
      <c r="I1427" s="867">
        <v>1475922.258</v>
      </c>
      <c r="J1427" s="868">
        <v>1281920.496</v>
      </c>
      <c r="K1427" s="50"/>
      <c r="L1427" s="869" t="s">
        <v>660</v>
      </c>
      <c r="M1427" s="865" t="s">
        <v>591</v>
      </c>
      <c r="N1427" s="865" t="s">
        <v>627</v>
      </c>
      <c r="O1427" s="866">
        <v>2004.0</v>
      </c>
      <c r="P1427" s="865" t="s">
        <v>593</v>
      </c>
      <c r="Q1427" s="865" t="s">
        <v>70</v>
      </c>
      <c r="R1427" s="867">
        <v>1029975.753</v>
      </c>
      <c r="S1427" s="867">
        <v>1127683.246</v>
      </c>
      <c r="T1427" s="868">
        <v>938954.4009</v>
      </c>
      <c r="AN1427" s="882"/>
      <c r="AO1427" s="882"/>
      <c r="AP1427" s="882"/>
      <c r="AY1427" s="882"/>
      <c r="AZ1427" s="882"/>
      <c r="BA1427" s="882"/>
      <c r="BJ1427" s="882"/>
      <c r="BK1427" s="882"/>
      <c r="BL1427" s="882"/>
      <c r="BU1427" s="882"/>
      <c r="BV1427" s="882"/>
      <c r="BW1427" s="882"/>
      <c r="CF1427" s="882"/>
      <c r="CG1427" s="882"/>
      <c r="CH1427" s="882"/>
      <c r="CI1427" s="530"/>
    </row>
    <row r="1428">
      <c r="A1428" s="857"/>
      <c r="B1428" s="865" t="s">
        <v>660</v>
      </c>
      <c r="C1428" s="865" t="s">
        <v>591</v>
      </c>
      <c r="D1428" s="865" t="s">
        <v>629</v>
      </c>
      <c r="E1428" s="866">
        <v>2019.0</v>
      </c>
      <c r="F1428" s="865" t="s">
        <v>593</v>
      </c>
      <c r="G1428" s="865" t="s">
        <v>70</v>
      </c>
      <c r="H1428" s="867">
        <v>4968272.993</v>
      </c>
      <c r="I1428" s="867">
        <v>5319506.614</v>
      </c>
      <c r="J1428" s="868">
        <v>4620161.303</v>
      </c>
      <c r="K1428" s="50"/>
      <c r="L1428" s="869" t="s">
        <v>660</v>
      </c>
      <c r="M1428" s="865" t="s">
        <v>591</v>
      </c>
      <c r="N1428" s="865" t="s">
        <v>629</v>
      </c>
      <c r="O1428" s="866">
        <v>2004.0</v>
      </c>
      <c r="P1428" s="865" t="s">
        <v>593</v>
      </c>
      <c r="Q1428" s="865" t="s">
        <v>70</v>
      </c>
      <c r="R1428" s="867">
        <v>3111378.679</v>
      </c>
      <c r="S1428" s="867">
        <v>3406876.519</v>
      </c>
      <c r="T1428" s="868">
        <v>2836462.384</v>
      </c>
      <c r="AN1428" s="882"/>
      <c r="AO1428" s="882"/>
      <c r="AP1428" s="882"/>
      <c r="AY1428" s="882"/>
      <c r="AZ1428" s="882"/>
      <c r="BA1428" s="882"/>
      <c r="BJ1428" s="882"/>
      <c r="BK1428" s="882"/>
      <c r="BL1428" s="882"/>
      <c r="BU1428" s="882"/>
      <c r="BV1428" s="882"/>
      <c r="BW1428" s="882"/>
      <c r="CF1428" s="882"/>
      <c r="CG1428" s="882"/>
      <c r="CH1428" s="882"/>
      <c r="CI1428" s="530"/>
    </row>
    <row r="1429">
      <c r="A1429" s="857"/>
      <c r="B1429" s="865" t="s">
        <v>660</v>
      </c>
      <c r="C1429" s="865" t="s">
        <v>591</v>
      </c>
      <c r="D1429" s="865" t="s">
        <v>631</v>
      </c>
      <c r="E1429" s="866">
        <v>2019.0</v>
      </c>
      <c r="F1429" s="865" t="s">
        <v>593</v>
      </c>
      <c r="G1429" s="865" t="s">
        <v>70</v>
      </c>
      <c r="H1429" s="867">
        <v>1211956.083</v>
      </c>
      <c r="I1429" s="867">
        <v>1297579.73</v>
      </c>
      <c r="J1429" s="868">
        <v>1127020.1</v>
      </c>
      <c r="K1429" s="50"/>
      <c r="L1429" s="869" t="s">
        <v>660</v>
      </c>
      <c r="M1429" s="865" t="s">
        <v>591</v>
      </c>
      <c r="N1429" s="865" t="s">
        <v>631</v>
      </c>
      <c r="O1429" s="866">
        <v>2004.0</v>
      </c>
      <c r="P1429" s="865" t="s">
        <v>593</v>
      </c>
      <c r="Q1429" s="865" t="s">
        <v>70</v>
      </c>
      <c r="R1429" s="867">
        <v>761764.6261</v>
      </c>
      <c r="S1429" s="867">
        <v>834028.5724</v>
      </c>
      <c r="T1429" s="868">
        <v>694445.7151</v>
      </c>
      <c r="AN1429" s="882"/>
      <c r="AO1429" s="882"/>
      <c r="AP1429" s="882"/>
      <c r="AY1429" s="882"/>
      <c r="AZ1429" s="882"/>
      <c r="BA1429" s="882"/>
      <c r="BJ1429" s="882"/>
      <c r="BK1429" s="882"/>
      <c r="BL1429" s="882"/>
      <c r="BU1429" s="882"/>
      <c r="BV1429" s="882"/>
      <c r="BW1429" s="882"/>
      <c r="CF1429" s="882"/>
      <c r="CG1429" s="882"/>
      <c r="CH1429" s="882"/>
      <c r="CI1429" s="530"/>
    </row>
    <row r="1430">
      <c r="A1430" s="857"/>
      <c r="B1430" s="865" t="s">
        <v>660</v>
      </c>
      <c r="C1430" s="865" t="s">
        <v>591</v>
      </c>
      <c r="D1430" s="865" t="s">
        <v>633</v>
      </c>
      <c r="E1430" s="866">
        <v>2019.0</v>
      </c>
      <c r="F1430" s="865" t="s">
        <v>593</v>
      </c>
      <c r="G1430" s="865" t="s">
        <v>70</v>
      </c>
      <c r="H1430" s="867">
        <v>1000559.374</v>
      </c>
      <c r="I1430" s="867">
        <v>1071248.027</v>
      </c>
      <c r="J1430" s="868">
        <v>930438.4388</v>
      </c>
      <c r="K1430" s="50"/>
      <c r="L1430" s="869" t="s">
        <v>660</v>
      </c>
      <c r="M1430" s="865" t="s">
        <v>591</v>
      </c>
      <c r="N1430" s="865" t="s">
        <v>633</v>
      </c>
      <c r="O1430" s="866">
        <v>2004.0</v>
      </c>
      <c r="P1430" s="865" t="s">
        <v>593</v>
      </c>
      <c r="Q1430" s="865" t="s">
        <v>70</v>
      </c>
      <c r="R1430" s="867">
        <v>563251.4907</v>
      </c>
      <c r="S1430" s="867">
        <v>616683.7111</v>
      </c>
      <c r="T1430" s="868">
        <v>513475.647</v>
      </c>
      <c r="AN1430" s="882"/>
      <c r="AO1430" s="882"/>
      <c r="AP1430" s="882"/>
      <c r="AY1430" s="882"/>
      <c r="AZ1430" s="882"/>
      <c r="BA1430" s="882"/>
      <c r="BJ1430" s="882"/>
      <c r="BK1430" s="882"/>
      <c r="BL1430" s="882"/>
      <c r="BU1430" s="882"/>
      <c r="BV1430" s="882"/>
      <c r="BW1430" s="882"/>
      <c r="CF1430" s="882"/>
      <c r="CG1430" s="882"/>
      <c r="CH1430" s="882"/>
      <c r="CI1430" s="530"/>
    </row>
    <row r="1431">
      <c r="A1431" s="857"/>
      <c r="B1431" s="865" t="s">
        <v>660</v>
      </c>
      <c r="C1431" s="865" t="s">
        <v>591</v>
      </c>
      <c r="D1431" s="865" t="s">
        <v>635</v>
      </c>
      <c r="E1431" s="866">
        <v>2019.0</v>
      </c>
      <c r="F1431" s="865" t="s">
        <v>593</v>
      </c>
      <c r="G1431" s="865" t="s">
        <v>70</v>
      </c>
      <c r="H1431" s="867">
        <v>780332.8801</v>
      </c>
      <c r="I1431" s="867">
        <v>835462.7217</v>
      </c>
      <c r="J1431" s="868">
        <v>725645.7993</v>
      </c>
      <c r="K1431" s="50"/>
      <c r="L1431" s="869" t="s">
        <v>660</v>
      </c>
      <c r="M1431" s="865" t="s">
        <v>591</v>
      </c>
      <c r="N1431" s="865" t="s">
        <v>635</v>
      </c>
      <c r="O1431" s="866">
        <v>2004.0</v>
      </c>
      <c r="P1431" s="865" t="s">
        <v>593</v>
      </c>
      <c r="Q1431" s="865" t="s">
        <v>70</v>
      </c>
      <c r="R1431" s="867">
        <v>425082.4368</v>
      </c>
      <c r="S1431" s="867">
        <v>465407.4051</v>
      </c>
      <c r="T1431" s="868">
        <v>387516.9136</v>
      </c>
      <c r="AN1431" s="882"/>
      <c r="AO1431" s="882"/>
      <c r="AP1431" s="882"/>
      <c r="AY1431" s="882"/>
      <c r="AZ1431" s="882"/>
      <c r="BA1431" s="882"/>
      <c r="BJ1431" s="882"/>
      <c r="BK1431" s="882"/>
      <c r="BL1431" s="882"/>
      <c r="BU1431" s="882"/>
      <c r="BV1431" s="882"/>
      <c r="BW1431" s="882"/>
      <c r="CF1431" s="882"/>
      <c r="CG1431" s="882"/>
      <c r="CH1431" s="882"/>
      <c r="CI1431" s="530"/>
    </row>
    <row r="1432">
      <c r="A1432" s="857"/>
      <c r="B1432" s="865" t="s">
        <v>660</v>
      </c>
      <c r="C1432" s="865" t="s">
        <v>591</v>
      </c>
      <c r="D1432" s="865" t="s">
        <v>637</v>
      </c>
      <c r="E1432" s="866">
        <v>2019.0</v>
      </c>
      <c r="F1432" s="865" t="s">
        <v>593</v>
      </c>
      <c r="G1432" s="865" t="s">
        <v>70</v>
      </c>
      <c r="H1432" s="867">
        <v>597000.7038</v>
      </c>
      <c r="I1432" s="867">
        <v>639178.2861</v>
      </c>
      <c r="J1432" s="868">
        <v>555161.8597</v>
      </c>
      <c r="K1432" s="50"/>
      <c r="L1432" s="869" t="s">
        <v>660</v>
      </c>
      <c r="M1432" s="865" t="s">
        <v>591</v>
      </c>
      <c r="N1432" s="865" t="s">
        <v>637</v>
      </c>
      <c r="O1432" s="866">
        <v>2004.0</v>
      </c>
      <c r="P1432" s="865" t="s">
        <v>593</v>
      </c>
      <c r="Q1432" s="865" t="s">
        <v>70</v>
      </c>
      <c r="R1432" s="867">
        <v>331391.3845</v>
      </c>
      <c r="S1432" s="867">
        <v>362828.4562</v>
      </c>
      <c r="T1432" s="868">
        <v>302105.5574</v>
      </c>
      <c r="AN1432" s="882"/>
      <c r="AO1432" s="882"/>
      <c r="AP1432" s="882"/>
      <c r="AY1432" s="882"/>
      <c r="AZ1432" s="882"/>
      <c r="BA1432" s="882"/>
      <c r="BJ1432" s="882"/>
      <c r="BK1432" s="882"/>
      <c r="BL1432" s="882"/>
      <c r="BU1432" s="882"/>
      <c r="BV1432" s="882"/>
      <c r="BW1432" s="882"/>
      <c r="CF1432" s="882"/>
      <c r="CG1432" s="882"/>
      <c r="CH1432" s="882"/>
      <c r="CI1432" s="530"/>
    </row>
    <row r="1433">
      <c r="A1433" s="857"/>
      <c r="B1433" s="865" t="s">
        <v>660</v>
      </c>
      <c r="C1433" s="865" t="s">
        <v>591</v>
      </c>
      <c r="D1433" s="865" t="s">
        <v>639</v>
      </c>
      <c r="E1433" s="866">
        <v>2019.0</v>
      </c>
      <c r="F1433" s="865" t="s">
        <v>593</v>
      </c>
      <c r="G1433" s="865" t="s">
        <v>70</v>
      </c>
      <c r="H1433" s="867">
        <v>7587920.007</v>
      </c>
      <c r="I1433" s="867">
        <v>8124350.397</v>
      </c>
      <c r="J1433" s="868">
        <v>7056257.665</v>
      </c>
      <c r="K1433" s="50"/>
      <c r="L1433" s="869" t="s">
        <v>660</v>
      </c>
      <c r="M1433" s="865" t="s">
        <v>591</v>
      </c>
      <c r="N1433" s="865" t="s">
        <v>639</v>
      </c>
      <c r="O1433" s="866">
        <v>2004.0</v>
      </c>
      <c r="P1433" s="865" t="s">
        <v>593</v>
      </c>
      <c r="Q1433" s="865" t="s">
        <v>70</v>
      </c>
      <c r="R1433" s="867">
        <v>4590266.271</v>
      </c>
      <c r="S1433" s="867">
        <v>5026218.917</v>
      </c>
      <c r="T1433" s="868">
        <v>4184677.904</v>
      </c>
      <c r="AN1433" s="882"/>
      <c r="AO1433" s="882"/>
      <c r="AP1433" s="882"/>
      <c r="AY1433" s="882"/>
      <c r="AZ1433" s="882"/>
      <c r="BA1433" s="882"/>
      <c r="BJ1433" s="882"/>
      <c r="BK1433" s="882"/>
      <c r="BL1433" s="882"/>
      <c r="BU1433" s="882"/>
      <c r="BV1433" s="882"/>
      <c r="BW1433" s="882"/>
      <c r="CF1433" s="882"/>
      <c r="CG1433" s="882"/>
      <c r="CH1433" s="882"/>
      <c r="CI1433" s="530"/>
    </row>
    <row r="1434">
      <c r="A1434" s="857"/>
      <c r="B1434" s="865" t="s">
        <v>660</v>
      </c>
      <c r="C1434" s="865" t="s">
        <v>591</v>
      </c>
      <c r="D1434" s="865" t="s">
        <v>641</v>
      </c>
      <c r="E1434" s="866">
        <v>2019.0</v>
      </c>
      <c r="F1434" s="865" t="s">
        <v>593</v>
      </c>
      <c r="G1434" s="865" t="s">
        <v>70</v>
      </c>
      <c r="H1434" s="867">
        <v>2677596.143</v>
      </c>
      <c r="I1434" s="867">
        <v>2866765.989</v>
      </c>
      <c r="J1434" s="868">
        <v>2489945.564</v>
      </c>
      <c r="K1434" s="50"/>
      <c r="L1434" s="869" t="s">
        <v>660</v>
      </c>
      <c r="M1434" s="865" t="s">
        <v>591</v>
      </c>
      <c r="N1434" s="865" t="s">
        <v>641</v>
      </c>
      <c r="O1434" s="866">
        <v>2004.0</v>
      </c>
      <c r="P1434" s="865" t="s">
        <v>593</v>
      </c>
      <c r="Q1434" s="865" t="s">
        <v>70</v>
      </c>
      <c r="R1434" s="867">
        <v>1822632.904</v>
      </c>
      <c r="S1434" s="867">
        <v>1995534.929</v>
      </c>
      <c r="T1434" s="868">
        <v>1661562.597</v>
      </c>
      <c r="AN1434" s="882"/>
      <c r="AO1434" s="882"/>
      <c r="AP1434" s="882"/>
      <c r="AY1434" s="882"/>
      <c r="AZ1434" s="882"/>
      <c r="BA1434" s="882"/>
      <c r="BJ1434" s="882"/>
      <c r="BK1434" s="882"/>
      <c r="BL1434" s="882"/>
      <c r="BU1434" s="882"/>
      <c r="BV1434" s="882"/>
      <c r="BW1434" s="882"/>
      <c r="CF1434" s="882"/>
      <c r="CG1434" s="882"/>
      <c r="CH1434" s="882"/>
      <c r="CI1434" s="530"/>
    </row>
    <row r="1435">
      <c r="A1435" s="857"/>
      <c r="B1435" s="865" t="s">
        <v>660</v>
      </c>
      <c r="C1435" s="865" t="s">
        <v>591</v>
      </c>
      <c r="D1435" s="865" t="s">
        <v>643</v>
      </c>
      <c r="E1435" s="866">
        <v>2019.0</v>
      </c>
      <c r="F1435" s="865" t="s">
        <v>593</v>
      </c>
      <c r="G1435" s="865" t="s">
        <v>70</v>
      </c>
      <c r="H1435" s="867">
        <v>422239.1704</v>
      </c>
      <c r="I1435" s="867">
        <v>452070.0018</v>
      </c>
      <c r="J1435" s="868">
        <v>392647.9175</v>
      </c>
      <c r="K1435" s="50"/>
      <c r="L1435" s="869" t="s">
        <v>660</v>
      </c>
      <c r="M1435" s="865" t="s">
        <v>591</v>
      </c>
      <c r="N1435" s="865" t="s">
        <v>643</v>
      </c>
      <c r="O1435" s="866">
        <v>2004.0</v>
      </c>
      <c r="P1435" s="865" t="s">
        <v>593</v>
      </c>
      <c r="Q1435" s="865" t="s">
        <v>70</v>
      </c>
      <c r="R1435" s="867">
        <v>273789.2927</v>
      </c>
      <c r="S1435" s="867">
        <v>299762.0066</v>
      </c>
      <c r="T1435" s="868">
        <v>249593.8964</v>
      </c>
      <c r="AN1435" s="882"/>
      <c r="AO1435" s="882"/>
      <c r="AP1435" s="882"/>
      <c r="AY1435" s="882"/>
      <c r="AZ1435" s="882"/>
      <c r="BA1435" s="882"/>
      <c r="BJ1435" s="882"/>
      <c r="BK1435" s="882"/>
      <c r="BL1435" s="882"/>
      <c r="BU1435" s="882"/>
      <c r="BV1435" s="882"/>
      <c r="BW1435" s="882"/>
      <c r="CF1435" s="882"/>
      <c r="CG1435" s="882"/>
      <c r="CH1435" s="882"/>
      <c r="CI1435" s="530"/>
    </row>
    <row r="1436">
      <c r="A1436" s="857"/>
      <c r="B1436" s="865" t="s">
        <v>660</v>
      </c>
      <c r="C1436" s="865" t="s">
        <v>591</v>
      </c>
      <c r="D1436" s="865" t="s">
        <v>645</v>
      </c>
      <c r="E1436" s="866">
        <v>2019.0</v>
      </c>
      <c r="F1436" s="865" t="s">
        <v>593</v>
      </c>
      <c r="G1436" s="865" t="s">
        <v>70</v>
      </c>
      <c r="H1436" s="867">
        <v>1243971.289</v>
      </c>
      <c r="I1436" s="867">
        <v>1331856.782</v>
      </c>
      <c r="J1436" s="868">
        <v>1156791.625</v>
      </c>
      <c r="K1436" s="50"/>
      <c r="L1436" s="869" t="s">
        <v>660</v>
      </c>
      <c r="M1436" s="865" t="s">
        <v>591</v>
      </c>
      <c r="N1436" s="865" t="s">
        <v>645</v>
      </c>
      <c r="O1436" s="866">
        <v>2004.0</v>
      </c>
      <c r="P1436" s="865" t="s">
        <v>593</v>
      </c>
      <c r="Q1436" s="865" t="s">
        <v>70</v>
      </c>
      <c r="R1436" s="867">
        <v>806190.943</v>
      </c>
      <c r="S1436" s="867">
        <v>882669.3419</v>
      </c>
      <c r="T1436" s="868">
        <v>734945.9751</v>
      </c>
      <c r="AN1436" s="882"/>
      <c r="AO1436" s="882"/>
      <c r="AP1436" s="882"/>
      <c r="AY1436" s="882"/>
      <c r="AZ1436" s="882"/>
      <c r="BA1436" s="882"/>
      <c r="BJ1436" s="882"/>
      <c r="BK1436" s="882"/>
      <c r="BL1436" s="882"/>
      <c r="BU1436" s="882"/>
      <c r="BV1436" s="882"/>
      <c r="BW1436" s="882"/>
      <c r="CF1436" s="882"/>
      <c r="CG1436" s="882"/>
      <c r="CH1436" s="882"/>
      <c r="CI1436" s="530"/>
    </row>
    <row r="1437">
      <c r="A1437" s="857"/>
      <c r="B1437" s="865" t="s">
        <v>660</v>
      </c>
      <c r="C1437" s="865" t="s">
        <v>591</v>
      </c>
      <c r="D1437" s="865" t="s">
        <v>604</v>
      </c>
      <c r="E1437" s="866">
        <v>2019.0</v>
      </c>
      <c r="F1437" s="865" t="s">
        <v>593</v>
      </c>
      <c r="G1437" s="865" t="s">
        <v>70</v>
      </c>
      <c r="H1437" s="867">
        <v>5291885.593</v>
      </c>
      <c r="I1437" s="867">
        <v>5665752.723</v>
      </c>
      <c r="J1437" s="868">
        <v>4921021.078</v>
      </c>
      <c r="K1437" s="50"/>
      <c r="L1437" s="869" t="s">
        <v>660</v>
      </c>
      <c r="M1437" s="865" t="s">
        <v>591</v>
      </c>
      <c r="N1437" s="865" t="s">
        <v>604</v>
      </c>
      <c r="O1437" s="866">
        <v>2004.0</v>
      </c>
      <c r="P1437" s="865" t="s">
        <v>593</v>
      </c>
      <c r="Q1437" s="865" t="s">
        <v>70</v>
      </c>
      <c r="R1437" s="867">
        <v>3286800.533</v>
      </c>
      <c r="S1437" s="867">
        <v>3598599.176</v>
      </c>
      <c r="T1437" s="868">
        <v>2996338.328</v>
      </c>
      <c r="AN1437" s="882"/>
      <c r="AO1437" s="882"/>
      <c r="AP1437" s="882"/>
      <c r="AY1437" s="882"/>
      <c r="AZ1437" s="882"/>
      <c r="BA1437" s="882"/>
      <c r="BJ1437" s="882"/>
      <c r="BK1437" s="882"/>
      <c r="BL1437" s="882"/>
      <c r="BU1437" s="882"/>
      <c r="BV1437" s="882"/>
      <c r="BW1437" s="882"/>
      <c r="CF1437" s="882"/>
      <c r="CG1437" s="882"/>
      <c r="CH1437" s="882"/>
      <c r="CI1437" s="530"/>
    </row>
    <row r="1438">
      <c r="A1438" s="857"/>
      <c r="B1438" s="865" t="s">
        <v>660</v>
      </c>
      <c r="C1438" s="865" t="s">
        <v>591</v>
      </c>
      <c r="D1438" s="865" t="s">
        <v>647</v>
      </c>
      <c r="E1438" s="866">
        <v>2019.0</v>
      </c>
      <c r="F1438" s="865" t="s">
        <v>593</v>
      </c>
      <c r="G1438" s="865" t="s">
        <v>70</v>
      </c>
      <c r="H1438" s="867">
        <v>1142602.081</v>
      </c>
      <c r="I1438" s="867">
        <v>1223378.695</v>
      </c>
      <c r="J1438" s="868">
        <v>1062543.449</v>
      </c>
      <c r="K1438" s="50"/>
      <c r="L1438" s="869" t="s">
        <v>660</v>
      </c>
      <c r="M1438" s="865" t="s">
        <v>591</v>
      </c>
      <c r="N1438" s="865" t="s">
        <v>647</v>
      </c>
      <c r="O1438" s="866">
        <v>2004.0</v>
      </c>
      <c r="P1438" s="865" t="s">
        <v>593</v>
      </c>
      <c r="Q1438" s="865" t="s">
        <v>70</v>
      </c>
      <c r="R1438" s="867">
        <v>749586.7387</v>
      </c>
      <c r="S1438" s="867">
        <v>820777.4503</v>
      </c>
      <c r="T1438" s="868">
        <v>683354.4891</v>
      </c>
      <c r="AN1438" s="882"/>
      <c r="AO1438" s="882"/>
      <c r="AP1438" s="882"/>
      <c r="AY1438" s="882"/>
      <c r="AZ1438" s="882"/>
      <c r="BA1438" s="882"/>
      <c r="BJ1438" s="882"/>
      <c r="BK1438" s="882"/>
      <c r="BL1438" s="882"/>
      <c r="BU1438" s="882"/>
      <c r="BV1438" s="882"/>
      <c r="BW1438" s="882"/>
      <c r="CF1438" s="882"/>
      <c r="CG1438" s="882"/>
      <c r="CH1438" s="882"/>
      <c r="CI1438" s="530"/>
    </row>
    <row r="1439">
      <c r="A1439" s="857"/>
      <c r="B1439" s="865" t="s">
        <v>660</v>
      </c>
      <c r="C1439" s="865" t="s">
        <v>591</v>
      </c>
      <c r="D1439" s="865" t="s">
        <v>649</v>
      </c>
      <c r="E1439" s="866">
        <v>2019.0</v>
      </c>
      <c r="F1439" s="865" t="s">
        <v>593</v>
      </c>
      <c r="G1439" s="865" t="s">
        <v>70</v>
      </c>
      <c r="H1439" s="867">
        <v>324364.9148</v>
      </c>
      <c r="I1439" s="867">
        <v>347281.0149</v>
      </c>
      <c r="J1439" s="868">
        <v>301632.8593</v>
      </c>
      <c r="K1439" s="50"/>
      <c r="L1439" s="869" t="s">
        <v>660</v>
      </c>
      <c r="M1439" s="865" t="s">
        <v>591</v>
      </c>
      <c r="N1439" s="865" t="s">
        <v>649</v>
      </c>
      <c r="O1439" s="866">
        <v>2004.0</v>
      </c>
      <c r="P1439" s="865" t="s">
        <v>593</v>
      </c>
      <c r="Q1439" s="865" t="s">
        <v>70</v>
      </c>
      <c r="R1439" s="867">
        <v>222219.7478</v>
      </c>
      <c r="S1439" s="867">
        <v>243300.3747</v>
      </c>
      <c r="T1439" s="868">
        <v>202581.6721</v>
      </c>
      <c r="AN1439" s="882"/>
      <c r="AO1439" s="882"/>
      <c r="AP1439" s="882"/>
      <c r="AY1439" s="882"/>
      <c r="AZ1439" s="882"/>
      <c r="BA1439" s="882"/>
      <c r="BJ1439" s="882"/>
      <c r="BK1439" s="882"/>
      <c r="BL1439" s="882"/>
      <c r="BU1439" s="882"/>
      <c r="BV1439" s="882"/>
      <c r="BW1439" s="882"/>
      <c r="CF1439" s="882"/>
      <c r="CG1439" s="882"/>
      <c r="CH1439" s="882"/>
      <c r="CI1439" s="530"/>
    </row>
    <row r="1440">
      <c r="A1440" s="857"/>
      <c r="B1440" s="865" t="s">
        <v>660</v>
      </c>
      <c r="C1440" s="865" t="s">
        <v>591</v>
      </c>
      <c r="D1440" s="865" t="s">
        <v>651</v>
      </c>
      <c r="E1440" s="866">
        <v>2019.0</v>
      </c>
      <c r="F1440" s="865" t="s">
        <v>593</v>
      </c>
      <c r="G1440" s="865" t="s">
        <v>70</v>
      </c>
      <c r="H1440" s="867">
        <v>274967.944</v>
      </c>
      <c r="I1440" s="867">
        <v>294394.1909</v>
      </c>
      <c r="J1440" s="868">
        <v>255697.7139</v>
      </c>
      <c r="K1440" s="50"/>
      <c r="L1440" s="869" t="s">
        <v>660</v>
      </c>
      <c r="M1440" s="865" t="s">
        <v>591</v>
      </c>
      <c r="N1440" s="865" t="s">
        <v>651</v>
      </c>
      <c r="O1440" s="866">
        <v>2004.0</v>
      </c>
      <c r="P1440" s="865" t="s">
        <v>593</v>
      </c>
      <c r="Q1440" s="865" t="s">
        <v>70</v>
      </c>
      <c r="R1440" s="867">
        <v>174064.5298</v>
      </c>
      <c r="S1440" s="867">
        <v>190576.966</v>
      </c>
      <c r="T1440" s="868">
        <v>158682.0426</v>
      </c>
      <c r="AN1440" s="882"/>
      <c r="AO1440" s="882"/>
      <c r="AP1440" s="882"/>
      <c r="AY1440" s="882"/>
      <c r="AZ1440" s="882"/>
      <c r="BA1440" s="882"/>
      <c r="BJ1440" s="882"/>
      <c r="BK1440" s="882"/>
      <c r="BL1440" s="882"/>
      <c r="BU1440" s="882"/>
      <c r="BV1440" s="882"/>
      <c r="BW1440" s="882"/>
      <c r="CF1440" s="882"/>
      <c r="CG1440" s="882"/>
      <c r="CH1440" s="882"/>
      <c r="CI1440" s="530"/>
    </row>
    <row r="1441">
      <c r="A1441" s="857"/>
      <c r="B1441" s="865" t="s">
        <v>660</v>
      </c>
      <c r="C1441" s="865" t="s">
        <v>591</v>
      </c>
      <c r="D1441" s="865" t="s">
        <v>653</v>
      </c>
      <c r="E1441" s="866">
        <v>2019.0</v>
      </c>
      <c r="F1441" s="865" t="s">
        <v>593</v>
      </c>
      <c r="G1441" s="865" t="s">
        <v>70</v>
      </c>
      <c r="H1441" s="867">
        <v>222399.2595</v>
      </c>
      <c r="I1441" s="867">
        <v>238111.5744</v>
      </c>
      <c r="J1441" s="868">
        <v>206813.1339</v>
      </c>
      <c r="K1441" s="50"/>
      <c r="L1441" s="869" t="s">
        <v>660</v>
      </c>
      <c r="M1441" s="865" t="s">
        <v>591</v>
      </c>
      <c r="N1441" s="865" t="s">
        <v>653</v>
      </c>
      <c r="O1441" s="866">
        <v>2004.0</v>
      </c>
      <c r="P1441" s="865" t="s">
        <v>593</v>
      </c>
      <c r="Q1441" s="865" t="s">
        <v>70</v>
      </c>
      <c r="R1441" s="867">
        <v>136117.3728</v>
      </c>
      <c r="S1441" s="867">
        <v>149029.9946</v>
      </c>
      <c r="T1441" s="868">
        <v>124088.3641</v>
      </c>
      <c r="AN1441" s="882"/>
      <c r="AO1441" s="882"/>
      <c r="AP1441" s="882"/>
      <c r="AY1441" s="882"/>
      <c r="AZ1441" s="882"/>
      <c r="BA1441" s="882"/>
      <c r="BJ1441" s="882"/>
      <c r="BK1441" s="882"/>
      <c r="BL1441" s="882"/>
      <c r="BU1441" s="882"/>
      <c r="BV1441" s="882"/>
      <c r="BW1441" s="882"/>
      <c r="CF1441" s="882"/>
      <c r="CG1441" s="882"/>
      <c r="CH1441" s="882"/>
      <c r="CI1441" s="530"/>
    </row>
    <row r="1442">
      <c r="A1442" s="857"/>
      <c r="B1442" s="865" t="s">
        <v>660</v>
      </c>
      <c r="C1442" s="865" t="s">
        <v>591</v>
      </c>
      <c r="D1442" s="865" t="s">
        <v>655</v>
      </c>
      <c r="E1442" s="866">
        <v>2019.0</v>
      </c>
      <c r="F1442" s="865" t="s">
        <v>593</v>
      </c>
      <c r="G1442" s="865" t="s">
        <v>70</v>
      </c>
      <c r="H1442" s="867">
        <v>376011.735</v>
      </c>
      <c r="I1442" s="867">
        <v>402594.0027</v>
      </c>
      <c r="J1442" s="868">
        <v>349665.743</v>
      </c>
      <c r="K1442" s="50"/>
      <c r="L1442" s="869" t="s">
        <v>660</v>
      </c>
      <c r="M1442" s="865" t="s">
        <v>591</v>
      </c>
      <c r="N1442" s="865" t="s">
        <v>655</v>
      </c>
      <c r="O1442" s="866">
        <v>2004.0</v>
      </c>
      <c r="P1442" s="865" t="s">
        <v>593</v>
      </c>
      <c r="Q1442" s="865" t="s">
        <v>70</v>
      </c>
      <c r="R1442" s="867">
        <v>236301.2833</v>
      </c>
      <c r="S1442" s="867">
        <v>258743.5914</v>
      </c>
      <c r="T1442" s="868">
        <v>215422.0911</v>
      </c>
      <c r="AN1442" s="882"/>
      <c r="AO1442" s="882"/>
      <c r="AP1442" s="882"/>
      <c r="AY1442" s="882"/>
      <c r="AZ1442" s="882"/>
      <c r="BA1442" s="882"/>
      <c r="BJ1442" s="882"/>
      <c r="BK1442" s="882"/>
      <c r="BL1442" s="882"/>
      <c r="BU1442" s="882"/>
      <c r="BV1442" s="882"/>
      <c r="BW1442" s="882"/>
      <c r="CF1442" s="882"/>
      <c r="CG1442" s="882"/>
      <c r="CH1442" s="882"/>
      <c r="CI1442" s="530"/>
    </row>
    <row r="1443">
      <c r="A1443" s="857"/>
      <c r="B1443" s="865" t="s">
        <v>660</v>
      </c>
      <c r="C1443" s="865" t="s">
        <v>591</v>
      </c>
      <c r="D1443" s="865" t="s">
        <v>657</v>
      </c>
      <c r="E1443" s="866">
        <v>2019.0</v>
      </c>
      <c r="F1443" s="865" t="s">
        <v>593</v>
      </c>
      <c r="G1443" s="865" t="s">
        <v>70</v>
      </c>
      <c r="H1443" s="867">
        <v>153620.5232</v>
      </c>
      <c r="I1443" s="867">
        <v>164473.68</v>
      </c>
      <c r="J1443" s="868">
        <v>142854.5307</v>
      </c>
      <c r="K1443" s="50"/>
      <c r="L1443" s="869" t="s">
        <v>660</v>
      </c>
      <c r="M1443" s="865" t="s">
        <v>591</v>
      </c>
      <c r="N1443" s="865" t="s">
        <v>657</v>
      </c>
      <c r="O1443" s="866">
        <v>2004.0</v>
      </c>
      <c r="P1443" s="865" t="s">
        <v>593</v>
      </c>
      <c r="Q1443" s="865" t="s">
        <v>70</v>
      </c>
      <c r="R1443" s="867">
        <v>100190.5189</v>
      </c>
      <c r="S1443" s="867">
        <v>109694.98</v>
      </c>
      <c r="T1443" s="868">
        <v>91336.44977</v>
      </c>
      <c r="AN1443" s="882"/>
      <c r="AO1443" s="882"/>
      <c r="AP1443" s="882"/>
      <c r="AY1443" s="882"/>
      <c r="AZ1443" s="882"/>
      <c r="BA1443" s="882"/>
      <c r="BJ1443" s="882"/>
      <c r="BK1443" s="882"/>
      <c r="BL1443" s="882"/>
      <c r="BU1443" s="882"/>
      <c r="BV1443" s="882"/>
      <c r="BW1443" s="882"/>
      <c r="CF1443" s="882"/>
      <c r="CG1443" s="882"/>
      <c r="CH1443" s="882"/>
      <c r="CI1443" s="530"/>
    </row>
    <row r="1444">
      <c r="A1444" s="857"/>
      <c r="B1444" s="865" t="s">
        <v>660</v>
      </c>
      <c r="C1444" s="865" t="s">
        <v>591</v>
      </c>
      <c r="D1444" s="865" t="s">
        <v>659</v>
      </c>
      <c r="E1444" s="866">
        <v>2019.0</v>
      </c>
      <c r="F1444" s="865" t="s">
        <v>593</v>
      </c>
      <c r="G1444" s="865" t="s">
        <v>70</v>
      </c>
      <c r="H1444" s="867">
        <v>320894.4183</v>
      </c>
      <c r="I1444" s="867">
        <v>343565.3308</v>
      </c>
      <c r="J1444" s="868">
        <v>298405.5812</v>
      </c>
      <c r="K1444" s="50"/>
      <c r="L1444" s="869" t="s">
        <v>660</v>
      </c>
      <c r="M1444" s="865" t="s">
        <v>591</v>
      </c>
      <c r="N1444" s="865" t="s">
        <v>659</v>
      </c>
      <c r="O1444" s="866">
        <v>2004.0</v>
      </c>
      <c r="P1444" s="865" t="s">
        <v>593</v>
      </c>
      <c r="Q1444" s="865" t="s">
        <v>70</v>
      </c>
      <c r="R1444" s="867">
        <v>217206.051</v>
      </c>
      <c r="S1444" s="867">
        <v>237811.0592</v>
      </c>
      <c r="T1444" s="868">
        <v>198011.0473</v>
      </c>
      <c r="AN1444" s="882"/>
      <c r="AO1444" s="882"/>
      <c r="AP1444" s="882"/>
      <c r="AY1444" s="882"/>
      <c r="AZ1444" s="882"/>
      <c r="BA1444" s="882"/>
      <c r="BJ1444" s="882"/>
      <c r="BK1444" s="882"/>
      <c r="BL1444" s="882"/>
      <c r="BU1444" s="882"/>
      <c r="BV1444" s="882"/>
      <c r="BW1444" s="882"/>
      <c r="CF1444" s="882"/>
      <c r="CG1444" s="882"/>
      <c r="CH1444" s="882"/>
      <c r="CI1444" s="530"/>
    </row>
    <row r="1445">
      <c r="A1445" s="857"/>
      <c r="B1445" s="865" t="s">
        <v>660</v>
      </c>
      <c r="C1445" s="865" t="s">
        <v>591</v>
      </c>
      <c r="D1445" s="865" t="s">
        <v>661</v>
      </c>
      <c r="E1445" s="866">
        <v>2019.0</v>
      </c>
      <c r="F1445" s="865" t="s">
        <v>593</v>
      </c>
      <c r="G1445" s="865" t="s">
        <v>70</v>
      </c>
      <c r="H1445" s="867">
        <v>167270.315</v>
      </c>
      <c r="I1445" s="867">
        <v>179095.5424</v>
      </c>
      <c r="J1445" s="868">
        <v>155550.1957</v>
      </c>
      <c r="K1445" s="50"/>
      <c r="L1445" s="869" t="s">
        <v>660</v>
      </c>
      <c r="M1445" s="865" t="s">
        <v>591</v>
      </c>
      <c r="N1445" s="865" t="s">
        <v>661</v>
      </c>
      <c r="O1445" s="866">
        <v>2004.0</v>
      </c>
      <c r="P1445" s="865" t="s">
        <v>593</v>
      </c>
      <c r="Q1445" s="865" t="s">
        <v>70</v>
      </c>
      <c r="R1445" s="867">
        <v>117012.2598</v>
      </c>
      <c r="S1445" s="867">
        <v>128125.298</v>
      </c>
      <c r="T1445" s="868">
        <v>106673.2493</v>
      </c>
      <c r="AN1445" s="882"/>
      <c r="AO1445" s="882"/>
      <c r="AP1445" s="882"/>
      <c r="AY1445" s="882"/>
      <c r="AZ1445" s="882"/>
      <c r="BA1445" s="882"/>
      <c r="BJ1445" s="882"/>
      <c r="BK1445" s="882"/>
      <c r="BL1445" s="882"/>
      <c r="BU1445" s="882"/>
      <c r="BV1445" s="882"/>
      <c r="BW1445" s="882"/>
      <c r="CF1445" s="882"/>
      <c r="CG1445" s="882"/>
      <c r="CH1445" s="882"/>
      <c r="CI1445" s="530"/>
    </row>
    <row r="1446">
      <c r="A1446" s="857"/>
      <c r="B1446" s="865" t="s">
        <v>660</v>
      </c>
      <c r="C1446" s="865" t="s">
        <v>591</v>
      </c>
      <c r="D1446" s="865" t="s">
        <v>663</v>
      </c>
      <c r="E1446" s="866">
        <v>2019.0</v>
      </c>
      <c r="F1446" s="865" t="s">
        <v>593</v>
      </c>
      <c r="G1446" s="865" t="s">
        <v>70</v>
      </c>
      <c r="H1446" s="867">
        <v>90217.95875</v>
      </c>
      <c r="I1446" s="867">
        <v>96591.77934</v>
      </c>
      <c r="J1446" s="868">
        <v>83895.32783</v>
      </c>
      <c r="K1446" s="50"/>
      <c r="L1446" s="869" t="s">
        <v>660</v>
      </c>
      <c r="M1446" s="865" t="s">
        <v>591</v>
      </c>
      <c r="N1446" s="865" t="s">
        <v>663</v>
      </c>
      <c r="O1446" s="866">
        <v>2004.0</v>
      </c>
      <c r="P1446" s="865" t="s">
        <v>593</v>
      </c>
      <c r="Q1446" s="865" t="s">
        <v>70</v>
      </c>
      <c r="R1446" s="867">
        <v>65354.42389</v>
      </c>
      <c r="S1446" s="867">
        <v>71554.19796</v>
      </c>
      <c r="T1446" s="868">
        <v>59578.90151</v>
      </c>
      <c r="AN1446" s="882"/>
      <c r="AO1446" s="882"/>
      <c r="AP1446" s="882"/>
      <c r="AY1446" s="882"/>
      <c r="AZ1446" s="882"/>
      <c r="BA1446" s="882"/>
      <c r="BJ1446" s="882"/>
      <c r="BK1446" s="882"/>
      <c r="BL1446" s="882"/>
      <c r="BU1446" s="882"/>
      <c r="BV1446" s="882"/>
      <c r="BW1446" s="882"/>
      <c r="CF1446" s="882"/>
      <c r="CG1446" s="882"/>
      <c r="CH1446" s="882"/>
      <c r="CI1446" s="530"/>
    </row>
    <row r="1447">
      <c r="A1447" s="857"/>
      <c r="B1447" s="865" t="s">
        <v>660</v>
      </c>
      <c r="C1447" s="865" t="s">
        <v>591</v>
      </c>
      <c r="D1447" s="865" t="s">
        <v>665</v>
      </c>
      <c r="E1447" s="866">
        <v>2019.0</v>
      </c>
      <c r="F1447" s="865" t="s">
        <v>593</v>
      </c>
      <c r="G1447" s="865" t="s">
        <v>70</v>
      </c>
      <c r="H1447" s="867">
        <v>136537.8249</v>
      </c>
      <c r="I1447" s="867">
        <v>146190.4094</v>
      </c>
      <c r="J1447" s="868">
        <v>126971.0372</v>
      </c>
      <c r="K1447" s="50"/>
      <c r="L1447" s="869" t="s">
        <v>660</v>
      </c>
      <c r="M1447" s="865" t="s">
        <v>591</v>
      </c>
      <c r="N1447" s="865" t="s">
        <v>665</v>
      </c>
      <c r="O1447" s="866">
        <v>2004.0</v>
      </c>
      <c r="P1447" s="865" t="s">
        <v>593</v>
      </c>
      <c r="Q1447" s="865" t="s">
        <v>70</v>
      </c>
      <c r="R1447" s="867">
        <v>99657.29535</v>
      </c>
      <c r="S1447" s="867">
        <v>109122.0756</v>
      </c>
      <c r="T1447" s="868">
        <v>90851.74088</v>
      </c>
      <c r="AN1447" s="882"/>
      <c r="AO1447" s="882"/>
      <c r="AP1447" s="882"/>
      <c r="AY1447" s="882"/>
      <c r="AZ1447" s="882"/>
      <c r="BA1447" s="882"/>
      <c r="BJ1447" s="882"/>
      <c r="BK1447" s="882"/>
      <c r="BL1447" s="882"/>
      <c r="BU1447" s="882"/>
      <c r="BV1447" s="882"/>
      <c r="BW1447" s="882"/>
      <c r="CF1447" s="882"/>
      <c r="CG1447" s="882"/>
      <c r="CH1447" s="882"/>
      <c r="CI1447" s="530"/>
    </row>
    <row r="1448">
      <c r="A1448" s="857"/>
      <c r="B1448" s="865" t="s">
        <v>660</v>
      </c>
      <c r="C1448" s="865" t="s">
        <v>591</v>
      </c>
      <c r="D1448" s="865" t="s">
        <v>667</v>
      </c>
      <c r="E1448" s="866">
        <v>2019.0</v>
      </c>
      <c r="F1448" s="865" t="s">
        <v>593</v>
      </c>
      <c r="G1448" s="865" t="s">
        <v>70</v>
      </c>
      <c r="H1448" s="867">
        <v>77055.93629</v>
      </c>
      <c r="I1448" s="867">
        <v>82499.87139</v>
      </c>
      <c r="J1448" s="868">
        <v>71655.72271</v>
      </c>
      <c r="K1448" s="50"/>
      <c r="L1448" s="869" t="s">
        <v>660</v>
      </c>
      <c r="M1448" s="865" t="s">
        <v>591</v>
      </c>
      <c r="N1448" s="865" t="s">
        <v>667</v>
      </c>
      <c r="O1448" s="866">
        <v>2004.0</v>
      </c>
      <c r="P1448" s="865" t="s">
        <v>593</v>
      </c>
      <c r="Q1448" s="865" t="s">
        <v>70</v>
      </c>
      <c r="R1448" s="867">
        <v>51661.10826</v>
      </c>
      <c r="S1448" s="867">
        <v>56561.8813</v>
      </c>
      <c r="T1448" s="868">
        <v>47095.69601</v>
      </c>
      <c r="AN1448" s="882"/>
      <c r="AO1448" s="882"/>
      <c r="AP1448" s="882"/>
      <c r="AY1448" s="882"/>
      <c r="AZ1448" s="882"/>
      <c r="BA1448" s="882"/>
      <c r="BJ1448" s="882"/>
      <c r="BK1448" s="882"/>
      <c r="BL1448" s="882"/>
      <c r="BU1448" s="882"/>
      <c r="BV1448" s="882"/>
      <c r="BW1448" s="882"/>
      <c r="CF1448" s="882"/>
      <c r="CG1448" s="882"/>
      <c r="CH1448" s="882"/>
      <c r="CI1448" s="530"/>
    </row>
    <row r="1449">
      <c r="A1449" s="857"/>
      <c r="B1449" s="865" t="s">
        <v>660</v>
      </c>
      <c r="C1449" s="865" t="s">
        <v>591</v>
      </c>
      <c r="D1449" s="865" t="s">
        <v>669</v>
      </c>
      <c r="E1449" s="866">
        <v>2019.0</v>
      </c>
      <c r="F1449" s="865" t="s">
        <v>593</v>
      </c>
      <c r="G1449" s="865" t="s">
        <v>70</v>
      </c>
      <c r="H1449" s="867">
        <v>46322.7885</v>
      </c>
      <c r="I1449" s="867">
        <v>49595.45336</v>
      </c>
      <c r="J1449" s="868">
        <v>43076.40719</v>
      </c>
      <c r="K1449" s="50"/>
      <c r="L1449" s="869" t="s">
        <v>660</v>
      </c>
      <c r="M1449" s="865" t="s">
        <v>591</v>
      </c>
      <c r="N1449" s="865" t="s">
        <v>669</v>
      </c>
      <c r="O1449" s="866">
        <v>2004.0</v>
      </c>
      <c r="P1449" s="865" t="s">
        <v>593</v>
      </c>
      <c r="Q1449" s="865" t="s">
        <v>70</v>
      </c>
      <c r="R1449" s="867">
        <v>34305.65844</v>
      </c>
      <c r="S1449" s="867">
        <v>37560.02622</v>
      </c>
      <c r="T1449" s="868">
        <v>31273.98764</v>
      </c>
      <c r="AN1449" s="882"/>
      <c r="AO1449" s="882"/>
      <c r="AP1449" s="882"/>
      <c r="AY1449" s="882"/>
      <c r="AZ1449" s="882"/>
      <c r="BA1449" s="882"/>
      <c r="BJ1449" s="882"/>
      <c r="BK1449" s="882"/>
      <c r="BL1449" s="882"/>
      <c r="BU1449" s="882"/>
      <c r="BV1449" s="882"/>
      <c r="BW1449" s="882"/>
      <c r="CF1449" s="882"/>
      <c r="CG1449" s="882"/>
      <c r="CH1449" s="882"/>
      <c r="CI1449" s="530"/>
    </row>
    <row r="1450">
      <c r="A1450" s="857"/>
      <c r="B1450" s="865" t="s">
        <v>660</v>
      </c>
      <c r="C1450" s="865" t="s">
        <v>591</v>
      </c>
      <c r="D1450" s="865" t="s">
        <v>671</v>
      </c>
      <c r="E1450" s="866">
        <v>2019.0</v>
      </c>
      <c r="F1450" s="865" t="s">
        <v>593</v>
      </c>
      <c r="G1450" s="865" t="s">
        <v>70</v>
      </c>
      <c r="H1450" s="867">
        <v>30732.49002</v>
      </c>
      <c r="I1450" s="867">
        <v>32905.13306</v>
      </c>
      <c r="J1450" s="868">
        <v>28579.15846</v>
      </c>
      <c r="K1450" s="50"/>
      <c r="L1450" s="869" t="s">
        <v>660</v>
      </c>
      <c r="M1450" s="865" t="s">
        <v>591</v>
      </c>
      <c r="N1450" s="865" t="s">
        <v>671</v>
      </c>
      <c r="O1450" s="866">
        <v>2004.0</v>
      </c>
      <c r="P1450" s="865" t="s">
        <v>593</v>
      </c>
      <c r="Q1450" s="865" t="s">
        <v>70</v>
      </c>
      <c r="R1450" s="867">
        <v>17354.96448</v>
      </c>
      <c r="S1450" s="867">
        <v>19003.22239</v>
      </c>
      <c r="T1450" s="868">
        <v>15821.5084</v>
      </c>
      <c r="AN1450" s="882"/>
      <c r="AO1450" s="882"/>
      <c r="AP1450" s="882"/>
      <c r="AY1450" s="882"/>
      <c r="AZ1450" s="882"/>
      <c r="BA1450" s="882"/>
      <c r="BJ1450" s="882"/>
      <c r="BK1450" s="882"/>
      <c r="BL1450" s="882"/>
      <c r="BU1450" s="882"/>
      <c r="BV1450" s="882"/>
      <c r="BW1450" s="882"/>
      <c r="CF1450" s="882"/>
      <c r="CG1450" s="882"/>
      <c r="CH1450" s="882"/>
      <c r="CI1450" s="530"/>
    </row>
    <row r="1451">
      <c r="A1451" s="857"/>
      <c r="B1451" s="865" t="s">
        <v>660</v>
      </c>
      <c r="C1451" s="865" t="s">
        <v>591</v>
      </c>
      <c r="D1451" s="865" t="s">
        <v>673</v>
      </c>
      <c r="E1451" s="866">
        <v>2019.0</v>
      </c>
      <c r="F1451" s="865" t="s">
        <v>593</v>
      </c>
      <c r="G1451" s="865" t="s">
        <v>70</v>
      </c>
      <c r="H1451" s="867">
        <v>20993.97858</v>
      </c>
      <c r="I1451" s="867">
        <v>22477.18497</v>
      </c>
      <c r="J1451" s="868">
        <v>19522.68418</v>
      </c>
      <c r="K1451" s="50"/>
      <c r="L1451" s="869" t="s">
        <v>660</v>
      </c>
      <c r="M1451" s="865" t="s">
        <v>591</v>
      </c>
      <c r="N1451" s="865" t="s">
        <v>673</v>
      </c>
      <c r="O1451" s="866">
        <v>2004.0</v>
      </c>
      <c r="P1451" s="865" t="s">
        <v>593</v>
      </c>
      <c r="Q1451" s="865" t="s">
        <v>70</v>
      </c>
      <c r="R1451" s="867">
        <v>12969.50737</v>
      </c>
      <c r="S1451" s="867">
        <v>14199.84513</v>
      </c>
      <c r="T1451" s="868">
        <v>11823.36185</v>
      </c>
      <c r="AN1451" s="882"/>
      <c r="AO1451" s="882"/>
      <c r="AP1451" s="882"/>
      <c r="AY1451" s="882"/>
      <c r="AZ1451" s="882"/>
      <c r="BA1451" s="882"/>
      <c r="BJ1451" s="882"/>
      <c r="BK1451" s="882"/>
      <c r="BL1451" s="882"/>
      <c r="BU1451" s="882"/>
      <c r="BV1451" s="882"/>
      <c r="BW1451" s="882"/>
      <c r="CF1451" s="882"/>
      <c r="CG1451" s="882"/>
      <c r="CH1451" s="882"/>
      <c r="CI1451" s="530"/>
    </row>
    <row r="1452">
      <c r="A1452" s="857"/>
      <c r="B1452" s="865" t="s">
        <v>660</v>
      </c>
      <c r="C1452" s="865" t="s">
        <v>591</v>
      </c>
      <c r="D1452" s="865" t="s">
        <v>674</v>
      </c>
      <c r="E1452" s="866">
        <v>2019.0</v>
      </c>
      <c r="F1452" s="865" t="s">
        <v>593</v>
      </c>
      <c r="G1452" s="865" t="s">
        <v>70</v>
      </c>
      <c r="H1452" s="867">
        <v>7725.449393</v>
      </c>
      <c r="I1452" s="867">
        <v>8271.245697</v>
      </c>
      <c r="J1452" s="868">
        <v>7184.036509</v>
      </c>
      <c r="K1452" s="50"/>
      <c r="L1452" s="869" t="s">
        <v>660</v>
      </c>
      <c r="M1452" s="865" t="s">
        <v>591</v>
      </c>
      <c r="N1452" s="865" t="s">
        <v>674</v>
      </c>
      <c r="O1452" s="866">
        <v>2004.0</v>
      </c>
      <c r="P1452" s="865" t="s">
        <v>593</v>
      </c>
      <c r="Q1452" s="865" t="s">
        <v>70</v>
      </c>
      <c r="R1452" s="867">
        <v>3688.81338</v>
      </c>
      <c r="S1452" s="867">
        <v>4038.748521</v>
      </c>
      <c r="T1452" s="868">
        <v>3362.824366</v>
      </c>
      <c r="AN1452" s="882"/>
      <c r="AO1452" s="882"/>
      <c r="AP1452" s="882"/>
      <c r="AY1452" s="882"/>
      <c r="AZ1452" s="882"/>
      <c r="BA1452" s="882"/>
      <c r="BJ1452" s="882"/>
      <c r="BK1452" s="882"/>
      <c r="BL1452" s="882"/>
      <c r="BU1452" s="882"/>
      <c r="BV1452" s="882"/>
      <c r="BW1452" s="882"/>
      <c r="CF1452" s="882"/>
      <c r="CG1452" s="882"/>
      <c r="CH1452" s="882"/>
      <c r="CI1452" s="530"/>
    </row>
    <row r="1453">
      <c r="A1453" s="857"/>
      <c r="B1453" s="865" t="s">
        <v>660</v>
      </c>
      <c r="C1453" s="865" t="s">
        <v>591</v>
      </c>
      <c r="D1453" s="865" t="s">
        <v>676</v>
      </c>
      <c r="E1453" s="866">
        <v>2019.0</v>
      </c>
      <c r="F1453" s="865" t="s">
        <v>593</v>
      </c>
      <c r="G1453" s="865" t="s">
        <v>70</v>
      </c>
      <c r="H1453" s="867">
        <v>2013.719808</v>
      </c>
      <c r="I1453" s="867">
        <v>2155.987366</v>
      </c>
      <c r="J1453" s="868">
        <v>1872.594833</v>
      </c>
      <c r="K1453" s="50"/>
      <c r="L1453" s="869" t="s">
        <v>660</v>
      </c>
      <c r="M1453" s="865" t="s">
        <v>591</v>
      </c>
      <c r="N1453" s="865" t="s">
        <v>676</v>
      </c>
      <c r="O1453" s="866">
        <v>2004.0</v>
      </c>
      <c r="P1453" s="865" t="s">
        <v>593</v>
      </c>
      <c r="Q1453" s="865" t="s">
        <v>70</v>
      </c>
      <c r="R1453" s="867">
        <v>697.12907</v>
      </c>
      <c r="S1453" s="867">
        <v>763.2614367</v>
      </c>
      <c r="T1453" s="868">
        <v>635.5221533</v>
      </c>
      <c r="AN1453" s="882"/>
      <c r="AO1453" s="882"/>
      <c r="AP1453" s="882"/>
      <c r="AY1453" s="882"/>
      <c r="AZ1453" s="882"/>
      <c r="BA1453" s="882"/>
      <c r="BJ1453" s="882"/>
      <c r="BK1453" s="882"/>
      <c r="BL1453" s="882"/>
      <c r="BU1453" s="882"/>
      <c r="BV1453" s="882"/>
      <c r="BW1453" s="882"/>
      <c r="CF1453" s="882"/>
      <c r="CG1453" s="882"/>
      <c r="CH1453" s="882"/>
      <c r="CI1453" s="530"/>
    </row>
    <row r="1454">
      <c r="A1454" s="857"/>
      <c r="B1454" s="865" t="s">
        <v>660</v>
      </c>
      <c r="C1454" s="865" t="s">
        <v>591</v>
      </c>
      <c r="D1454" s="865" t="s">
        <v>678</v>
      </c>
      <c r="E1454" s="866">
        <v>2019.0</v>
      </c>
      <c r="F1454" s="865" t="s">
        <v>593</v>
      </c>
      <c r="G1454" s="865" t="s">
        <v>70</v>
      </c>
      <c r="H1454" s="867">
        <v>1.844223848E7</v>
      </c>
      <c r="I1454" s="867">
        <v>1.974516665E7</v>
      </c>
      <c r="J1454" s="868">
        <v>1.714977444E7</v>
      </c>
      <c r="K1454" s="50"/>
      <c r="L1454" s="869" t="s">
        <v>660</v>
      </c>
      <c r="M1454" s="865" t="s">
        <v>591</v>
      </c>
      <c r="N1454" s="865" t="s">
        <v>678</v>
      </c>
      <c r="O1454" s="866">
        <v>2004.0</v>
      </c>
      <c r="P1454" s="865" t="s">
        <v>593</v>
      </c>
      <c r="Q1454" s="865" t="s">
        <v>70</v>
      </c>
      <c r="R1454" s="867">
        <v>1.219867647E7</v>
      </c>
      <c r="S1454" s="867">
        <v>1.335589022E7</v>
      </c>
      <c r="T1454" s="868">
        <v>1.112065107E7</v>
      </c>
      <c r="AN1454" s="882"/>
      <c r="AO1454" s="882"/>
      <c r="AP1454" s="882"/>
      <c r="AY1454" s="882"/>
      <c r="AZ1454" s="882"/>
      <c r="BA1454" s="882"/>
      <c r="BJ1454" s="882"/>
      <c r="BK1454" s="882"/>
      <c r="BL1454" s="882"/>
      <c r="BU1454" s="882"/>
      <c r="BV1454" s="882"/>
      <c r="BW1454" s="882"/>
      <c r="CF1454" s="882"/>
      <c r="CG1454" s="882"/>
      <c r="CH1454" s="882"/>
      <c r="CI1454" s="530"/>
    </row>
    <row r="1455">
      <c r="A1455" s="857"/>
      <c r="B1455" s="865" t="s">
        <v>660</v>
      </c>
      <c r="C1455" s="865" t="s">
        <v>591</v>
      </c>
      <c r="D1455" s="865" t="s">
        <v>680</v>
      </c>
      <c r="E1455" s="866">
        <v>2019.0</v>
      </c>
      <c r="F1455" s="865" t="s">
        <v>593</v>
      </c>
      <c r="G1455" s="865" t="s">
        <v>70</v>
      </c>
      <c r="H1455" s="867">
        <v>545117.3018</v>
      </c>
      <c r="I1455" s="867">
        <v>600718.3616</v>
      </c>
      <c r="J1455" s="868">
        <v>498506.5718</v>
      </c>
      <c r="K1455" s="50"/>
      <c r="L1455" s="869" t="s">
        <v>660</v>
      </c>
      <c r="M1455" s="865" t="s">
        <v>591</v>
      </c>
      <c r="N1455" s="865" t="s">
        <v>680</v>
      </c>
      <c r="O1455" s="866">
        <v>2004.0</v>
      </c>
      <c r="P1455" s="865" t="s">
        <v>593</v>
      </c>
      <c r="Q1455" s="865" t="s">
        <v>70</v>
      </c>
      <c r="R1455" s="867">
        <v>541296.8188</v>
      </c>
      <c r="S1455" s="867">
        <v>561786.1736</v>
      </c>
      <c r="T1455" s="868">
        <v>520354.821</v>
      </c>
      <c r="AN1455" s="882"/>
      <c r="AO1455" s="882"/>
      <c r="AP1455" s="882"/>
      <c r="AY1455" s="882"/>
      <c r="AZ1455" s="882"/>
      <c r="BA1455" s="882"/>
      <c r="BJ1455" s="882"/>
      <c r="BK1455" s="882"/>
      <c r="BL1455" s="882"/>
      <c r="BU1455" s="882"/>
      <c r="BV1455" s="882"/>
      <c r="BW1455" s="882"/>
      <c r="CF1455" s="882"/>
      <c r="CG1455" s="882"/>
      <c r="CH1455" s="882"/>
      <c r="CI1455" s="530"/>
    </row>
    <row r="1456">
      <c r="A1456" s="857"/>
      <c r="B1456" s="865" t="s">
        <v>660</v>
      </c>
      <c r="C1456" s="865" t="s">
        <v>591</v>
      </c>
      <c r="D1456" s="865" t="s">
        <v>682</v>
      </c>
      <c r="E1456" s="866">
        <v>2019.0</v>
      </c>
      <c r="F1456" s="865" t="s">
        <v>593</v>
      </c>
      <c r="G1456" s="865" t="s">
        <v>70</v>
      </c>
      <c r="H1456" s="867">
        <v>10430.22958</v>
      </c>
      <c r="I1456" s="867">
        <v>11167.11626</v>
      </c>
      <c r="J1456" s="868">
        <v>9699.261009</v>
      </c>
      <c r="K1456" s="50"/>
      <c r="L1456" s="869" t="s">
        <v>660</v>
      </c>
      <c r="M1456" s="865" t="s">
        <v>591</v>
      </c>
      <c r="N1456" s="865" t="s">
        <v>682</v>
      </c>
      <c r="O1456" s="866">
        <v>2004.0</v>
      </c>
      <c r="P1456" s="865" t="s">
        <v>593</v>
      </c>
      <c r="Q1456" s="865" t="s">
        <v>70</v>
      </c>
      <c r="R1456" s="867">
        <v>10220.49687</v>
      </c>
      <c r="S1456" s="867">
        <v>11190.05283</v>
      </c>
      <c r="T1456" s="868">
        <v>9317.287801</v>
      </c>
      <c r="AN1456" s="882"/>
      <c r="AO1456" s="882"/>
      <c r="AP1456" s="882"/>
      <c r="AY1456" s="882"/>
      <c r="AZ1456" s="882"/>
      <c r="BA1456" s="882"/>
      <c r="BJ1456" s="882"/>
      <c r="BK1456" s="882"/>
      <c r="BL1456" s="882"/>
      <c r="BU1456" s="882"/>
      <c r="BV1456" s="882"/>
      <c r="BW1456" s="882"/>
      <c r="CF1456" s="882"/>
      <c r="CG1456" s="882"/>
      <c r="CH1456" s="882"/>
      <c r="CI1456" s="530"/>
    </row>
    <row r="1457">
      <c r="A1457" s="857"/>
      <c r="B1457" s="865" t="s">
        <v>660</v>
      </c>
      <c r="C1457" s="865" t="s">
        <v>591</v>
      </c>
      <c r="D1457" s="865" t="s">
        <v>684</v>
      </c>
      <c r="E1457" s="866">
        <v>2019.0</v>
      </c>
      <c r="F1457" s="865" t="s">
        <v>593</v>
      </c>
      <c r="G1457" s="865" t="s">
        <v>70</v>
      </c>
      <c r="H1457" s="867">
        <v>30860.30188</v>
      </c>
      <c r="I1457" s="867">
        <v>33040.55546</v>
      </c>
      <c r="J1457" s="868">
        <v>28697.55843</v>
      </c>
      <c r="K1457" s="50"/>
      <c r="L1457" s="869" t="s">
        <v>660</v>
      </c>
      <c r="M1457" s="865" t="s">
        <v>591</v>
      </c>
      <c r="N1457" s="865" t="s">
        <v>684</v>
      </c>
      <c r="O1457" s="866">
        <v>2004.0</v>
      </c>
      <c r="P1457" s="865" t="s">
        <v>593</v>
      </c>
      <c r="Q1457" s="865" t="s">
        <v>70</v>
      </c>
      <c r="R1457" s="867">
        <v>30124.78004</v>
      </c>
      <c r="S1457" s="867">
        <v>32982.53349</v>
      </c>
      <c r="T1457" s="868">
        <v>27462.58319</v>
      </c>
      <c r="AN1457" s="882"/>
      <c r="AO1457" s="882"/>
      <c r="AP1457" s="882"/>
      <c r="AY1457" s="882"/>
      <c r="AZ1457" s="882"/>
      <c r="BA1457" s="882"/>
      <c r="BJ1457" s="882"/>
      <c r="BK1457" s="882"/>
      <c r="BL1457" s="882"/>
      <c r="BU1457" s="882"/>
      <c r="BV1457" s="882"/>
      <c r="BW1457" s="882"/>
      <c r="CF1457" s="882"/>
      <c r="CG1457" s="882"/>
      <c r="CH1457" s="882"/>
      <c r="CI1457" s="530"/>
    </row>
    <row r="1458">
      <c r="A1458" s="857"/>
      <c r="B1458" s="865" t="s">
        <v>660</v>
      </c>
      <c r="C1458" s="865" t="s">
        <v>591</v>
      </c>
      <c r="D1458" s="865" t="s">
        <v>686</v>
      </c>
      <c r="E1458" s="866">
        <v>2019.0</v>
      </c>
      <c r="F1458" s="865" t="s">
        <v>593</v>
      </c>
      <c r="G1458" s="865" t="s">
        <v>70</v>
      </c>
      <c r="H1458" s="867">
        <v>41290.53145</v>
      </c>
      <c r="I1458" s="867">
        <v>44207.67171</v>
      </c>
      <c r="J1458" s="868">
        <v>38396.81944</v>
      </c>
      <c r="K1458" s="50"/>
      <c r="L1458" s="869" t="s">
        <v>660</v>
      </c>
      <c r="M1458" s="865" t="s">
        <v>591</v>
      </c>
      <c r="N1458" s="865" t="s">
        <v>686</v>
      </c>
      <c r="O1458" s="866">
        <v>2004.0</v>
      </c>
      <c r="P1458" s="865" t="s">
        <v>593</v>
      </c>
      <c r="Q1458" s="865" t="s">
        <v>70</v>
      </c>
      <c r="R1458" s="867">
        <v>40345.27691</v>
      </c>
      <c r="S1458" s="867">
        <v>44172.58632</v>
      </c>
      <c r="T1458" s="868">
        <v>36779.871</v>
      </c>
      <c r="AN1458" s="882"/>
      <c r="AO1458" s="882"/>
      <c r="AP1458" s="882"/>
      <c r="AY1458" s="882"/>
      <c r="AZ1458" s="882"/>
      <c r="BA1458" s="882"/>
      <c r="BJ1458" s="882"/>
      <c r="BK1458" s="882"/>
      <c r="BL1458" s="882"/>
      <c r="BU1458" s="882"/>
      <c r="BV1458" s="882"/>
      <c r="BW1458" s="882"/>
      <c r="CF1458" s="882"/>
      <c r="CG1458" s="882"/>
      <c r="CH1458" s="882"/>
      <c r="CI1458" s="530"/>
    </row>
    <row r="1459">
      <c r="A1459" s="857"/>
      <c r="B1459" s="865" t="s">
        <v>660</v>
      </c>
      <c r="C1459" s="865" t="s">
        <v>591</v>
      </c>
      <c r="D1459" s="865" t="s">
        <v>688</v>
      </c>
      <c r="E1459" s="866">
        <v>2019.0</v>
      </c>
      <c r="F1459" s="865" t="s">
        <v>593</v>
      </c>
      <c r="G1459" s="865" t="s">
        <v>70</v>
      </c>
      <c r="H1459" s="867">
        <v>482959.0593</v>
      </c>
      <c r="I1459" s="867">
        <v>517079.6983</v>
      </c>
      <c r="J1459" s="868">
        <v>449112.4513</v>
      </c>
      <c r="K1459" s="50"/>
      <c r="L1459" s="869" t="s">
        <v>660</v>
      </c>
      <c r="M1459" s="865" t="s">
        <v>591</v>
      </c>
      <c r="N1459" s="865" t="s">
        <v>688</v>
      </c>
      <c r="O1459" s="866">
        <v>2004.0</v>
      </c>
      <c r="P1459" s="865" t="s">
        <v>593</v>
      </c>
      <c r="Q1459" s="865" t="s">
        <v>70</v>
      </c>
      <c r="R1459" s="867">
        <v>469061.5979</v>
      </c>
      <c r="S1459" s="867">
        <v>513558.5999</v>
      </c>
      <c r="T1459" s="868">
        <v>427609.534</v>
      </c>
      <c r="AN1459" s="882"/>
      <c r="AO1459" s="882"/>
      <c r="AP1459" s="882"/>
      <c r="AY1459" s="882"/>
      <c r="AZ1459" s="882"/>
      <c r="BA1459" s="882"/>
      <c r="BJ1459" s="882"/>
      <c r="BK1459" s="882"/>
      <c r="BL1459" s="882"/>
      <c r="BU1459" s="882"/>
      <c r="BV1459" s="882"/>
      <c r="BW1459" s="882"/>
      <c r="CF1459" s="882"/>
      <c r="CG1459" s="882"/>
      <c r="CH1459" s="882"/>
      <c r="CI1459" s="530"/>
    </row>
    <row r="1460">
      <c r="A1460" s="857"/>
      <c r="B1460" s="865" t="s">
        <v>660</v>
      </c>
      <c r="C1460" s="865" t="s">
        <v>591</v>
      </c>
      <c r="D1460" s="865" t="s">
        <v>689</v>
      </c>
      <c r="E1460" s="866">
        <v>2019.0</v>
      </c>
      <c r="F1460" s="865" t="s">
        <v>593</v>
      </c>
      <c r="G1460" s="865" t="s">
        <v>70</v>
      </c>
      <c r="H1460" s="867">
        <v>2586010.807</v>
      </c>
      <c r="I1460" s="867">
        <v>2768710.229</v>
      </c>
      <c r="J1460" s="868">
        <v>2404778.687</v>
      </c>
      <c r="K1460" s="50"/>
      <c r="L1460" s="869" t="s">
        <v>660</v>
      </c>
      <c r="M1460" s="865" t="s">
        <v>591</v>
      </c>
      <c r="N1460" s="865" t="s">
        <v>689</v>
      </c>
      <c r="O1460" s="866">
        <v>2004.0</v>
      </c>
      <c r="P1460" s="865" t="s">
        <v>593</v>
      </c>
      <c r="Q1460" s="865" t="s">
        <v>70</v>
      </c>
      <c r="R1460" s="867">
        <v>2304326.492</v>
      </c>
      <c r="S1460" s="867">
        <v>2522923.838</v>
      </c>
      <c r="T1460" s="868">
        <v>2100687.803</v>
      </c>
      <c r="AN1460" s="882"/>
      <c r="AO1460" s="882"/>
      <c r="AP1460" s="882"/>
      <c r="AY1460" s="882"/>
      <c r="AZ1460" s="882"/>
      <c r="BA1460" s="882"/>
      <c r="BJ1460" s="882"/>
      <c r="BK1460" s="882"/>
      <c r="BL1460" s="882"/>
      <c r="BU1460" s="882"/>
      <c r="BV1460" s="882"/>
      <c r="BW1460" s="882"/>
      <c r="CF1460" s="882"/>
      <c r="CG1460" s="882"/>
      <c r="CH1460" s="882"/>
      <c r="CI1460" s="530"/>
    </row>
    <row r="1461">
      <c r="A1461" s="857"/>
      <c r="B1461" s="865" t="s">
        <v>662</v>
      </c>
      <c r="C1461" s="865" t="s">
        <v>591</v>
      </c>
      <c r="D1461" s="865" t="s">
        <v>592</v>
      </c>
      <c r="E1461" s="866">
        <v>2019.0</v>
      </c>
      <c r="F1461" s="865" t="s">
        <v>593</v>
      </c>
      <c r="G1461" s="865" t="s">
        <v>70</v>
      </c>
      <c r="H1461" s="867">
        <v>902015.0283</v>
      </c>
      <c r="I1461" s="867">
        <v>1023462.044</v>
      </c>
      <c r="J1461" s="868">
        <v>787136.1344</v>
      </c>
      <c r="K1461" s="50"/>
      <c r="L1461" s="869" t="s">
        <v>662</v>
      </c>
      <c r="M1461" s="865" t="s">
        <v>591</v>
      </c>
      <c r="N1461" s="865" t="s">
        <v>592</v>
      </c>
      <c r="O1461" s="866">
        <v>2004.0</v>
      </c>
      <c r="P1461" s="865" t="s">
        <v>593</v>
      </c>
      <c r="Q1461" s="865" t="s">
        <v>70</v>
      </c>
      <c r="R1461" s="867">
        <v>571117.0016</v>
      </c>
      <c r="S1461" s="867">
        <v>629837.2975</v>
      </c>
      <c r="T1461" s="868">
        <v>519403.6863</v>
      </c>
      <c r="AN1461" s="882"/>
      <c r="AO1461" s="882"/>
      <c r="AP1461" s="882"/>
      <c r="AY1461" s="882"/>
      <c r="AZ1461" s="882"/>
      <c r="BA1461" s="882"/>
      <c r="BJ1461" s="882"/>
      <c r="BK1461" s="882"/>
      <c r="BL1461" s="882"/>
      <c r="BU1461" s="882"/>
      <c r="BV1461" s="882"/>
      <c r="BW1461" s="882"/>
      <c r="CF1461" s="882"/>
      <c r="CG1461" s="882"/>
      <c r="CH1461" s="882"/>
      <c r="CI1461" s="530"/>
    </row>
    <row r="1462">
      <c r="A1462" s="857"/>
      <c r="B1462" s="865" t="s">
        <v>662</v>
      </c>
      <c r="C1462" s="865" t="s">
        <v>591</v>
      </c>
      <c r="D1462" s="865" t="s">
        <v>601</v>
      </c>
      <c r="E1462" s="866">
        <v>2019.0</v>
      </c>
      <c r="F1462" s="865" t="s">
        <v>593</v>
      </c>
      <c r="G1462" s="865" t="s">
        <v>70</v>
      </c>
      <c r="H1462" s="867">
        <v>1.277574858E7</v>
      </c>
      <c r="I1462" s="867">
        <v>1.44958713E7</v>
      </c>
      <c r="J1462" s="868">
        <v>1.114865389E7</v>
      </c>
      <c r="K1462" s="50"/>
      <c r="L1462" s="869" t="s">
        <v>662</v>
      </c>
      <c r="M1462" s="865" t="s">
        <v>591</v>
      </c>
      <c r="N1462" s="865" t="s">
        <v>601</v>
      </c>
      <c r="O1462" s="866">
        <v>2004.0</v>
      </c>
      <c r="P1462" s="865" t="s">
        <v>593</v>
      </c>
      <c r="Q1462" s="865" t="s">
        <v>70</v>
      </c>
      <c r="R1462" s="867">
        <v>7397383.668</v>
      </c>
      <c r="S1462" s="867">
        <v>8157957.345</v>
      </c>
      <c r="T1462" s="868">
        <v>6727567.792</v>
      </c>
      <c r="AN1462" s="882"/>
      <c r="AO1462" s="882"/>
      <c r="AP1462" s="882"/>
      <c r="AY1462" s="882"/>
      <c r="AZ1462" s="882"/>
      <c r="BA1462" s="882"/>
      <c r="BJ1462" s="882"/>
      <c r="BK1462" s="882"/>
      <c r="BL1462" s="882"/>
      <c r="BU1462" s="882"/>
      <c r="BV1462" s="882"/>
      <c r="BW1462" s="882"/>
      <c r="CF1462" s="882"/>
      <c r="CG1462" s="882"/>
      <c r="CH1462" s="882"/>
      <c r="CI1462" s="530"/>
    </row>
    <row r="1463">
      <c r="A1463" s="857"/>
      <c r="B1463" s="865" t="s">
        <v>662</v>
      </c>
      <c r="C1463" s="865" t="s">
        <v>591</v>
      </c>
      <c r="D1463" s="865" t="s">
        <v>606</v>
      </c>
      <c r="E1463" s="866">
        <v>2019.0</v>
      </c>
      <c r="F1463" s="865" t="s">
        <v>593</v>
      </c>
      <c r="G1463" s="865" t="s">
        <v>70</v>
      </c>
      <c r="H1463" s="867">
        <v>1.032664194E7</v>
      </c>
      <c r="I1463" s="867">
        <v>1.171701772E7</v>
      </c>
      <c r="J1463" s="868">
        <v>9011460.743</v>
      </c>
      <c r="K1463" s="50"/>
      <c r="L1463" s="869" t="s">
        <v>662</v>
      </c>
      <c r="M1463" s="865" t="s">
        <v>591</v>
      </c>
      <c r="N1463" s="865" t="s">
        <v>606</v>
      </c>
      <c r="O1463" s="866">
        <v>2004.0</v>
      </c>
      <c r="P1463" s="865" t="s">
        <v>593</v>
      </c>
      <c r="Q1463" s="865" t="s">
        <v>70</v>
      </c>
      <c r="R1463" s="867">
        <v>6105186.81</v>
      </c>
      <c r="S1463" s="867">
        <v>6732901.228</v>
      </c>
      <c r="T1463" s="868">
        <v>5552376.353</v>
      </c>
      <c r="AN1463" s="882"/>
      <c r="AO1463" s="882"/>
      <c r="AP1463" s="882"/>
      <c r="AY1463" s="882"/>
      <c r="AZ1463" s="882"/>
      <c r="BA1463" s="882"/>
      <c r="BJ1463" s="882"/>
      <c r="BK1463" s="882"/>
      <c r="BL1463" s="882"/>
      <c r="BU1463" s="882"/>
      <c r="BV1463" s="882"/>
      <c r="BW1463" s="882"/>
      <c r="CF1463" s="882"/>
      <c r="CG1463" s="882"/>
      <c r="CH1463" s="882"/>
      <c r="CI1463" s="530"/>
    </row>
    <row r="1464">
      <c r="A1464" s="857"/>
      <c r="B1464" s="865" t="s">
        <v>662</v>
      </c>
      <c r="C1464" s="865" t="s">
        <v>591</v>
      </c>
      <c r="D1464" s="865" t="s">
        <v>608</v>
      </c>
      <c r="E1464" s="866">
        <v>2019.0</v>
      </c>
      <c r="F1464" s="865" t="s">
        <v>593</v>
      </c>
      <c r="G1464" s="865" t="s">
        <v>70</v>
      </c>
      <c r="H1464" s="867">
        <v>3162317.063</v>
      </c>
      <c r="I1464" s="867">
        <v>3588090.425</v>
      </c>
      <c r="J1464" s="868">
        <v>2759570.462</v>
      </c>
      <c r="K1464" s="50"/>
      <c r="L1464" s="869" t="s">
        <v>662</v>
      </c>
      <c r="M1464" s="865" t="s">
        <v>591</v>
      </c>
      <c r="N1464" s="865" t="s">
        <v>608</v>
      </c>
      <c r="O1464" s="866">
        <v>2004.0</v>
      </c>
      <c r="P1464" s="865" t="s">
        <v>593</v>
      </c>
      <c r="Q1464" s="865" t="s">
        <v>70</v>
      </c>
      <c r="R1464" s="867">
        <v>1950197.773</v>
      </c>
      <c r="S1464" s="867">
        <v>2150710.435</v>
      </c>
      <c r="T1464" s="868">
        <v>1773611.903</v>
      </c>
      <c r="AN1464" s="882"/>
      <c r="AO1464" s="882"/>
      <c r="AP1464" s="882"/>
      <c r="AY1464" s="882"/>
      <c r="AZ1464" s="882"/>
      <c r="BA1464" s="882"/>
      <c r="BJ1464" s="882"/>
      <c r="BK1464" s="882"/>
      <c r="BL1464" s="882"/>
      <c r="BU1464" s="882"/>
      <c r="BV1464" s="882"/>
      <c r="BW1464" s="882"/>
      <c r="CF1464" s="882"/>
      <c r="CG1464" s="882"/>
      <c r="CH1464" s="882"/>
      <c r="CI1464" s="530"/>
    </row>
    <row r="1465">
      <c r="A1465" s="857"/>
      <c r="B1465" s="865" t="s">
        <v>662</v>
      </c>
      <c r="C1465" s="865" t="s">
        <v>591</v>
      </c>
      <c r="D1465" s="865" t="s">
        <v>610</v>
      </c>
      <c r="E1465" s="866">
        <v>2019.0</v>
      </c>
      <c r="F1465" s="865" t="s">
        <v>593</v>
      </c>
      <c r="G1465" s="865" t="s">
        <v>70</v>
      </c>
      <c r="H1465" s="867">
        <v>2875320.503</v>
      </c>
      <c r="I1465" s="867">
        <v>3262452.74</v>
      </c>
      <c r="J1465" s="868">
        <v>2509125.231</v>
      </c>
      <c r="K1465" s="50"/>
      <c r="L1465" s="869" t="s">
        <v>662</v>
      </c>
      <c r="M1465" s="865" t="s">
        <v>591</v>
      </c>
      <c r="N1465" s="865" t="s">
        <v>610</v>
      </c>
      <c r="O1465" s="866">
        <v>2004.0</v>
      </c>
      <c r="P1465" s="865" t="s">
        <v>593</v>
      </c>
      <c r="Q1465" s="865" t="s">
        <v>70</v>
      </c>
      <c r="R1465" s="867">
        <v>1578641.581</v>
      </c>
      <c r="S1465" s="867">
        <v>1740952.106</v>
      </c>
      <c r="T1465" s="868">
        <v>1435699.259</v>
      </c>
      <c r="AN1465" s="882"/>
      <c r="AO1465" s="882"/>
      <c r="AP1465" s="882"/>
      <c r="AY1465" s="882"/>
      <c r="AZ1465" s="882"/>
      <c r="BA1465" s="882"/>
      <c r="BJ1465" s="882"/>
      <c r="BK1465" s="882"/>
      <c r="BL1465" s="882"/>
      <c r="BU1465" s="882"/>
      <c r="BV1465" s="882"/>
      <c r="BW1465" s="882"/>
      <c r="CF1465" s="882"/>
      <c r="CG1465" s="882"/>
      <c r="CH1465" s="882"/>
      <c r="CI1465" s="530"/>
    </row>
    <row r="1466">
      <c r="A1466" s="857"/>
      <c r="B1466" s="865" t="s">
        <v>662</v>
      </c>
      <c r="C1466" s="865" t="s">
        <v>591</v>
      </c>
      <c r="D1466" s="865" t="s">
        <v>612</v>
      </c>
      <c r="E1466" s="866">
        <v>2019.0</v>
      </c>
      <c r="F1466" s="865" t="s">
        <v>593</v>
      </c>
      <c r="G1466" s="865" t="s">
        <v>70</v>
      </c>
      <c r="H1466" s="867">
        <v>5324427.148</v>
      </c>
      <c r="I1466" s="867">
        <v>6041306.323</v>
      </c>
      <c r="J1466" s="868">
        <v>4646318.378</v>
      </c>
      <c r="K1466" s="50"/>
      <c r="L1466" s="869" t="s">
        <v>662</v>
      </c>
      <c r="M1466" s="865" t="s">
        <v>591</v>
      </c>
      <c r="N1466" s="865" t="s">
        <v>612</v>
      </c>
      <c r="O1466" s="866">
        <v>2004.0</v>
      </c>
      <c r="P1466" s="865" t="s">
        <v>593</v>
      </c>
      <c r="Q1466" s="865" t="s">
        <v>70</v>
      </c>
      <c r="R1466" s="867">
        <v>2870838.438</v>
      </c>
      <c r="S1466" s="867">
        <v>3166008.223</v>
      </c>
      <c r="T1466" s="868">
        <v>2610890.698</v>
      </c>
      <c r="AN1466" s="882"/>
      <c r="AO1466" s="882"/>
      <c r="AP1466" s="882"/>
      <c r="AY1466" s="882"/>
      <c r="AZ1466" s="882"/>
      <c r="BA1466" s="882"/>
      <c r="BJ1466" s="882"/>
      <c r="BK1466" s="882"/>
      <c r="BL1466" s="882"/>
      <c r="BU1466" s="882"/>
      <c r="BV1466" s="882"/>
      <c r="BW1466" s="882"/>
      <c r="CF1466" s="882"/>
      <c r="CG1466" s="882"/>
      <c r="CH1466" s="882"/>
      <c r="CI1466" s="530"/>
    </row>
    <row r="1467">
      <c r="A1467" s="857"/>
      <c r="B1467" s="865" t="s">
        <v>662</v>
      </c>
      <c r="C1467" s="865" t="s">
        <v>591</v>
      </c>
      <c r="D1467" s="865" t="s">
        <v>614</v>
      </c>
      <c r="E1467" s="866">
        <v>2019.0</v>
      </c>
      <c r="F1467" s="865" t="s">
        <v>593</v>
      </c>
      <c r="G1467" s="865" t="s">
        <v>70</v>
      </c>
      <c r="H1467" s="867">
        <v>7296845.167</v>
      </c>
      <c r="I1467" s="867">
        <v>8279290.076</v>
      </c>
      <c r="J1467" s="868">
        <v>6367533.043</v>
      </c>
      <c r="K1467" s="50"/>
      <c r="L1467" s="869" t="s">
        <v>662</v>
      </c>
      <c r="M1467" s="865" t="s">
        <v>591</v>
      </c>
      <c r="N1467" s="865" t="s">
        <v>614</v>
      </c>
      <c r="O1467" s="866">
        <v>2004.0</v>
      </c>
      <c r="P1467" s="865" t="s">
        <v>593</v>
      </c>
      <c r="Q1467" s="865" t="s">
        <v>70</v>
      </c>
      <c r="R1467" s="867">
        <v>3929000.455</v>
      </c>
      <c r="S1467" s="867">
        <v>4332966.838</v>
      </c>
      <c r="T1467" s="868">
        <v>3573238.608</v>
      </c>
      <c r="AN1467" s="882"/>
      <c r="AO1467" s="882"/>
      <c r="AP1467" s="882"/>
      <c r="AY1467" s="882"/>
      <c r="AZ1467" s="882"/>
      <c r="BA1467" s="882"/>
      <c r="BJ1467" s="882"/>
      <c r="BK1467" s="882"/>
      <c r="BL1467" s="882"/>
      <c r="BU1467" s="882"/>
      <c r="BV1467" s="882"/>
      <c r="BW1467" s="882"/>
      <c r="CF1467" s="882"/>
      <c r="CG1467" s="882"/>
      <c r="CH1467" s="882"/>
      <c r="CI1467" s="530"/>
    </row>
    <row r="1468">
      <c r="A1468" s="857"/>
      <c r="B1468" s="865" t="s">
        <v>662</v>
      </c>
      <c r="C1468" s="865" t="s">
        <v>591</v>
      </c>
      <c r="D1468" s="865" t="s">
        <v>616</v>
      </c>
      <c r="E1468" s="866">
        <v>2019.0</v>
      </c>
      <c r="F1468" s="865" t="s">
        <v>593</v>
      </c>
      <c r="G1468" s="865" t="s">
        <v>70</v>
      </c>
      <c r="H1468" s="867">
        <v>2449106.645</v>
      </c>
      <c r="I1468" s="867">
        <v>2778853.583</v>
      </c>
      <c r="J1468" s="868">
        <v>2137193.147</v>
      </c>
      <c r="K1468" s="50"/>
      <c r="L1468" s="869" t="s">
        <v>662</v>
      </c>
      <c r="M1468" s="865" t="s">
        <v>591</v>
      </c>
      <c r="N1468" s="865" t="s">
        <v>616</v>
      </c>
      <c r="O1468" s="866">
        <v>2004.0</v>
      </c>
      <c r="P1468" s="865" t="s">
        <v>593</v>
      </c>
      <c r="Q1468" s="865" t="s">
        <v>70</v>
      </c>
      <c r="R1468" s="867">
        <v>1292196.857</v>
      </c>
      <c r="S1468" s="867">
        <v>1425056.117</v>
      </c>
      <c r="T1468" s="868">
        <v>1175191.439</v>
      </c>
      <c r="AN1468" s="882"/>
      <c r="AO1468" s="882"/>
      <c r="AP1468" s="882"/>
      <c r="AY1468" s="882"/>
      <c r="AZ1468" s="882"/>
      <c r="BA1468" s="882"/>
      <c r="BJ1468" s="882"/>
      <c r="BK1468" s="882"/>
      <c r="BL1468" s="882"/>
      <c r="BU1468" s="882"/>
      <c r="BV1468" s="882"/>
      <c r="BW1468" s="882"/>
      <c r="CF1468" s="882"/>
      <c r="CG1468" s="882"/>
      <c r="CH1468" s="882"/>
      <c r="CI1468" s="530"/>
    </row>
    <row r="1469">
      <c r="A1469" s="857"/>
      <c r="B1469" s="865" t="s">
        <v>662</v>
      </c>
      <c r="C1469" s="865" t="s">
        <v>591</v>
      </c>
      <c r="D1469" s="865" t="s">
        <v>618</v>
      </c>
      <c r="E1469" s="866">
        <v>2019.0</v>
      </c>
      <c r="F1469" s="865" t="s">
        <v>593</v>
      </c>
      <c r="G1469" s="865" t="s">
        <v>70</v>
      </c>
      <c r="H1469" s="867">
        <v>8173574.488</v>
      </c>
      <c r="I1469" s="867">
        <v>9275162.007</v>
      </c>
      <c r="J1469" s="868">
        <v>7132993.324</v>
      </c>
      <c r="K1469" s="50"/>
      <c r="L1469" s="869" t="s">
        <v>662</v>
      </c>
      <c r="M1469" s="865" t="s">
        <v>591</v>
      </c>
      <c r="N1469" s="865" t="s">
        <v>618</v>
      </c>
      <c r="O1469" s="866">
        <v>2004.0</v>
      </c>
      <c r="P1469" s="865" t="s">
        <v>593</v>
      </c>
      <c r="Q1469" s="865" t="s">
        <v>70</v>
      </c>
      <c r="R1469" s="867">
        <v>4514063.537</v>
      </c>
      <c r="S1469" s="867">
        <v>4978705.636</v>
      </c>
      <c r="T1469" s="868">
        <v>4105493.825</v>
      </c>
      <c r="AN1469" s="882"/>
      <c r="AO1469" s="882"/>
      <c r="AP1469" s="882"/>
      <c r="AY1469" s="882"/>
      <c r="AZ1469" s="882"/>
      <c r="BA1469" s="882"/>
      <c r="BJ1469" s="882"/>
      <c r="BK1469" s="882"/>
      <c r="BL1469" s="882"/>
      <c r="BU1469" s="882"/>
      <c r="BV1469" s="882"/>
      <c r="BW1469" s="882"/>
      <c r="CF1469" s="882"/>
      <c r="CG1469" s="882"/>
      <c r="CH1469" s="882"/>
      <c r="CI1469" s="530"/>
    </row>
    <row r="1470">
      <c r="A1470" s="857"/>
      <c r="B1470" s="865" t="s">
        <v>662</v>
      </c>
      <c r="C1470" s="865" t="s">
        <v>591</v>
      </c>
      <c r="D1470" s="865" t="s">
        <v>620</v>
      </c>
      <c r="E1470" s="866">
        <v>2019.0</v>
      </c>
      <c r="F1470" s="865" t="s">
        <v>593</v>
      </c>
      <c r="G1470" s="865" t="s">
        <v>70</v>
      </c>
      <c r="H1470" s="867">
        <v>9656297.865</v>
      </c>
      <c r="I1470" s="867">
        <v>1.095641873E7</v>
      </c>
      <c r="J1470" s="868">
        <v>8426490.398</v>
      </c>
      <c r="K1470" s="50"/>
      <c r="L1470" s="869" t="s">
        <v>662</v>
      </c>
      <c r="M1470" s="865" t="s">
        <v>591</v>
      </c>
      <c r="N1470" s="865" t="s">
        <v>620</v>
      </c>
      <c r="O1470" s="866">
        <v>2004.0</v>
      </c>
      <c r="P1470" s="865" t="s">
        <v>593</v>
      </c>
      <c r="Q1470" s="865" t="s">
        <v>70</v>
      </c>
      <c r="R1470" s="867">
        <v>5401105.985</v>
      </c>
      <c r="S1470" s="867">
        <v>5956429.221</v>
      </c>
      <c r="T1470" s="868">
        <v>4912048.408</v>
      </c>
      <c r="AN1470" s="882"/>
      <c r="AO1470" s="882"/>
      <c r="AP1470" s="882"/>
      <c r="AY1470" s="882"/>
      <c r="AZ1470" s="882"/>
      <c r="BA1470" s="882"/>
      <c r="BJ1470" s="882"/>
      <c r="BK1470" s="882"/>
      <c r="BL1470" s="882"/>
      <c r="BU1470" s="882"/>
      <c r="BV1470" s="882"/>
      <c r="BW1470" s="882"/>
      <c r="CF1470" s="882"/>
      <c r="CG1470" s="882"/>
      <c r="CH1470" s="882"/>
      <c r="CI1470" s="530"/>
    </row>
    <row r="1471">
      <c r="A1471" s="857"/>
      <c r="B1471" s="865" t="s">
        <v>662</v>
      </c>
      <c r="C1471" s="865" t="s">
        <v>591</v>
      </c>
      <c r="D1471" s="865" t="s">
        <v>622</v>
      </c>
      <c r="E1471" s="866">
        <v>2019.0</v>
      </c>
      <c r="F1471" s="865" t="s">
        <v>593</v>
      </c>
      <c r="G1471" s="865" t="s">
        <v>70</v>
      </c>
      <c r="H1471" s="867">
        <v>9140955.268</v>
      </c>
      <c r="I1471" s="867">
        <v>1.037292082E7</v>
      </c>
      <c r="J1471" s="868">
        <v>7977216.455</v>
      </c>
      <c r="K1471" s="50"/>
      <c r="L1471" s="869" t="s">
        <v>662</v>
      </c>
      <c r="M1471" s="865" t="s">
        <v>591</v>
      </c>
      <c r="N1471" s="865" t="s">
        <v>622</v>
      </c>
      <c r="O1471" s="866">
        <v>2004.0</v>
      </c>
      <c r="P1471" s="865" t="s">
        <v>593</v>
      </c>
      <c r="Q1471" s="865" t="s">
        <v>70</v>
      </c>
      <c r="R1471" s="867">
        <v>5338363.443</v>
      </c>
      <c r="S1471" s="867">
        <v>5887852.472</v>
      </c>
      <c r="T1471" s="868">
        <v>4855186.014</v>
      </c>
      <c r="AN1471" s="882"/>
      <c r="AO1471" s="882"/>
      <c r="AP1471" s="882"/>
      <c r="AY1471" s="882"/>
      <c r="AZ1471" s="882"/>
      <c r="BA1471" s="882"/>
      <c r="BJ1471" s="882"/>
      <c r="BK1471" s="882"/>
      <c r="BL1471" s="882"/>
      <c r="BU1471" s="882"/>
      <c r="BV1471" s="882"/>
      <c r="BW1471" s="882"/>
      <c r="CF1471" s="882"/>
      <c r="CG1471" s="882"/>
      <c r="CH1471" s="882"/>
      <c r="CI1471" s="530"/>
    </row>
    <row r="1472">
      <c r="A1472" s="857"/>
      <c r="B1472" s="865" t="s">
        <v>662</v>
      </c>
      <c r="C1472" s="865" t="s">
        <v>591</v>
      </c>
      <c r="D1472" s="865" t="s">
        <v>624</v>
      </c>
      <c r="E1472" s="866">
        <v>2019.0</v>
      </c>
      <c r="F1472" s="865" t="s">
        <v>593</v>
      </c>
      <c r="G1472" s="865" t="s">
        <v>70</v>
      </c>
      <c r="H1472" s="867">
        <v>1972418.019</v>
      </c>
      <c r="I1472" s="867">
        <v>2237983.753</v>
      </c>
      <c r="J1472" s="868">
        <v>1721214.665</v>
      </c>
      <c r="K1472" s="50"/>
      <c r="L1472" s="869" t="s">
        <v>662</v>
      </c>
      <c r="M1472" s="865" t="s">
        <v>591</v>
      </c>
      <c r="N1472" s="865" t="s">
        <v>624</v>
      </c>
      <c r="O1472" s="866">
        <v>2004.0</v>
      </c>
      <c r="P1472" s="865" t="s">
        <v>593</v>
      </c>
      <c r="Q1472" s="865" t="s">
        <v>70</v>
      </c>
      <c r="R1472" s="867">
        <v>1058162.017</v>
      </c>
      <c r="S1472" s="867">
        <v>1166958.615</v>
      </c>
      <c r="T1472" s="868">
        <v>962347.9092</v>
      </c>
      <c r="AN1472" s="882"/>
      <c r="AO1472" s="882"/>
      <c r="AP1472" s="882"/>
      <c r="AY1472" s="882"/>
      <c r="AZ1472" s="882"/>
      <c r="BA1472" s="882"/>
      <c r="BJ1472" s="882"/>
      <c r="BK1472" s="882"/>
      <c r="BL1472" s="882"/>
      <c r="BU1472" s="882"/>
      <c r="BV1472" s="882"/>
      <c r="BW1472" s="882"/>
      <c r="CF1472" s="882"/>
      <c r="CG1472" s="882"/>
      <c r="CH1472" s="882"/>
      <c r="CI1472" s="530"/>
    </row>
    <row r="1473">
      <c r="A1473" s="857"/>
      <c r="B1473" s="865" t="s">
        <v>662</v>
      </c>
      <c r="C1473" s="865" t="s">
        <v>591</v>
      </c>
      <c r="D1473" s="865" t="s">
        <v>625</v>
      </c>
      <c r="E1473" s="866">
        <v>2019.0</v>
      </c>
      <c r="F1473" s="865" t="s">
        <v>593</v>
      </c>
      <c r="G1473" s="865" t="s">
        <v>70</v>
      </c>
      <c r="H1473" s="867">
        <v>7169300.384</v>
      </c>
      <c r="I1473" s="867">
        <v>8134572.704</v>
      </c>
      <c r="J1473" s="868">
        <v>6256232.118</v>
      </c>
      <c r="K1473" s="50"/>
      <c r="L1473" s="869" t="s">
        <v>662</v>
      </c>
      <c r="M1473" s="865" t="s">
        <v>591</v>
      </c>
      <c r="N1473" s="865" t="s">
        <v>625</v>
      </c>
      <c r="O1473" s="866">
        <v>2004.0</v>
      </c>
      <c r="P1473" s="865" t="s">
        <v>593</v>
      </c>
      <c r="Q1473" s="865" t="s">
        <v>70</v>
      </c>
      <c r="R1473" s="867">
        <v>4280521.995</v>
      </c>
      <c r="S1473" s="867">
        <v>4720630.62</v>
      </c>
      <c r="T1473" s="868">
        <v>3892930.69</v>
      </c>
      <c r="AN1473" s="882"/>
      <c r="AO1473" s="882"/>
      <c r="AP1473" s="882"/>
      <c r="AY1473" s="882"/>
      <c r="AZ1473" s="882"/>
      <c r="BA1473" s="882"/>
      <c r="BJ1473" s="882"/>
      <c r="BK1473" s="882"/>
      <c r="BL1473" s="882"/>
      <c r="BU1473" s="882"/>
      <c r="BV1473" s="882"/>
      <c r="BW1473" s="882"/>
      <c r="CF1473" s="882"/>
      <c r="CG1473" s="882"/>
      <c r="CH1473" s="882"/>
      <c r="CI1473" s="530"/>
    </row>
    <row r="1474">
      <c r="A1474" s="857"/>
      <c r="B1474" s="865" t="s">
        <v>662</v>
      </c>
      <c r="C1474" s="865" t="s">
        <v>591</v>
      </c>
      <c r="D1474" s="865" t="s">
        <v>627</v>
      </c>
      <c r="E1474" s="866">
        <v>2019.0</v>
      </c>
      <c r="F1474" s="865" t="s">
        <v>593</v>
      </c>
      <c r="G1474" s="865" t="s">
        <v>70</v>
      </c>
      <c r="H1474" s="867">
        <v>1539766.998</v>
      </c>
      <c r="I1474" s="867">
        <v>1747080.736</v>
      </c>
      <c r="J1474" s="868">
        <v>1343665.244</v>
      </c>
      <c r="K1474" s="50"/>
      <c r="L1474" s="869" t="s">
        <v>662</v>
      </c>
      <c r="M1474" s="865" t="s">
        <v>591</v>
      </c>
      <c r="N1474" s="865" t="s">
        <v>627</v>
      </c>
      <c r="O1474" s="866">
        <v>2004.0</v>
      </c>
      <c r="P1474" s="865" t="s">
        <v>593</v>
      </c>
      <c r="Q1474" s="865" t="s">
        <v>70</v>
      </c>
      <c r="R1474" s="867">
        <v>870618.9406</v>
      </c>
      <c r="S1474" s="867">
        <v>960133.001</v>
      </c>
      <c r="T1474" s="868">
        <v>791786.4217</v>
      </c>
      <c r="AN1474" s="882"/>
      <c r="AO1474" s="882"/>
      <c r="AP1474" s="882"/>
      <c r="AY1474" s="882"/>
      <c r="AZ1474" s="882"/>
      <c r="BA1474" s="882"/>
      <c r="BJ1474" s="882"/>
      <c r="BK1474" s="882"/>
      <c r="BL1474" s="882"/>
      <c r="BU1474" s="882"/>
      <c r="BV1474" s="882"/>
      <c r="BW1474" s="882"/>
      <c r="CF1474" s="882"/>
      <c r="CG1474" s="882"/>
      <c r="CH1474" s="882"/>
      <c r="CI1474" s="530"/>
    </row>
    <row r="1475">
      <c r="A1475" s="857"/>
      <c r="B1475" s="865" t="s">
        <v>662</v>
      </c>
      <c r="C1475" s="865" t="s">
        <v>591</v>
      </c>
      <c r="D1475" s="865" t="s">
        <v>629</v>
      </c>
      <c r="E1475" s="866">
        <v>2019.0</v>
      </c>
      <c r="F1475" s="865" t="s">
        <v>593</v>
      </c>
      <c r="G1475" s="865" t="s">
        <v>70</v>
      </c>
      <c r="H1475" s="867">
        <v>5234336.212</v>
      </c>
      <c r="I1475" s="867">
        <v>5939790.043</v>
      </c>
      <c r="J1475" s="868">
        <v>4567950.693</v>
      </c>
      <c r="K1475" s="50"/>
      <c r="L1475" s="869" t="s">
        <v>662</v>
      </c>
      <c r="M1475" s="865" t="s">
        <v>591</v>
      </c>
      <c r="N1475" s="865" t="s">
        <v>629</v>
      </c>
      <c r="O1475" s="866">
        <v>2004.0</v>
      </c>
      <c r="P1475" s="865" t="s">
        <v>593</v>
      </c>
      <c r="Q1475" s="865" t="s">
        <v>70</v>
      </c>
      <c r="R1475" s="867">
        <v>3050563.924</v>
      </c>
      <c r="S1475" s="867">
        <v>3364564.915</v>
      </c>
      <c r="T1475" s="868">
        <v>2774456.152</v>
      </c>
      <c r="AN1475" s="882"/>
      <c r="AO1475" s="882"/>
      <c r="AP1475" s="882"/>
      <c r="AY1475" s="882"/>
      <c r="AZ1475" s="882"/>
      <c r="BA1475" s="882"/>
      <c r="BJ1475" s="882"/>
      <c r="BK1475" s="882"/>
      <c r="BL1475" s="882"/>
      <c r="BU1475" s="882"/>
      <c r="BV1475" s="882"/>
      <c r="BW1475" s="882"/>
      <c r="CF1475" s="882"/>
      <c r="CG1475" s="882"/>
      <c r="CH1475" s="882"/>
      <c r="CI1475" s="530"/>
    </row>
    <row r="1476">
      <c r="A1476" s="857"/>
      <c r="B1476" s="865" t="s">
        <v>662</v>
      </c>
      <c r="C1476" s="865" t="s">
        <v>591</v>
      </c>
      <c r="D1476" s="865" t="s">
        <v>631</v>
      </c>
      <c r="E1476" s="866">
        <v>2019.0</v>
      </c>
      <c r="F1476" s="865" t="s">
        <v>593</v>
      </c>
      <c r="G1476" s="865" t="s">
        <v>70</v>
      </c>
      <c r="H1476" s="867">
        <v>1218996.013</v>
      </c>
      <c r="I1476" s="867">
        <v>1383121.248</v>
      </c>
      <c r="J1476" s="868">
        <v>1063747.033</v>
      </c>
      <c r="K1476" s="50"/>
      <c r="L1476" s="869" t="s">
        <v>662</v>
      </c>
      <c r="M1476" s="865" t="s">
        <v>591</v>
      </c>
      <c r="N1476" s="865" t="s">
        <v>631</v>
      </c>
      <c r="O1476" s="866">
        <v>2004.0</v>
      </c>
      <c r="P1476" s="865" t="s">
        <v>593</v>
      </c>
      <c r="Q1476" s="865" t="s">
        <v>70</v>
      </c>
      <c r="R1476" s="867">
        <v>710178.3322</v>
      </c>
      <c r="S1476" s="867">
        <v>783196.4383</v>
      </c>
      <c r="T1476" s="868">
        <v>645873.337</v>
      </c>
      <c r="AN1476" s="882"/>
      <c r="AO1476" s="882"/>
      <c r="AP1476" s="882"/>
      <c r="AY1476" s="882"/>
      <c r="AZ1476" s="882"/>
      <c r="BA1476" s="882"/>
      <c r="BJ1476" s="882"/>
      <c r="BK1476" s="882"/>
      <c r="BL1476" s="882"/>
      <c r="BU1476" s="882"/>
      <c r="BV1476" s="882"/>
      <c r="BW1476" s="882"/>
      <c r="CF1476" s="882"/>
      <c r="CG1476" s="882"/>
      <c r="CH1476" s="882"/>
      <c r="CI1476" s="530"/>
    </row>
    <row r="1477">
      <c r="A1477" s="857"/>
      <c r="B1477" s="865" t="s">
        <v>662</v>
      </c>
      <c r="C1477" s="865" t="s">
        <v>591</v>
      </c>
      <c r="D1477" s="865" t="s">
        <v>633</v>
      </c>
      <c r="E1477" s="866">
        <v>2019.0</v>
      </c>
      <c r="F1477" s="865" t="s">
        <v>593</v>
      </c>
      <c r="G1477" s="865" t="s">
        <v>70</v>
      </c>
      <c r="H1477" s="867">
        <v>993969.1856</v>
      </c>
      <c r="I1477" s="867">
        <v>1127796.88</v>
      </c>
      <c r="J1477" s="868">
        <v>867379.1877</v>
      </c>
      <c r="K1477" s="50"/>
      <c r="L1477" s="869" t="s">
        <v>662</v>
      </c>
      <c r="M1477" s="865" t="s">
        <v>591</v>
      </c>
      <c r="N1477" s="865" t="s">
        <v>633</v>
      </c>
      <c r="O1477" s="866">
        <v>2004.0</v>
      </c>
      <c r="P1477" s="865" t="s">
        <v>593</v>
      </c>
      <c r="Q1477" s="865" t="s">
        <v>70</v>
      </c>
      <c r="R1477" s="867">
        <v>583178.4601</v>
      </c>
      <c r="S1477" s="867">
        <v>643138.8738</v>
      </c>
      <c r="T1477" s="868">
        <v>530373.0077</v>
      </c>
      <c r="AN1477" s="882"/>
      <c r="AO1477" s="882"/>
      <c r="AP1477" s="882"/>
      <c r="AY1477" s="882"/>
      <c r="AZ1477" s="882"/>
      <c r="BA1477" s="882"/>
      <c r="BJ1477" s="882"/>
      <c r="BK1477" s="882"/>
      <c r="BL1477" s="882"/>
      <c r="BU1477" s="882"/>
      <c r="BV1477" s="882"/>
      <c r="BW1477" s="882"/>
      <c r="CF1477" s="882"/>
      <c r="CG1477" s="882"/>
      <c r="CH1477" s="882"/>
      <c r="CI1477" s="530"/>
    </row>
    <row r="1478">
      <c r="A1478" s="857"/>
      <c r="B1478" s="865" t="s">
        <v>662</v>
      </c>
      <c r="C1478" s="865" t="s">
        <v>591</v>
      </c>
      <c r="D1478" s="865" t="s">
        <v>635</v>
      </c>
      <c r="E1478" s="866">
        <v>2019.0</v>
      </c>
      <c r="F1478" s="865" t="s">
        <v>593</v>
      </c>
      <c r="G1478" s="865" t="s">
        <v>70</v>
      </c>
      <c r="H1478" s="867">
        <v>818125.4342</v>
      </c>
      <c r="I1478" s="867">
        <v>928277.5821</v>
      </c>
      <c r="J1478" s="868">
        <v>713930.5572</v>
      </c>
      <c r="K1478" s="50"/>
      <c r="L1478" s="869" t="s">
        <v>662</v>
      </c>
      <c r="M1478" s="865" t="s">
        <v>591</v>
      </c>
      <c r="N1478" s="865" t="s">
        <v>635</v>
      </c>
      <c r="O1478" s="866">
        <v>2004.0</v>
      </c>
      <c r="P1478" s="865" t="s">
        <v>593</v>
      </c>
      <c r="Q1478" s="865" t="s">
        <v>70</v>
      </c>
      <c r="R1478" s="867">
        <v>484788.5385</v>
      </c>
      <c r="S1478" s="867">
        <v>534632.8372</v>
      </c>
      <c r="T1478" s="868">
        <v>440892.0646</v>
      </c>
      <c r="AN1478" s="882"/>
      <c r="AO1478" s="882"/>
      <c r="AP1478" s="882"/>
      <c r="AY1478" s="882"/>
      <c r="AZ1478" s="882"/>
      <c r="BA1478" s="882"/>
      <c r="BJ1478" s="882"/>
      <c r="BK1478" s="882"/>
      <c r="BL1478" s="882"/>
      <c r="BU1478" s="882"/>
      <c r="BV1478" s="882"/>
      <c r="BW1478" s="882"/>
      <c r="CF1478" s="882"/>
      <c r="CG1478" s="882"/>
      <c r="CH1478" s="882"/>
      <c r="CI1478" s="530"/>
    </row>
    <row r="1479">
      <c r="A1479" s="857"/>
      <c r="B1479" s="865" t="s">
        <v>662</v>
      </c>
      <c r="C1479" s="865" t="s">
        <v>591</v>
      </c>
      <c r="D1479" s="865" t="s">
        <v>637</v>
      </c>
      <c r="E1479" s="866">
        <v>2019.0</v>
      </c>
      <c r="F1479" s="865" t="s">
        <v>593</v>
      </c>
      <c r="G1479" s="865" t="s">
        <v>70</v>
      </c>
      <c r="H1479" s="867">
        <v>663915.5701</v>
      </c>
      <c r="I1479" s="867">
        <v>753304.9509</v>
      </c>
      <c r="J1479" s="868">
        <v>579360.5639</v>
      </c>
      <c r="K1479" s="50"/>
      <c r="L1479" s="869" t="s">
        <v>662</v>
      </c>
      <c r="M1479" s="865" t="s">
        <v>591</v>
      </c>
      <c r="N1479" s="865" t="s">
        <v>637</v>
      </c>
      <c r="O1479" s="866">
        <v>2004.0</v>
      </c>
      <c r="P1479" s="865" t="s">
        <v>593</v>
      </c>
      <c r="Q1479" s="865" t="s">
        <v>70</v>
      </c>
      <c r="R1479" s="867">
        <v>401982.839</v>
      </c>
      <c r="S1479" s="867">
        <v>443313.3391</v>
      </c>
      <c r="T1479" s="868">
        <v>365584.2285</v>
      </c>
      <c r="AN1479" s="882"/>
      <c r="AO1479" s="882"/>
      <c r="AP1479" s="882"/>
      <c r="AY1479" s="882"/>
      <c r="AZ1479" s="882"/>
      <c r="BA1479" s="882"/>
      <c r="BJ1479" s="882"/>
      <c r="BK1479" s="882"/>
      <c r="BL1479" s="882"/>
      <c r="BU1479" s="882"/>
      <c r="BV1479" s="882"/>
      <c r="BW1479" s="882"/>
      <c r="CF1479" s="882"/>
      <c r="CG1479" s="882"/>
      <c r="CH1479" s="882"/>
      <c r="CI1479" s="530"/>
    </row>
    <row r="1480">
      <c r="A1480" s="857"/>
      <c r="B1480" s="865" t="s">
        <v>662</v>
      </c>
      <c r="C1480" s="865" t="s">
        <v>591</v>
      </c>
      <c r="D1480" s="865" t="s">
        <v>639</v>
      </c>
      <c r="E1480" s="866">
        <v>2019.0</v>
      </c>
      <c r="F1480" s="865" t="s">
        <v>593</v>
      </c>
      <c r="G1480" s="865" t="s">
        <v>70</v>
      </c>
      <c r="H1480" s="867">
        <v>8710689.279</v>
      </c>
      <c r="I1480" s="867">
        <v>9884666.05</v>
      </c>
      <c r="J1480" s="868">
        <v>7601727.807</v>
      </c>
      <c r="K1480" s="50"/>
      <c r="L1480" s="869" t="s">
        <v>662</v>
      </c>
      <c r="M1480" s="865" t="s">
        <v>591</v>
      </c>
      <c r="N1480" s="865" t="s">
        <v>639</v>
      </c>
      <c r="O1480" s="866">
        <v>2004.0</v>
      </c>
      <c r="P1480" s="865" t="s">
        <v>593</v>
      </c>
      <c r="Q1480" s="865" t="s">
        <v>70</v>
      </c>
      <c r="R1480" s="867">
        <v>4875776.102</v>
      </c>
      <c r="S1480" s="867">
        <v>5377650.039</v>
      </c>
      <c r="T1480" s="868">
        <v>4434467.64</v>
      </c>
      <c r="AN1480" s="882"/>
      <c r="AO1480" s="882"/>
      <c r="AP1480" s="882"/>
      <c r="AY1480" s="882"/>
      <c r="AZ1480" s="882"/>
      <c r="BA1480" s="882"/>
      <c r="BJ1480" s="882"/>
      <c r="BK1480" s="882"/>
      <c r="BL1480" s="882"/>
      <c r="BU1480" s="882"/>
      <c r="BV1480" s="882"/>
      <c r="BW1480" s="882"/>
      <c r="CF1480" s="882"/>
      <c r="CG1480" s="882"/>
      <c r="CH1480" s="882"/>
      <c r="CI1480" s="530"/>
    </row>
    <row r="1481">
      <c r="A1481" s="857"/>
      <c r="B1481" s="865" t="s">
        <v>662</v>
      </c>
      <c r="C1481" s="865" t="s">
        <v>591</v>
      </c>
      <c r="D1481" s="865" t="s">
        <v>641</v>
      </c>
      <c r="E1481" s="866">
        <v>2019.0</v>
      </c>
      <c r="F1481" s="865" t="s">
        <v>593</v>
      </c>
      <c r="G1481" s="865" t="s">
        <v>70</v>
      </c>
      <c r="H1481" s="867">
        <v>3386989.345</v>
      </c>
      <c r="I1481" s="867">
        <v>3843012.511</v>
      </c>
      <c r="J1481" s="868">
        <v>2955628.916</v>
      </c>
      <c r="K1481" s="50"/>
      <c r="L1481" s="869" t="s">
        <v>662</v>
      </c>
      <c r="M1481" s="865" t="s">
        <v>591</v>
      </c>
      <c r="N1481" s="865" t="s">
        <v>641</v>
      </c>
      <c r="O1481" s="866">
        <v>2004.0</v>
      </c>
      <c r="P1481" s="865" t="s">
        <v>593</v>
      </c>
      <c r="Q1481" s="865" t="s">
        <v>70</v>
      </c>
      <c r="R1481" s="867">
        <v>2005230.455</v>
      </c>
      <c r="S1481" s="867">
        <v>2211401.389</v>
      </c>
      <c r="T1481" s="868">
        <v>1823661.504</v>
      </c>
      <c r="AN1481" s="882"/>
      <c r="AO1481" s="882"/>
      <c r="AP1481" s="882"/>
      <c r="AY1481" s="882"/>
      <c r="AZ1481" s="882"/>
      <c r="BA1481" s="882"/>
      <c r="BJ1481" s="882"/>
      <c r="BK1481" s="882"/>
      <c r="BL1481" s="882"/>
      <c r="BU1481" s="882"/>
      <c r="BV1481" s="882"/>
      <c r="BW1481" s="882"/>
      <c r="CF1481" s="882"/>
      <c r="CG1481" s="882"/>
      <c r="CH1481" s="882"/>
      <c r="CI1481" s="530"/>
    </row>
    <row r="1482">
      <c r="A1482" s="857"/>
      <c r="B1482" s="865" t="s">
        <v>662</v>
      </c>
      <c r="C1482" s="865" t="s">
        <v>591</v>
      </c>
      <c r="D1482" s="865" t="s">
        <v>643</v>
      </c>
      <c r="E1482" s="866">
        <v>2019.0</v>
      </c>
      <c r="F1482" s="865" t="s">
        <v>593</v>
      </c>
      <c r="G1482" s="865" t="s">
        <v>70</v>
      </c>
      <c r="H1482" s="867">
        <v>538983.5318</v>
      </c>
      <c r="I1482" s="867">
        <v>611552.1028</v>
      </c>
      <c r="J1482" s="868">
        <v>470339.629</v>
      </c>
      <c r="K1482" s="50"/>
      <c r="L1482" s="869" t="s">
        <v>662</v>
      </c>
      <c r="M1482" s="865" t="s">
        <v>591</v>
      </c>
      <c r="N1482" s="865" t="s">
        <v>643</v>
      </c>
      <c r="O1482" s="866">
        <v>2004.0</v>
      </c>
      <c r="P1482" s="865" t="s">
        <v>593</v>
      </c>
      <c r="Q1482" s="865" t="s">
        <v>70</v>
      </c>
      <c r="R1482" s="867">
        <v>326719.6441</v>
      </c>
      <c r="S1482" s="867">
        <v>360311.84</v>
      </c>
      <c r="T1482" s="868">
        <v>297135.9407</v>
      </c>
      <c r="AN1482" s="882"/>
      <c r="AO1482" s="882"/>
      <c r="AP1482" s="882"/>
      <c r="AY1482" s="882"/>
      <c r="AZ1482" s="882"/>
      <c r="BA1482" s="882"/>
      <c r="BJ1482" s="882"/>
      <c r="BK1482" s="882"/>
      <c r="BL1482" s="882"/>
      <c r="BU1482" s="882"/>
      <c r="BV1482" s="882"/>
      <c r="BW1482" s="882"/>
      <c r="CF1482" s="882"/>
      <c r="CG1482" s="882"/>
      <c r="CH1482" s="882"/>
      <c r="CI1482" s="530"/>
    </row>
    <row r="1483">
      <c r="A1483" s="857"/>
      <c r="B1483" s="865" t="s">
        <v>662</v>
      </c>
      <c r="C1483" s="865" t="s">
        <v>591</v>
      </c>
      <c r="D1483" s="865" t="s">
        <v>645</v>
      </c>
      <c r="E1483" s="866">
        <v>2019.0</v>
      </c>
      <c r="F1483" s="865" t="s">
        <v>593</v>
      </c>
      <c r="G1483" s="865" t="s">
        <v>70</v>
      </c>
      <c r="H1483" s="867">
        <v>1559181.296</v>
      </c>
      <c r="I1483" s="867">
        <v>1769108.969</v>
      </c>
      <c r="J1483" s="868">
        <v>1360606.974</v>
      </c>
      <c r="K1483" s="50"/>
      <c r="L1483" s="869" t="s">
        <v>662</v>
      </c>
      <c r="M1483" s="865" t="s">
        <v>591</v>
      </c>
      <c r="N1483" s="865" t="s">
        <v>645</v>
      </c>
      <c r="O1483" s="866">
        <v>2004.0</v>
      </c>
      <c r="P1483" s="865" t="s">
        <v>593</v>
      </c>
      <c r="Q1483" s="865" t="s">
        <v>70</v>
      </c>
      <c r="R1483" s="867">
        <v>966135.6754</v>
      </c>
      <c r="S1483" s="867">
        <v>1065470.44</v>
      </c>
      <c r="T1483" s="868">
        <v>878654.3385</v>
      </c>
      <c r="AN1483" s="882"/>
      <c r="AO1483" s="882"/>
      <c r="AP1483" s="882"/>
      <c r="AY1483" s="882"/>
      <c r="AZ1483" s="882"/>
      <c r="BA1483" s="882"/>
      <c r="BJ1483" s="882"/>
      <c r="BK1483" s="882"/>
      <c r="BL1483" s="882"/>
      <c r="BU1483" s="882"/>
      <c r="BV1483" s="882"/>
      <c r="BW1483" s="882"/>
      <c r="CF1483" s="882"/>
      <c r="CG1483" s="882"/>
      <c r="CH1483" s="882"/>
      <c r="CI1483" s="530"/>
    </row>
    <row r="1484">
      <c r="A1484" s="857"/>
      <c r="B1484" s="865" t="s">
        <v>662</v>
      </c>
      <c r="C1484" s="865" t="s">
        <v>591</v>
      </c>
      <c r="D1484" s="865" t="s">
        <v>604</v>
      </c>
      <c r="E1484" s="866">
        <v>2019.0</v>
      </c>
      <c r="F1484" s="865" t="s">
        <v>593</v>
      </c>
      <c r="G1484" s="865" t="s">
        <v>70</v>
      </c>
      <c r="H1484" s="867">
        <v>6262309.848</v>
      </c>
      <c r="I1484" s="867">
        <v>7105465.251</v>
      </c>
      <c r="J1484" s="868">
        <v>5464754.147</v>
      </c>
      <c r="K1484" s="50"/>
      <c r="L1484" s="869" t="s">
        <v>662</v>
      </c>
      <c r="M1484" s="865" t="s">
        <v>591</v>
      </c>
      <c r="N1484" s="865" t="s">
        <v>604</v>
      </c>
      <c r="O1484" s="866">
        <v>2004.0</v>
      </c>
      <c r="P1484" s="865" t="s">
        <v>593</v>
      </c>
      <c r="Q1484" s="865" t="s">
        <v>70</v>
      </c>
      <c r="R1484" s="867">
        <v>3583872.036</v>
      </c>
      <c r="S1484" s="867">
        <v>3952353.495</v>
      </c>
      <c r="T1484" s="868">
        <v>3259360.764</v>
      </c>
      <c r="AN1484" s="882"/>
      <c r="AO1484" s="882"/>
      <c r="AP1484" s="882"/>
      <c r="AY1484" s="882"/>
      <c r="AZ1484" s="882"/>
      <c r="BA1484" s="882"/>
      <c r="BJ1484" s="882"/>
      <c r="BK1484" s="882"/>
      <c r="BL1484" s="882"/>
      <c r="BU1484" s="882"/>
      <c r="BV1484" s="882"/>
      <c r="BW1484" s="882"/>
      <c r="CF1484" s="882"/>
      <c r="CG1484" s="882"/>
      <c r="CH1484" s="882"/>
      <c r="CI1484" s="530"/>
    </row>
    <row r="1485">
      <c r="A1485" s="857"/>
      <c r="B1485" s="865" t="s">
        <v>662</v>
      </c>
      <c r="C1485" s="865" t="s">
        <v>591</v>
      </c>
      <c r="D1485" s="865" t="s">
        <v>647</v>
      </c>
      <c r="E1485" s="866">
        <v>2019.0</v>
      </c>
      <c r="F1485" s="865" t="s">
        <v>593</v>
      </c>
      <c r="G1485" s="865" t="s">
        <v>70</v>
      </c>
      <c r="H1485" s="867">
        <v>1395427.154</v>
      </c>
      <c r="I1485" s="867">
        <v>1583494.827</v>
      </c>
      <c r="J1485" s="868">
        <v>1217774.743</v>
      </c>
      <c r="K1485" s="50"/>
      <c r="L1485" s="869" t="s">
        <v>662</v>
      </c>
      <c r="M1485" s="865" t="s">
        <v>591</v>
      </c>
      <c r="N1485" s="865" t="s">
        <v>647</v>
      </c>
      <c r="O1485" s="866">
        <v>2004.0</v>
      </c>
      <c r="P1485" s="865" t="s">
        <v>593</v>
      </c>
      <c r="Q1485" s="865" t="s">
        <v>70</v>
      </c>
      <c r="R1485" s="867">
        <v>903001.0149</v>
      </c>
      <c r="S1485" s="867">
        <v>995948.8175</v>
      </c>
      <c r="T1485" s="868">
        <v>821270.0287</v>
      </c>
      <c r="AN1485" s="882"/>
      <c r="AO1485" s="882"/>
      <c r="AP1485" s="882"/>
      <c r="AY1485" s="882"/>
      <c r="AZ1485" s="882"/>
      <c r="BA1485" s="882"/>
      <c r="BJ1485" s="882"/>
      <c r="BK1485" s="882"/>
      <c r="BL1485" s="882"/>
      <c r="BU1485" s="882"/>
      <c r="BV1485" s="882"/>
      <c r="BW1485" s="882"/>
      <c r="CF1485" s="882"/>
      <c r="CG1485" s="882"/>
      <c r="CH1485" s="882"/>
      <c r="CI1485" s="530"/>
    </row>
    <row r="1486">
      <c r="A1486" s="857"/>
      <c r="B1486" s="865" t="s">
        <v>662</v>
      </c>
      <c r="C1486" s="865" t="s">
        <v>591</v>
      </c>
      <c r="D1486" s="865" t="s">
        <v>649</v>
      </c>
      <c r="E1486" s="866">
        <v>2019.0</v>
      </c>
      <c r="F1486" s="865" t="s">
        <v>593</v>
      </c>
      <c r="G1486" s="865" t="s">
        <v>70</v>
      </c>
      <c r="H1486" s="867">
        <v>432362.5744</v>
      </c>
      <c r="I1486" s="867">
        <v>490575.7337</v>
      </c>
      <c r="J1486" s="868">
        <v>377297.711</v>
      </c>
      <c r="K1486" s="50"/>
      <c r="L1486" s="869" t="s">
        <v>662</v>
      </c>
      <c r="M1486" s="865" t="s">
        <v>591</v>
      </c>
      <c r="N1486" s="865" t="s">
        <v>649</v>
      </c>
      <c r="O1486" s="866">
        <v>2004.0</v>
      </c>
      <c r="P1486" s="865" t="s">
        <v>593</v>
      </c>
      <c r="Q1486" s="865" t="s">
        <v>70</v>
      </c>
      <c r="R1486" s="867">
        <v>265284.6716</v>
      </c>
      <c r="S1486" s="867">
        <v>292560.3338</v>
      </c>
      <c r="T1486" s="868">
        <v>241263.762</v>
      </c>
      <c r="AN1486" s="882"/>
      <c r="AO1486" s="882"/>
      <c r="AP1486" s="882"/>
      <c r="AY1486" s="882"/>
      <c r="AZ1486" s="882"/>
      <c r="BA1486" s="882"/>
      <c r="BJ1486" s="882"/>
      <c r="BK1486" s="882"/>
      <c r="BL1486" s="882"/>
      <c r="BU1486" s="882"/>
      <c r="BV1486" s="882"/>
      <c r="BW1486" s="882"/>
      <c r="CF1486" s="882"/>
      <c r="CG1486" s="882"/>
      <c r="CH1486" s="882"/>
      <c r="CI1486" s="530"/>
    </row>
    <row r="1487">
      <c r="A1487" s="857"/>
      <c r="B1487" s="865" t="s">
        <v>662</v>
      </c>
      <c r="C1487" s="865" t="s">
        <v>591</v>
      </c>
      <c r="D1487" s="865" t="s">
        <v>651</v>
      </c>
      <c r="E1487" s="866">
        <v>2019.0</v>
      </c>
      <c r="F1487" s="865" t="s">
        <v>593</v>
      </c>
      <c r="G1487" s="865" t="s">
        <v>70</v>
      </c>
      <c r="H1487" s="867">
        <v>338143.5444</v>
      </c>
      <c r="I1487" s="867">
        <v>383671.0835</v>
      </c>
      <c r="J1487" s="868">
        <v>295078.2349</v>
      </c>
      <c r="K1487" s="50"/>
      <c r="L1487" s="869" t="s">
        <v>662</v>
      </c>
      <c r="M1487" s="865" t="s">
        <v>591</v>
      </c>
      <c r="N1487" s="865" t="s">
        <v>651</v>
      </c>
      <c r="O1487" s="866">
        <v>2004.0</v>
      </c>
      <c r="P1487" s="865" t="s">
        <v>593</v>
      </c>
      <c r="Q1487" s="865" t="s">
        <v>70</v>
      </c>
      <c r="R1487" s="867">
        <v>209737.7243</v>
      </c>
      <c r="S1487" s="867">
        <v>231302.2394</v>
      </c>
      <c r="T1487" s="868">
        <v>190746.4615</v>
      </c>
      <c r="AN1487" s="882"/>
      <c r="AO1487" s="882"/>
      <c r="AP1487" s="882"/>
      <c r="AY1487" s="882"/>
      <c r="AZ1487" s="882"/>
      <c r="BA1487" s="882"/>
      <c r="BJ1487" s="882"/>
      <c r="BK1487" s="882"/>
      <c r="BL1487" s="882"/>
      <c r="BU1487" s="882"/>
      <c r="BV1487" s="882"/>
      <c r="BW1487" s="882"/>
      <c r="CF1487" s="882"/>
      <c r="CG1487" s="882"/>
      <c r="CH1487" s="882"/>
      <c r="CI1487" s="530"/>
    </row>
    <row r="1488">
      <c r="A1488" s="857"/>
      <c r="B1488" s="865" t="s">
        <v>662</v>
      </c>
      <c r="C1488" s="865" t="s">
        <v>591</v>
      </c>
      <c r="D1488" s="865" t="s">
        <v>653</v>
      </c>
      <c r="E1488" s="866">
        <v>2019.0</v>
      </c>
      <c r="F1488" s="865" t="s">
        <v>593</v>
      </c>
      <c r="G1488" s="865" t="s">
        <v>70</v>
      </c>
      <c r="H1488" s="867">
        <v>249691.6451</v>
      </c>
      <c r="I1488" s="867">
        <v>283310.0487</v>
      </c>
      <c r="J1488" s="868">
        <v>217891.3989</v>
      </c>
      <c r="K1488" s="50"/>
      <c r="L1488" s="869" t="s">
        <v>662</v>
      </c>
      <c r="M1488" s="865" t="s">
        <v>591</v>
      </c>
      <c r="N1488" s="865" t="s">
        <v>653</v>
      </c>
      <c r="O1488" s="866">
        <v>2004.0</v>
      </c>
      <c r="P1488" s="865" t="s">
        <v>593</v>
      </c>
      <c r="Q1488" s="865" t="s">
        <v>70</v>
      </c>
      <c r="R1488" s="867">
        <v>164393.6354</v>
      </c>
      <c r="S1488" s="867">
        <v>181296.0264</v>
      </c>
      <c r="T1488" s="868">
        <v>149508.1743</v>
      </c>
      <c r="AN1488" s="882"/>
      <c r="AO1488" s="882"/>
      <c r="AP1488" s="882"/>
      <c r="AY1488" s="882"/>
      <c r="AZ1488" s="882"/>
      <c r="BA1488" s="882"/>
      <c r="BJ1488" s="882"/>
      <c r="BK1488" s="882"/>
      <c r="BL1488" s="882"/>
      <c r="BU1488" s="882"/>
      <c r="BV1488" s="882"/>
      <c r="BW1488" s="882"/>
      <c r="CF1488" s="882"/>
      <c r="CG1488" s="882"/>
      <c r="CH1488" s="882"/>
      <c r="CI1488" s="530"/>
    </row>
    <row r="1489">
      <c r="A1489" s="857"/>
      <c r="B1489" s="865" t="s">
        <v>662</v>
      </c>
      <c r="C1489" s="865" t="s">
        <v>591</v>
      </c>
      <c r="D1489" s="865" t="s">
        <v>655</v>
      </c>
      <c r="E1489" s="866">
        <v>2019.0</v>
      </c>
      <c r="F1489" s="865" t="s">
        <v>593</v>
      </c>
      <c r="G1489" s="865" t="s">
        <v>70</v>
      </c>
      <c r="H1489" s="867">
        <v>422400.553</v>
      </c>
      <c r="I1489" s="867">
        <v>479329.2783</v>
      </c>
      <c r="J1489" s="868">
        <v>368624.563</v>
      </c>
      <c r="K1489" s="50"/>
      <c r="L1489" s="869" t="s">
        <v>662</v>
      </c>
      <c r="M1489" s="865" t="s">
        <v>591</v>
      </c>
      <c r="N1489" s="865" t="s">
        <v>655</v>
      </c>
      <c r="O1489" s="866">
        <v>2004.0</v>
      </c>
      <c r="P1489" s="865" t="s">
        <v>593</v>
      </c>
      <c r="Q1489" s="865" t="s">
        <v>70</v>
      </c>
      <c r="R1489" s="867">
        <v>287573.8686</v>
      </c>
      <c r="S1489" s="867">
        <v>317174.4545</v>
      </c>
      <c r="T1489" s="868">
        <v>261545.4417</v>
      </c>
      <c r="AN1489" s="882"/>
      <c r="AO1489" s="882"/>
      <c r="AP1489" s="882"/>
      <c r="AY1489" s="882"/>
      <c r="AZ1489" s="882"/>
      <c r="BA1489" s="882"/>
      <c r="BJ1489" s="882"/>
      <c r="BK1489" s="882"/>
      <c r="BL1489" s="882"/>
      <c r="BU1489" s="882"/>
      <c r="BV1489" s="882"/>
      <c r="BW1489" s="882"/>
      <c r="CF1489" s="882"/>
      <c r="CG1489" s="882"/>
      <c r="CH1489" s="882"/>
      <c r="CI1489" s="530"/>
    </row>
    <row r="1490">
      <c r="A1490" s="857"/>
      <c r="B1490" s="865" t="s">
        <v>662</v>
      </c>
      <c r="C1490" s="865" t="s">
        <v>591</v>
      </c>
      <c r="D1490" s="865" t="s">
        <v>657</v>
      </c>
      <c r="E1490" s="866">
        <v>2019.0</v>
      </c>
      <c r="F1490" s="865" t="s">
        <v>593</v>
      </c>
      <c r="G1490" s="865" t="s">
        <v>70</v>
      </c>
      <c r="H1490" s="867">
        <v>172744.1721</v>
      </c>
      <c r="I1490" s="867">
        <v>196002.3923</v>
      </c>
      <c r="J1490" s="868">
        <v>150743.8075</v>
      </c>
      <c r="K1490" s="50"/>
      <c r="L1490" s="869" t="s">
        <v>662</v>
      </c>
      <c r="M1490" s="865" t="s">
        <v>591</v>
      </c>
      <c r="N1490" s="865" t="s">
        <v>657</v>
      </c>
      <c r="O1490" s="866">
        <v>2004.0</v>
      </c>
      <c r="P1490" s="865" t="s">
        <v>593</v>
      </c>
      <c r="Q1490" s="865" t="s">
        <v>70</v>
      </c>
      <c r="R1490" s="867">
        <v>123197.502</v>
      </c>
      <c r="S1490" s="867">
        <v>135864.2477</v>
      </c>
      <c r="T1490" s="868">
        <v>112042.2549</v>
      </c>
      <c r="AN1490" s="882"/>
      <c r="AO1490" s="882"/>
      <c r="AP1490" s="882"/>
      <c r="AY1490" s="882"/>
      <c r="AZ1490" s="882"/>
      <c r="BA1490" s="882"/>
      <c r="BJ1490" s="882"/>
      <c r="BK1490" s="882"/>
      <c r="BL1490" s="882"/>
      <c r="BU1490" s="882"/>
      <c r="BV1490" s="882"/>
      <c r="BW1490" s="882"/>
      <c r="CF1490" s="882"/>
      <c r="CG1490" s="882"/>
      <c r="CH1490" s="882"/>
      <c r="CI1490" s="530"/>
    </row>
    <row r="1491">
      <c r="A1491" s="857"/>
      <c r="B1491" s="865" t="s">
        <v>662</v>
      </c>
      <c r="C1491" s="865" t="s">
        <v>591</v>
      </c>
      <c r="D1491" s="865" t="s">
        <v>659</v>
      </c>
      <c r="E1491" s="866">
        <v>2019.0</v>
      </c>
      <c r="F1491" s="865" t="s">
        <v>593</v>
      </c>
      <c r="G1491" s="865" t="s">
        <v>70</v>
      </c>
      <c r="H1491" s="867">
        <v>375345.8872</v>
      </c>
      <c r="I1491" s="867">
        <v>425882.3379</v>
      </c>
      <c r="J1491" s="868">
        <v>327542.5591</v>
      </c>
      <c r="K1491" s="50"/>
      <c r="L1491" s="869" t="s">
        <v>662</v>
      </c>
      <c r="M1491" s="865" t="s">
        <v>591</v>
      </c>
      <c r="N1491" s="865" t="s">
        <v>659</v>
      </c>
      <c r="O1491" s="866">
        <v>2004.0</v>
      </c>
      <c r="P1491" s="865" t="s">
        <v>593</v>
      </c>
      <c r="Q1491" s="865" t="s">
        <v>70</v>
      </c>
      <c r="R1491" s="867">
        <v>263639.2089</v>
      </c>
      <c r="S1491" s="867">
        <v>290745.6903</v>
      </c>
      <c r="T1491" s="868">
        <v>239767.2921</v>
      </c>
      <c r="AN1491" s="882"/>
      <c r="AO1491" s="882"/>
      <c r="AP1491" s="882"/>
      <c r="AY1491" s="882"/>
      <c r="AZ1491" s="882"/>
      <c r="BA1491" s="882"/>
      <c r="BJ1491" s="882"/>
      <c r="BK1491" s="882"/>
      <c r="BL1491" s="882"/>
      <c r="BU1491" s="882"/>
      <c r="BV1491" s="882"/>
      <c r="BW1491" s="882"/>
      <c r="CF1491" s="882"/>
      <c r="CG1491" s="882"/>
      <c r="CH1491" s="882"/>
      <c r="CI1491" s="530"/>
    </row>
    <row r="1492">
      <c r="A1492" s="857"/>
      <c r="B1492" s="865" t="s">
        <v>662</v>
      </c>
      <c r="C1492" s="865" t="s">
        <v>591</v>
      </c>
      <c r="D1492" s="865" t="s">
        <v>661</v>
      </c>
      <c r="E1492" s="866">
        <v>2019.0</v>
      </c>
      <c r="F1492" s="865" t="s">
        <v>593</v>
      </c>
      <c r="G1492" s="865" t="s">
        <v>70</v>
      </c>
      <c r="H1492" s="867">
        <v>202584.8023</v>
      </c>
      <c r="I1492" s="867">
        <v>229888.0208</v>
      </c>
      <c r="J1492" s="868">
        <v>176793.647</v>
      </c>
      <c r="K1492" s="50"/>
      <c r="L1492" s="869" t="s">
        <v>662</v>
      </c>
      <c r="M1492" s="865" t="s">
        <v>591</v>
      </c>
      <c r="N1492" s="865" t="s">
        <v>661</v>
      </c>
      <c r="O1492" s="866">
        <v>2004.0</v>
      </c>
      <c r="P1492" s="865" t="s">
        <v>593</v>
      </c>
      <c r="Q1492" s="865" t="s">
        <v>70</v>
      </c>
      <c r="R1492" s="867">
        <v>140433.2739</v>
      </c>
      <c r="S1492" s="867">
        <v>154888.3675</v>
      </c>
      <c r="T1492" s="868">
        <v>127722.6016</v>
      </c>
      <c r="AN1492" s="882"/>
      <c r="AO1492" s="882"/>
      <c r="AP1492" s="882"/>
      <c r="AY1492" s="882"/>
      <c r="AZ1492" s="882"/>
      <c r="BA1492" s="882"/>
      <c r="BJ1492" s="882"/>
      <c r="BK1492" s="882"/>
      <c r="BL1492" s="882"/>
      <c r="BU1492" s="882"/>
      <c r="BV1492" s="882"/>
      <c r="BW1492" s="882"/>
      <c r="CF1492" s="882"/>
      <c r="CG1492" s="882"/>
      <c r="CH1492" s="882"/>
      <c r="CI1492" s="530"/>
    </row>
    <row r="1493">
      <c r="A1493" s="857"/>
      <c r="B1493" s="865" t="s">
        <v>662</v>
      </c>
      <c r="C1493" s="865" t="s">
        <v>591</v>
      </c>
      <c r="D1493" s="865" t="s">
        <v>663</v>
      </c>
      <c r="E1493" s="866">
        <v>2019.0</v>
      </c>
      <c r="F1493" s="865" t="s">
        <v>593</v>
      </c>
      <c r="G1493" s="865" t="s">
        <v>70</v>
      </c>
      <c r="H1493" s="867">
        <v>106532.5832</v>
      </c>
      <c r="I1493" s="867">
        <v>120876.0963</v>
      </c>
      <c r="J1493" s="868">
        <v>92964.79892</v>
      </c>
      <c r="K1493" s="50"/>
      <c r="L1493" s="869" t="s">
        <v>662</v>
      </c>
      <c r="M1493" s="865" t="s">
        <v>591</v>
      </c>
      <c r="N1493" s="865" t="s">
        <v>663</v>
      </c>
      <c r="O1493" s="866">
        <v>2004.0</v>
      </c>
      <c r="P1493" s="865" t="s">
        <v>593</v>
      </c>
      <c r="Q1493" s="865" t="s">
        <v>70</v>
      </c>
      <c r="R1493" s="867">
        <v>79641.36507</v>
      </c>
      <c r="S1493" s="867">
        <v>87829.81771</v>
      </c>
      <c r="T1493" s="868">
        <v>72430.02481</v>
      </c>
      <c r="AN1493" s="882"/>
      <c r="AO1493" s="882"/>
      <c r="AP1493" s="882"/>
      <c r="AY1493" s="882"/>
      <c r="AZ1493" s="882"/>
      <c r="BA1493" s="882"/>
      <c r="BJ1493" s="882"/>
      <c r="BK1493" s="882"/>
      <c r="BL1493" s="882"/>
      <c r="BU1493" s="882"/>
      <c r="BV1493" s="882"/>
      <c r="BW1493" s="882"/>
      <c r="CF1493" s="882"/>
      <c r="CG1493" s="882"/>
      <c r="CH1493" s="882"/>
      <c r="CI1493" s="530"/>
    </row>
    <row r="1494">
      <c r="A1494" s="857"/>
      <c r="B1494" s="865" t="s">
        <v>662</v>
      </c>
      <c r="C1494" s="865" t="s">
        <v>591</v>
      </c>
      <c r="D1494" s="865" t="s">
        <v>665</v>
      </c>
      <c r="E1494" s="866">
        <v>2019.0</v>
      </c>
      <c r="F1494" s="865" t="s">
        <v>593</v>
      </c>
      <c r="G1494" s="865" t="s">
        <v>70</v>
      </c>
      <c r="H1494" s="867">
        <v>164996.1029</v>
      </c>
      <c r="I1494" s="867">
        <v>187233.3319</v>
      </c>
      <c r="J1494" s="868">
        <v>143990.3804</v>
      </c>
      <c r="K1494" s="50"/>
      <c r="L1494" s="869" t="s">
        <v>662</v>
      </c>
      <c r="M1494" s="865" t="s">
        <v>591</v>
      </c>
      <c r="N1494" s="865" t="s">
        <v>665</v>
      </c>
      <c r="O1494" s="866">
        <v>2004.0</v>
      </c>
      <c r="P1494" s="865" t="s">
        <v>593</v>
      </c>
      <c r="Q1494" s="865" t="s">
        <v>70</v>
      </c>
      <c r="R1494" s="867">
        <v>119720.1883</v>
      </c>
      <c r="S1494" s="867">
        <v>132043.2403</v>
      </c>
      <c r="T1494" s="868">
        <v>108884.2658</v>
      </c>
      <c r="AN1494" s="882"/>
      <c r="AO1494" s="882"/>
      <c r="AP1494" s="882"/>
      <c r="AY1494" s="882"/>
      <c r="AZ1494" s="882"/>
      <c r="BA1494" s="882"/>
      <c r="BJ1494" s="882"/>
      <c r="BK1494" s="882"/>
      <c r="BL1494" s="882"/>
      <c r="BU1494" s="882"/>
      <c r="BV1494" s="882"/>
      <c r="BW1494" s="882"/>
      <c r="CF1494" s="882"/>
      <c r="CG1494" s="882"/>
      <c r="CH1494" s="882"/>
      <c r="CI1494" s="530"/>
    </row>
    <row r="1495">
      <c r="A1495" s="857"/>
      <c r="B1495" s="865" t="s">
        <v>662</v>
      </c>
      <c r="C1495" s="865" t="s">
        <v>591</v>
      </c>
      <c r="D1495" s="865" t="s">
        <v>667</v>
      </c>
      <c r="E1495" s="866">
        <v>2019.0</v>
      </c>
      <c r="F1495" s="865" t="s">
        <v>593</v>
      </c>
      <c r="G1495" s="865" t="s">
        <v>70</v>
      </c>
      <c r="H1495" s="867">
        <v>96069.13196</v>
      </c>
      <c r="I1495" s="867">
        <v>109003.8493</v>
      </c>
      <c r="J1495" s="868">
        <v>83833.95265</v>
      </c>
      <c r="K1495" s="50"/>
      <c r="L1495" s="869" t="s">
        <v>662</v>
      </c>
      <c r="M1495" s="865" t="s">
        <v>591</v>
      </c>
      <c r="N1495" s="865" t="s">
        <v>667</v>
      </c>
      <c r="O1495" s="866">
        <v>2004.0</v>
      </c>
      <c r="P1495" s="865" t="s">
        <v>593</v>
      </c>
      <c r="Q1495" s="865" t="s">
        <v>70</v>
      </c>
      <c r="R1495" s="867">
        <v>60800.34183</v>
      </c>
      <c r="S1495" s="867">
        <v>67051.62493</v>
      </c>
      <c r="T1495" s="868">
        <v>55295.01237</v>
      </c>
      <c r="AN1495" s="882"/>
      <c r="AO1495" s="882"/>
      <c r="AP1495" s="882"/>
      <c r="AY1495" s="882"/>
      <c r="AZ1495" s="882"/>
      <c r="BA1495" s="882"/>
      <c r="BJ1495" s="882"/>
      <c r="BK1495" s="882"/>
      <c r="BL1495" s="882"/>
      <c r="BU1495" s="882"/>
      <c r="BV1495" s="882"/>
      <c r="BW1495" s="882"/>
      <c r="CF1495" s="882"/>
      <c r="CG1495" s="882"/>
      <c r="CH1495" s="882"/>
      <c r="CI1495" s="530"/>
    </row>
    <row r="1496">
      <c r="A1496" s="857"/>
      <c r="B1496" s="865" t="s">
        <v>662</v>
      </c>
      <c r="C1496" s="865" t="s">
        <v>591</v>
      </c>
      <c r="D1496" s="865" t="s">
        <v>669</v>
      </c>
      <c r="E1496" s="866">
        <v>2019.0</v>
      </c>
      <c r="F1496" s="865" t="s">
        <v>593</v>
      </c>
      <c r="G1496" s="865" t="s">
        <v>70</v>
      </c>
      <c r="H1496" s="867">
        <v>58477.29441</v>
      </c>
      <c r="I1496" s="867">
        <v>66350.6587</v>
      </c>
      <c r="J1496" s="868">
        <v>51029.739</v>
      </c>
      <c r="K1496" s="50"/>
      <c r="L1496" s="869" t="s">
        <v>662</v>
      </c>
      <c r="M1496" s="865" t="s">
        <v>591</v>
      </c>
      <c r="N1496" s="865" t="s">
        <v>669</v>
      </c>
      <c r="O1496" s="866">
        <v>2004.0</v>
      </c>
      <c r="P1496" s="865" t="s">
        <v>593</v>
      </c>
      <c r="Q1496" s="865" t="s">
        <v>70</v>
      </c>
      <c r="R1496" s="867">
        <v>40086.01249</v>
      </c>
      <c r="S1496" s="867">
        <v>44207.51913</v>
      </c>
      <c r="T1496" s="868">
        <v>36456.31735</v>
      </c>
      <c r="AN1496" s="882"/>
      <c r="AO1496" s="882"/>
      <c r="AP1496" s="882"/>
      <c r="AY1496" s="882"/>
      <c r="AZ1496" s="882"/>
      <c r="BA1496" s="882"/>
      <c r="BJ1496" s="882"/>
      <c r="BK1496" s="882"/>
      <c r="BL1496" s="882"/>
      <c r="BU1496" s="882"/>
      <c r="BV1496" s="882"/>
      <c r="BW1496" s="882"/>
      <c r="CF1496" s="882"/>
      <c r="CG1496" s="882"/>
      <c r="CH1496" s="882"/>
      <c r="CI1496" s="530"/>
    </row>
    <row r="1497">
      <c r="A1497" s="857"/>
      <c r="B1497" s="865" t="s">
        <v>662</v>
      </c>
      <c r="C1497" s="865" t="s">
        <v>591</v>
      </c>
      <c r="D1497" s="865" t="s">
        <v>671</v>
      </c>
      <c r="E1497" s="866">
        <v>2019.0</v>
      </c>
      <c r="F1497" s="865" t="s">
        <v>593</v>
      </c>
      <c r="G1497" s="865" t="s">
        <v>70</v>
      </c>
      <c r="H1497" s="867">
        <v>37588.69945</v>
      </c>
      <c r="I1497" s="867">
        <v>42654.6889</v>
      </c>
      <c r="J1497" s="868">
        <v>32803.2665</v>
      </c>
      <c r="K1497" s="50"/>
      <c r="L1497" s="869" t="s">
        <v>662</v>
      </c>
      <c r="M1497" s="865" t="s">
        <v>591</v>
      </c>
      <c r="N1497" s="865" t="s">
        <v>671</v>
      </c>
      <c r="O1497" s="866">
        <v>2004.0</v>
      </c>
      <c r="P1497" s="865" t="s">
        <v>593</v>
      </c>
      <c r="Q1497" s="865" t="s">
        <v>70</v>
      </c>
      <c r="R1497" s="867">
        <v>20713.08552</v>
      </c>
      <c r="S1497" s="867">
        <v>22845.12718</v>
      </c>
      <c r="T1497" s="868">
        <v>18838.33579</v>
      </c>
      <c r="AN1497" s="882"/>
      <c r="AO1497" s="882"/>
      <c r="AP1497" s="882"/>
      <c r="AY1497" s="882"/>
      <c r="AZ1497" s="882"/>
      <c r="BA1497" s="882"/>
      <c r="BJ1497" s="882"/>
      <c r="BK1497" s="882"/>
      <c r="BL1497" s="882"/>
      <c r="BU1497" s="882"/>
      <c r="BV1497" s="882"/>
      <c r="BW1497" s="882"/>
      <c r="CF1497" s="882"/>
      <c r="CG1497" s="882"/>
      <c r="CH1497" s="882"/>
      <c r="CI1497" s="530"/>
    </row>
    <row r="1498">
      <c r="A1498" s="857"/>
      <c r="B1498" s="865" t="s">
        <v>662</v>
      </c>
      <c r="C1498" s="865" t="s">
        <v>591</v>
      </c>
      <c r="D1498" s="865" t="s">
        <v>673</v>
      </c>
      <c r="E1498" s="866">
        <v>2019.0</v>
      </c>
      <c r="F1498" s="865" t="s">
        <v>593</v>
      </c>
      <c r="G1498" s="865" t="s">
        <v>70</v>
      </c>
      <c r="H1498" s="867">
        <v>26629.64949</v>
      </c>
      <c r="I1498" s="867">
        <v>30215.05702</v>
      </c>
      <c r="J1498" s="868">
        <v>23238.14871</v>
      </c>
      <c r="K1498" s="50"/>
      <c r="L1498" s="869" t="s">
        <v>662</v>
      </c>
      <c r="M1498" s="865" t="s">
        <v>591</v>
      </c>
      <c r="N1498" s="865" t="s">
        <v>673</v>
      </c>
      <c r="O1498" s="866">
        <v>2004.0</v>
      </c>
      <c r="P1498" s="865" t="s">
        <v>593</v>
      </c>
      <c r="Q1498" s="865" t="s">
        <v>70</v>
      </c>
      <c r="R1498" s="867">
        <v>15374.44279</v>
      </c>
      <c r="S1498" s="867">
        <v>16955.19039</v>
      </c>
      <c r="T1498" s="868">
        <v>13982.32277</v>
      </c>
      <c r="AN1498" s="882"/>
      <c r="AO1498" s="882"/>
      <c r="AP1498" s="882"/>
      <c r="AY1498" s="882"/>
      <c r="AZ1498" s="882"/>
      <c r="BA1498" s="882"/>
      <c r="BJ1498" s="882"/>
      <c r="BK1498" s="882"/>
      <c r="BL1498" s="882"/>
      <c r="BU1498" s="882"/>
      <c r="BV1498" s="882"/>
      <c r="BW1498" s="882"/>
      <c r="CF1498" s="882"/>
      <c r="CG1498" s="882"/>
      <c r="CH1498" s="882"/>
      <c r="CI1498" s="530"/>
    </row>
    <row r="1499">
      <c r="A1499" s="857"/>
      <c r="B1499" s="865" t="s">
        <v>662</v>
      </c>
      <c r="C1499" s="865" t="s">
        <v>591</v>
      </c>
      <c r="D1499" s="865" t="s">
        <v>674</v>
      </c>
      <c r="E1499" s="866">
        <v>2019.0</v>
      </c>
      <c r="F1499" s="865" t="s">
        <v>593</v>
      </c>
      <c r="G1499" s="865" t="s">
        <v>70</v>
      </c>
      <c r="H1499" s="867">
        <v>8978.341128</v>
      </c>
      <c r="I1499" s="867">
        <v>10187.18212</v>
      </c>
      <c r="J1499" s="868">
        <v>7834.876922</v>
      </c>
      <c r="K1499" s="50"/>
      <c r="L1499" s="869" t="s">
        <v>662</v>
      </c>
      <c r="M1499" s="865" t="s">
        <v>591</v>
      </c>
      <c r="N1499" s="865" t="s">
        <v>674</v>
      </c>
      <c r="O1499" s="866">
        <v>2004.0</v>
      </c>
      <c r="P1499" s="865" t="s">
        <v>593</v>
      </c>
      <c r="Q1499" s="865" t="s">
        <v>70</v>
      </c>
      <c r="R1499" s="867">
        <v>4442.737217</v>
      </c>
      <c r="S1499" s="867">
        <v>4899.524256</v>
      </c>
      <c r="T1499" s="868">
        <v>4040.457701</v>
      </c>
      <c r="AN1499" s="882"/>
      <c r="AO1499" s="882"/>
      <c r="AP1499" s="882"/>
      <c r="AY1499" s="882"/>
      <c r="AZ1499" s="882"/>
      <c r="BA1499" s="882"/>
      <c r="BJ1499" s="882"/>
      <c r="BK1499" s="882"/>
      <c r="BL1499" s="882"/>
      <c r="BU1499" s="882"/>
      <c r="BV1499" s="882"/>
      <c r="BW1499" s="882"/>
      <c r="CF1499" s="882"/>
      <c r="CG1499" s="882"/>
      <c r="CH1499" s="882"/>
      <c r="CI1499" s="530"/>
    </row>
    <row r="1500">
      <c r="A1500" s="857"/>
      <c r="B1500" s="865" t="s">
        <v>662</v>
      </c>
      <c r="C1500" s="865" t="s">
        <v>591</v>
      </c>
      <c r="D1500" s="865" t="s">
        <v>676</v>
      </c>
      <c r="E1500" s="866">
        <v>2019.0</v>
      </c>
      <c r="F1500" s="865" t="s">
        <v>593</v>
      </c>
      <c r="G1500" s="865" t="s">
        <v>70</v>
      </c>
      <c r="H1500" s="867">
        <v>1983.846932</v>
      </c>
      <c r="I1500" s="867">
        <v>2250.95145</v>
      </c>
      <c r="J1500" s="868">
        <v>1731.188013</v>
      </c>
      <c r="K1500" s="50"/>
      <c r="L1500" s="869" t="s">
        <v>662</v>
      </c>
      <c r="M1500" s="865" t="s">
        <v>591</v>
      </c>
      <c r="N1500" s="865" t="s">
        <v>676</v>
      </c>
      <c r="O1500" s="866">
        <v>2004.0</v>
      </c>
      <c r="P1500" s="865" t="s">
        <v>593</v>
      </c>
      <c r="Q1500" s="865" t="s">
        <v>70</v>
      </c>
      <c r="R1500" s="867">
        <v>897.1493373</v>
      </c>
      <c r="S1500" s="867">
        <v>989.3911624</v>
      </c>
      <c r="T1500" s="868">
        <v>815.9145527</v>
      </c>
      <c r="AN1500" s="882"/>
      <c r="AO1500" s="882"/>
      <c r="AP1500" s="882"/>
      <c r="AY1500" s="882"/>
      <c r="AZ1500" s="882"/>
      <c r="BA1500" s="882"/>
      <c r="BJ1500" s="882"/>
      <c r="BK1500" s="882"/>
      <c r="BL1500" s="882"/>
      <c r="BU1500" s="882"/>
      <c r="BV1500" s="882"/>
      <c r="BW1500" s="882"/>
      <c r="CF1500" s="882"/>
      <c r="CG1500" s="882"/>
      <c r="CH1500" s="882"/>
      <c r="CI1500" s="530"/>
    </row>
    <row r="1501">
      <c r="A1501" s="857"/>
      <c r="B1501" s="865" t="s">
        <v>662</v>
      </c>
      <c r="C1501" s="865" t="s">
        <v>591</v>
      </c>
      <c r="D1501" s="865" t="s">
        <v>678</v>
      </c>
      <c r="E1501" s="866">
        <v>2019.0</v>
      </c>
      <c r="F1501" s="865" t="s">
        <v>593</v>
      </c>
      <c r="G1501" s="865" t="s">
        <v>70</v>
      </c>
      <c r="H1501" s="867">
        <v>2.191746699E7</v>
      </c>
      <c r="I1501" s="867">
        <v>2.486842776E7</v>
      </c>
      <c r="J1501" s="868">
        <v>1.912610067E7</v>
      </c>
      <c r="K1501" s="50"/>
      <c r="L1501" s="869" t="s">
        <v>662</v>
      </c>
      <c r="M1501" s="865" t="s">
        <v>591</v>
      </c>
      <c r="N1501" s="865" t="s">
        <v>678</v>
      </c>
      <c r="O1501" s="866">
        <v>2004.0</v>
      </c>
      <c r="P1501" s="865" t="s">
        <v>593</v>
      </c>
      <c r="Q1501" s="865" t="s">
        <v>70</v>
      </c>
      <c r="R1501" s="867">
        <v>1.273606768E7</v>
      </c>
      <c r="S1501" s="867">
        <v>1.404554658E7</v>
      </c>
      <c r="T1501" s="868">
        <v>1.158284639E7</v>
      </c>
      <c r="AN1501" s="882"/>
      <c r="AO1501" s="882"/>
      <c r="AP1501" s="882"/>
      <c r="AY1501" s="882"/>
      <c r="AZ1501" s="882"/>
      <c r="BA1501" s="882"/>
      <c r="BJ1501" s="882"/>
      <c r="BK1501" s="882"/>
      <c r="BL1501" s="882"/>
      <c r="BU1501" s="882"/>
      <c r="BV1501" s="882"/>
      <c r="BW1501" s="882"/>
      <c r="CF1501" s="882"/>
      <c r="CG1501" s="882"/>
      <c r="CH1501" s="882"/>
      <c r="CI1501" s="530"/>
    </row>
    <row r="1502">
      <c r="A1502" s="857"/>
      <c r="B1502" s="865" t="s">
        <v>662</v>
      </c>
      <c r="C1502" s="865" t="s">
        <v>591</v>
      </c>
      <c r="D1502" s="865" t="s">
        <v>680</v>
      </c>
      <c r="E1502" s="866">
        <v>2019.0</v>
      </c>
      <c r="F1502" s="865" t="s">
        <v>593</v>
      </c>
      <c r="G1502" s="865" t="s">
        <v>70</v>
      </c>
      <c r="H1502" s="867">
        <v>961061.0008</v>
      </c>
      <c r="I1502" s="867">
        <v>1023637.326</v>
      </c>
      <c r="J1502" s="868">
        <v>902383.0976</v>
      </c>
      <c r="K1502" s="50"/>
      <c r="L1502" s="869" t="s">
        <v>662</v>
      </c>
      <c r="M1502" s="865" t="s">
        <v>591</v>
      </c>
      <c r="N1502" s="865" t="s">
        <v>680</v>
      </c>
      <c r="O1502" s="866">
        <v>2004.0</v>
      </c>
      <c r="P1502" s="865" t="s">
        <v>593</v>
      </c>
      <c r="Q1502" s="865" t="s">
        <v>70</v>
      </c>
      <c r="R1502" s="867">
        <v>612775.6188</v>
      </c>
      <c r="S1502" s="867">
        <v>632376.2869</v>
      </c>
      <c r="T1502" s="868">
        <v>592597.7792</v>
      </c>
      <c r="AN1502" s="882"/>
      <c r="AO1502" s="882"/>
      <c r="AP1502" s="882"/>
      <c r="AY1502" s="882"/>
      <c r="AZ1502" s="882"/>
      <c r="BA1502" s="882"/>
      <c r="BJ1502" s="882"/>
      <c r="BK1502" s="882"/>
      <c r="BL1502" s="882"/>
      <c r="BU1502" s="882"/>
      <c r="BV1502" s="882"/>
      <c r="BW1502" s="882"/>
      <c r="CF1502" s="882"/>
      <c r="CG1502" s="882"/>
      <c r="CH1502" s="882"/>
      <c r="CI1502" s="530"/>
    </row>
    <row r="1503">
      <c r="A1503" s="857"/>
      <c r="B1503" s="865" t="s">
        <v>662</v>
      </c>
      <c r="C1503" s="865" t="s">
        <v>591</v>
      </c>
      <c r="D1503" s="865" t="s">
        <v>682</v>
      </c>
      <c r="E1503" s="866">
        <v>2019.0</v>
      </c>
      <c r="F1503" s="865" t="s">
        <v>593</v>
      </c>
      <c r="G1503" s="865" t="s">
        <v>70</v>
      </c>
      <c r="H1503" s="867">
        <v>18323.79469</v>
      </c>
      <c r="I1503" s="867">
        <v>20790.90457</v>
      </c>
      <c r="J1503" s="868">
        <v>15990.11155</v>
      </c>
      <c r="K1503" s="50"/>
      <c r="L1503" s="869" t="s">
        <v>662</v>
      </c>
      <c r="M1503" s="865" t="s">
        <v>591</v>
      </c>
      <c r="N1503" s="865" t="s">
        <v>682</v>
      </c>
      <c r="O1503" s="866">
        <v>2004.0</v>
      </c>
      <c r="P1503" s="865" t="s">
        <v>593</v>
      </c>
      <c r="Q1503" s="865" t="s">
        <v>70</v>
      </c>
      <c r="R1503" s="867">
        <v>11723.21669</v>
      </c>
      <c r="S1503" s="867">
        <v>12928.55771</v>
      </c>
      <c r="T1503" s="868">
        <v>10661.7067</v>
      </c>
      <c r="AN1503" s="882"/>
      <c r="AO1503" s="882"/>
      <c r="AP1503" s="882"/>
      <c r="AY1503" s="882"/>
      <c r="AZ1503" s="882"/>
      <c r="BA1503" s="882"/>
      <c r="BJ1503" s="882"/>
      <c r="BK1503" s="882"/>
      <c r="BL1503" s="882"/>
      <c r="BU1503" s="882"/>
      <c r="BV1503" s="882"/>
      <c r="BW1503" s="882"/>
      <c r="CF1503" s="882"/>
      <c r="CG1503" s="882"/>
      <c r="CH1503" s="882"/>
      <c r="CI1503" s="530"/>
    </row>
    <row r="1504">
      <c r="A1504" s="857"/>
      <c r="B1504" s="865" t="s">
        <v>662</v>
      </c>
      <c r="C1504" s="865" t="s">
        <v>591</v>
      </c>
      <c r="D1504" s="865" t="s">
        <v>684</v>
      </c>
      <c r="E1504" s="866">
        <v>2019.0</v>
      </c>
      <c r="F1504" s="865" t="s">
        <v>593</v>
      </c>
      <c r="G1504" s="865" t="s">
        <v>70</v>
      </c>
      <c r="H1504" s="867">
        <v>53784.0773</v>
      </c>
      <c r="I1504" s="867">
        <v>61025.54834</v>
      </c>
      <c r="J1504" s="868">
        <v>46934.24098</v>
      </c>
      <c r="K1504" s="50"/>
      <c r="L1504" s="869" t="s">
        <v>662</v>
      </c>
      <c r="M1504" s="865" t="s">
        <v>591</v>
      </c>
      <c r="N1504" s="865" t="s">
        <v>684</v>
      </c>
      <c r="O1504" s="866">
        <v>2004.0</v>
      </c>
      <c r="P1504" s="865" t="s">
        <v>593</v>
      </c>
      <c r="Q1504" s="865" t="s">
        <v>70</v>
      </c>
      <c r="R1504" s="867">
        <v>34253.28127</v>
      </c>
      <c r="S1504" s="867">
        <v>37775.08644</v>
      </c>
      <c r="T1504" s="868">
        <v>31151.72636</v>
      </c>
      <c r="AN1504" s="882"/>
      <c r="AO1504" s="882"/>
      <c r="AP1504" s="882"/>
      <c r="AY1504" s="882"/>
      <c r="AZ1504" s="882"/>
      <c r="BA1504" s="882"/>
      <c r="BJ1504" s="882"/>
      <c r="BK1504" s="882"/>
      <c r="BL1504" s="882"/>
      <c r="BU1504" s="882"/>
      <c r="BV1504" s="882"/>
      <c r="BW1504" s="882"/>
      <c r="CF1504" s="882"/>
      <c r="CG1504" s="882"/>
      <c r="CH1504" s="882"/>
      <c r="CI1504" s="530"/>
    </row>
    <row r="1505">
      <c r="A1505" s="857"/>
      <c r="B1505" s="865" t="s">
        <v>662</v>
      </c>
      <c r="C1505" s="865" t="s">
        <v>591</v>
      </c>
      <c r="D1505" s="865" t="s">
        <v>686</v>
      </c>
      <c r="E1505" s="866">
        <v>2019.0</v>
      </c>
      <c r="F1505" s="865" t="s">
        <v>593</v>
      </c>
      <c r="G1505" s="865" t="s">
        <v>70</v>
      </c>
      <c r="H1505" s="867">
        <v>72107.872</v>
      </c>
      <c r="I1505" s="867">
        <v>81816.45291</v>
      </c>
      <c r="J1505" s="868">
        <v>62924.35253</v>
      </c>
      <c r="K1505" s="50"/>
      <c r="L1505" s="869" t="s">
        <v>662</v>
      </c>
      <c r="M1505" s="865" t="s">
        <v>591</v>
      </c>
      <c r="N1505" s="865" t="s">
        <v>686</v>
      </c>
      <c r="O1505" s="866">
        <v>2004.0</v>
      </c>
      <c r="P1505" s="865" t="s">
        <v>593</v>
      </c>
      <c r="Q1505" s="865" t="s">
        <v>70</v>
      </c>
      <c r="R1505" s="867">
        <v>45976.49795</v>
      </c>
      <c r="S1505" s="867">
        <v>50703.64415</v>
      </c>
      <c r="T1505" s="868">
        <v>41813.43306</v>
      </c>
      <c r="AN1505" s="882"/>
      <c r="AO1505" s="882"/>
      <c r="AP1505" s="882"/>
      <c r="AY1505" s="882"/>
      <c r="AZ1505" s="882"/>
      <c r="BA1505" s="882"/>
      <c r="BJ1505" s="882"/>
      <c r="BK1505" s="882"/>
      <c r="BL1505" s="882"/>
      <c r="BU1505" s="882"/>
      <c r="BV1505" s="882"/>
      <c r="BW1505" s="882"/>
      <c r="CF1505" s="882"/>
      <c r="CG1505" s="882"/>
      <c r="CH1505" s="882"/>
      <c r="CI1505" s="530"/>
    </row>
    <row r="1506">
      <c r="A1506" s="857"/>
      <c r="B1506" s="865" t="s">
        <v>662</v>
      </c>
      <c r="C1506" s="865" t="s">
        <v>591</v>
      </c>
      <c r="D1506" s="865" t="s">
        <v>688</v>
      </c>
      <c r="E1506" s="866">
        <v>2019.0</v>
      </c>
      <c r="F1506" s="865" t="s">
        <v>593</v>
      </c>
      <c r="G1506" s="865" t="s">
        <v>70</v>
      </c>
      <c r="H1506" s="867">
        <v>829907.1563</v>
      </c>
      <c r="I1506" s="867">
        <v>941645.5914</v>
      </c>
      <c r="J1506" s="868">
        <v>724211.7819</v>
      </c>
      <c r="K1506" s="50"/>
      <c r="L1506" s="869" t="s">
        <v>662</v>
      </c>
      <c r="M1506" s="865" t="s">
        <v>591</v>
      </c>
      <c r="N1506" s="865" t="s">
        <v>688</v>
      </c>
      <c r="O1506" s="866">
        <v>2004.0</v>
      </c>
      <c r="P1506" s="865" t="s">
        <v>593</v>
      </c>
      <c r="Q1506" s="865" t="s">
        <v>70</v>
      </c>
      <c r="R1506" s="867">
        <v>525140.5037</v>
      </c>
      <c r="S1506" s="867">
        <v>579133.6534</v>
      </c>
      <c r="T1506" s="868">
        <v>477590.2532</v>
      </c>
      <c r="AN1506" s="882"/>
      <c r="AO1506" s="882"/>
      <c r="AP1506" s="882"/>
      <c r="AY1506" s="882"/>
      <c r="AZ1506" s="882"/>
      <c r="BA1506" s="882"/>
      <c r="BJ1506" s="882"/>
      <c r="BK1506" s="882"/>
      <c r="BL1506" s="882"/>
      <c r="BU1506" s="882"/>
      <c r="BV1506" s="882"/>
      <c r="BW1506" s="882"/>
      <c r="CF1506" s="882"/>
      <c r="CG1506" s="882"/>
      <c r="CH1506" s="882"/>
      <c r="CI1506" s="530"/>
    </row>
    <row r="1507">
      <c r="A1507" s="857"/>
      <c r="B1507" s="865" t="s">
        <v>662</v>
      </c>
      <c r="C1507" s="865" t="s">
        <v>591</v>
      </c>
      <c r="D1507" s="865" t="s">
        <v>689</v>
      </c>
      <c r="E1507" s="866">
        <v>2019.0</v>
      </c>
      <c r="F1507" s="865" t="s">
        <v>593</v>
      </c>
      <c r="G1507" s="865" t="s">
        <v>70</v>
      </c>
      <c r="H1507" s="867">
        <v>4064332.091</v>
      </c>
      <c r="I1507" s="867">
        <v>4611552.469</v>
      </c>
      <c r="J1507" s="868">
        <v>3546706.597</v>
      </c>
      <c r="K1507" s="50"/>
      <c r="L1507" s="869" t="s">
        <v>662</v>
      </c>
      <c r="M1507" s="865" t="s">
        <v>591</v>
      </c>
      <c r="N1507" s="865" t="s">
        <v>689</v>
      </c>
      <c r="O1507" s="866">
        <v>2004.0</v>
      </c>
      <c r="P1507" s="865" t="s">
        <v>593</v>
      </c>
      <c r="Q1507" s="865" t="s">
        <v>70</v>
      </c>
      <c r="R1507" s="867">
        <v>2521314.775</v>
      </c>
      <c r="S1507" s="867">
        <v>2780547.733</v>
      </c>
      <c r="T1507" s="868">
        <v>2293015.59</v>
      </c>
      <c r="AN1507" s="882"/>
      <c r="AO1507" s="882"/>
      <c r="AP1507" s="882"/>
      <c r="AY1507" s="882"/>
      <c r="AZ1507" s="882"/>
      <c r="BA1507" s="882"/>
      <c r="BJ1507" s="882"/>
      <c r="BK1507" s="882"/>
      <c r="BL1507" s="882"/>
      <c r="BU1507" s="882"/>
      <c r="BV1507" s="882"/>
      <c r="BW1507" s="882"/>
      <c r="CF1507" s="882"/>
      <c r="CG1507" s="882"/>
      <c r="CH1507" s="882"/>
      <c r="CI1507" s="530"/>
    </row>
    <row r="1508">
      <c r="A1508" s="857"/>
      <c r="B1508" s="865" t="s">
        <v>664</v>
      </c>
      <c r="C1508" s="865" t="s">
        <v>591</v>
      </c>
      <c r="D1508" s="865" t="s">
        <v>592</v>
      </c>
      <c r="E1508" s="866">
        <v>2019.0</v>
      </c>
      <c r="F1508" s="865" t="s">
        <v>593</v>
      </c>
      <c r="G1508" s="865" t="s">
        <v>70</v>
      </c>
      <c r="H1508" s="867">
        <v>105592.8694</v>
      </c>
      <c r="I1508" s="867">
        <v>116843.9214</v>
      </c>
      <c r="J1508" s="868">
        <v>93693.12712</v>
      </c>
      <c r="K1508" s="50"/>
      <c r="L1508" s="869" t="s">
        <v>664</v>
      </c>
      <c r="M1508" s="865" t="s">
        <v>591</v>
      </c>
      <c r="N1508" s="865" t="s">
        <v>592</v>
      </c>
      <c r="O1508" s="866">
        <v>2004.0</v>
      </c>
      <c r="P1508" s="865" t="s">
        <v>593</v>
      </c>
      <c r="Q1508" s="865" t="s">
        <v>70</v>
      </c>
      <c r="R1508" s="867">
        <v>102880.2624</v>
      </c>
      <c r="S1508" s="867">
        <v>112631.7883</v>
      </c>
      <c r="T1508" s="868">
        <v>93396.55852</v>
      </c>
      <c r="AN1508" s="882"/>
      <c r="AO1508" s="882"/>
      <c r="AP1508" s="882"/>
      <c r="AY1508" s="882"/>
      <c r="AZ1508" s="882"/>
      <c r="BA1508" s="882"/>
      <c r="BJ1508" s="882"/>
      <c r="BK1508" s="882"/>
      <c r="BL1508" s="882"/>
      <c r="BU1508" s="882"/>
      <c r="BV1508" s="882"/>
      <c r="BW1508" s="882"/>
      <c r="CF1508" s="882"/>
      <c r="CG1508" s="882"/>
      <c r="CH1508" s="882"/>
      <c r="CI1508" s="530"/>
    </row>
    <row r="1509">
      <c r="A1509" s="857"/>
      <c r="B1509" s="865" t="s">
        <v>664</v>
      </c>
      <c r="C1509" s="865" t="s">
        <v>591</v>
      </c>
      <c r="D1509" s="865" t="s">
        <v>601</v>
      </c>
      <c r="E1509" s="866">
        <v>2019.0</v>
      </c>
      <c r="F1509" s="865" t="s">
        <v>593</v>
      </c>
      <c r="G1509" s="865" t="s">
        <v>70</v>
      </c>
      <c r="H1509" s="867">
        <v>2062286.661</v>
      </c>
      <c r="I1509" s="867">
        <v>2282025.878</v>
      </c>
      <c r="J1509" s="868">
        <v>1829878.166</v>
      </c>
      <c r="K1509" s="50"/>
      <c r="L1509" s="869" t="s">
        <v>664</v>
      </c>
      <c r="M1509" s="865" t="s">
        <v>591</v>
      </c>
      <c r="N1509" s="865" t="s">
        <v>601</v>
      </c>
      <c r="O1509" s="866">
        <v>2004.0</v>
      </c>
      <c r="P1509" s="865" t="s">
        <v>593</v>
      </c>
      <c r="Q1509" s="865" t="s">
        <v>70</v>
      </c>
      <c r="R1509" s="867">
        <v>1558894.209</v>
      </c>
      <c r="S1509" s="867">
        <v>1706654.304</v>
      </c>
      <c r="T1509" s="868">
        <v>1415192.292</v>
      </c>
      <c r="AN1509" s="882"/>
      <c r="AO1509" s="882"/>
      <c r="AP1509" s="882"/>
      <c r="AY1509" s="882"/>
      <c r="AZ1509" s="882"/>
      <c r="BA1509" s="882"/>
      <c r="BJ1509" s="882"/>
      <c r="BK1509" s="882"/>
      <c r="BL1509" s="882"/>
      <c r="BU1509" s="882"/>
      <c r="BV1509" s="882"/>
      <c r="BW1509" s="882"/>
      <c r="CF1509" s="882"/>
      <c r="CG1509" s="882"/>
      <c r="CH1509" s="882"/>
      <c r="CI1509" s="530"/>
    </row>
    <row r="1510">
      <c r="A1510" s="857"/>
      <c r="B1510" s="865" t="s">
        <v>664</v>
      </c>
      <c r="C1510" s="865" t="s">
        <v>591</v>
      </c>
      <c r="D1510" s="865" t="s">
        <v>606</v>
      </c>
      <c r="E1510" s="866">
        <v>2019.0</v>
      </c>
      <c r="F1510" s="865" t="s">
        <v>593</v>
      </c>
      <c r="G1510" s="865" t="s">
        <v>70</v>
      </c>
      <c r="H1510" s="867">
        <v>1612605.485</v>
      </c>
      <c r="I1510" s="867">
        <v>1784430.611</v>
      </c>
      <c r="J1510" s="868">
        <v>1430873.614</v>
      </c>
      <c r="K1510" s="50"/>
      <c r="L1510" s="869" t="s">
        <v>664</v>
      </c>
      <c r="M1510" s="865" t="s">
        <v>591</v>
      </c>
      <c r="N1510" s="865" t="s">
        <v>606</v>
      </c>
      <c r="O1510" s="866">
        <v>2004.0</v>
      </c>
      <c r="P1510" s="865" t="s">
        <v>593</v>
      </c>
      <c r="Q1510" s="865" t="s">
        <v>70</v>
      </c>
      <c r="R1510" s="867">
        <v>1256521.874</v>
      </c>
      <c r="S1510" s="867">
        <v>1375621.548</v>
      </c>
      <c r="T1510" s="868">
        <v>1140693.23</v>
      </c>
      <c r="AN1510" s="882"/>
      <c r="AO1510" s="882"/>
      <c r="AP1510" s="882"/>
      <c r="AY1510" s="882"/>
      <c r="AZ1510" s="882"/>
      <c r="BA1510" s="882"/>
      <c r="BJ1510" s="882"/>
      <c r="BK1510" s="882"/>
      <c r="BL1510" s="882"/>
      <c r="BU1510" s="882"/>
      <c r="BV1510" s="882"/>
      <c r="BW1510" s="882"/>
      <c r="CF1510" s="882"/>
      <c r="CG1510" s="882"/>
      <c r="CH1510" s="882"/>
      <c r="CI1510" s="530"/>
    </row>
    <row r="1511">
      <c r="A1511" s="857"/>
      <c r="B1511" s="865" t="s">
        <v>664</v>
      </c>
      <c r="C1511" s="865" t="s">
        <v>591</v>
      </c>
      <c r="D1511" s="865" t="s">
        <v>608</v>
      </c>
      <c r="E1511" s="866">
        <v>2019.0</v>
      </c>
      <c r="F1511" s="865" t="s">
        <v>593</v>
      </c>
      <c r="G1511" s="865" t="s">
        <v>70</v>
      </c>
      <c r="H1511" s="867">
        <v>425634.6129</v>
      </c>
      <c r="I1511" s="867">
        <v>470986.512</v>
      </c>
      <c r="J1511" s="868">
        <v>377667.9061</v>
      </c>
      <c r="K1511" s="50"/>
      <c r="L1511" s="869" t="s">
        <v>664</v>
      </c>
      <c r="M1511" s="865" t="s">
        <v>591</v>
      </c>
      <c r="N1511" s="865" t="s">
        <v>608</v>
      </c>
      <c r="O1511" s="866">
        <v>2004.0</v>
      </c>
      <c r="P1511" s="865" t="s">
        <v>593</v>
      </c>
      <c r="Q1511" s="865" t="s">
        <v>70</v>
      </c>
      <c r="R1511" s="867">
        <v>383954.898</v>
      </c>
      <c r="S1511" s="867">
        <v>420348.1386</v>
      </c>
      <c r="T1511" s="868">
        <v>348561.1844</v>
      </c>
      <c r="AN1511" s="882"/>
      <c r="AO1511" s="882"/>
      <c r="AP1511" s="882"/>
      <c r="AY1511" s="882"/>
      <c r="AZ1511" s="882"/>
      <c r="BA1511" s="882"/>
      <c r="BJ1511" s="882"/>
      <c r="BK1511" s="882"/>
      <c r="BL1511" s="882"/>
      <c r="BU1511" s="882"/>
      <c r="BV1511" s="882"/>
      <c r="BW1511" s="882"/>
      <c r="CF1511" s="882"/>
      <c r="CG1511" s="882"/>
      <c r="CH1511" s="882"/>
      <c r="CI1511" s="530"/>
    </row>
    <row r="1512">
      <c r="A1512" s="857"/>
      <c r="B1512" s="865" t="s">
        <v>664</v>
      </c>
      <c r="C1512" s="865" t="s">
        <v>591</v>
      </c>
      <c r="D1512" s="865" t="s">
        <v>610</v>
      </c>
      <c r="E1512" s="866">
        <v>2019.0</v>
      </c>
      <c r="F1512" s="865" t="s">
        <v>593</v>
      </c>
      <c r="G1512" s="865" t="s">
        <v>70</v>
      </c>
      <c r="H1512" s="867">
        <v>527022.0734</v>
      </c>
      <c r="I1512" s="867">
        <v>583176.9329</v>
      </c>
      <c r="J1512" s="868">
        <v>467629.5511</v>
      </c>
      <c r="K1512" s="50"/>
      <c r="L1512" s="869" t="s">
        <v>664</v>
      </c>
      <c r="M1512" s="865" t="s">
        <v>591</v>
      </c>
      <c r="N1512" s="865" t="s">
        <v>610</v>
      </c>
      <c r="O1512" s="866">
        <v>2004.0</v>
      </c>
      <c r="P1512" s="865" t="s">
        <v>593</v>
      </c>
      <c r="Q1512" s="865" t="s">
        <v>70</v>
      </c>
      <c r="R1512" s="867">
        <v>350040.321</v>
      </c>
      <c r="S1512" s="867">
        <v>383218.9617</v>
      </c>
      <c r="T1512" s="868">
        <v>317772.9194</v>
      </c>
      <c r="AN1512" s="882"/>
      <c r="AO1512" s="882"/>
      <c r="AP1512" s="882"/>
      <c r="AY1512" s="882"/>
      <c r="AZ1512" s="882"/>
      <c r="BA1512" s="882"/>
      <c r="BJ1512" s="882"/>
      <c r="BK1512" s="882"/>
      <c r="BL1512" s="882"/>
      <c r="BU1512" s="882"/>
      <c r="BV1512" s="882"/>
      <c r="BW1512" s="882"/>
      <c r="CF1512" s="882"/>
      <c r="CG1512" s="882"/>
      <c r="CH1512" s="882"/>
      <c r="CI1512" s="530"/>
    </row>
    <row r="1513">
      <c r="A1513" s="857"/>
      <c r="B1513" s="865" t="s">
        <v>664</v>
      </c>
      <c r="C1513" s="865" t="s">
        <v>591</v>
      </c>
      <c r="D1513" s="865" t="s">
        <v>612</v>
      </c>
      <c r="E1513" s="866">
        <v>2019.0</v>
      </c>
      <c r="F1513" s="865" t="s">
        <v>593</v>
      </c>
      <c r="G1513" s="865" t="s">
        <v>70</v>
      </c>
      <c r="H1513" s="867">
        <v>976703.2494</v>
      </c>
      <c r="I1513" s="867">
        <v>1080772.199</v>
      </c>
      <c r="J1513" s="868">
        <v>866634.1033</v>
      </c>
      <c r="K1513" s="50"/>
      <c r="L1513" s="869" t="s">
        <v>664</v>
      </c>
      <c r="M1513" s="865" t="s">
        <v>591</v>
      </c>
      <c r="N1513" s="865" t="s">
        <v>612</v>
      </c>
      <c r="O1513" s="866">
        <v>2004.0</v>
      </c>
      <c r="P1513" s="865" t="s">
        <v>593</v>
      </c>
      <c r="Q1513" s="865" t="s">
        <v>70</v>
      </c>
      <c r="R1513" s="867">
        <v>652412.6561</v>
      </c>
      <c r="S1513" s="867">
        <v>714251.7182</v>
      </c>
      <c r="T1513" s="868">
        <v>592271.9812</v>
      </c>
      <c r="AN1513" s="882"/>
      <c r="AO1513" s="882"/>
      <c r="AP1513" s="882"/>
      <c r="AY1513" s="882"/>
      <c r="AZ1513" s="882"/>
      <c r="BA1513" s="882"/>
      <c r="BJ1513" s="882"/>
      <c r="BK1513" s="882"/>
      <c r="BL1513" s="882"/>
      <c r="BU1513" s="882"/>
      <c r="BV1513" s="882"/>
      <c r="BW1513" s="882"/>
      <c r="CF1513" s="882"/>
      <c r="CG1513" s="882"/>
      <c r="CH1513" s="882"/>
      <c r="CI1513" s="530"/>
    </row>
    <row r="1514">
      <c r="A1514" s="857"/>
      <c r="B1514" s="865" t="s">
        <v>664</v>
      </c>
      <c r="C1514" s="865" t="s">
        <v>591</v>
      </c>
      <c r="D1514" s="865" t="s">
        <v>614</v>
      </c>
      <c r="E1514" s="866">
        <v>2019.0</v>
      </c>
      <c r="F1514" s="865" t="s">
        <v>593</v>
      </c>
      <c r="G1514" s="865" t="s">
        <v>70</v>
      </c>
      <c r="H1514" s="867">
        <v>1346980.89</v>
      </c>
      <c r="I1514" s="867">
        <v>1490503.385</v>
      </c>
      <c r="J1514" s="868">
        <v>1195183.467</v>
      </c>
      <c r="K1514" s="50"/>
      <c r="L1514" s="869" t="s">
        <v>664</v>
      </c>
      <c r="M1514" s="865" t="s">
        <v>591</v>
      </c>
      <c r="N1514" s="865" t="s">
        <v>614</v>
      </c>
      <c r="O1514" s="866">
        <v>2004.0</v>
      </c>
      <c r="P1514" s="865" t="s">
        <v>593</v>
      </c>
      <c r="Q1514" s="865" t="s">
        <v>70</v>
      </c>
      <c r="R1514" s="867">
        <v>905215.917</v>
      </c>
      <c r="S1514" s="867">
        <v>991016.986</v>
      </c>
      <c r="T1514" s="868">
        <v>821771.343</v>
      </c>
      <c r="AN1514" s="882"/>
      <c r="AO1514" s="882"/>
      <c r="AP1514" s="882"/>
      <c r="AY1514" s="882"/>
      <c r="AZ1514" s="882"/>
      <c r="BA1514" s="882"/>
      <c r="BJ1514" s="882"/>
      <c r="BK1514" s="882"/>
      <c r="BL1514" s="882"/>
      <c r="BU1514" s="882"/>
      <c r="BV1514" s="882"/>
      <c r="BW1514" s="882"/>
      <c r="CF1514" s="882"/>
      <c r="CG1514" s="882"/>
      <c r="CH1514" s="882"/>
      <c r="CI1514" s="530"/>
    </row>
    <row r="1515">
      <c r="A1515" s="857"/>
      <c r="B1515" s="865" t="s">
        <v>664</v>
      </c>
      <c r="C1515" s="865" t="s">
        <v>591</v>
      </c>
      <c r="D1515" s="865" t="s">
        <v>616</v>
      </c>
      <c r="E1515" s="866">
        <v>2019.0</v>
      </c>
      <c r="F1515" s="865" t="s">
        <v>593</v>
      </c>
      <c r="G1515" s="865" t="s">
        <v>70</v>
      </c>
      <c r="H1515" s="867">
        <v>449681.1759</v>
      </c>
      <c r="I1515" s="867">
        <v>497595.2663</v>
      </c>
      <c r="J1515" s="868">
        <v>399004.5522</v>
      </c>
      <c r="K1515" s="50"/>
      <c r="L1515" s="869" t="s">
        <v>664</v>
      </c>
      <c r="M1515" s="865" t="s">
        <v>591</v>
      </c>
      <c r="N1515" s="865" t="s">
        <v>616</v>
      </c>
      <c r="O1515" s="866">
        <v>2004.0</v>
      </c>
      <c r="P1515" s="865" t="s">
        <v>593</v>
      </c>
      <c r="Q1515" s="865" t="s">
        <v>70</v>
      </c>
      <c r="R1515" s="867">
        <v>302372.3351</v>
      </c>
      <c r="S1515" s="867">
        <v>331032.7565</v>
      </c>
      <c r="T1515" s="868">
        <v>274499.0618</v>
      </c>
      <c r="AN1515" s="882"/>
      <c r="AO1515" s="882"/>
      <c r="AP1515" s="882"/>
      <c r="AY1515" s="882"/>
      <c r="AZ1515" s="882"/>
      <c r="BA1515" s="882"/>
      <c r="BJ1515" s="882"/>
      <c r="BK1515" s="882"/>
      <c r="BL1515" s="882"/>
      <c r="BU1515" s="882"/>
      <c r="BV1515" s="882"/>
      <c r="BW1515" s="882"/>
      <c r="CF1515" s="882"/>
      <c r="CG1515" s="882"/>
      <c r="CH1515" s="882"/>
      <c r="CI1515" s="530"/>
    </row>
    <row r="1516">
      <c r="A1516" s="857"/>
      <c r="B1516" s="865" t="s">
        <v>664</v>
      </c>
      <c r="C1516" s="865" t="s">
        <v>591</v>
      </c>
      <c r="D1516" s="865" t="s">
        <v>618</v>
      </c>
      <c r="E1516" s="866">
        <v>2019.0</v>
      </c>
      <c r="F1516" s="865" t="s">
        <v>593</v>
      </c>
      <c r="G1516" s="865" t="s">
        <v>70</v>
      </c>
      <c r="H1516" s="867">
        <v>1606864.16</v>
      </c>
      <c r="I1516" s="867">
        <v>1778058.576</v>
      </c>
      <c r="J1516" s="868">
        <v>1425643.599</v>
      </c>
      <c r="K1516" s="50"/>
      <c r="L1516" s="869" t="s">
        <v>664</v>
      </c>
      <c r="M1516" s="865" t="s">
        <v>591</v>
      </c>
      <c r="N1516" s="865" t="s">
        <v>618</v>
      </c>
      <c r="O1516" s="866">
        <v>2004.0</v>
      </c>
      <c r="P1516" s="865" t="s">
        <v>593</v>
      </c>
      <c r="Q1516" s="865" t="s">
        <v>70</v>
      </c>
      <c r="R1516" s="867">
        <v>1095491.256</v>
      </c>
      <c r="S1516" s="867">
        <v>1199308.77</v>
      </c>
      <c r="T1516" s="868">
        <v>994457.37</v>
      </c>
      <c r="AN1516" s="882"/>
      <c r="AO1516" s="882"/>
      <c r="AP1516" s="882"/>
      <c r="AY1516" s="882"/>
      <c r="AZ1516" s="882"/>
      <c r="BA1516" s="882"/>
      <c r="BJ1516" s="882"/>
      <c r="BK1516" s="882"/>
      <c r="BL1516" s="882"/>
      <c r="BU1516" s="882"/>
      <c r="BV1516" s="882"/>
      <c r="BW1516" s="882"/>
      <c r="CF1516" s="882"/>
      <c r="CG1516" s="882"/>
      <c r="CH1516" s="882"/>
      <c r="CI1516" s="530"/>
    </row>
    <row r="1517">
      <c r="A1517" s="857"/>
      <c r="B1517" s="865" t="s">
        <v>664</v>
      </c>
      <c r="C1517" s="865" t="s">
        <v>591</v>
      </c>
      <c r="D1517" s="865" t="s">
        <v>620</v>
      </c>
      <c r="E1517" s="866">
        <v>2019.0</v>
      </c>
      <c r="F1517" s="865" t="s">
        <v>593</v>
      </c>
      <c r="G1517" s="865" t="s">
        <v>70</v>
      </c>
      <c r="H1517" s="867">
        <v>1937221.615</v>
      </c>
      <c r="I1517" s="867">
        <v>2143634.995</v>
      </c>
      <c r="J1517" s="868">
        <v>1718907.271</v>
      </c>
      <c r="K1517" s="50"/>
      <c r="L1517" s="869" t="s">
        <v>664</v>
      </c>
      <c r="M1517" s="865" t="s">
        <v>591</v>
      </c>
      <c r="N1517" s="865" t="s">
        <v>620</v>
      </c>
      <c r="O1517" s="866">
        <v>2004.0</v>
      </c>
      <c r="P1517" s="865" t="s">
        <v>593</v>
      </c>
      <c r="Q1517" s="865" t="s">
        <v>70</v>
      </c>
      <c r="R1517" s="867">
        <v>1329328.865</v>
      </c>
      <c r="S1517" s="867">
        <v>1455329.564</v>
      </c>
      <c r="T1517" s="868">
        <v>1206788.73</v>
      </c>
      <c r="AN1517" s="882"/>
      <c r="AO1517" s="882"/>
      <c r="AP1517" s="882"/>
      <c r="AY1517" s="882"/>
      <c r="AZ1517" s="882"/>
      <c r="BA1517" s="882"/>
      <c r="BJ1517" s="882"/>
      <c r="BK1517" s="882"/>
      <c r="BL1517" s="882"/>
      <c r="BU1517" s="882"/>
      <c r="BV1517" s="882"/>
      <c r="BW1517" s="882"/>
      <c r="CF1517" s="882"/>
      <c r="CG1517" s="882"/>
      <c r="CH1517" s="882"/>
      <c r="CI1517" s="530"/>
    </row>
    <row r="1518">
      <c r="A1518" s="857"/>
      <c r="B1518" s="865" t="s">
        <v>664</v>
      </c>
      <c r="C1518" s="865" t="s">
        <v>591</v>
      </c>
      <c r="D1518" s="865" t="s">
        <v>622</v>
      </c>
      <c r="E1518" s="866">
        <v>2019.0</v>
      </c>
      <c r="F1518" s="865" t="s">
        <v>593</v>
      </c>
      <c r="G1518" s="865" t="s">
        <v>70</v>
      </c>
      <c r="H1518" s="867">
        <v>1952055.907</v>
      </c>
      <c r="I1518" s="867">
        <v>2160026.86</v>
      </c>
      <c r="J1518" s="868">
        <v>1731904.96</v>
      </c>
      <c r="K1518" s="50"/>
      <c r="L1518" s="869" t="s">
        <v>664</v>
      </c>
      <c r="M1518" s="865" t="s">
        <v>591</v>
      </c>
      <c r="N1518" s="865" t="s">
        <v>622</v>
      </c>
      <c r="O1518" s="866">
        <v>2004.0</v>
      </c>
      <c r="P1518" s="865" t="s">
        <v>593</v>
      </c>
      <c r="Q1518" s="865" t="s">
        <v>70</v>
      </c>
      <c r="R1518" s="867">
        <v>1315126.761</v>
      </c>
      <c r="S1518" s="867">
        <v>1439758.693</v>
      </c>
      <c r="T1518" s="868">
        <v>1193836.549</v>
      </c>
      <c r="AN1518" s="882"/>
      <c r="AO1518" s="882"/>
      <c r="AP1518" s="882"/>
      <c r="AY1518" s="882"/>
      <c r="AZ1518" s="882"/>
      <c r="BA1518" s="882"/>
      <c r="BJ1518" s="882"/>
      <c r="BK1518" s="882"/>
      <c r="BL1518" s="882"/>
      <c r="BU1518" s="882"/>
      <c r="BV1518" s="882"/>
      <c r="BW1518" s="882"/>
      <c r="CF1518" s="882"/>
      <c r="CG1518" s="882"/>
      <c r="CH1518" s="882"/>
      <c r="CI1518" s="530"/>
    </row>
    <row r="1519">
      <c r="A1519" s="857"/>
      <c r="B1519" s="865" t="s">
        <v>664</v>
      </c>
      <c r="C1519" s="865" t="s">
        <v>591</v>
      </c>
      <c r="D1519" s="865" t="s">
        <v>624</v>
      </c>
      <c r="E1519" s="866">
        <v>2019.0</v>
      </c>
      <c r="F1519" s="865" t="s">
        <v>593</v>
      </c>
      <c r="G1519" s="865" t="s">
        <v>70</v>
      </c>
      <c r="H1519" s="867">
        <v>370277.6411</v>
      </c>
      <c r="I1519" s="867">
        <v>409731.1857</v>
      </c>
      <c r="J1519" s="868">
        <v>328549.3641</v>
      </c>
      <c r="K1519" s="50"/>
      <c r="L1519" s="869" t="s">
        <v>664</v>
      </c>
      <c r="M1519" s="865" t="s">
        <v>591</v>
      </c>
      <c r="N1519" s="865" t="s">
        <v>624</v>
      </c>
      <c r="O1519" s="866">
        <v>2004.0</v>
      </c>
      <c r="P1519" s="865" t="s">
        <v>593</v>
      </c>
      <c r="Q1519" s="865" t="s">
        <v>70</v>
      </c>
      <c r="R1519" s="867">
        <v>252803.2609</v>
      </c>
      <c r="S1519" s="867">
        <v>276765.2678</v>
      </c>
      <c r="T1519" s="868">
        <v>229499.3618</v>
      </c>
      <c r="AN1519" s="882"/>
      <c r="AO1519" s="882"/>
      <c r="AP1519" s="882"/>
      <c r="AY1519" s="882"/>
      <c r="AZ1519" s="882"/>
      <c r="BA1519" s="882"/>
      <c r="BJ1519" s="882"/>
      <c r="BK1519" s="882"/>
      <c r="BL1519" s="882"/>
      <c r="BU1519" s="882"/>
      <c r="BV1519" s="882"/>
      <c r="BW1519" s="882"/>
      <c r="CF1519" s="882"/>
      <c r="CG1519" s="882"/>
      <c r="CH1519" s="882"/>
      <c r="CI1519" s="530"/>
    </row>
    <row r="1520">
      <c r="A1520" s="857"/>
      <c r="B1520" s="865" t="s">
        <v>664</v>
      </c>
      <c r="C1520" s="865" t="s">
        <v>591</v>
      </c>
      <c r="D1520" s="865" t="s">
        <v>625</v>
      </c>
      <c r="E1520" s="866">
        <v>2019.0</v>
      </c>
      <c r="F1520" s="865" t="s">
        <v>593</v>
      </c>
      <c r="G1520" s="865" t="s">
        <v>70</v>
      </c>
      <c r="H1520" s="867">
        <v>1581709.148</v>
      </c>
      <c r="I1520" s="867">
        <v>1750242.231</v>
      </c>
      <c r="J1520" s="868">
        <v>1403459.127</v>
      </c>
      <c r="K1520" s="50"/>
      <c r="L1520" s="869" t="s">
        <v>664</v>
      </c>
      <c r="M1520" s="865" t="s">
        <v>591</v>
      </c>
      <c r="N1520" s="865" t="s">
        <v>625</v>
      </c>
      <c r="O1520" s="866">
        <v>2004.0</v>
      </c>
      <c r="P1520" s="865" t="s">
        <v>593</v>
      </c>
      <c r="Q1520" s="865" t="s">
        <v>70</v>
      </c>
      <c r="R1520" s="867">
        <v>1062279.501</v>
      </c>
      <c r="S1520" s="867">
        <v>1162967.873</v>
      </c>
      <c r="T1520" s="868">
        <v>964356.4986</v>
      </c>
      <c r="AN1520" s="882"/>
      <c r="AO1520" s="882"/>
      <c r="AP1520" s="882"/>
      <c r="AY1520" s="882"/>
      <c r="AZ1520" s="882"/>
      <c r="BA1520" s="882"/>
      <c r="BJ1520" s="882"/>
      <c r="BK1520" s="882"/>
      <c r="BL1520" s="882"/>
      <c r="BU1520" s="882"/>
      <c r="BV1520" s="882"/>
      <c r="BW1520" s="882"/>
      <c r="CF1520" s="882"/>
      <c r="CG1520" s="882"/>
      <c r="CH1520" s="882"/>
      <c r="CI1520" s="530"/>
    </row>
    <row r="1521">
      <c r="A1521" s="857"/>
      <c r="B1521" s="865" t="s">
        <v>664</v>
      </c>
      <c r="C1521" s="865" t="s">
        <v>591</v>
      </c>
      <c r="D1521" s="865" t="s">
        <v>627</v>
      </c>
      <c r="E1521" s="866">
        <v>2019.0</v>
      </c>
      <c r="F1521" s="865" t="s">
        <v>593</v>
      </c>
      <c r="G1521" s="865" t="s">
        <v>70</v>
      </c>
      <c r="H1521" s="867">
        <v>308121.8545</v>
      </c>
      <c r="I1521" s="867">
        <v>340952.6226</v>
      </c>
      <c r="J1521" s="868">
        <v>273398.1967</v>
      </c>
      <c r="K1521" s="50"/>
      <c r="L1521" s="869" t="s">
        <v>664</v>
      </c>
      <c r="M1521" s="865" t="s">
        <v>591</v>
      </c>
      <c r="N1521" s="865" t="s">
        <v>627</v>
      </c>
      <c r="O1521" s="866">
        <v>2004.0</v>
      </c>
      <c r="P1521" s="865" t="s">
        <v>593</v>
      </c>
      <c r="Q1521" s="865" t="s">
        <v>70</v>
      </c>
      <c r="R1521" s="867">
        <v>210907.4026</v>
      </c>
      <c r="S1521" s="867">
        <v>230898.3023</v>
      </c>
      <c r="T1521" s="868">
        <v>191465.5456</v>
      </c>
      <c r="AN1521" s="882"/>
      <c r="AO1521" s="882"/>
      <c r="AP1521" s="882"/>
      <c r="AY1521" s="882"/>
      <c r="AZ1521" s="882"/>
      <c r="BA1521" s="882"/>
      <c r="BJ1521" s="882"/>
      <c r="BK1521" s="882"/>
      <c r="BL1521" s="882"/>
      <c r="BU1521" s="882"/>
      <c r="BV1521" s="882"/>
      <c r="BW1521" s="882"/>
      <c r="CF1521" s="882"/>
      <c r="CG1521" s="882"/>
      <c r="CH1521" s="882"/>
      <c r="CI1521" s="530"/>
    </row>
    <row r="1522">
      <c r="A1522" s="857"/>
      <c r="B1522" s="865" t="s">
        <v>664</v>
      </c>
      <c r="C1522" s="865" t="s">
        <v>591</v>
      </c>
      <c r="D1522" s="865" t="s">
        <v>629</v>
      </c>
      <c r="E1522" s="866">
        <v>2019.0</v>
      </c>
      <c r="F1522" s="865" t="s">
        <v>593</v>
      </c>
      <c r="G1522" s="865" t="s">
        <v>70</v>
      </c>
      <c r="H1522" s="867">
        <v>1117302.359</v>
      </c>
      <c r="I1522" s="867">
        <v>1236339.133</v>
      </c>
      <c r="J1522" s="868">
        <v>991294.0972</v>
      </c>
      <c r="K1522" s="50"/>
      <c r="L1522" s="869" t="s">
        <v>664</v>
      </c>
      <c r="M1522" s="865" t="s">
        <v>591</v>
      </c>
      <c r="N1522" s="865" t="s">
        <v>629</v>
      </c>
      <c r="O1522" s="866">
        <v>2004.0</v>
      </c>
      <c r="P1522" s="865" t="s">
        <v>593</v>
      </c>
      <c r="Q1522" s="865" t="s">
        <v>70</v>
      </c>
      <c r="R1522" s="867">
        <v>774179.1705</v>
      </c>
      <c r="S1522" s="867">
        <v>847546.5812</v>
      </c>
      <c r="T1522" s="868">
        <v>702778.9383</v>
      </c>
      <c r="AN1522" s="882"/>
      <c r="AO1522" s="882"/>
      <c r="AP1522" s="882"/>
      <c r="AY1522" s="882"/>
      <c r="AZ1522" s="882"/>
      <c r="BA1522" s="882"/>
      <c r="BJ1522" s="882"/>
      <c r="BK1522" s="882"/>
      <c r="BL1522" s="882"/>
      <c r="BU1522" s="882"/>
      <c r="BV1522" s="882"/>
      <c r="BW1522" s="882"/>
      <c r="CF1522" s="882"/>
      <c r="CG1522" s="882"/>
      <c r="CH1522" s="882"/>
      <c r="CI1522" s="530"/>
    </row>
    <row r="1523">
      <c r="A1523" s="857"/>
      <c r="B1523" s="865" t="s">
        <v>664</v>
      </c>
      <c r="C1523" s="865" t="s">
        <v>591</v>
      </c>
      <c r="D1523" s="865" t="s">
        <v>631</v>
      </c>
      <c r="E1523" s="866">
        <v>2019.0</v>
      </c>
      <c r="F1523" s="865" t="s">
        <v>593</v>
      </c>
      <c r="G1523" s="865" t="s">
        <v>70</v>
      </c>
      <c r="H1523" s="867">
        <v>260689.1997</v>
      </c>
      <c r="I1523" s="867">
        <v>288465.9591</v>
      </c>
      <c r="J1523" s="868">
        <v>231310.9442</v>
      </c>
      <c r="K1523" s="50"/>
      <c r="L1523" s="869" t="s">
        <v>664</v>
      </c>
      <c r="M1523" s="865" t="s">
        <v>591</v>
      </c>
      <c r="N1523" s="865" t="s">
        <v>631</v>
      </c>
      <c r="O1523" s="866">
        <v>2004.0</v>
      </c>
      <c r="P1523" s="865" t="s">
        <v>593</v>
      </c>
      <c r="Q1523" s="865" t="s">
        <v>70</v>
      </c>
      <c r="R1523" s="867">
        <v>177852.7814</v>
      </c>
      <c r="S1523" s="867">
        <v>194710.5923</v>
      </c>
      <c r="T1523" s="868">
        <v>161457.9641</v>
      </c>
      <c r="AN1523" s="882"/>
      <c r="AO1523" s="882"/>
      <c r="AP1523" s="882"/>
      <c r="AY1523" s="882"/>
      <c r="AZ1523" s="882"/>
      <c r="BA1523" s="882"/>
      <c r="BJ1523" s="882"/>
      <c r="BK1523" s="882"/>
      <c r="BL1523" s="882"/>
      <c r="BU1523" s="882"/>
      <c r="BV1523" s="882"/>
      <c r="BW1523" s="882"/>
      <c r="CF1523" s="882"/>
      <c r="CG1523" s="882"/>
      <c r="CH1523" s="882"/>
      <c r="CI1523" s="530"/>
    </row>
    <row r="1524">
      <c r="A1524" s="857"/>
      <c r="B1524" s="865" t="s">
        <v>664</v>
      </c>
      <c r="C1524" s="865" t="s">
        <v>591</v>
      </c>
      <c r="D1524" s="865" t="s">
        <v>633</v>
      </c>
      <c r="E1524" s="866">
        <v>2019.0</v>
      </c>
      <c r="F1524" s="865" t="s">
        <v>593</v>
      </c>
      <c r="G1524" s="865" t="s">
        <v>70</v>
      </c>
      <c r="H1524" s="867">
        <v>218037.3928</v>
      </c>
      <c r="I1524" s="867">
        <v>241269.5491</v>
      </c>
      <c r="J1524" s="868">
        <v>193465.7641</v>
      </c>
      <c r="K1524" s="50"/>
      <c r="L1524" s="869" t="s">
        <v>664</v>
      </c>
      <c r="M1524" s="865" t="s">
        <v>591</v>
      </c>
      <c r="N1524" s="865" t="s">
        <v>633</v>
      </c>
      <c r="O1524" s="866">
        <v>2004.0</v>
      </c>
      <c r="P1524" s="865" t="s">
        <v>593</v>
      </c>
      <c r="Q1524" s="865" t="s">
        <v>70</v>
      </c>
      <c r="R1524" s="867">
        <v>151518.8248</v>
      </c>
      <c r="S1524" s="867">
        <v>165880.5665</v>
      </c>
      <c r="T1524" s="868">
        <v>137551.5232</v>
      </c>
      <c r="AN1524" s="882"/>
      <c r="AO1524" s="882"/>
      <c r="AP1524" s="882"/>
      <c r="AY1524" s="882"/>
      <c r="AZ1524" s="882"/>
      <c r="BA1524" s="882"/>
      <c r="BJ1524" s="882"/>
      <c r="BK1524" s="882"/>
      <c r="BL1524" s="882"/>
      <c r="BU1524" s="882"/>
      <c r="BV1524" s="882"/>
      <c r="BW1524" s="882"/>
      <c r="CF1524" s="882"/>
      <c r="CG1524" s="882"/>
      <c r="CH1524" s="882"/>
      <c r="CI1524" s="530"/>
    </row>
    <row r="1525">
      <c r="A1525" s="857"/>
      <c r="B1525" s="865" t="s">
        <v>664</v>
      </c>
      <c r="C1525" s="865" t="s">
        <v>591</v>
      </c>
      <c r="D1525" s="865" t="s">
        <v>635</v>
      </c>
      <c r="E1525" s="866">
        <v>2019.0</v>
      </c>
      <c r="F1525" s="865" t="s">
        <v>593</v>
      </c>
      <c r="G1525" s="865" t="s">
        <v>70</v>
      </c>
      <c r="H1525" s="867">
        <v>181034.374</v>
      </c>
      <c r="I1525" s="867">
        <v>200323.8124</v>
      </c>
      <c r="J1525" s="868">
        <v>160632.7843</v>
      </c>
      <c r="K1525" s="50"/>
      <c r="L1525" s="869" t="s">
        <v>664</v>
      </c>
      <c r="M1525" s="865" t="s">
        <v>591</v>
      </c>
      <c r="N1525" s="865" t="s">
        <v>635</v>
      </c>
      <c r="O1525" s="866">
        <v>2004.0</v>
      </c>
      <c r="P1525" s="865" t="s">
        <v>593</v>
      </c>
      <c r="Q1525" s="865" t="s">
        <v>70</v>
      </c>
      <c r="R1525" s="867">
        <v>129009.5326</v>
      </c>
      <c r="S1525" s="867">
        <v>141237.7265</v>
      </c>
      <c r="T1525" s="868">
        <v>117117.1815</v>
      </c>
      <c r="AN1525" s="882"/>
      <c r="AO1525" s="882"/>
      <c r="AP1525" s="882"/>
      <c r="AY1525" s="882"/>
      <c r="AZ1525" s="882"/>
      <c r="BA1525" s="882"/>
      <c r="BJ1525" s="882"/>
      <c r="BK1525" s="882"/>
      <c r="BL1525" s="882"/>
      <c r="BU1525" s="882"/>
      <c r="BV1525" s="882"/>
      <c r="BW1525" s="882"/>
      <c r="CF1525" s="882"/>
      <c r="CG1525" s="882"/>
      <c r="CH1525" s="882"/>
      <c r="CI1525" s="530"/>
    </row>
    <row r="1526">
      <c r="A1526" s="857"/>
      <c r="B1526" s="865" t="s">
        <v>664</v>
      </c>
      <c r="C1526" s="865" t="s">
        <v>591</v>
      </c>
      <c r="D1526" s="865" t="s">
        <v>637</v>
      </c>
      <c r="E1526" s="866">
        <v>2019.0</v>
      </c>
      <c r="F1526" s="865" t="s">
        <v>593</v>
      </c>
      <c r="G1526" s="865" t="s">
        <v>70</v>
      </c>
      <c r="H1526" s="867">
        <v>149379.977</v>
      </c>
      <c r="I1526" s="867">
        <v>165296.5999</v>
      </c>
      <c r="J1526" s="868">
        <v>132545.6657</v>
      </c>
      <c r="K1526" s="50"/>
      <c r="L1526" s="869" t="s">
        <v>664</v>
      </c>
      <c r="M1526" s="865" t="s">
        <v>591</v>
      </c>
      <c r="N1526" s="865" t="s">
        <v>637</v>
      </c>
      <c r="O1526" s="866">
        <v>2004.0</v>
      </c>
      <c r="P1526" s="865" t="s">
        <v>593</v>
      </c>
      <c r="Q1526" s="865" t="s">
        <v>70</v>
      </c>
      <c r="R1526" s="867">
        <v>104864.7279</v>
      </c>
      <c r="S1526" s="867">
        <v>114804.3517</v>
      </c>
      <c r="T1526" s="868">
        <v>95198.09211</v>
      </c>
      <c r="AN1526" s="882"/>
      <c r="AO1526" s="882"/>
      <c r="AP1526" s="882"/>
      <c r="AY1526" s="882"/>
      <c r="AZ1526" s="882"/>
      <c r="BA1526" s="882"/>
      <c r="BJ1526" s="882"/>
      <c r="BK1526" s="882"/>
      <c r="BL1526" s="882"/>
      <c r="BU1526" s="882"/>
      <c r="BV1526" s="882"/>
      <c r="BW1526" s="882"/>
      <c r="CF1526" s="882"/>
      <c r="CG1526" s="882"/>
      <c r="CH1526" s="882"/>
      <c r="CI1526" s="530"/>
    </row>
    <row r="1527">
      <c r="A1527" s="857"/>
      <c r="B1527" s="865" t="s">
        <v>664</v>
      </c>
      <c r="C1527" s="865" t="s">
        <v>591</v>
      </c>
      <c r="D1527" s="865" t="s">
        <v>639</v>
      </c>
      <c r="E1527" s="866">
        <v>2019.0</v>
      </c>
      <c r="F1527" s="865" t="s">
        <v>593</v>
      </c>
      <c r="G1527" s="865" t="s">
        <v>70</v>
      </c>
      <c r="H1527" s="867">
        <v>1531113.392</v>
      </c>
      <c r="I1527" s="867">
        <v>1694237.363</v>
      </c>
      <c r="J1527" s="868">
        <v>1358435.928</v>
      </c>
      <c r="K1527" s="50"/>
      <c r="L1527" s="869" t="s">
        <v>664</v>
      </c>
      <c r="M1527" s="865" t="s">
        <v>591</v>
      </c>
      <c r="N1527" s="865" t="s">
        <v>639</v>
      </c>
      <c r="O1527" s="866">
        <v>2004.0</v>
      </c>
      <c r="P1527" s="865" t="s">
        <v>593</v>
      </c>
      <c r="Q1527" s="865" t="s">
        <v>70</v>
      </c>
      <c r="R1527" s="867">
        <v>1072094.917</v>
      </c>
      <c r="S1527" s="867">
        <v>1173695.207</v>
      </c>
      <c r="T1527" s="868">
        <v>973218.8058</v>
      </c>
      <c r="AN1527" s="882"/>
      <c r="AO1527" s="882"/>
      <c r="AP1527" s="882"/>
      <c r="AY1527" s="882"/>
      <c r="AZ1527" s="882"/>
      <c r="BA1527" s="882"/>
      <c r="BJ1527" s="882"/>
      <c r="BK1527" s="882"/>
      <c r="BL1527" s="882"/>
      <c r="BU1527" s="882"/>
      <c r="BV1527" s="882"/>
      <c r="BW1527" s="882"/>
      <c r="CF1527" s="882"/>
      <c r="CG1527" s="882"/>
      <c r="CH1527" s="882"/>
      <c r="CI1527" s="530"/>
    </row>
    <row r="1528">
      <c r="A1528" s="857"/>
      <c r="B1528" s="865" t="s">
        <v>664</v>
      </c>
      <c r="C1528" s="865" t="s">
        <v>591</v>
      </c>
      <c r="D1528" s="865" t="s">
        <v>641</v>
      </c>
      <c r="E1528" s="866">
        <v>2019.0</v>
      </c>
      <c r="F1528" s="865" t="s">
        <v>593</v>
      </c>
      <c r="G1528" s="865" t="s">
        <v>70</v>
      </c>
      <c r="H1528" s="867">
        <v>554355.9292</v>
      </c>
      <c r="I1528" s="867">
        <v>613423.2451</v>
      </c>
      <c r="J1528" s="868">
        <v>491883.0299</v>
      </c>
      <c r="K1528" s="50"/>
      <c r="L1528" s="869" t="s">
        <v>664</v>
      </c>
      <c r="M1528" s="865" t="s">
        <v>591</v>
      </c>
      <c r="N1528" s="865" t="s">
        <v>641</v>
      </c>
      <c r="O1528" s="866">
        <v>2004.0</v>
      </c>
      <c r="P1528" s="865" t="s">
        <v>593</v>
      </c>
      <c r="Q1528" s="865" t="s">
        <v>70</v>
      </c>
      <c r="R1528" s="867">
        <v>419646.3929</v>
      </c>
      <c r="S1528" s="867">
        <v>459422.6589</v>
      </c>
      <c r="T1528" s="868">
        <v>380962.5675</v>
      </c>
      <c r="AN1528" s="882"/>
      <c r="AO1528" s="882"/>
      <c r="AP1528" s="882"/>
      <c r="AY1528" s="882"/>
      <c r="AZ1528" s="882"/>
      <c r="BA1528" s="882"/>
      <c r="BJ1528" s="882"/>
      <c r="BK1528" s="882"/>
      <c r="BL1528" s="882"/>
      <c r="BU1528" s="882"/>
      <c r="BV1528" s="882"/>
      <c r="BW1528" s="882"/>
      <c r="CF1528" s="882"/>
      <c r="CG1528" s="882"/>
      <c r="CH1528" s="882"/>
      <c r="CI1528" s="530"/>
    </row>
    <row r="1529">
      <c r="A1529" s="857"/>
      <c r="B1529" s="865" t="s">
        <v>664</v>
      </c>
      <c r="C1529" s="865" t="s">
        <v>591</v>
      </c>
      <c r="D1529" s="865" t="s">
        <v>643</v>
      </c>
      <c r="E1529" s="866">
        <v>2019.0</v>
      </c>
      <c r="F1529" s="865" t="s">
        <v>593</v>
      </c>
      <c r="G1529" s="865" t="s">
        <v>70</v>
      </c>
      <c r="H1529" s="867">
        <v>121320.6053</v>
      </c>
      <c r="I1529" s="867">
        <v>134247.4671</v>
      </c>
      <c r="J1529" s="868">
        <v>107648.4327</v>
      </c>
      <c r="K1529" s="50"/>
      <c r="L1529" s="869" t="s">
        <v>664</v>
      </c>
      <c r="M1529" s="865" t="s">
        <v>591</v>
      </c>
      <c r="N1529" s="865" t="s">
        <v>643</v>
      </c>
      <c r="O1529" s="866">
        <v>2004.0</v>
      </c>
      <c r="P1529" s="865" t="s">
        <v>593</v>
      </c>
      <c r="Q1529" s="865" t="s">
        <v>70</v>
      </c>
      <c r="R1529" s="867">
        <v>78234.65108</v>
      </c>
      <c r="S1529" s="867">
        <v>85650.13789</v>
      </c>
      <c r="T1529" s="868">
        <v>71022.8279</v>
      </c>
      <c r="AN1529" s="882"/>
      <c r="AO1529" s="882"/>
      <c r="AP1529" s="882"/>
      <c r="AY1529" s="882"/>
      <c r="AZ1529" s="882"/>
      <c r="BA1529" s="882"/>
      <c r="BJ1529" s="882"/>
      <c r="BK1529" s="882"/>
      <c r="BL1529" s="882"/>
      <c r="BU1529" s="882"/>
      <c r="BV1529" s="882"/>
      <c r="BW1529" s="882"/>
      <c r="CF1529" s="882"/>
      <c r="CG1529" s="882"/>
      <c r="CH1529" s="882"/>
      <c r="CI1529" s="530"/>
    </row>
    <row r="1530">
      <c r="A1530" s="857"/>
      <c r="B1530" s="865" t="s">
        <v>664</v>
      </c>
      <c r="C1530" s="865" t="s">
        <v>591</v>
      </c>
      <c r="D1530" s="865" t="s">
        <v>645</v>
      </c>
      <c r="E1530" s="866">
        <v>2019.0</v>
      </c>
      <c r="F1530" s="865" t="s">
        <v>593</v>
      </c>
      <c r="G1530" s="865" t="s">
        <v>70</v>
      </c>
      <c r="H1530" s="867">
        <v>363770.2885</v>
      </c>
      <c r="I1530" s="867">
        <v>402530.4666</v>
      </c>
      <c r="J1530" s="868">
        <v>322775.3547</v>
      </c>
      <c r="K1530" s="50"/>
      <c r="L1530" s="869" t="s">
        <v>664</v>
      </c>
      <c r="M1530" s="865" t="s">
        <v>591</v>
      </c>
      <c r="N1530" s="865" t="s">
        <v>645</v>
      </c>
      <c r="O1530" s="866">
        <v>2004.0</v>
      </c>
      <c r="P1530" s="865" t="s">
        <v>593</v>
      </c>
      <c r="Q1530" s="865" t="s">
        <v>70</v>
      </c>
      <c r="R1530" s="867">
        <v>219739.5447</v>
      </c>
      <c r="S1530" s="867">
        <v>240567.6007</v>
      </c>
      <c r="T1530" s="868">
        <v>199483.5236</v>
      </c>
      <c r="AN1530" s="882"/>
      <c r="AO1530" s="882"/>
      <c r="AP1530" s="882"/>
      <c r="AY1530" s="882"/>
      <c r="AZ1530" s="882"/>
      <c r="BA1530" s="882"/>
      <c r="BJ1530" s="882"/>
      <c r="BK1530" s="882"/>
      <c r="BL1530" s="882"/>
      <c r="BU1530" s="882"/>
      <c r="BV1530" s="882"/>
      <c r="BW1530" s="882"/>
      <c r="CF1530" s="882"/>
      <c r="CG1530" s="882"/>
      <c r="CH1530" s="882"/>
      <c r="CI1530" s="530"/>
    </row>
    <row r="1531">
      <c r="A1531" s="857"/>
      <c r="B1531" s="865" t="s">
        <v>664</v>
      </c>
      <c r="C1531" s="865" t="s">
        <v>591</v>
      </c>
      <c r="D1531" s="865" t="s">
        <v>604</v>
      </c>
      <c r="E1531" s="866">
        <v>2019.0</v>
      </c>
      <c r="F1531" s="865" t="s">
        <v>593</v>
      </c>
      <c r="G1531" s="865" t="s">
        <v>70</v>
      </c>
      <c r="H1531" s="867">
        <v>1081378.003</v>
      </c>
      <c r="I1531" s="867">
        <v>1196600.178</v>
      </c>
      <c r="J1531" s="868">
        <v>959512.581</v>
      </c>
      <c r="K1531" s="50"/>
      <c r="L1531" s="869" t="s">
        <v>664</v>
      </c>
      <c r="M1531" s="865" t="s">
        <v>591</v>
      </c>
      <c r="N1531" s="865" t="s">
        <v>604</v>
      </c>
      <c r="O1531" s="866">
        <v>2004.0</v>
      </c>
      <c r="P1531" s="865" t="s">
        <v>593</v>
      </c>
      <c r="Q1531" s="865" t="s">
        <v>70</v>
      </c>
      <c r="R1531" s="867">
        <v>769686.7139</v>
      </c>
      <c r="S1531" s="867">
        <v>842641.6207</v>
      </c>
      <c r="T1531" s="868">
        <v>698735.487</v>
      </c>
      <c r="AN1531" s="882"/>
      <c r="AO1531" s="882"/>
      <c r="AP1531" s="882"/>
      <c r="AY1531" s="882"/>
      <c r="AZ1531" s="882"/>
      <c r="BA1531" s="882"/>
      <c r="BJ1531" s="882"/>
      <c r="BK1531" s="882"/>
      <c r="BL1531" s="882"/>
      <c r="BU1531" s="882"/>
      <c r="BV1531" s="882"/>
      <c r="BW1531" s="882"/>
      <c r="CF1531" s="882"/>
      <c r="CG1531" s="882"/>
      <c r="CH1531" s="882"/>
      <c r="CI1531" s="530"/>
    </row>
    <row r="1532">
      <c r="A1532" s="857"/>
      <c r="B1532" s="865" t="s">
        <v>664</v>
      </c>
      <c r="C1532" s="865" t="s">
        <v>591</v>
      </c>
      <c r="D1532" s="865" t="s">
        <v>647</v>
      </c>
      <c r="E1532" s="866">
        <v>2019.0</v>
      </c>
      <c r="F1532" s="865" t="s">
        <v>593</v>
      </c>
      <c r="G1532" s="865" t="s">
        <v>70</v>
      </c>
      <c r="H1532" s="867">
        <v>343137.8946</v>
      </c>
      <c r="I1532" s="867">
        <v>379695.6155</v>
      </c>
      <c r="J1532" s="868">
        <v>304439.1401</v>
      </c>
      <c r="K1532" s="50"/>
      <c r="L1532" s="869" t="s">
        <v>664</v>
      </c>
      <c r="M1532" s="865" t="s">
        <v>591</v>
      </c>
      <c r="N1532" s="865" t="s">
        <v>647</v>
      </c>
      <c r="O1532" s="866">
        <v>2004.0</v>
      </c>
      <c r="P1532" s="865" t="s">
        <v>593</v>
      </c>
      <c r="Q1532" s="865" t="s">
        <v>70</v>
      </c>
      <c r="R1532" s="867">
        <v>209898.6031</v>
      </c>
      <c r="S1532" s="867">
        <v>229790.2737</v>
      </c>
      <c r="T1532" s="868">
        <v>190540.282</v>
      </c>
      <c r="AN1532" s="882"/>
      <c r="AO1532" s="882"/>
      <c r="AP1532" s="882"/>
      <c r="AY1532" s="882"/>
      <c r="AZ1532" s="882"/>
      <c r="BA1532" s="882"/>
      <c r="BJ1532" s="882"/>
      <c r="BK1532" s="882"/>
      <c r="BL1532" s="882"/>
      <c r="BU1532" s="882"/>
      <c r="BV1532" s="882"/>
      <c r="BW1532" s="882"/>
      <c r="CF1532" s="882"/>
      <c r="CG1532" s="882"/>
      <c r="CH1532" s="882"/>
      <c r="CI1532" s="530"/>
    </row>
    <row r="1533">
      <c r="A1533" s="857"/>
      <c r="B1533" s="865" t="s">
        <v>664</v>
      </c>
      <c r="C1533" s="865" t="s">
        <v>591</v>
      </c>
      <c r="D1533" s="865" t="s">
        <v>649</v>
      </c>
      <c r="E1533" s="866">
        <v>2019.0</v>
      </c>
      <c r="F1533" s="865" t="s">
        <v>593</v>
      </c>
      <c r="G1533" s="865" t="s">
        <v>70</v>
      </c>
      <c r="H1533" s="867">
        <v>99706.56211</v>
      </c>
      <c r="I1533" s="867">
        <v>110330.4207</v>
      </c>
      <c r="J1533" s="868">
        <v>88470.17465</v>
      </c>
      <c r="K1533" s="50"/>
      <c r="L1533" s="869" t="s">
        <v>664</v>
      </c>
      <c r="M1533" s="865" t="s">
        <v>591</v>
      </c>
      <c r="N1533" s="865" t="s">
        <v>649</v>
      </c>
      <c r="O1533" s="866">
        <v>2004.0</v>
      </c>
      <c r="P1533" s="865" t="s">
        <v>593</v>
      </c>
      <c r="Q1533" s="865" t="s">
        <v>70</v>
      </c>
      <c r="R1533" s="867">
        <v>57186.24526</v>
      </c>
      <c r="S1533" s="867">
        <v>62606.65478</v>
      </c>
      <c r="T1533" s="868">
        <v>51914.7053</v>
      </c>
      <c r="AN1533" s="882"/>
      <c r="AO1533" s="882"/>
      <c r="AP1533" s="882"/>
      <c r="AY1533" s="882"/>
      <c r="AZ1533" s="882"/>
      <c r="BA1533" s="882"/>
      <c r="BJ1533" s="882"/>
      <c r="BK1533" s="882"/>
      <c r="BL1533" s="882"/>
      <c r="BU1533" s="882"/>
      <c r="BV1533" s="882"/>
      <c r="BW1533" s="882"/>
      <c r="CF1533" s="882"/>
      <c r="CG1533" s="882"/>
      <c r="CH1533" s="882"/>
      <c r="CI1533" s="530"/>
    </row>
    <row r="1534">
      <c r="A1534" s="857"/>
      <c r="B1534" s="865" t="s">
        <v>664</v>
      </c>
      <c r="C1534" s="865" t="s">
        <v>591</v>
      </c>
      <c r="D1534" s="865" t="s">
        <v>651</v>
      </c>
      <c r="E1534" s="866">
        <v>2019.0</v>
      </c>
      <c r="F1534" s="865" t="s">
        <v>593</v>
      </c>
      <c r="G1534" s="865" t="s">
        <v>70</v>
      </c>
      <c r="H1534" s="867">
        <v>80996.45898</v>
      </c>
      <c r="I1534" s="867">
        <v>89626.73274</v>
      </c>
      <c r="J1534" s="868">
        <v>71868.59841</v>
      </c>
      <c r="K1534" s="50"/>
      <c r="L1534" s="869" t="s">
        <v>664</v>
      </c>
      <c r="M1534" s="865" t="s">
        <v>591</v>
      </c>
      <c r="N1534" s="865" t="s">
        <v>651</v>
      </c>
      <c r="O1534" s="866">
        <v>2004.0</v>
      </c>
      <c r="P1534" s="865" t="s">
        <v>593</v>
      </c>
      <c r="Q1534" s="865" t="s">
        <v>70</v>
      </c>
      <c r="R1534" s="867">
        <v>45913.99898</v>
      </c>
      <c r="S1534" s="867">
        <v>50265.96642</v>
      </c>
      <c r="T1534" s="868">
        <v>41681.55674</v>
      </c>
      <c r="AN1534" s="882"/>
      <c r="AO1534" s="882"/>
      <c r="AP1534" s="882"/>
      <c r="AY1534" s="882"/>
      <c r="AZ1534" s="882"/>
      <c r="BA1534" s="882"/>
      <c r="BJ1534" s="882"/>
      <c r="BK1534" s="882"/>
      <c r="BL1534" s="882"/>
      <c r="BU1534" s="882"/>
      <c r="BV1534" s="882"/>
      <c r="BW1534" s="882"/>
      <c r="CF1534" s="882"/>
      <c r="CG1534" s="882"/>
      <c r="CH1534" s="882"/>
      <c r="CI1534" s="530"/>
    </row>
    <row r="1535">
      <c r="A1535" s="857"/>
      <c r="B1535" s="865" t="s">
        <v>664</v>
      </c>
      <c r="C1535" s="865" t="s">
        <v>591</v>
      </c>
      <c r="D1535" s="865" t="s">
        <v>653</v>
      </c>
      <c r="E1535" s="866">
        <v>2019.0</v>
      </c>
      <c r="F1535" s="865" t="s">
        <v>593</v>
      </c>
      <c r="G1535" s="865" t="s">
        <v>70</v>
      </c>
      <c r="H1535" s="867">
        <v>61746.6621</v>
      </c>
      <c r="I1535" s="867">
        <v>68325.84598</v>
      </c>
      <c r="J1535" s="868">
        <v>54788.14898</v>
      </c>
      <c r="K1535" s="50"/>
      <c r="L1535" s="869" t="s">
        <v>664</v>
      </c>
      <c r="M1535" s="865" t="s">
        <v>591</v>
      </c>
      <c r="N1535" s="865" t="s">
        <v>653</v>
      </c>
      <c r="O1535" s="866">
        <v>2004.0</v>
      </c>
      <c r="P1535" s="865" t="s">
        <v>593</v>
      </c>
      <c r="Q1535" s="865" t="s">
        <v>70</v>
      </c>
      <c r="R1535" s="867">
        <v>38404.6494</v>
      </c>
      <c r="S1535" s="867">
        <v>42044.84166</v>
      </c>
      <c r="T1535" s="868">
        <v>34864.4337</v>
      </c>
      <c r="AN1535" s="882"/>
      <c r="AO1535" s="882"/>
      <c r="AP1535" s="882"/>
      <c r="AY1535" s="882"/>
      <c r="AZ1535" s="882"/>
      <c r="BA1535" s="882"/>
      <c r="BJ1535" s="882"/>
      <c r="BK1535" s="882"/>
      <c r="BL1535" s="882"/>
      <c r="BU1535" s="882"/>
      <c r="BV1535" s="882"/>
      <c r="BW1535" s="882"/>
      <c r="CF1535" s="882"/>
      <c r="CG1535" s="882"/>
      <c r="CH1535" s="882"/>
      <c r="CI1535" s="530"/>
    </row>
    <row r="1536">
      <c r="A1536" s="857"/>
      <c r="B1536" s="865" t="s">
        <v>664</v>
      </c>
      <c r="C1536" s="865" t="s">
        <v>591</v>
      </c>
      <c r="D1536" s="865" t="s">
        <v>655</v>
      </c>
      <c r="E1536" s="866">
        <v>2019.0</v>
      </c>
      <c r="F1536" s="865" t="s">
        <v>593</v>
      </c>
      <c r="G1536" s="865" t="s">
        <v>70</v>
      </c>
      <c r="H1536" s="867">
        <v>104631.2635</v>
      </c>
      <c r="I1536" s="867">
        <v>115778.6203</v>
      </c>
      <c r="J1536" s="868">
        <v>92831.05246</v>
      </c>
      <c r="K1536" s="50"/>
      <c r="L1536" s="869" t="s">
        <v>664</v>
      </c>
      <c r="M1536" s="865" t="s">
        <v>591</v>
      </c>
      <c r="N1536" s="865" t="s">
        <v>655</v>
      </c>
      <c r="O1536" s="866">
        <v>2004.0</v>
      </c>
      <c r="P1536" s="865" t="s">
        <v>593</v>
      </c>
      <c r="Q1536" s="865" t="s">
        <v>70</v>
      </c>
      <c r="R1536" s="867">
        <v>69955.64154</v>
      </c>
      <c r="S1536" s="867">
        <v>76585.19769</v>
      </c>
      <c r="T1536" s="868">
        <v>63503.8417</v>
      </c>
      <c r="AN1536" s="882"/>
      <c r="AO1536" s="882"/>
      <c r="AP1536" s="882"/>
      <c r="AY1536" s="882"/>
      <c r="AZ1536" s="882"/>
      <c r="BA1536" s="882"/>
      <c r="BJ1536" s="882"/>
      <c r="BK1536" s="882"/>
      <c r="BL1536" s="882"/>
      <c r="BU1536" s="882"/>
      <c r="BV1536" s="882"/>
      <c r="BW1536" s="882"/>
      <c r="CF1536" s="882"/>
      <c r="CG1536" s="882"/>
      <c r="CH1536" s="882"/>
      <c r="CI1536" s="530"/>
    </row>
    <row r="1537">
      <c r="A1537" s="857"/>
      <c r="B1537" s="865" t="s">
        <v>664</v>
      </c>
      <c r="C1537" s="865" t="s">
        <v>591</v>
      </c>
      <c r="D1537" s="865" t="s">
        <v>657</v>
      </c>
      <c r="E1537" s="866">
        <v>2019.0</v>
      </c>
      <c r="F1537" s="865" t="s">
        <v>593</v>
      </c>
      <c r="G1537" s="865" t="s">
        <v>70</v>
      </c>
      <c r="H1537" s="867">
        <v>42880.89667</v>
      </c>
      <c r="I1537" s="867">
        <v>47449.90971</v>
      </c>
      <c r="J1537" s="868">
        <v>38048.45275</v>
      </c>
      <c r="K1537" s="50"/>
      <c r="L1537" s="869" t="s">
        <v>664</v>
      </c>
      <c r="M1537" s="865" t="s">
        <v>591</v>
      </c>
      <c r="N1537" s="865" t="s">
        <v>657</v>
      </c>
      <c r="O1537" s="866">
        <v>2004.0</v>
      </c>
      <c r="P1537" s="865" t="s">
        <v>593</v>
      </c>
      <c r="Q1537" s="865" t="s">
        <v>70</v>
      </c>
      <c r="R1537" s="867">
        <v>31548.65168</v>
      </c>
      <c r="S1537" s="867">
        <v>34538.99684</v>
      </c>
      <c r="T1537" s="868">
        <v>28640.43525</v>
      </c>
      <c r="AN1537" s="882"/>
      <c r="AO1537" s="882"/>
      <c r="AP1537" s="882"/>
      <c r="AY1537" s="882"/>
      <c r="AZ1537" s="882"/>
      <c r="BA1537" s="882"/>
      <c r="BJ1537" s="882"/>
      <c r="BK1537" s="882"/>
      <c r="BL1537" s="882"/>
      <c r="BU1537" s="882"/>
      <c r="BV1537" s="882"/>
      <c r="BW1537" s="882"/>
      <c r="CF1537" s="882"/>
      <c r="CG1537" s="882"/>
      <c r="CH1537" s="882"/>
      <c r="CI1537" s="530"/>
    </row>
    <row r="1538">
      <c r="A1538" s="857"/>
      <c r="B1538" s="865" t="s">
        <v>664</v>
      </c>
      <c r="C1538" s="865" t="s">
        <v>591</v>
      </c>
      <c r="D1538" s="865" t="s">
        <v>659</v>
      </c>
      <c r="E1538" s="866">
        <v>2019.0</v>
      </c>
      <c r="F1538" s="865" t="s">
        <v>593</v>
      </c>
      <c r="G1538" s="865" t="s">
        <v>70</v>
      </c>
      <c r="H1538" s="867">
        <v>100676.0616</v>
      </c>
      <c r="I1538" s="867">
        <v>111403.2216</v>
      </c>
      <c r="J1538" s="868">
        <v>89330.41683</v>
      </c>
      <c r="K1538" s="50"/>
      <c r="L1538" s="869" t="s">
        <v>664</v>
      </c>
      <c r="M1538" s="865" t="s">
        <v>591</v>
      </c>
      <c r="N1538" s="865" t="s">
        <v>659</v>
      </c>
      <c r="O1538" s="866">
        <v>2004.0</v>
      </c>
      <c r="P1538" s="865" t="s">
        <v>593</v>
      </c>
      <c r="Q1538" s="865" t="s">
        <v>70</v>
      </c>
      <c r="R1538" s="867">
        <v>68386.68705</v>
      </c>
      <c r="S1538" s="867">
        <v>74868.73266</v>
      </c>
      <c r="T1538" s="868">
        <v>62082.66846</v>
      </c>
      <c r="AN1538" s="882"/>
      <c r="AO1538" s="882"/>
      <c r="AP1538" s="882"/>
      <c r="AY1538" s="882"/>
      <c r="AZ1538" s="882"/>
      <c r="BA1538" s="882"/>
      <c r="BJ1538" s="882"/>
      <c r="BK1538" s="882"/>
      <c r="BL1538" s="882"/>
      <c r="BU1538" s="882"/>
      <c r="BV1538" s="882"/>
      <c r="BW1538" s="882"/>
      <c r="CF1538" s="882"/>
      <c r="CG1538" s="882"/>
      <c r="CH1538" s="882"/>
      <c r="CI1538" s="530"/>
    </row>
    <row r="1539">
      <c r="A1539" s="857"/>
      <c r="B1539" s="865" t="s">
        <v>664</v>
      </c>
      <c r="C1539" s="865" t="s">
        <v>591</v>
      </c>
      <c r="D1539" s="865" t="s">
        <v>661</v>
      </c>
      <c r="E1539" s="866">
        <v>2019.0</v>
      </c>
      <c r="F1539" s="865" t="s">
        <v>593</v>
      </c>
      <c r="G1539" s="865" t="s">
        <v>70</v>
      </c>
      <c r="H1539" s="867">
        <v>57797.21143</v>
      </c>
      <c r="I1539" s="867">
        <v>63954.89426</v>
      </c>
      <c r="J1539" s="868">
        <v>51278.89872</v>
      </c>
      <c r="K1539" s="50"/>
      <c r="L1539" s="869" t="s">
        <v>664</v>
      </c>
      <c r="M1539" s="865" t="s">
        <v>591</v>
      </c>
      <c r="N1539" s="865" t="s">
        <v>661</v>
      </c>
      <c r="O1539" s="866">
        <v>2004.0</v>
      </c>
      <c r="P1539" s="865" t="s">
        <v>593</v>
      </c>
      <c r="Q1539" s="865" t="s">
        <v>70</v>
      </c>
      <c r="R1539" s="867">
        <v>36839.26788</v>
      </c>
      <c r="S1539" s="867">
        <v>40330.45158</v>
      </c>
      <c r="T1539" s="868">
        <v>33441.69226</v>
      </c>
      <c r="AN1539" s="882"/>
      <c r="AO1539" s="882"/>
      <c r="AP1539" s="882"/>
      <c r="AY1539" s="882"/>
      <c r="AZ1539" s="882"/>
      <c r="BA1539" s="882"/>
      <c r="BJ1539" s="882"/>
      <c r="BK1539" s="882"/>
      <c r="BL1539" s="882"/>
      <c r="BU1539" s="882"/>
      <c r="BV1539" s="882"/>
      <c r="BW1539" s="882"/>
      <c r="CF1539" s="882"/>
      <c r="CG1539" s="882"/>
      <c r="CH1539" s="882"/>
      <c r="CI1539" s="530"/>
    </row>
    <row r="1540">
      <c r="A1540" s="857"/>
      <c r="B1540" s="865" t="s">
        <v>664</v>
      </c>
      <c r="C1540" s="865" t="s">
        <v>591</v>
      </c>
      <c r="D1540" s="865" t="s">
        <v>663</v>
      </c>
      <c r="E1540" s="866">
        <v>2019.0</v>
      </c>
      <c r="F1540" s="865" t="s">
        <v>593</v>
      </c>
      <c r="G1540" s="865" t="s">
        <v>70</v>
      </c>
      <c r="H1540" s="867">
        <v>28694.44245</v>
      </c>
      <c r="I1540" s="867">
        <v>31751.8711</v>
      </c>
      <c r="J1540" s="868">
        <v>25460.7348</v>
      </c>
      <c r="K1540" s="50"/>
      <c r="L1540" s="869" t="s">
        <v>664</v>
      </c>
      <c r="M1540" s="865" t="s">
        <v>591</v>
      </c>
      <c r="N1540" s="865" t="s">
        <v>663</v>
      </c>
      <c r="O1540" s="866">
        <v>2004.0</v>
      </c>
      <c r="P1540" s="865" t="s">
        <v>593</v>
      </c>
      <c r="Q1540" s="865" t="s">
        <v>70</v>
      </c>
      <c r="R1540" s="867">
        <v>18234.84211</v>
      </c>
      <c r="S1540" s="867">
        <v>19963.23521</v>
      </c>
      <c r="T1540" s="868">
        <v>16553.91869</v>
      </c>
      <c r="AN1540" s="882"/>
      <c r="AO1540" s="882"/>
      <c r="AP1540" s="882"/>
      <c r="AY1540" s="882"/>
      <c r="AZ1540" s="882"/>
      <c r="BA1540" s="882"/>
      <c r="BJ1540" s="882"/>
      <c r="BK1540" s="882"/>
      <c r="BL1540" s="882"/>
      <c r="BU1540" s="882"/>
      <c r="BV1540" s="882"/>
      <c r="BW1540" s="882"/>
      <c r="CF1540" s="882"/>
      <c r="CG1540" s="882"/>
      <c r="CH1540" s="882"/>
      <c r="CI1540" s="530"/>
    </row>
    <row r="1541">
      <c r="A1541" s="857"/>
      <c r="B1541" s="865" t="s">
        <v>664</v>
      </c>
      <c r="C1541" s="865" t="s">
        <v>591</v>
      </c>
      <c r="D1541" s="865" t="s">
        <v>665</v>
      </c>
      <c r="E1541" s="866">
        <v>2019.0</v>
      </c>
      <c r="F1541" s="865" t="s">
        <v>593</v>
      </c>
      <c r="G1541" s="865" t="s">
        <v>70</v>
      </c>
      <c r="H1541" s="867">
        <v>45843.97597</v>
      </c>
      <c r="I1541" s="867">
        <v>50728.16773</v>
      </c>
      <c r="J1541" s="868">
        <v>40673.73741</v>
      </c>
      <c r="K1541" s="50"/>
      <c r="L1541" s="869" t="s">
        <v>664</v>
      </c>
      <c r="M1541" s="865" t="s">
        <v>591</v>
      </c>
      <c r="N1541" s="865" t="s">
        <v>665</v>
      </c>
      <c r="O1541" s="866">
        <v>2004.0</v>
      </c>
      <c r="P1541" s="865" t="s">
        <v>593</v>
      </c>
      <c r="Q1541" s="865" t="s">
        <v>70</v>
      </c>
      <c r="R1541" s="867">
        <v>29523.11272</v>
      </c>
      <c r="S1541" s="867">
        <v>32320.95903</v>
      </c>
      <c r="T1541" s="868">
        <v>26800.28423</v>
      </c>
      <c r="AN1541" s="882"/>
      <c r="AO1541" s="882"/>
      <c r="AP1541" s="882"/>
      <c r="AY1541" s="882"/>
      <c r="AZ1541" s="882"/>
      <c r="BA1541" s="882"/>
      <c r="BJ1541" s="882"/>
      <c r="BK1541" s="882"/>
      <c r="BL1541" s="882"/>
      <c r="BU1541" s="882"/>
      <c r="BV1541" s="882"/>
      <c r="BW1541" s="882"/>
      <c r="CF1541" s="882"/>
      <c r="CG1541" s="882"/>
      <c r="CH1541" s="882"/>
      <c r="CI1541" s="530"/>
    </row>
    <row r="1542">
      <c r="A1542" s="857"/>
      <c r="B1542" s="865" t="s">
        <v>664</v>
      </c>
      <c r="C1542" s="865" t="s">
        <v>591</v>
      </c>
      <c r="D1542" s="865" t="s">
        <v>667</v>
      </c>
      <c r="E1542" s="866">
        <v>2019.0</v>
      </c>
      <c r="F1542" s="865" t="s">
        <v>593</v>
      </c>
      <c r="G1542" s="865" t="s">
        <v>70</v>
      </c>
      <c r="H1542" s="867">
        <v>29100.72249</v>
      </c>
      <c r="I1542" s="867">
        <v>32201.44078</v>
      </c>
      <c r="J1542" s="868">
        <v>25821.22928</v>
      </c>
      <c r="K1542" s="50"/>
      <c r="L1542" s="869" t="s">
        <v>664</v>
      </c>
      <c r="M1542" s="865" t="s">
        <v>591</v>
      </c>
      <c r="N1542" s="865" t="s">
        <v>667</v>
      </c>
      <c r="O1542" s="866">
        <v>2004.0</v>
      </c>
      <c r="P1542" s="865" t="s">
        <v>593</v>
      </c>
      <c r="Q1542" s="865" t="s">
        <v>70</v>
      </c>
      <c r="R1542" s="867">
        <v>18603.19327</v>
      </c>
      <c r="S1542" s="867">
        <v>20366.5006</v>
      </c>
      <c r="T1542" s="868">
        <v>16888.31452</v>
      </c>
      <c r="AN1542" s="882"/>
      <c r="AO1542" s="882"/>
      <c r="AP1542" s="882"/>
      <c r="AY1542" s="882"/>
      <c r="AZ1542" s="882"/>
      <c r="BA1542" s="882"/>
      <c r="BJ1542" s="882"/>
      <c r="BK1542" s="882"/>
      <c r="BL1542" s="882"/>
      <c r="BU1542" s="882"/>
      <c r="BV1542" s="882"/>
      <c r="BW1542" s="882"/>
      <c r="CF1542" s="882"/>
      <c r="CG1542" s="882"/>
      <c r="CH1542" s="882"/>
      <c r="CI1542" s="530"/>
    </row>
    <row r="1543">
      <c r="A1543" s="857"/>
      <c r="B1543" s="865" t="s">
        <v>664</v>
      </c>
      <c r="C1543" s="865" t="s">
        <v>591</v>
      </c>
      <c r="D1543" s="865" t="s">
        <v>669</v>
      </c>
      <c r="E1543" s="866">
        <v>2019.0</v>
      </c>
      <c r="F1543" s="865" t="s">
        <v>593</v>
      </c>
      <c r="G1543" s="865" t="s">
        <v>70</v>
      </c>
      <c r="H1543" s="867">
        <v>17147.91028</v>
      </c>
      <c r="I1543" s="867">
        <v>18975.04151</v>
      </c>
      <c r="J1543" s="868">
        <v>15215.43402</v>
      </c>
      <c r="K1543" s="50"/>
      <c r="L1543" s="869" t="s">
        <v>664</v>
      </c>
      <c r="M1543" s="865" t="s">
        <v>591</v>
      </c>
      <c r="N1543" s="865" t="s">
        <v>669</v>
      </c>
      <c r="O1543" s="866">
        <v>2004.0</v>
      </c>
      <c r="P1543" s="865" t="s">
        <v>593</v>
      </c>
      <c r="Q1543" s="865" t="s">
        <v>70</v>
      </c>
      <c r="R1543" s="867">
        <v>11287.28288</v>
      </c>
      <c r="S1543" s="867">
        <v>12357.15021</v>
      </c>
      <c r="T1543" s="868">
        <v>10246.79906</v>
      </c>
      <c r="AN1543" s="882"/>
      <c r="AO1543" s="882"/>
      <c r="AP1543" s="882"/>
      <c r="AY1543" s="882"/>
      <c r="AZ1543" s="882"/>
      <c r="BA1543" s="882"/>
      <c r="BJ1543" s="882"/>
      <c r="BK1543" s="882"/>
      <c r="BL1543" s="882"/>
      <c r="BU1543" s="882"/>
      <c r="BV1543" s="882"/>
      <c r="BW1543" s="882"/>
      <c r="CF1543" s="882"/>
      <c r="CG1543" s="882"/>
      <c r="CH1543" s="882"/>
      <c r="CI1543" s="530"/>
    </row>
    <row r="1544">
      <c r="A1544" s="857"/>
      <c r="B1544" s="865" t="s">
        <v>664</v>
      </c>
      <c r="C1544" s="865" t="s">
        <v>591</v>
      </c>
      <c r="D1544" s="865" t="s">
        <v>671</v>
      </c>
      <c r="E1544" s="866">
        <v>2019.0</v>
      </c>
      <c r="F1544" s="865" t="s">
        <v>593</v>
      </c>
      <c r="G1544" s="865" t="s">
        <v>70</v>
      </c>
      <c r="H1544" s="867">
        <v>11953.23546</v>
      </c>
      <c r="I1544" s="867">
        <v>13226.72653</v>
      </c>
      <c r="J1544" s="868">
        <v>10605.16131</v>
      </c>
      <c r="K1544" s="50"/>
      <c r="L1544" s="869" t="s">
        <v>664</v>
      </c>
      <c r="M1544" s="865" t="s">
        <v>591</v>
      </c>
      <c r="N1544" s="865" t="s">
        <v>671</v>
      </c>
      <c r="O1544" s="866">
        <v>2004.0</v>
      </c>
      <c r="P1544" s="865" t="s">
        <v>593</v>
      </c>
      <c r="Q1544" s="865" t="s">
        <v>70</v>
      </c>
      <c r="R1544" s="867">
        <v>7316.155163</v>
      </c>
      <c r="S1544" s="867">
        <v>8009.492546</v>
      </c>
      <c r="T1544" s="868">
        <v>6641.408028</v>
      </c>
      <c r="AN1544" s="882"/>
      <c r="AO1544" s="882"/>
      <c r="AP1544" s="882"/>
      <c r="AY1544" s="882"/>
      <c r="AZ1544" s="882"/>
      <c r="BA1544" s="882"/>
      <c r="BJ1544" s="882"/>
      <c r="BK1544" s="882"/>
      <c r="BL1544" s="882"/>
      <c r="BU1544" s="882"/>
      <c r="BV1544" s="882"/>
      <c r="BW1544" s="882"/>
      <c r="CF1544" s="882"/>
      <c r="CG1544" s="882"/>
      <c r="CH1544" s="882"/>
      <c r="CI1544" s="530"/>
    </row>
    <row r="1545">
      <c r="A1545" s="857"/>
      <c r="B1545" s="865" t="s">
        <v>664</v>
      </c>
      <c r="C1545" s="865" t="s">
        <v>591</v>
      </c>
      <c r="D1545" s="865" t="s">
        <v>673</v>
      </c>
      <c r="E1545" s="866">
        <v>2019.0</v>
      </c>
      <c r="F1545" s="865" t="s">
        <v>593</v>
      </c>
      <c r="G1545" s="865" t="s">
        <v>70</v>
      </c>
      <c r="H1545" s="867">
        <v>8637.806355</v>
      </c>
      <c r="I1545" s="867">
        <v>9558.175399</v>
      </c>
      <c r="J1545" s="868">
        <v>7664.372541</v>
      </c>
      <c r="K1545" s="50"/>
      <c r="L1545" s="869" t="s">
        <v>664</v>
      </c>
      <c r="M1545" s="865" t="s">
        <v>591</v>
      </c>
      <c r="N1545" s="865" t="s">
        <v>673</v>
      </c>
      <c r="O1545" s="866">
        <v>2004.0</v>
      </c>
      <c r="P1545" s="865" t="s">
        <v>593</v>
      </c>
      <c r="Q1545" s="865" t="s">
        <v>70</v>
      </c>
      <c r="R1545" s="867">
        <v>5520.459925</v>
      </c>
      <c r="S1545" s="867">
        <v>6043.717806</v>
      </c>
      <c r="T1545" s="868">
        <v>5011.57313</v>
      </c>
      <c r="AN1545" s="882"/>
      <c r="AO1545" s="882"/>
      <c r="AP1545" s="882"/>
      <c r="AY1545" s="882"/>
      <c r="AZ1545" s="882"/>
      <c r="BA1545" s="882"/>
      <c r="BJ1545" s="882"/>
      <c r="BK1545" s="882"/>
      <c r="BL1545" s="882"/>
      <c r="BU1545" s="882"/>
      <c r="BV1545" s="882"/>
      <c r="BW1545" s="882"/>
      <c r="CF1545" s="882"/>
      <c r="CG1545" s="882"/>
      <c r="CH1545" s="882"/>
      <c r="CI1545" s="530"/>
    </row>
    <row r="1546">
      <c r="A1546" s="857"/>
      <c r="B1546" s="865" t="s">
        <v>664</v>
      </c>
      <c r="C1546" s="865" t="s">
        <v>591</v>
      </c>
      <c r="D1546" s="865" t="s">
        <v>674</v>
      </c>
      <c r="E1546" s="866">
        <v>2019.0</v>
      </c>
      <c r="F1546" s="865" t="s">
        <v>593</v>
      </c>
      <c r="G1546" s="865" t="s">
        <v>70</v>
      </c>
      <c r="H1546" s="867">
        <v>2525.98769</v>
      </c>
      <c r="I1546" s="867">
        <v>2795.13483</v>
      </c>
      <c r="J1546" s="868">
        <v>2241.322611</v>
      </c>
      <c r="K1546" s="50"/>
      <c r="L1546" s="869" t="s">
        <v>664</v>
      </c>
      <c r="M1546" s="865" t="s">
        <v>591</v>
      </c>
      <c r="N1546" s="865" t="s">
        <v>674</v>
      </c>
      <c r="O1546" s="866">
        <v>2004.0</v>
      </c>
      <c r="P1546" s="865" t="s">
        <v>593</v>
      </c>
      <c r="Q1546" s="865" t="s">
        <v>70</v>
      </c>
      <c r="R1546" s="867">
        <v>1492.05851</v>
      </c>
      <c r="S1546" s="867">
        <v>1633.48357</v>
      </c>
      <c r="T1546" s="868">
        <v>1354.517638</v>
      </c>
      <c r="AN1546" s="882"/>
      <c r="AO1546" s="882"/>
      <c r="AP1546" s="882"/>
      <c r="AY1546" s="882"/>
      <c r="AZ1546" s="882"/>
      <c r="BA1546" s="882"/>
      <c r="BJ1546" s="882"/>
      <c r="BK1546" s="882"/>
      <c r="BL1546" s="882"/>
      <c r="BU1546" s="882"/>
      <c r="BV1546" s="882"/>
      <c r="BW1546" s="882"/>
      <c r="CF1546" s="882"/>
      <c r="CG1546" s="882"/>
      <c r="CH1546" s="882"/>
      <c r="CI1546" s="530"/>
    </row>
    <row r="1547">
      <c r="A1547" s="857"/>
      <c r="B1547" s="865" t="s">
        <v>664</v>
      </c>
      <c r="C1547" s="865" t="s">
        <v>591</v>
      </c>
      <c r="D1547" s="865" t="s">
        <v>676</v>
      </c>
      <c r="E1547" s="866">
        <v>2019.0</v>
      </c>
      <c r="F1547" s="865" t="s">
        <v>593</v>
      </c>
      <c r="G1547" s="865" t="s">
        <v>70</v>
      </c>
      <c r="H1547" s="867">
        <v>789.0181731</v>
      </c>
      <c r="I1547" s="867">
        <v>873.0890439</v>
      </c>
      <c r="J1547" s="868">
        <v>700.1001147</v>
      </c>
      <c r="K1547" s="50"/>
      <c r="L1547" s="869" t="s">
        <v>664</v>
      </c>
      <c r="M1547" s="865" t="s">
        <v>591</v>
      </c>
      <c r="N1547" s="865" t="s">
        <v>676</v>
      </c>
      <c r="O1547" s="866">
        <v>2004.0</v>
      </c>
      <c r="P1547" s="865" t="s">
        <v>593</v>
      </c>
      <c r="Q1547" s="865" t="s">
        <v>70</v>
      </c>
      <c r="R1547" s="867">
        <v>303.3919561</v>
      </c>
      <c r="S1547" s="867">
        <v>332.1490224</v>
      </c>
      <c r="T1547" s="868">
        <v>275.4246921</v>
      </c>
      <c r="AN1547" s="882"/>
      <c r="AO1547" s="882"/>
      <c r="AP1547" s="882"/>
      <c r="AY1547" s="882"/>
      <c r="AZ1547" s="882"/>
      <c r="BA1547" s="882"/>
      <c r="BJ1547" s="882"/>
      <c r="BK1547" s="882"/>
      <c r="BL1547" s="882"/>
      <c r="BU1547" s="882"/>
      <c r="BV1547" s="882"/>
      <c r="BW1547" s="882"/>
      <c r="CF1547" s="882"/>
      <c r="CG1547" s="882"/>
      <c r="CH1547" s="882"/>
      <c r="CI1547" s="530"/>
    </row>
    <row r="1548">
      <c r="A1548" s="857"/>
      <c r="B1548" s="865" t="s">
        <v>664</v>
      </c>
      <c r="C1548" s="865" t="s">
        <v>591</v>
      </c>
      <c r="D1548" s="865" t="s">
        <v>678</v>
      </c>
      <c r="E1548" s="866">
        <v>2019.0</v>
      </c>
      <c r="F1548" s="865" t="s">
        <v>593</v>
      </c>
      <c r="G1548" s="865" t="s">
        <v>70</v>
      </c>
      <c r="H1548" s="867">
        <v>4014273.45</v>
      </c>
      <c r="I1548" s="867">
        <v>4441999.295</v>
      </c>
      <c r="J1548" s="868">
        <v>3561886.657</v>
      </c>
      <c r="K1548" s="50"/>
      <c r="L1548" s="869" t="s">
        <v>664</v>
      </c>
      <c r="M1548" s="865" t="s">
        <v>591</v>
      </c>
      <c r="N1548" s="865" t="s">
        <v>678</v>
      </c>
      <c r="O1548" s="866">
        <v>2004.0</v>
      </c>
      <c r="P1548" s="865" t="s">
        <v>593</v>
      </c>
      <c r="Q1548" s="865" t="s">
        <v>70</v>
      </c>
      <c r="R1548" s="867">
        <v>2873976.971</v>
      </c>
      <c r="S1548" s="867">
        <v>3146387.445</v>
      </c>
      <c r="T1548" s="868">
        <v>2609048.152</v>
      </c>
      <c r="AN1548" s="882"/>
      <c r="AO1548" s="882"/>
      <c r="AP1548" s="882"/>
      <c r="AY1548" s="882"/>
      <c r="AZ1548" s="882"/>
      <c r="BA1548" s="882"/>
      <c r="BJ1548" s="882"/>
      <c r="BK1548" s="882"/>
      <c r="BL1548" s="882"/>
      <c r="BU1548" s="882"/>
      <c r="BV1548" s="882"/>
      <c r="BW1548" s="882"/>
      <c r="CF1548" s="882"/>
      <c r="CG1548" s="882"/>
      <c r="CH1548" s="882"/>
      <c r="CI1548" s="530"/>
    </row>
    <row r="1549">
      <c r="A1549" s="857"/>
      <c r="B1549" s="865" t="s">
        <v>664</v>
      </c>
      <c r="C1549" s="865" t="s">
        <v>591</v>
      </c>
      <c r="D1549" s="865" t="s">
        <v>680</v>
      </c>
      <c r="E1549" s="866">
        <v>2019.0</v>
      </c>
      <c r="F1549" s="865" t="s">
        <v>593</v>
      </c>
      <c r="G1549" s="865" t="s">
        <v>70</v>
      </c>
      <c r="H1549" s="867">
        <v>109001.6792</v>
      </c>
      <c r="I1549" s="867">
        <v>121981.4942</v>
      </c>
      <c r="J1549" s="868">
        <v>98053.8729</v>
      </c>
      <c r="K1549" s="50"/>
      <c r="L1549" s="869" t="s">
        <v>664</v>
      </c>
      <c r="M1549" s="865" t="s">
        <v>591</v>
      </c>
      <c r="N1549" s="865" t="s">
        <v>680</v>
      </c>
      <c r="O1549" s="866">
        <v>2004.0</v>
      </c>
      <c r="P1549" s="865" t="s">
        <v>593</v>
      </c>
      <c r="Q1549" s="865" t="s">
        <v>70</v>
      </c>
      <c r="R1549" s="867">
        <v>107530.7653</v>
      </c>
      <c r="S1549" s="867">
        <v>113884.4513</v>
      </c>
      <c r="T1549" s="868">
        <v>101225.2493</v>
      </c>
      <c r="AN1549" s="882"/>
      <c r="AO1549" s="882"/>
      <c r="AP1549" s="882"/>
      <c r="AY1549" s="882"/>
      <c r="AZ1549" s="882"/>
      <c r="BA1549" s="882"/>
      <c r="BJ1549" s="882"/>
      <c r="BK1549" s="882"/>
      <c r="BL1549" s="882"/>
      <c r="BU1549" s="882"/>
      <c r="BV1549" s="882"/>
      <c r="BW1549" s="882"/>
      <c r="CF1549" s="882"/>
      <c r="CG1549" s="882"/>
      <c r="CH1549" s="882"/>
      <c r="CI1549" s="530"/>
    </row>
    <row r="1550">
      <c r="A1550" s="857"/>
      <c r="B1550" s="865" t="s">
        <v>664</v>
      </c>
      <c r="C1550" s="865" t="s">
        <v>591</v>
      </c>
      <c r="D1550" s="865" t="s">
        <v>682</v>
      </c>
      <c r="E1550" s="866">
        <v>2019.0</v>
      </c>
      <c r="F1550" s="865" t="s">
        <v>593</v>
      </c>
      <c r="G1550" s="865" t="s">
        <v>70</v>
      </c>
      <c r="H1550" s="867">
        <v>2082.742091</v>
      </c>
      <c r="I1550" s="867">
        <v>2304.660859</v>
      </c>
      <c r="J1550" s="868">
        <v>1848.028381</v>
      </c>
      <c r="K1550" s="50"/>
      <c r="L1550" s="869" t="s">
        <v>664</v>
      </c>
      <c r="M1550" s="865" t="s">
        <v>591</v>
      </c>
      <c r="N1550" s="865" t="s">
        <v>682</v>
      </c>
      <c r="O1550" s="866">
        <v>2004.0</v>
      </c>
      <c r="P1550" s="865" t="s">
        <v>593</v>
      </c>
      <c r="Q1550" s="865" t="s">
        <v>70</v>
      </c>
      <c r="R1550" s="867">
        <v>2054.328581</v>
      </c>
      <c r="S1550" s="867">
        <v>2249.04852</v>
      </c>
      <c r="T1550" s="868">
        <v>1864.956554</v>
      </c>
      <c r="AN1550" s="882"/>
      <c r="AO1550" s="882"/>
      <c r="AP1550" s="882"/>
      <c r="AY1550" s="882"/>
      <c r="AZ1550" s="882"/>
      <c r="BA1550" s="882"/>
      <c r="BJ1550" s="882"/>
      <c r="BK1550" s="882"/>
      <c r="BL1550" s="882"/>
      <c r="BU1550" s="882"/>
      <c r="BV1550" s="882"/>
      <c r="BW1550" s="882"/>
      <c r="CF1550" s="882"/>
      <c r="CG1550" s="882"/>
      <c r="CH1550" s="882"/>
      <c r="CI1550" s="530"/>
    </row>
    <row r="1551">
      <c r="A1551" s="857"/>
      <c r="B1551" s="865" t="s">
        <v>664</v>
      </c>
      <c r="C1551" s="865" t="s">
        <v>591</v>
      </c>
      <c r="D1551" s="865" t="s">
        <v>684</v>
      </c>
      <c r="E1551" s="866">
        <v>2019.0</v>
      </c>
      <c r="F1551" s="865" t="s">
        <v>593</v>
      </c>
      <c r="G1551" s="865" t="s">
        <v>70</v>
      </c>
      <c r="H1551" s="867">
        <v>6168.375969</v>
      </c>
      <c r="I1551" s="867">
        <v>6825.624124</v>
      </c>
      <c r="J1551" s="868">
        <v>5473.233533</v>
      </c>
      <c r="K1551" s="50"/>
      <c r="L1551" s="869" t="s">
        <v>664</v>
      </c>
      <c r="M1551" s="865" t="s">
        <v>591</v>
      </c>
      <c r="N1551" s="865" t="s">
        <v>684</v>
      </c>
      <c r="O1551" s="866">
        <v>2004.0</v>
      </c>
      <c r="P1551" s="865" t="s">
        <v>593</v>
      </c>
      <c r="Q1551" s="865" t="s">
        <v>70</v>
      </c>
      <c r="R1551" s="867">
        <v>6049.486337</v>
      </c>
      <c r="S1551" s="867">
        <v>6622.888091</v>
      </c>
      <c r="T1551" s="868">
        <v>5491.832853</v>
      </c>
      <c r="AN1551" s="882"/>
      <c r="AO1551" s="882"/>
      <c r="AP1551" s="882"/>
      <c r="AY1551" s="882"/>
      <c r="AZ1551" s="882"/>
      <c r="BA1551" s="882"/>
      <c r="BJ1551" s="882"/>
      <c r="BK1551" s="882"/>
      <c r="BL1551" s="882"/>
      <c r="BU1551" s="882"/>
      <c r="BV1551" s="882"/>
      <c r="BW1551" s="882"/>
      <c r="CF1551" s="882"/>
      <c r="CG1551" s="882"/>
      <c r="CH1551" s="882"/>
      <c r="CI1551" s="530"/>
    </row>
    <row r="1552">
      <c r="A1552" s="857"/>
      <c r="B1552" s="865" t="s">
        <v>664</v>
      </c>
      <c r="C1552" s="865" t="s">
        <v>591</v>
      </c>
      <c r="D1552" s="865" t="s">
        <v>686</v>
      </c>
      <c r="E1552" s="866">
        <v>2019.0</v>
      </c>
      <c r="F1552" s="865" t="s">
        <v>593</v>
      </c>
      <c r="G1552" s="865" t="s">
        <v>70</v>
      </c>
      <c r="H1552" s="867">
        <v>8251.11806</v>
      </c>
      <c r="I1552" s="867">
        <v>9130.284983</v>
      </c>
      <c r="J1552" s="868">
        <v>7321.261914</v>
      </c>
      <c r="K1552" s="50"/>
      <c r="L1552" s="869" t="s">
        <v>664</v>
      </c>
      <c r="M1552" s="865" t="s">
        <v>591</v>
      </c>
      <c r="N1552" s="865" t="s">
        <v>686</v>
      </c>
      <c r="O1552" s="866">
        <v>2004.0</v>
      </c>
      <c r="P1552" s="865" t="s">
        <v>593</v>
      </c>
      <c r="Q1552" s="865" t="s">
        <v>70</v>
      </c>
      <c r="R1552" s="867">
        <v>8103.814918</v>
      </c>
      <c r="S1552" s="867">
        <v>8871.936611</v>
      </c>
      <c r="T1552" s="868">
        <v>7356.789406</v>
      </c>
      <c r="AN1552" s="882"/>
      <c r="AO1552" s="882"/>
      <c r="AP1552" s="882"/>
      <c r="AY1552" s="882"/>
      <c r="AZ1552" s="882"/>
      <c r="BA1552" s="882"/>
      <c r="BJ1552" s="882"/>
      <c r="BK1552" s="882"/>
      <c r="BL1552" s="882"/>
      <c r="BU1552" s="882"/>
      <c r="BV1552" s="882"/>
      <c r="BW1552" s="882"/>
      <c r="CF1552" s="882"/>
      <c r="CG1552" s="882"/>
      <c r="CH1552" s="882"/>
      <c r="CI1552" s="530"/>
    </row>
    <row r="1553">
      <c r="A1553" s="857"/>
      <c r="B1553" s="865" t="s">
        <v>664</v>
      </c>
      <c r="C1553" s="865" t="s">
        <v>591</v>
      </c>
      <c r="D1553" s="865" t="s">
        <v>688</v>
      </c>
      <c r="E1553" s="866">
        <v>2019.0</v>
      </c>
      <c r="F1553" s="865" t="s">
        <v>593</v>
      </c>
      <c r="G1553" s="865" t="s">
        <v>70</v>
      </c>
      <c r="H1553" s="867">
        <v>97341.75136</v>
      </c>
      <c r="I1553" s="867">
        <v>107713.6364</v>
      </c>
      <c r="J1553" s="868">
        <v>86371.86521</v>
      </c>
      <c r="K1553" s="50"/>
      <c r="L1553" s="869" t="s">
        <v>664</v>
      </c>
      <c r="M1553" s="865" t="s">
        <v>591</v>
      </c>
      <c r="N1553" s="865" t="s">
        <v>688</v>
      </c>
      <c r="O1553" s="866">
        <v>2004.0</v>
      </c>
      <c r="P1553" s="865" t="s">
        <v>593</v>
      </c>
      <c r="Q1553" s="865" t="s">
        <v>70</v>
      </c>
      <c r="R1553" s="867">
        <v>94776.44744</v>
      </c>
      <c r="S1553" s="867">
        <v>103759.8517</v>
      </c>
      <c r="T1553" s="868">
        <v>86039.76912</v>
      </c>
      <c r="AN1553" s="882"/>
      <c r="AO1553" s="882"/>
      <c r="AP1553" s="882"/>
      <c r="AY1553" s="882"/>
      <c r="AZ1553" s="882"/>
      <c r="BA1553" s="882"/>
      <c r="BJ1553" s="882"/>
      <c r="BK1553" s="882"/>
      <c r="BL1553" s="882"/>
      <c r="BU1553" s="882"/>
      <c r="BV1553" s="882"/>
      <c r="BW1553" s="882"/>
      <c r="CF1553" s="882"/>
      <c r="CG1553" s="882"/>
      <c r="CH1553" s="882"/>
      <c r="CI1553" s="530"/>
    </row>
    <row r="1554">
      <c r="A1554" s="857"/>
      <c r="B1554" s="865" t="s">
        <v>664</v>
      </c>
      <c r="C1554" s="865" t="s">
        <v>591</v>
      </c>
      <c r="D1554" s="865" t="s">
        <v>689</v>
      </c>
      <c r="E1554" s="866">
        <v>2019.0</v>
      </c>
      <c r="F1554" s="865" t="s">
        <v>593</v>
      </c>
      <c r="G1554" s="865" t="s">
        <v>70</v>
      </c>
      <c r="H1554" s="867">
        <v>531227.4823</v>
      </c>
      <c r="I1554" s="867">
        <v>587830.4334</v>
      </c>
      <c r="J1554" s="868">
        <v>471361.0332</v>
      </c>
      <c r="K1554" s="50"/>
      <c r="L1554" s="869" t="s">
        <v>664</v>
      </c>
      <c r="M1554" s="865" t="s">
        <v>591</v>
      </c>
      <c r="N1554" s="865" t="s">
        <v>689</v>
      </c>
      <c r="O1554" s="866">
        <v>2004.0</v>
      </c>
      <c r="P1554" s="865" t="s">
        <v>593</v>
      </c>
      <c r="Q1554" s="865" t="s">
        <v>70</v>
      </c>
      <c r="R1554" s="867">
        <v>486835.1603</v>
      </c>
      <c r="S1554" s="867">
        <v>532979.9269</v>
      </c>
      <c r="T1554" s="868">
        <v>441957.7429</v>
      </c>
      <c r="AN1554" s="882"/>
      <c r="AO1554" s="882"/>
      <c r="AP1554" s="882"/>
      <c r="AY1554" s="882"/>
      <c r="AZ1554" s="882"/>
      <c r="BA1554" s="882"/>
      <c r="BJ1554" s="882"/>
      <c r="BK1554" s="882"/>
      <c r="BL1554" s="882"/>
      <c r="BU1554" s="882"/>
      <c r="BV1554" s="882"/>
      <c r="BW1554" s="882"/>
      <c r="CF1554" s="882"/>
      <c r="CG1554" s="882"/>
      <c r="CH1554" s="882"/>
      <c r="CI1554" s="530"/>
    </row>
    <row r="1555">
      <c r="A1555" s="857"/>
      <c r="B1555" s="865" t="s">
        <v>666</v>
      </c>
      <c r="C1555" s="865" t="s">
        <v>591</v>
      </c>
      <c r="D1555" s="865" t="s">
        <v>592</v>
      </c>
      <c r="E1555" s="866">
        <v>2019.0</v>
      </c>
      <c r="F1555" s="865" t="s">
        <v>593</v>
      </c>
      <c r="G1555" s="865" t="s">
        <v>70</v>
      </c>
      <c r="H1555" s="867">
        <v>1067798.745</v>
      </c>
      <c r="I1555" s="867">
        <v>1150259.418</v>
      </c>
      <c r="J1555" s="868">
        <v>978473.4116</v>
      </c>
      <c r="K1555" s="50"/>
      <c r="L1555" s="869" t="s">
        <v>666</v>
      </c>
      <c r="M1555" s="865" t="s">
        <v>591</v>
      </c>
      <c r="N1555" s="865" t="s">
        <v>592</v>
      </c>
      <c r="O1555" s="866">
        <v>2004.0</v>
      </c>
      <c r="P1555" s="865" t="s">
        <v>593</v>
      </c>
      <c r="Q1555" s="865" t="s">
        <v>70</v>
      </c>
      <c r="R1555" s="867">
        <v>831607.0403</v>
      </c>
      <c r="S1555" s="867">
        <v>903524.4002</v>
      </c>
      <c r="T1555" s="868">
        <v>755351.1211</v>
      </c>
      <c r="AN1555" s="882"/>
      <c r="AO1555" s="882"/>
      <c r="AP1555" s="882"/>
      <c r="AY1555" s="882"/>
      <c r="AZ1555" s="882"/>
      <c r="BA1555" s="882"/>
      <c r="BJ1555" s="882"/>
      <c r="BK1555" s="882"/>
      <c r="BL1555" s="882"/>
      <c r="BU1555" s="882"/>
      <c r="BV1555" s="882"/>
      <c r="BW1555" s="882"/>
      <c r="CF1555" s="882"/>
      <c r="CG1555" s="882"/>
      <c r="CH1555" s="882"/>
      <c r="CI1555" s="530"/>
    </row>
    <row r="1556">
      <c r="A1556" s="857"/>
      <c r="B1556" s="865" t="s">
        <v>666</v>
      </c>
      <c r="C1556" s="865" t="s">
        <v>591</v>
      </c>
      <c r="D1556" s="865" t="s">
        <v>601</v>
      </c>
      <c r="E1556" s="866">
        <v>2019.0</v>
      </c>
      <c r="F1556" s="865" t="s">
        <v>593</v>
      </c>
      <c r="G1556" s="865" t="s">
        <v>70</v>
      </c>
      <c r="H1556" s="867">
        <v>1.701303235E7</v>
      </c>
      <c r="I1556" s="867">
        <v>1.832686243E7</v>
      </c>
      <c r="J1556" s="868">
        <v>1.558982897E7</v>
      </c>
      <c r="K1556" s="50"/>
      <c r="L1556" s="869" t="s">
        <v>666</v>
      </c>
      <c r="M1556" s="865" t="s">
        <v>591</v>
      </c>
      <c r="N1556" s="865" t="s">
        <v>601</v>
      </c>
      <c r="O1556" s="866">
        <v>2004.0</v>
      </c>
      <c r="P1556" s="865" t="s">
        <v>593</v>
      </c>
      <c r="Q1556" s="865" t="s">
        <v>70</v>
      </c>
      <c r="R1556" s="867">
        <v>1.101406757E7</v>
      </c>
      <c r="S1556" s="867">
        <v>1.196656391E7</v>
      </c>
      <c r="T1556" s="868">
        <v>1.000410998E7</v>
      </c>
      <c r="AN1556" s="882"/>
      <c r="AO1556" s="882"/>
      <c r="AP1556" s="882"/>
      <c r="AY1556" s="882"/>
      <c r="AZ1556" s="882"/>
      <c r="BA1556" s="882"/>
      <c r="BJ1556" s="882"/>
      <c r="BK1556" s="882"/>
      <c r="BL1556" s="882"/>
      <c r="BU1556" s="882"/>
      <c r="BV1556" s="882"/>
      <c r="BW1556" s="882"/>
      <c r="CF1556" s="882"/>
      <c r="CG1556" s="882"/>
      <c r="CH1556" s="882"/>
      <c r="CI1556" s="530"/>
    </row>
    <row r="1557">
      <c r="A1557" s="857"/>
      <c r="B1557" s="865" t="s">
        <v>666</v>
      </c>
      <c r="C1557" s="865" t="s">
        <v>591</v>
      </c>
      <c r="D1557" s="865" t="s">
        <v>606</v>
      </c>
      <c r="E1557" s="866">
        <v>2019.0</v>
      </c>
      <c r="F1557" s="865" t="s">
        <v>593</v>
      </c>
      <c r="G1557" s="865" t="s">
        <v>70</v>
      </c>
      <c r="H1557" s="867">
        <v>1.376314871E7</v>
      </c>
      <c r="I1557" s="867">
        <v>1.482600678E7</v>
      </c>
      <c r="J1557" s="868">
        <v>1.261181018E7</v>
      </c>
      <c r="K1557" s="50"/>
      <c r="L1557" s="869" t="s">
        <v>666</v>
      </c>
      <c r="M1557" s="865" t="s">
        <v>591</v>
      </c>
      <c r="N1557" s="865" t="s">
        <v>606</v>
      </c>
      <c r="O1557" s="866">
        <v>2004.0</v>
      </c>
      <c r="P1557" s="865" t="s">
        <v>593</v>
      </c>
      <c r="Q1557" s="865" t="s">
        <v>70</v>
      </c>
      <c r="R1557" s="867">
        <v>9116443.764</v>
      </c>
      <c r="S1557" s="867">
        <v>9904833.635</v>
      </c>
      <c r="T1557" s="868">
        <v>8280492.69</v>
      </c>
      <c r="AN1557" s="882"/>
      <c r="AO1557" s="882"/>
      <c r="AP1557" s="882"/>
      <c r="AY1557" s="882"/>
      <c r="AZ1557" s="882"/>
      <c r="BA1557" s="882"/>
      <c r="BJ1557" s="882"/>
      <c r="BK1557" s="882"/>
      <c r="BL1557" s="882"/>
      <c r="BU1557" s="882"/>
      <c r="BV1557" s="882"/>
      <c r="BW1557" s="882"/>
      <c r="CF1557" s="882"/>
      <c r="CG1557" s="882"/>
      <c r="CH1557" s="882"/>
      <c r="CI1557" s="530"/>
    </row>
    <row r="1558">
      <c r="A1558" s="857"/>
      <c r="B1558" s="865" t="s">
        <v>666</v>
      </c>
      <c r="C1558" s="865" t="s">
        <v>591</v>
      </c>
      <c r="D1558" s="865" t="s">
        <v>608</v>
      </c>
      <c r="E1558" s="866">
        <v>2019.0</v>
      </c>
      <c r="F1558" s="865" t="s">
        <v>593</v>
      </c>
      <c r="G1558" s="865" t="s">
        <v>70</v>
      </c>
      <c r="H1558" s="867">
        <v>4037237.425</v>
      </c>
      <c r="I1558" s="867">
        <v>4349012.765</v>
      </c>
      <c r="J1558" s="868">
        <v>3699507.512</v>
      </c>
      <c r="K1558" s="50"/>
      <c r="L1558" s="869" t="s">
        <v>666</v>
      </c>
      <c r="M1558" s="865" t="s">
        <v>591</v>
      </c>
      <c r="N1558" s="865" t="s">
        <v>608</v>
      </c>
      <c r="O1558" s="866">
        <v>2004.0</v>
      </c>
      <c r="P1558" s="865" t="s">
        <v>593</v>
      </c>
      <c r="Q1558" s="865" t="s">
        <v>70</v>
      </c>
      <c r="R1558" s="867">
        <v>2929138.529</v>
      </c>
      <c r="S1558" s="867">
        <v>3182450.369</v>
      </c>
      <c r="T1558" s="868">
        <v>2660545.142</v>
      </c>
      <c r="AN1558" s="882"/>
      <c r="AO1558" s="882"/>
      <c r="AP1558" s="882"/>
      <c r="AY1558" s="882"/>
      <c r="AZ1558" s="882"/>
      <c r="BA1558" s="882"/>
      <c r="BJ1558" s="882"/>
      <c r="BK1558" s="882"/>
      <c r="BL1558" s="882"/>
      <c r="BU1558" s="882"/>
      <c r="BV1558" s="882"/>
      <c r="BW1558" s="882"/>
      <c r="CF1558" s="882"/>
      <c r="CG1558" s="882"/>
      <c r="CH1558" s="882"/>
      <c r="CI1558" s="530"/>
    </row>
    <row r="1559">
      <c r="A1559" s="857"/>
      <c r="B1559" s="865" t="s">
        <v>666</v>
      </c>
      <c r="C1559" s="865" t="s">
        <v>591</v>
      </c>
      <c r="D1559" s="865" t="s">
        <v>610</v>
      </c>
      <c r="E1559" s="866">
        <v>2019.0</v>
      </c>
      <c r="F1559" s="865" t="s">
        <v>593</v>
      </c>
      <c r="G1559" s="865" t="s">
        <v>70</v>
      </c>
      <c r="H1559" s="867">
        <v>3939121.962</v>
      </c>
      <c r="I1559" s="867">
        <v>4243320.343</v>
      </c>
      <c r="J1559" s="868">
        <v>3609599.772</v>
      </c>
      <c r="K1559" s="50"/>
      <c r="L1559" s="869" t="s">
        <v>666</v>
      </c>
      <c r="M1559" s="865" t="s">
        <v>591</v>
      </c>
      <c r="N1559" s="865" t="s">
        <v>610</v>
      </c>
      <c r="O1559" s="866">
        <v>2004.0</v>
      </c>
      <c r="P1559" s="865" t="s">
        <v>593</v>
      </c>
      <c r="Q1559" s="865" t="s">
        <v>70</v>
      </c>
      <c r="R1559" s="867">
        <v>2345373.312</v>
      </c>
      <c r="S1559" s="867">
        <v>2548201.149</v>
      </c>
      <c r="T1559" s="868">
        <v>2130309.479</v>
      </c>
      <c r="AN1559" s="882"/>
      <c r="AO1559" s="882"/>
      <c r="AP1559" s="882"/>
      <c r="AY1559" s="882"/>
      <c r="AZ1559" s="882"/>
      <c r="BA1559" s="882"/>
      <c r="BJ1559" s="882"/>
      <c r="BK1559" s="882"/>
      <c r="BL1559" s="882"/>
      <c r="BU1559" s="882"/>
      <c r="BV1559" s="882"/>
      <c r="BW1559" s="882"/>
      <c r="CF1559" s="882"/>
      <c r="CG1559" s="882"/>
      <c r="CH1559" s="882"/>
      <c r="CI1559" s="530"/>
    </row>
    <row r="1560">
      <c r="A1560" s="857"/>
      <c r="B1560" s="865" t="s">
        <v>666</v>
      </c>
      <c r="C1560" s="865" t="s">
        <v>591</v>
      </c>
      <c r="D1560" s="865" t="s">
        <v>612</v>
      </c>
      <c r="E1560" s="866">
        <v>2019.0</v>
      </c>
      <c r="F1560" s="865" t="s">
        <v>593</v>
      </c>
      <c r="G1560" s="865" t="s">
        <v>70</v>
      </c>
      <c r="H1560" s="867">
        <v>7189005.599</v>
      </c>
      <c r="I1560" s="867">
        <v>7744175.987</v>
      </c>
      <c r="J1560" s="868">
        <v>6587618.565</v>
      </c>
      <c r="K1560" s="50"/>
      <c r="L1560" s="869" t="s">
        <v>666</v>
      </c>
      <c r="M1560" s="865" t="s">
        <v>591</v>
      </c>
      <c r="N1560" s="865" t="s">
        <v>612</v>
      </c>
      <c r="O1560" s="866">
        <v>2004.0</v>
      </c>
      <c r="P1560" s="865" t="s">
        <v>593</v>
      </c>
      <c r="Q1560" s="865" t="s">
        <v>70</v>
      </c>
      <c r="R1560" s="867">
        <v>4242997.122</v>
      </c>
      <c r="S1560" s="867">
        <v>4609931.427</v>
      </c>
      <c r="T1560" s="868">
        <v>3853926.768</v>
      </c>
      <c r="AN1560" s="882"/>
      <c r="AO1560" s="882"/>
      <c r="AP1560" s="882"/>
      <c r="AY1560" s="882"/>
      <c r="AZ1560" s="882"/>
      <c r="BA1560" s="882"/>
      <c r="BJ1560" s="882"/>
      <c r="BK1560" s="882"/>
      <c r="BL1560" s="882"/>
      <c r="BU1560" s="882"/>
      <c r="BV1560" s="882"/>
      <c r="BW1560" s="882"/>
      <c r="CF1560" s="882"/>
      <c r="CG1560" s="882"/>
      <c r="CH1560" s="882"/>
      <c r="CI1560" s="530"/>
    </row>
    <row r="1561">
      <c r="A1561" s="857"/>
      <c r="B1561" s="865" t="s">
        <v>666</v>
      </c>
      <c r="C1561" s="865" t="s">
        <v>591</v>
      </c>
      <c r="D1561" s="865" t="s">
        <v>614</v>
      </c>
      <c r="E1561" s="866">
        <v>2019.0</v>
      </c>
      <c r="F1561" s="865" t="s">
        <v>593</v>
      </c>
      <c r="G1561" s="865" t="s">
        <v>70</v>
      </c>
      <c r="H1561" s="867">
        <v>9876316.141</v>
      </c>
      <c r="I1561" s="867">
        <v>1.063901387E7</v>
      </c>
      <c r="J1561" s="868">
        <v>9050125.595</v>
      </c>
      <c r="K1561" s="50"/>
      <c r="L1561" s="869" t="s">
        <v>666</v>
      </c>
      <c r="M1561" s="865" t="s">
        <v>591</v>
      </c>
      <c r="N1561" s="865" t="s">
        <v>614</v>
      </c>
      <c r="O1561" s="866">
        <v>2004.0</v>
      </c>
      <c r="P1561" s="865" t="s">
        <v>593</v>
      </c>
      <c r="Q1561" s="865" t="s">
        <v>70</v>
      </c>
      <c r="R1561" s="867">
        <v>5964891.462</v>
      </c>
      <c r="S1561" s="867">
        <v>6480735.154</v>
      </c>
      <c r="T1561" s="868">
        <v>5417928.462</v>
      </c>
      <c r="AN1561" s="882"/>
      <c r="AO1561" s="882"/>
      <c r="AP1561" s="882"/>
      <c r="AY1561" s="882"/>
      <c r="AZ1561" s="882"/>
      <c r="BA1561" s="882"/>
      <c r="BJ1561" s="882"/>
      <c r="BK1561" s="882"/>
      <c r="BL1561" s="882"/>
      <c r="BU1561" s="882"/>
      <c r="BV1561" s="882"/>
      <c r="BW1561" s="882"/>
      <c r="CF1561" s="882"/>
      <c r="CG1561" s="882"/>
      <c r="CH1561" s="882"/>
      <c r="CI1561" s="530"/>
    </row>
    <row r="1562">
      <c r="A1562" s="857"/>
      <c r="B1562" s="865" t="s">
        <v>666</v>
      </c>
      <c r="C1562" s="865" t="s">
        <v>591</v>
      </c>
      <c r="D1562" s="865" t="s">
        <v>616</v>
      </c>
      <c r="E1562" s="866">
        <v>2019.0</v>
      </c>
      <c r="F1562" s="865" t="s">
        <v>593</v>
      </c>
      <c r="G1562" s="865" t="s">
        <v>70</v>
      </c>
      <c r="H1562" s="867">
        <v>3249883.637</v>
      </c>
      <c r="I1562" s="867">
        <v>3500855.643</v>
      </c>
      <c r="J1562" s="868">
        <v>2978018.794</v>
      </c>
      <c r="K1562" s="50"/>
      <c r="L1562" s="869" t="s">
        <v>666</v>
      </c>
      <c r="M1562" s="865" t="s">
        <v>591</v>
      </c>
      <c r="N1562" s="865" t="s">
        <v>616</v>
      </c>
      <c r="O1562" s="866">
        <v>2004.0</v>
      </c>
      <c r="P1562" s="865" t="s">
        <v>593</v>
      </c>
      <c r="Q1562" s="865" t="s">
        <v>70</v>
      </c>
      <c r="R1562" s="867">
        <v>1897623.81</v>
      </c>
      <c r="S1562" s="867">
        <v>2061730.278</v>
      </c>
      <c r="T1562" s="868">
        <v>1723617.289</v>
      </c>
      <c r="AN1562" s="882"/>
      <c r="AO1562" s="882"/>
      <c r="AP1562" s="882"/>
      <c r="AY1562" s="882"/>
      <c r="AZ1562" s="882"/>
      <c r="BA1562" s="882"/>
      <c r="BJ1562" s="882"/>
      <c r="BK1562" s="882"/>
      <c r="BL1562" s="882"/>
      <c r="BU1562" s="882"/>
      <c r="BV1562" s="882"/>
      <c r="BW1562" s="882"/>
      <c r="CF1562" s="882"/>
      <c r="CG1562" s="882"/>
      <c r="CH1562" s="882"/>
      <c r="CI1562" s="530"/>
    </row>
    <row r="1563">
      <c r="A1563" s="857"/>
      <c r="B1563" s="865" t="s">
        <v>666</v>
      </c>
      <c r="C1563" s="865" t="s">
        <v>591</v>
      </c>
      <c r="D1563" s="865" t="s">
        <v>618</v>
      </c>
      <c r="E1563" s="866">
        <v>2019.0</v>
      </c>
      <c r="F1563" s="865" t="s">
        <v>593</v>
      </c>
      <c r="G1563" s="865" t="s">
        <v>70</v>
      </c>
      <c r="H1563" s="867">
        <v>1.122363022E7</v>
      </c>
      <c r="I1563" s="867">
        <v>1.209095353E7</v>
      </c>
      <c r="J1563" s="868">
        <v>1.02850901E7</v>
      </c>
      <c r="K1563" s="50"/>
      <c r="L1563" s="869" t="s">
        <v>666</v>
      </c>
      <c r="M1563" s="865" t="s">
        <v>591</v>
      </c>
      <c r="N1563" s="865" t="s">
        <v>618</v>
      </c>
      <c r="O1563" s="866">
        <v>2004.0</v>
      </c>
      <c r="P1563" s="865" t="s">
        <v>593</v>
      </c>
      <c r="Q1563" s="865" t="s">
        <v>70</v>
      </c>
      <c r="R1563" s="867">
        <v>7269435.958</v>
      </c>
      <c r="S1563" s="867">
        <v>7898528.14</v>
      </c>
      <c r="T1563" s="868">
        <v>6603045.81</v>
      </c>
      <c r="AN1563" s="882"/>
      <c r="AO1563" s="882"/>
      <c r="AP1563" s="882"/>
      <c r="AY1563" s="882"/>
      <c r="AZ1563" s="882"/>
      <c r="BA1563" s="882"/>
      <c r="BJ1563" s="882"/>
      <c r="BK1563" s="882"/>
      <c r="BL1563" s="882"/>
      <c r="BU1563" s="882"/>
      <c r="BV1563" s="882"/>
      <c r="BW1563" s="882"/>
      <c r="CF1563" s="882"/>
      <c r="CG1563" s="882"/>
      <c r="CH1563" s="882"/>
      <c r="CI1563" s="530"/>
    </row>
    <row r="1564">
      <c r="A1564" s="857"/>
      <c r="B1564" s="865" t="s">
        <v>666</v>
      </c>
      <c r="C1564" s="865" t="s">
        <v>591</v>
      </c>
      <c r="D1564" s="865" t="s">
        <v>620</v>
      </c>
      <c r="E1564" s="866">
        <v>2019.0</v>
      </c>
      <c r="F1564" s="865" t="s">
        <v>593</v>
      </c>
      <c r="G1564" s="865" t="s">
        <v>70</v>
      </c>
      <c r="H1564" s="867">
        <v>1.33236521E7</v>
      </c>
      <c r="I1564" s="867">
        <v>1.435257008E7</v>
      </c>
      <c r="J1564" s="868">
        <v>1.220907909E7</v>
      </c>
      <c r="K1564" s="50"/>
      <c r="L1564" s="869" t="s">
        <v>666</v>
      </c>
      <c r="M1564" s="865" t="s">
        <v>591</v>
      </c>
      <c r="N1564" s="865" t="s">
        <v>620</v>
      </c>
      <c r="O1564" s="866">
        <v>2004.0</v>
      </c>
      <c r="P1564" s="865" t="s">
        <v>593</v>
      </c>
      <c r="Q1564" s="865" t="s">
        <v>70</v>
      </c>
      <c r="R1564" s="867">
        <v>8636448.316</v>
      </c>
      <c r="S1564" s="867">
        <v>9383328.19</v>
      </c>
      <c r="T1564" s="868">
        <v>7844511.412</v>
      </c>
      <c r="AN1564" s="882"/>
      <c r="AO1564" s="882"/>
      <c r="AP1564" s="882"/>
      <c r="AY1564" s="882"/>
      <c r="AZ1564" s="882"/>
      <c r="BA1564" s="882"/>
      <c r="BJ1564" s="882"/>
      <c r="BK1564" s="882"/>
      <c r="BL1564" s="882"/>
      <c r="BU1564" s="882"/>
      <c r="BV1564" s="882"/>
      <c r="BW1564" s="882"/>
      <c r="CF1564" s="882"/>
      <c r="CG1564" s="882"/>
      <c r="CH1564" s="882"/>
      <c r="CI1564" s="530"/>
    </row>
    <row r="1565">
      <c r="A1565" s="857"/>
      <c r="B1565" s="865" t="s">
        <v>666</v>
      </c>
      <c r="C1565" s="865" t="s">
        <v>591</v>
      </c>
      <c r="D1565" s="865" t="s">
        <v>622</v>
      </c>
      <c r="E1565" s="866">
        <v>2019.0</v>
      </c>
      <c r="F1565" s="865" t="s">
        <v>593</v>
      </c>
      <c r="G1565" s="865" t="s">
        <v>70</v>
      </c>
      <c r="H1565" s="867">
        <v>1.251450278E7</v>
      </c>
      <c r="I1565" s="867">
        <v>1.348158026E7</v>
      </c>
      <c r="J1565" s="868">
        <v>1.146801758E7</v>
      </c>
      <c r="K1565" s="50"/>
      <c r="L1565" s="869" t="s">
        <v>666</v>
      </c>
      <c r="M1565" s="865" t="s">
        <v>591</v>
      </c>
      <c r="N1565" s="865" t="s">
        <v>622</v>
      </c>
      <c r="O1565" s="866">
        <v>2004.0</v>
      </c>
      <c r="P1565" s="865" t="s">
        <v>593</v>
      </c>
      <c r="Q1565" s="865" t="s">
        <v>70</v>
      </c>
      <c r="R1565" s="867">
        <v>8459591.211</v>
      </c>
      <c r="S1565" s="867">
        <v>9191678.643</v>
      </c>
      <c r="T1565" s="868">
        <v>7684099.374</v>
      </c>
      <c r="AN1565" s="882"/>
      <c r="AO1565" s="882"/>
      <c r="AP1565" s="882"/>
      <c r="AY1565" s="882"/>
      <c r="AZ1565" s="882"/>
      <c r="BA1565" s="882"/>
      <c r="BJ1565" s="882"/>
      <c r="BK1565" s="882"/>
      <c r="BL1565" s="882"/>
      <c r="BU1565" s="882"/>
      <c r="BV1565" s="882"/>
      <c r="BW1565" s="882"/>
      <c r="CF1565" s="882"/>
      <c r="CG1565" s="882"/>
      <c r="CH1565" s="882"/>
      <c r="CI1565" s="530"/>
    </row>
    <row r="1566">
      <c r="A1566" s="857"/>
      <c r="B1566" s="865" t="s">
        <v>666</v>
      </c>
      <c r="C1566" s="865" t="s">
        <v>591</v>
      </c>
      <c r="D1566" s="865" t="s">
        <v>624</v>
      </c>
      <c r="E1566" s="866">
        <v>2019.0</v>
      </c>
      <c r="F1566" s="865" t="s">
        <v>593</v>
      </c>
      <c r="G1566" s="865" t="s">
        <v>70</v>
      </c>
      <c r="H1566" s="867">
        <v>2687310.542</v>
      </c>
      <c r="I1566" s="867">
        <v>2894837.886</v>
      </c>
      <c r="J1566" s="868">
        <v>2462507.029</v>
      </c>
      <c r="K1566" s="50"/>
      <c r="L1566" s="869" t="s">
        <v>666</v>
      </c>
      <c r="M1566" s="865" t="s">
        <v>591</v>
      </c>
      <c r="N1566" s="865" t="s">
        <v>624</v>
      </c>
      <c r="O1566" s="866">
        <v>2004.0</v>
      </c>
      <c r="P1566" s="865" t="s">
        <v>593</v>
      </c>
      <c r="Q1566" s="865" t="s">
        <v>70</v>
      </c>
      <c r="R1566" s="867">
        <v>1721894.34</v>
      </c>
      <c r="S1566" s="867">
        <v>1870803.727</v>
      </c>
      <c r="T1566" s="868">
        <v>1564001.694</v>
      </c>
      <c r="AN1566" s="882"/>
      <c r="AO1566" s="882"/>
      <c r="AP1566" s="882"/>
      <c r="AY1566" s="882"/>
      <c r="AZ1566" s="882"/>
      <c r="BA1566" s="882"/>
      <c r="BJ1566" s="882"/>
      <c r="BK1566" s="882"/>
      <c r="BL1566" s="882"/>
      <c r="BU1566" s="882"/>
      <c r="BV1566" s="882"/>
      <c r="BW1566" s="882"/>
      <c r="CF1566" s="882"/>
      <c r="CG1566" s="882"/>
      <c r="CH1566" s="882"/>
      <c r="CI1566" s="530"/>
    </row>
    <row r="1567">
      <c r="A1567" s="857"/>
      <c r="B1567" s="865" t="s">
        <v>666</v>
      </c>
      <c r="C1567" s="865" t="s">
        <v>591</v>
      </c>
      <c r="D1567" s="865" t="s">
        <v>625</v>
      </c>
      <c r="E1567" s="866">
        <v>2019.0</v>
      </c>
      <c r="F1567" s="865" t="s">
        <v>593</v>
      </c>
      <c r="G1567" s="865" t="s">
        <v>70</v>
      </c>
      <c r="H1567" s="867">
        <v>9827693.979</v>
      </c>
      <c r="I1567" s="867">
        <v>1.058663687E7</v>
      </c>
      <c r="J1567" s="868">
        <v>9005570.857</v>
      </c>
      <c r="K1567" s="50"/>
      <c r="L1567" s="869" t="s">
        <v>666</v>
      </c>
      <c r="M1567" s="865" t="s">
        <v>591</v>
      </c>
      <c r="N1567" s="865" t="s">
        <v>625</v>
      </c>
      <c r="O1567" s="866">
        <v>2004.0</v>
      </c>
      <c r="P1567" s="865" t="s">
        <v>593</v>
      </c>
      <c r="Q1567" s="865" t="s">
        <v>70</v>
      </c>
      <c r="R1567" s="867">
        <v>6738059.078</v>
      </c>
      <c r="S1567" s="867">
        <v>7320766.29</v>
      </c>
      <c r="T1567" s="868">
        <v>6120198.883</v>
      </c>
      <c r="AN1567" s="882"/>
      <c r="AO1567" s="882"/>
      <c r="AP1567" s="882"/>
      <c r="AY1567" s="882"/>
      <c r="AZ1567" s="882"/>
      <c r="BA1567" s="882"/>
      <c r="BJ1567" s="882"/>
      <c r="BK1567" s="882"/>
      <c r="BL1567" s="882"/>
      <c r="BU1567" s="882"/>
      <c r="BV1567" s="882"/>
      <c r="BW1567" s="882"/>
      <c r="CF1567" s="882"/>
      <c r="CG1567" s="882"/>
      <c r="CH1567" s="882"/>
      <c r="CI1567" s="530"/>
    </row>
    <row r="1568">
      <c r="A1568" s="857"/>
      <c r="B1568" s="865" t="s">
        <v>666</v>
      </c>
      <c r="C1568" s="865" t="s">
        <v>591</v>
      </c>
      <c r="D1568" s="865" t="s">
        <v>627</v>
      </c>
      <c r="E1568" s="866">
        <v>2019.0</v>
      </c>
      <c r="F1568" s="865" t="s">
        <v>593</v>
      </c>
      <c r="G1568" s="865" t="s">
        <v>70</v>
      </c>
      <c r="H1568" s="867">
        <v>2176260.676</v>
      </c>
      <c r="I1568" s="867">
        <v>2344322.234</v>
      </c>
      <c r="J1568" s="868">
        <v>1994208.383</v>
      </c>
      <c r="K1568" s="50"/>
      <c r="L1568" s="869" t="s">
        <v>666</v>
      </c>
      <c r="M1568" s="865" t="s">
        <v>591</v>
      </c>
      <c r="N1568" s="865" t="s">
        <v>627</v>
      </c>
      <c r="O1568" s="866">
        <v>2004.0</v>
      </c>
      <c r="P1568" s="865" t="s">
        <v>593</v>
      </c>
      <c r="Q1568" s="865" t="s">
        <v>70</v>
      </c>
      <c r="R1568" s="867">
        <v>1455303.256</v>
      </c>
      <c r="S1568" s="867">
        <v>1581157.852</v>
      </c>
      <c r="T1568" s="868">
        <v>1321856.229</v>
      </c>
      <c r="AN1568" s="882"/>
      <c r="AO1568" s="882"/>
      <c r="AP1568" s="882"/>
      <c r="AY1568" s="882"/>
      <c r="AZ1568" s="882"/>
      <c r="BA1568" s="882"/>
      <c r="BJ1568" s="882"/>
      <c r="BK1568" s="882"/>
      <c r="BL1568" s="882"/>
      <c r="BU1568" s="882"/>
      <c r="BV1568" s="882"/>
      <c r="BW1568" s="882"/>
      <c r="CF1568" s="882"/>
      <c r="CG1568" s="882"/>
      <c r="CH1568" s="882"/>
      <c r="CI1568" s="530"/>
    </row>
    <row r="1569">
      <c r="A1569" s="857"/>
      <c r="B1569" s="865" t="s">
        <v>666</v>
      </c>
      <c r="C1569" s="865" t="s">
        <v>591</v>
      </c>
      <c r="D1569" s="865" t="s">
        <v>629</v>
      </c>
      <c r="E1569" s="866">
        <v>2019.0</v>
      </c>
      <c r="F1569" s="865" t="s">
        <v>593</v>
      </c>
      <c r="G1569" s="865" t="s">
        <v>70</v>
      </c>
      <c r="H1569" s="867">
        <v>7386161.791</v>
      </c>
      <c r="I1569" s="867">
        <v>7956938.822</v>
      </c>
      <c r="J1569" s="868">
        <v>6768517.675</v>
      </c>
      <c r="K1569" s="50"/>
      <c r="L1569" s="869" t="s">
        <v>666</v>
      </c>
      <c r="M1569" s="865" t="s">
        <v>591</v>
      </c>
      <c r="N1569" s="865" t="s">
        <v>629</v>
      </c>
      <c r="O1569" s="866">
        <v>2004.0</v>
      </c>
      <c r="P1569" s="865" t="s">
        <v>593</v>
      </c>
      <c r="Q1569" s="865" t="s">
        <v>70</v>
      </c>
      <c r="R1569" s="867">
        <v>5016715.369</v>
      </c>
      <c r="S1569" s="867">
        <v>5450858.601</v>
      </c>
      <c r="T1569" s="868">
        <v>4556832.413</v>
      </c>
      <c r="AN1569" s="882"/>
      <c r="AO1569" s="882"/>
      <c r="AP1569" s="882"/>
      <c r="AY1569" s="882"/>
      <c r="AZ1569" s="882"/>
      <c r="BA1569" s="882"/>
      <c r="BJ1569" s="882"/>
      <c r="BK1569" s="882"/>
      <c r="BL1569" s="882"/>
      <c r="BU1569" s="882"/>
      <c r="BV1569" s="882"/>
      <c r="BW1569" s="882"/>
      <c r="CF1569" s="882"/>
      <c r="CG1569" s="882"/>
      <c r="CH1569" s="882"/>
      <c r="CI1569" s="530"/>
    </row>
    <row r="1570">
      <c r="A1570" s="857"/>
      <c r="B1570" s="865" t="s">
        <v>666</v>
      </c>
      <c r="C1570" s="865" t="s">
        <v>591</v>
      </c>
      <c r="D1570" s="865" t="s">
        <v>631</v>
      </c>
      <c r="E1570" s="866">
        <v>2019.0</v>
      </c>
      <c r="F1570" s="865" t="s">
        <v>593</v>
      </c>
      <c r="G1570" s="865" t="s">
        <v>70</v>
      </c>
      <c r="H1570" s="867">
        <v>1680722.253</v>
      </c>
      <c r="I1570" s="867">
        <v>1810515.896</v>
      </c>
      <c r="J1570" s="868">
        <v>1540123.591</v>
      </c>
      <c r="K1570" s="50"/>
      <c r="L1570" s="869" t="s">
        <v>666</v>
      </c>
      <c r="M1570" s="865" t="s">
        <v>591</v>
      </c>
      <c r="N1570" s="865" t="s">
        <v>631</v>
      </c>
      <c r="O1570" s="866">
        <v>2004.0</v>
      </c>
      <c r="P1570" s="865" t="s">
        <v>593</v>
      </c>
      <c r="Q1570" s="865" t="s">
        <v>70</v>
      </c>
      <c r="R1570" s="867">
        <v>1240558.684</v>
      </c>
      <c r="S1570" s="867">
        <v>1347842.174</v>
      </c>
      <c r="T1570" s="868">
        <v>1126803.102</v>
      </c>
      <c r="AN1570" s="882"/>
      <c r="AO1570" s="882"/>
      <c r="AP1570" s="882"/>
      <c r="AY1570" s="882"/>
      <c r="AZ1570" s="882"/>
      <c r="BA1570" s="882"/>
      <c r="BJ1570" s="882"/>
      <c r="BK1570" s="882"/>
      <c r="BL1570" s="882"/>
      <c r="BU1570" s="882"/>
      <c r="BV1570" s="882"/>
      <c r="BW1570" s="882"/>
      <c r="CF1570" s="882"/>
      <c r="CG1570" s="882"/>
      <c r="CH1570" s="882"/>
      <c r="CI1570" s="530"/>
    </row>
    <row r="1571">
      <c r="A1571" s="857"/>
      <c r="B1571" s="865" t="s">
        <v>666</v>
      </c>
      <c r="C1571" s="865" t="s">
        <v>591</v>
      </c>
      <c r="D1571" s="865" t="s">
        <v>633</v>
      </c>
      <c r="E1571" s="866">
        <v>2019.0</v>
      </c>
      <c r="F1571" s="865" t="s">
        <v>593</v>
      </c>
      <c r="G1571" s="865" t="s">
        <v>70</v>
      </c>
      <c r="H1571" s="867">
        <v>1429903.098</v>
      </c>
      <c r="I1571" s="867">
        <v>1540327.251</v>
      </c>
      <c r="J1571" s="868">
        <v>1310286.39</v>
      </c>
      <c r="K1571" s="50"/>
      <c r="L1571" s="869" t="s">
        <v>666</v>
      </c>
      <c r="M1571" s="865" t="s">
        <v>591</v>
      </c>
      <c r="N1571" s="865" t="s">
        <v>633</v>
      </c>
      <c r="O1571" s="866">
        <v>2004.0</v>
      </c>
      <c r="P1571" s="865" t="s">
        <v>593</v>
      </c>
      <c r="Q1571" s="865" t="s">
        <v>70</v>
      </c>
      <c r="R1571" s="867">
        <v>954367.1165</v>
      </c>
      <c r="S1571" s="867">
        <v>1036900.765</v>
      </c>
      <c r="T1571" s="868">
        <v>866854.4595</v>
      </c>
      <c r="AN1571" s="882"/>
      <c r="AO1571" s="882"/>
      <c r="AP1571" s="882"/>
      <c r="AY1571" s="882"/>
      <c r="AZ1571" s="882"/>
      <c r="BA1571" s="882"/>
      <c r="BJ1571" s="882"/>
      <c r="BK1571" s="882"/>
      <c r="BL1571" s="882"/>
      <c r="BU1571" s="882"/>
      <c r="BV1571" s="882"/>
      <c r="BW1571" s="882"/>
      <c r="CF1571" s="882"/>
      <c r="CG1571" s="882"/>
      <c r="CH1571" s="882"/>
      <c r="CI1571" s="530"/>
    </row>
    <row r="1572">
      <c r="A1572" s="857"/>
      <c r="B1572" s="865" t="s">
        <v>666</v>
      </c>
      <c r="C1572" s="865" t="s">
        <v>591</v>
      </c>
      <c r="D1572" s="865" t="s">
        <v>635</v>
      </c>
      <c r="E1572" s="866">
        <v>2019.0</v>
      </c>
      <c r="F1572" s="865" t="s">
        <v>593</v>
      </c>
      <c r="G1572" s="865" t="s">
        <v>70</v>
      </c>
      <c r="H1572" s="867">
        <v>1160389.445</v>
      </c>
      <c r="I1572" s="867">
        <v>1250000.428</v>
      </c>
      <c r="J1572" s="868">
        <v>1063318.556</v>
      </c>
      <c r="K1572" s="50"/>
      <c r="L1572" s="869" t="s">
        <v>666</v>
      </c>
      <c r="M1572" s="865" t="s">
        <v>591</v>
      </c>
      <c r="N1572" s="865" t="s">
        <v>635</v>
      </c>
      <c r="O1572" s="866">
        <v>2004.0</v>
      </c>
      <c r="P1572" s="865" t="s">
        <v>593</v>
      </c>
      <c r="Q1572" s="865" t="s">
        <v>70</v>
      </c>
      <c r="R1572" s="867">
        <v>754625.8644</v>
      </c>
      <c r="S1572" s="867">
        <v>819885.8938</v>
      </c>
      <c r="T1572" s="868">
        <v>685428.8926</v>
      </c>
      <c r="AN1572" s="882"/>
      <c r="AO1572" s="882"/>
      <c r="AP1572" s="882"/>
      <c r="AY1572" s="882"/>
      <c r="AZ1572" s="882"/>
      <c r="BA1572" s="882"/>
      <c r="BJ1572" s="882"/>
      <c r="BK1572" s="882"/>
      <c r="BL1572" s="882"/>
      <c r="BU1572" s="882"/>
      <c r="BV1572" s="882"/>
      <c r="BW1572" s="882"/>
      <c r="CF1572" s="882"/>
      <c r="CG1572" s="882"/>
      <c r="CH1572" s="882"/>
      <c r="CI1572" s="530"/>
    </row>
    <row r="1573">
      <c r="A1573" s="857"/>
      <c r="B1573" s="865" t="s">
        <v>666</v>
      </c>
      <c r="C1573" s="865" t="s">
        <v>591</v>
      </c>
      <c r="D1573" s="865" t="s">
        <v>637</v>
      </c>
      <c r="E1573" s="866">
        <v>2019.0</v>
      </c>
      <c r="F1573" s="865" t="s">
        <v>593</v>
      </c>
      <c r="G1573" s="865" t="s">
        <v>70</v>
      </c>
      <c r="H1573" s="867">
        <v>939182.4525</v>
      </c>
      <c r="I1573" s="867">
        <v>1011710.743</v>
      </c>
      <c r="J1573" s="868">
        <v>860616.3503</v>
      </c>
      <c r="K1573" s="50"/>
      <c r="L1573" s="869" t="s">
        <v>666</v>
      </c>
      <c r="M1573" s="865" t="s">
        <v>591</v>
      </c>
      <c r="N1573" s="865" t="s">
        <v>637</v>
      </c>
      <c r="O1573" s="866">
        <v>2004.0</v>
      </c>
      <c r="P1573" s="865" t="s">
        <v>593</v>
      </c>
      <c r="Q1573" s="865" t="s">
        <v>70</v>
      </c>
      <c r="R1573" s="867">
        <v>612075.2442</v>
      </c>
      <c r="S1573" s="867">
        <v>665007.4989</v>
      </c>
      <c r="T1573" s="868">
        <v>555949.7449</v>
      </c>
      <c r="AN1573" s="882"/>
      <c r="AO1573" s="882"/>
      <c r="AP1573" s="882"/>
      <c r="AY1573" s="882"/>
      <c r="AZ1573" s="882"/>
      <c r="BA1573" s="882"/>
      <c r="BJ1573" s="882"/>
      <c r="BK1573" s="882"/>
      <c r="BL1573" s="882"/>
      <c r="BU1573" s="882"/>
      <c r="BV1573" s="882"/>
      <c r="BW1573" s="882"/>
      <c r="CF1573" s="882"/>
      <c r="CG1573" s="882"/>
      <c r="CH1573" s="882"/>
      <c r="CI1573" s="530"/>
    </row>
    <row r="1574">
      <c r="A1574" s="857"/>
      <c r="B1574" s="865" t="s">
        <v>666</v>
      </c>
      <c r="C1574" s="865" t="s">
        <v>591</v>
      </c>
      <c r="D1574" s="865" t="s">
        <v>639</v>
      </c>
      <c r="E1574" s="866">
        <v>2019.0</v>
      </c>
      <c r="F1574" s="865" t="s">
        <v>593</v>
      </c>
      <c r="G1574" s="865" t="s">
        <v>70</v>
      </c>
      <c r="H1574" s="867">
        <v>1.190751877E7</v>
      </c>
      <c r="I1574" s="867">
        <v>1.282769063E7</v>
      </c>
      <c r="J1574" s="868">
        <v>1.091179066E7</v>
      </c>
      <c r="K1574" s="50"/>
      <c r="L1574" s="869" t="s">
        <v>666</v>
      </c>
      <c r="M1574" s="865" t="s">
        <v>591</v>
      </c>
      <c r="N1574" s="865" t="s">
        <v>639</v>
      </c>
      <c r="O1574" s="866">
        <v>2004.0</v>
      </c>
      <c r="P1574" s="865" t="s">
        <v>593</v>
      </c>
      <c r="Q1574" s="865" t="s">
        <v>70</v>
      </c>
      <c r="R1574" s="867">
        <v>7253011.459</v>
      </c>
      <c r="S1574" s="867">
        <v>7880682.277</v>
      </c>
      <c r="T1574" s="868">
        <v>6588126.947</v>
      </c>
      <c r="AN1574" s="882"/>
      <c r="AO1574" s="882"/>
      <c r="AP1574" s="882"/>
      <c r="AY1574" s="882"/>
      <c r="AZ1574" s="882"/>
      <c r="BA1574" s="882"/>
      <c r="BJ1574" s="882"/>
      <c r="BK1574" s="882"/>
      <c r="BL1574" s="882"/>
      <c r="BU1574" s="882"/>
      <c r="BV1574" s="882"/>
      <c r="BW1574" s="882"/>
      <c r="CF1574" s="882"/>
      <c r="CG1574" s="882"/>
      <c r="CH1574" s="882"/>
      <c r="CI1574" s="530"/>
    </row>
    <row r="1575">
      <c r="A1575" s="857"/>
      <c r="B1575" s="865" t="s">
        <v>666</v>
      </c>
      <c r="C1575" s="865" t="s">
        <v>591</v>
      </c>
      <c r="D1575" s="865" t="s">
        <v>641</v>
      </c>
      <c r="E1575" s="866">
        <v>2019.0</v>
      </c>
      <c r="F1575" s="865" t="s">
        <v>593</v>
      </c>
      <c r="G1575" s="865" t="s">
        <v>70</v>
      </c>
      <c r="H1575" s="867">
        <v>4718990.582</v>
      </c>
      <c r="I1575" s="867">
        <v>5083414.256</v>
      </c>
      <c r="J1575" s="868">
        <v>4324229.483</v>
      </c>
      <c r="K1575" s="50"/>
      <c r="L1575" s="869" t="s">
        <v>666</v>
      </c>
      <c r="M1575" s="865" t="s">
        <v>591</v>
      </c>
      <c r="N1575" s="865" t="s">
        <v>641</v>
      </c>
      <c r="O1575" s="866">
        <v>2004.0</v>
      </c>
      <c r="P1575" s="865" t="s">
        <v>593</v>
      </c>
      <c r="Q1575" s="865" t="s">
        <v>70</v>
      </c>
      <c r="R1575" s="867">
        <v>3010324.883</v>
      </c>
      <c r="S1575" s="867">
        <v>3270657.718</v>
      </c>
      <c r="T1575" s="868">
        <v>2734286.947</v>
      </c>
      <c r="AN1575" s="882"/>
      <c r="AO1575" s="882"/>
      <c r="AP1575" s="882"/>
      <c r="AY1575" s="882"/>
      <c r="AZ1575" s="882"/>
      <c r="BA1575" s="882"/>
      <c r="BJ1575" s="882"/>
      <c r="BK1575" s="882"/>
      <c r="BL1575" s="882"/>
      <c r="BU1575" s="882"/>
      <c r="BV1575" s="882"/>
      <c r="BW1575" s="882"/>
      <c r="CF1575" s="882"/>
      <c r="CG1575" s="882"/>
      <c r="CH1575" s="882"/>
      <c r="CI1575" s="530"/>
    </row>
    <row r="1576">
      <c r="A1576" s="857"/>
      <c r="B1576" s="865" t="s">
        <v>666</v>
      </c>
      <c r="C1576" s="865" t="s">
        <v>591</v>
      </c>
      <c r="D1576" s="865" t="s">
        <v>643</v>
      </c>
      <c r="E1576" s="866">
        <v>2019.0</v>
      </c>
      <c r="F1576" s="865" t="s">
        <v>593</v>
      </c>
      <c r="G1576" s="865" t="s">
        <v>70</v>
      </c>
      <c r="H1576" s="867">
        <v>706179.6441</v>
      </c>
      <c r="I1576" s="867">
        <v>760714.3112</v>
      </c>
      <c r="J1576" s="868">
        <v>647105.0927</v>
      </c>
      <c r="K1576" s="50"/>
      <c r="L1576" s="869" t="s">
        <v>666</v>
      </c>
      <c r="M1576" s="865" t="s">
        <v>591</v>
      </c>
      <c r="N1576" s="865" t="s">
        <v>643</v>
      </c>
      <c r="O1576" s="866">
        <v>2004.0</v>
      </c>
      <c r="P1576" s="865" t="s">
        <v>593</v>
      </c>
      <c r="Q1576" s="865" t="s">
        <v>70</v>
      </c>
      <c r="R1576" s="867">
        <v>492376.682</v>
      </c>
      <c r="S1576" s="867">
        <v>534957.4074</v>
      </c>
      <c r="T1576" s="868">
        <v>447227.1887</v>
      </c>
      <c r="AN1576" s="882"/>
      <c r="AO1576" s="882"/>
      <c r="AP1576" s="882"/>
      <c r="AY1576" s="882"/>
      <c r="AZ1576" s="882"/>
      <c r="BA1576" s="882"/>
      <c r="BJ1576" s="882"/>
      <c r="BK1576" s="882"/>
      <c r="BL1576" s="882"/>
      <c r="BU1576" s="882"/>
      <c r="BV1576" s="882"/>
      <c r="BW1576" s="882"/>
      <c r="CF1576" s="882"/>
      <c r="CG1576" s="882"/>
      <c r="CH1576" s="882"/>
      <c r="CI1576" s="530"/>
    </row>
    <row r="1577">
      <c r="A1577" s="857"/>
      <c r="B1577" s="865" t="s">
        <v>666</v>
      </c>
      <c r="C1577" s="865" t="s">
        <v>591</v>
      </c>
      <c r="D1577" s="865" t="s">
        <v>645</v>
      </c>
      <c r="E1577" s="866">
        <v>2019.0</v>
      </c>
      <c r="F1577" s="865" t="s">
        <v>593</v>
      </c>
      <c r="G1577" s="865" t="s">
        <v>70</v>
      </c>
      <c r="H1577" s="867">
        <v>1992825.262</v>
      </c>
      <c r="I1577" s="867">
        <v>2146721.035</v>
      </c>
      <c r="J1577" s="868">
        <v>1826118.023</v>
      </c>
      <c r="K1577" s="50"/>
      <c r="L1577" s="869" t="s">
        <v>666</v>
      </c>
      <c r="M1577" s="865" t="s">
        <v>591</v>
      </c>
      <c r="N1577" s="865" t="s">
        <v>645</v>
      </c>
      <c r="O1577" s="866">
        <v>2004.0</v>
      </c>
      <c r="P1577" s="865" t="s">
        <v>593</v>
      </c>
      <c r="Q1577" s="865" t="s">
        <v>70</v>
      </c>
      <c r="R1577" s="867">
        <v>1394127.537</v>
      </c>
      <c r="S1577" s="867">
        <v>1514691.658</v>
      </c>
      <c r="T1577" s="868">
        <v>1266290.143</v>
      </c>
      <c r="AN1577" s="882"/>
      <c r="AO1577" s="882"/>
      <c r="AP1577" s="882"/>
      <c r="AY1577" s="882"/>
      <c r="AZ1577" s="882"/>
      <c r="BA1577" s="882"/>
      <c r="BJ1577" s="882"/>
      <c r="BK1577" s="882"/>
      <c r="BL1577" s="882"/>
      <c r="BU1577" s="882"/>
      <c r="BV1577" s="882"/>
      <c r="BW1577" s="882"/>
      <c r="CF1577" s="882"/>
      <c r="CG1577" s="882"/>
      <c r="CH1577" s="882"/>
      <c r="CI1577" s="530"/>
    </row>
    <row r="1578">
      <c r="A1578" s="857"/>
      <c r="B1578" s="865" t="s">
        <v>666</v>
      </c>
      <c r="C1578" s="865" t="s">
        <v>591</v>
      </c>
      <c r="D1578" s="865" t="s">
        <v>604</v>
      </c>
      <c r="E1578" s="866">
        <v>2019.0</v>
      </c>
      <c r="F1578" s="865" t="s">
        <v>593</v>
      </c>
      <c r="G1578" s="865" t="s">
        <v>70</v>
      </c>
      <c r="H1578" s="867">
        <v>8658112.544</v>
      </c>
      <c r="I1578" s="867">
        <v>9326734.599</v>
      </c>
      <c r="J1578" s="868">
        <v>7933829.255</v>
      </c>
      <c r="K1578" s="50"/>
      <c r="L1578" s="869" t="s">
        <v>666</v>
      </c>
      <c r="M1578" s="865" t="s">
        <v>591</v>
      </c>
      <c r="N1578" s="865" t="s">
        <v>604</v>
      </c>
      <c r="O1578" s="866">
        <v>2004.0</v>
      </c>
      <c r="P1578" s="865" t="s">
        <v>593</v>
      </c>
      <c r="Q1578" s="865" t="s">
        <v>70</v>
      </c>
      <c r="R1578" s="867">
        <v>5355698.195</v>
      </c>
      <c r="S1578" s="867">
        <v>5818858.866</v>
      </c>
      <c r="T1578" s="868">
        <v>4864596.426</v>
      </c>
      <c r="AN1578" s="882"/>
      <c r="AO1578" s="882"/>
      <c r="AP1578" s="882"/>
      <c r="AY1578" s="882"/>
      <c r="AZ1578" s="882"/>
      <c r="BA1578" s="882"/>
      <c r="BJ1578" s="882"/>
      <c r="BK1578" s="882"/>
      <c r="BL1578" s="882"/>
      <c r="BU1578" s="882"/>
      <c r="BV1578" s="882"/>
      <c r="BW1578" s="882"/>
      <c r="CF1578" s="882"/>
      <c r="CG1578" s="882"/>
      <c r="CH1578" s="882"/>
      <c r="CI1578" s="530"/>
    </row>
    <row r="1579">
      <c r="A1579" s="857"/>
      <c r="B1579" s="865" t="s">
        <v>666</v>
      </c>
      <c r="C1579" s="865" t="s">
        <v>591</v>
      </c>
      <c r="D1579" s="865" t="s">
        <v>647</v>
      </c>
      <c r="E1579" s="866">
        <v>2019.0</v>
      </c>
      <c r="F1579" s="865" t="s">
        <v>593</v>
      </c>
      <c r="G1579" s="865" t="s">
        <v>70</v>
      </c>
      <c r="H1579" s="867">
        <v>1734986.85</v>
      </c>
      <c r="I1579" s="867">
        <v>1869060.631</v>
      </c>
      <c r="J1579" s="868">
        <v>1589904.133</v>
      </c>
      <c r="K1579" s="50"/>
      <c r="L1579" s="869" t="s">
        <v>666</v>
      </c>
      <c r="M1579" s="865" t="s">
        <v>591</v>
      </c>
      <c r="N1579" s="865" t="s">
        <v>647</v>
      </c>
      <c r="O1579" s="866">
        <v>2004.0</v>
      </c>
      <c r="P1579" s="865" t="s">
        <v>593</v>
      </c>
      <c r="Q1579" s="865" t="s">
        <v>70</v>
      </c>
      <c r="R1579" s="867">
        <v>1228699.622</v>
      </c>
      <c r="S1579" s="867">
        <v>1335030.475</v>
      </c>
      <c r="T1579" s="868">
        <v>1116064.567</v>
      </c>
      <c r="AN1579" s="882"/>
      <c r="AO1579" s="882"/>
      <c r="AP1579" s="882"/>
      <c r="AY1579" s="882"/>
      <c r="AZ1579" s="882"/>
      <c r="BA1579" s="882"/>
      <c r="BJ1579" s="882"/>
      <c r="BK1579" s="882"/>
      <c r="BL1579" s="882"/>
      <c r="BU1579" s="882"/>
      <c r="BV1579" s="882"/>
      <c r="BW1579" s="882"/>
      <c r="CF1579" s="882"/>
      <c r="CG1579" s="882"/>
      <c r="CH1579" s="882"/>
      <c r="CI1579" s="530"/>
    </row>
    <row r="1580">
      <c r="A1580" s="857"/>
      <c r="B1580" s="865" t="s">
        <v>666</v>
      </c>
      <c r="C1580" s="865" t="s">
        <v>591</v>
      </c>
      <c r="D1580" s="865" t="s">
        <v>649</v>
      </c>
      <c r="E1580" s="866">
        <v>2019.0</v>
      </c>
      <c r="F1580" s="865" t="s">
        <v>593</v>
      </c>
      <c r="G1580" s="865" t="s">
        <v>70</v>
      </c>
      <c r="H1580" s="867">
        <v>540706.1762</v>
      </c>
      <c r="I1580" s="867">
        <v>582462.1679</v>
      </c>
      <c r="J1580" s="868">
        <v>495474.0953</v>
      </c>
      <c r="K1580" s="50"/>
      <c r="L1580" s="869" t="s">
        <v>666</v>
      </c>
      <c r="M1580" s="865" t="s">
        <v>591</v>
      </c>
      <c r="N1580" s="865" t="s">
        <v>649</v>
      </c>
      <c r="O1580" s="866">
        <v>2004.0</v>
      </c>
      <c r="P1580" s="865" t="s">
        <v>593</v>
      </c>
      <c r="Q1580" s="865" t="s">
        <v>70</v>
      </c>
      <c r="R1580" s="867">
        <v>388368.8035</v>
      </c>
      <c r="S1580" s="867">
        <v>421954.9297</v>
      </c>
      <c r="T1580" s="868">
        <v>352756.5267</v>
      </c>
      <c r="AN1580" s="882"/>
      <c r="AO1580" s="882"/>
      <c r="AP1580" s="882"/>
      <c r="AY1580" s="882"/>
      <c r="AZ1580" s="882"/>
      <c r="BA1580" s="882"/>
      <c r="BJ1580" s="882"/>
      <c r="BK1580" s="882"/>
      <c r="BL1580" s="882"/>
      <c r="BU1580" s="882"/>
      <c r="BV1580" s="882"/>
      <c r="BW1580" s="882"/>
      <c r="CF1580" s="882"/>
      <c r="CG1580" s="882"/>
      <c r="CH1580" s="882"/>
      <c r="CI1580" s="530"/>
    </row>
    <row r="1581">
      <c r="A1581" s="857"/>
      <c r="B1581" s="865" t="s">
        <v>666</v>
      </c>
      <c r="C1581" s="865" t="s">
        <v>591</v>
      </c>
      <c r="D1581" s="865" t="s">
        <v>651</v>
      </c>
      <c r="E1581" s="866">
        <v>2019.0</v>
      </c>
      <c r="F1581" s="865" t="s">
        <v>593</v>
      </c>
      <c r="G1581" s="865" t="s">
        <v>70</v>
      </c>
      <c r="H1581" s="867">
        <v>424363.0849</v>
      </c>
      <c r="I1581" s="867">
        <v>457134.4906</v>
      </c>
      <c r="J1581" s="868">
        <v>388863.5359</v>
      </c>
      <c r="K1581" s="50"/>
      <c r="L1581" s="869" t="s">
        <v>666</v>
      </c>
      <c r="M1581" s="865" t="s">
        <v>591</v>
      </c>
      <c r="N1581" s="865" t="s">
        <v>651</v>
      </c>
      <c r="O1581" s="866">
        <v>2004.0</v>
      </c>
      <c r="P1581" s="865" t="s">
        <v>593</v>
      </c>
      <c r="Q1581" s="865" t="s">
        <v>70</v>
      </c>
      <c r="R1581" s="867">
        <v>290987.9355</v>
      </c>
      <c r="S1581" s="867">
        <v>316152.5663</v>
      </c>
      <c r="T1581" s="868">
        <v>264305.1979</v>
      </c>
      <c r="AN1581" s="882"/>
      <c r="AO1581" s="882"/>
      <c r="AP1581" s="882"/>
      <c r="AY1581" s="882"/>
      <c r="AZ1581" s="882"/>
      <c r="BA1581" s="882"/>
      <c r="BJ1581" s="882"/>
      <c r="BK1581" s="882"/>
      <c r="BL1581" s="882"/>
      <c r="BU1581" s="882"/>
      <c r="BV1581" s="882"/>
      <c r="BW1581" s="882"/>
      <c r="CF1581" s="882"/>
      <c r="CG1581" s="882"/>
      <c r="CH1581" s="882"/>
      <c r="CI1581" s="530"/>
    </row>
    <row r="1582">
      <c r="A1582" s="857"/>
      <c r="B1582" s="865" t="s">
        <v>666</v>
      </c>
      <c r="C1582" s="865" t="s">
        <v>591</v>
      </c>
      <c r="D1582" s="865" t="s">
        <v>653</v>
      </c>
      <c r="E1582" s="866">
        <v>2019.0</v>
      </c>
      <c r="F1582" s="865" t="s">
        <v>593</v>
      </c>
      <c r="G1582" s="865" t="s">
        <v>70</v>
      </c>
      <c r="H1582" s="867">
        <v>321576.3564</v>
      </c>
      <c r="I1582" s="867">
        <v>346410.0651</v>
      </c>
      <c r="J1582" s="868">
        <v>294675.2992</v>
      </c>
      <c r="K1582" s="50"/>
      <c r="L1582" s="869" t="s">
        <v>666</v>
      </c>
      <c r="M1582" s="865" t="s">
        <v>591</v>
      </c>
      <c r="N1582" s="865" t="s">
        <v>653</v>
      </c>
      <c r="O1582" s="866">
        <v>2004.0</v>
      </c>
      <c r="P1582" s="865" t="s">
        <v>593</v>
      </c>
      <c r="Q1582" s="865" t="s">
        <v>70</v>
      </c>
      <c r="R1582" s="867">
        <v>222394.1163</v>
      </c>
      <c r="S1582" s="867">
        <v>241626.7549</v>
      </c>
      <c r="T1582" s="868">
        <v>202001.2301</v>
      </c>
      <c r="AN1582" s="882"/>
      <c r="AO1582" s="882"/>
      <c r="AP1582" s="882"/>
      <c r="AY1582" s="882"/>
      <c r="AZ1582" s="882"/>
      <c r="BA1582" s="882"/>
      <c r="BJ1582" s="882"/>
      <c r="BK1582" s="882"/>
      <c r="BL1582" s="882"/>
      <c r="BU1582" s="882"/>
      <c r="BV1582" s="882"/>
      <c r="BW1582" s="882"/>
      <c r="CF1582" s="882"/>
      <c r="CG1582" s="882"/>
      <c r="CH1582" s="882"/>
      <c r="CI1582" s="530"/>
    </row>
    <row r="1583">
      <c r="A1583" s="857"/>
      <c r="B1583" s="865" t="s">
        <v>666</v>
      </c>
      <c r="C1583" s="865" t="s">
        <v>591</v>
      </c>
      <c r="D1583" s="865" t="s">
        <v>655</v>
      </c>
      <c r="E1583" s="866">
        <v>2019.0</v>
      </c>
      <c r="F1583" s="865" t="s">
        <v>593</v>
      </c>
      <c r="G1583" s="865" t="s">
        <v>70</v>
      </c>
      <c r="H1583" s="867">
        <v>539514.4594</v>
      </c>
      <c r="I1583" s="867">
        <v>581206.2703</v>
      </c>
      <c r="J1583" s="868">
        <v>494399.2912</v>
      </c>
      <c r="K1583" s="50"/>
      <c r="L1583" s="869" t="s">
        <v>666</v>
      </c>
      <c r="M1583" s="865" t="s">
        <v>591</v>
      </c>
      <c r="N1583" s="865" t="s">
        <v>655</v>
      </c>
      <c r="O1583" s="866">
        <v>2004.0</v>
      </c>
      <c r="P1583" s="865" t="s">
        <v>593</v>
      </c>
      <c r="Q1583" s="865" t="s">
        <v>70</v>
      </c>
      <c r="R1583" s="867">
        <v>372040.3121</v>
      </c>
      <c r="S1583" s="867">
        <v>404236.4348</v>
      </c>
      <c r="T1583" s="868">
        <v>337935.3278</v>
      </c>
      <c r="AN1583" s="882"/>
      <c r="AO1583" s="882"/>
      <c r="AP1583" s="882"/>
      <c r="AY1583" s="882"/>
      <c r="AZ1583" s="882"/>
      <c r="BA1583" s="882"/>
      <c r="BJ1583" s="882"/>
      <c r="BK1583" s="882"/>
      <c r="BL1583" s="882"/>
      <c r="BU1583" s="882"/>
      <c r="BV1583" s="882"/>
      <c r="BW1583" s="882"/>
      <c r="CF1583" s="882"/>
      <c r="CG1583" s="882"/>
      <c r="CH1583" s="882"/>
      <c r="CI1583" s="530"/>
    </row>
    <row r="1584">
      <c r="A1584" s="857"/>
      <c r="B1584" s="865" t="s">
        <v>666</v>
      </c>
      <c r="C1584" s="865" t="s">
        <v>591</v>
      </c>
      <c r="D1584" s="865" t="s">
        <v>657</v>
      </c>
      <c r="E1584" s="866">
        <v>2019.0</v>
      </c>
      <c r="F1584" s="865" t="s">
        <v>593</v>
      </c>
      <c r="G1584" s="865" t="s">
        <v>70</v>
      </c>
      <c r="H1584" s="867">
        <v>217959.7337</v>
      </c>
      <c r="I1584" s="867">
        <v>234791.6569</v>
      </c>
      <c r="J1584" s="868">
        <v>199726.592</v>
      </c>
      <c r="K1584" s="50"/>
      <c r="L1584" s="869" t="s">
        <v>666</v>
      </c>
      <c r="M1584" s="865" t="s">
        <v>591</v>
      </c>
      <c r="N1584" s="865" t="s">
        <v>657</v>
      </c>
      <c r="O1584" s="866">
        <v>2004.0</v>
      </c>
      <c r="P1584" s="865" t="s">
        <v>593</v>
      </c>
      <c r="Q1584" s="865" t="s">
        <v>70</v>
      </c>
      <c r="R1584" s="867">
        <v>149662.1251</v>
      </c>
      <c r="S1584" s="867">
        <v>162604.9027</v>
      </c>
      <c r="T1584" s="868">
        <v>135938.5485</v>
      </c>
      <c r="AN1584" s="882"/>
      <c r="AO1584" s="882"/>
      <c r="AP1584" s="882"/>
      <c r="AY1584" s="882"/>
      <c r="AZ1584" s="882"/>
      <c r="BA1584" s="882"/>
      <c r="BJ1584" s="882"/>
      <c r="BK1584" s="882"/>
      <c r="BL1584" s="882"/>
      <c r="BU1584" s="882"/>
      <c r="BV1584" s="882"/>
      <c r="BW1584" s="882"/>
      <c r="CF1584" s="882"/>
      <c r="CG1584" s="882"/>
      <c r="CH1584" s="882"/>
      <c r="CI1584" s="530"/>
    </row>
    <row r="1585">
      <c r="A1585" s="857"/>
      <c r="B1585" s="865" t="s">
        <v>666</v>
      </c>
      <c r="C1585" s="865" t="s">
        <v>591</v>
      </c>
      <c r="D1585" s="865" t="s">
        <v>659</v>
      </c>
      <c r="E1585" s="866">
        <v>2019.0</v>
      </c>
      <c r="F1585" s="865" t="s">
        <v>593</v>
      </c>
      <c r="G1585" s="865" t="s">
        <v>70</v>
      </c>
      <c r="H1585" s="867">
        <v>448410.793</v>
      </c>
      <c r="I1585" s="867">
        <v>483039.281</v>
      </c>
      <c r="J1585" s="868">
        <v>410899.5639</v>
      </c>
      <c r="K1585" s="50"/>
      <c r="L1585" s="869" t="s">
        <v>666</v>
      </c>
      <c r="M1585" s="865" t="s">
        <v>591</v>
      </c>
      <c r="N1585" s="865" t="s">
        <v>659</v>
      </c>
      <c r="O1585" s="866">
        <v>2004.0</v>
      </c>
      <c r="P1585" s="865" t="s">
        <v>593</v>
      </c>
      <c r="Q1585" s="865" t="s">
        <v>70</v>
      </c>
      <c r="R1585" s="867">
        <v>327001.375</v>
      </c>
      <c r="S1585" s="867">
        <v>355280.4473</v>
      </c>
      <c r="T1585" s="868">
        <v>297016.3109</v>
      </c>
      <c r="AN1585" s="882"/>
      <c r="AO1585" s="882"/>
      <c r="AP1585" s="882"/>
      <c r="AY1585" s="882"/>
      <c r="AZ1585" s="882"/>
      <c r="BA1585" s="882"/>
      <c r="BJ1585" s="882"/>
      <c r="BK1585" s="882"/>
      <c r="BL1585" s="882"/>
      <c r="BU1585" s="882"/>
      <c r="BV1585" s="882"/>
      <c r="BW1585" s="882"/>
      <c r="CF1585" s="882"/>
      <c r="CG1585" s="882"/>
      <c r="CH1585" s="882"/>
      <c r="CI1585" s="530"/>
    </row>
    <row r="1586">
      <c r="A1586" s="857"/>
      <c r="B1586" s="865" t="s">
        <v>666</v>
      </c>
      <c r="C1586" s="865" t="s">
        <v>591</v>
      </c>
      <c r="D1586" s="865" t="s">
        <v>661</v>
      </c>
      <c r="E1586" s="866">
        <v>2019.0</v>
      </c>
      <c r="F1586" s="865" t="s">
        <v>593</v>
      </c>
      <c r="G1586" s="865" t="s">
        <v>70</v>
      </c>
      <c r="H1586" s="867">
        <v>230441.8202</v>
      </c>
      <c r="I1586" s="867">
        <v>248249.5669</v>
      </c>
      <c r="J1586" s="868">
        <v>211171.8613</v>
      </c>
      <c r="K1586" s="50"/>
      <c r="L1586" s="869" t="s">
        <v>666</v>
      </c>
      <c r="M1586" s="865" t="s">
        <v>591</v>
      </c>
      <c r="N1586" s="865" t="s">
        <v>661</v>
      </c>
      <c r="O1586" s="866">
        <v>2004.0</v>
      </c>
      <c r="P1586" s="865" t="s">
        <v>593</v>
      </c>
      <c r="Q1586" s="865" t="s">
        <v>70</v>
      </c>
      <c r="R1586" s="867">
        <v>177331.6572</v>
      </c>
      <c r="S1586" s="867">
        <v>192677.8216</v>
      </c>
      <c r="T1586" s="868">
        <v>161075.6409</v>
      </c>
      <c r="AN1586" s="882"/>
      <c r="AO1586" s="882"/>
      <c r="AP1586" s="882"/>
      <c r="AY1586" s="882"/>
      <c r="AZ1586" s="882"/>
      <c r="BA1586" s="882"/>
      <c r="BJ1586" s="882"/>
      <c r="BK1586" s="882"/>
      <c r="BL1586" s="882"/>
      <c r="BU1586" s="882"/>
      <c r="BV1586" s="882"/>
      <c r="BW1586" s="882"/>
      <c r="CF1586" s="882"/>
      <c r="CG1586" s="882"/>
      <c r="CH1586" s="882"/>
      <c r="CI1586" s="530"/>
    </row>
    <row r="1587">
      <c r="A1587" s="857"/>
      <c r="B1587" s="865" t="s">
        <v>666</v>
      </c>
      <c r="C1587" s="865" t="s">
        <v>591</v>
      </c>
      <c r="D1587" s="865" t="s">
        <v>663</v>
      </c>
      <c r="E1587" s="866">
        <v>2019.0</v>
      </c>
      <c r="F1587" s="865" t="s">
        <v>593</v>
      </c>
      <c r="G1587" s="865" t="s">
        <v>70</v>
      </c>
      <c r="H1587" s="867">
        <v>125186.8388</v>
      </c>
      <c r="I1587" s="867">
        <v>134854.3825</v>
      </c>
      <c r="J1587" s="868">
        <v>114714.4946</v>
      </c>
      <c r="K1587" s="50"/>
      <c r="L1587" s="869" t="s">
        <v>666</v>
      </c>
      <c r="M1587" s="865" t="s">
        <v>591</v>
      </c>
      <c r="N1587" s="865" t="s">
        <v>663</v>
      </c>
      <c r="O1587" s="866">
        <v>2004.0</v>
      </c>
      <c r="P1587" s="865" t="s">
        <v>593</v>
      </c>
      <c r="Q1587" s="865" t="s">
        <v>70</v>
      </c>
      <c r="R1587" s="867">
        <v>97380.26525</v>
      </c>
      <c r="S1587" s="867">
        <v>105801.7086</v>
      </c>
      <c r="T1587" s="868">
        <v>88450.7814</v>
      </c>
      <c r="AN1587" s="882"/>
      <c r="AO1587" s="882"/>
      <c r="AP1587" s="882"/>
      <c r="AY1587" s="882"/>
      <c r="AZ1587" s="882"/>
      <c r="BA1587" s="882"/>
      <c r="BJ1587" s="882"/>
      <c r="BK1587" s="882"/>
      <c r="BL1587" s="882"/>
      <c r="BU1587" s="882"/>
      <c r="BV1587" s="882"/>
      <c r="BW1587" s="882"/>
      <c r="CF1587" s="882"/>
      <c r="CG1587" s="882"/>
      <c r="CH1587" s="882"/>
      <c r="CI1587" s="530"/>
    </row>
    <row r="1588">
      <c r="A1588" s="857"/>
      <c r="B1588" s="865" t="s">
        <v>666</v>
      </c>
      <c r="C1588" s="865" t="s">
        <v>591</v>
      </c>
      <c r="D1588" s="865" t="s">
        <v>665</v>
      </c>
      <c r="E1588" s="866">
        <v>2019.0</v>
      </c>
      <c r="F1588" s="865" t="s">
        <v>593</v>
      </c>
      <c r="G1588" s="865" t="s">
        <v>70</v>
      </c>
      <c r="H1588" s="867">
        <v>191684.7919</v>
      </c>
      <c r="I1588" s="867">
        <v>206497.5295</v>
      </c>
      <c r="J1588" s="868">
        <v>175655.7653</v>
      </c>
      <c r="K1588" s="50"/>
      <c r="L1588" s="869" t="s">
        <v>666</v>
      </c>
      <c r="M1588" s="865" t="s">
        <v>591</v>
      </c>
      <c r="N1588" s="865" t="s">
        <v>665</v>
      </c>
      <c r="O1588" s="866">
        <v>2004.0</v>
      </c>
      <c r="P1588" s="865" t="s">
        <v>593</v>
      </c>
      <c r="Q1588" s="865" t="s">
        <v>70</v>
      </c>
      <c r="R1588" s="867">
        <v>148772.412</v>
      </c>
      <c r="S1588" s="867">
        <v>161647.0781</v>
      </c>
      <c r="T1588" s="868">
        <v>135134.4254</v>
      </c>
      <c r="AN1588" s="882"/>
      <c r="AO1588" s="882"/>
      <c r="AP1588" s="882"/>
      <c r="AY1588" s="882"/>
      <c r="AZ1588" s="882"/>
      <c r="BA1588" s="882"/>
      <c r="BJ1588" s="882"/>
      <c r="BK1588" s="882"/>
      <c r="BL1588" s="882"/>
      <c r="BU1588" s="882"/>
      <c r="BV1588" s="882"/>
      <c r="BW1588" s="882"/>
      <c r="CF1588" s="882"/>
      <c r="CG1588" s="882"/>
      <c r="CH1588" s="882"/>
      <c r="CI1588" s="530"/>
    </row>
    <row r="1589">
      <c r="A1589" s="857"/>
      <c r="B1589" s="865" t="s">
        <v>666</v>
      </c>
      <c r="C1589" s="865" t="s">
        <v>591</v>
      </c>
      <c r="D1589" s="865" t="s">
        <v>667</v>
      </c>
      <c r="E1589" s="866">
        <v>2019.0</v>
      </c>
      <c r="F1589" s="865" t="s">
        <v>593</v>
      </c>
      <c r="G1589" s="865" t="s">
        <v>70</v>
      </c>
      <c r="H1589" s="867">
        <v>105264.2205</v>
      </c>
      <c r="I1589" s="867">
        <v>113393.2416</v>
      </c>
      <c r="J1589" s="868">
        <v>96458.47728</v>
      </c>
      <c r="K1589" s="50"/>
      <c r="L1589" s="869" t="s">
        <v>666</v>
      </c>
      <c r="M1589" s="865" t="s">
        <v>591</v>
      </c>
      <c r="N1589" s="865" t="s">
        <v>667</v>
      </c>
      <c r="O1589" s="866">
        <v>2004.0</v>
      </c>
      <c r="P1589" s="865" t="s">
        <v>593</v>
      </c>
      <c r="Q1589" s="865" t="s">
        <v>70</v>
      </c>
      <c r="R1589" s="867">
        <v>79958.98463</v>
      </c>
      <c r="S1589" s="867">
        <v>86873.836</v>
      </c>
      <c r="T1589" s="868">
        <v>72626.98097</v>
      </c>
      <c r="AN1589" s="882"/>
      <c r="AO1589" s="882"/>
      <c r="AP1589" s="882"/>
      <c r="AY1589" s="882"/>
      <c r="AZ1589" s="882"/>
      <c r="BA1589" s="882"/>
      <c r="BJ1589" s="882"/>
      <c r="BK1589" s="882"/>
      <c r="BL1589" s="882"/>
      <c r="BU1589" s="882"/>
      <c r="BV1589" s="882"/>
      <c r="BW1589" s="882"/>
      <c r="CF1589" s="882"/>
      <c r="CG1589" s="882"/>
      <c r="CH1589" s="882"/>
      <c r="CI1589" s="530"/>
    </row>
    <row r="1590">
      <c r="A1590" s="857"/>
      <c r="B1590" s="865" t="s">
        <v>666</v>
      </c>
      <c r="C1590" s="865" t="s">
        <v>591</v>
      </c>
      <c r="D1590" s="865" t="s">
        <v>669</v>
      </c>
      <c r="E1590" s="866">
        <v>2019.0</v>
      </c>
      <c r="F1590" s="865" t="s">
        <v>593</v>
      </c>
      <c r="G1590" s="865" t="s">
        <v>70</v>
      </c>
      <c r="H1590" s="867">
        <v>66505.6383</v>
      </c>
      <c r="I1590" s="867">
        <v>71641.53095</v>
      </c>
      <c r="J1590" s="868">
        <v>60942.19451</v>
      </c>
      <c r="K1590" s="50"/>
      <c r="L1590" s="869" t="s">
        <v>666</v>
      </c>
      <c r="M1590" s="865" t="s">
        <v>591</v>
      </c>
      <c r="N1590" s="865" t="s">
        <v>669</v>
      </c>
      <c r="O1590" s="866">
        <v>2004.0</v>
      </c>
      <c r="P1590" s="865" t="s">
        <v>593</v>
      </c>
      <c r="Q1590" s="865" t="s">
        <v>70</v>
      </c>
      <c r="R1590" s="867">
        <v>51398.51656</v>
      </c>
      <c r="S1590" s="867">
        <v>55843.45923</v>
      </c>
      <c r="T1590" s="868">
        <v>46685.4238</v>
      </c>
      <c r="AN1590" s="882"/>
      <c r="AO1590" s="882"/>
      <c r="AP1590" s="882"/>
      <c r="AY1590" s="882"/>
      <c r="AZ1590" s="882"/>
      <c r="BA1590" s="882"/>
      <c r="BJ1590" s="882"/>
      <c r="BK1590" s="882"/>
      <c r="BL1590" s="882"/>
      <c r="BU1590" s="882"/>
      <c r="BV1590" s="882"/>
      <c r="BW1590" s="882"/>
      <c r="CF1590" s="882"/>
      <c r="CG1590" s="882"/>
      <c r="CH1590" s="882"/>
      <c r="CI1590" s="530"/>
    </row>
    <row r="1591">
      <c r="A1591" s="857"/>
      <c r="B1591" s="865" t="s">
        <v>666</v>
      </c>
      <c r="C1591" s="865" t="s">
        <v>591</v>
      </c>
      <c r="D1591" s="865" t="s">
        <v>671</v>
      </c>
      <c r="E1591" s="866">
        <v>2019.0</v>
      </c>
      <c r="F1591" s="865" t="s">
        <v>593</v>
      </c>
      <c r="G1591" s="865" t="s">
        <v>70</v>
      </c>
      <c r="H1591" s="867">
        <v>38757.02831</v>
      </c>
      <c r="I1591" s="867">
        <v>41752.03738</v>
      </c>
      <c r="J1591" s="868">
        <v>35516.09599</v>
      </c>
      <c r="K1591" s="50"/>
      <c r="L1591" s="869" t="s">
        <v>666</v>
      </c>
      <c r="M1591" s="865" t="s">
        <v>591</v>
      </c>
      <c r="N1591" s="865" t="s">
        <v>671</v>
      </c>
      <c r="O1591" s="866">
        <v>2004.0</v>
      </c>
      <c r="P1591" s="865" t="s">
        <v>593</v>
      </c>
      <c r="Q1591" s="865" t="s">
        <v>70</v>
      </c>
      <c r="R1591" s="867">
        <v>28559.24527</v>
      </c>
      <c r="S1591" s="867">
        <v>31030.74348</v>
      </c>
      <c r="T1591" s="868">
        <v>25941.21551</v>
      </c>
      <c r="AN1591" s="882"/>
      <c r="AO1591" s="882"/>
      <c r="AP1591" s="882"/>
      <c r="AY1591" s="882"/>
      <c r="AZ1591" s="882"/>
      <c r="BA1591" s="882"/>
      <c r="BJ1591" s="882"/>
      <c r="BK1591" s="882"/>
      <c r="BL1591" s="882"/>
      <c r="BU1591" s="882"/>
      <c r="BV1591" s="882"/>
      <c r="BW1591" s="882"/>
      <c r="CF1591" s="882"/>
      <c r="CG1591" s="882"/>
      <c r="CH1591" s="882"/>
      <c r="CI1591" s="530"/>
    </row>
    <row r="1592">
      <c r="A1592" s="857"/>
      <c r="B1592" s="865" t="s">
        <v>666</v>
      </c>
      <c r="C1592" s="865" t="s">
        <v>591</v>
      </c>
      <c r="D1592" s="865" t="s">
        <v>673</v>
      </c>
      <c r="E1592" s="866">
        <v>2019.0</v>
      </c>
      <c r="F1592" s="865" t="s">
        <v>593</v>
      </c>
      <c r="G1592" s="865" t="s">
        <v>70</v>
      </c>
      <c r="H1592" s="867">
        <v>27172.88091</v>
      </c>
      <c r="I1592" s="867">
        <v>29271.30449</v>
      </c>
      <c r="J1592" s="868">
        <v>24899.76845</v>
      </c>
      <c r="K1592" s="50"/>
      <c r="L1592" s="869" t="s">
        <v>666</v>
      </c>
      <c r="M1592" s="865" t="s">
        <v>591</v>
      </c>
      <c r="N1592" s="865" t="s">
        <v>673</v>
      </c>
      <c r="O1592" s="866">
        <v>2004.0</v>
      </c>
      <c r="P1592" s="865" t="s">
        <v>593</v>
      </c>
      <c r="Q1592" s="865" t="s">
        <v>70</v>
      </c>
      <c r="R1592" s="867">
        <v>20788.18225</v>
      </c>
      <c r="S1592" s="867">
        <v>22585.94382</v>
      </c>
      <c r="T1592" s="868">
        <v>18881.96709</v>
      </c>
      <c r="AN1592" s="882"/>
      <c r="AO1592" s="882"/>
      <c r="AP1592" s="882"/>
      <c r="AY1592" s="882"/>
      <c r="AZ1592" s="882"/>
      <c r="BA1592" s="882"/>
      <c r="BJ1592" s="882"/>
      <c r="BK1592" s="882"/>
      <c r="BL1592" s="882"/>
      <c r="BU1592" s="882"/>
      <c r="BV1592" s="882"/>
      <c r="BW1592" s="882"/>
      <c r="CF1592" s="882"/>
      <c r="CG1592" s="882"/>
      <c r="CH1592" s="882"/>
      <c r="CI1592" s="530"/>
    </row>
    <row r="1593">
      <c r="A1593" s="857"/>
      <c r="B1593" s="865" t="s">
        <v>666</v>
      </c>
      <c r="C1593" s="865" t="s">
        <v>591</v>
      </c>
      <c r="D1593" s="865" t="s">
        <v>674</v>
      </c>
      <c r="E1593" s="866">
        <v>2019.0</v>
      </c>
      <c r="F1593" s="865" t="s">
        <v>593</v>
      </c>
      <c r="G1593" s="865" t="s">
        <v>70</v>
      </c>
      <c r="H1593" s="867">
        <v>9123.27976</v>
      </c>
      <c r="I1593" s="867">
        <v>9827.824316</v>
      </c>
      <c r="J1593" s="868">
        <v>8360.083505</v>
      </c>
      <c r="K1593" s="50"/>
      <c r="L1593" s="869" t="s">
        <v>666</v>
      </c>
      <c r="M1593" s="865" t="s">
        <v>591</v>
      </c>
      <c r="N1593" s="865" t="s">
        <v>674</v>
      </c>
      <c r="O1593" s="866">
        <v>2004.0</v>
      </c>
      <c r="P1593" s="865" t="s">
        <v>593</v>
      </c>
      <c r="Q1593" s="865" t="s">
        <v>70</v>
      </c>
      <c r="R1593" s="867">
        <v>6368.77322</v>
      </c>
      <c r="S1593" s="867">
        <v>6919.544599</v>
      </c>
      <c r="T1593" s="868">
        <v>5784.775451</v>
      </c>
      <c r="AN1593" s="882"/>
      <c r="AO1593" s="882"/>
      <c r="AP1593" s="882"/>
      <c r="AY1593" s="882"/>
      <c r="AZ1593" s="882"/>
      <c r="BA1593" s="882"/>
      <c r="BJ1593" s="882"/>
      <c r="BK1593" s="882"/>
      <c r="BL1593" s="882"/>
      <c r="BU1593" s="882"/>
      <c r="BV1593" s="882"/>
      <c r="BW1593" s="882"/>
      <c r="CF1593" s="882"/>
      <c r="CG1593" s="882"/>
      <c r="CH1593" s="882"/>
      <c r="CI1593" s="530"/>
    </row>
    <row r="1594">
      <c r="A1594" s="857"/>
      <c r="B1594" s="865" t="s">
        <v>666</v>
      </c>
      <c r="C1594" s="865" t="s">
        <v>591</v>
      </c>
      <c r="D1594" s="865" t="s">
        <v>676</v>
      </c>
      <c r="E1594" s="866">
        <v>2019.0</v>
      </c>
      <c r="F1594" s="865" t="s">
        <v>593</v>
      </c>
      <c r="G1594" s="865" t="s">
        <v>70</v>
      </c>
      <c r="H1594" s="867">
        <v>2462.421524</v>
      </c>
      <c r="I1594" s="867">
        <v>2652.581831</v>
      </c>
      <c r="J1594" s="868">
        <v>2256.430813</v>
      </c>
      <c r="K1594" s="50"/>
      <c r="L1594" s="869" t="s">
        <v>666</v>
      </c>
      <c r="M1594" s="865" t="s">
        <v>591</v>
      </c>
      <c r="N1594" s="865" t="s">
        <v>676</v>
      </c>
      <c r="O1594" s="866">
        <v>2004.0</v>
      </c>
      <c r="P1594" s="865" t="s">
        <v>593</v>
      </c>
      <c r="Q1594" s="865" t="s">
        <v>70</v>
      </c>
      <c r="R1594" s="867">
        <v>1403.512604</v>
      </c>
      <c r="S1594" s="867">
        <v>1524.888346</v>
      </c>
      <c r="T1594" s="868">
        <v>1274.814627</v>
      </c>
      <c r="AN1594" s="882"/>
      <c r="AO1594" s="882"/>
      <c r="AP1594" s="882"/>
      <c r="AY1594" s="882"/>
      <c r="AZ1594" s="882"/>
      <c r="BA1594" s="882"/>
      <c r="BJ1594" s="882"/>
      <c r="BK1594" s="882"/>
      <c r="BL1594" s="882"/>
      <c r="BU1594" s="882"/>
      <c r="BV1594" s="882"/>
      <c r="BW1594" s="882"/>
      <c r="CF1594" s="882"/>
      <c r="CG1594" s="882"/>
      <c r="CH1594" s="882"/>
      <c r="CI1594" s="530"/>
    </row>
    <row r="1595">
      <c r="A1595" s="857"/>
      <c r="B1595" s="865" t="s">
        <v>666</v>
      </c>
      <c r="C1595" s="865" t="s">
        <v>591</v>
      </c>
      <c r="D1595" s="865" t="s">
        <v>678</v>
      </c>
      <c r="E1595" s="866">
        <v>2019.0</v>
      </c>
      <c r="F1595" s="865" t="s">
        <v>593</v>
      </c>
      <c r="G1595" s="865" t="s">
        <v>70</v>
      </c>
      <c r="H1595" s="867">
        <v>2.952803687E7</v>
      </c>
      <c r="I1595" s="867">
        <v>3.180833718E7</v>
      </c>
      <c r="J1595" s="868">
        <v>2.705790686E7</v>
      </c>
      <c r="K1595" s="50"/>
      <c r="L1595" s="869" t="s">
        <v>666</v>
      </c>
      <c r="M1595" s="865" t="s">
        <v>591</v>
      </c>
      <c r="N1595" s="865" t="s">
        <v>678</v>
      </c>
      <c r="O1595" s="866">
        <v>2004.0</v>
      </c>
      <c r="P1595" s="865" t="s">
        <v>593</v>
      </c>
      <c r="Q1595" s="865" t="s">
        <v>70</v>
      </c>
      <c r="R1595" s="867">
        <v>1.947402099E7</v>
      </c>
      <c r="S1595" s="867">
        <v>2.115813393E7</v>
      </c>
      <c r="T1595" s="868">
        <v>1.768831056E7</v>
      </c>
      <c r="AN1595" s="882"/>
      <c r="AO1595" s="882"/>
      <c r="AP1595" s="882"/>
      <c r="AY1595" s="882"/>
      <c r="AZ1595" s="882"/>
      <c r="BA1595" s="882"/>
      <c r="BJ1595" s="882"/>
      <c r="BK1595" s="882"/>
      <c r="BL1595" s="882"/>
      <c r="BU1595" s="882"/>
      <c r="BV1595" s="882"/>
      <c r="BW1595" s="882"/>
      <c r="CF1595" s="882"/>
      <c r="CG1595" s="882"/>
      <c r="CH1595" s="882"/>
      <c r="CI1595" s="530"/>
    </row>
    <row r="1596">
      <c r="A1596" s="857"/>
      <c r="B1596" s="865" t="s">
        <v>666</v>
      </c>
      <c r="C1596" s="865" t="s">
        <v>591</v>
      </c>
      <c r="D1596" s="865" t="s">
        <v>680</v>
      </c>
      <c r="E1596" s="866">
        <v>2019.0</v>
      </c>
      <c r="F1596" s="865" t="s">
        <v>593</v>
      </c>
      <c r="G1596" s="865" t="s">
        <v>70</v>
      </c>
      <c r="H1596" s="867">
        <v>1124743.559</v>
      </c>
      <c r="I1596" s="867">
        <v>1206165.504</v>
      </c>
      <c r="J1596" s="868">
        <v>1045272.111</v>
      </c>
      <c r="K1596" s="50"/>
      <c r="L1596" s="869" t="s">
        <v>666</v>
      </c>
      <c r="M1596" s="865" t="s">
        <v>591</v>
      </c>
      <c r="N1596" s="865" t="s">
        <v>680</v>
      </c>
      <c r="O1596" s="866">
        <v>2004.0</v>
      </c>
      <c r="P1596" s="865" t="s">
        <v>593</v>
      </c>
      <c r="Q1596" s="865" t="s">
        <v>70</v>
      </c>
      <c r="R1596" s="867">
        <v>894138.732</v>
      </c>
      <c r="S1596" s="867">
        <v>918116.5747</v>
      </c>
      <c r="T1596" s="868">
        <v>869740.0341</v>
      </c>
      <c r="AN1596" s="882"/>
      <c r="AO1596" s="882"/>
      <c r="AP1596" s="882"/>
      <c r="AY1596" s="882"/>
      <c r="AZ1596" s="882"/>
      <c r="BA1596" s="882"/>
      <c r="BJ1596" s="882"/>
      <c r="BK1596" s="882"/>
      <c r="BL1596" s="882"/>
      <c r="BU1596" s="882"/>
      <c r="BV1596" s="882"/>
      <c r="BW1596" s="882"/>
      <c r="CF1596" s="882"/>
      <c r="CG1596" s="882"/>
      <c r="CH1596" s="882"/>
      <c r="CI1596" s="530"/>
    </row>
    <row r="1597">
      <c r="A1597" s="857"/>
      <c r="B1597" s="865" t="s">
        <v>666</v>
      </c>
      <c r="C1597" s="865" t="s">
        <v>591</v>
      </c>
      <c r="D1597" s="865" t="s">
        <v>682</v>
      </c>
      <c r="E1597" s="866">
        <v>2019.0</v>
      </c>
      <c r="F1597" s="865" t="s">
        <v>593</v>
      </c>
      <c r="G1597" s="865" t="s">
        <v>70</v>
      </c>
      <c r="H1597" s="867">
        <v>21354.79452</v>
      </c>
      <c r="I1597" s="867">
        <v>23003.91684</v>
      </c>
      <c r="J1597" s="868">
        <v>19568.3866</v>
      </c>
      <c r="K1597" s="50"/>
      <c r="L1597" s="869" t="s">
        <v>666</v>
      </c>
      <c r="M1597" s="865" t="s">
        <v>591</v>
      </c>
      <c r="N1597" s="865" t="s">
        <v>682</v>
      </c>
      <c r="O1597" s="866">
        <v>2004.0</v>
      </c>
      <c r="P1597" s="865" t="s">
        <v>593</v>
      </c>
      <c r="Q1597" s="865" t="s">
        <v>70</v>
      </c>
      <c r="R1597" s="867">
        <v>16922.59957</v>
      </c>
      <c r="S1597" s="867">
        <v>18386.06564</v>
      </c>
      <c r="T1597" s="868">
        <v>15370.84698</v>
      </c>
      <c r="AN1597" s="882"/>
      <c r="AO1597" s="882"/>
      <c r="AP1597" s="882"/>
      <c r="AY1597" s="882"/>
      <c r="AZ1597" s="882"/>
      <c r="BA1597" s="882"/>
      <c r="BJ1597" s="882"/>
      <c r="BK1597" s="882"/>
      <c r="BL1597" s="882"/>
      <c r="BU1597" s="882"/>
      <c r="BV1597" s="882"/>
      <c r="BW1597" s="882"/>
      <c r="CF1597" s="882"/>
      <c r="CG1597" s="882"/>
      <c r="CH1597" s="882"/>
      <c r="CI1597" s="530"/>
    </row>
    <row r="1598">
      <c r="A1598" s="857"/>
      <c r="B1598" s="865" t="s">
        <v>666</v>
      </c>
      <c r="C1598" s="865" t="s">
        <v>591</v>
      </c>
      <c r="D1598" s="865" t="s">
        <v>684</v>
      </c>
      <c r="E1598" s="866">
        <v>2019.0</v>
      </c>
      <c r="F1598" s="865" t="s">
        <v>593</v>
      </c>
      <c r="G1598" s="865" t="s">
        <v>70</v>
      </c>
      <c r="H1598" s="867">
        <v>63156.44286</v>
      </c>
      <c r="I1598" s="867">
        <v>68033.69416</v>
      </c>
      <c r="J1598" s="868">
        <v>57873.17172</v>
      </c>
      <c r="K1598" s="50"/>
      <c r="L1598" s="869" t="s">
        <v>666</v>
      </c>
      <c r="M1598" s="865" t="s">
        <v>591</v>
      </c>
      <c r="N1598" s="865" t="s">
        <v>684</v>
      </c>
      <c r="O1598" s="866">
        <v>2004.0</v>
      </c>
      <c r="P1598" s="865" t="s">
        <v>593</v>
      </c>
      <c r="Q1598" s="865" t="s">
        <v>70</v>
      </c>
      <c r="R1598" s="867">
        <v>49765.2853</v>
      </c>
      <c r="S1598" s="867">
        <v>54068.98616</v>
      </c>
      <c r="T1598" s="868">
        <v>45201.95504</v>
      </c>
      <c r="AN1598" s="882"/>
      <c r="AO1598" s="882"/>
      <c r="AP1598" s="882"/>
      <c r="AY1598" s="882"/>
      <c r="AZ1598" s="882"/>
      <c r="BA1598" s="882"/>
      <c r="BJ1598" s="882"/>
      <c r="BK1598" s="882"/>
      <c r="BL1598" s="882"/>
      <c r="BU1598" s="882"/>
      <c r="BV1598" s="882"/>
      <c r="BW1598" s="882"/>
      <c r="CF1598" s="882"/>
      <c r="CG1598" s="882"/>
      <c r="CH1598" s="882"/>
      <c r="CI1598" s="530"/>
    </row>
    <row r="1599">
      <c r="A1599" s="857"/>
      <c r="B1599" s="865" t="s">
        <v>666</v>
      </c>
      <c r="C1599" s="865" t="s">
        <v>591</v>
      </c>
      <c r="D1599" s="865" t="s">
        <v>686</v>
      </c>
      <c r="E1599" s="866">
        <v>2019.0</v>
      </c>
      <c r="F1599" s="865" t="s">
        <v>593</v>
      </c>
      <c r="G1599" s="865" t="s">
        <v>70</v>
      </c>
      <c r="H1599" s="867">
        <v>84511.23739</v>
      </c>
      <c r="I1599" s="867">
        <v>91037.611</v>
      </c>
      <c r="J1599" s="868">
        <v>77441.55833</v>
      </c>
      <c r="K1599" s="50"/>
      <c r="L1599" s="869" t="s">
        <v>666</v>
      </c>
      <c r="M1599" s="865" t="s">
        <v>591</v>
      </c>
      <c r="N1599" s="865" t="s">
        <v>686</v>
      </c>
      <c r="O1599" s="866">
        <v>2004.0</v>
      </c>
      <c r="P1599" s="865" t="s">
        <v>593</v>
      </c>
      <c r="Q1599" s="865" t="s">
        <v>70</v>
      </c>
      <c r="R1599" s="867">
        <v>66687.88487</v>
      </c>
      <c r="S1599" s="867">
        <v>72455.0518</v>
      </c>
      <c r="T1599" s="868">
        <v>60572.80201</v>
      </c>
      <c r="AN1599" s="882"/>
      <c r="AO1599" s="882"/>
      <c r="AP1599" s="882"/>
      <c r="AY1599" s="882"/>
      <c r="AZ1599" s="882"/>
      <c r="BA1599" s="882"/>
      <c r="BJ1599" s="882"/>
      <c r="BK1599" s="882"/>
      <c r="BL1599" s="882"/>
      <c r="BU1599" s="882"/>
      <c r="BV1599" s="882"/>
      <c r="BW1599" s="882"/>
      <c r="CF1599" s="882"/>
      <c r="CG1599" s="882"/>
      <c r="CH1599" s="882"/>
      <c r="CI1599" s="530"/>
    </row>
    <row r="1600">
      <c r="A1600" s="857"/>
      <c r="B1600" s="865" t="s">
        <v>666</v>
      </c>
      <c r="C1600" s="865" t="s">
        <v>591</v>
      </c>
      <c r="D1600" s="865" t="s">
        <v>688</v>
      </c>
      <c r="E1600" s="866">
        <v>2019.0</v>
      </c>
      <c r="F1600" s="865" t="s">
        <v>593</v>
      </c>
      <c r="G1600" s="865" t="s">
        <v>70</v>
      </c>
      <c r="H1600" s="867">
        <v>983287.5073</v>
      </c>
      <c r="I1600" s="867">
        <v>1059221.807</v>
      </c>
      <c r="J1600" s="868">
        <v>901031.8533</v>
      </c>
      <c r="K1600" s="50"/>
      <c r="L1600" s="869" t="s">
        <v>666</v>
      </c>
      <c r="M1600" s="865" t="s">
        <v>591</v>
      </c>
      <c r="N1600" s="865" t="s">
        <v>688</v>
      </c>
      <c r="O1600" s="866">
        <v>2004.0</v>
      </c>
      <c r="P1600" s="865" t="s">
        <v>593</v>
      </c>
      <c r="Q1600" s="865" t="s">
        <v>70</v>
      </c>
      <c r="R1600" s="867">
        <v>764919.1554</v>
      </c>
      <c r="S1600" s="867">
        <v>831069.3484</v>
      </c>
      <c r="T1600" s="868">
        <v>694778.3191</v>
      </c>
      <c r="AN1600" s="882"/>
      <c r="AO1600" s="882"/>
      <c r="AP1600" s="882"/>
      <c r="AY1600" s="882"/>
      <c r="AZ1600" s="882"/>
      <c r="BA1600" s="882"/>
      <c r="BJ1600" s="882"/>
      <c r="BK1600" s="882"/>
      <c r="BL1600" s="882"/>
      <c r="BU1600" s="882"/>
      <c r="BV1600" s="882"/>
      <c r="BW1600" s="882"/>
      <c r="CF1600" s="882"/>
      <c r="CG1600" s="882"/>
      <c r="CH1600" s="882"/>
      <c r="CI1600" s="530"/>
    </row>
    <row r="1601">
      <c r="A1601" s="857"/>
      <c r="B1601" s="865" t="s">
        <v>666</v>
      </c>
      <c r="C1601" s="865" t="s">
        <v>591</v>
      </c>
      <c r="D1601" s="865" t="s">
        <v>689</v>
      </c>
      <c r="E1601" s="866">
        <v>2019.0</v>
      </c>
      <c r="F1601" s="865" t="s">
        <v>593</v>
      </c>
      <c r="G1601" s="865" t="s">
        <v>70</v>
      </c>
      <c r="H1601" s="867">
        <v>5105036.17</v>
      </c>
      <c r="I1601" s="867">
        <v>5499272.183</v>
      </c>
      <c r="J1601" s="868">
        <v>4677980.923</v>
      </c>
      <c r="K1601" s="50"/>
      <c r="L1601" s="869" t="s">
        <v>666</v>
      </c>
      <c r="M1601" s="865" t="s">
        <v>591</v>
      </c>
      <c r="N1601" s="865" t="s">
        <v>689</v>
      </c>
      <c r="O1601" s="866">
        <v>2004.0</v>
      </c>
      <c r="P1601" s="865" t="s">
        <v>593</v>
      </c>
      <c r="Q1601" s="865" t="s">
        <v>70</v>
      </c>
      <c r="R1601" s="867">
        <v>3760745.569</v>
      </c>
      <c r="S1601" s="867">
        <v>4085974.769</v>
      </c>
      <c r="T1601" s="868">
        <v>3415896.264</v>
      </c>
      <c r="AN1601" s="882"/>
      <c r="AO1601" s="882"/>
      <c r="AP1601" s="882"/>
      <c r="AY1601" s="882"/>
      <c r="AZ1601" s="882"/>
      <c r="BA1601" s="882"/>
      <c r="BJ1601" s="882"/>
      <c r="BK1601" s="882"/>
      <c r="BL1601" s="882"/>
      <c r="BU1601" s="882"/>
      <c r="BV1601" s="882"/>
      <c r="BW1601" s="882"/>
      <c r="CF1601" s="882"/>
      <c r="CG1601" s="882"/>
      <c r="CH1601" s="882"/>
      <c r="CI1601" s="530"/>
    </row>
    <row r="1602">
      <c r="A1602" s="857"/>
      <c r="B1602" s="865" t="s">
        <v>668</v>
      </c>
      <c r="C1602" s="865" t="s">
        <v>591</v>
      </c>
      <c r="D1602" s="865" t="s">
        <v>592</v>
      </c>
      <c r="E1602" s="866">
        <v>2019.0</v>
      </c>
      <c r="F1602" s="865" t="s">
        <v>593</v>
      </c>
      <c r="G1602" s="865" t="s">
        <v>70</v>
      </c>
      <c r="H1602" s="867">
        <v>60853.77684</v>
      </c>
      <c r="I1602" s="867">
        <v>67993.19425</v>
      </c>
      <c r="J1602" s="868">
        <v>53499.94378</v>
      </c>
      <c r="K1602" s="50"/>
      <c r="L1602" s="869" t="s">
        <v>668</v>
      </c>
      <c r="M1602" s="865" t="s">
        <v>591</v>
      </c>
      <c r="N1602" s="865" t="s">
        <v>592</v>
      </c>
      <c r="O1602" s="866">
        <v>2004.0</v>
      </c>
      <c r="P1602" s="865" t="s">
        <v>593</v>
      </c>
      <c r="Q1602" s="865" t="s">
        <v>70</v>
      </c>
      <c r="R1602" s="867">
        <v>54586.25462</v>
      </c>
      <c r="S1602" s="867">
        <v>59188.79885</v>
      </c>
      <c r="T1602" s="868">
        <v>49672.18581</v>
      </c>
      <c r="AN1602" s="882"/>
      <c r="AO1602" s="882"/>
      <c r="AP1602" s="882"/>
      <c r="AY1602" s="882"/>
      <c r="AZ1602" s="882"/>
      <c r="BA1602" s="882"/>
      <c r="BJ1602" s="882"/>
      <c r="BK1602" s="882"/>
      <c r="BL1602" s="882"/>
      <c r="BU1602" s="882"/>
      <c r="BV1602" s="882"/>
      <c r="BW1602" s="882"/>
      <c r="CF1602" s="882"/>
      <c r="CG1602" s="882"/>
      <c r="CH1602" s="882"/>
      <c r="CI1602" s="530"/>
    </row>
    <row r="1603">
      <c r="A1603" s="857"/>
      <c r="B1603" s="865" t="s">
        <v>668</v>
      </c>
      <c r="C1603" s="865" t="s">
        <v>591</v>
      </c>
      <c r="D1603" s="865" t="s">
        <v>601</v>
      </c>
      <c r="E1603" s="866">
        <v>2019.0</v>
      </c>
      <c r="F1603" s="865" t="s">
        <v>593</v>
      </c>
      <c r="G1603" s="865" t="s">
        <v>70</v>
      </c>
      <c r="H1603" s="867">
        <v>1077865.646</v>
      </c>
      <c r="I1603" s="867">
        <v>1204321.77</v>
      </c>
      <c r="J1603" s="868">
        <v>947611.7085</v>
      </c>
      <c r="K1603" s="50"/>
      <c r="L1603" s="869" t="s">
        <v>668</v>
      </c>
      <c r="M1603" s="865" t="s">
        <v>591</v>
      </c>
      <c r="N1603" s="865" t="s">
        <v>601</v>
      </c>
      <c r="O1603" s="866">
        <v>2004.0</v>
      </c>
      <c r="P1603" s="865" t="s">
        <v>593</v>
      </c>
      <c r="Q1603" s="865" t="s">
        <v>70</v>
      </c>
      <c r="R1603" s="867">
        <v>996349.938</v>
      </c>
      <c r="S1603" s="867">
        <v>1080359.084</v>
      </c>
      <c r="T1603" s="868">
        <v>906654.6074</v>
      </c>
      <c r="AN1603" s="882"/>
      <c r="AO1603" s="882"/>
      <c r="AP1603" s="882"/>
      <c r="AY1603" s="882"/>
      <c r="AZ1603" s="882"/>
      <c r="BA1603" s="882"/>
      <c r="BJ1603" s="882"/>
      <c r="BK1603" s="882"/>
      <c r="BL1603" s="882"/>
      <c r="BU1603" s="882"/>
      <c r="BV1603" s="882"/>
      <c r="BW1603" s="882"/>
      <c r="CF1603" s="882"/>
      <c r="CG1603" s="882"/>
      <c r="CH1603" s="882"/>
      <c r="CI1603" s="530"/>
    </row>
    <row r="1604">
      <c r="A1604" s="857"/>
      <c r="B1604" s="865" t="s">
        <v>668</v>
      </c>
      <c r="C1604" s="865" t="s">
        <v>591</v>
      </c>
      <c r="D1604" s="865" t="s">
        <v>606</v>
      </c>
      <c r="E1604" s="866">
        <v>2019.0</v>
      </c>
      <c r="F1604" s="865" t="s">
        <v>593</v>
      </c>
      <c r="G1604" s="865" t="s">
        <v>70</v>
      </c>
      <c r="H1604" s="867">
        <v>837558.7334</v>
      </c>
      <c r="I1604" s="867">
        <v>935821.844</v>
      </c>
      <c r="J1604" s="868">
        <v>736344.5208</v>
      </c>
      <c r="K1604" s="50"/>
      <c r="L1604" s="869" t="s">
        <v>668</v>
      </c>
      <c r="M1604" s="865" t="s">
        <v>591</v>
      </c>
      <c r="N1604" s="865" t="s">
        <v>606</v>
      </c>
      <c r="O1604" s="866">
        <v>2004.0</v>
      </c>
      <c r="P1604" s="865" t="s">
        <v>593</v>
      </c>
      <c r="Q1604" s="865" t="s">
        <v>70</v>
      </c>
      <c r="R1604" s="867">
        <v>770128.7154</v>
      </c>
      <c r="S1604" s="867">
        <v>835063.5877</v>
      </c>
      <c r="T1604" s="868">
        <v>700798.7069</v>
      </c>
      <c r="AN1604" s="882"/>
      <c r="AO1604" s="882"/>
      <c r="AP1604" s="882"/>
      <c r="AY1604" s="882"/>
      <c r="AZ1604" s="882"/>
      <c r="BA1604" s="882"/>
      <c r="BJ1604" s="882"/>
      <c r="BK1604" s="882"/>
      <c r="BL1604" s="882"/>
      <c r="BU1604" s="882"/>
      <c r="BV1604" s="882"/>
      <c r="BW1604" s="882"/>
      <c r="CF1604" s="882"/>
      <c r="CG1604" s="882"/>
      <c r="CH1604" s="882"/>
      <c r="CI1604" s="530"/>
    </row>
    <row r="1605">
      <c r="A1605" s="857"/>
      <c r="B1605" s="865" t="s">
        <v>668</v>
      </c>
      <c r="C1605" s="865" t="s">
        <v>591</v>
      </c>
      <c r="D1605" s="865" t="s">
        <v>608</v>
      </c>
      <c r="E1605" s="866">
        <v>2019.0</v>
      </c>
      <c r="F1605" s="865" t="s">
        <v>593</v>
      </c>
      <c r="G1605" s="865" t="s">
        <v>70</v>
      </c>
      <c r="H1605" s="867">
        <v>235907.0191</v>
      </c>
      <c r="I1605" s="867">
        <v>263583.8334</v>
      </c>
      <c r="J1605" s="868">
        <v>207398.9967</v>
      </c>
      <c r="K1605" s="50"/>
      <c r="L1605" s="869" t="s">
        <v>668</v>
      </c>
      <c r="M1605" s="865" t="s">
        <v>591</v>
      </c>
      <c r="N1605" s="865" t="s">
        <v>608</v>
      </c>
      <c r="O1605" s="866">
        <v>2004.0</v>
      </c>
      <c r="P1605" s="865" t="s">
        <v>593</v>
      </c>
      <c r="Q1605" s="865" t="s">
        <v>70</v>
      </c>
      <c r="R1605" s="867">
        <v>208646.1095</v>
      </c>
      <c r="S1605" s="867">
        <v>226238.5044</v>
      </c>
      <c r="T1605" s="868">
        <v>189862.9681</v>
      </c>
      <c r="AN1605" s="882"/>
      <c r="AO1605" s="882"/>
      <c r="AP1605" s="882"/>
      <c r="AY1605" s="882"/>
      <c r="AZ1605" s="882"/>
      <c r="BA1605" s="882"/>
      <c r="BJ1605" s="882"/>
      <c r="BK1605" s="882"/>
      <c r="BL1605" s="882"/>
      <c r="BU1605" s="882"/>
      <c r="BV1605" s="882"/>
      <c r="BW1605" s="882"/>
      <c r="CF1605" s="882"/>
      <c r="CG1605" s="882"/>
      <c r="CH1605" s="882"/>
      <c r="CI1605" s="530"/>
    </row>
    <row r="1606">
      <c r="A1606" s="857"/>
      <c r="B1606" s="865" t="s">
        <v>668</v>
      </c>
      <c r="C1606" s="865" t="s">
        <v>591</v>
      </c>
      <c r="D1606" s="865" t="s">
        <v>610</v>
      </c>
      <c r="E1606" s="866">
        <v>2019.0</v>
      </c>
      <c r="F1606" s="865" t="s">
        <v>593</v>
      </c>
      <c r="G1606" s="865" t="s">
        <v>70</v>
      </c>
      <c r="H1606" s="867">
        <v>260088.4491</v>
      </c>
      <c r="I1606" s="867">
        <v>290602.2495</v>
      </c>
      <c r="J1606" s="868">
        <v>228658.2382</v>
      </c>
      <c r="K1606" s="50"/>
      <c r="L1606" s="869" t="s">
        <v>668</v>
      </c>
      <c r="M1606" s="865" t="s">
        <v>591</v>
      </c>
      <c r="N1606" s="865" t="s">
        <v>610</v>
      </c>
      <c r="O1606" s="866">
        <v>2004.0</v>
      </c>
      <c r="P1606" s="865" t="s">
        <v>593</v>
      </c>
      <c r="Q1606" s="865" t="s">
        <v>70</v>
      </c>
      <c r="R1606" s="867">
        <v>250611.1302</v>
      </c>
      <c r="S1606" s="867">
        <v>271741.8859</v>
      </c>
      <c r="T1606" s="868">
        <v>228050.133</v>
      </c>
      <c r="AN1606" s="882"/>
      <c r="AO1606" s="882"/>
      <c r="AP1606" s="882"/>
      <c r="AY1606" s="882"/>
      <c r="AZ1606" s="882"/>
      <c r="BA1606" s="882"/>
      <c r="BJ1606" s="882"/>
      <c r="BK1606" s="882"/>
      <c r="BL1606" s="882"/>
      <c r="BU1606" s="882"/>
      <c r="BV1606" s="882"/>
      <c r="BW1606" s="882"/>
      <c r="CF1606" s="882"/>
      <c r="CG1606" s="882"/>
      <c r="CH1606" s="882"/>
      <c r="CI1606" s="530"/>
    </row>
    <row r="1607">
      <c r="A1607" s="857"/>
      <c r="B1607" s="865" t="s">
        <v>668</v>
      </c>
      <c r="C1607" s="865" t="s">
        <v>591</v>
      </c>
      <c r="D1607" s="865" t="s">
        <v>612</v>
      </c>
      <c r="E1607" s="866">
        <v>2019.0</v>
      </c>
      <c r="F1607" s="865" t="s">
        <v>593</v>
      </c>
      <c r="G1607" s="865" t="s">
        <v>70</v>
      </c>
      <c r="H1607" s="867">
        <v>500395.3613</v>
      </c>
      <c r="I1607" s="867">
        <v>559102.1752</v>
      </c>
      <c r="J1607" s="868">
        <v>439925.4259</v>
      </c>
      <c r="K1607" s="50"/>
      <c r="L1607" s="869" t="s">
        <v>668</v>
      </c>
      <c r="M1607" s="865" t="s">
        <v>591</v>
      </c>
      <c r="N1607" s="865" t="s">
        <v>612</v>
      </c>
      <c r="O1607" s="866">
        <v>2004.0</v>
      </c>
      <c r="P1607" s="865" t="s">
        <v>593</v>
      </c>
      <c r="Q1607" s="865" t="s">
        <v>70</v>
      </c>
      <c r="R1607" s="867">
        <v>476832.3528</v>
      </c>
      <c r="S1607" s="867">
        <v>517037.3826</v>
      </c>
      <c r="T1607" s="868">
        <v>433906.0336</v>
      </c>
      <c r="AN1607" s="882"/>
      <c r="AO1607" s="882"/>
      <c r="AP1607" s="882"/>
      <c r="AY1607" s="882"/>
      <c r="AZ1607" s="882"/>
      <c r="BA1607" s="882"/>
      <c r="BJ1607" s="882"/>
      <c r="BK1607" s="882"/>
      <c r="BL1607" s="882"/>
      <c r="BU1607" s="882"/>
      <c r="BV1607" s="882"/>
      <c r="BW1607" s="882"/>
      <c r="CF1607" s="882"/>
      <c r="CG1607" s="882"/>
      <c r="CH1607" s="882"/>
      <c r="CI1607" s="530"/>
    </row>
    <row r="1608">
      <c r="A1608" s="857"/>
      <c r="B1608" s="865" t="s">
        <v>668</v>
      </c>
      <c r="C1608" s="865" t="s">
        <v>591</v>
      </c>
      <c r="D1608" s="865" t="s">
        <v>614</v>
      </c>
      <c r="E1608" s="866">
        <v>2019.0</v>
      </c>
      <c r="F1608" s="865" t="s">
        <v>593</v>
      </c>
      <c r="G1608" s="865" t="s">
        <v>70</v>
      </c>
      <c r="H1608" s="867">
        <v>729773.8043</v>
      </c>
      <c r="I1608" s="867">
        <v>815391.4943</v>
      </c>
      <c r="J1608" s="868">
        <v>641584.7878</v>
      </c>
      <c r="K1608" s="50"/>
      <c r="L1608" s="869" t="s">
        <v>668</v>
      </c>
      <c r="M1608" s="865" t="s">
        <v>591</v>
      </c>
      <c r="N1608" s="865" t="s">
        <v>614</v>
      </c>
      <c r="O1608" s="866">
        <v>2004.0</v>
      </c>
      <c r="P1608" s="865" t="s">
        <v>593</v>
      </c>
      <c r="Q1608" s="865" t="s">
        <v>70</v>
      </c>
      <c r="R1608" s="867">
        <v>671085.6382</v>
      </c>
      <c r="S1608" s="867">
        <v>727669.5044</v>
      </c>
      <c r="T1608" s="868">
        <v>610671.876</v>
      </c>
      <c r="AN1608" s="882"/>
      <c r="AO1608" s="882"/>
      <c r="AP1608" s="882"/>
      <c r="AY1608" s="882"/>
      <c r="AZ1608" s="882"/>
      <c r="BA1608" s="882"/>
      <c r="BJ1608" s="882"/>
      <c r="BK1608" s="882"/>
      <c r="BL1608" s="882"/>
      <c r="BU1608" s="882"/>
      <c r="BV1608" s="882"/>
      <c r="BW1608" s="882"/>
      <c r="CF1608" s="882"/>
      <c r="CG1608" s="882"/>
      <c r="CH1608" s="882"/>
      <c r="CI1608" s="530"/>
    </row>
    <row r="1609">
      <c r="A1609" s="857"/>
      <c r="B1609" s="865" t="s">
        <v>668</v>
      </c>
      <c r="C1609" s="865" t="s">
        <v>591</v>
      </c>
      <c r="D1609" s="865" t="s">
        <v>616</v>
      </c>
      <c r="E1609" s="866">
        <v>2019.0</v>
      </c>
      <c r="F1609" s="865" t="s">
        <v>593</v>
      </c>
      <c r="G1609" s="865" t="s">
        <v>70</v>
      </c>
      <c r="H1609" s="867">
        <v>240306.9122</v>
      </c>
      <c r="I1609" s="867">
        <v>268499.9257</v>
      </c>
      <c r="J1609" s="868">
        <v>211267.1877</v>
      </c>
      <c r="K1609" s="50"/>
      <c r="L1609" s="869" t="s">
        <v>668</v>
      </c>
      <c r="M1609" s="865" t="s">
        <v>591</v>
      </c>
      <c r="N1609" s="865" t="s">
        <v>616</v>
      </c>
      <c r="O1609" s="866">
        <v>2004.0</v>
      </c>
      <c r="P1609" s="865" t="s">
        <v>593</v>
      </c>
      <c r="Q1609" s="865" t="s">
        <v>70</v>
      </c>
      <c r="R1609" s="867">
        <v>226221.2226</v>
      </c>
      <c r="S1609" s="867">
        <v>245295.4967</v>
      </c>
      <c r="T1609" s="868">
        <v>205855.9006</v>
      </c>
      <c r="AN1609" s="882"/>
      <c r="AO1609" s="882"/>
      <c r="AP1609" s="882"/>
      <c r="AY1609" s="882"/>
      <c r="AZ1609" s="882"/>
      <c r="BA1609" s="882"/>
      <c r="BJ1609" s="882"/>
      <c r="BK1609" s="882"/>
      <c r="BL1609" s="882"/>
      <c r="BU1609" s="882"/>
      <c r="BV1609" s="882"/>
      <c r="BW1609" s="882"/>
      <c r="CF1609" s="882"/>
      <c r="CG1609" s="882"/>
      <c r="CH1609" s="882"/>
      <c r="CI1609" s="530"/>
    </row>
    <row r="1610">
      <c r="A1610" s="857"/>
      <c r="B1610" s="865" t="s">
        <v>668</v>
      </c>
      <c r="C1610" s="865" t="s">
        <v>591</v>
      </c>
      <c r="D1610" s="865" t="s">
        <v>618</v>
      </c>
      <c r="E1610" s="866">
        <v>2019.0</v>
      </c>
      <c r="F1610" s="865" t="s">
        <v>593</v>
      </c>
      <c r="G1610" s="865" t="s">
        <v>70</v>
      </c>
      <c r="H1610" s="867">
        <v>1020928.074</v>
      </c>
      <c r="I1610" s="867">
        <v>1140787.131</v>
      </c>
      <c r="J1610" s="868">
        <v>897612.0113</v>
      </c>
      <c r="K1610" s="50"/>
      <c r="L1610" s="869" t="s">
        <v>668</v>
      </c>
      <c r="M1610" s="865" t="s">
        <v>591</v>
      </c>
      <c r="N1610" s="865" t="s">
        <v>618</v>
      </c>
      <c r="O1610" s="866">
        <v>2004.0</v>
      </c>
      <c r="P1610" s="865" t="s">
        <v>593</v>
      </c>
      <c r="Q1610" s="865" t="s">
        <v>70</v>
      </c>
      <c r="R1610" s="867">
        <v>827318.2436</v>
      </c>
      <c r="S1610" s="867">
        <v>897138.6993</v>
      </c>
      <c r="T1610" s="868">
        <v>752873.9619</v>
      </c>
      <c r="AN1610" s="882"/>
      <c r="AO1610" s="882"/>
      <c r="AP1610" s="882"/>
      <c r="AY1610" s="882"/>
      <c r="AZ1610" s="882"/>
      <c r="BA1610" s="882"/>
      <c r="BJ1610" s="882"/>
      <c r="BK1610" s="882"/>
      <c r="BL1610" s="882"/>
      <c r="BU1610" s="882"/>
      <c r="BV1610" s="882"/>
      <c r="BW1610" s="882"/>
      <c r="CF1610" s="882"/>
      <c r="CG1610" s="882"/>
      <c r="CH1610" s="882"/>
      <c r="CI1610" s="530"/>
    </row>
    <row r="1611">
      <c r="A1611" s="857"/>
      <c r="B1611" s="865" t="s">
        <v>668</v>
      </c>
      <c r="C1611" s="865" t="s">
        <v>591</v>
      </c>
      <c r="D1611" s="865" t="s">
        <v>620</v>
      </c>
      <c r="E1611" s="866">
        <v>2019.0</v>
      </c>
      <c r="F1611" s="865" t="s">
        <v>593</v>
      </c>
      <c r="G1611" s="865" t="s">
        <v>70</v>
      </c>
      <c r="H1611" s="867">
        <v>1255215.426</v>
      </c>
      <c r="I1611" s="867">
        <v>1402478.379</v>
      </c>
      <c r="J1611" s="868">
        <v>1103529.776</v>
      </c>
      <c r="K1611" s="50"/>
      <c r="L1611" s="869" t="s">
        <v>668</v>
      </c>
      <c r="M1611" s="865" t="s">
        <v>591</v>
      </c>
      <c r="N1611" s="865" t="s">
        <v>620</v>
      </c>
      <c r="O1611" s="866">
        <v>2004.0</v>
      </c>
      <c r="P1611" s="865" t="s">
        <v>593</v>
      </c>
      <c r="Q1611" s="865" t="s">
        <v>70</v>
      </c>
      <c r="R1611" s="867">
        <v>978033.8237</v>
      </c>
      <c r="S1611" s="867">
        <v>1060498.612</v>
      </c>
      <c r="T1611" s="868">
        <v>889987.3815</v>
      </c>
      <c r="AN1611" s="882"/>
      <c r="AO1611" s="882"/>
      <c r="AP1611" s="882"/>
      <c r="AY1611" s="882"/>
      <c r="AZ1611" s="882"/>
      <c r="BA1611" s="882"/>
      <c r="BJ1611" s="882"/>
      <c r="BK1611" s="882"/>
      <c r="BL1611" s="882"/>
      <c r="BU1611" s="882"/>
      <c r="BV1611" s="882"/>
      <c r="BW1611" s="882"/>
      <c r="CF1611" s="882"/>
      <c r="CG1611" s="882"/>
      <c r="CH1611" s="882"/>
      <c r="CI1611" s="530"/>
    </row>
    <row r="1612">
      <c r="A1612" s="857"/>
      <c r="B1612" s="865" t="s">
        <v>668</v>
      </c>
      <c r="C1612" s="865" t="s">
        <v>591</v>
      </c>
      <c r="D1612" s="865" t="s">
        <v>622</v>
      </c>
      <c r="E1612" s="866">
        <v>2019.0</v>
      </c>
      <c r="F1612" s="865" t="s">
        <v>593</v>
      </c>
      <c r="G1612" s="865" t="s">
        <v>70</v>
      </c>
      <c r="H1612" s="867">
        <v>1325169.094</v>
      </c>
      <c r="I1612" s="867">
        <v>1480746.673</v>
      </c>
      <c r="J1612" s="868">
        <v>1165104.306</v>
      </c>
      <c r="K1612" s="50"/>
      <c r="L1612" s="869" t="s">
        <v>668</v>
      </c>
      <c r="M1612" s="865" t="s">
        <v>591</v>
      </c>
      <c r="N1612" s="865" t="s">
        <v>622</v>
      </c>
      <c r="O1612" s="866">
        <v>2004.0</v>
      </c>
      <c r="P1612" s="865" t="s">
        <v>593</v>
      </c>
      <c r="Q1612" s="865" t="s">
        <v>70</v>
      </c>
      <c r="R1612" s="867">
        <v>962393.6107</v>
      </c>
      <c r="S1612" s="867">
        <v>1043613.578</v>
      </c>
      <c r="T1612" s="868">
        <v>875794.8906</v>
      </c>
      <c r="AN1612" s="882"/>
      <c r="AO1612" s="882"/>
      <c r="AP1612" s="882"/>
      <c r="AY1612" s="882"/>
      <c r="AZ1612" s="882"/>
      <c r="BA1612" s="882"/>
      <c r="BJ1612" s="882"/>
      <c r="BK1612" s="882"/>
      <c r="BL1612" s="882"/>
      <c r="BU1612" s="882"/>
      <c r="BV1612" s="882"/>
      <c r="BW1612" s="882"/>
      <c r="CF1612" s="882"/>
      <c r="CG1612" s="882"/>
      <c r="CH1612" s="882"/>
      <c r="CI1612" s="530"/>
    </row>
    <row r="1613">
      <c r="A1613" s="857"/>
      <c r="B1613" s="865" t="s">
        <v>668</v>
      </c>
      <c r="C1613" s="865" t="s">
        <v>591</v>
      </c>
      <c r="D1613" s="865" t="s">
        <v>624</v>
      </c>
      <c r="E1613" s="866">
        <v>2019.0</v>
      </c>
      <c r="F1613" s="865" t="s">
        <v>593</v>
      </c>
      <c r="G1613" s="865" t="s">
        <v>70</v>
      </c>
      <c r="H1613" s="867">
        <v>229378.443</v>
      </c>
      <c r="I1613" s="867">
        <v>256289.3191</v>
      </c>
      <c r="J1613" s="868">
        <v>201659.3619</v>
      </c>
      <c r="K1613" s="50"/>
      <c r="L1613" s="869" t="s">
        <v>668</v>
      </c>
      <c r="M1613" s="865" t="s">
        <v>591</v>
      </c>
      <c r="N1613" s="865" t="s">
        <v>624</v>
      </c>
      <c r="O1613" s="866">
        <v>2004.0</v>
      </c>
      <c r="P1613" s="865" t="s">
        <v>593</v>
      </c>
      <c r="Q1613" s="865" t="s">
        <v>70</v>
      </c>
      <c r="R1613" s="867">
        <v>194253.2853</v>
      </c>
      <c r="S1613" s="867">
        <v>210632.1218</v>
      </c>
      <c r="T1613" s="868">
        <v>176765.8424</v>
      </c>
      <c r="AN1613" s="882"/>
      <c r="AO1613" s="882"/>
      <c r="AP1613" s="882"/>
      <c r="AY1613" s="882"/>
      <c r="AZ1613" s="882"/>
      <c r="BA1613" s="882"/>
      <c r="BJ1613" s="882"/>
      <c r="BK1613" s="882"/>
      <c r="BL1613" s="882"/>
      <c r="BU1613" s="882"/>
      <c r="BV1613" s="882"/>
      <c r="BW1613" s="882"/>
      <c r="CF1613" s="882"/>
      <c r="CG1613" s="882"/>
      <c r="CH1613" s="882"/>
      <c r="CI1613" s="530"/>
    </row>
    <row r="1614">
      <c r="A1614" s="857"/>
      <c r="B1614" s="865" t="s">
        <v>668</v>
      </c>
      <c r="C1614" s="865" t="s">
        <v>591</v>
      </c>
      <c r="D1614" s="865" t="s">
        <v>625</v>
      </c>
      <c r="E1614" s="866">
        <v>2019.0</v>
      </c>
      <c r="F1614" s="865" t="s">
        <v>593</v>
      </c>
      <c r="G1614" s="865" t="s">
        <v>70</v>
      </c>
      <c r="H1614" s="867">
        <v>1095879.837</v>
      </c>
      <c r="I1614" s="867">
        <v>1224449.401</v>
      </c>
      <c r="J1614" s="868">
        <v>963448.987</v>
      </c>
      <c r="K1614" s="50"/>
      <c r="L1614" s="869" t="s">
        <v>668</v>
      </c>
      <c r="M1614" s="865" t="s">
        <v>591</v>
      </c>
      <c r="N1614" s="865" t="s">
        <v>625</v>
      </c>
      <c r="O1614" s="866">
        <v>2004.0</v>
      </c>
      <c r="P1614" s="865" t="s">
        <v>593</v>
      </c>
      <c r="Q1614" s="865" t="s">
        <v>70</v>
      </c>
      <c r="R1614" s="867">
        <v>768184.2074</v>
      </c>
      <c r="S1614" s="867">
        <v>832955.1247</v>
      </c>
      <c r="T1614" s="868">
        <v>699029.251</v>
      </c>
      <c r="AN1614" s="882"/>
      <c r="AO1614" s="882"/>
      <c r="AP1614" s="882"/>
      <c r="AY1614" s="882"/>
      <c r="AZ1614" s="882"/>
      <c r="BA1614" s="882"/>
      <c r="BJ1614" s="882"/>
      <c r="BK1614" s="882"/>
      <c r="BL1614" s="882"/>
      <c r="BU1614" s="882"/>
      <c r="BV1614" s="882"/>
      <c r="BW1614" s="882"/>
      <c r="CF1614" s="882"/>
      <c r="CG1614" s="882"/>
      <c r="CH1614" s="882"/>
      <c r="CI1614" s="530"/>
    </row>
    <row r="1615">
      <c r="A1615" s="857"/>
      <c r="B1615" s="865" t="s">
        <v>668</v>
      </c>
      <c r="C1615" s="865" t="s">
        <v>591</v>
      </c>
      <c r="D1615" s="865" t="s">
        <v>627</v>
      </c>
      <c r="E1615" s="866">
        <v>2019.0</v>
      </c>
      <c r="F1615" s="865" t="s">
        <v>593</v>
      </c>
      <c r="G1615" s="865" t="s">
        <v>70</v>
      </c>
      <c r="H1615" s="867">
        <v>213549.456</v>
      </c>
      <c r="I1615" s="867">
        <v>238603.2617</v>
      </c>
      <c r="J1615" s="868">
        <v>187743.218</v>
      </c>
      <c r="K1615" s="50"/>
      <c r="L1615" s="869" t="s">
        <v>668</v>
      </c>
      <c r="M1615" s="865" t="s">
        <v>591</v>
      </c>
      <c r="N1615" s="865" t="s">
        <v>627</v>
      </c>
      <c r="O1615" s="866">
        <v>2004.0</v>
      </c>
      <c r="P1615" s="865" t="s">
        <v>593</v>
      </c>
      <c r="Q1615" s="865" t="s">
        <v>70</v>
      </c>
      <c r="R1615" s="867">
        <v>164047.3879</v>
      </c>
      <c r="S1615" s="867">
        <v>177879.3565</v>
      </c>
      <c r="T1615" s="868">
        <v>149279.1984</v>
      </c>
      <c r="AN1615" s="882"/>
      <c r="AO1615" s="882"/>
      <c r="AP1615" s="882"/>
      <c r="AY1615" s="882"/>
      <c r="AZ1615" s="882"/>
      <c r="BA1615" s="882"/>
      <c r="BJ1615" s="882"/>
      <c r="BK1615" s="882"/>
      <c r="BL1615" s="882"/>
      <c r="BU1615" s="882"/>
      <c r="BV1615" s="882"/>
      <c r="BW1615" s="882"/>
      <c r="CF1615" s="882"/>
      <c r="CG1615" s="882"/>
      <c r="CH1615" s="882"/>
      <c r="CI1615" s="530"/>
    </row>
    <row r="1616">
      <c r="A1616" s="857"/>
      <c r="B1616" s="865" t="s">
        <v>668</v>
      </c>
      <c r="C1616" s="865" t="s">
        <v>591</v>
      </c>
      <c r="D1616" s="865" t="s">
        <v>629</v>
      </c>
      <c r="E1616" s="866">
        <v>2019.0</v>
      </c>
      <c r="F1616" s="865" t="s">
        <v>593</v>
      </c>
      <c r="G1616" s="865" t="s">
        <v>70</v>
      </c>
      <c r="H1616" s="867">
        <v>785477.2074</v>
      </c>
      <c r="I1616" s="867">
        <v>877693.8479</v>
      </c>
      <c r="J1616" s="868">
        <v>690600.8304</v>
      </c>
      <c r="K1616" s="50"/>
      <c r="L1616" s="869" t="s">
        <v>668</v>
      </c>
      <c r="M1616" s="865" t="s">
        <v>591</v>
      </c>
      <c r="N1616" s="865" t="s">
        <v>629</v>
      </c>
      <c r="O1616" s="866">
        <v>2004.0</v>
      </c>
      <c r="P1616" s="865" t="s">
        <v>593</v>
      </c>
      <c r="Q1616" s="865" t="s">
        <v>70</v>
      </c>
      <c r="R1616" s="867">
        <v>557533.894</v>
      </c>
      <c r="S1616" s="867">
        <v>604586.2477</v>
      </c>
      <c r="T1616" s="868">
        <v>507365.521</v>
      </c>
      <c r="AN1616" s="882"/>
      <c r="AO1616" s="882"/>
      <c r="AP1616" s="882"/>
      <c r="AY1616" s="882"/>
      <c r="AZ1616" s="882"/>
      <c r="BA1616" s="882"/>
      <c r="BJ1616" s="882"/>
      <c r="BK1616" s="882"/>
      <c r="BL1616" s="882"/>
      <c r="BU1616" s="882"/>
      <c r="BV1616" s="882"/>
      <c r="BW1616" s="882"/>
      <c r="CF1616" s="882"/>
      <c r="CG1616" s="882"/>
      <c r="CH1616" s="882"/>
      <c r="CI1616" s="530"/>
    </row>
    <row r="1617">
      <c r="A1617" s="857"/>
      <c r="B1617" s="865" t="s">
        <v>668</v>
      </c>
      <c r="C1617" s="865" t="s">
        <v>591</v>
      </c>
      <c r="D1617" s="865" t="s">
        <v>631</v>
      </c>
      <c r="E1617" s="866">
        <v>2019.0</v>
      </c>
      <c r="F1617" s="865" t="s">
        <v>593</v>
      </c>
      <c r="G1617" s="865" t="s">
        <v>70</v>
      </c>
      <c r="H1617" s="867">
        <v>184178.4817</v>
      </c>
      <c r="I1617" s="867">
        <v>205786.4595</v>
      </c>
      <c r="J1617" s="868">
        <v>161921.559</v>
      </c>
      <c r="K1617" s="50"/>
      <c r="L1617" s="869" t="s">
        <v>668</v>
      </c>
      <c r="M1617" s="865" t="s">
        <v>591</v>
      </c>
      <c r="N1617" s="865" t="s">
        <v>631</v>
      </c>
      <c r="O1617" s="866">
        <v>2004.0</v>
      </c>
      <c r="P1617" s="865" t="s">
        <v>593</v>
      </c>
      <c r="Q1617" s="865" t="s">
        <v>70</v>
      </c>
      <c r="R1617" s="867">
        <v>135207.1766</v>
      </c>
      <c r="S1617" s="867">
        <v>146607.4277</v>
      </c>
      <c r="T1617" s="868">
        <v>123035.2961</v>
      </c>
      <c r="AN1617" s="882"/>
      <c r="AO1617" s="882"/>
      <c r="AP1617" s="882"/>
      <c r="AY1617" s="882"/>
      <c r="AZ1617" s="882"/>
      <c r="BA1617" s="882"/>
      <c r="BJ1617" s="882"/>
      <c r="BK1617" s="882"/>
      <c r="BL1617" s="882"/>
      <c r="BU1617" s="882"/>
      <c r="BV1617" s="882"/>
      <c r="BW1617" s="882"/>
      <c r="CF1617" s="882"/>
      <c r="CG1617" s="882"/>
      <c r="CH1617" s="882"/>
      <c r="CI1617" s="530"/>
    </row>
    <row r="1618">
      <c r="A1618" s="857"/>
      <c r="B1618" s="865" t="s">
        <v>668</v>
      </c>
      <c r="C1618" s="865" t="s">
        <v>591</v>
      </c>
      <c r="D1618" s="865" t="s">
        <v>633</v>
      </c>
      <c r="E1618" s="866">
        <v>2019.0</v>
      </c>
      <c r="F1618" s="865" t="s">
        <v>593</v>
      </c>
      <c r="G1618" s="865" t="s">
        <v>70</v>
      </c>
      <c r="H1618" s="867">
        <v>153583.4913</v>
      </c>
      <c r="I1618" s="867">
        <v>171602.0385</v>
      </c>
      <c r="J1618" s="868">
        <v>135023.7993</v>
      </c>
      <c r="K1618" s="50"/>
      <c r="L1618" s="869" t="s">
        <v>668</v>
      </c>
      <c r="M1618" s="865" t="s">
        <v>591</v>
      </c>
      <c r="N1618" s="865" t="s">
        <v>633</v>
      </c>
      <c r="O1618" s="866">
        <v>2004.0</v>
      </c>
      <c r="P1618" s="865" t="s">
        <v>593</v>
      </c>
      <c r="Q1618" s="865" t="s">
        <v>70</v>
      </c>
      <c r="R1618" s="867">
        <v>107626.8941</v>
      </c>
      <c r="S1618" s="867">
        <v>116701.6611</v>
      </c>
      <c r="T1618" s="868">
        <v>97937.89883</v>
      </c>
      <c r="AN1618" s="882"/>
      <c r="AO1618" s="882"/>
      <c r="AP1618" s="882"/>
      <c r="AY1618" s="882"/>
      <c r="AZ1618" s="882"/>
      <c r="BA1618" s="882"/>
      <c r="BJ1618" s="882"/>
      <c r="BK1618" s="882"/>
      <c r="BL1618" s="882"/>
      <c r="BU1618" s="882"/>
      <c r="BV1618" s="882"/>
      <c r="BW1618" s="882"/>
      <c r="CF1618" s="882"/>
      <c r="CG1618" s="882"/>
      <c r="CH1618" s="882"/>
      <c r="CI1618" s="530"/>
    </row>
    <row r="1619">
      <c r="A1619" s="857"/>
      <c r="B1619" s="865" t="s">
        <v>668</v>
      </c>
      <c r="C1619" s="865" t="s">
        <v>591</v>
      </c>
      <c r="D1619" s="865" t="s">
        <v>635</v>
      </c>
      <c r="E1619" s="866">
        <v>2019.0</v>
      </c>
      <c r="F1619" s="865" t="s">
        <v>593</v>
      </c>
      <c r="G1619" s="865" t="s">
        <v>70</v>
      </c>
      <c r="H1619" s="867">
        <v>128613.5989</v>
      </c>
      <c r="I1619" s="867">
        <v>143702.6568</v>
      </c>
      <c r="J1619" s="868">
        <v>113071.3764</v>
      </c>
      <c r="K1619" s="50"/>
      <c r="L1619" s="869" t="s">
        <v>668</v>
      </c>
      <c r="M1619" s="865" t="s">
        <v>591</v>
      </c>
      <c r="N1619" s="865" t="s">
        <v>635</v>
      </c>
      <c r="O1619" s="866">
        <v>2004.0</v>
      </c>
      <c r="P1619" s="865" t="s">
        <v>593</v>
      </c>
      <c r="Q1619" s="865" t="s">
        <v>70</v>
      </c>
      <c r="R1619" s="867">
        <v>85092.00797</v>
      </c>
      <c r="S1619" s="867">
        <v>92266.70301</v>
      </c>
      <c r="T1619" s="868">
        <v>77431.69155</v>
      </c>
      <c r="AN1619" s="882"/>
      <c r="AO1619" s="882"/>
      <c r="AP1619" s="882"/>
      <c r="AY1619" s="882"/>
      <c r="AZ1619" s="882"/>
      <c r="BA1619" s="882"/>
      <c r="BJ1619" s="882"/>
      <c r="BK1619" s="882"/>
      <c r="BL1619" s="882"/>
      <c r="BU1619" s="882"/>
      <c r="BV1619" s="882"/>
      <c r="BW1619" s="882"/>
      <c r="CF1619" s="882"/>
      <c r="CG1619" s="882"/>
      <c r="CH1619" s="882"/>
      <c r="CI1619" s="530"/>
    </row>
    <row r="1620">
      <c r="A1620" s="857"/>
      <c r="B1620" s="865" t="s">
        <v>668</v>
      </c>
      <c r="C1620" s="865" t="s">
        <v>591</v>
      </c>
      <c r="D1620" s="865" t="s">
        <v>637</v>
      </c>
      <c r="E1620" s="866">
        <v>2019.0</v>
      </c>
      <c r="F1620" s="865" t="s">
        <v>593</v>
      </c>
      <c r="G1620" s="865" t="s">
        <v>70</v>
      </c>
      <c r="H1620" s="867">
        <v>105605.0432</v>
      </c>
      <c r="I1620" s="867">
        <v>117994.7177</v>
      </c>
      <c r="J1620" s="868">
        <v>92843.27397</v>
      </c>
      <c r="K1620" s="50"/>
      <c r="L1620" s="869" t="s">
        <v>668</v>
      </c>
      <c r="M1620" s="865" t="s">
        <v>591</v>
      </c>
      <c r="N1620" s="865" t="s">
        <v>637</v>
      </c>
      <c r="O1620" s="866">
        <v>2004.0</v>
      </c>
      <c r="P1620" s="865" t="s">
        <v>593</v>
      </c>
      <c r="Q1620" s="865" t="s">
        <v>70</v>
      </c>
      <c r="R1620" s="867">
        <v>65585.84911</v>
      </c>
      <c r="S1620" s="867">
        <v>71115.84514</v>
      </c>
      <c r="T1620" s="868">
        <v>59681.55365</v>
      </c>
      <c r="AN1620" s="882"/>
      <c r="AO1620" s="882"/>
      <c r="AP1620" s="882"/>
      <c r="AY1620" s="882"/>
      <c r="AZ1620" s="882"/>
      <c r="BA1620" s="882"/>
      <c r="BJ1620" s="882"/>
      <c r="BK1620" s="882"/>
      <c r="BL1620" s="882"/>
      <c r="BU1620" s="882"/>
      <c r="BV1620" s="882"/>
      <c r="BW1620" s="882"/>
      <c r="CF1620" s="882"/>
      <c r="CG1620" s="882"/>
      <c r="CH1620" s="882"/>
      <c r="CI1620" s="530"/>
    </row>
    <row r="1621">
      <c r="A1621" s="857"/>
      <c r="B1621" s="865" t="s">
        <v>668</v>
      </c>
      <c r="C1621" s="865" t="s">
        <v>591</v>
      </c>
      <c r="D1621" s="865" t="s">
        <v>639</v>
      </c>
      <c r="E1621" s="866">
        <v>2019.0</v>
      </c>
      <c r="F1621" s="865" t="s">
        <v>593</v>
      </c>
      <c r="G1621" s="865" t="s">
        <v>70</v>
      </c>
      <c r="H1621" s="867">
        <v>781052.2837</v>
      </c>
      <c r="I1621" s="867">
        <v>872749.4291</v>
      </c>
      <c r="J1621" s="868">
        <v>686710.3853</v>
      </c>
      <c r="K1621" s="50"/>
      <c r="L1621" s="869" t="s">
        <v>668</v>
      </c>
      <c r="M1621" s="865" t="s">
        <v>591</v>
      </c>
      <c r="N1621" s="865" t="s">
        <v>639</v>
      </c>
      <c r="O1621" s="866">
        <v>2004.0</v>
      </c>
      <c r="P1621" s="865" t="s">
        <v>593</v>
      </c>
      <c r="Q1621" s="865" t="s">
        <v>70</v>
      </c>
      <c r="R1621" s="867">
        <v>733084.1477</v>
      </c>
      <c r="S1621" s="867">
        <v>794951.8385</v>
      </c>
      <c r="T1621" s="868">
        <v>667119.299</v>
      </c>
      <c r="AN1621" s="882"/>
      <c r="AO1621" s="882"/>
      <c r="AP1621" s="882"/>
      <c r="AY1621" s="882"/>
      <c r="AZ1621" s="882"/>
      <c r="BA1621" s="882"/>
      <c r="BJ1621" s="882"/>
      <c r="BK1621" s="882"/>
      <c r="BL1621" s="882"/>
      <c r="BU1621" s="882"/>
      <c r="BV1621" s="882"/>
      <c r="BW1621" s="882"/>
      <c r="CF1621" s="882"/>
      <c r="CG1621" s="882"/>
      <c r="CH1621" s="882"/>
      <c r="CI1621" s="530"/>
    </row>
    <row r="1622">
      <c r="A1622" s="857"/>
      <c r="B1622" s="865" t="s">
        <v>668</v>
      </c>
      <c r="C1622" s="865" t="s">
        <v>591</v>
      </c>
      <c r="D1622" s="865" t="s">
        <v>641</v>
      </c>
      <c r="E1622" s="866">
        <v>2019.0</v>
      </c>
      <c r="F1622" s="865" t="s">
        <v>593</v>
      </c>
      <c r="G1622" s="865" t="s">
        <v>70</v>
      </c>
      <c r="H1622" s="867">
        <v>280709.4884</v>
      </c>
      <c r="I1622" s="867">
        <v>313642.5669</v>
      </c>
      <c r="J1622" s="868">
        <v>246787.3422</v>
      </c>
      <c r="K1622" s="50"/>
      <c r="L1622" s="869" t="s">
        <v>668</v>
      </c>
      <c r="M1622" s="865" t="s">
        <v>591</v>
      </c>
      <c r="N1622" s="865" t="s">
        <v>641</v>
      </c>
      <c r="O1622" s="866">
        <v>2004.0</v>
      </c>
      <c r="P1622" s="865" t="s">
        <v>593</v>
      </c>
      <c r="Q1622" s="865" t="s">
        <v>70</v>
      </c>
      <c r="R1622" s="867">
        <v>256285.2211</v>
      </c>
      <c r="S1622" s="867">
        <v>277894.3986</v>
      </c>
      <c r="T1622" s="868">
        <v>233213.42</v>
      </c>
      <c r="AN1622" s="882"/>
      <c r="AO1622" s="882"/>
      <c r="AP1622" s="882"/>
      <c r="AY1622" s="882"/>
      <c r="AZ1622" s="882"/>
      <c r="BA1622" s="882"/>
      <c r="BJ1622" s="882"/>
      <c r="BK1622" s="882"/>
      <c r="BL1622" s="882"/>
      <c r="BU1622" s="882"/>
      <c r="BV1622" s="882"/>
      <c r="BW1622" s="882"/>
      <c r="CF1622" s="882"/>
      <c r="CG1622" s="882"/>
      <c r="CH1622" s="882"/>
      <c r="CI1622" s="530"/>
    </row>
    <row r="1623">
      <c r="A1623" s="857"/>
      <c r="B1623" s="865" t="s">
        <v>668</v>
      </c>
      <c r="C1623" s="865" t="s">
        <v>591</v>
      </c>
      <c r="D1623" s="865" t="s">
        <v>643</v>
      </c>
      <c r="E1623" s="866">
        <v>2019.0</v>
      </c>
      <c r="F1623" s="865" t="s">
        <v>593</v>
      </c>
      <c r="G1623" s="865" t="s">
        <v>70</v>
      </c>
      <c r="H1623" s="867">
        <v>83743.83844</v>
      </c>
      <c r="I1623" s="867">
        <v>93568.73755</v>
      </c>
      <c r="J1623" s="868">
        <v>73623.87153</v>
      </c>
      <c r="K1623" s="50"/>
      <c r="L1623" s="869" t="s">
        <v>668</v>
      </c>
      <c r="M1623" s="865" t="s">
        <v>591</v>
      </c>
      <c r="N1623" s="865" t="s">
        <v>643</v>
      </c>
      <c r="O1623" s="866">
        <v>2004.0</v>
      </c>
      <c r="P1623" s="865" t="s">
        <v>593</v>
      </c>
      <c r="Q1623" s="865" t="s">
        <v>70</v>
      </c>
      <c r="R1623" s="867">
        <v>52731.42034</v>
      </c>
      <c r="S1623" s="867">
        <v>57177.57067</v>
      </c>
      <c r="T1623" s="868">
        <v>47984.33099</v>
      </c>
      <c r="AN1623" s="882"/>
      <c r="AO1623" s="882"/>
      <c r="AP1623" s="882"/>
      <c r="AY1623" s="882"/>
      <c r="AZ1623" s="882"/>
      <c r="BA1623" s="882"/>
      <c r="BJ1623" s="882"/>
      <c r="BK1623" s="882"/>
      <c r="BL1623" s="882"/>
      <c r="BU1623" s="882"/>
      <c r="BV1623" s="882"/>
      <c r="BW1623" s="882"/>
      <c r="CF1623" s="882"/>
      <c r="CG1623" s="882"/>
      <c r="CH1623" s="882"/>
      <c r="CI1623" s="530"/>
    </row>
    <row r="1624">
      <c r="A1624" s="857"/>
      <c r="B1624" s="865" t="s">
        <v>668</v>
      </c>
      <c r="C1624" s="865" t="s">
        <v>591</v>
      </c>
      <c r="D1624" s="865" t="s">
        <v>645</v>
      </c>
      <c r="E1624" s="866">
        <v>2019.0</v>
      </c>
      <c r="F1624" s="865" t="s">
        <v>593</v>
      </c>
      <c r="G1624" s="865" t="s">
        <v>70</v>
      </c>
      <c r="H1624" s="867">
        <v>241485.7697</v>
      </c>
      <c r="I1624" s="867">
        <v>269817.0878</v>
      </c>
      <c r="J1624" s="868">
        <v>212303.5869</v>
      </c>
      <c r="K1624" s="50"/>
      <c r="L1624" s="869" t="s">
        <v>668</v>
      </c>
      <c r="M1624" s="865" t="s">
        <v>591</v>
      </c>
      <c r="N1624" s="865" t="s">
        <v>645</v>
      </c>
      <c r="O1624" s="866">
        <v>2004.0</v>
      </c>
      <c r="P1624" s="865" t="s">
        <v>593</v>
      </c>
      <c r="Q1624" s="865" t="s">
        <v>70</v>
      </c>
      <c r="R1624" s="867">
        <v>156846.1773</v>
      </c>
      <c r="S1624" s="867">
        <v>170070.962</v>
      </c>
      <c r="T1624" s="868">
        <v>142726.269</v>
      </c>
      <c r="AN1624" s="882"/>
      <c r="AO1624" s="882"/>
      <c r="AP1624" s="882"/>
      <c r="AY1624" s="882"/>
      <c r="AZ1624" s="882"/>
      <c r="BA1624" s="882"/>
      <c r="BJ1624" s="882"/>
      <c r="BK1624" s="882"/>
      <c r="BL1624" s="882"/>
      <c r="BU1624" s="882"/>
      <c r="BV1624" s="882"/>
      <c r="BW1624" s="882"/>
      <c r="CF1624" s="882"/>
      <c r="CG1624" s="882"/>
      <c r="CH1624" s="882"/>
      <c r="CI1624" s="530"/>
    </row>
    <row r="1625">
      <c r="A1625" s="857"/>
      <c r="B1625" s="865" t="s">
        <v>668</v>
      </c>
      <c r="C1625" s="865" t="s">
        <v>591</v>
      </c>
      <c r="D1625" s="865" t="s">
        <v>604</v>
      </c>
      <c r="E1625" s="866">
        <v>2019.0</v>
      </c>
      <c r="F1625" s="865" t="s">
        <v>593</v>
      </c>
      <c r="G1625" s="865" t="s">
        <v>70</v>
      </c>
      <c r="H1625" s="867">
        <v>540797.9375</v>
      </c>
      <c r="I1625" s="867">
        <v>604244.8163</v>
      </c>
      <c r="J1625" s="868">
        <v>475445.5804</v>
      </c>
      <c r="K1625" s="50"/>
      <c r="L1625" s="869" t="s">
        <v>668</v>
      </c>
      <c r="M1625" s="865" t="s">
        <v>591</v>
      </c>
      <c r="N1625" s="865" t="s">
        <v>604</v>
      </c>
      <c r="O1625" s="866">
        <v>2004.0</v>
      </c>
      <c r="P1625" s="865" t="s">
        <v>593</v>
      </c>
      <c r="Q1625" s="865" t="s">
        <v>70</v>
      </c>
      <c r="R1625" s="867">
        <v>506896.3513</v>
      </c>
      <c r="S1625" s="867">
        <v>549636.2845</v>
      </c>
      <c r="T1625" s="868">
        <v>461263.553</v>
      </c>
      <c r="AN1625" s="882"/>
      <c r="AO1625" s="882"/>
      <c r="AP1625" s="882"/>
      <c r="AY1625" s="882"/>
      <c r="AZ1625" s="882"/>
      <c r="BA1625" s="882"/>
      <c r="BJ1625" s="882"/>
      <c r="BK1625" s="882"/>
      <c r="BL1625" s="882"/>
      <c r="BU1625" s="882"/>
      <c r="BV1625" s="882"/>
      <c r="BW1625" s="882"/>
      <c r="CF1625" s="882"/>
      <c r="CG1625" s="882"/>
      <c r="CH1625" s="882"/>
      <c r="CI1625" s="530"/>
    </row>
    <row r="1626">
      <c r="A1626" s="857"/>
      <c r="B1626" s="865" t="s">
        <v>668</v>
      </c>
      <c r="C1626" s="865" t="s">
        <v>591</v>
      </c>
      <c r="D1626" s="865" t="s">
        <v>647</v>
      </c>
      <c r="E1626" s="866">
        <v>2019.0</v>
      </c>
      <c r="F1626" s="865" t="s">
        <v>593</v>
      </c>
      <c r="G1626" s="865" t="s">
        <v>70</v>
      </c>
      <c r="H1626" s="867">
        <v>226590.6773</v>
      </c>
      <c r="I1626" s="867">
        <v>253192.8891</v>
      </c>
      <c r="J1626" s="868">
        <v>199221.1976</v>
      </c>
      <c r="K1626" s="50"/>
      <c r="L1626" s="869" t="s">
        <v>668</v>
      </c>
      <c r="M1626" s="865" t="s">
        <v>591</v>
      </c>
      <c r="N1626" s="865" t="s">
        <v>647</v>
      </c>
      <c r="O1626" s="866">
        <v>2004.0</v>
      </c>
      <c r="P1626" s="865" t="s">
        <v>593</v>
      </c>
      <c r="Q1626" s="865" t="s">
        <v>70</v>
      </c>
      <c r="R1626" s="867">
        <v>157886.2722</v>
      </c>
      <c r="S1626" s="867">
        <v>171210.8805</v>
      </c>
      <c r="T1626" s="868">
        <v>143679.2482</v>
      </c>
      <c r="AN1626" s="882"/>
      <c r="AO1626" s="882"/>
      <c r="AP1626" s="882"/>
      <c r="AY1626" s="882"/>
      <c r="AZ1626" s="882"/>
      <c r="BA1626" s="882"/>
      <c r="BJ1626" s="882"/>
      <c r="BK1626" s="882"/>
      <c r="BL1626" s="882"/>
      <c r="BU1626" s="882"/>
      <c r="BV1626" s="882"/>
      <c r="BW1626" s="882"/>
      <c r="CF1626" s="882"/>
      <c r="CG1626" s="882"/>
      <c r="CH1626" s="882"/>
      <c r="CI1626" s="530"/>
    </row>
    <row r="1627">
      <c r="A1627" s="857"/>
      <c r="B1627" s="865" t="s">
        <v>668</v>
      </c>
      <c r="C1627" s="865" t="s">
        <v>591</v>
      </c>
      <c r="D1627" s="865" t="s">
        <v>649</v>
      </c>
      <c r="E1627" s="866">
        <v>2019.0</v>
      </c>
      <c r="F1627" s="865" t="s">
        <v>593</v>
      </c>
      <c r="G1627" s="865" t="s">
        <v>70</v>
      </c>
      <c r="H1627" s="867">
        <v>65946.94987</v>
      </c>
      <c r="I1627" s="867">
        <v>73683.90272</v>
      </c>
      <c r="J1627" s="868">
        <v>57977.6358</v>
      </c>
      <c r="K1627" s="50"/>
      <c r="L1627" s="869" t="s">
        <v>668</v>
      </c>
      <c r="M1627" s="865" t="s">
        <v>591</v>
      </c>
      <c r="N1627" s="865" t="s">
        <v>649</v>
      </c>
      <c r="O1627" s="866">
        <v>2004.0</v>
      </c>
      <c r="P1627" s="865" t="s">
        <v>593</v>
      </c>
      <c r="Q1627" s="865" t="s">
        <v>70</v>
      </c>
      <c r="R1627" s="867">
        <v>40985.29159</v>
      </c>
      <c r="S1627" s="867">
        <v>44441.04466</v>
      </c>
      <c r="T1627" s="868">
        <v>37295.63483</v>
      </c>
      <c r="AN1627" s="882"/>
      <c r="AO1627" s="882"/>
      <c r="AP1627" s="882"/>
      <c r="AY1627" s="882"/>
      <c r="AZ1627" s="882"/>
      <c r="BA1627" s="882"/>
      <c r="BJ1627" s="882"/>
      <c r="BK1627" s="882"/>
      <c r="BL1627" s="882"/>
      <c r="BU1627" s="882"/>
      <c r="BV1627" s="882"/>
      <c r="BW1627" s="882"/>
      <c r="CF1627" s="882"/>
      <c r="CG1627" s="882"/>
      <c r="CH1627" s="882"/>
      <c r="CI1627" s="530"/>
    </row>
    <row r="1628">
      <c r="A1628" s="857"/>
      <c r="B1628" s="865" t="s">
        <v>668</v>
      </c>
      <c r="C1628" s="865" t="s">
        <v>591</v>
      </c>
      <c r="D1628" s="865" t="s">
        <v>651</v>
      </c>
      <c r="E1628" s="866">
        <v>2019.0</v>
      </c>
      <c r="F1628" s="865" t="s">
        <v>593</v>
      </c>
      <c r="G1628" s="865" t="s">
        <v>70</v>
      </c>
      <c r="H1628" s="867">
        <v>51517.49618</v>
      </c>
      <c r="I1628" s="867">
        <v>57561.57312</v>
      </c>
      <c r="J1628" s="868">
        <v>45291.89958</v>
      </c>
      <c r="K1628" s="50"/>
      <c r="L1628" s="869" t="s">
        <v>668</v>
      </c>
      <c r="M1628" s="865" t="s">
        <v>591</v>
      </c>
      <c r="N1628" s="865" t="s">
        <v>651</v>
      </c>
      <c r="O1628" s="866">
        <v>2004.0</v>
      </c>
      <c r="P1628" s="865" t="s">
        <v>593</v>
      </c>
      <c r="Q1628" s="865" t="s">
        <v>70</v>
      </c>
      <c r="R1628" s="867">
        <v>35203.67986</v>
      </c>
      <c r="S1628" s="867">
        <v>38171.9453</v>
      </c>
      <c r="T1628" s="868">
        <v>32034.50647</v>
      </c>
      <c r="AN1628" s="882"/>
      <c r="AO1628" s="882"/>
      <c r="AP1628" s="882"/>
      <c r="AY1628" s="882"/>
      <c r="AZ1628" s="882"/>
      <c r="BA1628" s="882"/>
      <c r="BJ1628" s="882"/>
      <c r="BK1628" s="882"/>
      <c r="BL1628" s="882"/>
      <c r="BU1628" s="882"/>
      <c r="BV1628" s="882"/>
      <c r="BW1628" s="882"/>
      <c r="CF1628" s="882"/>
      <c r="CG1628" s="882"/>
      <c r="CH1628" s="882"/>
      <c r="CI1628" s="530"/>
    </row>
    <row r="1629">
      <c r="A1629" s="857"/>
      <c r="B1629" s="865" t="s">
        <v>668</v>
      </c>
      <c r="C1629" s="865" t="s">
        <v>591</v>
      </c>
      <c r="D1629" s="865" t="s">
        <v>653</v>
      </c>
      <c r="E1629" s="866">
        <v>2019.0</v>
      </c>
      <c r="F1629" s="865" t="s">
        <v>593</v>
      </c>
      <c r="G1629" s="865" t="s">
        <v>70</v>
      </c>
      <c r="H1629" s="867">
        <v>40277.48519</v>
      </c>
      <c r="I1629" s="867">
        <v>45002.87438</v>
      </c>
      <c r="J1629" s="868">
        <v>35410.18003</v>
      </c>
      <c r="K1629" s="50"/>
      <c r="L1629" s="869" t="s">
        <v>668</v>
      </c>
      <c r="M1629" s="865" t="s">
        <v>591</v>
      </c>
      <c r="N1629" s="865" t="s">
        <v>653</v>
      </c>
      <c r="O1629" s="866">
        <v>2004.0</v>
      </c>
      <c r="P1629" s="865" t="s">
        <v>593</v>
      </c>
      <c r="Q1629" s="865" t="s">
        <v>70</v>
      </c>
      <c r="R1629" s="867">
        <v>27925.78551</v>
      </c>
      <c r="S1629" s="867">
        <v>30280.4014</v>
      </c>
      <c r="T1629" s="868">
        <v>25411.79673</v>
      </c>
      <c r="AN1629" s="882"/>
      <c r="AO1629" s="882"/>
      <c r="AP1629" s="882"/>
      <c r="AY1629" s="882"/>
      <c r="AZ1629" s="882"/>
      <c r="BA1629" s="882"/>
      <c r="BJ1629" s="882"/>
      <c r="BK1629" s="882"/>
      <c r="BL1629" s="882"/>
      <c r="BU1629" s="882"/>
      <c r="BV1629" s="882"/>
      <c r="BW1629" s="882"/>
      <c r="CF1629" s="882"/>
      <c r="CG1629" s="882"/>
      <c r="CH1629" s="882"/>
      <c r="CI1629" s="530"/>
    </row>
    <row r="1630">
      <c r="A1630" s="857"/>
      <c r="B1630" s="865" t="s">
        <v>668</v>
      </c>
      <c r="C1630" s="865" t="s">
        <v>591</v>
      </c>
      <c r="D1630" s="865" t="s">
        <v>655</v>
      </c>
      <c r="E1630" s="866">
        <v>2019.0</v>
      </c>
      <c r="F1630" s="865" t="s">
        <v>593</v>
      </c>
      <c r="G1630" s="865" t="s">
        <v>70</v>
      </c>
      <c r="H1630" s="867">
        <v>69035.18352</v>
      </c>
      <c r="I1630" s="867">
        <v>77140.05613</v>
      </c>
      <c r="J1630" s="868">
        <v>60696.54806</v>
      </c>
      <c r="K1630" s="50"/>
      <c r="L1630" s="869" t="s">
        <v>668</v>
      </c>
      <c r="M1630" s="865" t="s">
        <v>591</v>
      </c>
      <c r="N1630" s="865" t="s">
        <v>655</v>
      </c>
      <c r="O1630" s="866">
        <v>2004.0</v>
      </c>
      <c r="P1630" s="865" t="s">
        <v>593</v>
      </c>
      <c r="Q1630" s="865" t="s">
        <v>70</v>
      </c>
      <c r="R1630" s="867">
        <v>50249.94304</v>
      </c>
      <c r="S1630" s="867">
        <v>54490.72215</v>
      </c>
      <c r="T1630" s="868">
        <v>45728.32039</v>
      </c>
      <c r="AN1630" s="882"/>
      <c r="AO1630" s="882"/>
      <c r="AP1630" s="882"/>
      <c r="AY1630" s="882"/>
      <c r="AZ1630" s="882"/>
      <c r="BA1630" s="882"/>
      <c r="BJ1630" s="882"/>
      <c r="BK1630" s="882"/>
      <c r="BL1630" s="882"/>
      <c r="BU1630" s="882"/>
      <c r="BV1630" s="882"/>
      <c r="BW1630" s="882"/>
      <c r="CF1630" s="882"/>
      <c r="CG1630" s="882"/>
      <c r="CH1630" s="882"/>
      <c r="CI1630" s="530"/>
    </row>
    <row r="1631">
      <c r="A1631" s="857"/>
      <c r="B1631" s="865" t="s">
        <v>668</v>
      </c>
      <c r="C1631" s="865" t="s">
        <v>591</v>
      </c>
      <c r="D1631" s="865" t="s">
        <v>657</v>
      </c>
      <c r="E1631" s="866">
        <v>2019.0</v>
      </c>
      <c r="F1631" s="865" t="s">
        <v>593</v>
      </c>
      <c r="G1631" s="865" t="s">
        <v>70</v>
      </c>
      <c r="H1631" s="867">
        <v>28762.3445</v>
      </c>
      <c r="I1631" s="867">
        <v>32136.76748</v>
      </c>
      <c r="J1631" s="868">
        <v>25286.57864</v>
      </c>
      <c r="K1631" s="50"/>
      <c r="L1631" s="869" t="s">
        <v>668</v>
      </c>
      <c r="M1631" s="865" t="s">
        <v>591</v>
      </c>
      <c r="N1631" s="865" t="s">
        <v>657</v>
      </c>
      <c r="O1631" s="866">
        <v>2004.0</v>
      </c>
      <c r="P1631" s="865" t="s">
        <v>593</v>
      </c>
      <c r="Q1631" s="865" t="s">
        <v>70</v>
      </c>
      <c r="R1631" s="867">
        <v>22326.44877</v>
      </c>
      <c r="S1631" s="867">
        <v>24208.9459</v>
      </c>
      <c r="T1631" s="868">
        <v>20316.53425</v>
      </c>
      <c r="AN1631" s="882"/>
      <c r="AO1631" s="882"/>
      <c r="AP1631" s="882"/>
      <c r="AY1631" s="882"/>
      <c r="AZ1631" s="882"/>
      <c r="BA1631" s="882"/>
      <c r="BJ1631" s="882"/>
      <c r="BK1631" s="882"/>
      <c r="BL1631" s="882"/>
      <c r="BU1631" s="882"/>
      <c r="BV1631" s="882"/>
      <c r="BW1631" s="882"/>
      <c r="CF1631" s="882"/>
      <c r="CG1631" s="882"/>
      <c r="CH1631" s="882"/>
      <c r="CI1631" s="530"/>
    </row>
    <row r="1632">
      <c r="A1632" s="857"/>
      <c r="B1632" s="865" t="s">
        <v>668</v>
      </c>
      <c r="C1632" s="865" t="s">
        <v>591</v>
      </c>
      <c r="D1632" s="865" t="s">
        <v>659</v>
      </c>
      <c r="E1632" s="866">
        <v>2019.0</v>
      </c>
      <c r="F1632" s="865" t="s">
        <v>593</v>
      </c>
      <c r="G1632" s="865" t="s">
        <v>70</v>
      </c>
      <c r="H1632" s="867">
        <v>68863.99592</v>
      </c>
      <c r="I1632" s="867">
        <v>76943.17912</v>
      </c>
      <c r="J1632" s="868">
        <v>60542.17341</v>
      </c>
      <c r="K1632" s="50"/>
      <c r="L1632" s="869" t="s">
        <v>668</v>
      </c>
      <c r="M1632" s="865" t="s">
        <v>591</v>
      </c>
      <c r="N1632" s="865" t="s">
        <v>659</v>
      </c>
      <c r="O1632" s="866">
        <v>2004.0</v>
      </c>
      <c r="P1632" s="865" t="s">
        <v>593</v>
      </c>
      <c r="Q1632" s="865" t="s">
        <v>70</v>
      </c>
      <c r="R1632" s="867">
        <v>53778.71437</v>
      </c>
      <c r="S1632" s="867">
        <v>58313.1693</v>
      </c>
      <c r="T1632" s="868">
        <v>48937.3435</v>
      </c>
      <c r="AN1632" s="882"/>
      <c r="AO1632" s="882"/>
      <c r="AP1632" s="882"/>
      <c r="AY1632" s="882"/>
      <c r="AZ1632" s="882"/>
      <c r="BA1632" s="882"/>
      <c r="BJ1632" s="882"/>
      <c r="BK1632" s="882"/>
      <c r="BL1632" s="882"/>
      <c r="BU1632" s="882"/>
      <c r="BV1632" s="882"/>
      <c r="BW1632" s="882"/>
      <c r="CF1632" s="882"/>
      <c r="CG1632" s="882"/>
      <c r="CH1632" s="882"/>
      <c r="CI1632" s="530"/>
    </row>
    <row r="1633">
      <c r="A1633" s="857"/>
      <c r="B1633" s="865" t="s">
        <v>668</v>
      </c>
      <c r="C1633" s="865" t="s">
        <v>591</v>
      </c>
      <c r="D1633" s="865" t="s">
        <v>661</v>
      </c>
      <c r="E1633" s="866">
        <v>2019.0</v>
      </c>
      <c r="F1633" s="865" t="s">
        <v>593</v>
      </c>
      <c r="G1633" s="865" t="s">
        <v>70</v>
      </c>
      <c r="H1633" s="867">
        <v>40098.95271</v>
      </c>
      <c r="I1633" s="867">
        <v>44806.65227</v>
      </c>
      <c r="J1633" s="868">
        <v>35255.47244</v>
      </c>
      <c r="K1633" s="50"/>
      <c r="L1633" s="869" t="s">
        <v>668</v>
      </c>
      <c r="M1633" s="865" t="s">
        <v>591</v>
      </c>
      <c r="N1633" s="865" t="s">
        <v>661</v>
      </c>
      <c r="O1633" s="866">
        <v>2004.0</v>
      </c>
      <c r="P1633" s="865" t="s">
        <v>593</v>
      </c>
      <c r="Q1633" s="865" t="s">
        <v>70</v>
      </c>
      <c r="R1633" s="867">
        <v>31450.83155</v>
      </c>
      <c r="S1633" s="867">
        <v>34105.0839</v>
      </c>
      <c r="T1633" s="868">
        <v>28620.80262</v>
      </c>
      <c r="AN1633" s="882"/>
      <c r="AO1633" s="882"/>
      <c r="AP1633" s="882"/>
      <c r="AY1633" s="882"/>
      <c r="AZ1633" s="882"/>
      <c r="BA1633" s="882"/>
      <c r="BJ1633" s="882"/>
      <c r="BK1633" s="882"/>
      <c r="BL1633" s="882"/>
      <c r="BU1633" s="882"/>
      <c r="BV1633" s="882"/>
      <c r="BW1633" s="882"/>
      <c r="CF1633" s="882"/>
      <c r="CG1633" s="882"/>
      <c r="CH1633" s="882"/>
      <c r="CI1633" s="530"/>
    </row>
    <row r="1634">
      <c r="A1634" s="857"/>
      <c r="B1634" s="865" t="s">
        <v>668</v>
      </c>
      <c r="C1634" s="865" t="s">
        <v>591</v>
      </c>
      <c r="D1634" s="865" t="s">
        <v>663</v>
      </c>
      <c r="E1634" s="866">
        <v>2019.0</v>
      </c>
      <c r="F1634" s="865" t="s">
        <v>593</v>
      </c>
      <c r="G1634" s="865" t="s">
        <v>70</v>
      </c>
      <c r="H1634" s="867">
        <v>20708.42446</v>
      </c>
      <c r="I1634" s="867">
        <v>23137.95462</v>
      </c>
      <c r="J1634" s="868">
        <v>18205.92906</v>
      </c>
      <c r="K1634" s="50"/>
      <c r="L1634" s="869" t="s">
        <v>668</v>
      </c>
      <c r="M1634" s="865" t="s">
        <v>591</v>
      </c>
      <c r="N1634" s="865" t="s">
        <v>663</v>
      </c>
      <c r="O1634" s="866">
        <v>2004.0</v>
      </c>
      <c r="P1634" s="865" t="s">
        <v>593</v>
      </c>
      <c r="Q1634" s="865" t="s">
        <v>70</v>
      </c>
      <c r="R1634" s="867">
        <v>17092.99837</v>
      </c>
      <c r="S1634" s="867">
        <v>18534.22715</v>
      </c>
      <c r="T1634" s="868">
        <v>15554.21959</v>
      </c>
      <c r="AN1634" s="882"/>
      <c r="AO1634" s="882"/>
      <c r="AP1634" s="882"/>
      <c r="AY1634" s="882"/>
      <c r="AZ1634" s="882"/>
      <c r="BA1634" s="882"/>
      <c r="BJ1634" s="882"/>
      <c r="BK1634" s="882"/>
      <c r="BL1634" s="882"/>
      <c r="BU1634" s="882"/>
      <c r="BV1634" s="882"/>
      <c r="BW1634" s="882"/>
      <c r="CF1634" s="882"/>
      <c r="CG1634" s="882"/>
      <c r="CH1634" s="882"/>
      <c r="CI1634" s="530"/>
    </row>
    <row r="1635">
      <c r="A1635" s="857"/>
      <c r="B1635" s="865" t="s">
        <v>668</v>
      </c>
      <c r="C1635" s="865" t="s">
        <v>591</v>
      </c>
      <c r="D1635" s="865" t="s">
        <v>665</v>
      </c>
      <c r="E1635" s="866">
        <v>2019.0</v>
      </c>
      <c r="F1635" s="865" t="s">
        <v>593</v>
      </c>
      <c r="G1635" s="865" t="s">
        <v>70</v>
      </c>
      <c r="H1635" s="867">
        <v>32491.11528</v>
      </c>
      <c r="I1635" s="867">
        <v>36305.63907</v>
      </c>
      <c r="J1635" s="868">
        <v>28566.57199</v>
      </c>
      <c r="K1635" s="50"/>
      <c r="L1635" s="869" t="s">
        <v>668</v>
      </c>
      <c r="M1635" s="865" t="s">
        <v>591</v>
      </c>
      <c r="N1635" s="865" t="s">
        <v>665</v>
      </c>
      <c r="O1635" s="866">
        <v>2004.0</v>
      </c>
      <c r="P1635" s="865" t="s">
        <v>593</v>
      </c>
      <c r="Q1635" s="865" t="s">
        <v>70</v>
      </c>
      <c r="R1635" s="867">
        <v>26842.70134</v>
      </c>
      <c r="S1635" s="867">
        <v>29108.05649</v>
      </c>
      <c r="T1635" s="868">
        <v>24427.32414</v>
      </c>
      <c r="AN1635" s="882"/>
      <c r="AO1635" s="882"/>
      <c r="AP1635" s="882"/>
      <c r="AY1635" s="882"/>
      <c r="AZ1635" s="882"/>
      <c r="BA1635" s="882"/>
      <c r="BJ1635" s="882"/>
      <c r="BK1635" s="882"/>
      <c r="BL1635" s="882"/>
      <c r="BU1635" s="882"/>
      <c r="BV1635" s="882"/>
      <c r="BW1635" s="882"/>
      <c r="CF1635" s="882"/>
      <c r="CG1635" s="882"/>
      <c r="CH1635" s="882"/>
      <c r="CI1635" s="530"/>
    </row>
    <row r="1636">
      <c r="A1636" s="857"/>
      <c r="B1636" s="865" t="s">
        <v>668</v>
      </c>
      <c r="C1636" s="865" t="s">
        <v>591</v>
      </c>
      <c r="D1636" s="865" t="s">
        <v>667</v>
      </c>
      <c r="E1636" s="866">
        <v>2019.0</v>
      </c>
      <c r="F1636" s="865" t="s">
        <v>593</v>
      </c>
      <c r="G1636" s="865" t="s">
        <v>70</v>
      </c>
      <c r="H1636" s="867">
        <v>19393.22697</v>
      </c>
      <c r="I1636" s="867">
        <v>21668.45702</v>
      </c>
      <c r="J1636" s="868">
        <v>17049.66571</v>
      </c>
      <c r="K1636" s="50"/>
      <c r="L1636" s="869" t="s">
        <v>668</v>
      </c>
      <c r="M1636" s="865" t="s">
        <v>591</v>
      </c>
      <c r="N1636" s="865" t="s">
        <v>667</v>
      </c>
      <c r="O1636" s="866">
        <v>2004.0</v>
      </c>
      <c r="P1636" s="865" t="s">
        <v>593</v>
      </c>
      <c r="Q1636" s="865" t="s">
        <v>70</v>
      </c>
      <c r="R1636" s="867">
        <v>14359.26723</v>
      </c>
      <c r="S1636" s="867">
        <v>15569.99625</v>
      </c>
      <c r="T1636" s="868">
        <v>13066.58965</v>
      </c>
      <c r="AN1636" s="882"/>
      <c r="AO1636" s="882"/>
      <c r="AP1636" s="882"/>
      <c r="AY1636" s="882"/>
      <c r="AZ1636" s="882"/>
      <c r="BA1636" s="882"/>
      <c r="BJ1636" s="882"/>
      <c r="BK1636" s="882"/>
      <c r="BL1636" s="882"/>
      <c r="BU1636" s="882"/>
      <c r="BV1636" s="882"/>
      <c r="BW1636" s="882"/>
      <c r="CF1636" s="882"/>
      <c r="CG1636" s="882"/>
      <c r="CH1636" s="882"/>
      <c r="CI1636" s="530"/>
    </row>
    <row r="1637">
      <c r="A1637" s="857"/>
      <c r="B1637" s="865" t="s">
        <v>668</v>
      </c>
      <c r="C1637" s="865" t="s">
        <v>591</v>
      </c>
      <c r="D1637" s="865" t="s">
        <v>669</v>
      </c>
      <c r="E1637" s="866">
        <v>2019.0</v>
      </c>
      <c r="F1637" s="865" t="s">
        <v>593</v>
      </c>
      <c r="G1637" s="865" t="s">
        <v>70</v>
      </c>
      <c r="H1637" s="867">
        <v>11784.87752</v>
      </c>
      <c r="I1637" s="867">
        <v>13167.48948</v>
      </c>
      <c r="J1637" s="868">
        <v>10360.74205</v>
      </c>
      <c r="K1637" s="50"/>
      <c r="L1637" s="869" t="s">
        <v>668</v>
      </c>
      <c r="M1637" s="865" t="s">
        <v>591</v>
      </c>
      <c r="N1637" s="865" t="s">
        <v>669</v>
      </c>
      <c r="O1637" s="866">
        <v>2004.0</v>
      </c>
      <c r="P1637" s="865" t="s">
        <v>593</v>
      </c>
      <c r="Q1637" s="865" t="s">
        <v>70</v>
      </c>
      <c r="R1637" s="867">
        <v>9750.926907</v>
      </c>
      <c r="S1637" s="867">
        <v>10573.09492</v>
      </c>
      <c r="T1637" s="868">
        <v>8873.110209</v>
      </c>
      <c r="AN1637" s="882"/>
      <c r="AO1637" s="882"/>
      <c r="AP1637" s="882"/>
      <c r="AY1637" s="882"/>
      <c r="AZ1637" s="882"/>
      <c r="BA1637" s="882"/>
      <c r="BJ1637" s="882"/>
      <c r="BK1637" s="882"/>
      <c r="BL1637" s="882"/>
      <c r="BU1637" s="882"/>
      <c r="BV1637" s="882"/>
      <c r="BW1637" s="882"/>
      <c r="CF1637" s="882"/>
      <c r="CG1637" s="882"/>
      <c r="CH1637" s="882"/>
      <c r="CI1637" s="530"/>
    </row>
    <row r="1638">
      <c r="A1638" s="857"/>
      <c r="B1638" s="865" t="s">
        <v>668</v>
      </c>
      <c r="C1638" s="865" t="s">
        <v>591</v>
      </c>
      <c r="D1638" s="865" t="s">
        <v>671</v>
      </c>
      <c r="E1638" s="866">
        <v>2019.0</v>
      </c>
      <c r="F1638" s="865" t="s">
        <v>593</v>
      </c>
      <c r="G1638" s="865" t="s">
        <v>70</v>
      </c>
      <c r="H1638" s="867">
        <v>7607.837428</v>
      </c>
      <c r="I1638" s="867">
        <v>8501.013197</v>
      </c>
      <c r="J1638" s="868">
        <v>6688.900449</v>
      </c>
      <c r="K1638" s="50"/>
      <c r="L1638" s="869" t="s">
        <v>668</v>
      </c>
      <c r="M1638" s="865" t="s">
        <v>591</v>
      </c>
      <c r="N1638" s="865" t="s">
        <v>671</v>
      </c>
      <c r="O1638" s="866">
        <v>2004.0</v>
      </c>
      <c r="P1638" s="865" t="s">
        <v>593</v>
      </c>
      <c r="Q1638" s="865" t="s">
        <v>70</v>
      </c>
      <c r="R1638" s="867">
        <v>4608.130207</v>
      </c>
      <c r="S1638" s="867">
        <v>4997.02741</v>
      </c>
      <c r="T1638" s="868">
        <v>4193.478474</v>
      </c>
      <c r="AN1638" s="882"/>
      <c r="AO1638" s="882"/>
      <c r="AP1638" s="882"/>
      <c r="AY1638" s="882"/>
      <c r="AZ1638" s="882"/>
      <c r="BA1638" s="882"/>
      <c r="BJ1638" s="882"/>
      <c r="BK1638" s="882"/>
      <c r="BL1638" s="882"/>
      <c r="BU1638" s="882"/>
      <c r="BV1638" s="882"/>
      <c r="BW1638" s="882"/>
      <c r="CF1638" s="882"/>
      <c r="CG1638" s="882"/>
      <c r="CH1638" s="882"/>
      <c r="CI1638" s="530"/>
    </row>
    <row r="1639">
      <c r="A1639" s="857"/>
      <c r="B1639" s="865" t="s">
        <v>668</v>
      </c>
      <c r="C1639" s="865" t="s">
        <v>591</v>
      </c>
      <c r="D1639" s="865" t="s">
        <v>673</v>
      </c>
      <c r="E1639" s="866">
        <v>2019.0</v>
      </c>
      <c r="F1639" s="865" t="s">
        <v>593</v>
      </c>
      <c r="G1639" s="865" t="s">
        <v>70</v>
      </c>
      <c r="H1639" s="867">
        <v>5340.606989</v>
      </c>
      <c r="I1639" s="867">
        <v>5967.171591</v>
      </c>
      <c r="J1639" s="868">
        <v>4695.224988</v>
      </c>
      <c r="K1639" s="50"/>
      <c r="L1639" s="869" t="s">
        <v>668</v>
      </c>
      <c r="M1639" s="865" t="s">
        <v>591</v>
      </c>
      <c r="N1639" s="865" t="s">
        <v>673</v>
      </c>
      <c r="O1639" s="866">
        <v>2004.0</v>
      </c>
      <c r="P1639" s="865" t="s">
        <v>593</v>
      </c>
      <c r="Q1639" s="865" t="s">
        <v>70</v>
      </c>
      <c r="R1639" s="867">
        <v>3632.46411</v>
      </c>
      <c r="S1639" s="867">
        <v>3938.742253</v>
      </c>
      <c r="T1639" s="868">
        <v>3305.455439</v>
      </c>
      <c r="AN1639" s="882"/>
      <c r="AO1639" s="882"/>
      <c r="AP1639" s="882"/>
      <c r="AY1639" s="882"/>
      <c r="AZ1639" s="882"/>
      <c r="BA1639" s="882"/>
      <c r="BJ1639" s="882"/>
      <c r="BK1639" s="882"/>
      <c r="BL1639" s="882"/>
      <c r="BU1639" s="882"/>
      <c r="BV1639" s="882"/>
      <c r="BW1639" s="882"/>
      <c r="CF1639" s="882"/>
      <c r="CG1639" s="882"/>
      <c r="CH1639" s="882"/>
      <c r="CI1639" s="530"/>
    </row>
    <row r="1640">
      <c r="A1640" s="857"/>
      <c r="B1640" s="865" t="s">
        <v>668</v>
      </c>
      <c r="C1640" s="865" t="s">
        <v>591</v>
      </c>
      <c r="D1640" s="865" t="s">
        <v>674</v>
      </c>
      <c r="E1640" s="866">
        <v>2019.0</v>
      </c>
      <c r="F1640" s="865" t="s">
        <v>593</v>
      </c>
      <c r="G1640" s="865" t="s">
        <v>70</v>
      </c>
      <c r="H1640" s="867">
        <v>1785.085213</v>
      </c>
      <c r="I1640" s="867">
        <v>1994.512944</v>
      </c>
      <c r="J1640" s="868">
        <v>1569.367811</v>
      </c>
      <c r="K1640" s="50"/>
      <c r="L1640" s="869" t="s">
        <v>668</v>
      </c>
      <c r="M1640" s="865" t="s">
        <v>591</v>
      </c>
      <c r="N1640" s="865" t="s">
        <v>674</v>
      </c>
      <c r="O1640" s="866">
        <v>2004.0</v>
      </c>
      <c r="P1640" s="865" t="s">
        <v>593</v>
      </c>
      <c r="Q1640" s="865" t="s">
        <v>70</v>
      </c>
      <c r="R1640" s="867">
        <v>847.5648616</v>
      </c>
      <c r="S1640" s="867">
        <v>919.0289103</v>
      </c>
      <c r="T1640" s="868">
        <v>771.2637473</v>
      </c>
      <c r="AN1640" s="882"/>
      <c r="AO1640" s="882"/>
      <c r="AP1640" s="882"/>
      <c r="AY1640" s="882"/>
      <c r="AZ1640" s="882"/>
      <c r="BA1640" s="882"/>
      <c r="BJ1640" s="882"/>
      <c r="BK1640" s="882"/>
      <c r="BL1640" s="882"/>
      <c r="BU1640" s="882"/>
      <c r="BV1640" s="882"/>
      <c r="BW1640" s="882"/>
      <c r="CF1640" s="882"/>
      <c r="CG1640" s="882"/>
      <c r="CH1640" s="882"/>
      <c r="CI1640" s="530"/>
    </row>
    <row r="1641">
      <c r="A1641" s="857"/>
      <c r="B1641" s="865" t="s">
        <v>668</v>
      </c>
      <c r="C1641" s="865" t="s">
        <v>591</v>
      </c>
      <c r="D1641" s="865" t="s">
        <v>676</v>
      </c>
      <c r="E1641" s="866">
        <v>2019.0</v>
      </c>
      <c r="F1641" s="865" t="s">
        <v>593</v>
      </c>
      <c r="G1641" s="865" t="s">
        <v>70</v>
      </c>
      <c r="H1641" s="867">
        <v>482.6572445</v>
      </c>
      <c r="I1641" s="867">
        <v>539.2830073</v>
      </c>
      <c r="J1641" s="868">
        <v>424.3308597</v>
      </c>
      <c r="K1641" s="50"/>
      <c r="L1641" s="869" t="s">
        <v>668</v>
      </c>
      <c r="M1641" s="865" t="s">
        <v>591</v>
      </c>
      <c r="N1641" s="865" t="s">
        <v>676</v>
      </c>
      <c r="O1641" s="866">
        <v>2004.0</v>
      </c>
      <c r="P1641" s="865" t="s">
        <v>593</v>
      </c>
      <c r="Q1641" s="865" t="s">
        <v>70</v>
      </c>
      <c r="R1641" s="867">
        <v>128.3113509</v>
      </c>
      <c r="S1641" s="867">
        <v>139.1301673</v>
      </c>
      <c r="T1641" s="868">
        <v>116.7602596</v>
      </c>
      <c r="AN1641" s="882"/>
      <c r="AO1641" s="882"/>
      <c r="AP1641" s="882"/>
      <c r="AY1641" s="882"/>
      <c r="AZ1641" s="882"/>
      <c r="BA1641" s="882"/>
      <c r="BJ1641" s="882"/>
      <c r="BK1641" s="882"/>
      <c r="BL1641" s="882"/>
      <c r="BU1641" s="882"/>
      <c r="BV1641" s="882"/>
      <c r="BW1641" s="882"/>
      <c r="CF1641" s="882"/>
      <c r="CG1641" s="882"/>
      <c r="CH1641" s="882"/>
      <c r="CI1641" s="530"/>
    </row>
    <row r="1642">
      <c r="A1642" s="857"/>
      <c r="B1642" s="865" t="s">
        <v>668</v>
      </c>
      <c r="C1642" s="865" t="s">
        <v>591</v>
      </c>
      <c r="D1642" s="865" t="s">
        <v>678</v>
      </c>
      <c r="E1642" s="866">
        <v>2019.0</v>
      </c>
      <c r="F1642" s="865" t="s">
        <v>593</v>
      </c>
      <c r="G1642" s="865" t="s">
        <v>70</v>
      </c>
      <c r="H1642" s="867">
        <v>2403123.925</v>
      </c>
      <c r="I1642" s="867">
        <v>2685060.49</v>
      </c>
      <c r="J1642" s="868">
        <v>2112720.057</v>
      </c>
      <c r="K1642" s="50"/>
      <c r="L1642" s="869" t="s">
        <v>668</v>
      </c>
      <c r="M1642" s="865" t="s">
        <v>591</v>
      </c>
      <c r="N1642" s="865" t="s">
        <v>678</v>
      </c>
      <c r="O1642" s="866">
        <v>2004.0</v>
      </c>
      <c r="P1642" s="865" t="s">
        <v>593</v>
      </c>
      <c r="Q1642" s="865" t="s">
        <v>70</v>
      </c>
      <c r="R1642" s="867">
        <v>1958787.431</v>
      </c>
      <c r="S1642" s="867">
        <v>2123946.331</v>
      </c>
      <c r="T1642" s="868">
        <v>1782449.701</v>
      </c>
      <c r="AN1642" s="882"/>
      <c r="AO1642" s="882"/>
      <c r="AP1642" s="882"/>
      <c r="AY1642" s="882"/>
      <c r="AZ1642" s="882"/>
      <c r="BA1642" s="882"/>
      <c r="BJ1642" s="882"/>
      <c r="BK1642" s="882"/>
      <c r="BL1642" s="882"/>
      <c r="BU1642" s="882"/>
      <c r="BV1642" s="882"/>
      <c r="BW1642" s="882"/>
      <c r="CF1642" s="882"/>
      <c r="CG1642" s="882"/>
      <c r="CH1642" s="882"/>
      <c r="CI1642" s="530"/>
    </row>
    <row r="1643">
      <c r="A1643" s="857"/>
      <c r="B1643" s="865" t="s">
        <v>668</v>
      </c>
      <c r="C1643" s="865" t="s">
        <v>591</v>
      </c>
      <c r="D1643" s="865" t="s">
        <v>680</v>
      </c>
      <c r="E1643" s="866">
        <v>2019.0</v>
      </c>
      <c r="F1643" s="865" t="s">
        <v>593</v>
      </c>
      <c r="G1643" s="865" t="s">
        <v>70</v>
      </c>
      <c r="H1643" s="867">
        <v>62797.92996</v>
      </c>
      <c r="I1643" s="867">
        <v>70176.08068</v>
      </c>
      <c r="J1643" s="868">
        <v>56867.35882</v>
      </c>
      <c r="K1643" s="50"/>
      <c r="L1643" s="869" t="s">
        <v>668</v>
      </c>
      <c r="M1643" s="865" t="s">
        <v>591</v>
      </c>
      <c r="N1643" s="865" t="s">
        <v>680</v>
      </c>
      <c r="O1643" s="866">
        <v>2004.0</v>
      </c>
      <c r="P1643" s="865" t="s">
        <v>593</v>
      </c>
      <c r="Q1643" s="865" t="s">
        <v>70</v>
      </c>
      <c r="R1643" s="867">
        <v>57264.28067</v>
      </c>
      <c r="S1643" s="867">
        <v>60938.89989</v>
      </c>
      <c r="T1643" s="868">
        <v>53543.70559</v>
      </c>
      <c r="AN1643" s="882"/>
      <c r="AO1643" s="882"/>
      <c r="AP1643" s="882"/>
      <c r="AY1643" s="882"/>
      <c r="AZ1643" s="882"/>
      <c r="BA1643" s="882"/>
      <c r="BJ1643" s="882"/>
      <c r="BK1643" s="882"/>
      <c r="BL1643" s="882"/>
      <c r="BU1643" s="882"/>
      <c r="BV1643" s="882"/>
      <c r="BW1643" s="882"/>
      <c r="CF1643" s="882"/>
      <c r="CG1643" s="882"/>
      <c r="CH1643" s="882"/>
      <c r="CI1643" s="530"/>
    </row>
    <row r="1644">
      <c r="A1644" s="857"/>
      <c r="B1644" s="865" t="s">
        <v>668</v>
      </c>
      <c r="C1644" s="865" t="s">
        <v>591</v>
      </c>
      <c r="D1644" s="865" t="s">
        <v>682</v>
      </c>
      <c r="E1644" s="866">
        <v>2019.0</v>
      </c>
      <c r="F1644" s="865" t="s">
        <v>593</v>
      </c>
      <c r="G1644" s="865" t="s">
        <v>70</v>
      </c>
      <c r="H1644" s="867">
        <v>1189.629007</v>
      </c>
      <c r="I1644" s="867">
        <v>1329.197305</v>
      </c>
      <c r="J1644" s="868">
        <v>1045.869103</v>
      </c>
      <c r="K1644" s="50"/>
      <c r="L1644" s="869" t="s">
        <v>668</v>
      </c>
      <c r="M1644" s="865" t="s">
        <v>591</v>
      </c>
      <c r="N1644" s="865" t="s">
        <v>682</v>
      </c>
      <c r="O1644" s="866">
        <v>2004.0</v>
      </c>
      <c r="P1644" s="865" t="s">
        <v>593</v>
      </c>
      <c r="Q1644" s="865" t="s">
        <v>70</v>
      </c>
      <c r="R1644" s="867">
        <v>1078.645427</v>
      </c>
      <c r="S1644" s="867">
        <v>1169.593475</v>
      </c>
      <c r="T1644" s="868">
        <v>981.5415335</v>
      </c>
      <c r="AN1644" s="882"/>
      <c r="AO1644" s="882"/>
      <c r="AP1644" s="882"/>
      <c r="AY1644" s="882"/>
      <c r="AZ1644" s="882"/>
      <c r="BA1644" s="882"/>
      <c r="BJ1644" s="882"/>
      <c r="BK1644" s="882"/>
      <c r="BL1644" s="882"/>
      <c r="BU1644" s="882"/>
      <c r="BV1644" s="882"/>
      <c r="BW1644" s="882"/>
      <c r="CF1644" s="882"/>
      <c r="CG1644" s="882"/>
      <c r="CH1644" s="882"/>
      <c r="CI1644" s="530"/>
    </row>
    <row r="1645">
      <c r="A1645" s="857"/>
      <c r="B1645" s="865" t="s">
        <v>668</v>
      </c>
      <c r="C1645" s="865" t="s">
        <v>591</v>
      </c>
      <c r="D1645" s="865" t="s">
        <v>684</v>
      </c>
      <c r="E1645" s="866">
        <v>2019.0</v>
      </c>
      <c r="F1645" s="865" t="s">
        <v>593</v>
      </c>
      <c r="G1645" s="865" t="s">
        <v>70</v>
      </c>
      <c r="H1645" s="867">
        <v>3538.392425</v>
      </c>
      <c r="I1645" s="867">
        <v>3953.519666</v>
      </c>
      <c r="J1645" s="868">
        <v>3110.797812</v>
      </c>
      <c r="K1645" s="50"/>
      <c r="L1645" s="869" t="s">
        <v>668</v>
      </c>
      <c r="M1645" s="865" t="s">
        <v>591</v>
      </c>
      <c r="N1645" s="865" t="s">
        <v>684</v>
      </c>
      <c r="O1645" s="866">
        <v>2004.0</v>
      </c>
      <c r="P1645" s="865" t="s">
        <v>593</v>
      </c>
      <c r="Q1645" s="865" t="s">
        <v>70</v>
      </c>
      <c r="R1645" s="867">
        <v>3199.234749</v>
      </c>
      <c r="S1645" s="867">
        <v>3468.984332</v>
      </c>
      <c r="T1645" s="868">
        <v>2911.227084</v>
      </c>
      <c r="AN1645" s="882"/>
      <c r="AO1645" s="882"/>
      <c r="AP1645" s="882"/>
      <c r="AY1645" s="882"/>
      <c r="AZ1645" s="882"/>
      <c r="BA1645" s="882"/>
      <c r="BJ1645" s="882"/>
      <c r="BK1645" s="882"/>
      <c r="BL1645" s="882"/>
      <c r="BU1645" s="882"/>
      <c r="BV1645" s="882"/>
      <c r="BW1645" s="882"/>
      <c r="CF1645" s="882"/>
      <c r="CG1645" s="882"/>
      <c r="CH1645" s="882"/>
      <c r="CI1645" s="530"/>
    </row>
    <row r="1646">
      <c r="A1646" s="857"/>
      <c r="B1646" s="865" t="s">
        <v>668</v>
      </c>
      <c r="C1646" s="865" t="s">
        <v>591</v>
      </c>
      <c r="D1646" s="865" t="s">
        <v>686</v>
      </c>
      <c r="E1646" s="866">
        <v>2019.0</v>
      </c>
      <c r="F1646" s="865" t="s">
        <v>593</v>
      </c>
      <c r="G1646" s="865" t="s">
        <v>70</v>
      </c>
      <c r="H1646" s="867">
        <v>4728.021432</v>
      </c>
      <c r="I1646" s="867">
        <v>5282.716971</v>
      </c>
      <c r="J1646" s="868">
        <v>4156.666915</v>
      </c>
      <c r="K1646" s="50"/>
      <c r="L1646" s="869" t="s">
        <v>668</v>
      </c>
      <c r="M1646" s="865" t="s">
        <v>591</v>
      </c>
      <c r="N1646" s="865" t="s">
        <v>686</v>
      </c>
      <c r="O1646" s="866">
        <v>2004.0</v>
      </c>
      <c r="P1646" s="865" t="s">
        <v>593</v>
      </c>
      <c r="Q1646" s="865" t="s">
        <v>70</v>
      </c>
      <c r="R1646" s="867">
        <v>4277.880176</v>
      </c>
      <c r="S1646" s="867">
        <v>4638.577806</v>
      </c>
      <c r="T1646" s="868">
        <v>3892.768618</v>
      </c>
      <c r="AN1646" s="882"/>
      <c r="AO1646" s="882"/>
      <c r="AP1646" s="882"/>
      <c r="AY1646" s="882"/>
      <c r="AZ1646" s="882"/>
      <c r="BA1646" s="882"/>
      <c r="BJ1646" s="882"/>
      <c r="BK1646" s="882"/>
      <c r="BL1646" s="882"/>
      <c r="BU1646" s="882"/>
      <c r="BV1646" s="882"/>
      <c r="BW1646" s="882"/>
      <c r="CF1646" s="882"/>
      <c r="CG1646" s="882"/>
      <c r="CH1646" s="882"/>
      <c r="CI1646" s="530"/>
    </row>
    <row r="1647">
      <c r="A1647" s="857"/>
      <c r="B1647" s="865" t="s">
        <v>668</v>
      </c>
      <c r="C1647" s="865" t="s">
        <v>591</v>
      </c>
      <c r="D1647" s="865" t="s">
        <v>688</v>
      </c>
      <c r="E1647" s="866">
        <v>2019.0</v>
      </c>
      <c r="F1647" s="865" t="s">
        <v>593</v>
      </c>
      <c r="G1647" s="865" t="s">
        <v>70</v>
      </c>
      <c r="H1647" s="867">
        <v>56125.75541</v>
      </c>
      <c r="I1647" s="867">
        <v>62710.47728</v>
      </c>
      <c r="J1647" s="868">
        <v>49343.27686</v>
      </c>
      <c r="K1647" s="50"/>
      <c r="L1647" s="869" t="s">
        <v>668</v>
      </c>
      <c r="M1647" s="865" t="s">
        <v>591</v>
      </c>
      <c r="N1647" s="865" t="s">
        <v>688</v>
      </c>
      <c r="O1647" s="866">
        <v>2004.0</v>
      </c>
      <c r="P1647" s="865" t="s">
        <v>593</v>
      </c>
      <c r="Q1647" s="865" t="s">
        <v>70</v>
      </c>
      <c r="R1647" s="867">
        <v>50308.37445</v>
      </c>
      <c r="S1647" s="867">
        <v>54550.22104</v>
      </c>
      <c r="T1647" s="868">
        <v>45779.41719</v>
      </c>
      <c r="AN1647" s="882"/>
      <c r="AO1647" s="882"/>
      <c r="AP1647" s="882"/>
      <c r="AY1647" s="882"/>
      <c r="AZ1647" s="882"/>
      <c r="BA1647" s="882"/>
      <c r="BJ1647" s="882"/>
      <c r="BK1647" s="882"/>
      <c r="BL1647" s="882"/>
      <c r="BU1647" s="882"/>
      <c r="BV1647" s="882"/>
      <c r="BW1647" s="882"/>
      <c r="CF1647" s="882"/>
      <c r="CG1647" s="882"/>
      <c r="CH1647" s="882"/>
      <c r="CI1647" s="530"/>
    </row>
    <row r="1648">
      <c r="A1648" s="857"/>
      <c r="B1648" s="865" t="s">
        <v>668</v>
      </c>
      <c r="C1648" s="865" t="s">
        <v>591</v>
      </c>
      <c r="D1648" s="865" t="s">
        <v>689</v>
      </c>
      <c r="E1648" s="866">
        <v>2019.0</v>
      </c>
      <c r="F1648" s="865" t="s">
        <v>593</v>
      </c>
      <c r="G1648" s="865" t="s">
        <v>70</v>
      </c>
      <c r="H1648" s="867">
        <v>296760.796</v>
      </c>
      <c r="I1648" s="867">
        <v>331577.0276</v>
      </c>
      <c r="J1648" s="868">
        <v>260898.9404</v>
      </c>
      <c r="K1648" s="50"/>
      <c r="L1648" s="869" t="s">
        <v>668</v>
      </c>
      <c r="M1648" s="865" t="s">
        <v>591</v>
      </c>
      <c r="N1648" s="865" t="s">
        <v>689</v>
      </c>
      <c r="O1648" s="866">
        <v>2004.0</v>
      </c>
      <c r="P1648" s="865" t="s">
        <v>593</v>
      </c>
      <c r="Q1648" s="865" t="s">
        <v>70</v>
      </c>
      <c r="R1648" s="867">
        <v>263232.3641</v>
      </c>
      <c r="S1648" s="867">
        <v>285427.3032</v>
      </c>
      <c r="T1648" s="868">
        <v>239535.1539</v>
      </c>
      <c r="AN1648" s="882"/>
      <c r="AO1648" s="882"/>
      <c r="AP1648" s="882"/>
      <c r="AY1648" s="882"/>
      <c r="AZ1648" s="882"/>
      <c r="BA1648" s="882"/>
      <c r="BJ1648" s="882"/>
      <c r="BK1648" s="882"/>
      <c r="BL1648" s="882"/>
      <c r="BU1648" s="882"/>
      <c r="BV1648" s="882"/>
      <c r="BW1648" s="882"/>
      <c r="CF1648" s="882"/>
      <c r="CG1648" s="882"/>
      <c r="CH1648" s="882"/>
      <c r="CI1648" s="530"/>
    </row>
    <row r="1649">
      <c r="A1649" s="857"/>
      <c r="B1649" s="865" t="s">
        <v>670</v>
      </c>
      <c r="C1649" s="865" t="s">
        <v>591</v>
      </c>
      <c r="D1649" s="865" t="s">
        <v>592</v>
      </c>
      <c r="E1649" s="866">
        <v>2019.0</v>
      </c>
      <c r="F1649" s="865" t="s">
        <v>593</v>
      </c>
      <c r="G1649" s="865" t="s">
        <v>70</v>
      </c>
      <c r="H1649" s="867">
        <v>600248.4808</v>
      </c>
      <c r="I1649" s="867">
        <v>675681.6744</v>
      </c>
      <c r="J1649" s="868">
        <v>525159.6729</v>
      </c>
      <c r="K1649" s="50"/>
      <c r="L1649" s="869" t="s">
        <v>670</v>
      </c>
      <c r="M1649" s="865" t="s">
        <v>591</v>
      </c>
      <c r="N1649" s="865" t="s">
        <v>592</v>
      </c>
      <c r="O1649" s="866">
        <v>2004.0</v>
      </c>
      <c r="P1649" s="865" t="s">
        <v>593</v>
      </c>
      <c r="Q1649" s="865" t="s">
        <v>70</v>
      </c>
      <c r="R1649" s="867">
        <v>708684.6516</v>
      </c>
      <c r="S1649" s="867">
        <v>769941.7017</v>
      </c>
      <c r="T1649" s="868">
        <v>647359.3342</v>
      </c>
      <c r="AN1649" s="882"/>
      <c r="AO1649" s="882"/>
      <c r="AP1649" s="882"/>
      <c r="AY1649" s="882"/>
      <c r="AZ1649" s="882"/>
      <c r="BA1649" s="882"/>
      <c r="BJ1649" s="882"/>
      <c r="BK1649" s="882"/>
      <c r="BL1649" s="882"/>
      <c r="BU1649" s="882"/>
      <c r="BV1649" s="882"/>
      <c r="BW1649" s="882"/>
      <c r="CF1649" s="882"/>
      <c r="CG1649" s="882"/>
      <c r="CH1649" s="882"/>
      <c r="CI1649" s="530"/>
    </row>
    <row r="1650">
      <c r="A1650" s="857"/>
      <c r="B1650" s="865" t="s">
        <v>670</v>
      </c>
      <c r="C1650" s="865" t="s">
        <v>591</v>
      </c>
      <c r="D1650" s="865" t="s">
        <v>601</v>
      </c>
      <c r="E1650" s="866">
        <v>2019.0</v>
      </c>
      <c r="F1650" s="865" t="s">
        <v>593</v>
      </c>
      <c r="G1650" s="865" t="s">
        <v>70</v>
      </c>
      <c r="H1650" s="867">
        <v>1.251912919E7</v>
      </c>
      <c r="I1650" s="867">
        <v>1.409240747E7</v>
      </c>
      <c r="J1650" s="868">
        <v>1.095303362E7</v>
      </c>
      <c r="K1650" s="50"/>
      <c r="L1650" s="869" t="s">
        <v>670</v>
      </c>
      <c r="M1650" s="865" t="s">
        <v>591</v>
      </c>
      <c r="N1650" s="865" t="s">
        <v>601</v>
      </c>
      <c r="O1650" s="866">
        <v>2004.0</v>
      </c>
      <c r="P1650" s="865" t="s">
        <v>593</v>
      </c>
      <c r="Q1650" s="865" t="s">
        <v>70</v>
      </c>
      <c r="R1650" s="867">
        <v>1.279444843E7</v>
      </c>
      <c r="S1650" s="867">
        <v>1.390037074E7</v>
      </c>
      <c r="T1650" s="868">
        <v>1.168729363E7</v>
      </c>
      <c r="AN1650" s="882"/>
      <c r="AO1650" s="882"/>
      <c r="AP1650" s="882"/>
      <c r="AY1650" s="882"/>
      <c r="AZ1650" s="882"/>
      <c r="BA1650" s="882"/>
      <c r="BJ1650" s="882"/>
      <c r="BK1650" s="882"/>
      <c r="BL1650" s="882"/>
      <c r="BU1650" s="882"/>
      <c r="BV1650" s="882"/>
      <c r="BW1650" s="882"/>
      <c r="CF1650" s="882"/>
      <c r="CG1650" s="882"/>
      <c r="CH1650" s="882"/>
      <c r="CI1650" s="530"/>
    </row>
    <row r="1651">
      <c r="A1651" s="857"/>
      <c r="B1651" s="865" t="s">
        <v>670</v>
      </c>
      <c r="C1651" s="865" t="s">
        <v>591</v>
      </c>
      <c r="D1651" s="865" t="s">
        <v>606</v>
      </c>
      <c r="E1651" s="866">
        <v>2019.0</v>
      </c>
      <c r="F1651" s="865" t="s">
        <v>593</v>
      </c>
      <c r="G1651" s="865" t="s">
        <v>70</v>
      </c>
      <c r="H1651" s="867">
        <v>9219483.894</v>
      </c>
      <c r="I1651" s="867">
        <v>1.037809593E7</v>
      </c>
      <c r="J1651" s="868">
        <v>8066161.432</v>
      </c>
      <c r="K1651" s="50"/>
      <c r="L1651" s="869" t="s">
        <v>670</v>
      </c>
      <c r="M1651" s="865" t="s">
        <v>591</v>
      </c>
      <c r="N1651" s="865" t="s">
        <v>606</v>
      </c>
      <c r="O1651" s="866">
        <v>2004.0</v>
      </c>
      <c r="P1651" s="865" t="s">
        <v>593</v>
      </c>
      <c r="Q1651" s="865" t="s">
        <v>70</v>
      </c>
      <c r="R1651" s="867">
        <v>1.004899899E7</v>
      </c>
      <c r="S1651" s="867">
        <v>1.091761105E7</v>
      </c>
      <c r="T1651" s="868">
        <v>9179418.912</v>
      </c>
      <c r="AN1651" s="882"/>
      <c r="AO1651" s="882"/>
      <c r="AP1651" s="882"/>
      <c r="AY1651" s="882"/>
      <c r="AZ1651" s="882"/>
      <c r="BA1651" s="882"/>
      <c r="BJ1651" s="882"/>
      <c r="BK1651" s="882"/>
      <c r="BL1651" s="882"/>
      <c r="BU1651" s="882"/>
      <c r="BV1651" s="882"/>
      <c r="BW1651" s="882"/>
      <c r="CF1651" s="882"/>
      <c r="CG1651" s="882"/>
      <c r="CH1651" s="882"/>
      <c r="CI1651" s="530"/>
    </row>
    <row r="1652">
      <c r="A1652" s="857"/>
      <c r="B1652" s="865" t="s">
        <v>670</v>
      </c>
      <c r="C1652" s="865" t="s">
        <v>591</v>
      </c>
      <c r="D1652" s="865" t="s">
        <v>608</v>
      </c>
      <c r="E1652" s="866">
        <v>2019.0</v>
      </c>
      <c r="F1652" s="865" t="s">
        <v>593</v>
      </c>
      <c r="G1652" s="865" t="s">
        <v>70</v>
      </c>
      <c r="H1652" s="867">
        <v>2395719.2</v>
      </c>
      <c r="I1652" s="867">
        <v>2696789.1</v>
      </c>
      <c r="J1652" s="868">
        <v>2096023.816</v>
      </c>
      <c r="K1652" s="50"/>
      <c r="L1652" s="869" t="s">
        <v>670</v>
      </c>
      <c r="M1652" s="865" t="s">
        <v>591</v>
      </c>
      <c r="N1652" s="865" t="s">
        <v>608</v>
      </c>
      <c r="O1652" s="866">
        <v>2004.0</v>
      </c>
      <c r="P1652" s="865" t="s">
        <v>593</v>
      </c>
      <c r="Q1652" s="865" t="s">
        <v>70</v>
      </c>
      <c r="R1652" s="867">
        <v>2811468.609</v>
      </c>
      <c r="S1652" s="867">
        <v>3054485.405</v>
      </c>
      <c r="T1652" s="868">
        <v>2568180.985</v>
      </c>
      <c r="AN1652" s="882"/>
      <c r="AO1652" s="882"/>
      <c r="AP1652" s="882"/>
      <c r="AY1652" s="882"/>
      <c r="AZ1652" s="882"/>
      <c r="BA1652" s="882"/>
      <c r="BJ1652" s="882"/>
      <c r="BK1652" s="882"/>
      <c r="BL1652" s="882"/>
      <c r="BU1652" s="882"/>
      <c r="BV1652" s="882"/>
      <c r="BW1652" s="882"/>
      <c r="CF1652" s="882"/>
      <c r="CG1652" s="882"/>
      <c r="CH1652" s="882"/>
      <c r="CI1652" s="530"/>
    </row>
    <row r="1653">
      <c r="A1653" s="857"/>
      <c r="B1653" s="865" t="s">
        <v>670</v>
      </c>
      <c r="C1653" s="865" t="s">
        <v>591</v>
      </c>
      <c r="D1653" s="865" t="s">
        <v>610</v>
      </c>
      <c r="E1653" s="866">
        <v>2019.0</v>
      </c>
      <c r="F1653" s="865" t="s">
        <v>593</v>
      </c>
      <c r="G1653" s="865" t="s">
        <v>70</v>
      </c>
      <c r="H1653" s="867">
        <v>3198800.258</v>
      </c>
      <c r="I1653" s="867">
        <v>3600793.31</v>
      </c>
      <c r="J1653" s="868">
        <v>2798642.48</v>
      </c>
      <c r="K1653" s="50"/>
      <c r="L1653" s="869" t="s">
        <v>670</v>
      </c>
      <c r="M1653" s="865" t="s">
        <v>591</v>
      </c>
      <c r="N1653" s="865" t="s">
        <v>610</v>
      </c>
      <c r="O1653" s="866">
        <v>2004.0</v>
      </c>
      <c r="P1653" s="865" t="s">
        <v>593</v>
      </c>
      <c r="Q1653" s="865" t="s">
        <v>70</v>
      </c>
      <c r="R1653" s="867">
        <v>3164894.878</v>
      </c>
      <c r="S1653" s="867">
        <v>3438461.017</v>
      </c>
      <c r="T1653" s="868">
        <v>2891023.866</v>
      </c>
      <c r="AN1653" s="882"/>
      <c r="AO1653" s="882"/>
      <c r="AP1653" s="882"/>
      <c r="AY1653" s="882"/>
      <c r="AZ1653" s="882"/>
      <c r="BA1653" s="882"/>
      <c r="BJ1653" s="882"/>
      <c r="BK1653" s="882"/>
      <c r="BL1653" s="882"/>
      <c r="BU1653" s="882"/>
      <c r="BV1653" s="882"/>
      <c r="BW1653" s="882"/>
      <c r="CF1653" s="882"/>
      <c r="CG1653" s="882"/>
      <c r="CH1653" s="882"/>
      <c r="CI1653" s="530"/>
    </row>
    <row r="1654">
      <c r="A1654" s="857"/>
      <c r="B1654" s="865" t="s">
        <v>670</v>
      </c>
      <c r="C1654" s="865" t="s">
        <v>591</v>
      </c>
      <c r="D1654" s="865" t="s">
        <v>612</v>
      </c>
      <c r="E1654" s="866">
        <v>2019.0</v>
      </c>
      <c r="F1654" s="865" t="s">
        <v>593</v>
      </c>
      <c r="G1654" s="865" t="s">
        <v>70</v>
      </c>
      <c r="H1654" s="867">
        <v>6498445.557</v>
      </c>
      <c r="I1654" s="867">
        <v>7315104.853</v>
      </c>
      <c r="J1654" s="868">
        <v>5685514.669</v>
      </c>
      <c r="K1654" s="50"/>
      <c r="L1654" s="869" t="s">
        <v>670</v>
      </c>
      <c r="M1654" s="865" t="s">
        <v>591</v>
      </c>
      <c r="N1654" s="865" t="s">
        <v>612</v>
      </c>
      <c r="O1654" s="866">
        <v>2004.0</v>
      </c>
      <c r="P1654" s="865" t="s">
        <v>593</v>
      </c>
      <c r="Q1654" s="865" t="s">
        <v>70</v>
      </c>
      <c r="R1654" s="867">
        <v>5910344.321</v>
      </c>
      <c r="S1654" s="867">
        <v>6421220.714</v>
      </c>
      <c r="T1654" s="868">
        <v>5398898.588</v>
      </c>
      <c r="AN1654" s="882"/>
      <c r="AO1654" s="882"/>
      <c r="AP1654" s="882"/>
      <c r="AY1654" s="882"/>
      <c r="AZ1654" s="882"/>
      <c r="BA1654" s="882"/>
      <c r="BJ1654" s="882"/>
      <c r="BK1654" s="882"/>
      <c r="BL1654" s="882"/>
      <c r="BU1654" s="882"/>
      <c r="BV1654" s="882"/>
      <c r="BW1654" s="882"/>
      <c r="CF1654" s="882"/>
      <c r="CG1654" s="882"/>
      <c r="CH1654" s="882"/>
      <c r="CI1654" s="530"/>
    </row>
    <row r="1655">
      <c r="A1655" s="857"/>
      <c r="B1655" s="865" t="s">
        <v>670</v>
      </c>
      <c r="C1655" s="865" t="s">
        <v>591</v>
      </c>
      <c r="D1655" s="865" t="s">
        <v>614</v>
      </c>
      <c r="E1655" s="866">
        <v>2019.0</v>
      </c>
      <c r="F1655" s="865" t="s">
        <v>593</v>
      </c>
      <c r="G1655" s="865" t="s">
        <v>70</v>
      </c>
      <c r="H1655" s="867">
        <v>9552239.828</v>
      </c>
      <c r="I1655" s="867">
        <v>1.075266928E7</v>
      </c>
      <c r="J1655" s="868">
        <v>8357290.861</v>
      </c>
      <c r="K1655" s="50"/>
      <c r="L1655" s="869" t="s">
        <v>670</v>
      </c>
      <c r="M1655" s="865" t="s">
        <v>591</v>
      </c>
      <c r="N1655" s="865" t="s">
        <v>614</v>
      </c>
      <c r="O1655" s="866">
        <v>2004.0</v>
      </c>
      <c r="P1655" s="865" t="s">
        <v>593</v>
      </c>
      <c r="Q1655" s="865" t="s">
        <v>70</v>
      </c>
      <c r="R1655" s="867">
        <v>8225807.91</v>
      </c>
      <c r="S1655" s="867">
        <v>8936827.581</v>
      </c>
      <c r="T1655" s="868">
        <v>7513995.851</v>
      </c>
      <c r="AN1655" s="882"/>
      <c r="AO1655" s="882"/>
      <c r="AP1655" s="882"/>
      <c r="AY1655" s="882"/>
      <c r="AZ1655" s="882"/>
      <c r="BA1655" s="882"/>
      <c r="BJ1655" s="882"/>
      <c r="BK1655" s="882"/>
      <c r="BL1655" s="882"/>
      <c r="BU1655" s="882"/>
      <c r="BV1655" s="882"/>
      <c r="BW1655" s="882"/>
      <c r="CF1655" s="882"/>
      <c r="CG1655" s="882"/>
      <c r="CH1655" s="882"/>
      <c r="CI1655" s="530"/>
    </row>
    <row r="1656">
      <c r="A1656" s="857"/>
      <c r="B1656" s="865" t="s">
        <v>670</v>
      </c>
      <c r="C1656" s="865" t="s">
        <v>591</v>
      </c>
      <c r="D1656" s="865" t="s">
        <v>616</v>
      </c>
      <c r="E1656" s="866">
        <v>2019.0</v>
      </c>
      <c r="F1656" s="865" t="s">
        <v>593</v>
      </c>
      <c r="G1656" s="865" t="s">
        <v>70</v>
      </c>
      <c r="H1656" s="867">
        <v>3299645.299</v>
      </c>
      <c r="I1656" s="867">
        <v>3714311.543</v>
      </c>
      <c r="J1656" s="868">
        <v>2886872.189</v>
      </c>
      <c r="K1656" s="50"/>
      <c r="L1656" s="869" t="s">
        <v>670</v>
      </c>
      <c r="M1656" s="865" t="s">
        <v>591</v>
      </c>
      <c r="N1656" s="865" t="s">
        <v>616</v>
      </c>
      <c r="O1656" s="866">
        <v>2004.0</v>
      </c>
      <c r="P1656" s="865" t="s">
        <v>593</v>
      </c>
      <c r="Q1656" s="865" t="s">
        <v>70</v>
      </c>
      <c r="R1656" s="867">
        <v>2745449.443</v>
      </c>
      <c r="S1656" s="867">
        <v>2982759.697</v>
      </c>
      <c r="T1656" s="868">
        <v>2507874.722</v>
      </c>
      <c r="AN1656" s="882"/>
      <c r="AO1656" s="882"/>
      <c r="AP1656" s="882"/>
      <c r="AY1656" s="882"/>
      <c r="AZ1656" s="882"/>
      <c r="BA1656" s="882"/>
      <c r="BJ1656" s="882"/>
      <c r="BK1656" s="882"/>
      <c r="BL1656" s="882"/>
      <c r="BU1656" s="882"/>
      <c r="BV1656" s="882"/>
      <c r="BW1656" s="882"/>
      <c r="CF1656" s="882"/>
      <c r="CG1656" s="882"/>
      <c r="CH1656" s="882"/>
      <c r="CI1656" s="530"/>
    </row>
    <row r="1657">
      <c r="A1657" s="857"/>
      <c r="B1657" s="865" t="s">
        <v>670</v>
      </c>
      <c r="C1657" s="865" t="s">
        <v>591</v>
      </c>
      <c r="D1657" s="865" t="s">
        <v>618</v>
      </c>
      <c r="E1657" s="866">
        <v>2019.0</v>
      </c>
      <c r="F1657" s="865" t="s">
        <v>593</v>
      </c>
      <c r="G1657" s="865" t="s">
        <v>70</v>
      </c>
      <c r="H1657" s="867">
        <v>1.307482121E7</v>
      </c>
      <c r="I1657" s="867">
        <v>1.471942909E7</v>
      </c>
      <c r="J1657" s="868">
        <v>1.143952283E7</v>
      </c>
      <c r="K1657" s="50"/>
      <c r="L1657" s="869" t="s">
        <v>670</v>
      </c>
      <c r="M1657" s="865" t="s">
        <v>591</v>
      </c>
      <c r="N1657" s="865" t="s">
        <v>618</v>
      </c>
      <c r="O1657" s="866">
        <v>2004.0</v>
      </c>
      <c r="P1657" s="865" t="s">
        <v>593</v>
      </c>
      <c r="Q1657" s="865" t="s">
        <v>70</v>
      </c>
      <c r="R1657" s="867">
        <v>1.016738081E7</v>
      </c>
      <c r="S1657" s="867">
        <v>1.10466461E7</v>
      </c>
      <c r="T1657" s="868">
        <v>9287669.652</v>
      </c>
      <c r="AN1657" s="882"/>
      <c r="AO1657" s="882"/>
      <c r="AP1657" s="882"/>
      <c r="AY1657" s="882"/>
      <c r="AZ1657" s="882"/>
      <c r="BA1657" s="882"/>
      <c r="BJ1657" s="882"/>
      <c r="BK1657" s="882"/>
      <c r="BL1657" s="882"/>
      <c r="BU1657" s="882"/>
      <c r="BV1657" s="882"/>
      <c r="BW1657" s="882"/>
      <c r="CF1657" s="882"/>
      <c r="CG1657" s="882"/>
      <c r="CH1657" s="882"/>
      <c r="CI1657" s="530"/>
    </row>
    <row r="1658">
      <c r="A1658" s="857"/>
      <c r="B1658" s="865" t="s">
        <v>670</v>
      </c>
      <c r="C1658" s="865" t="s">
        <v>591</v>
      </c>
      <c r="D1658" s="865" t="s">
        <v>620</v>
      </c>
      <c r="E1658" s="866">
        <v>2019.0</v>
      </c>
      <c r="F1658" s="865" t="s">
        <v>593</v>
      </c>
      <c r="G1658" s="865" t="s">
        <v>70</v>
      </c>
      <c r="H1658" s="867">
        <v>1.618278954E7</v>
      </c>
      <c r="I1658" s="867">
        <v>1.821647981E7</v>
      </c>
      <c r="J1658" s="868">
        <v>1.415838396E7</v>
      </c>
      <c r="K1658" s="50"/>
      <c r="L1658" s="869" t="s">
        <v>670</v>
      </c>
      <c r="M1658" s="865" t="s">
        <v>591</v>
      </c>
      <c r="N1658" s="865" t="s">
        <v>620</v>
      </c>
      <c r="O1658" s="866">
        <v>2004.0</v>
      </c>
      <c r="P1658" s="865" t="s">
        <v>593</v>
      </c>
      <c r="Q1658" s="865" t="s">
        <v>70</v>
      </c>
      <c r="R1658" s="867">
        <v>1.239403455E7</v>
      </c>
      <c r="S1658" s="867">
        <v>1.346534602E7</v>
      </c>
      <c r="T1658" s="868">
        <v>1.132152917E7</v>
      </c>
      <c r="AN1658" s="882"/>
      <c r="AO1658" s="882"/>
      <c r="AP1658" s="882"/>
      <c r="AY1658" s="882"/>
      <c r="AZ1658" s="882"/>
      <c r="BA1658" s="882"/>
      <c r="BJ1658" s="882"/>
      <c r="BK1658" s="882"/>
      <c r="BL1658" s="882"/>
      <c r="BU1658" s="882"/>
      <c r="BV1658" s="882"/>
      <c r="BW1658" s="882"/>
      <c r="CF1658" s="882"/>
      <c r="CG1658" s="882"/>
      <c r="CH1658" s="882"/>
      <c r="CI1658" s="530"/>
    </row>
    <row r="1659">
      <c r="A1659" s="857"/>
      <c r="B1659" s="865" t="s">
        <v>670</v>
      </c>
      <c r="C1659" s="865" t="s">
        <v>591</v>
      </c>
      <c r="D1659" s="865" t="s">
        <v>622</v>
      </c>
      <c r="E1659" s="866">
        <v>2019.0</v>
      </c>
      <c r="F1659" s="865" t="s">
        <v>593</v>
      </c>
      <c r="G1659" s="865" t="s">
        <v>70</v>
      </c>
      <c r="H1659" s="867">
        <v>1.789660859E7</v>
      </c>
      <c r="I1659" s="867">
        <v>2.014772186E7</v>
      </c>
      <c r="J1659" s="868">
        <v>1.565823802E7</v>
      </c>
      <c r="K1659" s="50"/>
      <c r="L1659" s="869" t="s">
        <v>670</v>
      </c>
      <c r="M1659" s="865" t="s">
        <v>591</v>
      </c>
      <c r="N1659" s="865" t="s">
        <v>622</v>
      </c>
      <c r="O1659" s="866">
        <v>2004.0</v>
      </c>
      <c r="P1659" s="865" t="s">
        <v>593</v>
      </c>
      <c r="Q1659" s="865" t="s">
        <v>70</v>
      </c>
      <c r="R1659" s="867">
        <v>1.282078566E7</v>
      </c>
      <c r="S1659" s="867">
        <v>1.392951485E7</v>
      </c>
      <c r="T1659" s="868">
        <v>1.171149425E7</v>
      </c>
      <c r="AN1659" s="882"/>
      <c r="AO1659" s="882"/>
      <c r="AP1659" s="882"/>
      <c r="AY1659" s="882"/>
      <c r="AZ1659" s="882"/>
      <c r="BA1659" s="882"/>
      <c r="BJ1659" s="882"/>
      <c r="BK1659" s="882"/>
      <c r="BL1659" s="882"/>
      <c r="BU1659" s="882"/>
      <c r="BV1659" s="882"/>
      <c r="BW1659" s="882"/>
      <c r="CF1659" s="882"/>
      <c r="CG1659" s="882"/>
      <c r="CH1659" s="882"/>
      <c r="CI1659" s="530"/>
    </row>
    <row r="1660">
      <c r="A1660" s="857"/>
      <c r="B1660" s="865" t="s">
        <v>670</v>
      </c>
      <c r="C1660" s="865" t="s">
        <v>591</v>
      </c>
      <c r="D1660" s="865" t="s">
        <v>624</v>
      </c>
      <c r="E1660" s="866">
        <v>2019.0</v>
      </c>
      <c r="F1660" s="865" t="s">
        <v>593</v>
      </c>
      <c r="G1660" s="865" t="s">
        <v>70</v>
      </c>
      <c r="H1660" s="867">
        <v>3053794.271</v>
      </c>
      <c r="I1660" s="867">
        <v>3437564.429</v>
      </c>
      <c r="J1660" s="868">
        <v>2671776.192</v>
      </c>
      <c r="K1660" s="50"/>
      <c r="L1660" s="869" t="s">
        <v>670</v>
      </c>
      <c r="M1660" s="865" t="s">
        <v>591</v>
      </c>
      <c r="N1660" s="865" t="s">
        <v>624</v>
      </c>
      <c r="O1660" s="866">
        <v>2004.0</v>
      </c>
      <c r="P1660" s="865" t="s">
        <v>593</v>
      </c>
      <c r="Q1660" s="865" t="s">
        <v>70</v>
      </c>
      <c r="R1660" s="867">
        <v>2315463.589</v>
      </c>
      <c r="S1660" s="867">
        <v>2515606.867</v>
      </c>
      <c r="T1660" s="868">
        <v>2115097.263</v>
      </c>
      <c r="AN1660" s="882"/>
      <c r="AO1660" s="882"/>
      <c r="AP1660" s="882"/>
      <c r="AY1660" s="882"/>
      <c r="AZ1660" s="882"/>
      <c r="BA1660" s="882"/>
      <c r="BJ1660" s="882"/>
      <c r="BK1660" s="882"/>
      <c r="BL1660" s="882"/>
      <c r="BU1660" s="882"/>
      <c r="BV1660" s="882"/>
      <c r="BW1660" s="882"/>
      <c r="CF1660" s="882"/>
      <c r="CG1660" s="882"/>
      <c r="CH1660" s="882"/>
      <c r="CI1660" s="530"/>
    </row>
    <row r="1661">
      <c r="A1661" s="857"/>
      <c r="B1661" s="865" t="s">
        <v>670</v>
      </c>
      <c r="C1661" s="865" t="s">
        <v>591</v>
      </c>
      <c r="D1661" s="865" t="s">
        <v>625</v>
      </c>
      <c r="E1661" s="866">
        <v>2019.0</v>
      </c>
      <c r="F1661" s="865" t="s">
        <v>593</v>
      </c>
      <c r="G1661" s="865" t="s">
        <v>70</v>
      </c>
      <c r="H1661" s="867">
        <v>1.484345893E7</v>
      </c>
      <c r="I1661" s="867">
        <v>1.67088356E7</v>
      </c>
      <c r="J1661" s="868">
        <v>1.298659853E7</v>
      </c>
      <c r="K1661" s="50"/>
      <c r="L1661" s="869" t="s">
        <v>670</v>
      </c>
      <c r="M1661" s="865" t="s">
        <v>591</v>
      </c>
      <c r="N1661" s="865" t="s">
        <v>625</v>
      </c>
      <c r="O1661" s="866">
        <v>2004.0</v>
      </c>
      <c r="P1661" s="865" t="s">
        <v>593</v>
      </c>
      <c r="Q1661" s="865" t="s">
        <v>70</v>
      </c>
      <c r="R1661" s="867">
        <v>1.050561923E7</v>
      </c>
      <c r="S1661" s="867">
        <v>1.141370048E7</v>
      </c>
      <c r="T1661" s="868">
        <v>9596525.98</v>
      </c>
      <c r="AN1661" s="882"/>
      <c r="AO1661" s="882"/>
      <c r="AP1661" s="882"/>
      <c r="AY1661" s="882"/>
      <c r="AZ1661" s="882"/>
      <c r="BA1661" s="882"/>
      <c r="BJ1661" s="882"/>
      <c r="BK1661" s="882"/>
      <c r="BL1661" s="882"/>
      <c r="BU1661" s="882"/>
      <c r="BV1661" s="882"/>
      <c r="BW1661" s="882"/>
      <c r="CF1661" s="882"/>
      <c r="CG1661" s="882"/>
      <c r="CH1661" s="882"/>
      <c r="CI1661" s="530"/>
    </row>
    <row r="1662">
      <c r="A1662" s="857"/>
      <c r="B1662" s="865" t="s">
        <v>670</v>
      </c>
      <c r="C1662" s="865" t="s">
        <v>591</v>
      </c>
      <c r="D1662" s="865" t="s">
        <v>627</v>
      </c>
      <c r="E1662" s="866">
        <v>2019.0</v>
      </c>
      <c r="F1662" s="865" t="s">
        <v>593</v>
      </c>
      <c r="G1662" s="865" t="s">
        <v>70</v>
      </c>
      <c r="H1662" s="867">
        <v>2598159.541</v>
      </c>
      <c r="I1662" s="867">
        <v>2924670.108</v>
      </c>
      <c r="J1662" s="868">
        <v>2273139.639</v>
      </c>
      <c r="K1662" s="50"/>
      <c r="L1662" s="869" t="s">
        <v>670</v>
      </c>
      <c r="M1662" s="865" t="s">
        <v>591</v>
      </c>
      <c r="N1662" s="865" t="s">
        <v>627</v>
      </c>
      <c r="O1662" s="866">
        <v>2004.0</v>
      </c>
      <c r="P1662" s="865" t="s">
        <v>593</v>
      </c>
      <c r="Q1662" s="865" t="s">
        <v>70</v>
      </c>
      <c r="R1662" s="867">
        <v>1975241.605</v>
      </c>
      <c r="S1662" s="867">
        <v>2145976.888</v>
      </c>
      <c r="T1662" s="868">
        <v>1804316.049</v>
      </c>
      <c r="AN1662" s="882"/>
      <c r="AO1662" s="882"/>
      <c r="AP1662" s="882"/>
      <c r="AY1662" s="882"/>
      <c r="AZ1662" s="882"/>
      <c r="BA1662" s="882"/>
      <c r="BJ1662" s="882"/>
      <c r="BK1662" s="882"/>
      <c r="BL1662" s="882"/>
      <c r="BU1662" s="882"/>
      <c r="BV1662" s="882"/>
      <c r="BW1662" s="882"/>
      <c r="CF1662" s="882"/>
      <c r="CG1662" s="882"/>
      <c r="CH1662" s="882"/>
      <c r="CI1662" s="530"/>
    </row>
    <row r="1663">
      <c r="A1663" s="857"/>
      <c r="B1663" s="865" t="s">
        <v>670</v>
      </c>
      <c r="C1663" s="865" t="s">
        <v>591</v>
      </c>
      <c r="D1663" s="865" t="s">
        <v>629</v>
      </c>
      <c r="E1663" s="866">
        <v>2019.0</v>
      </c>
      <c r="F1663" s="865" t="s">
        <v>593</v>
      </c>
      <c r="G1663" s="865" t="s">
        <v>70</v>
      </c>
      <c r="H1663" s="867">
        <v>9828995.947</v>
      </c>
      <c r="I1663" s="867">
        <v>1.106532981E7</v>
      </c>
      <c r="J1663" s="868">
        <v>8599660.503</v>
      </c>
      <c r="K1663" s="50"/>
      <c r="L1663" s="869" t="s">
        <v>670</v>
      </c>
      <c r="M1663" s="865" t="s">
        <v>591</v>
      </c>
      <c r="N1663" s="865" t="s">
        <v>629</v>
      </c>
      <c r="O1663" s="866">
        <v>2004.0</v>
      </c>
      <c r="P1663" s="865" t="s">
        <v>593</v>
      </c>
      <c r="Q1663" s="865" t="s">
        <v>70</v>
      </c>
      <c r="R1663" s="867">
        <v>7332951.554</v>
      </c>
      <c r="S1663" s="867">
        <v>7967098.14</v>
      </c>
      <c r="T1663" s="868">
        <v>6698483.405</v>
      </c>
      <c r="AN1663" s="882"/>
      <c r="AO1663" s="882"/>
      <c r="AP1663" s="882"/>
      <c r="AY1663" s="882"/>
      <c r="AZ1663" s="882"/>
      <c r="BA1663" s="882"/>
      <c r="BJ1663" s="882"/>
      <c r="BK1663" s="882"/>
      <c r="BL1663" s="882"/>
      <c r="BU1663" s="882"/>
      <c r="BV1663" s="882"/>
      <c r="BW1663" s="882"/>
      <c r="CF1663" s="882"/>
      <c r="CG1663" s="882"/>
      <c r="CH1663" s="882"/>
      <c r="CI1663" s="530"/>
    </row>
    <row r="1664">
      <c r="A1664" s="857"/>
      <c r="B1664" s="865" t="s">
        <v>670</v>
      </c>
      <c r="C1664" s="865" t="s">
        <v>591</v>
      </c>
      <c r="D1664" s="865" t="s">
        <v>631</v>
      </c>
      <c r="E1664" s="866">
        <v>2019.0</v>
      </c>
      <c r="F1664" s="865" t="s">
        <v>593</v>
      </c>
      <c r="G1664" s="865" t="s">
        <v>70</v>
      </c>
      <c r="H1664" s="867">
        <v>2204950.138</v>
      </c>
      <c r="I1664" s="867">
        <v>2482046.1</v>
      </c>
      <c r="J1664" s="868">
        <v>1929119.24</v>
      </c>
      <c r="K1664" s="50"/>
      <c r="L1664" s="869" t="s">
        <v>670</v>
      </c>
      <c r="M1664" s="865" t="s">
        <v>591</v>
      </c>
      <c r="N1664" s="865" t="s">
        <v>631</v>
      </c>
      <c r="O1664" s="866">
        <v>2004.0</v>
      </c>
      <c r="P1664" s="865" t="s">
        <v>593</v>
      </c>
      <c r="Q1664" s="865" t="s">
        <v>70</v>
      </c>
      <c r="R1664" s="867">
        <v>1681486.127</v>
      </c>
      <c r="S1664" s="867">
        <v>1826829.87</v>
      </c>
      <c r="T1664" s="868">
        <v>1535980.407</v>
      </c>
      <c r="AN1664" s="882"/>
      <c r="AO1664" s="882"/>
      <c r="AP1664" s="882"/>
      <c r="AY1664" s="882"/>
      <c r="AZ1664" s="882"/>
      <c r="BA1664" s="882"/>
      <c r="BJ1664" s="882"/>
      <c r="BK1664" s="882"/>
      <c r="BL1664" s="882"/>
      <c r="BU1664" s="882"/>
      <c r="BV1664" s="882"/>
      <c r="BW1664" s="882"/>
      <c r="CF1664" s="882"/>
      <c r="CG1664" s="882"/>
      <c r="CH1664" s="882"/>
      <c r="CI1664" s="530"/>
    </row>
    <row r="1665">
      <c r="A1665" s="857"/>
      <c r="B1665" s="865" t="s">
        <v>670</v>
      </c>
      <c r="C1665" s="865" t="s">
        <v>591</v>
      </c>
      <c r="D1665" s="865" t="s">
        <v>633</v>
      </c>
      <c r="E1665" s="866">
        <v>2019.0</v>
      </c>
      <c r="F1665" s="865" t="s">
        <v>593</v>
      </c>
      <c r="G1665" s="865" t="s">
        <v>70</v>
      </c>
      <c r="H1665" s="867">
        <v>1918742.896</v>
      </c>
      <c r="I1665" s="867">
        <v>2159871.211</v>
      </c>
      <c r="J1665" s="868">
        <v>1678715.439</v>
      </c>
      <c r="K1665" s="50"/>
      <c r="L1665" s="869" t="s">
        <v>670</v>
      </c>
      <c r="M1665" s="865" t="s">
        <v>591</v>
      </c>
      <c r="N1665" s="865" t="s">
        <v>633</v>
      </c>
      <c r="O1665" s="866">
        <v>2004.0</v>
      </c>
      <c r="P1665" s="865" t="s">
        <v>593</v>
      </c>
      <c r="Q1665" s="865" t="s">
        <v>70</v>
      </c>
      <c r="R1665" s="867">
        <v>1449975.701</v>
      </c>
      <c r="S1665" s="867">
        <v>1575308.223</v>
      </c>
      <c r="T1665" s="868">
        <v>1324503.505</v>
      </c>
      <c r="AN1665" s="882"/>
      <c r="AO1665" s="882"/>
      <c r="AP1665" s="882"/>
      <c r="AY1665" s="882"/>
      <c r="AZ1665" s="882"/>
      <c r="BA1665" s="882"/>
      <c r="BJ1665" s="882"/>
      <c r="BK1665" s="882"/>
      <c r="BL1665" s="882"/>
      <c r="BU1665" s="882"/>
      <c r="BV1665" s="882"/>
      <c r="BW1665" s="882"/>
      <c r="CF1665" s="882"/>
      <c r="CG1665" s="882"/>
      <c r="CH1665" s="882"/>
      <c r="CI1665" s="530"/>
    </row>
    <row r="1666">
      <c r="A1666" s="857"/>
      <c r="B1666" s="865" t="s">
        <v>670</v>
      </c>
      <c r="C1666" s="865" t="s">
        <v>591</v>
      </c>
      <c r="D1666" s="865" t="s">
        <v>635</v>
      </c>
      <c r="E1666" s="866">
        <v>2019.0</v>
      </c>
      <c r="F1666" s="865" t="s">
        <v>593</v>
      </c>
      <c r="G1666" s="865" t="s">
        <v>70</v>
      </c>
      <c r="H1666" s="867">
        <v>1666577.751</v>
      </c>
      <c r="I1666" s="867">
        <v>1876016.486</v>
      </c>
      <c r="J1666" s="868">
        <v>1458095.197</v>
      </c>
      <c r="K1666" s="50"/>
      <c r="L1666" s="869" t="s">
        <v>670</v>
      </c>
      <c r="M1666" s="865" t="s">
        <v>591</v>
      </c>
      <c r="N1666" s="865" t="s">
        <v>635</v>
      </c>
      <c r="O1666" s="866">
        <v>2004.0</v>
      </c>
      <c r="P1666" s="865" t="s">
        <v>593</v>
      </c>
      <c r="Q1666" s="865" t="s">
        <v>70</v>
      </c>
      <c r="R1666" s="867">
        <v>1220276.021</v>
      </c>
      <c r="S1666" s="867">
        <v>1325753.837</v>
      </c>
      <c r="T1666" s="868">
        <v>1114680.656</v>
      </c>
      <c r="AN1666" s="882"/>
      <c r="AO1666" s="882"/>
      <c r="AP1666" s="882"/>
      <c r="AY1666" s="882"/>
      <c r="AZ1666" s="882"/>
      <c r="BA1666" s="882"/>
      <c r="BJ1666" s="882"/>
      <c r="BK1666" s="882"/>
      <c r="BL1666" s="882"/>
      <c r="BU1666" s="882"/>
      <c r="BV1666" s="882"/>
      <c r="BW1666" s="882"/>
      <c r="CF1666" s="882"/>
      <c r="CG1666" s="882"/>
      <c r="CH1666" s="882"/>
      <c r="CI1666" s="530"/>
    </row>
    <row r="1667">
      <c r="A1667" s="857"/>
      <c r="B1667" s="865" t="s">
        <v>670</v>
      </c>
      <c r="C1667" s="865" t="s">
        <v>591</v>
      </c>
      <c r="D1667" s="865" t="s">
        <v>637</v>
      </c>
      <c r="E1667" s="866">
        <v>2019.0</v>
      </c>
      <c r="F1667" s="865" t="s">
        <v>593</v>
      </c>
      <c r="G1667" s="865" t="s">
        <v>70</v>
      </c>
      <c r="H1667" s="867">
        <v>1440919.645</v>
      </c>
      <c r="I1667" s="867">
        <v>1621999.937</v>
      </c>
      <c r="J1667" s="868">
        <v>1260666.063</v>
      </c>
      <c r="K1667" s="50"/>
      <c r="L1667" s="869" t="s">
        <v>670</v>
      </c>
      <c r="M1667" s="865" t="s">
        <v>591</v>
      </c>
      <c r="N1667" s="865" t="s">
        <v>637</v>
      </c>
      <c r="O1667" s="866">
        <v>2004.0</v>
      </c>
      <c r="P1667" s="865" t="s">
        <v>593</v>
      </c>
      <c r="Q1667" s="865" t="s">
        <v>70</v>
      </c>
      <c r="R1667" s="867">
        <v>1006142.062</v>
      </c>
      <c r="S1667" s="867">
        <v>1093110.638</v>
      </c>
      <c r="T1667" s="868">
        <v>919076.5652</v>
      </c>
      <c r="AN1667" s="882"/>
      <c r="AO1667" s="882"/>
      <c r="AP1667" s="882"/>
      <c r="AY1667" s="882"/>
      <c r="AZ1667" s="882"/>
      <c r="BA1667" s="882"/>
      <c r="BJ1667" s="882"/>
      <c r="BK1667" s="882"/>
      <c r="BL1667" s="882"/>
      <c r="BU1667" s="882"/>
      <c r="BV1667" s="882"/>
      <c r="BW1667" s="882"/>
      <c r="CF1667" s="882"/>
      <c r="CG1667" s="882"/>
      <c r="CH1667" s="882"/>
      <c r="CI1667" s="530"/>
    </row>
    <row r="1668">
      <c r="A1668" s="857"/>
      <c r="B1668" s="865" t="s">
        <v>670</v>
      </c>
      <c r="C1668" s="865" t="s">
        <v>591</v>
      </c>
      <c r="D1668" s="865" t="s">
        <v>639</v>
      </c>
      <c r="E1668" s="866">
        <v>2019.0</v>
      </c>
      <c r="F1668" s="865" t="s">
        <v>593</v>
      </c>
      <c r="G1668" s="865" t="s">
        <v>70</v>
      </c>
      <c r="H1668" s="867">
        <v>9522818.515</v>
      </c>
      <c r="I1668" s="867">
        <v>1.072064005E7</v>
      </c>
      <c r="J1668" s="868">
        <v>8331777.397</v>
      </c>
      <c r="K1668" s="50"/>
      <c r="L1668" s="869" t="s">
        <v>670</v>
      </c>
      <c r="M1668" s="865" t="s">
        <v>591</v>
      </c>
      <c r="N1668" s="865" t="s">
        <v>639</v>
      </c>
      <c r="O1668" s="866">
        <v>2004.0</v>
      </c>
      <c r="P1668" s="865" t="s">
        <v>593</v>
      </c>
      <c r="Q1668" s="865" t="s">
        <v>70</v>
      </c>
      <c r="R1668" s="867">
        <v>9274080.216</v>
      </c>
      <c r="S1668" s="867">
        <v>1.007609374E7</v>
      </c>
      <c r="T1668" s="868">
        <v>8471660.008</v>
      </c>
      <c r="AN1668" s="882"/>
      <c r="AO1668" s="882"/>
      <c r="AP1668" s="882"/>
      <c r="AY1668" s="882"/>
      <c r="AZ1668" s="882"/>
      <c r="BA1668" s="882"/>
      <c r="BJ1668" s="882"/>
      <c r="BK1668" s="882"/>
      <c r="BL1668" s="882"/>
      <c r="BU1668" s="882"/>
      <c r="BV1668" s="882"/>
      <c r="BW1668" s="882"/>
      <c r="CF1668" s="882"/>
      <c r="CG1668" s="882"/>
      <c r="CH1668" s="882"/>
      <c r="CI1668" s="530"/>
    </row>
    <row r="1669">
      <c r="A1669" s="857"/>
      <c r="B1669" s="865" t="s">
        <v>670</v>
      </c>
      <c r="C1669" s="865" t="s">
        <v>591</v>
      </c>
      <c r="D1669" s="865" t="s">
        <v>641</v>
      </c>
      <c r="E1669" s="866">
        <v>2019.0</v>
      </c>
      <c r="F1669" s="865" t="s">
        <v>593</v>
      </c>
      <c r="G1669" s="865" t="s">
        <v>70</v>
      </c>
      <c r="H1669" s="867">
        <v>3024715.955</v>
      </c>
      <c r="I1669" s="867">
        <v>3404831.842</v>
      </c>
      <c r="J1669" s="868">
        <v>2646335.463</v>
      </c>
      <c r="K1669" s="50"/>
      <c r="L1669" s="869" t="s">
        <v>670</v>
      </c>
      <c r="M1669" s="865" t="s">
        <v>591</v>
      </c>
      <c r="N1669" s="865" t="s">
        <v>641</v>
      </c>
      <c r="O1669" s="866">
        <v>2004.0</v>
      </c>
      <c r="P1669" s="865" t="s">
        <v>593</v>
      </c>
      <c r="Q1669" s="865" t="s">
        <v>70</v>
      </c>
      <c r="R1669" s="867">
        <v>3363950.848</v>
      </c>
      <c r="S1669" s="867">
        <v>3654722.922</v>
      </c>
      <c r="T1669" s="868">
        <v>3072854.726</v>
      </c>
      <c r="AN1669" s="882"/>
      <c r="AO1669" s="882"/>
      <c r="AP1669" s="882"/>
      <c r="AY1669" s="882"/>
      <c r="AZ1669" s="882"/>
      <c r="BA1669" s="882"/>
      <c r="BJ1669" s="882"/>
      <c r="BK1669" s="882"/>
      <c r="BL1669" s="882"/>
      <c r="BU1669" s="882"/>
      <c r="BV1669" s="882"/>
      <c r="BW1669" s="882"/>
      <c r="CF1669" s="882"/>
      <c r="CG1669" s="882"/>
      <c r="CH1669" s="882"/>
      <c r="CI1669" s="530"/>
    </row>
    <row r="1670">
      <c r="A1670" s="857"/>
      <c r="B1670" s="865" t="s">
        <v>670</v>
      </c>
      <c r="C1670" s="865" t="s">
        <v>591</v>
      </c>
      <c r="D1670" s="865" t="s">
        <v>643</v>
      </c>
      <c r="E1670" s="866">
        <v>2019.0</v>
      </c>
      <c r="F1670" s="865" t="s">
        <v>593</v>
      </c>
      <c r="G1670" s="865" t="s">
        <v>70</v>
      </c>
      <c r="H1670" s="867">
        <v>1240525.824</v>
      </c>
      <c r="I1670" s="867">
        <v>1396422.636</v>
      </c>
      <c r="J1670" s="868">
        <v>1085340.749</v>
      </c>
      <c r="K1670" s="50"/>
      <c r="L1670" s="869" t="s">
        <v>670</v>
      </c>
      <c r="M1670" s="865" t="s">
        <v>591</v>
      </c>
      <c r="N1670" s="865" t="s">
        <v>643</v>
      </c>
      <c r="O1670" s="866">
        <v>2004.0</v>
      </c>
      <c r="P1670" s="865" t="s">
        <v>593</v>
      </c>
      <c r="Q1670" s="865" t="s">
        <v>70</v>
      </c>
      <c r="R1670" s="867">
        <v>858326.0918</v>
      </c>
      <c r="S1670" s="867">
        <v>932517.7993</v>
      </c>
      <c r="T1670" s="868">
        <v>784051.7021</v>
      </c>
      <c r="AN1670" s="882"/>
      <c r="AO1670" s="882"/>
      <c r="AP1670" s="882"/>
      <c r="AY1670" s="882"/>
      <c r="AZ1670" s="882"/>
      <c r="BA1670" s="882"/>
      <c r="BJ1670" s="882"/>
      <c r="BK1670" s="882"/>
      <c r="BL1670" s="882"/>
      <c r="BU1670" s="882"/>
      <c r="BV1670" s="882"/>
      <c r="BW1670" s="882"/>
      <c r="CF1670" s="882"/>
      <c r="CG1670" s="882"/>
      <c r="CH1670" s="882"/>
      <c r="CI1670" s="530"/>
    </row>
    <row r="1671">
      <c r="A1671" s="857"/>
      <c r="B1671" s="865" t="s">
        <v>670</v>
      </c>
      <c r="C1671" s="865" t="s">
        <v>591</v>
      </c>
      <c r="D1671" s="865" t="s">
        <v>645</v>
      </c>
      <c r="E1671" s="866">
        <v>2019.0</v>
      </c>
      <c r="F1671" s="865" t="s">
        <v>593</v>
      </c>
      <c r="G1671" s="865" t="s">
        <v>70</v>
      </c>
      <c r="H1671" s="867">
        <v>3919800.072</v>
      </c>
      <c r="I1671" s="867">
        <v>4412401.131</v>
      </c>
      <c r="J1671" s="868">
        <v>3429447.952</v>
      </c>
      <c r="K1671" s="50"/>
      <c r="L1671" s="869" t="s">
        <v>670</v>
      </c>
      <c r="M1671" s="865" t="s">
        <v>591</v>
      </c>
      <c r="N1671" s="865" t="s">
        <v>645</v>
      </c>
      <c r="O1671" s="866">
        <v>2004.0</v>
      </c>
      <c r="P1671" s="865" t="s">
        <v>593</v>
      </c>
      <c r="Q1671" s="865" t="s">
        <v>70</v>
      </c>
      <c r="R1671" s="867">
        <v>2546211.313</v>
      </c>
      <c r="S1671" s="867">
        <v>2766299.887</v>
      </c>
      <c r="T1671" s="868">
        <v>2325877.465</v>
      </c>
      <c r="AN1671" s="882"/>
      <c r="AO1671" s="882"/>
      <c r="AP1671" s="882"/>
      <c r="AY1671" s="882"/>
      <c r="AZ1671" s="882"/>
      <c r="BA1671" s="882"/>
      <c r="BJ1671" s="882"/>
      <c r="BK1671" s="882"/>
      <c r="BL1671" s="882"/>
      <c r="BU1671" s="882"/>
      <c r="BV1671" s="882"/>
      <c r="BW1671" s="882"/>
      <c r="CF1671" s="882"/>
      <c r="CG1671" s="882"/>
      <c r="CH1671" s="882"/>
      <c r="CI1671" s="530"/>
    </row>
    <row r="1672">
      <c r="A1672" s="857"/>
      <c r="B1672" s="865" t="s">
        <v>670</v>
      </c>
      <c r="C1672" s="865" t="s">
        <v>591</v>
      </c>
      <c r="D1672" s="865" t="s">
        <v>604</v>
      </c>
      <c r="E1672" s="866">
        <v>2019.0</v>
      </c>
      <c r="F1672" s="865" t="s">
        <v>593</v>
      </c>
      <c r="G1672" s="865" t="s">
        <v>70</v>
      </c>
      <c r="H1672" s="867">
        <v>6223516.213</v>
      </c>
      <c r="I1672" s="867">
        <v>7005625.153</v>
      </c>
      <c r="J1672" s="868">
        <v>5444977.943</v>
      </c>
      <c r="K1672" s="50"/>
      <c r="L1672" s="869" t="s">
        <v>670</v>
      </c>
      <c r="M1672" s="865" t="s">
        <v>591</v>
      </c>
      <c r="N1672" s="865" t="s">
        <v>604</v>
      </c>
      <c r="O1672" s="866">
        <v>2004.0</v>
      </c>
      <c r="P1672" s="865" t="s">
        <v>593</v>
      </c>
      <c r="Q1672" s="865" t="s">
        <v>70</v>
      </c>
      <c r="R1672" s="867">
        <v>6528845.726</v>
      </c>
      <c r="S1672" s="867">
        <v>7093183.939</v>
      </c>
      <c r="T1672" s="868">
        <v>5963878.592</v>
      </c>
      <c r="AN1672" s="882"/>
      <c r="AO1672" s="882"/>
      <c r="AP1672" s="882"/>
      <c r="AY1672" s="882"/>
      <c r="AZ1672" s="882"/>
      <c r="BA1672" s="882"/>
      <c r="BJ1672" s="882"/>
      <c r="BK1672" s="882"/>
      <c r="BL1672" s="882"/>
      <c r="BU1672" s="882"/>
      <c r="BV1672" s="882"/>
      <c r="BW1672" s="882"/>
      <c r="CF1672" s="882"/>
      <c r="CG1672" s="882"/>
      <c r="CH1672" s="882"/>
      <c r="CI1672" s="530"/>
    </row>
    <row r="1673">
      <c r="A1673" s="857"/>
      <c r="B1673" s="865" t="s">
        <v>670</v>
      </c>
      <c r="C1673" s="865" t="s">
        <v>591</v>
      </c>
      <c r="D1673" s="865" t="s">
        <v>647</v>
      </c>
      <c r="E1673" s="866">
        <v>2019.0</v>
      </c>
      <c r="F1673" s="865" t="s">
        <v>593</v>
      </c>
      <c r="G1673" s="865" t="s">
        <v>70</v>
      </c>
      <c r="H1673" s="867">
        <v>3773447.222</v>
      </c>
      <c r="I1673" s="867">
        <v>4248087.825</v>
      </c>
      <c r="J1673" s="868">
        <v>3301493.378</v>
      </c>
      <c r="K1673" s="50"/>
      <c r="L1673" s="869" t="s">
        <v>670</v>
      </c>
      <c r="M1673" s="865" t="s">
        <v>591</v>
      </c>
      <c r="N1673" s="865" t="s">
        <v>647</v>
      </c>
      <c r="O1673" s="866">
        <v>2004.0</v>
      </c>
      <c r="P1673" s="865" t="s">
        <v>593</v>
      </c>
      <c r="Q1673" s="865" t="s">
        <v>70</v>
      </c>
      <c r="R1673" s="867">
        <v>2314117.986</v>
      </c>
      <c r="S1673" s="867">
        <v>2514240.681</v>
      </c>
      <c r="T1673" s="868">
        <v>2113893.814</v>
      </c>
      <c r="AN1673" s="882"/>
      <c r="AO1673" s="882"/>
      <c r="AP1673" s="882"/>
      <c r="AY1673" s="882"/>
      <c r="AZ1673" s="882"/>
      <c r="BA1673" s="882"/>
      <c r="BJ1673" s="882"/>
      <c r="BK1673" s="882"/>
      <c r="BL1673" s="882"/>
      <c r="BU1673" s="882"/>
      <c r="BV1673" s="882"/>
      <c r="BW1673" s="882"/>
      <c r="CF1673" s="882"/>
      <c r="CG1673" s="882"/>
      <c r="CH1673" s="882"/>
      <c r="CI1673" s="530"/>
    </row>
    <row r="1674">
      <c r="A1674" s="857"/>
      <c r="B1674" s="865" t="s">
        <v>670</v>
      </c>
      <c r="C1674" s="865" t="s">
        <v>591</v>
      </c>
      <c r="D1674" s="865" t="s">
        <v>649</v>
      </c>
      <c r="E1674" s="866">
        <v>2019.0</v>
      </c>
      <c r="F1674" s="865" t="s">
        <v>593</v>
      </c>
      <c r="G1674" s="865" t="s">
        <v>70</v>
      </c>
      <c r="H1674" s="867">
        <v>1059697.39</v>
      </c>
      <c r="I1674" s="867">
        <v>1192869.502</v>
      </c>
      <c r="J1674" s="868">
        <v>927133.266</v>
      </c>
      <c r="K1674" s="50"/>
      <c r="L1674" s="869" t="s">
        <v>670</v>
      </c>
      <c r="M1674" s="865" t="s">
        <v>591</v>
      </c>
      <c r="N1674" s="865" t="s">
        <v>649</v>
      </c>
      <c r="O1674" s="866">
        <v>2004.0</v>
      </c>
      <c r="P1674" s="865" t="s">
        <v>593</v>
      </c>
      <c r="Q1674" s="865" t="s">
        <v>70</v>
      </c>
      <c r="R1674" s="867">
        <v>695877.6158</v>
      </c>
      <c r="S1674" s="867">
        <v>756027.6556</v>
      </c>
      <c r="T1674" s="868">
        <v>635660.5425</v>
      </c>
      <c r="AN1674" s="882"/>
      <c r="AO1674" s="882"/>
      <c r="AP1674" s="882"/>
      <c r="AY1674" s="882"/>
      <c r="AZ1674" s="882"/>
      <c r="BA1674" s="882"/>
      <c r="BJ1674" s="882"/>
      <c r="BK1674" s="882"/>
      <c r="BL1674" s="882"/>
      <c r="BU1674" s="882"/>
      <c r="BV1674" s="882"/>
      <c r="BW1674" s="882"/>
      <c r="CF1674" s="882"/>
      <c r="CG1674" s="882"/>
      <c r="CH1674" s="882"/>
      <c r="CI1674" s="530"/>
    </row>
    <row r="1675">
      <c r="A1675" s="857"/>
      <c r="B1675" s="865" t="s">
        <v>670</v>
      </c>
      <c r="C1675" s="865" t="s">
        <v>591</v>
      </c>
      <c r="D1675" s="865" t="s">
        <v>651</v>
      </c>
      <c r="E1675" s="866">
        <v>2019.0</v>
      </c>
      <c r="F1675" s="865" t="s">
        <v>593</v>
      </c>
      <c r="G1675" s="865" t="s">
        <v>70</v>
      </c>
      <c r="H1675" s="867">
        <v>890574.8946</v>
      </c>
      <c r="I1675" s="867">
        <v>1002493.393</v>
      </c>
      <c r="J1675" s="868">
        <v>779167.3536</v>
      </c>
      <c r="K1675" s="50"/>
      <c r="L1675" s="869" t="s">
        <v>670</v>
      </c>
      <c r="M1675" s="865" t="s">
        <v>591</v>
      </c>
      <c r="N1675" s="865" t="s">
        <v>651</v>
      </c>
      <c r="O1675" s="866">
        <v>2004.0</v>
      </c>
      <c r="P1675" s="865" t="s">
        <v>593</v>
      </c>
      <c r="Q1675" s="865" t="s">
        <v>70</v>
      </c>
      <c r="R1675" s="867">
        <v>567212.8402</v>
      </c>
      <c r="S1675" s="867">
        <v>616241.3966</v>
      </c>
      <c r="T1675" s="868">
        <v>518129.6445</v>
      </c>
      <c r="AN1675" s="882"/>
      <c r="AO1675" s="882"/>
      <c r="AP1675" s="882"/>
      <c r="AY1675" s="882"/>
      <c r="AZ1675" s="882"/>
      <c r="BA1675" s="882"/>
      <c r="BJ1675" s="882"/>
      <c r="BK1675" s="882"/>
      <c r="BL1675" s="882"/>
      <c r="BU1675" s="882"/>
      <c r="BV1675" s="882"/>
      <c r="BW1675" s="882"/>
      <c r="CF1675" s="882"/>
      <c r="CG1675" s="882"/>
      <c r="CH1675" s="882"/>
      <c r="CI1675" s="530"/>
    </row>
    <row r="1676">
      <c r="A1676" s="857"/>
      <c r="B1676" s="865" t="s">
        <v>670</v>
      </c>
      <c r="C1676" s="865" t="s">
        <v>591</v>
      </c>
      <c r="D1676" s="865" t="s">
        <v>653</v>
      </c>
      <c r="E1676" s="866">
        <v>2019.0</v>
      </c>
      <c r="F1676" s="865" t="s">
        <v>593</v>
      </c>
      <c r="G1676" s="865" t="s">
        <v>70</v>
      </c>
      <c r="H1676" s="867">
        <v>729001.9641</v>
      </c>
      <c r="I1676" s="867">
        <v>820615.6008</v>
      </c>
      <c r="J1676" s="868">
        <v>637806.5838</v>
      </c>
      <c r="K1676" s="50"/>
      <c r="L1676" s="869" t="s">
        <v>670</v>
      </c>
      <c r="M1676" s="865" t="s">
        <v>591</v>
      </c>
      <c r="N1676" s="865" t="s">
        <v>653</v>
      </c>
      <c r="O1676" s="866">
        <v>2004.0</v>
      </c>
      <c r="P1676" s="865" t="s">
        <v>593</v>
      </c>
      <c r="Q1676" s="865" t="s">
        <v>70</v>
      </c>
      <c r="R1676" s="867">
        <v>424794.7656</v>
      </c>
      <c r="S1676" s="867">
        <v>461513.0354</v>
      </c>
      <c r="T1676" s="868">
        <v>388035.5755</v>
      </c>
      <c r="AN1676" s="882"/>
      <c r="AO1676" s="882"/>
      <c r="AP1676" s="882"/>
      <c r="AY1676" s="882"/>
      <c r="AZ1676" s="882"/>
      <c r="BA1676" s="882"/>
      <c r="BJ1676" s="882"/>
      <c r="BK1676" s="882"/>
      <c r="BL1676" s="882"/>
      <c r="BU1676" s="882"/>
      <c r="BV1676" s="882"/>
      <c r="BW1676" s="882"/>
      <c r="CF1676" s="882"/>
      <c r="CG1676" s="882"/>
      <c r="CH1676" s="882"/>
      <c r="CI1676" s="530"/>
    </row>
    <row r="1677">
      <c r="A1677" s="857"/>
      <c r="B1677" s="865" t="s">
        <v>670</v>
      </c>
      <c r="C1677" s="865" t="s">
        <v>591</v>
      </c>
      <c r="D1677" s="865" t="s">
        <v>655</v>
      </c>
      <c r="E1677" s="866">
        <v>2019.0</v>
      </c>
      <c r="F1677" s="865" t="s">
        <v>593</v>
      </c>
      <c r="G1677" s="865" t="s">
        <v>70</v>
      </c>
      <c r="H1677" s="867">
        <v>1237471.189</v>
      </c>
      <c r="I1677" s="867">
        <v>1393125.697</v>
      </c>
      <c r="J1677" s="868">
        <v>1082697.781</v>
      </c>
      <c r="K1677" s="50"/>
      <c r="L1677" s="869" t="s">
        <v>670</v>
      </c>
      <c r="M1677" s="865" t="s">
        <v>591</v>
      </c>
      <c r="N1677" s="865" t="s">
        <v>655</v>
      </c>
      <c r="O1677" s="866">
        <v>2004.0</v>
      </c>
      <c r="P1677" s="865" t="s">
        <v>593</v>
      </c>
      <c r="Q1677" s="865" t="s">
        <v>70</v>
      </c>
      <c r="R1677" s="867">
        <v>715692.91</v>
      </c>
      <c r="S1677" s="867">
        <v>777585.3434</v>
      </c>
      <c r="T1677" s="868">
        <v>653769.0922</v>
      </c>
      <c r="AN1677" s="882"/>
      <c r="AO1677" s="882"/>
      <c r="AP1677" s="882"/>
      <c r="AY1677" s="882"/>
      <c r="AZ1677" s="882"/>
      <c r="BA1677" s="882"/>
      <c r="BJ1677" s="882"/>
      <c r="BK1677" s="882"/>
      <c r="BL1677" s="882"/>
      <c r="BU1677" s="882"/>
      <c r="BV1677" s="882"/>
      <c r="BW1677" s="882"/>
      <c r="CF1677" s="882"/>
      <c r="CG1677" s="882"/>
      <c r="CH1677" s="882"/>
      <c r="CI1677" s="530"/>
    </row>
    <row r="1678">
      <c r="A1678" s="857"/>
      <c r="B1678" s="865" t="s">
        <v>670</v>
      </c>
      <c r="C1678" s="865" t="s">
        <v>591</v>
      </c>
      <c r="D1678" s="865" t="s">
        <v>657</v>
      </c>
      <c r="E1678" s="866">
        <v>2019.0</v>
      </c>
      <c r="F1678" s="865" t="s">
        <v>593</v>
      </c>
      <c r="G1678" s="865" t="s">
        <v>70</v>
      </c>
      <c r="H1678" s="867">
        <v>508513.7962</v>
      </c>
      <c r="I1678" s="867">
        <v>572418.697</v>
      </c>
      <c r="J1678" s="868">
        <v>444900.6493</v>
      </c>
      <c r="K1678" s="50"/>
      <c r="L1678" s="869" t="s">
        <v>670</v>
      </c>
      <c r="M1678" s="865" t="s">
        <v>591</v>
      </c>
      <c r="N1678" s="865" t="s">
        <v>657</v>
      </c>
      <c r="O1678" s="866">
        <v>2004.0</v>
      </c>
      <c r="P1678" s="865" t="s">
        <v>593</v>
      </c>
      <c r="Q1678" s="865" t="s">
        <v>70</v>
      </c>
      <c r="R1678" s="867">
        <v>290914.7326</v>
      </c>
      <c r="S1678" s="867">
        <v>316060.7243</v>
      </c>
      <c r="T1678" s="868">
        <v>265740.7172</v>
      </c>
      <c r="AN1678" s="882"/>
      <c r="AO1678" s="882"/>
      <c r="AP1678" s="882"/>
      <c r="AY1678" s="882"/>
      <c r="AZ1678" s="882"/>
      <c r="BA1678" s="882"/>
      <c r="BJ1678" s="882"/>
      <c r="BK1678" s="882"/>
      <c r="BL1678" s="882"/>
      <c r="BU1678" s="882"/>
      <c r="BV1678" s="882"/>
      <c r="BW1678" s="882"/>
      <c r="CF1678" s="882"/>
      <c r="CG1678" s="882"/>
      <c r="CH1678" s="882"/>
      <c r="CI1678" s="530"/>
    </row>
    <row r="1679">
      <c r="A1679" s="857"/>
      <c r="B1679" s="865" t="s">
        <v>670</v>
      </c>
      <c r="C1679" s="865" t="s">
        <v>591</v>
      </c>
      <c r="D1679" s="865" t="s">
        <v>659</v>
      </c>
      <c r="E1679" s="866">
        <v>2019.0</v>
      </c>
      <c r="F1679" s="865" t="s">
        <v>593</v>
      </c>
      <c r="G1679" s="865" t="s">
        <v>70</v>
      </c>
      <c r="H1679" s="867">
        <v>1094308.887</v>
      </c>
      <c r="I1679" s="867">
        <v>1231830.625</v>
      </c>
      <c r="J1679" s="868">
        <v>957414.9968</v>
      </c>
      <c r="K1679" s="50"/>
      <c r="L1679" s="869" t="s">
        <v>670</v>
      </c>
      <c r="M1679" s="865" t="s">
        <v>591</v>
      </c>
      <c r="N1679" s="865" t="s">
        <v>659</v>
      </c>
      <c r="O1679" s="866">
        <v>2004.0</v>
      </c>
      <c r="P1679" s="865" t="s">
        <v>593</v>
      </c>
      <c r="Q1679" s="865" t="s">
        <v>70</v>
      </c>
      <c r="R1679" s="867">
        <v>626286.4011</v>
      </c>
      <c r="S1679" s="867">
        <v>680421.1384</v>
      </c>
      <c r="T1679" s="868">
        <v>572091.3339</v>
      </c>
      <c r="AN1679" s="882"/>
      <c r="AO1679" s="882"/>
      <c r="AP1679" s="882"/>
      <c r="AY1679" s="882"/>
      <c r="AZ1679" s="882"/>
      <c r="BA1679" s="882"/>
      <c r="BJ1679" s="882"/>
      <c r="BK1679" s="882"/>
      <c r="BL1679" s="882"/>
      <c r="BU1679" s="882"/>
      <c r="BV1679" s="882"/>
      <c r="BW1679" s="882"/>
      <c r="CF1679" s="882"/>
      <c r="CG1679" s="882"/>
      <c r="CH1679" s="882"/>
      <c r="CI1679" s="530"/>
    </row>
    <row r="1680">
      <c r="A1680" s="857"/>
      <c r="B1680" s="865" t="s">
        <v>670</v>
      </c>
      <c r="C1680" s="865" t="s">
        <v>591</v>
      </c>
      <c r="D1680" s="865" t="s">
        <v>661</v>
      </c>
      <c r="E1680" s="866">
        <v>2019.0</v>
      </c>
      <c r="F1680" s="865" t="s">
        <v>593</v>
      </c>
      <c r="G1680" s="865" t="s">
        <v>70</v>
      </c>
      <c r="H1680" s="867">
        <v>585773.9925</v>
      </c>
      <c r="I1680" s="867">
        <v>659455.193</v>
      </c>
      <c r="J1680" s="868">
        <v>512509.8733</v>
      </c>
      <c r="K1680" s="50"/>
      <c r="L1680" s="869" t="s">
        <v>670</v>
      </c>
      <c r="M1680" s="865" t="s">
        <v>591</v>
      </c>
      <c r="N1680" s="865" t="s">
        <v>661</v>
      </c>
      <c r="O1680" s="866">
        <v>2004.0</v>
      </c>
      <c r="P1680" s="865" t="s">
        <v>593</v>
      </c>
      <c r="Q1680" s="865" t="s">
        <v>70</v>
      </c>
      <c r="R1680" s="867">
        <v>335363.8955</v>
      </c>
      <c r="S1680" s="867">
        <v>364365.8421</v>
      </c>
      <c r="T1680" s="868">
        <v>306347.2426</v>
      </c>
      <c r="AN1680" s="882"/>
      <c r="AO1680" s="882"/>
      <c r="AP1680" s="882"/>
      <c r="AY1680" s="882"/>
      <c r="AZ1680" s="882"/>
      <c r="BA1680" s="882"/>
      <c r="BJ1680" s="882"/>
      <c r="BK1680" s="882"/>
      <c r="BL1680" s="882"/>
      <c r="BU1680" s="882"/>
      <c r="BV1680" s="882"/>
      <c r="BW1680" s="882"/>
      <c r="CF1680" s="882"/>
      <c r="CG1680" s="882"/>
      <c r="CH1680" s="882"/>
      <c r="CI1680" s="530"/>
    </row>
    <row r="1681">
      <c r="A1681" s="857"/>
      <c r="B1681" s="865" t="s">
        <v>670</v>
      </c>
      <c r="C1681" s="865" t="s">
        <v>591</v>
      </c>
      <c r="D1681" s="865" t="s">
        <v>663</v>
      </c>
      <c r="E1681" s="866">
        <v>2019.0</v>
      </c>
      <c r="F1681" s="865" t="s">
        <v>593</v>
      </c>
      <c r="G1681" s="865" t="s">
        <v>70</v>
      </c>
      <c r="H1681" s="867">
        <v>321767.6017</v>
      </c>
      <c r="I1681" s="867">
        <v>362204.1184</v>
      </c>
      <c r="J1681" s="868">
        <v>281515.6953</v>
      </c>
      <c r="K1681" s="50"/>
      <c r="L1681" s="869" t="s">
        <v>670</v>
      </c>
      <c r="M1681" s="865" t="s">
        <v>591</v>
      </c>
      <c r="N1681" s="865" t="s">
        <v>663</v>
      </c>
      <c r="O1681" s="866">
        <v>2004.0</v>
      </c>
      <c r="P1681" s="865" t="s">
        <v>593</v>
      </c>
      <c r="Q1681" s="865" t="s">
        <v>70</v>
      </c>
      <c r="R1681" s="867">
        <v>181563.5376</v>
      </c>
      <c r="S1681" s="867">
        <v>197257.4668</v>
      </c>
      <c r="T1681" s="868">
        <v>165852.1185</v>
      </c>
      <c r="AN1681" s="882"/>
      <c r="AO1681" s="882"/>
      <c r="AP1681" s="882"/>
      <c r="AY1681" s="882"/>
      <c r="AZ1681" s="882"/>
      <c r="BA1681" s="882"/>
      <c r="BJ1681" s="882"/>
      <c r="BK1681" s="882"/>
      <c r="BL1681" s="882"/>
      <c r="BU1681" s="882"/>
      <c r="BV1681" s="882"/>
      <c r="BW1681" s="882"/>
      <c r="CF1681" s="882"/>
      <c r="CG1681" s="882"/>
      <c r="CH1681" s="882"/>
      <c r="CI1681" s="530"/>
    </row>
    <row r="1682">
      <c r="A1682" s="857"/>
      <c r="B1682" s="865" t="s">
        <v>670</v>
      </c>
      <c r="C1682" s="865" t="s">
        <v>591</v>
      </c>
      <c r="D1682" s="865" t="s">
        <v>665</v>
      </c>
      <c r="E1682" s="866">
        <v>2019.0</v>
      </c>
      <c r="F1682" s="865" t="s">
        <v>593</v>
      </c>
      <c r="G1682" s="865" t="s">
        <v>70</v>
      </c>
      <c r="H1682" s="867">
        <v>491384.1003</v>
      </c>
      <c r="I1682" s="867">
        <v>553192.5296</v>
      </c>
      <c r="J1682" s="868">
        <v>429925.545</v>
      </c>
      <c r="K1682" s="50"/>
      <c r="L1682" s="869" t="s">
        <v>670</v>
      </c>
      <c r="M1682" s="865" t="s">
        <v>591</v>
      </c>
      <c r="N1682" s="865" t="s">
        <v>665</v>
      </c>
      <c r="O1682" s="866">
        <v>2004.0</v>
      </c>
      <c r="P1682" s="865" t="s">
        <v>593</v>
      </c>
      <c r="Q1682" s="865" t="s">
        <v>70</v>
      </c>
      <c r="R1682" s="867">
        <v>280155.2195</v>
      </c>
      <c r="S1682" s="867">
        <v>304382.773</v>
      </c>
      <c r="T1682" s="868">
        <v>255915.3807</v>
      </c>
      <c r="AN1682" s="882"/>
      <c r="AO1682" s="882"/>
      <c r="AP1682" s="882"/>
      <c r="AY1682" s="882"/>
      <c r="AZ1682" s="882"/>
      <c r="BA1682" s="882"/>
      <c r="BJ1682" s="882"/>
      <c r="BK1682" s="882"/>
      <c r="BL1682" s="882"/>
      <c r="BU1682" s="882"/>
      <c r="BV1682" s="882"/>
      <c r="BW1682" s="882"/>
      <c r="CF1682" s="882"/>
      <c r="CG1682" s="882"/>
      <c r="CH1682" s="882"/>
      <c r="CI1682" s="530"/>
    </row>
    <row r="1683">
      <c r="A1683" s="857"/>
      <c r="B1683" s="865" t="s">
        <v>670</v>
      </c>
      <c r="C1683" s="865" t="s">
        <v>591</v>
      </c>
      <c r="D1683" s="865" t="s">
        <v>667</v>
      </c>
      <c r="E1683" s="866">
        <v>2019.0</v>
      </c>
      <c r="F1683" s="865" t="s">
        <v>593</v>
      </c>
      <c r="G1683" s="865" t="s">
        <v>70</v>
      </c>
      <c r="H1683" s="867">
        <v>264027.4896</v>
      </c>
      <c r="I1683" s="867">
        <v>297207.8096</v>
      </c>
      <c r="J1683" s="868">
        <v>230998.6522</v>
      </c>
      <c r="K1683" s="50"/>
      <c r="L1683" s="869" t="s">
        <v>670</v>
      </c>
      <c r="M1683" s="865" t="s">
        <v>591</v>
      </c>
      <c r="N1683" s="865" t="s">
        <v>667</v>
      </c>
      <c r="O1683" s="866">
        <v>2004.0</v>
      </c>
      <c r="P1683" s="865" t="s">
        <v>593</v>
      </c>
      <c r="Q1683" s="865" t="s">
        <v>70</v>
      </c>
      <c r="R1683" s="867">
        <v>153808.1309</v>
      </c>
      <c r="S1683" s="867">
        <v>167102.9474</v>
      </c>
      <c r="T1683" s="868">
        <v>140498.4982</v>
      </c>
      <c r="AN1683" s="882"/>
      <c r="AO1683" s="882"/>
      <c r="AP1683" s="882"/>
      <c r="AY1683" s="882"/>
      <c r="AZ1683" s="882"/>
      <c r="BA1683" s="882"/>
      <c r="BJ1683" s="882"/>
      <c r="BK1683" s="882"/>
      <c r="BL1683" s="882"/>
      <c r="BU1683" s="882"/>
      <c r="BV1683" s="882"/>
      <c r="BW1683" s="882"/>
      <c r="CF1683" s="882"/>
      <c r="CG1683" s="882"/>
      <c r="CH1683" s="882"/>
      <c r="CI1683" s="530"/>
    </row>
    <row r="1684">
      <c r="A1684" s="857"/>
      <c r="B1684" s="865" t="s">
        <v>670</v>
      </c>
      <c r="C1684" s="865" t="s">
        <v>591</v>
      </c>
      <c r="D1684" s="865" t="s">
        <v>669</v>
      </c>
      <c r="E1684" s="866">
        <v>2019.0</v>
      </c>
      <c r="F1684" s="865" t="s">
        <v>593</v>
      </c>
      <c r="G1684" s="865" t="s">
        <v>70</v>
      </c>
      <c r="H1684" s="867">
        <v>169634.1975</v>
      </c>
      <c r="I1684" s="867">
        <v>190952.1178</v>
      </c>
      <c r="J1684" s="868">
        <v>148413.6029</v>
      </c>
      <c r="K1684" s="50"/>
      <c r="L1684" s="869" t="s">
        <v>670</v>
      </c>
      <c r="M1684" s="865" t="s">
        <v>591</v>
      </c>
      <c r="N1684" s="865" t="s">
        <v>669</v>
      </c>
      <c r="O1684" s="866">
        <v>2004.0</v>
      </c>
      <c r="P1684" s="865" t="s">
        <v>593</v>
      </c>
      <c r="Q1684" s="865" t="s">
        <v>70</v>
      </c>
      <c r="R1684" s="867">
        <v>98598.1753</v>
      </c>
      <c r="S1684" s="867">
        <v>107120.7719</v>
      </c>
      <c r="T1684" s="868">
        <v>90066.08083</v>
      </c>
      <c r="AN1684" s="882"/>
      <c r="AO1684" s="882"/>
      <c r="AP1684" s="882"/>
      <c r="AY1684" s="882"/>
      <c r="AZ1684" s="882"/>
      <c r="BA1684" s="882"/>
      <c r="BJ1684" s="882"/>
      <c r="BK1684" s="882"/>
      <c r="BL1684" s="882"/>
      <c r="BU1684" s="882"/>
      <c r="BV1684" s="882"/>
      <c r="BW1684" s="882"/>
      <c r="CF1684" s="882"/>
      <c r="CG1684" s="882"/>
      <c r="CH1684" s="882"/>
      <c r="CI1684" s="530"/>
    </row>
    <row r="1685">
      <c r="A1685" s="857"/>
      <c r="B1685" s="865" t="s">
        <v>670</v>
      </c>
      <c r="C1685" s="865" t="s">
        <v>591</v>
      </c>
      <c r="D1685" s="865" t="s">
        <v>671</v>
      </c>
      <c r="E1685" s="866">
        <v>2019.0</v>
      </c>
      <c r="F1685" s="865" t="s">
        <v>593</v>
      </c>
      <c r="G1685" s="865" t="s">
        <v>70</v>
      </c>
      <c r="H1685" s="867">
        <v>94389.89223</v>
      </c>
      <c r="I1685" s="867">
        <v>106262.6634</v>
      </c>
      <c r="J1685" s="868">
        <v>82584.3283</v>
      </c>
      <c r="K1685" s="50"/>
      <c r="L1685" s="869" t="s">
        <v>670</v>
      </c>
      <c r="M1685" s="865" t="s">
        <v>591</v>
      </c>
      <c r="N1685" s="865" t="s">
        <v>671</v>
      </c>
      <c r="O1685" s="866">
        <v>2004.0</v>
      </c>
      <c r="P1685" s="865" t="s">
        <v>593</v>
      </c>
      <c r="Q1685" s="865" t="s">
        <v>70</v>
      </c>
      <c r="R1685" s="867">
        <v>55208.67598</v>
      </c>
      <c r="S1685" s="867">
        <v>59983.06909</v>
      </c>
      <c r="T1685" s="868">
        <v>50431.86187</v>
      </c>
      <c r="AN1685" s="882"/>
      <c r="AO1685" s="882"/>
      <c r="AP1685" s="882"/>
      <c r="AY1685" s="882"/>
      <c r="AZ1685" s="882"/>
      <c r="BA1685" s="882"/>
      <c r="BJ1685" s="882"/>
      <c r="BK1685" s="882"/>
      <c r="BL1685" s="882"/>
      <c r="BU1685" s="882"/>
      <c r="BV1685" s="882"/>
      <c r="BW1685" s="882"/>
      <c r="CF1685" s="882"/>
      <c r="CG1685" s="882"/>
      <c r="CH1685" s="882"/>
      <c r="CI1685" s="530"/>
    </row>
    <row r="1686">
      <c r="A1686" s="857"/>
      <c r="B1686" s="865" t="s">
        <v>670</v>
      </c>
      <c r="C1686" s="865" t="s">
        <v>591</v>
      </c>
      <c r="D1686" s="865" t="s">
        <v>673</v>
      </c>
      <c r="E1686" s="866">
        <v>2019.0</v>
      </c>
      <c r="F1686" s="865" t="s">
        <v>593</v>
      </c>
      <c r="G1686" s="865" t="s">
        <v>70</v>
      </c>
      <c r="H1686" s="867">
        <v>68631.32698</v>
      </c>
      <c r="I1686" s="867">
        <v>77256.22206</v>
      </c>
      <c r="J1686" s="868">
        <v>60045.80832</v>
      </c>
      <c r="K1686" s="50"/>
      <c r="L1686" s="869" t="s">
        <v>670</v>
      </c>
      <c r="M1686" s="865" t="s">
        <v>591</v>
      </c>
      <c r="N1686" s="865" t="s">
        <v>673</v>
      </c>
      <c r="O1686" s="866">
        <v>2004.0</v>
      </c>
      <c r="P1686" s="865" t="s">
        <v>593</v>
      </c>
      <c r="Q1686" s="865" t="s">
        <v>70</v>
      </c>
      <c r="R1686" s="867">
        <v>40614.37465</v>
      </c>
      <c r="S1686" s="867">
        <v>44124.98657</v>
      </c>
      <c r="T1686" s="868">
        <v>37099.85037</v>
      </c>
      <c r="AN1686" s="882"/>
      <c r="AO1686" s="882"/>
      <c r="AP1686" s="882"/>
      <c r="AY1686" s="882"/>
      <c r="AZ1686" s="882"/>
      <c r="BA1686" s="882"/>
      <c r="BJ1686" s="882"/>
      <c r="BK1686" s="882"/>
      <c r="BL1686" s="882"/>
      <c r="BU1686" s="882"/>
      <c r="BV1686" s="882"/>
      <c r="BW1686" s="882"/>
      <c r="CF1686" s="882"/>
      <c r="CG1686" s="882"/>
      <c r="CH1686" s="882"/>
      <c r="CI1686" s="530"/>
    </row>
    <row r="1687">
      <c r="A1687" s="857"/>
      <c r="B1687" s="865" t="s">
        <v>670</v>
      </c>
      <c r="C1687" s="865" t="s">
        <v>591</v>
      </c>
      <c r="D1687" s="865" t="s">
        <v>674</v>
      </c>
      <c r="E1687" s="866">
        <v>2019.0</v>
      </c>
      <c r="F1687" s="865" t="s">
        <v>593</v>
      </c>
      <c r="G1687" s="865" t="s">
        <v>70</v>
      </c>
      <c r="H1687" s="867">
        <v>20579.27033</v>
      </c>
      <c r="I1687" s="867">
        <v>23165.4661</v>
      </c>
      <c r="J1687" s="868">
        <v>18004.88168</v>
      </c>
      <c r="K1687" s="50"/>
      <c r="L1687" s="869" t="s">
        <v>670</v>
      </c>
      <c r="M1687" s="865" t="s">
        <v>591</v>
      </c>
      <c r="N1687" s="865" t="s">
        <v>674</v>
      </c>
      <c r="O1687" s="866">
        <v>2004.0</v>
      </c>
      <c r="P1687" s="865" t="s">
        <v>593</v>
      </c>
      <c r="Q1687" s="865" t="s">
        <v>70</v>
      </c>
      <c r="R1687" s="867">
        <v>11948.02444</v>
      </c>
      <c r="S1687" s="867">
        <v>12980.78383</v>
      </c>
      <c r="T1687" s="868">
        <v>10914.1141</v>
      </c>
      <c r="AN1687" s="882"/>
      <c r="AO1687" s="882"/>
      <c r="AP1687" s="882"/>
      <c r="AY1687" s="882"/>
      <c r="AZ1687" s="882"/>
      <c r="BA1687" s="882"/>
      <c r="BJ1687" s="882"/>
      <c r="BK1687" s="882"/>
      <c r="BL1687" s="882"/>
      <c r="BU1687" s="882"/>
      <c r="BV1687" s="882"/>
      <c r="BW1687" s="882"/>
      <c r="CF1687" s="882"/>
      <c r="CG1687" s="882"/>
      <c r="CH1687" s="882"/>
      <c r="CI1687" s="530"/>
    </row>
    <row r="1688">
      <c r="A1688" s="857"/>
      <c r="B1688" s="865" t="s">
        <v>670</v>
      </c>
      <c r="C1688" s="865" t="s">
        <v>591</v>
      </c>
      <c r="D1688" s="865" t="s">
        <v>676</v>
      </c>
      <c r="E1688" s="866">
        <v>2019.0</v>
      </c>
      <c r="F1688" s="865" t="s">
        <v>593</v>
      </c>
      <c r="G1688" s="865" t="s">
        <v>70</v>
      </c>
      <c r="H1688" s="867">
        <v>5182.694708</v>
      </c>
      <c r="I1688" s="867">
        <v>5834.003667</v>
      </c>
      <c r="J1688" s="868">
        <v>4534.35926</v>
      </c>
      <c r="K1688" s="50"/>
      <c r="L1688" s="869" t="s">
        <v>670</v>
      </c>
      <c r="M1688" s="865" t="s">
        <v>591</v>
      </c>
      <c r="N1688" s="865" t="s">
        <v>676</v>
      </c>
      <c r="O1688" s="866">
        <v>2004.0</v>
      </c>
      <c r="P1688" s="865" t="s">
        <v>593</v>
      </c>
      <c r="Q1688" s="865" t="s">
        <v>70</v>
      </c>
      <c r="R1688" s="867">
        <v>2647.556508</v>
      </c>
      <c r="S1688" s="867">
        <v>2876.405124</v>
      </c>
      <c r="T1688" s="868">
        <v>2418.452854</v>
      </c>
      <c r="AN1688" s="882"/>
      <c r="AO1688" s="882"/>
      <c r="AP1688" s="882"/>
      <c r="AY1688" s="882"/>
      <c r="AZ1688" s="882"/>
      <c r="BA1688" s="882"/>
      <c r="BJ1688" s="882"/>
      <c r="BK1688" s="882"/>
      <c r="BL1688" s="882"/>
      <c r="BU1688" s="882"/>
      <c r="BV1688" s="882"/>
      <c r="BW1688" s="882"/>
      <c r="CF1688" s="882"/>
      <c r="CG1688" s="882"/>
      <c r="CH1688" s="882"/>
      <c r="CI1688" s="530"/>
    </row>
    <row r="1689">
      <c r="A1689" s="857"/>
      <c r="B1689" s="865" t="s">
        <v>670</v>
      </c>
      <c r="C1689" s="865" t="s">
        <v>591</v>
      </c>
      <c r="D1689" s="865" t="s">
        <v>678</v>
      </c>
      <c r="E1689" s="866">
        <v>2019.0</v>
      </c>
      <c r="F1689" s="865" t="s">
        <v>593</v>
      </c>
      <c r="G1689" s="865" t="s">
        <v>70</v>
      </c>
      <c r="H1689" s="867">
        <v>3.04163824E7</v>
      </c>
      <c r="I1689" s="867">
        <v>3.42388075E7</v>
      </c>
      <c r="J1689" s="868">
        <v>2.661140834E7</v>
      </c>
      <c r="K1689" s="50"/>
      <c r="L1689" s="869" t="s">
        <v>670</v>
      </c>
      <c r="M1689" s="865" t="s">
        <v>591</v>
      </c>
      <c r="N1689" s="865" t="s">
        <v>678</v>
      </c>
      <c r="O1689" s="866">
        <v>2004.0</v>
      </c>
      <c r="P1689" s="865" t="s">
        <v>593</v>
      </c>
      <c r="Q1689" s="865" t="s">
        <v>70</v>
      </c>
      <c r="R1689" s="867">
        <v>2.561553125E7</v>
      </c>
      <c r="S1689" s="867">
        <v>2.782967809E7</v>
      </c>
      <c r="T1689" s="868">
        <v>2.339891688E7</v>
      </c>
      <c r="AN1689" s="882"/>
      <c r="AO1689" s="882"/>
      <c r="AP1689" s="882"/>
      <c r="AY1689" s="882"/>
      <c r="AZ1689" s="882"/>
      <c r="BA1689" s="882"/>
      <c r="BJ1689" s="882"/>
      <c r="BK1689" s="882"/>
      <c r="BL1689" s="882"/>
      <c r="BU1689" s="882"/>
      <c r="BV1689" s="882"/>
      <c r="BW1689" s="882"/>
      <c r="CF1689" s="882"/>
      <c r="CG1689" s="882"/>
      <c r="CH1689" s="882"/>
      <c r="CI1689" s="530"/>
    </row>
    <row r="1690">
      <c r="A1690" s="857"/>
      <c r="B1690" s="865" t="s">
        <v>670</v>
      </c>
      <c r="C1690" s="865" t="s">
        <v>591</v>
      </c>
      <c r="D1690" s="865" t="s">
        <v>680</v>
      </c>
      <c r="E1690" s="866">
        <v>2019.0</v>
      </c>
      <c r="F1690" s="865" t="s">
        <v>593</v>
      </c>
      <c r="G1690" s="865" t="s">
        <v>70</v>
      </c>
      <c r="H1690" s="867">
        <v>618079.2115</v>
      </c>
      <c r="I1690" s="867">
        <v>704184.6376</v>
      </c>
      <c r="J1690" s="868">
        <v>546540.9286</v>
      </c>
      <c r="K1690" s="50"/>
      <c r="L1690" s="869" t="s">
        <v>670</v>
      </c>
      <c r="M1690" s="865" t="s">
        <v>591</v>
      </c>
      <c r="N1690" s="865" t="s">
        <v>680</v>
      </c>
      <c r="O1690" s="866">
        <v>2004.0</v>
      </c>
      <c r="P1690" s="865" t="s">
        <v>593</v>
      </c>
      <c r="Q1690" s="865" t="s">
        <v>70</v>
      </c>
      <c r="R1690" s="867">
        <v>740225.1751</v>
      </c>
      <c r="S1690" s="867">
        <v>772700.9826</v>
      </c>
      <c r="T1690" s="868">
        <v>708093.4515</v>
      </c>
      <c r="AN1690" s="882"/>
      <c r="AO1690" s="882"/>
      <c r="AP1690" s="882"/>
      <c r="AY1690" s="882"/>
      <c r="AZ1690" s="882"/>
      <c r="BA1690" s="882"/>
      <c r="BJ1690" s="882"/>
      <c r="BK1690" s="882"/>
      <c r="BL1690" s="882"/>
      <c r="BU1690" s="882"/>
      <c r="BV1690" s="882"/>
      <c r="BW1690" s="882"/>
      <c r="CF1690" s="882"/>
      <c r="CG1690" s="882"/>
      <c r="CH1690" s="882"/>
      <c r="CI1690" s="530"/>
    </row>
    <row r="1691">
      <c r="A1691" s="857"/>
      <c r="B1691" s="865" t="s">
        <v>670</v>
      </c>
      <c r="C1691" s="865" t="s">
        <v>591</v>
      </c>
      <c r="D1691" s="865" t="s">
        <v>682</v>
      </c>
      <c r="E1691" s="866">
        <v>2019.0</v>
      </c>
      <c r="F1691" s="865" t="s">
        <v>593</v>
      </c>
      <c r="G1691" s="865" t="s">
        <v>70</v>
      </c>
      <c r="H1691" s="867">
        <v>11706.24453</v>
      </c>
      <c r="I1691" s="867">
        <v>13177.36764</v>
      </c>
      <c r="J1691" s="868">
        <v>10241.83775</v>
      </c>
      <c r="K1691" s="50"/>
      <c r="L1691" s="869" t="s">
        <v>670</v>
      </c>
      <c r="M1691" s="865" t="s">
        <v>591</v>
      </c>
      <c r="N1691" s="865" t="s">
        <v>682</v>
      </c>
      <c r="O1691" s="866">
        <v>2004.0</v>
      </c>
      <c r="P1691" s="865" t="s">
        <v>593</v>
      </c>
      <c r="Q1691" s="865" t="s">
        <v>70</v>
      </c>
      <c r="R1691" s="867">
        <v>13877.38654</v>
      </c>
      <c r="S1691" s="867">
        <v>15076.9155</v>
      </c>
      <c r="T1691" s="868">
        <v>12676.52078</v>
      </c>
      <c r="AN1691" s="882"/>
      <c r="AO1691" s="882"/>
      <c r="AP1691" s="882"/>
      <c r="AY1691" s="882"/>
      <c r="AZ1691" s="882"/>
      <c r="BA1691" s="882"/>
      <c r="BJ1691" s="882"/>
      <c r="BK1691" s="882"/>
      <c r="BL1691" s="882"/>
      <c r="BU1691" s="882"/>
      <c r="BV1691" s="882"/>
      <c r="BW1691" s="882"/>
      <c r="CF1691" s="882"/>
      <c r="CG1691" s="882"/>
      <c r="CH1691" s="882"/>
      <c r="CI1691" s="530"/>
    </row>
    <row r="1692">
      <c r="A1692" s="857"/>
      <c r="B1692" s="865" t="s">
        <v>670</v>
      </c>
      <c r="C1692" s="865" t="s">
        <v>591</v>
      </c>
      <c r="D1692" s="865" t="s">
        <v>684</v>
      </c>
      <c r="E1692" s="866">
        <v>2019.0</v>
      </c>
      <c r="F1692" s="865" t="s">
        <v>593</v>
      </c>
      <c r="G1692" s="865" t="s">
        <v>70</v>
      </c>
      <c r="H1692" s="867">
        <v>34776.42472</v>
      </c>
      <c r="I1692" s="867">
        <v>39146.7761</v>
      </c>
      <c r="J1692" s="868">
        <v>30426.02591</v>
      </c>
      <c r="K1692" s="50"/>
      <c r="L1692" s="869" t="s">
        <v>670</v>
      </c>
      <c r="M1692" s="865" t="s">
        <v>591</v>
      </c>
      <c r="N1692" s="865" t="s">
        <v>684</v>
      </c>
      <c r="O1692" s="866">
        <v>2004.0</v>
      </c>
      <c r="P1692" s="865" t="s">
        <v>593</v>
      </c>
      <c r="Q1692" s="865" t="s">
        <v>70</v>
      </c>
      <c r="R1692" s="867">
        <v>40896.19869</v>
      </c>
      <c r="S1692" s="867">
        <v>44431.17082</v>
      </c>
      <c r="T1692" s="868">
        <v>37357.28705</v>
      </c>
      <c r="AN1692" s="882"/>
      <c r="AO1692" s="882"/>
      <c r="AP1692" s="882"/>
      <c r="AY1692" s="882"/>
      <c r="AZ1692" s="882"/>
      <c r="BA1692" s="882"/>
      <c r="BJ1692" s="882"/>
      <c r="BK1692" s="882"/>
      <c r="BL1692" s="882"/>
      <c r="BU1692" s="882"/>
      <c r="BV1692" s="882"/>
      <c r="BW1692" s="882"/>
      <c r="CF1692" s="882"/>
      <c r="CG1692" s="882"/>
      <c r="CH1692" s="882"/>
      <c r="CI1692" s="530"/>
    </row>
    <row r="1693">
      <c r="A1693" s="857"/>
      <c r="B1693" s="865" t="s">
        <v>670</v>
      </c>
      <c r="C1693" s="865" t="s">
        <v>591</v>
      </c>
      <c r="D1693" s="865" t="s">
        <v>686</v>
      </c>
      <c r="E1693" s="866">
        <v>2019.0</v>
      </c>
      <c r="F1693" s="865" t="s">
        <v>593</v>
      </c>
      <c r="G1693" s="865" t="s">
        <v>70</v>
      </c>
      <c r="H1693" s="867">
        <v>46482.66925</v>
      </c>
      <c r="I1693" s="867">
        <v>52324.14374</v>
      </c>
      <c r="J1693" s="868">
        <v>40667.86366</v>
      </c>
      <c r="K1693" s="50"/>
      <c r="L1693" s="869" t="s">
        <v>670</v>
      </c>
      <c r="M1693" s="865" t="s">
        <v>591</v>
      </c>
      <c r="N1693" s="865" t="s">
        <v>686</v>
      </c>
      <c r="O1693" s="866">
        <v>2004.0</v>
      </c>
      <c r="P1693" s="865" t="s">
        <v>593</v>
      </c>
      <c r="Q1693" s="865" t="s">
        <v>70</v>
      </c>
      <c r="R1693" s="867">
        <v>54773.58523</v>
      </c>
      <c r="S1693" s="867">
        <v>59508.08632</v>
      </c>
      <c r="T1693" s="868">
        <v>50033.80783</v>
      </c>
      <c r="AN1693" s="882"/>
      <c r="AO1693" s="882"/>
      <c r="AP1693" s="882"/>
      <c r="AY1693" s="882"/>
      <c r="AZ1693" s="882"/>
      <c r="BA1693" s="882"/>
      <c r="BJ1693" s="882"/>
      <c r="BK1693" s="882"/>
      <c r="BL1693" s="882"/>
      <c r="BU1693" s="882"/>
      <c r="BV1693" s="882"/>
      <c r="BW1693" s="882"/>
      <c r="CF1693" s="882"/>
      <c r="CG1693" s="882"/>
      <c r="CH1693" s="882"/>
      <c r="CI1693" s="530"/>
    </row>
    <row r="1694">
      <c r="A1694" s="857"/>
      <c r="B1694" s="865" t="s">
        <v>670</v>
      </c>
      <c r="C1694" s="865" t="s">
        <v>591</v>
      </c>
      <c r="D1694" s="865" t="s">
        <v>688</v>
      </c>
      <c r="E1694" s="866">
        <v>2019.0</v>
      </c>
      <c r="F1694" s="865" t="s">
        <v>593</v>
      </c>
      <c r="G1694" s="865" t="s">
        <v>70</v>
      </c>
      <c r="H1694" s="867">
        <v>553765.8116</v>
      </c>
      <c r="I1694" s="867">
        <v>623357.5306</v>
      </c>
      <c r="J1694" s="868">
        <v>484491.8092</v>
      </c>
      <c r="K1694" s="50"/>
      <c r="L1694" s="869" t="s">
        <v>670</v>
      </c>
      <c r="M1694" s="865" t="s">
        <v>591</v>
      </c>
      <c r="N1694" s="865" t="s">
        <v>688</v>
      </c>
      <c r="O1694" s="866">
        <v>2004.0</v>
      </c>
      <c r="P1694" s="865" t="s">
        <v>593</v>
      </c>
      <c r="Q1694" s="865" t="s">
        <v>70</v>
      </c>
      <c r="R1694" s="867">
        <v>653911.0663</v>
      </c>
      <c r="S1694" s="867">
        <v>710433.6154</v>
      </c>
      <c r="T1694" s="868">
        <v>597325.5264</v>
      </c>
      <c r="AN1694" s="882"/>
      <c r="AO1694" s="882"/>
      <c r="AP1694" s="882"/>
      <c r="AY1694" s="882"/>
      <c r="AZ1694" s="882"/>
      <c r="BA1694" s="882"/>
      <c r="BJ1694" s="882"/>
      <c r="BK1694" s="882"/>
      <c r="BL1694" s="882"/>
      <c r="BU1694" s="882"/>
      <c r="BV1694" s="882"/>
      <c r="BW1694" s="882"/>
      <c r="CF1694" s="882"/>
      <c r="CG1694" s="882"/>
      <c r="CH1694" s="882"/>
      <c r="CI1694" s="530"/>
    </row>
    <row r="1695">
      <c r="A1695" s="857"/>
      <c r="B1695" s="865" t="s">
        <v>670</v>
      </c>
      <c r="C1695" s="865" t="s">
        <v>591</v>
      </c>
      <c r="D1695" s="865" t="s">
        <v>689</v>
      </c>
      <c r="E1695" s="866">
        <v>2019.0</v>
      </c>
      <c r="F1695" s="865" t="s">
        <v>593</v>
      </c>
      <c r="G1695" s="865" t="s">
        <v>70</v>
      </c>
      <c r="H1695" s="867">
        <v>2995967.681</v>
      </c>
      <c r="I1695" s="867">
        <v>3372470.774</v>
      </c>
      <c r="J1695" s="868">
        <v>2621183.489</v>
      </c>
      <c r="K1695" s="50"/>
      <c r="L1695" s="869" t="s">
        <v>670</v>
      </c>
      <c r="M1695" s="865" t="s">
        <v>591</v>
      </c>
      <c r="N1695" s="865" t="s">
        <v>689</v>
      </c>
      <c r="O1695" s="866">
        <v>2004.0</v>
      </c>
      <c r="P1695" s="865" t="s">
        <v>593</v>
      </c>
      <c r="Q1695" s="865" t="s">
        <v>70</v>
      </c>
      <c r="R1695" s="867">
        <v>3520153.26</v>
      </c>
      <c r="S1695" s="867">
        <v>3824427.107</v>
      </c>
      <c r="T1695" s="868">
        <v>3215540.319</v>
      </c>
      <c r="AN1695" s="882"/>
      <c r="AO1695" s="882"/>
      <c r="AP1695" s="882"/>
      <c r="AY1695" s="882"/>
      <c r="AZ1695" s="882"/>
      <c r="BA1695" s="882"/>
      <c r="BJ1695" s="882"/>
      <c r="BK1695" s="882"/>
      <c r="BL1695" s="882"/>
      <c r="BU1695" s="882"/>
      <c r="BV1695" s="882"/>
      <c r="BW1695" s="882"/>
      <c r="CF1695" s="882"/>
      <c r="CG1695" s="882"/>
      <c r="CH1695" s="882"/>
      <c r="CI1695" s="530"/>
    </row>
    <row r="1696">
      <c r="A1696" s="857"/>
      <c r="B1696" s="865" t="s">
        <v>672</v>
      </c>
      <c r="C1696" s="865" t="s">
        <v>591</v>
      </c>
      <c r="D1696" s="865" t="s">
        <v>592</v>
      </c>
      <c r="E1696" s="866">
        <v>2019.0</v>
      </c>
      <c r="F1696" s="865" t="s">
        <v>593</v>
      </c>
      <c r="G1696" s="865" t="s">
        <v>70</v>
      </c>
      <c r="H1696" s="867">
        <v>1082852.597</v>
      </c>
      <c r="I1696" s="867">
        <v>1205396.376</v>
      </c>
      <c r="J1696" s="868">
        <v>966750.753</v>
      </c>
      <c r="K1696" s="50"/>
      <c r="L1696" s="869" t="s">
        <v>672</v>
      </c>
      <c r="M1696" s="865" t="s">
        <v>591</v>
      </c>
      <c r="N1696" s="865" t="s">
        <v>592</v>
      </c>
      <c r="O1696" s="866">
        <v>2004.0</v>
      </c>
      <c r="P1696" s="865" t="s">
        <v>593</v>
      </c>
      <c r="Q1696" s="865" t="s">
        <v>70</v>
      </c>
      <c r="R1696" s="867">
        <v>677790.9836</v>
      </c>
      <c r="S1696" s="867">
        <v>732802.7403</v>
      </c>
      <c r="T1696" s="868">
        <v>618663.312</v>
      </c>
      <c r="AN1696" s="882"/>
      <c r="AO1696" s="882"/>
      <c r="AP1696" s="882"/>
      <c r="AY1696" s="882"/>
      <c r="AZ1696" s="882"/>
      <c r="BA1696" s="882"/>
      <c r="BJ1696" s="882"/>
      <c r="BK1696" s="882"/>
      <c r="BL1696" s="882"/>
      <c r="BU1696" s="882"/>
      <c r="BV1696" s="882"/>
      <c r="BW1696" s="882"/>
      <c r="CF1696" s="882"/>
      <c r="CG1696" s="882"/>
      <c r="CH1696" s="882"/>
      <c r="CI1696" s="530"/>
    </row>
    <row r="1697">
      <c r="A1697" s="857"/>
      <c r="B1697" s="865" t="s">
        <v>672</v>
      </c>
      <c r="C1697" s="865" t="s">
        <v>591</v>
      </c>
      <c r="D1697" s="865" t="s">
        <v>601</v>
      </c>
      <c r="E1697" s="866">
        <v>2019.0</v>
      </c>
      <c r="F1697" s="865" t="s">
        <v>593</v>
      </c>
      <c r="G1697" s="865" t="s">
        <v>70</v>
      </c>
      <c r="H1697" s="867">
        <v>1.455789304E7</v>
      </c>
      <c r="I1697" s="867">
        <v>1.620537417E7</v>
      </c>
      <c r="J1697" s="868">
        <v>1.299701741E7</v>
      </c>
      <c r="K1697" s="50"/>
      <c r="L1697" s="869" t="s">
        <v>672</v>
      </c>
      <c r="M1697" s="865" t="s">
        <v>591</v>
      </c>
      <c r="N1697" s="865" t="s">
        <v>601</v>
      </c>
      <c r="O1697" s="866">
        <v>2004.0</v>
      </c>
      <c r="P1697" s="865" t="s">
        <v>593</v>
      </c>
      <c r="Q1697" s="865" t="s">
        <v>70</v>
      </c>
      <c r="R1697" s="867">
        <v>7858557.145</v>
      </c>
      <c r="S1697" s="867">
        <v>8496383.619</v>
      </c>
      <c r="T1697" s="868">
        <v>7173009.244</v>
      </c>
      <c r="AN1697" s="882"/>
      <c r="AO1697" s="882"/>
      <c r="AP1697" s="882"/>
      <c r="AY1697" s="882"/>
      <c r="AZ1697" s="882"/>
      <c r="BA1697" s="882"/>
      <c r="BJ1697" s="882"/>
      <c r="BK1697" s="882"/>
      <c r="BL1697" s="882"/>
      <c r="BU1697" s="882"/>
      <c r="BV1697" s="882"/>
      <c r="BW1697" s="882"/>
      <c r="CF1697" s="882"/>
      <c r="CG1697" s="882"/>
      <c r="CH1697" s="882"/>
      <c r="CI1697" s="530"/>
    </row>
    <row r="1698">
      <c r="A1698" s="857"/>
      <c r="B1698" s="865" t="s">
        <v>672</v>
      </c>
      <c r="C1698" s="865" t="s">
        <v>591</v>
      </c>
      <c r="D1698" s="865" t="s">
        <v>606</v>
      </c>
      <c r="E1698" s="866">
        <v>2019.0</v>
      </c>
      <c r="F1698" s="865" t="s">
        <v>593</v>
      </c>
      <c r="G1698" s="865" t="s">
        <v>70</v>
      </c>
      <c r="H1698" s="867">
        <v>1.202242967E7</v>
      </c>
      <c r="I1698" s="867">
        <v>1.338297861E7</v>
      </c>
      <c r="J1698" s="868">
        <v>1.073340265E7</v>
      </c>
      <c r="K1698" s="50"/>
      <c r="L1698" s="869" t="s">
        <v>672</v>
      </c>
      <c r="M1698" s="865" t="s">
        <v>591</v>
      </c>
      <c r="N1698" s="865" t="s">
        <v>606</v>
      </c>
      <c r="O1698" s="866">
        <v>2004.0</v>
      </c>
      <c r="P1698" s="865" t="s">
        <v>593</v>
      </c>
      <c r="Q1698" s="865" t="s">
        <v>70</v>
      </c>
      <c r="R1698" s="867">
        <v>6612135.932</v>
      </c>
      <c r="S1698" s="867">
        <v>7148798.741</v>
      </c>
      <c r="T1698" s="868">
        <v>6035320.643</v>
      </c>
      <c r="AN1698" s="882"/>
      <c r="AO1698" s="882"/>
      <c r="AP1698" s="882"/>
      <c r="AY1698" s="882"/>
      <c r="AZ1698" s="882"/>
      <c r="BA1698" s="882"/>
      <c r="BJ1698" s="882"/>
      <c r="BK1698" s="882"/>
      <c r="BL1698" s="882"/>
      <c r="BU1698" s="882"/>
      <c r="BV1698" s="882"/>
      <c r="BW1698" s="882"/>
      <c r="CF1698" s="882"/>
      <c r="CG1698" s="882"/>
      <c r="CH1698" s="882"/>
      <c r="CI1698" s="530"/>
    </row>
    <row r="1699">
      <c r="A1699" s="857"/>
      <c r="B1699" s="865" t="s">
        <v>672</v>
      </c>
      <c r="C1699" s="865" t="s">
        <v>591</v>
      </c>
      <c r="D1699" s="865" t="s">
        <v>608</v>
      </c>
      <c r="E1699" s="866">
        <v>2019.0</v>
      </c>
      <c r="F1699" s="865" t="s">
        <v>593</v>
      </c>
      <c r="G1699" s="865" t="s">
        <v>70</v>
      </c>
      <c r="H1699" s="867">
        <v>3770011.017</v>
      </c>
      <c r="I1699" s="867">
        <v>4196653.938</v>
      </c>
      <c r="J1699" s="868">
        <v>3365796.045</v>
      </c>
      <c r="K1699" s="50"/>
      <c r="L1699" s="869" t="s">
        <v>672</v>
      </c>
      <c r="M1699" s="865" t="s">
        <v>591</v>
      </c>
      <c r="N1699" s="865" t="s">
        <v>608</v>
      </c>
      <c r="O1699" s="866">
        <v>2004.0</v>
      </c>
      <c r="P1699" s="865" t="s">
        <v>593</v>
      </c>
      <c r="Q1699" s="865" t="s">
        <v>70</v>
      </c>
      <c r="R1699" s="867">
        <v>2229444.902</v>
      </c>
      <c r="S1699" s="867">
        <v>2410394.02</v>
      </c>
      <c r="T1699" s="868">
        <v>2034957.384</v>
      </c>
      <c r="AN1699" s="882"/>
      <c r="AO1699" s="882"/>
      <c r="AP1699" s="882"/>
      <c r="AY1699" s="882"/>
      <c r="AZ1699" s="882"/>
      <c r="BA1699" s="882"/>
      <c r="BJ1699" s="882"/>
      <c r="BK1699" s="882"/>
      <c r="BL1699" s="882"/>
      <c r="BU1699" s="882"/>
      <c r="BV1699" s="882"/>
      <c r="BW1699" s="882"/>
      <c r="CF1699" s="882"/>
      <c r="CG1699" s="882"/>
      <c r="CH1699" s="882"/>
      <c r="CI1699" s="530"/>
    </row>
    <row r="1700">
      <c r="A1700" s="857"/>
      <c r="B1700" s="865" t="s">
        <v>672</v>
      </c>
      <c r="C1700" s="865" t="s">
        <v>591</v>
      </c>
      <c r="D1700" s="865" t="s">
        <v>610</v>
      </c>
      <c r="E1700" s="866">
        <v>2019.0</v>
      </c>
      <c r="F1700" s="865" t="s">
        <v>593</v>
      </c>
      <c r="G1700" s="865" t="s">
        <v>70</v>
      </c>
      <c r="H1700" s="867">
        <v>3197677.362</v>
      </c>
      <c r="I1700" s="867">
        <v>3559550.683</v>
      </c>
      <c r="J1700" s="868">
        <v>2854827.153</v>
      </c>
      <c r="K1700" s="50"/>
      <c r="L1700" s="869" t="s">
        <v>672</v>
      </c>
      <c r="M1700" s="865" t="s">
        <v>591</v>
      </c>
      <c r="N1700" s="865" t="s">
        <v>610</v>
      </c>
      <c r="O1700" s="866">
        <v>2004.0</v>
      </c>
      <c r="P1700" s="865" t="s">
        <v>593</v>
      </c>
      <c r="Q1700" s="865" t="s">
        <v>70</v>
      </c>
      <c r="R1700" s="867">
        <v>1553347.525</v>
      </c>
      <c r="S1700" s="867">
        <v>1679422.344</v>
      </c>
      <c r="T1700" s="868">
        <v>1417839.935</v>
      </c>
      <c r="AN1700" s="882"/>
      <c r="AO1700" s="882"/>
      <c r="AP1700" s="882"/>
      <c r="AY1700" s="882"/>
      <c r="AZ1700" s="882"/>
      <c r="BA1700" s="882"/>
      <c r="BJ1700" s="882"/>
      <c r="BK1700" s="882"/>
      <c r="BL1700" s="882"/>
      <c r="BU1700" s="882"/>
      <c r="BV1700" s="882"/>
      <c r="BW1700" s="882"/>
      <c r="CF1700" s="882"/>
      <c r="CG1700" s="882"/>
      <c r="CH1700" s="882"/>
      <c r="CI1700" s="530"/>
    </row>
    <row r="1701">
      <c r="A1701" s="857"/>
      <c r="B1701" s="865" t="s">
        <v>672</v>
      </c>
      <c r="C1701" s="865" t="s">
        <v>591</v>
      </c>
      <c r="D1701" s="865" t="s">
        <v>612</v>
      </c>
      <c r="E1701" s="866">
        <v>2019.0</v>
      </c>
      <c r="F1701" s="865" t="s">
        <v>593</v>
      </c>
      <c r="G1701" s="865" t="s">
        <v>70</v>
      </c>
      <c r="H1701" s="867">
        <v>5733140.737</v>
      </c>
      <c r="I1701" s="867">
        <v>6381946.244</v>
      </c>
      <c r="J1701" s="868">
        <v>5118441.917</v>
      </c>
      <c r="K1701" s="50"/>
      <c r="L1701" s="869" t="s">
        <v>672</v>
      </c>
      <c r="M1701" s="865" t="s">
        <v>591</v>
      </c>
      <c r="N1701" s="865" t="s">
        <v>612</v>
      </c>
      <c r="O1701" s="866">
        <v>2004.0</v>
      </c>
      <c r="P1701" s="865" t="s">
        <v>593</v>
      </c>
      <c r="Q1701" s="865" t="s">
        <v>70</v>
      </c>
      <c r="R1701" s="867">
        <v>2799768.738</v>
      </c>
      <c r="S1701" s="867">
        <v>3027007.223</v>
      </c>
      <c r="T1701" s="868">
        <v>2555528.536</v>
      </c>
      <c r="AN1701" s="882"/>
      <c r="AO1701" s="882"/>
      <c r="AP1701" s="882"/>
      <c r="AY1701" s="882"/>
      <c r="AZ1701" s="882"/>
      <c r="BA1701" s="882"/>
      <c r="BJ1701" s="882"/>
      <c r="BK1701" s="882"/>
      <c r="BL1701" s="882"/>
      <c r="BU1701" s="882"/>
      <c r="BV1701" s="882"/>
      <c r="BW1701" s="882"/>
      <c r="CF1701" s="882"/>
      <c r="CG1701" s="882"/>
      <c r="CH1701" s="882"/>
      <c r="CI1701" s="530"/>
    </row>
    <row r="1702">
      <c r="A1702" s="857"/>
      <c r="B1702" s="865" t="s">
        <v>672</v>
      </c>
      <c r="C1702" s="865" t="s">
        <v>591</v>
      </c>
      <c r="D1702" s="865" t="s">
        <v>614</v>
      </c>
      <c r="E1702" s="866">
        <v>2019.0</v>
      </c>
      <c r="F1702" s="865" t="s">
        <v>593</v>
      </c>
      <c r="G1702" s="865" t="s">
        <v>70</v>
      </c>
      <c r="H1702" s="867">
        <v>7709915.054</v>
      </c>
      <c r="I1702" s="867">
        <v>8582427.273</v>
      </c>
      <c r="J1702" s="868">
        <v>6883269.434</v>
      </c>
      <c r="K1702" s="50"/>
      <c r="L1702" s="869" t="s">
        <v>672</v>
      </c>
      <c r="M1702" s="865" t="s">
        <v>591</v>
      </c>
      <c r="N1702" s="865" t="s">
        <v>614</v>
      </c>
      <c r="O1702" s="866">
        <v>2004.0</v>
      </c>
      <c r="P1702" s="865" t="s">
        <v>593</v>
      </c>
      <c r="Q1702" s="865" t="s">
        <v>70</v>
      </c>
      <c r="R1702" s="867">
        <v>3877692.77</v>
      </c>
      <c r="S1702" s="867">
        <v>4192419.132</v>
      </c>
      <c r="T1702" s="868">
        <v>3539418.95</v>
      </c>
      <c r="AN1702" s="882"/>
      <c r="AO1702" s="882"/>
      <c r="AP1702" s="882"/>
      <c r="AY1702" s="882"/>
      <c r="AZ1702" s="882"/>
      <c r="BA1702" s="882"/>
      <c r="BJ1702" s="882"/>
      <c r="BK1702" s="882"/>
      <c r="BL1702" s="882"/>
      <c r="BU1702" s="882"/>
      <c r="BV1702" s="882"/>
      <c r="BW1702" s="882"/>
      <c r="CF1702" s="882"/>
      <c r="CG1702" s="882"/>
      <c r="CH1702" s="882"/>
      <c r="CI1702" s="530"/>
    </row>
    <row r="1703">
      <c r="A1703" s="857"/>
      <c r="B1703" s="865" t="s">
        <v>672</v>
      </c>
      <c r="C1703" s="865" t="s">
        <v>591</v>
      </c>
      <c r="D1703" s="865" t="s">
        <v>616</v>
      </c>
      <c r="E1703" s="866">
        <v>2019.0</v>
      </c>
      <c r="F1703" s="865" t="s">
        <v>593</v>
      </c>
      <c r="G1703" s="865" t="s">
        <v>70</v>
      </c>
      <c r="H1703" s="867">
        <v>2535463.375</v>
      </c>
      <c r="I1703" s="867">
        <v>2822395.56</v>
      </c>
      <c r="J1703" s="868">
        <v>2263614.764</v>
      </c>
      <c r="K1703" s="50"/>
      <c r="L1703" s="869" t="s">
        <v>672</v>
      </c>
      <c r="M1703" s="865" t="s">
        <v>591</v>
      </c>
      <c r="N1703" s="865" t="s">
        <v>616</v>
      </c>
      <c r="O1703" s="866">
        <v>2004.0</v>
      </c>
      <c r="P1703" s="865" t="s">
        <v>593</v>
      </c>
      <c r="Q1703" s="865" t="s">
        <v>70</v>
      </c>
      <c r="R1703" s="867">
        <v>1246421.213</v>
      </c>
      <c r="S1703" s="867">
        <v>1347584.879</v>
      </c>
      <c r="T1703" s="868">
        <v>1137688.601</v>
      </c>
      <c r="AN1703" s="882"/>
      <c r="AO1703" s="882"/>
      <c r="AP1703" s="882"/>
      <c r="AY1703" s="882"/>
      <c r="AZ1703" s="882"/>
      <c r="BA1703" s="882"/>
      <c r="BJ1703" s="882"/>
      <c r="BK1703" s="882"/>
      <c r="BL1703" s="882"/>
      <c r="BU1703" s="882"/>
      <c r="BV1703" s="882"/>
      <c r="BW1703" s="882"/>
      <c r="CF1703" s="882"/>
      <c r="CG1703" s="882"/>
      <c r="CH1703" s="882"/>
      <c r="CI1703" s="530"/>
    </row>
    <row r="1704">
      <c r="A1704" s="857"/>
      <c r="B1704" s="865" t="s">
        <v>672</v>
      </c>
      <c r="C1704" s="865" t="s">
        <v>591</v>
      </c>
      <c r="D1704" s="865" t="s">
        <v>618</v>
      </c>
      <c r="E1704" s="866">
        <v>2019.0</v>
      </c>
      <c r="F1704" s="865" t="s">
        <v>593</v>
      </c>
      <c r="G1704" s="865" t="s">
        <v>70</v>
      </c>
      <c r="H1704" s="867">
        <v>8125965.097</v>
      </c>
      <c r="I1704" s="867">
        <v>9045722.003</v>
      </c>
      <c r="J1704" s="868">
        <v>7254103.655</v>
      </c>
      <c r="K1704" s="50"/>
      <c r="L1704" s="869" t="s">
        <v>672</v>
      </c>
      <c r="M1704" s="865" t="s">
        <v>591</v>
      </c>
      <c r="N1704" s="865" t="s">
        <v>618</v>
      </c>
      <c r="O1704" s="866">
        <v>2004.0</v>
      </c>
      <c r="P1704" s="865" t="s">
        <v>593</v>
      </c>
      <c r="Q1704" s="865" t="s">
        <v>70</v>
      </c>
      <c r="R1704" s="867">
        <v>4577163.413</v>
      </c>
      <c r="S1704" s="867">
        <v>4948547.908</v>
      </c>
      <c r="T1704" s="868">
        <v>4177710.259</v>
      </c>
      <c r="AN1704" s="882"/>
      <c r="AO1704" s="882"/>
      <c r="AP1704" s="882"/>
      <c r="AY1704" s="882"/>
      <c r="AZ1704" s="882"/>
      <c r="BA1704" s="882"/>
      <c r="BJ1704" s="882"/>
      <c r="BK1704" s="882"/>
      <c r="BL1704" s="882"/>
      <c r="BU1704" s="882"/>
      <c r="BV1704" s="882"/>
      <c r="BW1704" s="882"/>
      <c r="CF1704" s="882"/>
      <c r="CG1704" s="882"/>
      <c r="CH1704" s="882"/>
      <c r="CI1704" s="530"/>
    </row>
    <row r="1705">
      <c r="A1705" s="857"/>
      <c r="B1705" s="865" t="s">
        <v>672</v>
      </c>
      <c r="C1705" s="865" t="s">
        <v>591</v>
      </c>
      <c r="D1705" s="865" t="s">
        <v>620</v>
      </c>
      <c r="E1705" s="866">
        <v>2019.0</v>
      </c>
      <c r="F1705" s="865" t="s">
        <v>593</v>
      </c>
      <c r="G1705" s="865" t="s">
        <v>70</v>
      </c>
      <c r="H1705" s="867">
        <v>9475686.474</v>
      </c>
      <c r="I1705" s="867">
        <v>1.054802672E7</v>
      </c>
      <c r="J1705" s="868">
        <v>8459717.469</v>
      </c>
      <c r="K1705" s="50"/>
      <c r="L1705" s="869" t="s">
        <v>672</v>
      </c>
      <c r="M1705" s="865" t="s">
        <v>591</v>
      </c>
      <c r="N1705" s="865" t="s">
        <v>620</v>
      </c>
      <c r="O1705" s="866">
        <v>2004.0</v>
      </c>
      <c r="P1705" s="865" t="s">
        <v>593</v>
      </c>
      <c r="Q1705" s="865" t="s">
        <v>70</v>
      </c>
      <c r="R1705" s="867">
        <v>5507930.306</v>
      </c>
      <c r="S1705" s="867">
        <v>5954972.136</v>
      </c>
      <c r="T1705" s="868">
        <v>5027441.332</v>
      </c>
      <c r="AN1705" s="882"/>
      <c r="AO1705" s="882"/>
      <c r="AP1705" s="882"/>
      <c r="AY1705" s="882"/>
      <c r="AZ1705" s="882"/>
      <c r="BA1705" s="882"/>
      <c r="BJ1705" s="882"/>
      <c r="BK1705" s="882"/>
      <c r="BL1705" s="882"/>
      <c r="BU1705" s="882"/>
      <c r="BV1705" s="882"/>
      <c r="BW1705" s="882"/>
      <c r="CF1705" s="882"/>
      <c r="CG1705" s="882"/>
      <c r="CH1705" s="882"/>
      <c r="CI1705" s="530"/>
    </row>
    <row r="1706">
      <c r="A1706" s="857"/>
      <c r="B1706" s="865" t="s">
        <v>672</v>
      </c>
      <c r="C1706" s="865" t="s">
        <v>591</v>
      </c>
      <c r="D1706" s="865" t="s">
        <v>622</v>
      </c>
      <c r="E1706" s="866">
        <v>2019.0</v>
      </c>
      <c r="F1706" s="865" t="s">
        <v>593</v>
      </c>
      <c r="G1706" s="865" t="s">
        <v>70</v>
      </c>
      <c r="H1706" s="867">
        <v>8737746.026</v>
      </c>
      <c r="I1706" s="867">
        <v>9726748.828</v>
      </c>
      <c r="J1706" s="868">
        <v>7800244.601</v>
      </c>
      <c r="K1706" s="50"/>
      <c r="L1706" s="869" t="s">
        <v>672</v>
      </c>
      <c r="M1706" s="865" t="s">
        <v>591</v>
      </c>
      <c r="N1706" s="865" t="s">
        <v>622</v>
      </c>
      <c r="O1706" s="866">
        <v>2004.0</v>
      </c>
      <c r="P1706" s="865" t="s">
        <v>593</v>
      </c>
      <c r="Q1706" s="865" t="s">
        <v>70</v>
      </c>
      <c r="R1706" s="867">
        <v>5243405.135</v>
      </c>
      <c r="S1706" s="867">
        <v>5668847.532</v>
      </c>
      <c r="T1706" s="868">
        <v>4785808.469</v>
      </c>
      <c r="AN1706" s="882"/>
      <c r="AO1706" s="882"/>
      <c r="AP1706" s="882"/>
      <c r="AY1706" s="882"/>
      <c r="AZ1706" s="882"/>
      <c r="BA1706" s="882"/>
      <c r="BJ1706" s="882"/>
      <c r="BK1706" s="882"/>
      <c r="BL1706" s="882"/>
      <c r="BU1706" s="882"/>
      <c r="BV1706" s="882"/>
      <c r="BW1706" s="882"/>
      <c r="CF1706" s="882"/>
      <c r="CG1706" s="882"/>
      <c r="CH1706" s="882"/>
      <c r="CI1706" s="530"/>
    </row>
    <row r="1707">
      <c r="A1707" s="857"/>
      <c r="B1707" s="865" t="s">
        <v>672</v>
      </c>
      <c r="C1707" s="865" t="s">
        <v>591</v>
      </c>
      <c r="D1707" s="865" t="s">
        <v>624</v>
      </c>
      <c r="E1707" s="866">
        <v>2019.0</v>
      </c>
      <c r="F1707" s="865" t="s">
        <v>593</v>
      </c>
      <c r="G1707" s="865" t="s">
        <v>70</v>
      </c>
      <c r="H1707" s="867">
        <v>1976774.318</v>
      </c>
      <c r="I1707" s="867">
        <v>2200481.03</v>
      </c>
      <c r="J1707" s="868">
        <v>1764827.517</v>
      </c>
      <c r="K1707" s="50"/>
      <c r="L1707" s="869" t="s">
        <v>672</v>
      </c>
      <c r="M1707" s="865" t="s">
        <v>591</v>
      </c>
      <c r="N1707" s="865" t="s">
        <v>624</v>
      </c>
      <c r="O1707" s="866">
        <v>2004.0</v>
      </c>
      <c r="P1707" s="865" t="s">
        <v>593</v>
      </c>
      <c r="Q1707" s="865" t="s">
        <v>70</v>
      </c>
      <c r="R1707" s="867">
        <v>1077924.032</v>
      </c>
      <c r="S1707" s="867">
        <v>1165411.91</v>
      </c>
      <c r="T1707" s="868">
        <v>983890.4145</v>
      </c>
      <c r="AN1707" s="882"/>
      <c r="AO1707" s="882"/>
      <c r="AP1707" s="882"/>
      <c r="AY1707" s="882"/>
      <c r="AZ1707" s="882"/>
      <c r="BA1707" s="882"/>
      <c r="BJ1707" s="882"/>
      <c r="BK1707" s="882"/>
      <c r="BL1707" s="882"/>
      <c r="BU1707" s="882"/>
      <c r="BV1707" s="882"/>
      <c r="BW1707" s="882"/>
      <c r="CF1707" s="882"/>
      <c r="CG1707" s="882"/>
      <c r="CH1707" s="882"/>
      <c r="CI1707" s="530"/>
    </row>
    <row r="1708">
      <c r="A1708" s="857"/>
      <c r="B1708" s="865" t="s">
        <v>672</v>
      </c>
      <c r="C1708" s="865" t="s">
        <v>591</v>
      </c>
      <c r="D1708" s="865" t="s">
        <v>625</v>
      </c>
      <c r="E1708" s="866">
        <v>2019.0</v>
      </c>
      <c r="F1708" s="865" t="s">
        <v>593</v>
      </c>
      <c r="G1708" s="865" t="s">
        <v>70</v>
      </c>
      <c r="H1708" s="867">
        <v>6760685.521</v>
      </c>
      <c r="I1708" s="867">
        <v>7525775.756</v>
      </c>
      <c r="J1708" s="868">
        <v>6035814.878</v>
      </c>
      <c r="K1708" s="50"/>
      <c r="L1708" s="869" t="s">
        <v>672</v>
      </c>
      <c r="M1708" s="865" t="s">
        <v>591</v>
      </c>
      <c r="N1708" s="865" t="s">
        <v>625</v>
      </c>
      <c r="O1708" s="866">
        <v>2004.0</v>
      </c>
      <c r="P1708" s="865" t="s">
        <v>593</v>
      </c>
      <c r="Q1708" s="865" t="s">
        <v>70</v>
      </c>
      <c r="R1708" s="867">
        <v>4165350.254</v>
      </c>
      <c r="S1708" s="867">
        <v>4503423.849</v>
      </c>
      <c r="T1708" s="868">
        <v>3801982.389</v>
      </c>
      <c r="AN1708" s="882"/>
      <c r="AO1708" s="882"/>
      <c r="AP1708" s="882"/>
      <c r="AY1708" s="882"/>
      <c r="AZ1708" s="882"/>
      <c r="BA1708" s="882"/>
      <c r="BJ1708" s="882"/>
      <c r="BK1708" s="882"/>
      <c r="BL1708" s="882"/>
      <c r="BU1708" s="882"/>
      <c r="BV1708" s="882"/>
      <c r="BW1708" s="882"/>
      <c r="CF1708" s="882"/>
      <c r="CG1708" s="882"/>
      <c r="CH1708" s="882"/>
      <c r="CI1708" s="530"/>
    </row>
    <row r="1709">
      <c r="A1709" s="857"/>
      <c r="B1709" s="865" t="s">
        <v>672</v>
      </c>
      <c r="C1709" s="865" t="s">
        <v>591</v>
      </c>
      <c r="D1709" s="865" t="s">
        <v>627</v>
      </c>
      <c r="E1709" s="866">
        <v>2019.0</v>
      </c>
      <c r="F1709" s="865" t="s">
        <v>593</v>
      </c>
      <c r="G1709" s="865" t="s">
        <v>70</v>
      </c>
      <c r="H1709" s="867">
        <v>1499570.834</v>
      </c>
      <c r="I1709" s="867">
        <v>1669273.596</v>
      </c>
      <c r="J1709" s="868">
        <v>1338789.081</v>
      </c>
      <c r="K1709" s="50"/>
      <c r="L1709" s="869" t="s">
        <v>672</v>
      </c>
      <c r="M1709" s="865" t="s">
        <v>591</v>
      </c>
      <c r="N1709" s="865" t="s">
        <v>627</v>
      </c>
      <c r="O1709" s="866">
        <v>2004.0</v>
      </c>
      <c r="P1709" s="865" t="s">
        <v>593</v>
      </c>
      <c r="Q1709" s="865" t="s">
        <v>70</v>
      </c>
      <c r="R1709" s="867">
        <v>888202.4876</v>
      </c>
      <c r="S1709" s="867">
        <v>960291.9374</v>
      </c>
      <c r="T1709" s="868">
        <v>810719.3899</v>
      </c>
      <c r="AN1709" s="882"/>
      <c r="AO1709" s="882"/>
      <c r="AP1709" s="882"/>
      <c r="AY1709" s="882"/>
      <c r="AZ1709" s="882"/>
      <c r="BA1709" s="882"/>
      <c r="BJ1709" s="882"/>
      <c r="BK1709" s="882"/>
      <c r="BL1709" s="882"/>
      <c r="BU1709" s="882"/>
      <c r="BV1709" s="882"/>
      <c r="BW1709" s="882"/>
      <c r="CF1709" s="882"/>
      <c r="CG1709" s="882"/>
      <c r="CH1709" s="882"/>
      <c r="CI1709" s="530"/>
    </row>
    <row r="1710">
      <c r="A1710" s="857"/>
      <c r="B1710" s="865" t="s">
        <v>672</v>
      </c>
      <c r="C1710" s="865" t="s">
        <v>591</v>
      </c>
      <c r="D1710" s="865" t="s">
        <v>629</v>
      </c>
      <c r="E1710" s="866">
        <v>2019.0</v>
      </c>
      <c r="F1710" s="865" t="s">
        <v>593</v>
      </c>
      <c r="G1710" s="865" t="s">
        <v>70</v>
      </c>
      <c r="H1710" s="867">
        <v>4963611.354</v>
      </c>
      <c r="I1710" s="867">
        <v>5525429.645</v>
      </c>
      <c r="J1710" s="868">
        <v>4431049.215</v>
      </c>
      <c r="K1710" s="50"/>
      <c r="L1710" s="869" t="s">
        <v>672</v>
      </c>
      <c r="M1710" s="865" t="s">
        <v>591</v>
      </c>
      <c r="N1710" s="865" t="s">
        <v>629</v>
      </c>
      <c r="O1710" s="866">
        <v>2004.0</v>
      </c>
      <c r="P1710" s="865" t="s">
        <v>593</v>
      </c>
      <c r="Q1710" s="865" t="s">
        <v>70</v>
      </c>
      <c r="R1710" s="867">
        <v>3183664.51</v>
      </c>
      <c r="S1710" s="867">
        <v>3441982.497</v>
      </c>
      <c r="T1710" s="868">
        <v>2905823.254</v>
      </c>
      <c r="AN1710" s="882"/>
      <c r="AO1710" s="882"/>
      <c r="AP1710" s="882"/>
      <c r="AY1710" s="882"/>
      <c r="AZ1710" s="882"/>
      <c r="BA1710" s="882"/>
      <c r="BJ1710" s="882"/>
      <c r="BK1710" s="882"/>
      <c r="BL1710" s="882"/>
      <c r="BU1710" s="882"/>
      <c r="BV1710" s="882"/>
      <c r="BW1710" s="882"/>
      <c r="CF1710" s="882"/>
      <c r="CG1710" s="882"/>
      <c r="CH1710" s="882"/>
      <c r="CI1710" s="530"/>
    </row>
    <row r="1711">
      <c r="A1711" s="857"/>
      <c r="B1711" s="865" t="s">
        <v>672</v>
      </c>
      <c r="C1711" s="865" t="s">
        <v>591</v>
      </c>
      <c r="D1711" s="865" t="s">
        <v>631</v>
      </c>
      <c r="E1711" s="866">
        <v>2019.0</v>
      </c>
      <c r="F1711" s="865" t="s">
        <v>593</v>
      </c>
      <c r="G1711" s="865" t="s">
        <v>70</v>
      </c>
      <c r="H1711" s="867">
        <v>1151511.711</v>
      </c>
      <c r="I1711" s="867">
        <v>1281825.473</v>
      </c>
      <c r="J1711" s="868">
        <v>1028048.339</v>
      </c>
      <c r="K1711" s="50"/>
      <c r="L1711" s="869" t="s">
        <v>672</v>
      </c>
      <c r="M1711" s="865" t="s">
        <v>591</v>
      </c>
      <c r="N1711" s="865" t="s">
        <v>631</v>
      </c>
      <c r="O1711" s="866">
        <v>2004.0</v>
      </c>
      <c r="P1711" s="865" t="s">
        <v>593</v>
      </c>
      <c r="Q1711" s="865" t="s">
        <v>70</v>
      </c>
      <c r="R1711" s="867">
        <v>720869.7637</v>
      </c>
      <c r="S1711" s="867">
        <v>779377.9365</v>
      </c>
      <c r="T1711" s="868">
        <v>657984.0781</v>
      </c>
      <c r="AN1711" s="882"/>
      <c r="AO1711" s="882"/>
      <c r="AP1711" s="882"/>
      <c r="AY1711" s="882"/>
      <c r="AZ1711" s="882"/>
      <c r="BA1711" s="882"/>
      <c r="BJ1711" s="882"/>
      <c r="BK1711" s="882"/>
      <c r="BL1711" s="882"/>
      <c r="BU1711" s="882"/>
      <c r="BV1711" s="882"/>
      <c r="BW1711" s="882"/>
      <c r="CF1711" s="882"/>
      <c r="CG1711" s="882"/>
      <c r="CH1711" s="882"/>
      <c r="CI1711" s="530"/>
    </row>
    <row r="1712">
      <c r="A1712" s="857"/>
      <c r="B1712" s="865" t="s">
        <v>672</v>
      </c>
      <c r="C1712" s="865" t="s">
        <v>591</v>
      </c>
      <c r="D1712" s="865" t="s">
        <v>633</v>
      </c>
      <c r="E1712" s="866">
        <v>2019.0</v>
      </c>
      <c r="F1712" s="865" t="s">
        <v>593</v>
      </c>
      <c r="G1712" s="865" t="s">
        <v>70</v>
      </c>
      <c r="H1712" s="867">
        <v>962378.7093</v>
      </c>
      <c r="I1712" s="867">
        <v>1071288.753</v>
      </c>
      <c r="J1712" s="868">
        <v>859193.896</v>
      </c>
      <c r="K1712" s="50"/>
      <c r="L1712" s="869" t="s">
        <v>672</v>
      </c>
      <c r="M1712" s="865" t="s">
        <v>591</v>
      </c>
      <c r="N1712" s="865" t="s">
        <v>633</v>
      </c>
      <c r="O1712" s="866">
        <v>2004.0</v>
      </c>
      <c r="P1712" s="865" t="s">
        <v>593</v>
      </c>
      <c r="Q1712" s="865" t="s">
        <v>70</v>
      </c>
      <c r="R1712" s="867">
        <v>643631.6932</v>
      </c>
      <c r="S1712" s="867">
        <v>695870.9689</v>
      </c>
      <c r="T1712" s="868">
        <v>587483.9362</v>
      </c>
      <c r="AN1712" s="882"/>
      <c r="AO1712" s="882"/>
      <c r="AP1712" s="882"/>
      <c r="AY1712" s="882"/>
      <c r="AZ1712" s="882"/>
      <c r="BA1712" s="882"/>
      <c r="BJ1712" s="882"/>
      <c r="BK1712" s="882"/>
      <c r="BL1712" s="882"/>
      <c r="BU1712" s="882"/>
      <c r="BV1712" s="882"/>
      <c r="BW1712" s="882"/>
      <c r="CF1712" s="882"/>
      <c r="CG1712" s="882"/>
      <c r="CH1712" s="882"/>
      <c r="CI1712" s="530"/>
    </row>
    <row r="1713">
      <c r="A1713" s="857"/>
      <c r="B1713" s="865" t="s">
        <v>672</v>
      </c>
      <c r="C1713" s="865" t="s">
        <v>591</v>
      </c>
      <c r="D1713" s="865" t="s">
        <v>635</v>
      </c>
      <c r="E1713" s="866">
        <v>2019.0</v>
      </c>
      <c r="F1713" s="865" t="s">
        <v>593</v>
      </c>
      <c r="G1713" s="865" t="s">
        <v>70</v>
      </c>
      <c r="H1713" s="867">
        <v>765441.8715</v>
      </c>
      <c r="I1713" s="867">
        <v>852065.0549</v>
      </c>
      <c r="J1713" s="868">
        <v>683372.333</v>
      </c>
      <c r="K1713" s="50"/>
      <c r="L1713" s="869" t="s">
        <v>672</v>
      </c>
      <c r="M1713" s="865" t="s">
        <v>591</v>
      </c>
      <c r="N1713" s="865" t="s">
        <v>635</v>
      </c>
      <c r="O1713" s="866">
        <v>2004.0</v>
      </c>
      <c r="P1713" s="865" t="s">
        <v>593</v>
      </c>
      <c r="Q1713" s="865" t="s">
        <v>70</v>
      </c>
      <c r="R1713" s="867">
        <v>544014.9864</v>
      </c>
      <c r="S1713" s="867">
        <v>588169.0409</v>
      </c>
      <c r="T1713" s="868">
        <v>496557.3774</v>
      </c>
      <c r="AN1713" s="882"/>
      <c r="AO1713" s="882"/>
      <c r="AP1713" s="882"/>
      <c r="AY1713" s="882"/>
      <c r="AZ1713" s="882"/>
      <c r="BA1713" s="882"/>
      <c r="BJ1713" s="882"/>
      <c r="BK1713" s="882"/>
      <c r="BL1713" s="882"/>
      <c r="BU1713" s="882"/>
      <c r="BV1713" s="882"/>
      <c r="BW1713" s="882"/>
      <c r="CF1713" s="882"/>
      <c r="CG1713" s="882"/>
      <c r="CH1713" s="882"/>
      <c r="CI1713" s="530"/>
    </row>
    <row r="1714">
      <c r="A1714" s="857"/>
      <c r="B1714" s="865" t="s">
        <v>672</v>
      </c>
      <c r="C1714" s="865" t="s">
        <v>591</v>
      </c>
      <c r="D1714" s="865" t="s">
        <v>637</v>
      </c>
      <c r="E1714" s="866">
        <v>2019.0</v>
      </c>
      <c r="F1714" s="865" t="s">
        <v>593</v>
      </c>
      <c r="G1714" s="865" t="s">
        <v>70</v>
      </c>
      <c r="H1714" s="867">
        <v>584545.6547</v>
      </c>
      <c r="I1714" s="867">
        <v>650697.2559</v>
      </c>
      <c r="J1714" s="868">
        <v>521871.5393</v>
      </c>
      <c r="K1714" s="50"/>
      <c r="L1714" s="869" t="s">
        <v>672</v>
      </c>
      <c r="M1714" s="865" t="s">
        <v>591</v>
      </c>
      <c r="N1714" s="865" t="s">
        <v>637</v>
      </c>
      <c r="O1714" s="866">
        <v>2004.0</v>
      </c>
      <c r="P1714" s="865" t="s">
        <v>593</v>
      </c>
      <c r="Q1714" s="865" t="s">
        <v>70</v>
      </c>
      <c r="R1714" s="867">
        <v>386866.1304</v>
      </c>
      <c r="S1714" s="867">
        <v>418265.4644</v>
      </c>
      <c r="T1714" s="868">
        <v>353117.5353</v>
      </c>
      <c r="AN1714" s="882"/>
      <c r="AO1714" s="882"/>
      <c r="AP1714" s="882"/>
      <c r="AY1714" s="882"/>
      <c r="AZ1714" s="882"/>
      <c r="BA1714" s="882"/>
      <c r="BJ1714" s="882"/>
      <c r="BK1714" s="882"/>
      <c r="BL1714" s="882"/>
      <c r="BU1714" s="882"/>
      <c r="BV1714" s="882"/>
      <c r="BW1714" s="882"/>
      <c r="CF1714" s="882"/>
      <c r="CG1714" s="882"/>
      <c r="CH1714" s="882"/>
      <c r="CI1714" s="530"/>
    </row>
    <row r="1715">
      <c r="A1715" s="857"/>
      <c r="B1715" s="865" t="s">
        <v>672</v>
      </c>
      <c r="C1715" s="865" t="s">
        <v>591</v>
      </c>
      <c r="D1715" s="865" t="s">
        <v>639</v>
      </c>
      <c r="E1715" s="866">
        <v>2019.0</v>
      </c>
      <c r="F1715" s="865" t="s">
        <v>593</v>
      </c>
      <c r="G1715" s="865" t="s">
        <v>70</v>
      </c>
      <c r="H1715" s="867">
        <v>9705347.307</v>
      </c>
      <c r="I1715" s="867">
        <v>1.080387039E7</v>
      </c>
      <c r="J1715" s="868">
        <v>8664028.768</v>
      </c>
      <c r="K1715" s="50"/>
      <c r="L1715" s="869" t="s">
        <v>672</v>
      </c>
      <c r="M1715" s="865" t="s">
        <v>591</v>
      </c>
      <c r="N1715" s="865" t="s">
        <v>639</v>
      </c>
      <c r="O1715" s="866">
        <v>2004.0</v>
      </c>
      <c r="P1715" s="865" t="s">
        <v>593</v>
      </c>
      <c r="Q1715" s="865" t="s">
        <v>70</v>
      </c>
      <c r="R1715" s="867">
        <v>4951444.823</v>
      </c>
      <c r="S1715" s="867">
        <v>5353197.977</v>
      </c>
      <c r="T1715" s="868">
        <v>4519327.795</v>
      </c>
      <c r="AN1715" s="882"/>
      <c r="AO1715" s="882"/>
      <c r="AP1715" s="882"/>
      <c r="AY1715" s="882"/>
      <c r="AZ1715" s="882"/>
      <c r="BA1715" s="882"/>
      <c r="BJ1715" s="882"/>
      <c r="BK1715" s="882"/>
      <c r="BL1715" s="882"/>
      <c r="BU1715" s="882"/>
      <c r="BV1715" s="882"/>
      <c r="BW1715" s="882"/>
      <c r="CF1715" s="882"/>
      <c r="CG1715" s="882"/>
      <c r="CH1715" s="882"/>
      <c r="CI1715" s="530"/>
    </row>
    <row r="1716">
      <c r="A1716" s="857"/>
      <c r="B1716" s="865" t="s">
        <v>672</v>
      </c>
      <c r="C1716" s="865" t="s">
        <v>591</v>
      </c>
      <c r="D1716" s="865" t="s">
        <v>641</v>
      </c>
      <c r="E1716" s="866">
        <v>2019.0</v>
      </c>
      <c r="F1716" s="865" t="s">
        <v>593</v>
      </c>
      <c r="G1716" s="865" t="s">
        <v>70</v>
      </c>
      <c r="H1716" s="867">
        <v>3971888.691</v>
      </c>
      <c r="I1716" s="867">
        <v>4421377.614</v>
      </c>
      <c r="J1716" s="868">
        <v>3546028.696</v>
      </c>
      <c r="K1716" s="50"/>
      <c r="L1716" s="869" t="s">
        <v>672</v>
      </c>
      <c r="M1716" s="865" t="s">
        <v>591</v>
      </c>
      <c r="N1716" s="865" t="s">
        <v>641</v>
      </c>
      <c r="O1716" s="866">
        <v>2004.0</v>
      </c>
      <c r="P1716" s="865" t="s">
        <v>593</v>
      </c>
      <c r="Q1716" s="865" t="s">
        <v>70</v>
      </c>
      <c r="R1716" s="867">
        <v>2151552.522</v>
      </c>
      <c r="S1716" s="867">
        <v>2326179.636</v>
      </c>
      <c r="T1716" s="868">
        <v>1963860.012</v>
      </c>
      <c r="AN1716" s="882"/>
      <c r="AO1716" s="882"/>
      <c r="AP1716" s="882"/>
      <c r="AY1716" s="882"/>
      <c r="AZ1716" s="882"/>
      <c r="BA1716" s="882"/>
      <c r="BJ1716" s="882"/>
      <c r="BK1716" s="882"/>
      <c r="BL1716" s="882"/>
      <c r="BU1716" s="882"/>
      <c r="BV1716" s="882"/>
      <c r="BW1716" s="882"/>
      <c r="CF1716" s="882"/>
      <c r="CG1716" s="882"/>
      <c r="CH1716" s="882"/>
      <c r="CI1716" s="530"/>
    </row>
    <row r="1717">
      <c r="A1717" s="857"/>
      <c r="B1717" s="865" t="s">
        <v>672</v>
      </c>
      <c r="C1717" s="865" t="s">
        <v>591</v>
      </c>
      <c r="D1717" s="865" t="s">
        <v>643</v>
      </c>
      <c r="E1717" s="866">
        <v>2019.0</v>
      </c>
      <c r="F1717" s="865" t="s">
        <v>593</v>
      </c>
      <c r="G1717" s="865" t="s">
        <v>70</v>
      </c>
      <c r="H1717" s="867">
        <v>501638.8581</v>
      </c>
      <c r="I1717" s="867">
        <v>558408.1001</v>
      </c>
      <c r="J1717" s="868">
        <v>447853.8861</v>
      </c>
      <c r="K1717" s="50"/>
      <c r="L1717" s="869" t="s">
        <v>672</v>
      </c>
      <c r="M1717" s="865" t="s">
        <v>591</v>
      </c>
      <c r="N1717" s="865" t="s">
        <v>643</v>
      </c>
      <c r="O1717" s="866">
        <v>2004.0</v>
      </c>
      <c r="P1717" s="865" t="s">
        <v>593</v>
      </c>
      <c r="Q1717" s="865" t="s">
        <v>70</v>
      </c>
      <c r="R1717" s="867">
        <v>282184.4338</v>
      </c>
      <c r="S1717" s="867">
        <v>305087.4552</v>
      </c>
      <c r="T1717" s="868">
        <v>257567.8353</v>
      </c>
      <c r="AN1717" s="882"/>
      <c r="AO1717" s="882"/>
      <c r="AP1717" s="882"/>
      <c r="AY1717" s="882"/>
      <c r="AZ1717" s="882"/>
      <c r="BA1717" s="882"/>
      <c r="BJ1717" s="882"/>
      <c r="BK1717" s="882"/>
      <c r="BL1717" s="882"/>
      <c r="BU1717" s="882"/>
      <c r="BV1717" s="882"/>
      <c r="BW1717" s="882"/>
      <c r="CF1717" s="882"/>
      <c r="CG1717" s="882"/>
      <c r="CH1717" s="882"/>
      <c r="CI1717" s="530"/>
    </row>
    <row r="1718">
      <c r="A1718" s="857"/>
      <c r="B1718" s="865" t="s">
        <v>672</v>
      </c>
      <c r="C1718" s="865" t="s">
        <v>591</v>
      </c>
      <c r="D1718" s="865" t="s">
        <v>645</v>
      </c>
      <c r="E1718" s="866">
        <v>2019.0</v>
      </c>
      <c r="F1718" s="865" t="s">
        <v>593</v>
      </c>
      <c r="G1718" s="865" t="s">
        <v>70</v>
      </c>
      <c r="H1718" s="867">
        <v>1486954.632</v>
      </c>
      <c r="I1718" s="867">
        <v>1655229.649</v>
      </c>
      <c r="J1718" s="868">
        <v>1327525.569</v>
      </c>
      <c r="K1718" s="50"/>
      <c r="L1718" s="869" t="s">
        <v>672</v>
      </c>
      <c r="M1718" s="865" t="s">
        <v>591</v>
      </c>
      <c r="N1718" s="865" t="s">
        <v>645</v>
      </c>
      <c r="O1718" s="866">
        <v>2004.0</v>
      </c>
      <c r="P1718" s="865" t="s">
        <v>593</v>
      </c>
      <c r="Q1718" s="865" t="s">
        <v>70</v>
      </c>
      <c r="R1718" s="867">
        <v>818792.9629</v>
      </c>
      <c r="S1718" s="867">
        <v>885248.9063</v>
      </c>
      <c r="T1718" s="868">
        <v>747364.864</v>
      </c>
      <c r="AN1718" s="882"/>
      <c r="AO1718" s="882"/>
      <c r="AP1718" s="882"/>
      <c r="AY1718" s="882"/>
      <c r="AZ1718" s="882"/>
      <c r="BA1718" s="882"/>
      <c r="BJ1718" s="882"/>
      <c r="BK1718" s="882"/>
      <c r="BL1718" s="882"/>
      <c r="BU1718" s="882"/>
      <c r="BV1718" s="882"/>
      <c r="BW1718" s="882"/>
      <c r="CF1718" s="882"/>
      <c r="CG1718" s="882"/>
      <c r="CH1718" s="882"/>
      <c r="CI1718" s="530"/>
    </row>
    <row r="1719">
      <c r="A1719" s="857"/>
      <c r="B1719" s="865" t="s">
        <v>672</v>
      </c>
      <c r="C1719" s="865" t="s">
        <v>591</v>
      </c>
      <c r="D1719" s="865" t="s">
        <v>604</v>
      </c>
      <c r="E1719" s="866">
        <v>2019.0</v>
      </c>
      <c r="F1719" s="865" t="s">
        <v>593</v>
      </c>
      <c r="G1719" s="865" t="s">
        <v>70</v>
      </c>
      <c r="H1719" s="867">
        <v>7169566.053</v>
      </c>
      <c r="I1719" s="867">
        <v>7980928.298</v>
      </c>
      <c r="J1719" s="868">
        <v>6400855.848</v>
      </c>
      <c r="K1719" s="50"/>
      <c r="L1719" s="869" t="s">
        <v>672</v>
      </c>
      <c r="M1719" s="865" t="s">
        <v>591</v>
      </c>
      <c r="N1719" s="865" t="s">
        <v>604</v>
      </c>
      <c r="O1719" s="866">
        <v>2004.0</v>
      </c>
      <c r="P1719" s="865" t="s">
        <v>593</v>
      </c>
      <c r="Q1719" s="865" t="s">
        <v>70</v>
      </c>
      <c r="R1719" s="867">
        <v>3704900.046</v>
      </c>
      <c r="S1719" s="867">
        <v>4005601.981</v>
      </c>
      <c r="T1719" s="868">
        <v>3381699.947</v>
      </c>
      <c r="AN1719" s="882"/>
      <c r="AO1719" s="882"/>
      <c r="AP1719" s="882"/>
      <c r="AY1719" s="882"/>
      <c r="AZ1719" s="882"/>
      <c r="BA1719" s="882"/>
      <c r="BJ1719" s="882"/>
      <c r="BK1719" s="882"/>
      <c r="BL1719" s="882"/>
      <c r="BU1719" s="882"/>
      <c r="BV1719" s="882"/>
      <c r="BW1719" s="882"/>
      <c r="CF1719" s="882"/>
      <c r="CG1719" s="882"/>
      <c r="CH1719" s="882"/>
      <c r="CI1719" s="530"/>
    </row>
    <row r="1720">
      <c r="A1720" s="857"/>
      <c r="B1720" s="865" t="s">
        <v>672</v>
      </c>
      <c r="C1720" s="865" t="s">
        <v>591</v>
      </c>
      <c r="D1720" s="865" t="s">
        <v>647</v>
      </c>
      <c r="E1720" s="866">
        <v>2019.0</v>
      </c>
      <c r="F1720" s="865" t="s">
        <v>593</v>
      </c>
      <c r="G1720" s="865" t="s">
        <v>70</v>
      </c>
      <c r="H1720" s="867">
        <v>1295640.318</v>
      </c>
      <c r="I1720" s="867">
        <v>1442290.484</v>
      </c>
      <c r="J1720" s="868">
        <v>1156626.819</v>
      </c>
      <c r="K1720" s="50"/>
      <c r="L1720" s="869" t="s">
        <v>672</v>
      </c>
      <c r="M1720" s="865" t="s">
        <v>591</v>
      </c>
      <c r="N1720" s="865" t="s">
        <v>647</v>
      </c>
      <c r="O1720" s="866">
        <v>2004.0</v>
      </c>
      <c r="P1720" s="865" t="s">
        <v>593</v>
      </c>
      <c r="Q1720" s="865" t="s">
        <v>70</v>
      </c>
      <c r="R1720" s="867">
        <v>699598.2169</v>
      </c>
      <c r="S1720" s="867">
        <v>756362.616</v>
      </c>
      <c r="T1720" s="868">
        <v>638543.6533</v>
      </c>
      <c r="AN1720" s="882"/>
      <c r="AO1720" s="882"/>
      <c r="AP1720" s="882"/>
      <c r="AY1720" s="882"/>
      <c r="AZ1720" s="882"/>
      <c r="BA1720" s="882"/>
      <c r="BJ1720" s="882"/>
      <c r="BK1720" s="882"/>
      <c r="BL1720" s="882"/>
      <c r="BU1720" s="882"/>
      <c r="BV1720" s="882"/>
      <c r="BW1720" s="882"/>
      <c r="CF1720" s="882"/>
      <c r="CG1720" s="882"/>
      <c r="CH1720" s="882"/>
      <c r="CI1720" s="530"/>
    </row>
    <row r="1721">
      <c r="A1721" s="857"/>
      <c r="B1721" s="865" t="s">
        <v>672</v>
      </c>
      <c r="C1721" s="865" t="s">
        <v>591</v>
      </c>
      <c r="D1721" s="865" t="s">
        <v>649</v>
      </c>
      <c r="E1721" s="866">
        <v>2019.0</v>
      </c>
      <c r="F1721" s="865" t="s">
        <v>593</v>
      </c>
      <c r="G1721" s="865" t="s">
        <v>70</v>
      </c>
      <c r="H1721" s="867">
        <v>430842.4372</v>
      </c>
      <c r="I1721" s="867">
        <v>479599.8215</v>
      </c>
      <c r="J1721" s="868">
        <v>384648.1521</v>
      </c>
      <c r="K1721" s="50"/>
      <c r="L1721" s="869" t="s">
        <v>672</v>
      </c>
      <c r="M1721" s="865" t="s">
        <v>591</v>
      </c>
      <c r="N1721" s="865" t="s">
        <v>649</v>
      </c>
      <c r="O1721" s="866">
        <v>2004.0</v>
      </c>
      <c r="P1721" s="865" t="s">
        <v>593</v>
      </c>
      <c r="Q1721" s="865" t="s">
        <v>70</v>
      </c>
      <c r="R1721" s="867">
        <v>233142.9614</v>
      </c>
      <c r="S1721" s="867">
        <v>252065.6148</v>
      </c>
      <c r="T1721" s="868">
        <v>212804.5373</v>
      </c>
      <c r="AN1721" s="882"/>
      <c r="AO1721" s="882"/>
      <c r="AP1721" s="882"/>
      <c r="AY1721" s="882"/>
      <c r="AZ1721" s="882"/>
      <c r="BA1721" s="882"/>
      <c r="BJ1721" s="882"/>
      <c r="BK1721" s="882"/>
      <c r="BL1721" s="882"/>
      <c r="BU1721" s="882"/>
      <c r="BV1721" s="882"/>
      <c r="BW1721" s="882"/>
      <c r="CF1721" s="882"/>
      <c r="CG1721" s="882"/>
      <c r="CH1721" s="882"/>
      <c r="CI1721" s="530"/>
    </row>
    <row r="1722">
      <c r="A1722" s="857"/>
      <c r="B1722" s="865" t="s">
        <v>672</v>
      </c>
      <c r="C1722" s="865" t="s">
        <v>591</v>
      </c>
      <c r="D1722" s="865" t="s">
        <v>651</v>
      </c>
      <c r="E1722" s="866">
        <v>2019.0</v>
      </c>
      <c r="F1722" s="865" t="s">
        <v>593</v>
      </c>
      <c r="G1722" s="865" t="s">
        <v>70</v>
      </c>
      <c r="H1722" s="867">
        <v>329977.5085</v>
      </c>
      <c r="I1722" s="867">
        <v>367320.2556</v>
      </c>
      <c r="J1722" s="868">
        <v>294597.811</v>
      </c>
      <c r="K1722" s="50"/>
      <c r="L1722" s="869" t="s">
        <v>672</v>
      </c>
      <c r="M1722" s="865" t="s">
        <v>591</v>
      </c>
      <c r="N1722" s="865" t="s">
        <v>651</v>
      </c>
      <c r="O1722" s="866">
        <v>2004.0</v>
      </c>
      <c r="P1722" s="865" t="s">
        <v>593</v>
      </c>
      <c r="Q1722" s="865" t="s">
        <v>70</v>
      </c>
      <c r="R1722" s="867">
        <v>185251.1123</v>
      </c>
      <c r="S1722" s="867">
        <v>200286.7049</v>
      </c>
      <c r="T1722" s="868">
        <v>169090.5743</v>
      </c>
      <c r="AN1722" s="882"/>
      <c r="AO1722" s="882"/>
      <c r="AP1722" s="882"/>
      <c r="AY1722" s="882"/>
      <c r="AZ1722" s="882"/>
      <c r="BA1722" s="882"/>
      <c r="BJ1722" s="882"/>
      <c r="BK1722" s="882"/>
      <c r="BL1722" s="882"/>
      <c r="BU1722" s="882"/>
      <c r="BV1722" s="882"/>
      <c r="BW1722" s="882"/>
      <c r="CF1722" s="882"/>
      <c r="CG1722" s="882"/>
      <c r="CH1722" s="882"/>
      <c r="CI1722" s="530"/>
    </row>
    <row r="1723">
      <c r="A1723" s="857"/>
      <c r="B1723" s="865" t="s">
        <v>672</v>
      </c>
      <c r="C1723" s="865" t="s">
        <v>591</v>
      </c>
      <c r="D1723" s="865" t="s">
        <v>653</v>
      </c>
      <c r="E1723" s="866">
        <v>2019.0</v>
      </c>
      <c r="F1723" s="865" t="s">
        <v>593</v>
      </c>
      <c r="G1723" s="865" t="s">
        <v>70</v>
      </c>
      <c r="H1723" s="867">
        <v>224495.828</v>
      </c>
      <c r="I1723" s="867">
        <v>249901.4714</v>
      </c>
      <c r="J1723" s="868">
        <v>200425.7193</v>
      </c>
      <c r="K1723" s="50"/>
      <c r="L1723" s="869" t="s">
        <v>672</v>
      </c>
      <c r="M1723" s="865" t="s">
        <v>591</v>
      </c>
      <c r="N1723" s="865" t="s">
        <v>653</v>
      </c>
      <c r="O1723" s="866">
        <v>2004.0</v>
      </c>
      <c r="P1723" s="865" t="s">
        <v>593</v>
      </c>
      <c r="Q1723" s="865" t="s">
        <v>70</v>
      </c>
      <c r="R1723" s="867">
        <v>118214.4555</v>
      </c>
      <c r="S1723" s="867">
        <v>127809.1314</v>
      </c>
      <c r="T1723" s="868">
        <v>107901.9171</v>
      </c>
      <c r="AN1723" s="882"/>
      <c r="AO1723" s="882"/>
      <c r="AP1723" s="882"/>
      <c r="AY1723" s="882"/>
      <c r="AZ1723" s="882"/>
      <c r="BA1723" s="882"/>
      <c r="BJ1723" s="882"/>
      <c r="BK1723" s="882"/>
      <c r="BL1723" s="882"/>
      <c r="BU1723" s="882"/>
      <c r="BV1723" s="882"/>
      <c r="BW1723" s="882"/>
      <c r="CF1723" s="882"/>
      <c r="CG1723" s="882"/>
      <c r="CH1723" s="882"/>
      <c r="CI1723" s="530"/>
    </row>
    <row r="1724">
      <c r="A1724" s="857"/>
      <c r="B1724" s="865" t="s">
        <v>672</v>
      </c>
      <c r="C1724" s="865" t="s">
        <v>591</v>
      </c>
      <c r="D1724" s="865" t="s">
        <v>655</v>
      </c>
      <c r="E1724" s="866">
        <v>2019.0</v>
      </c>
      <c r="F1724" s="865" t="s">
        <v>593</v>
      </c>
      <c r="G1724" s="865" t="s">
        <v>70</v>
      </c>
      <c r="H1724" s="867">
        <v>376794.6029</v>
      </c>
      <c r="I1724" s="867">
        <v>419443.0065</v>
      </c>
      <c r="J1724" s="868">
        <v>336367.0744</v>
      </c>
      <c r="K1724" s="50"/>
      <c r="L1724" s="869" t="s">
        <v>672</v>
      </c>
      <c r="M1724" s="865" t="s">
        <v>591</v>
      </c>
      <c r="N1724" s="865" t="s">
        <v>655</v>
      </c>
      <c r="O1724" s="866">
        <v>2004.0</v>
      </c>
      <c r="P1724" s="865" t="s">
        <v>593</v>
      </c>
      <c r="Q1724" s="865" t="s">
        <v>70</v>
      </c>
      <c r="R1724" s="867">
        <v>193613.3064</v>
      </c>
      <c r="S1724" s="867">
        <v>209322.8132</v>
      </c>
      <c r="T1724" s="868">
        <v>176716.4996</v>
      </c>
      <c r="AN1724" s="882"/>
      <c r="AO1724" s="882"/>
      <c r="AP1724" s="882"/>
      <c r="AY1724" s="882"/>
      <c r="AZ1724" s="882"/>
      <c r="BA1724" s="882"/>
      <c r="BJ1724" s="882"/>
      <c r="BK1724" s="882"/>
      <c r="BL1724" s="882"/>
      <c r="BU1724" s="882"/>
      <c r="BV1724" s="882"/>
      <c r="BW1724" s="882"/>
      <c r="CF1724" s="882"/>
      <c r="CG1724" s="882"/>
      <c r="CH1724" s="882"/>
      <c r="CI1724" s="530"/>
    </row>
    <row r="1725">
      <c r="A1725" s="857"/>
      <c r="B1725" s="865" t="s">
        <v>672</v>
      </c>
      <c r="C1725" s="865" t="s">
        <v>591</v>
      </c>
      <c r="D1725" s="865" t="s">
        <v>657</v>
      </c>
      <c r="E1725" s="866">
        <v>2019.0</v>
      </c>
      <c r="F1725" s="865" t="s">
        <v>593</v>
      </c>
      <c r="G1725" s="865" t="s">
        <v>70</v>
      </c>
      <c r="H1725" s="867">
        <v>152286.4338</v>
      </c>
      <c r="I1725" s="867">
        <v>169520.3169</v>
      </c>
      <c r="J1725" s="868">
        <v>135958.509</v>
      </c>
      <c r="K1725" s="50"/>
      <c r="L1725" s="869" t="s">
        <v>672</v>
      </c>
      <c r="M1725" s="865" t="s">
        <v>591</v>
      </c>
      <c r="N1725" s="865" t="s">
        <v>657</v>
      </c>
      <c r="O1725" s="866">
        <v>2004.0</v>
      </c>
      <c r="P1725" s="865" t="s">
        <v>593</v>
      </c>
      <c r="Q1725" s="865" t="s">
        <v>70</v>
      </c>
      <c r="R1725" s="867">
        <v>75394.01928</v>
      </c>
      <c r="S1725" s="867">
        <v>81513.2471</v>
      </c>
      <c r="T1725" s="868">
        <v>68816.95803</v>
      </c>
      <c r="AN1725" s="882"/>
      <c r="AO1725" s="882"/>
      <c r="AP1725" s="882"/>
      <c r="AY1725" s="882"/>
      <c r="AZ1725" s="882"/>
      <c r="BA1725" s="882"/>
      <c r="BJ1725" s="882"/>
      <c r="BK1725" s="882"/>
      <c r="BL1725" s="882"/>
      <c r="BU1725" s="882"/>
      <c r="BV1725" s="882"/>
      <c r="BW1725" s="882"/>
      <c r="CF1725" s="882"/>
      <c r="CG1725" s="882"/>
      <c r="CH1725" s="882"/>
      <c r="CI1725" s="530"/>
    </row>
    <row r="1726">
      <c r="A1726" s="857"/>
      <c r="B1726" s="865" t="s">
        <v>672</v>
      </c>
      <c r="C1726" s="865" t="s">
        <v>591</v>
      </c>
      <c r="D1726" s="865" t="s">
        <v>659</v>
      </c>
      <c r="E1726" s="866">
        <v>2019.0</v>
      </c>
      <c r="F1726" s="865" t="s">
        <v>593</v>
      </c>
      <c r="G1726" s="865" t="s">
        <v>70</v>
      </c>
      <c r="H1726" s="867">
        <v>310282.1079</v>
      </c>
      <c r="I1726" s="867">
        <v>345395.9747</v>
      </c>
      <c r="J1726" s="868">
        <v>277014.122</v>
      </c>
      <c r="K1726" s="50"/>
      <c r="L1726" s="869" t="s">
        <v>672</v>
      </c>
      <c r="M1726" s="865" t="s">
        <v>591</v>
      </c>
      <c r="N1726" s="865" t="s">
        <v>659</v>
      </c>
      <c r="O1726" s="866">
        <v>2004.0</v>
      </c>
      <c r="P1726" s="865" t="s">
        <v>593</v>
      </c>
      <c r="Q1726" s="865" t="s">
        <v>70</v>
      </c>
      <c r="R1726" s="867">
        <v>162972.2292</v>
      </c>
      <c r="S1726" s="867">
        <v>176199.5941</v>
      </c>
      <c r="T1726" s="868">
        <v>148755.2085</v>
      </c>
      <c r="AN1726" s="882"/>
      <c r="AO1726" s="882"/>
      <c r="AP1726" s="882"/>
      <c r="AY1726" s="882"/>
      <c r="AZ1726" s="882"/>
      <c r="BA1726" s="882"/>
      <c r="BJ1726" s="882"/>
      <c r="BK1726" s="882"/>
      <c r="BL1726" s="882"/>
      <c r="BU1726" s="882"/>
      <c r="BV1726" s="882"/>
      <c r="BW1726" s="882"/>
      <c r="CF1726" s="882"/>
      <c r="CG1726" s="882"/>
      <c r="CH1726" s="882"/>
      <c r="CI1726" s="530"/>
    </row>
    <row r="1727">
      <c r="A1727" s="857"/>
      <c r="B1727" s="865" t="s">
        <v>672</v>
      </c>
      <c r="C1727" s="865" t="s">
        <v>591</v>
      </c>
      <c r="D1727" s="865" t="s">
        <v>661</v>
      </c>
      <c r="E1727" s="866">
        <v>2019.0</v>
      </c>
      <c r="F1727" s="865" t="s">
        <v>593</v>
      </c>
      <c r="G1727" s="865" t="s">
        <v>70</v>
      </c>
      <c r="H1727" s="867">
        <v>158000.8491</v>
      </c>
      <c r="I1727" s="867">
        <v>175884.5552</v>
      </c>
      <c r="J1727" s="868">
        <v>141048.4198</v>
      </c>
      <c r="K1727" s="50"/>
      <c r="L1727" s="869" t="s">
        <v>672</v>
      </c>
      <c r="M1727" s="865" t="s">
        <v>591</v>
      </c>
      <c r="N1727" s="865" t="s">
        <v>661</v>
      </c>
      <c r="O1727" s="866">
        <v>2004.0</v>
      </c>
      <c r="P1727" s="865" t="s">
        <v>593</v>
      </c>
      <c r="Q1727" s="865" t="s">
        <v>70</v>
      </c>
      <c r="R1727" s="867">
        <v>87580.39553</v>
      </c>
      <c r="S1727" s="867">
        <v>94686.5436</v>
      </c>
      <c r="T1727" s="868">
        <v>79937.1759</v>
      </c>
      <c r="AN1727" s="882"/>
      <c r="AO1727" s="882"/>
      <c r="AP1727" s="882"/>
      <c r="AY1727" s="882"/>
      <c r="AZ1727" s="882"/>
      <c r="BA1727" s="882"/>
      <c r="BJ1727" s="882"/>
      <c r="BK1727" s="882"/>
      <c r="BL1727" s="882"/>
      <c r="BU1727" s="882"/>
      <c r="BV1727" s="882"/>
      <c r="BW1727" s="882"/>
      <c r="CF1727" s="882"/>
      <c r="CG1727" s="882"/>
      <c r="CH1727" s="882"/>
      <c r="CI1727" s="530"/>
    </row>
    <row r="1728">
      <c r="A1728" s="857"/>
      <c r="B1728" s="865" t="s">
        <v>672</v>
      </c>
      <c r="C1728" s="865" t="s">
        <v>591</v>
      </c>
      <c r="D1728" s="865" t="s">
        <v>663</v>
      </c>
      <c r="E1728" s="866">
        <v>2019.0</v>
      </c>
      <c r="F1728" s="865" t="s">
        <v>593</v>
      </c>
      <c r="G1728" s="865" t="s">
        <v>70</v>
      </c>
      <c r="H1728" s="867">
        <v>94948.06529</v>
      </c>
      <c r="I1728" s="867">
        <v>105693.1055</v>
      </c>
      <c r="J1728" s="868">
        <v>84767.875</v>
      </c>
      <c r="K1728" s="50"/>
      <c r="L1728" s="869" t="s">
        <v>672</v>
      </c>
      <c r="M1728" s="865" t="s">
        <v>591</v>
      </c>
      <c r="N1728" s="865" t="s">
        <v>663</v>
      </c>
      <c r="O1728" s="866">
        <v>2004.0</v>
      </c>
      <c r="P1728" s="865" t="s">
        <v>593</v>
      </c>
      <c r="Q1728" s="865" t="s">
        <v>70</v>
      </c>
      <c r="R1728" s="867">
        <v>50580.9199</v>
      </c>
      <c r="S1728" s="867">
        <v>54686.23456</v>
      </c>
      <c r="T1728" s="868">
        <v>46168.45043</v>
      </c>
      <c r="AN1728" s="882"/>
      <c r="AO1728" s="882"/>
      <c r="AP1728" s="882"/>
      <c r="AY1728" s="882"/>
      <c r="AZ1728" s="882"/>
      <c r="BA1728" s="882"/>
      <c r="BJ1728" s="882"/>
      <c r="BK1728" s="882"/>
      <c r="BL1728" s="882"/>
      <c r="BU1728" s="882"/>
      <c r="BV1728" s="882"/>
      <c r="BW1728" s="882"/>
      <c r="CF1728" s="882"/>
      <c r="CG1728" s="882"/>
      <c r="CH1728" s="882"/>
      <c r="CI1728" s="530"/>
    </row>
    <row r="1729">
      <c r="A1729" s="857"/>
      <c r="B1729" s="865" t="s">
        <v>672</v>
      </c>
      <c r="C1729" s="865" t="s">
        <v>591</v>
      </c>
      <c r="D1729" s="865" t="s">
        <v>665</v>
      </c>
      <c r="E1729" s="866">
        <v>2019.0</v>
      </c>
      <c r="F1729" s="865" t="s">
        <v>593</v>
      </c>
      <c r="G1729" s="865" t="s">
        <v>70</v>
      </c>
      <c r="H1729" s="867">
        <v>135933.3842</v>
      </c>
      <c r="I1729" s="867">
        <v>151319.3313</v>
      </c>
      <c r="J1729" s="868">
        <v>121348.6457</v>
      </c>
      <c r="K1729" s="50"/>
      <c r="L1729" s="869" t="s">
        <v>672</v>
      </c>
      <c r="M1729" s="865" t="s">
        <v>591</v>
      </c>
      <c r="N1729" s="865" t="s">
        <v>665</v>
      </c>
      <c r="O1729" s="866">
        <v>2004.0</v>
      </c>
      <c r="P1729" s="865" t="s">
        <v>593</v>
      </c>
      <c r="Q1729" s="865" t="s">
        <v>70</v>
      </c>
      <c r="R1729" s="867">
        <v>75881.89542</v>
      </c>
      <c r="S1729" s="867">
        <v>82038.84393</v>
      </c>
      <c r="T1729" s="868">
        <v>69259.61438</v>
      </c>
      <c r="AN1729" s="882"/>
      <c r="AO1729" s="882"/>
      <c r="AP1729" s="882"/>
      <c r="AY1729" s="882"/>
      <c r="AZ1729" s="882"/>
      <c r="BA1729" s="882"/>
      <c r="BJ1729" s="882"/>
      <c r="BK1729" s="882"/>
      <c r="BL1729" s="882"/>
      <c r="BU1729" s="882"/>
      <c r="BV1729" s="882"/>
      <c r="BW1729" s="882"/>
      <c r="CF1729" s="882"/>
      <c r="CG1729" s="882"/>
      <c r="CH1729" s="882"/>
      <c r="CI1729" s="530"/>
    </row>
    <row r="1730">
      <c r="A1730" s="857"/>
      <c r="B1730" s="865" t="s">
        <v>672</v>
      </c>
      <c r="C1730" s="865" t="s">
        <v>591</v>
      </c>
      <c r="D1730" s="865" t="s">
        <v>667</v>
      </c>
      <c r="E1730" s="866">
        <v>2019.0</v>
      </c>
      <c r="F1730" s="865" t="s">
        <v>593</v>
      </c>
      <c r="G1730" s="865" t="s">
        <v>70</v>
      </c>
      <c r="H1730" s="867">
        <v>63047.60878</v>
      </c>
      <c r="I1730" s="867">
        <v>70182.55238</v>
      </c>
      <c r="J1730" s="868">
        <v>56287.73797</v>
      </c>
      <c r="K1730" s="50"/>
      <c r="L1730" s="869" t="s">
        <v>672</v>
      </c>
      <c r="M1730" s="865" t="s">
        <v>591</v>
      </c>
      <c r="N1730" s="865" t="s">
        <v>667</v>
      </c>
      <c r="O1730" s="866">
        <v>2004.0</v>
      </c>
      <c r="P1730" s="865" t="s">
        <v>593</v>
      </c>
      <c r="Q1730" s="865" t="s">
        <v>70</v>
      </c>
      <c r="R1730" s="867">
        <v>36997.29005</v>
      </c>
      <c r="S1730" s="867">
        <v>40000.1124</v>
      </c>
      <c r="T1730" s="868">
        <v>33769.80005</v>
      </c>
      <c r="AN1730" s="882"/>
      <c r="AO1730" s="882"/>
      <c r="AP1730" s="882"/>
      <c r="AY1730" s="882"/>
      <c r="AZ1730" s="882"/>
      <c r="BA1730" s="882"/>
      <c r="BJ1730" s="882"/>
      <c r="BK1730" s="882"/>
      <c r="BL1730" s="882"/>
      <c r="BU1730" s="882"/>
      <c r="BV1730" s="882"/>
      <c r="BW1730" s="882"/>
      <c r="CF1730" s="882"/>
      <c r="CG1730" s="882"/>
      <c r="CH1730" s="882"/>
      <c r="CI1730" s="530"/>
    </row>
    <row r="1731">
      <c r="A1731" s="857"/>
      <c r="B1731" s="865" t="s">
        <v>672</v>
      </c>
      <c r="C1731" s="865" t="s">
        <v>591</v>
      </c>
      <c r="D1731" s="865" t="s">
        <v>669</v>
      </c>
      <c r="E1731" s="866">
        <v>2019.0</v>
      </c>
      <c r="F1731" s="865" t="s">
        <v>593</v>
      </c>
      <c r="G1731" s="865" t="s">
        <v>70</v>
      </c>
      <c r="H1731" s="867">
        <v>40980.86674</v>
      </c>
      <c r="I1731" s="867">
        <v>45618.57114</v>
      </c>
      <c r="J1731" s="868">
        <v>36586.95918</v>
      </c>
      <c r="K1731" s="50"/>
      <c r="L1731" s="869" t="s">
        <v>672</v>
      </c>
      <c r="M1731" s="865" t="s">
        <v>591</v>
      </c>
      <c r="N1731" s="865" t="s">
        <v>669</v>
      </c>
      <c r="O1731" s="866">
        <v>2004.0</v>
      </c>
      <c r="P1731" s="865" t="s">
        <v>593</v>
      </c>
      <c r="Q1731" s="865" t="s">
        <v>70</v>
      </c>
      <c r="R1731" s="867">
        <v>25299.08188</v>
      </c>
      <c r="S1731" s="867">
        <v>27352.43899</v>
      </c>
      <c r="T1731" s="868">
        <v>23092.095</v>
      </c>
      <c r="AN1731" s="882"/>
      <c r="AO1731" s="882"/>
      <c r="AP1731" s="882"/>
      <c r="AY1731" s="882"/>
      <c r="AZ1731" s="882"/>
      <c r="BA1731" s="882"/>
      <c r="BJ1731" s="882"/>
      <c r="BK1731" s="882"/>
      <c r="BL1731" s="882"/>
      <c r="BU1731" s="882"/>
      <c r="BV1731" s="882"/>
      <c r="BW1731" s="882"/>
      <c r="CF1731" s="882"/>
      <c r="CG1731" s="882"/>
      <c r="CH1731" s="882"/>
      <c r="CI1731" s="530"/>
    </row>
    <row r="1732">
      <c r="A1732" s="857"/>
      <c r="B1732" s="865" t="s">
        <v>672</v>
      </c>
      <c r="C1732" s="865" t="s">
        <v>591</v>
      </c>
      <c r="D1732" s="865" t="s">
        <v>671</v>
      </c>
      <c r="E1732" s="866">
        <v>2019.0</v>
      </c>
      <c r="F1732" s="865" t="s">
        <v>593</v>
      </c>
      <c r="G1732" s="865" t="s">
        <v>70</v>
      </c>
      <c r="H1732" s="867">
        <v>22067.46482</v>
      </c>
      <c r="I1732" s="867">
        <v>24565.22391</v>
      </c>
      <c r="J1732" s="868">
        <v>19699.77415</v>
      </c>
      <c r="K1732" s="50"/>
      <c r="L1732" s="869" t="s">
        <v>672</v>
      </c>
      <c r="M1732" s="865" t="s">
        <v>591</v>
      </c>
      <c r="N1732" s="865" t="s">
        <v>671</v>
      </c>
      <c r="O1732" s="866">
        <v>2004.0</v>
      </c>
      <c r="P1732" s="865" t="s">
        <v>593</v>
      </c>
      <c r="Q1732" s="865" t="s">
        <v>70</v>
      </c>
      <c r="R1732" s="867">
        <v>11698.5001</v>
      </c>
      <c r="S1732" s="867">
        <v>12647.69968</v>
      </c>
      <c r="T1732" s="868">
        <v>10677.56151</v>
      </c>
      <c r="AN1732" s="882"/>
      <c r="AO1732" s="882"/>
      <c r="AP1732" s="882"/>
      <c r="AY1732" s="882"/>
      <c r="AZ1732" s="882"/>
      <c r="BA1732" s="882"/>
      <c r="BJ1732" s="882"/>
      <c r="BK1732" s="882"/>
      <c r="BL1732" s="882"/>
      <c r="BU1732" s="882"/>
      <c r="BV1732" s="882"/>
      <c r="BW1732" s="882"/>
      <c r="CF1732" s="882"/>
      <c r="CG1732" s="882"/>
      <c r="CH1732" s="882"/>
      <c r="CI1732" s="530"/>
    </row>
    <row r="1733">
      <c r="A1733" s="857"/>
      <c r="B1733" s="865" t="s">
        <v>672</v>
      </c>
      <c r="C1733" s="865" t="s">
        <v>591</v>
      </c>
      <c r="D1733" s="865" t="s">
        <v>673</v>
      </c>
      <c r="E1733" s="866">
        <v>2019.0</v>
      </c>
      <c r="F1733" s="865" t="s">
        <v>593</v>
      </c>
      <c r="G1733" s="865" t="s">
        <v>70</v>
      </c>
      <c r="H1733" s="867">
        <v>15378.54384</v>
      </c>
      <c r="I1733" s="867">
        <v>17118.89602</v>
      </c>
      <c r="J1733" s="868">
        <v>13729.67925</v>
      </c>
      <c r="K1733" s="50"/>
      <c r="L1733" s="869" t="s">
        <v>672</v>
      </c>
      <c r="M1733" s="865" t="s">
        <v>591</v>
      </c>
      <c r="N1733" s="865" t="s">
        <v>673</v>
      </c>
      <c r="O1733" s="866">
        <v>2004.0</v>
      </c>
      <c r="P1733" s="865" t="s">
        <v>593</v>
      </c>
      <c r="Q1733" s="865" t="s">
        <v>70</v>
      </c>
      <c r="R1733" s="867">
        <v>8608.52985</v>
      </c>
      <c r="S1733" s="867">
        <v>9307.226588</v>
      </c>
      <c r="T1733" s="868">
        <v>7857.557443</v>
      </c>
      <c r="AN1733" s="882"/>
      <c r="AO1733" s="882"/>
      <c r="AP1733" s="882"/>
      <c r="AY1733" s="882"/>
      <c r="AZ1733" s="882"/>
      <c r="BA1733" s="882"/>
      <c r="BJ1733" s="882"/>
      <c r="BK1733" s="882"/>
      <c r="BL1733" s="882"/>
      <c r="BU1733" s="882"/>
      <c r="BV1733" s="882"/>
      <c r="BW1733" s="882"/>
      <c r="CF1733" s="882"/>
      <c r="CG1733" s="882"/>
      <c r="CH1733" s="882"/>
      <c r="CI1733" s="530"/>
    </row>
    <row r="1734">
      <c r="A1734" s="857"/>
      <c r="B1734" s="865" t="s">
        <v>672</v>
      </c>
      <c r="C1734" s="865" t="s">
        <v>591</v>
      </c>
      <c r="D1734" s="865" t="s">
        <v>674</v>
      </c>
      <c r="E1734" s="866">
        <v>2019.0</v>
      </c>
      <c r="F1734" s="865" t="s">
        <v>593</v>
      </c>
      <c r="G1734" s="865" t="s">
        <v>70</v>
      </c>
      <c r="H1734" s="867">
        <v>5517.187735</v>
      </c>
      <c r="I1734" s="867">
        <v>6141.554369</v>
      </c>
      <c r="J1734" s="868">
        <v>4925.643075</v>
      </c>
      <c r="K1734" s="50"/>
      <c r="L1734" s="869" t="s">
        <v>672</v>
      </c>
      <c r="M1734" s="865" t="s">
        <v>591</v>
      </c>
      <c r="N1734" s="865" t="s">
        <v>674</v>
      </c>
      <c r="O1734" s="866">
        <v>2004.0</v>
      </c>
      <c r="P1734" s="865" t="s">
        <v>593</v>
      </c>
      <c r="Q1734" s="865" t="s">
        <v>70</v>
      </c>
      <c r="R1734" s="867">
        <v>2570.163607</v>
      </c>
      <c r="S1734" s="867">
        <v>2778.766581</v>
      </c>
      <c r="T1734" s="868">
        <v>2345.953204</v>
      </c>
      <c r="AN1734" s="882"/>
      <c r="AO1734" s="882"/>
      <c r="AP1734" s="882"/>
      <c r="AY1734" s="882"/>
      <c r="AZ1734" s="882"/>
      <c r="BA1734" s="882"/>
      <c r="BJ1734" s="882"/>
      <c r="BK1734" s="882"/>
      <c r="BL1734" s="882"/>
      <c r="BU1734" s="882"/>
      <c r="BV1734" s="882"/>
      <c r="BW1734" s="882"/>
      <c r="CF1734" s="882"/>
      <c r="CG1734" s="882"/>
      <c r="CH1734" s="882"/>
      <c r="CI1734" s="530"/>
    </row>
    <row r="1735">
      <c r="A1735" s="857"/>
      <c r="B1735" s="865" t="s">
        <v>672</v>
      </c>
      <c r="C1735" s="865" t="s">
        <v>591</v>
      </c>
      <c r="D1735" s="865" t="s">
        <v>676</v>
      </c>
      <c r="E1735" s="866">
        <v>2019.0</v>
      </c>
      <c r="F1735" s="865" t="s">
        <v>593</v>
      </c>
      <c r="G1735" s="865" t="s">
        <v>70</v>
      </c>
      <c r="H1735" s="867">
        <v>1171.010467</v>
      </c>
      <c r="I1735" s="867">
        <v>1303.530856</v>
      </c>
      <c r="J1735" s="868">
        <v>1045.456467</v>
      </c>
      <c r="K1735" s="50"/>
      <c r="L1735" s="869" t="s">
        <v>672</v>
      </c>
      <c r="M1735" s="865" t="s">
        <v>591</v>
      </c>
      <c r="N1735" s="865" t="s">
        <v>676</v>
      </c>
      <c r="O1735" s="866">
        <v>2004.0</v>
      </c>
      <c r="P1735" s="865" t="s">
        <v>593</v>
      </c>
      <c r="Q1735" s="865" t="s">
        <v>70</v>
      </c>
      <c r="R1735" s="867">
        <v>519.5147097</v>
      </c>
      <c r="S1735" s="867">
        <v>561.6802408</v>
      </c>
      <c r="T1735" s="868">
        <v>474.1944032</v>
      </c>
      <c r="AN1735" s="882"/>
      <c r="AO1735" s="882"/>
      <c r="AP1735" s="882"/>
      <c r="AY1735" s="882"/>
      <c r="AZ1735" s="882"/>
      <c r="BA1735" s="882"/>
      <c r="BJ1735" s="882"/>
      <c r="BK1735" s="882"/>
      <c r="BL1735" s="882"/>
      <c r="BU1735" s="882"/>
      <c r="BV1735" s="882"/>
      <c r="BW1735" s="882"/>
      <c r="CF1735" s="882"/>
      <c r="CG1735" s="882"/>
      <c r="CH1735" s="882"/>
      <c r="CI1735" s="530"/>
    </row>
    <row r="1736">
      <c r="A1736" s="857"/>
      <c r="B1736" s="865" t="s">
        <v>672</v>
      </c>
      <c r="C1736" s="865" t="s">
        <v>591</v>
      </c>
      <c r="D1736" s="865" t="s">
        <v>678</v>
      </c>
      <c r="E1736" s="866">
        <v>2019.0</v>
      </c>
      <c r="F1736" s="865" t="s">
        <v>593</v>
      </c>
      <c r="G1736" s="865" t="s">
        <v>70</v>
      </c>
      <c r="H1736" s="867">
        <v>2.329535288E7</v>
      </c>
      <c r="I1736" s="867">
        <v>2.593163096E7</v>
      </c>
      <c r="J1736" s="868">
        <v>2.079765981E7</v>
      </c>
      <c r="K1736" s="50"/>
      <c r="L1736" s="869" t="s">
        <v>672</v>
      </c>
      <c r="M1736" s="865" t="s">
        <v>591</v>
      </c>
      <c r="N1736" s="865" t="s">
        <v>678</v>
      </c>
      <c r="O1736" s="866">
        <v>2004.0</v>
      </c>
      <c r="P1736" s="865" t="s">
        <v>593</v>
      </c>
      <c r="Q1736" s="865" t="s">
        <v>70</v>
      </c>
      <c r="R1736" s="867">
        <v>1.310183143E7</v>
      </c>
      <c r="S1736" s="867">
        <v>1.416521938E7</v>
      </c>
      <c r="T1736" s="868">
        <v>1.195888205E7</v>
      </c>
      <c r="AN1736" s="882"/>
      <c r="AO1736" s="882"/>
      <c r="AP1736" s="882"/>
      <c r="AY1736" s="882"/>
      <c r="AZ1736" s="882"/>
      <c r="BA1736" s="882"/>
      <c r="BJ1736" s="882"/>
      <c r="BK1736" s="882"/>
      <c r="BL1736" s="882"/>
      <c r="BU1736" s="882"/>
      <c r="BV1736" s="882"/>
      <c r="BW1736" s="882"/>
      <c r="CF1736" s="882"/>
      <c r="CG1736" s="882"/>
      <c r="CH1736" s="882"/>
      <c r="CI1736" s="530"/>
    </row>
    <row r="1737">
      <c r="A1737" s="857"/>
      <c r="B1737" s="865" t="s">
        <v>672</v>
      </c>
      <c r="C1737" s="865" t="s">
        <v>591</v>
      </c>
      <c r="D1737" s="865" t="s">
        <v>680</v>
      </c>
      <c r="E1737" s="866">
        <v>2019.0</v>
      </c>
      <c r="F1737" s="865" t="s">
        <v>593</v>
      </c>
      <c r="G1737" s="865" t="s">
        <v>70</v>
      </c>
      <c r="H1737" s="867">
        <v>1142819.837</v>
      </c>
      <c r="I1737" s="867">
        <v>1186025.768</v>
      </c>
      <c r="J1737" s="868">
        <v>1101493.392</v>
      </c>
      <c r="K1737" s="50"/>
      <c r="L1737" s="869" t="s">
        <v>672</v>
      </c>
      <c r="M1737" s="865" t="s">
        <v>591</v>
      </c>
      <c r="N1737" s="865" t="s">
        <v>680</v>
      </c>
      <c r="O1737" s="866">
        <v>2004.0</v>
      </c>
      <c r="P1737" s="865" t="s">
        <v>593</v>
      </c>
      <c r="Q1737" s="865" t="s">
        <v>70</v>
      </c>
      <c r="R1737" s="867">
        <v>721710.5189</v>
      </c>
      <c r="S1737" s="867">
        <v>736276.6683</v>
      </c>
      <c r="T1737" s="868">
        <v>706075.7388</v>
      </c>
      <c r="AN1737" s="882"/>
      <c r="AO1737" s="882"/>
      <c r="AP1737" s="882"/>
      <c r="AY1737" s="882"/>
      <c r="AZ1737" s="882"/>
      <c r="BA1737" s="882"/>
      <c r="BJ1737" s="882"/>
      <c r="BK1737" s="882"/>
      <c r="BL1737" s="882"/>
      <c r="BU1737" s="882"/>
      <c r="BV1737" s="882"/>
      <c r="BW1737" s="882"/>
      <c r="CF1737" s="882"/>
      <c r="CG1737" s="882"/>
      <c r="CH1737" s="882"/>
      <c r="CI1737" s="530"/>
    </row>
    <row r="1738">
      <c r="A1738" s="857"/>
      <c r="B1738" s="865" t="s">
        <v>672</v>
      </c>
      <c r="C1738" s="865" t="s">
        <v>591</v>
      </c>
      <c r="D1738" s="865" t="s">
        <v>682</v>
      </c>
      <c r="E1738" s="866">
        <v>2019.0</v>
      </c>
      <c r="F1738" s="865" t="s">
        <v>593</v>
      </c>
      <c r="G1738" s="865" t="s">
        <v>70</v>
      </c>
      <c r="H1738" s="867">
        <v>21839.20648</v>
      </c>
      <c r="I1738" s="867">
        <v>24310.69603</v>
      </c>
      <c r="J1738" s="868">
        <v>19497.63926</v>
      </c>
      <c r="K1738" s="50"/>
      <c r="L1738" s="869" t="s">
        <v>672</v>
      </c>
      <c r="M1738" s="865" t="s">
        <v>591</v>
      </c>
      <c r="N1738" s="865" t="s">
        <v>682</v>
      </c>
      <c r="O1738" s="866">
        <v>2004.0</v>
      </c>
      <c r="P1738" s="865" t="s">
        <v>593</v>
      </c>
      <c r="Q1738" s="865" t="s">
        <v>70</v>
      </c>
      <c r="R1738" s="867">
        <v>13810.81388</v>
      </c>
      <c r="S1738" s="867">
        <v>14931.74519</v>
      </c>
      <c r="T1738" s="868">
        <v>12606.01582</v>
      </c>
      <c r="AN1738" s="882"/>
      <c r="AO1738" s="882"/>
      <c r="AP1738" s="882"/>
      <c r="AY1738" s="882"/>
      <c r="AZ1738" s="882"/>
      <c r="BA1738" s="882"/>
      <c r="BJ1738" s="882"/>
      <c r="BK1738" s="882"/>
      <c r="BL1738" s="882"/>
      <c r="BU1738" s="882"/>
      <c r="BV1738" s="882"/>
      <c r="BW1738" s="882"/>
      <c r="CF1738" s="882"/>
      <c r="CG1738" s="882"/>
      <c r="CH1738" s="882"/>
      <c r="CI1738" s="530"/>
    </row>
    <row r="1739">
      <c r="A1739" s="857"/>
      <c r="B1739" s="865" t="s">
        <v>672</v>
      </c>
      <c r="C1739" s="865" t="s">
        <v>591</v>
      </c>
      <c r="D1739" s="865" t="s">
        <v>684</v>
      </c>
      <c r="E1739" s="866">
        <v>2019.0</v>
      </c>
      <c r="F1739" s="865" t="s">
        <v>593</v>
      </c>
      <c r="G1739" s="865" t="s">
        <v>70</v>
      </c>
      <c r="H1739" s="867">
        <v>64528.38862</v>
      </c>
      <c r="I1739" s="867">
        <v>71830.90844</v>
      </c>
      <c r="J1739" s="868">
        <v>57609.7508</v>
      </c>
      <c r="K1739" s="50"/>
      <c r="L1739" s="869" t="s">
        <v>672</v>
      </c>
      <c r="M1739" s="865" t="s">
        <v>591</v>
      </c>
      <c r="N1739" s="865" t="s">
        <v>684</v>
      </c>
      <c r="O1739" s="866">
        <v>2004.0</v>
      </c>
      <c r="P1739" s="865" t="s">
        <v>593</v>
      </c>
      <c r="Q1739" s="865" t="s">
        <v>70</v>
      </c>
      <c r="R1739" s="867">
        <v>40615.10083</v>
      </c>
      <c r="S1739" s="867">
        <v>43911.55667</v>
      </c>
      <c r="T1739" s="868">
        <v>37072.00804</v>
      </c>
      <c r="AN1739" s="882"/>
      <c r="AO1739" s="882"/>
      <c r="AP1739" s="882"/>
      <c r="AY1739" s="882"/>
      <c r="AZ1739" s="882"/>
      <c r="BA1739" s="882"/>
      <c r="BJ1739" s="882"/>
      <c r="BK1739" s="882"/>
      <c r="BL1739" s="882"/>
      <c r="BU1739" s="882"/>
      <c r="BV1739" s="882"/>
      <c r="BW1739" s="882"/>
      <c r="CF1739" s="882"/>
      <c r="CG1739" s="882"/>
      <c r="CH1739" s="882"/>
      <c r="CI1739" s="530"/>
    </row>
    <row r="1740">
      <c r="A1740" s="857"/>
      <c r="B1740" s="865" t="s">
        <v>672</v>
      </c>
      <c r="C1740" s="865" t="s">
        <v>591</v>
      </c>
      <c r="D1740" s="865" t="s">
        <v>686</v>
      </c>
      <c r="E1740" s="866">
        <v>2019.0</v>
      </c>
      <c r="F1740" s="865" t="s">
        <v>593</v>
      </c>
      <c r="G1740" s="865" t="s">
        <v>70</v>
      </c>
      <c r="H1740" s="867">
        <v>86367.5951</v>
      </c>
      <c r="I1740" s="867">
        <v>96141.60448</v>
      </c>
      <c r="J1740" s="868">
        <v>77107.39006</v>
      </c>
      <c r="K1740" s="50"/>
      <c r="L1740" s="869" t="s">
        <v>672</v>
      </c>
      <c r="M1740" s="865" t="s">
        <v>591</v>
      </c>
      <c r="N1740" s="865" t="s">
        <v>686</v>
      </c>
      <c r="O1740" s="866">
        <v>2004.0</v>
      </c>
      <c r="P1740" s="865" t="s">
        <v>593</v>
      </c>
      <c r="Q1740" s="865" t="s">
        <v>70</v>
      </c>
      <c r="R1740" s="867">
        <v>54425.91472</v>
      </c>
      <c r="S1740" s="867">
        <v>58843.30186</v>
      </c>
      <c r="T1740" s="868">
        <v>49678.02386</v>
      </c>
      <c r="AN1740" s="882"/>
      <c r="AO1740" s="882"/>
      <c r="AP1740" s="882"/>
      <c r="AY1740" s="882"/>
      <c r="AZ1740" s="882"/>
      <c r="BA1740" s="882"/>
      <c r="BJ1740" s="882"/>
      <c r="BK1740" s="882"/>
      <c r="BL1740" s="882"/>
      <c r="BU1740" s="882"/>
      <c r="BV1740" s="882"/>
      <c r="BW1740" s="882"/>
      <c r="CF1740" s="882"/>
      <c r="CG1740" s="882"/>
      <c r="CH1740" s="882"/>
      <c r="CI1740" s="530"/>
    </row>
    <row r="1741">
      <c r="A1741" s="857"/>
      <c r="B1741" s="865" t="s">
        <v>672</v>
      </c>
      <c r="C1741" s="865" t="s">
        <v>591</v>
      </c>
      <c r="D1741" s="865" t="s">
        <v>688</v>
      </c>
      <c r="E1741" s="866">
        <v>2019.0</v>
      </c>
      <c r="F1741" s="865" t="s">
        <v>593</v>
      </c>
      <c r="G1741" s="865" t="s">
        <v>70</v>
      </c>
      <c r="H1741" s="867">
        <v>996485.0022</v>
      </c>
      <c r="I1741" s="867">
        <v>1109254.771</v>
      </c>
      <c r="J1741" s="868">
        <v>889643.3629</v>
      </c>
      <c r="K1741" s="50"/>
      <c r="L1741" s="869" t="s">
        <v>672</v>
      </c>
      <c r="M1741" s="865" t="s">
        <v>591</v>
      </c>
      <c r="N1741" s="865" t="s">
        <v>688</v>
      </c>
      <c r="O1741" s="866">
        <v>2004.0</v>
      </c>
      <c r="P1741" s="865" t="s">
        <v>593</v>
      </c>
      <c r="Q1741" s="865" t="s">
        <v>70</v>
      </c>
      <c r="R1741" s="867">
        <v>623365.0689</v>
      </c>
      <c r="S1741" s="867">
        <v>673959.4384</v>
      </c>
      <c r="T1741" s="868">
        <v>568985.2881</v>
      </c>
      <c r="AN1741" s="882"/>
      <c r="AO1741" s="882"/>
      <c r="AP1741" s="882"/>
      <c r="AY1741" s="882"/>
      <c r="AZ1741" s="882"/>
      <c r="BA1741" s="882"/>
      <c r="BJ1741" s="882"/>
      <c r="BK1741" s="882"/>
      <c r="BL1741" s="882"/>
      <c r="BU1741" s="882"/>
      <c r="BV1741" s="882"/>
      <c r="BW1741" s="882"/>
      <c r="CF1741" s="882"/>
      <c r="CG1741" s="882"/>
      <c r="CH1741" s="882"/>
      <c r="CI1741" s="530"/>
    </row>
    <row r="1742">
      <c r="A1742" s="857"/>
      <c r="B1742" s="865" t="s">
        <v>672</v>
      </c>
      <c r="C1742" s="865" t="s">
        <v>591</v>
      </c>
      <c r="D1742" s="865" t="s">
        <v>689</v>
      </c>
      <c r="E1742" s="866">
        <v>2019.0</v>
      </c>
      <c r="F1742" s="865" t="s">
        <v>593</v>
      </c>
      <c r="G1742" s="865" t="s">
        <v>70</v>
      </c>
      <c r="H1742" s="867">
        <v>4852863.614</v>
      </c>
      <c r="I1742" s="867">
        <v>5402050.313</v>
      </c>
      <c r="J1742" s="868">
        <v>4332546.798</v>
      </c>
      <c r="K1742" s="50"/>
      <c r="L1742" s="869" t="s">
        <v>672</v>
      </c>
      <c r="M1742" s="865" t="s">
        <v>591</v>
      </c>
      <c r="N1742" s="865" t="s">
        <v>689</v>
      </c>
      <c r="O1742" s="866">
        <v>2004.0</v>
      </c>
      <c r="P1742" s="865" t="s">
        <v>593</v>
      </c>
      <c r="Q1742" s="865" t="s">
        <v>70</v>
      </c>
      <c r="R1742" s="867">
        <v>2907235.886</v>
      </c>
      <c r="S1742" s="867">
        <v>3143196.76</v>
      </c>
      <c r="T1742" s="868">
        <v>2653620.696</v>
      </c>
      <c r="AN1742" s="882"/>
      <c r="AO1742" s="882"/>
      <c r="AP1742" s="882"/>
      <c r="AY1742" s="882"/>
      <c r="AZ1742" s="882"/>
      <c r="BA1742" s="882"/>
      <c r="BJ1742" s="882"/>
      <c r="BK1742" s="882"/>
      <c r="BL1742" s="882"/>
      <c r="BU1742" s="882"/>
      <c r="BV1742" s="882"/>
      <c r="BW1742" s="882"/>
      <c r="CF1742" s="882"/>
      <c r="CG1742" s="882"/>
      <c r="CH1742" s="882"/>
      <c r="CI1742" s="530"/>
    </row>
    <row r="1743">
      <c r="A1743" s="857"/>
      <c r="B1743" s="865" t="s">
        <v>121</v>
      </c>
      <c r="C1743" s="865" t="s">
        <v>591</v>
      </c>
      <c r="D1743" s="865" t="s">
        <v>592</v>
      </c>
      <c r="E1743" s="866">
        <v>2019.0</v>
      </c>
      <c r="F1743" s="865" t="s">
        <v>593</v>
      </c>
      <c r="G1743" s="865" t="s">
        <v>70</v>
      </c>
      <c r="H1743" s="867">
        <v>7120566.431</v>
      </c>
      <c r="I1743" s="867">
        <v>7841488.722</v>
      </c>
      <c r="J1743" s="868">
        <v>6401586.047</v>
      </c>
      <c r="K1743" s="50"/>
      <c r="L1743" s="869" t="s">
        <v>121</v>
      </c>
      <c r="M1743" s="865" t="s">
        <v>591</v>
      </c>
      <c r="N1743" s="865" t="s">
        <v>592</v>
      </c>
      <c r="O1743" s="866">
        <v>2004.0</v>
      </c>
      <c r="P1743" s="865" t="s">
        <v>593</v>
      </c>
      <c r="Q1743" s="865" t="s">
        <v>70</v>
      </c>
      <c r="R1743" s="867">
        <v>5762927.186</v>
      </c>
      <c r="S1743" s="867">
        <v>6220035.484</v>
      </c>
      <c r="T1743" s="868">
        <v>5294829.156</v>
      </c>
      <c r="AN1743" s="882"/>
      <c r="AO1743" s="882"/>
      <c r="AP1743" s="882"/>
      <c r="AY1743" s="882"/>
      <c r="AZ1743" s="882"/>
      <c r="BA1743" s="882"/>
      <c r="BJ1743" s="882"/>
      <c r="BK1743" s="882"/>
      <c r="BL1743" s="882"/>
      <c r="BU1743" s="882"/>
      <c r="BV1743" s="882"/>
      <c r="BW1743" s="882"/>
      <c r="CF1743" s="882"/>
      <c r="CG1743" s="882"/>
      <c r="CH1743" s="882"/>
      <c r="CI1743" s="530"/>
    </row>
    <row r="1744">
      <c r="A1744" s="857"/>
      <c r="B1744" s="865" t="s">
        <v>121</v>
      </c>
      <c r="C1744" s="865" t="s">
        <v>591</v>
      </c>
      <c r="D1744" s="865" t="s">
        <v>601</v>
      </c>
      <c r="E1744" s="866">
        <v>2019.0</v>
      </c>
      <c r="F1744" s="865" t="s">
        <v>593</v>
      </c>
      <c r="G1744" s="865" t="s">
        <v>70</v>
      </c>
      <c r="H1744" s="867">
        <v>1.178068806E8</v>
      </c>
      <c r="I1744" s="867">
        <v>1.297342472E8</v>
      </c>
      <c r="J1744" s="868">
        <v>1.05911642E8</v>
      </c>
      <c r="K1744" s="50"/>
      <c r="L1744" s="869" t="s">
        <v>121</v>
      </c>
      <c r="M1744" s="865" t="s">
        <v>591</v>
      </c>
      <c r="N1744" s="865" t="s">
        <v>601</v>
      </c>
      <c r="O1744" s="866">
        <v>2004.0</v>
      </c>
      <c r="P1744" s="865" t="s">
        <v>593</v>
      </c>
      <c r="Q1744" s="865" t="s">
        <v>70</v>
      </c>
      <c r="R1744" s="867">
        <v>7.544150407E7</v>
      </c>
      <c r="S1744" s="867">
        <v>8.142543141E7</v>
      </c>
      <c r="T1744" s="868">
        <v>6.931371202E7</v>
      </c>
      <c r="AN1744" s="882"/>
      <c r="AO1744" s="882"/>
      <c r="AP1744" s="882"/>
      <c r="AY1744" s="882"/>
      <c r="AZ1744" s="882"/>
      <c r="BA1744" s="882"/>
      <c r="BJ1744" s="882"/>
      <c r="BK1744" s="882"/>
      <c r="BL1744" s="882"/>
      <c r="BU1744" s="882"/>
      <c r="BV1744" s="882"/>
      <c r="BW1744" s="882"/>
      <c r="CF1744" s="882"/>
      <c r="CG1744" s="882"/>
      <c r="CH1744" s="882"/>
      <c r="CI1744" s="530"/>
    </row>
    <row r="1745">
      <c r="A1745" s="857"/>
      <c r="B1745" s="865" t="s">
        <v>121</v>
      </c>
      <c r="C1745" s="865" t="s">
        <v>591</v>
      </c>
      <c r="D1745" s="865" t="s">
        <v>606</v>
      </c>
      <c r="E1745" s="866">
        <v>2019.0</v>
      </c>
      <c r="F1745" s="865" t="s">
        <v>593</v>
      </c>
      <c r="G1745" s="865" t="s">
        <v>70</v>
      </c>
      <c r="H1745" s="867">
        <v>9.374807436E7</v>
      </c>
      <c r="I1745" s="867">
        <v>1.032396053E8</v>
      </c>
      <c r="J1745" s="868">
        <v>8.428211022E7</v>
      </c>
      <c r="K1745" s="50"/>
      <c r="L1745" s="869" t="s">
        <v>121</v>
      </c>
      <c r="M1745" s="865" t="s">
        <v>591</v>
      </c>
      <c r="N1745" s="865" t="s">
        <v>606</v>
      </c>
      <c r="O1745" s="866">
        <v>2004.0</v>
      </c>
      <c r="P1745" s="865" t="s">
        <v>593</v>
      </c>
      <c r="Q1745" s="865" t="s">
        <v>70</v>
      </c>
      <c r="R1745" s="867">
        <v>6.086762819E7</v>
      </c>
      <c r="S1745" s="867">
        <v>6.569557362E7</v>
      </c>
      <c r="T1745" s="868">
        <v>5.592361001E7</v>
      </c>
      <c r="AN1745" s="882"/>
      <c r="AO1745" s="882"/>
      <c r="AP1745" s="882"/>
      <c r="AY1745" s="882"/>
      <c r="AZ1745" s="882"/>
      <c r="BA1745" s="882"/>
      <c r="BJ1745" s="882"/>
      <c r="BK1745" s="882"/>
      <c r="BL1745" s="882"/>
      <c r="BU1745" s="882"/>
      <c r="BV1745" s="882"/>
      <c r="BW1745" s="882"/>
      <c r="CF1745" s="882"/>
      <c r="CG1745" s="882"/>
      <c r="CH1745" s="882"/>
      <c r="CI1745" s="530"/>
    </row>
    <row r="1746">
      <c r="A1746" s="857"/>
      <c r="B1746" s="865" t="s">
        <v>121</v>
      </c>
      <c r="C1746" s="865" t="s">
        <v>591</v>
      </c>
      <c r="D1746" s="865" t="s">
        <v>608</v>
      </c>
      <c r="E1746" s="866">
        <v>2019.0</v>
      </c>
      <c r="F1746" s="865" t="s">
        <v>593</v>
      </c>
      <c r="G1746" s="865" t="s">
        <v>70</v>
      </c>
      <c r="H1746" s="867">
        <v>2.64010714E7</v>
      </c>
      <c r="I1746" s="867">
        <v>2.907404989E7</v>
      </c>
      <c r="J1746" s="868">
        <v>2.373529296E7</v>
      </c>
      <c r="K1746" s="50"/>
      <c r="L1746" s="869" t="s">
        <v>121</v>
      </c>
      <c r="M1746" s="865" t="s">
        <v>591</v>
      </c>
      <c r="N1746" s="865" t="s">
        <v>608</v>
      </c>
      <c r="O1746" s="866">
        <v>2004.0</v>
      </c>
      <c r="P1746" s="865" t="s">
        <v>593</v>
      </c>
      <c r="Q1746" s="865" t="s">
        <v>70</v>
      </c>
      <c r="R1746" s="867">
        <v>1.919834245E7</v>
      </c>
      <c r="S1746" s="867">
        <v>2.072113137E7</v>
      </c>
      <c r="T1746" s="868">
        <v>1.763894286E7</v>
      </c>
      <c r="AN1746" s="882"/>
      <c r="AO1746" s="882"/>
      <c r="AP1746" s="882"/>
      <c r="AY1746" s="882"/>
      <c r="AZ1746" s="882"/>
      <c r="BA1746" s="882"/>
      <c r="BJ1746" s="882"/>
      <c r="BK1746" s="882"/>
      <c r="BL1746" s="882"/>
      <c r="BU1746" s="882"/>
      <c r="BV1746" s="882"/>
      <c r="BW1746" s="882"/>
      <c r="CF1746" s="882"/>
      <c r="CG1746" s="882"/>
      <c r="CH1746" s="882"/>
      <c r="CI1746" s="530"/>
    </row>
    <row r="1747">
      <c r="A1747" s="857"/>
      <c r="B1747" s="865" t="s">
        <v>121</v>
      </c>
      <c r="C1747" s="865" t="s">
        <v>591</v>
      </c>
      <c r="D1747" s="865" t="s">
        <v>610</v>
      </c>
      <c r="E1747" s="866">
        <v>2019.0</v>
      </c>
      <c r="F1747" s="865" t="s">
        <v>593</v>
      </c>
      <c r="G1747" s="865" t="s">
        <v>70</v>
      </c>
      <c r="H1747" s="867">
        <v>2.891063205E7</v>
      </c>
      <c r="I1747" s="867">
        <v>3.18376912E7</v>
      </c>
      <c r="J1747" s="868">
        <v>2.599145736E7</v>
      </c>
      <c r="K1747" s="50"/>
      <c r="L1747" s="869" t="s">
        <v>121</v>
      </c>
      <c r="M1747" s="865" t="s">
        <v>591</v>
      </c>
      <c r="N1747" s="865" t="s">
        <v>610</v>
      </c>
      <c r="O1747" s="866">
        <v>2004.0</v>
      </c>
      <c r="P1747" s="865" t="s">
        <v>593</v>
      </c>
      <c r="Q1747" s="865" t="s">
        <v>70</v>
      </c>
      <c r="R1747" s="867">
        <v>1.653153103E7</v>
      </c>
      <c r="S1747" s="867">
        <v>1.784279174E7</v>
      </c>
      <c r="T1747" s="868">
        <v>1.518874517E7</v>
      </c>
      <c r="AN1747" s="882"/>
      <c r="AO1747" s="882"/>
      <c r="AP1747" s="882"/>
      <c r="AY1747" s="882"/>
      <c r="AZ1747" s="882"/>
      <c r="BA1747" s="882"/>
      <c r="BJ1747" s="882"/>
      <c r="BK1747" s="882"/>
      <c r="BL1747" s="882"/>
      <c r="BU1747" s="882"/>
      <c r="BV1747" s="882"/>
      <c r="BW1747" s="882"/>
      <c r="CF1747" s="882"/>
      <c r="CG1747" s="882"/>
      <c r="CH1747" s="882"/>
      <c r="CI1747" s="530"/>
    </row>
    <row r="1748">
      <c r="A1748" s="857"/>
      <c r="B1748" s="865" t="s">
        <v>121</v>
      </c>
      <c r="C1748" s="865" t="s">
        <v>591</v>
      </c>
      <c r="D1748" s="865" t="s">
        <v>612</v>
      </c>
      <c r="E1748" s="866">
        <v>2019.0</v>
      </c>
      <c r="F1748" s="865" t="s">
        <v>593</v>
      </c>
      <c r="G1748" s="865" t="s">
        <v>70</v>
      </c>
      <c r="H1748" s="867">
        <v>5.296943828E7</v>
      </c>
      <c r="I1748" s="867">
        <v>5.83323331E7</v>
      </c>
      <c r="J1748" s="868">
        <v>4.762098919E7</v>
      </c>
      <c r="K1748" s="50"/>
      <c r="L1748" s="869" t="s">
        <v>121</v>
      </c>
      <c r="M1748" s="865" t="s">
        <v>591</v>
      </c>
      <c r="N1748" s="865" t="s">
        <v>612</v>
      </c>
      <c r="O1748" s="866">
        <v>2004.0</v>
      </c>
      <c r="P1748" s="865" t="s">
        <v>593</v>
      </c>
      <c r="Q1748" s="865" t="s">
        <v>70</v>
      </c>
      <c r="R1748" s="867">
        <v>3.11054069E7</v>
      </c>
      <c r="S1748" s="867">
        <v>3.357264953E7</v>
      </c>
      <c r="T1748" s="868">
        <v>2.857884718E7</v>
      </c>
      <c r="AN1748" s="882"/>
      <c r="AO1748" s="882"/>
      <c r="AP1748" s="882"/>
      <c r="AY1748" s="882"/>
      <c r="AZ1748" s="882"/>
      <c r="BA1748" s="882"/>
      <c r="BJ1748" s="882"/>
      <c r="BK1748" s="882"/>
      <c r="BL1748" s="882"/>
      <c r="BU1748" s="882"/>
      <c r="BV1748" s="882"/>
      <c r="BW1748" s="882"/>
      <c r="CF1748" s="882"/>
      <c r="CG1748" s="882"/>
      <c r="CH1748" s="882"/>
      <c r="CI1748" s="530"/>
    </row>
    <row r="1749">
      <c r="A1749" s="857"/>
      <c r="B1749" s="865" t="s">
        <v>121</v>
      </c>
      <c r="C1749" s="865" t="s">
        <v>591</v>
      </c>
      <c r="D1749" s="865" t="s">
        <v>614</v>
      </c>
      <c r="E1749" s="866">
        <v>2019.0</v>
      </c>
      <c r="F1749" s="865" t="s">
        <v>593</v>
      </c>
      <c r="G1749" s="865" t="s">
        <v>70</v>
      </c>
      <c r="H1749" s="867">
        <v>7.258692473E7</v>
      </c>
      <c r="I1749" s="867">
        <v>7.993599346E7</v>
      </c>
      <c r="J1749" s="868">
        <v>6.525765177E7</v>
      </c>
      <c r="K1749" s="50"/>
      <c r="L1749" s="869" t="s">
        <v>121</v>
      </c>
      <c r="M1749" s="865" t="s">
        <v>591</v>
      </c>
      <c r="N1749" s="865" t="s">
        <v>614</v>
      </c>
      <c r="O1749" s="866">
        <v>2004.0</v>
      </c>
      <c r="P1749" s="865" t="s">
        <v>593</v>
      </c>
      <c r="Q1749" s="865" t="s">
        <v>70</v>
      </c>
      <c r="R1749" s="867">
        <v>4.386133402E7</v>
      </c>
      <c r="S1749" s="867">
        <v>4.734036111E7</v>
      </c>
      <c r="T1749" s="868">
        <v>4.029866468E7</v>
      </c>
      <c r="AN1749" s="882"/>
      <c r="AO1749" s="882"/>
      <c r="AP1749" s="882"/>
      <c r="AY1749" s="882"/>
      <c r="AZ1749" s="882"/>
      <c r="BA1749" s="882"/>
      <c r="BJ1749" s="882"/>
      <c r="BK1749" s="882"/>
      <c r="BL1749" s="882"/>
      <c r="BU1749" s="882"/>
      <c r="BV1749" s="882"/>
      <c r="BW1749" s="882"/>
      <c r="CF1749" s="882"/>
      <c r="CG1749" s="882"/>
      <c r="CH1749" s="882"/>
      <c r="CI1749" s="530"/>
    </row>
    <row r="1750">
      <c r="A1750" s="857"/>
      <c r="B1750" s="865" t="s">
        <v>121</v>
      </c>
      <c r="C1750" s="865" t="s">
        <v>591</v>
      </c>
      <c r="D1750" s="865" t="s">
        <v>616</v>
      </c>
      <c r="E1750" s="866">
        <v>2019.0</v>
      </c>
      <c r="F1750" s="865" t="s">
        <v>593</v>
      </c>
      <c r="G1750" s="865" t="s">
        <v>70</v>
      </c>
      <c r="H1750" s="867">
        <v>2.405880623E7</v>
      </c>
      <c r="I1750" s="867">
        <v>2.64946419E7</v>
      </c>
      <c r="J1750" s="868">
        <v>2.162953183E7</v>
      </c>
      <c r="K1750" s="50"/>
      <c r="L1750" s="869" t="s">
        <v>121</v>
      </c>
      <c r="M1750" s="865" t="s">
        <v>591</v>
      </c>
      <c r="N1750" s="865" t="s">
        <v>616</v>
      </c>
      <c r="O1750" s="866">
        <v>2004.0</v>
      </c>
      <c r="P1750" s="865" t="s">
        <v>593</v>
      </c>
      <c r="Q1750" s="865" t="s">
        <v>70</v>
      </c>
      <c r="R1750" s="867">
        <v>1.457387587E7</v>
      </c>
      <c r="S1750" s="867">
        <v>1.572985779E7</v>
      </c>
      <c r="T1750" s="868">
        <v>1.339010201E7</v>
      </c>
      <c r="AN1750" s="882"/>
      <c r="AO1750" s="882"/>
      <c r="AP1750" s="882"/>
      <c r="AY1750" s="882"/>
      <c r="AZ1750" s="882"/>
      <c r="BA1750" s="882"/>
      <c r="BJ1750" s="882"/>
      <c r="BK1750" s="882"/>
      <c r="BL1750" s="882"/>
      <c r="BU1750" s="882"/>
      <c r="BV1750" s="882"/>
      <c r="BW1750" s="882"/>
      <c r="CF1750" s="882"/>
      <c r="CG1750" s="882"/>
      <c r="CH1750" s="882"/>
      <c r="CI1750" s="530"/>
    </row>
    <row r="1751">
      <c r="A1751" s="857"/>
      <c r="B1751" s="865" t="s">
        <v>121</v>
      </c>
      <c r="C1751" s="865" t="s">
        <v>591</v>
      </c>
      <c r="D1751" s="865" t="s">
        <v>618</v>
      </c>
      <c r="E1751" s="866">
        <v>2019.0</v>
      </c>
      <c r="F1751" s="865" t="s">
        <v>593</v>
      </c>
      <c r="G1751" s="865" t="s">
        <v>70</v>
      </c>
      <c r="H1751" s="867">
        <v>8.385931438E7</v>
      </c>
      <c r="I1751" s="867">
        <v>9.235444953E7</v>
      </c>
      <c r="J1751" s="868">
        <v>7.538738014E7</v>
      </c>
      <c r="K1751" s="50"/>
      <c r="L1751" s="869" t="s">
        <v>121</v>
      </c>
      <c r="M1751" s="865" t="s">
        <v>591</v>
      </c>
      <c r="N1751" s="865" t="s">
        <v>618</v>
      </c>
      <c r="O1751" s="866">
        <v>2004.0</v>
      </c>
      <c r="P1751" s="865" t="s">
        <v>593</v>
      </c>
      <c r="Q1751" s="865" t="s">
        <v>70</v>
      </c>
      <c r="R1751" s="867">
        <v>5.492160619E7</v>
      </c>
      <c r="S1751" s="867">
        <v>5.927800382E7</v>
      </c>
      <c r="T1751" s="868">
        <v>5.045933458E7</v>
      </c>
      <c r="AN1751" s="882"/>
      <c r="AO1751" s="882"/>
      <c r="AP1751" s="882"/>
      <c r="AY1751" s="882"/>
      <c r="AZ1751" s="882"/>
      <c r="BA1751" s="882"/>
      <c r="BJ1751" s="882"/>
      <c r="BK1751" s="882"/>
      <c r="BL1751" s="882"/>
      <c r="BU1751" s="882"/>
      <c r="BV1751" s="882"/>
      <c r="BW1751" s="882"/>
      <c r="CF1751" s="882"/>
      <c r="CG1751" s="882"/>
      <c r="CH1751" s="882"/>
      <c r="CI1751" s="530"/>
    </row>
    <row r="1752">
      <c r="A1752" s="857"/>
      <c r="B1752" s="865" t="s">
        <v>121</v>
      </c>
      <c r="C1752" s="865" t="s">
        <v>591</v>
      </c>
      <c r="D1752" s="865" t="s">
        <v>620</v>
      </c>
      <c r="E1752" s="866">
        <v>2019.0</v>
      </c>
      <c r="F1752" s="865" t="s">
        <v>593</v>
      </c>
      <c r="G1752" s="865" t="s">
        <v>70</v>
      </c>
      <c r="H1752" s="867">
        <v>1.008781741E8</v>
      </c>
      <c r="I1752" s="867">
        <v>1.110915925E8</v>
      </c>
      <c r="J1752" s="868">
        <v>9.069226695E7</v>
      </c>
      <c r="K1752" s="50"/>
      <c r="L1752" s="869" t="s">
        <v>121</v>
      </c>
      <c r="M1752" s="865" t="s">
        <v>591</v>
      </c>
      <c r="N1752" s="865" t="s">
        <v>620</v>
      </c>
      <c r="O1752" s="866">
        <v>2004.0</v>
      </c>
      <c r="P1752" s="865" t="s">
        <v>593</v>
      </c>
      <c r="Q1752" s="865" t="s">
        <v>70</v>
      </c>
      <c r="R1752" s="867">
        <v>6.556287351E7</v>
      </c>
      <c r="S1752" s="867">
        <v>7.076324003E7</v>
      </c>
      <c r="T1752" s="868">
        <v>6.023748055E7</v>
      </c>
      <c r="AN1752" s="882"/>
      <c r="AO1752" s="882"/>
      <c r="AP1752" s="882"/>
      <c r="AY1752" s="882"/>
      <c r="AZ1752" s="882"/>
      <c r="BA1752" s="882"/>
      <c r="BJ1752" s="882"/>
      <c r="BK1752" s="882"/>
      <c r="BL1752" s="882"/>
      <c r="BU1752" s="882"/>
      <c r="BV1752" s="882"/>
      <c r="BW1752" s="882"/>
      <c r="CF1752" s="882"/>
      <c r="CG1752" s="882"/>
      <c r="CH1752" s="882"/>
      <c r="CI1752" s="530"/>
    </row>
    <row r="1753">
      <c r="A1753" s="857"/>
      <c r="B1753" s="865" t="s">
        <v>121</v>
      </c>
      <c r="C1753" s="865" t="s">
        <v>591</v>
      </c>
      <c r="D1753" s="865" t="s">
        <v>622</v>
      </c>
      <c r="E1753" s="866">
        <v>2019.0</v>
      </c>
      <c r="F1753" s="865" t="s">
        <v>593</v>
      </c>
      <c r="G1753" s="865" t="s">
        <v>70</v>
      </c>
      <c r="H1753" s="867">
        <v>9.701889267E7</v>
      </c>
      <c r="I1753" s="867">
        <v>1.068471224E8</v>
      </c>
      <c r="J1753" s="868">
        <v>8.721750466E7</v>
      </c>
      <c r="K1753" s="50"/>
      <c r="L1753" s="869" t="s">
        <v>121</v>
      </c>
      <c r="M1753" s="865" t="s">
        <v>591</v>
      </c>
      <c r="N1753" s="865" t="s">
        <v>622</v>
      </c>
      <c r="O1753" s="866">
        <v>2004.0</v>
      </c>
      <c r="P1753" s="865" t="s">
        <v>593</v>
      </c>
      <c r="Q1753" s="865" t="s">
        <v>70</v>
      </c>
      <c r="R1753" s="867">
        <v>6.373530854E7</v>
      </c>
      <c r="S1753" s="867">
        <v>6.879081158E7</v>
      </c>
      <c r="T1753" s="868">
        <v>5.855694109E7</v>
      </c>
      <c r="AN1753" s="882"/>
      <c r="AO1753" s="882"/>
      <c r="AP1753" s="882"/>
      <c r="AY1753" s="882"/>
      <c r="AZ1753" s="882"/>
      <c r="BA1753" s="882"/>
      <c r="BJ1753" s="882"/>
      <c r="BK1753" s="882"/>
      <c r="BL1753" s="882"/>
      <c r="BU1753" s="882"/>
      <c r="BV1753" s="882"/>
      <c r="BW1753" s="882"/>
      <c r="CF1753" s="882"/>
      <c r="CG1753" s="882"/>
      <c r="CH1753" s="882"/>
      <c r="CI1753" s="530"/>
    </row>
    <row r="1754">
      <c r="A1754" s="857"/>
      <c r="B1754" s="865" t="s">
        <v>121</v>
      </c>
      <c r="C1754" s="865" t="s">
        <v>591</v>
      </c>
      <c r="D1754" s="865" t="s">
        <v>624</v>
      </c>
      <c r="E1754" s="866">
        <v>2019.0</v>
      </c>
      <c r="F1754" s="865" t="s">
        <v>593</v>
      </c>
      <c r="G1754" s="865" t="s">
        <v>70</v>
      </c>
      <c r="H1754" s="867">
        <v>1.961748645E7</v>
      </c>
      <c r="I1754" s="867">
        <v>2.160366036E7</v>
      </c>
      <c r="J1754" s="868">
        <v>1.763666258E7</v>
      </c>
      <c r="K1754" s="50"/>
      <c r="L1754" s="869" t="s">
        <v>121</v>
      </c>
      <c r="M1754" s="865" t="s">
        <v>591</v>
      </c>
      <c r="N1754" s="865" t="s">
        <v>624</v>
      </c>
      <c r="O1754" s="866">
        <v>2004.0</v>
      </c>
      <c r="P1754" s="865" t="s">
        <v>593</v>
      </c>
      <c r="Q1754" s="865" t="s">
        <v>70</v>
      </c>
      <c r="R1754" s="867">
        <v>1.275592712E7</v>
      </c>
      <c r="S1754" s="867">
        <v>1.376771158E7</v>
      </c>
      <c r="T1754" s="868">
        <v>1.171981749E7</v>
      </c>
      <c r="AN1754" s="882"/>
      <c r="AO1754" s="882"/>
      <c r="AP1754" s="882"/>
      <c r="AY1754" s="882"/>
      <c r="AZ1754" s="882"/>
      <c r="BA1754" s="882"/>
      <c r="BJ1754" s="882"/>
      <c r="BK1754" s="882"/>
      <c r="BL1754" s="882"/>
      <c r="BU1754" s="882"/>
      <c r="BV1754" s="882"/>
      <c r="BW1754" s="882"/>
      <c r="CF1754" s="882"/>
      <c r="CG1754" s="882"/>
      <c r="CH1754" s="882"/>
      <c r="CI1754" s="530"/>
    </row>
    <row r="1755">
      <c r="A1755" s="857"/>
      <c r="B1755" s="865" t="s">
        <v>121</v>
      </c>
      <c r="C1755" s="865" t="s">
        <v>591</v>
      </c>
      <c r="D1755" s="865" t="s">
        <v>625</v>
      </c>
      <c r="E1755" s="866">
        <v>2019.0</v>
      </c>
      <c r="F1755" s="865" t="s">
        <v>593</v>
      </c>
      <c r="G1755" s="865" t="s">
        <v>70</v>
      </c>
      <c r="H1755" s="867">
        <v>7.739941868E7</v>
      </c>
      <c r="I1755" s="867">
        <v>8.523572873E7</v>
      </c>
      <c r="J1755" s="868">
        <v>6.958421686E7</v>
      </c>
      <c r="K1755" s="50"/>
      <c r="L1755" s="869" t="s">
        <v>121</v>
      </c>
      <c r="M1755" s="865" t="s">
        <v>591</v>
      </c>
      <c r="N1755" s="865" t="s">
        <v>625</v>
      </c>
      <c r="O1755" s="866">
        <v>2004.0</v>
      </c>
      <c r="P1755" s="865" t="s">
        <v>593</v>
      </c>
      <c r="Q1755" s="865" t="s">
        <v>70</v>
      </c>
      <c r="R1755" s="867">
        <v>5.097836347E7</v>
      </c>
      <c r="S1755" s="867">
        <v>5.502190458E7</v>
      </c>
      <c r="T1755" s="868">
        <v>4.683760814E7</v>
      </c>
      <c r="AN1755" s="882"/>
      <c r="AO1755" s="882"/>
      <c r="AP1755" s="882"/>
      <c r="AY1755" s="882"/>
      <c r="AZ1755" s="882"/>
      <c r="BA1755" s="882"/>
      <c r="BJ1755" s="882"/>
      <c r="BK1755" s="882"/>
      <c r="BL1755" s="882"/>
      <c r="BU1755" s="882"/>
      <c r="BV1755" s="882"/>
      <c r="BW1755" s="882"/>
      <c r="CF1755" s="882"/>
      <c r="CG1755" s="882"/>
      <c r="CH1755" s="882"/>
      <c r="CI1755" s="530"/>
    </row>
    <row r="1756">
      <c r="A1756" s="857"/>
      <c r="B1756" s="865" t="s">
        <v>121</v>
      </c>
      <c r="C1756" s="865" t="s">
        <v>591</v>
      </c>
      <c r="D1756" s="865" t="s">
        <v>627</v>
      </c>
      <c r="E1756" s="866">
        <v>2019.0</v>
      </c>
      <c r="F1756" s="865" t="s">
        <v>593</v>
      </c>
      <c r="G1756" s="865" t="s">
        <v>70</v>
      </c>
      <c r="H1756" s="867">
        <v>1.597526868E7</v>
      </c>
      <c r="I1756" s="867">
        <v>1.759268598E7</v>
      </c>
      <c r="J1756" s="868">
        <v>1.436220813E7</v>
      </c>
      <c r="K1756" s="50"/>
      <c r="L1756" s="869" t="s">
        <v>121</v>
      </c>
      <c r="M1756" s="865" t="s">
        <v>591</v>
      </c>
      <c r="N1756" s="865" t="s">
        <v>627</v>
      </c>
      <c r="O1756" s="866">
        <v>2004.0</v>
      </c>
      <c r="P1756" s="865" t="s">
        <v>593</v>
      </c>
      <c r="Q1756" s="865" t="s">
        <v>70</v>
      </c>
      <c r="R1756" s="867">
        <v>1.093934391E7</v>
      </c>
      <c r="S1756" s="867">
        <v>1.180703922E7</v>
      </c>
      <c r="T1756" s="868">
        <v>1.00507876E7</v>
      </c>
      <c r="AN1756" s="882"/>
      <c r="AO1756" s="882"/>
      <c r="AP1756" s="882"/>
      <c r="AY1756" s="882"/>
      <c r="AZ1756" s="882"/>
      <c r="BA1756" s="882"/>
      <c r="BJ1756" s="882"/>
      <c r="BK1756" s="882"/>
      <c r="BL1756" s="882"/>
      <c r="BU1756" s="882"/>
      <c r="BV1756" s="882"/>
      <c r="BW1756" s="882"/>
      <c r="CF1756" s="882"/>
      <c r="CG1756" s="882"/>
      <c r="CH1756" s="882"/>
      <c r="CI1756" s="530"/>
    </row>
    <row r="1757">
      <c r="A1757" s="857"/>
      <c r="B1757" s="865" t="s">
        <v>121</v>
      </c>
      <c r="C1757" s="865" t="s">
        <v>591</v>
      </c>
      <c r="D1757" s="865" t="s">
        <v>629</v>
      </c>
      <c r="E1757" s="866">
        <v>2019.0</v>
      </c>
      <c r="F1757" s="865" t="s">
        <v>593</v>
      </c>
      <c r="G1757" s="865" t="s">
        <v>70</v>
      </c>
      <c r="H1757" s="867">
        <v>5.720305326E7</v>
      </c>
      <c r="I1757" s="867">
        <v>6.299784985E7</v>
      </c>
      <c r="J1757" s="868">
        <v>5.142408274E7</v>
      </c>
      <c r="K1757" s="50"/>
      <c r="L1757" s="869" t="s">
        <v>121</v>
      </c>
      <c r="M1757" s="865" t="s">
        <v>591</v>
      </c>
      <c r="N1757" s="865" t="s">
        <v>629</v>
      </c>
      <c r="O1757" s="866">
        <v>2004.0</v>
      </c>
      <c r="P1757" s="865" t="s">
        <v>593</v>
      </c>
      <c r="Q1757" s="865" t="s">
        <v>70</v>
      </c>
      <c r="R1757" s="867">
        <v>3.823368116E7</v>
      </c>
      <c r="S1757" s="867">
        <v>4.126638777E7</v>
      </c>
      <c r="T1757" s="868">
        <v>3.512727037E7</v>
      </c>
      <c r="AN1757" s="882"/>
      <c r="AO1757" s="882"/>
      <c r="AP1757" s="882"/>
      <c r="AY1757" s="882"/>
      <c r="AZ1757" s="882"/>
      <c r="BA1757" s="882"/>
      <c r="BJ1757" s="882"/>
      <c r="BK1757" s="882"/>
      <c r="BL1757" s="882"/>
      <c r="BU1757" s="882"/>
      <c r="BV1757" s="882"/>
      <c r="BW1757" s="882"/>
      <c r="CF1757" s="882"/>
      <c r="CG1757" s="882"/>
      <c r="CH1757" s="882"/>
      <c r="CI1757" s="530"/>
    </row>
    <row r="1758">
      <c r="A1758" s="857"/>
      <c r="B1758" s="865" t="s">
        <v>121</v>
      </c>
      <c r="C1758" s="865" t="s">
        <v>591</v>
      </c>
      <c r="D1758" s="865" t="s">
        <v>631</v>
      </c>
      <c r="E1758" s="866">
        <v>2019.0</v>
      </c>
      <c r="F1758" s="865" t="s">
        <v>593</v>
      </c>
      <c r="G1758" s="865" t="s">
        <v>70</v>
      </c>
      <c r="H1758" s="867">
        <v>1.318179409E7</v>
      </c>
      <c r="I1758" s="867">
        <v>1.451638583E7</v>
      </c>
      <c r="J1758" s="868">
        <v>1.185079725E7</v>
      </c>
      <c r="K1758" s="50"/>
      <c r="L1758" s="869" t="s">
        <v>121</v>
      </c>
      <c r="M1758" s="865" t="s">
        <v>591</v>
      </c>
      <c r="N1758" s="865" t="s">
        <v>631</v>
      </c>
      <c r="O1758" s="866">
        <v>2004.0</v>
      </c>
      <c r="P1758" s="865" t="s">
        <v>593</v>
      </c>
      <c r="Q1758" s="865" t="s">
        <v>70</v>
      </c>
      <c r="R1758" s="867">
        <v>9157678.102</v>
      </c>
      <c r="S1758" s="867">
        <v>9884053.869</v>
      </c>
      <c r="T1758" s="868">
        <v>8413838.915</v>
      </c>
      <c r="AN1758" s="882"/>
      <c r="AO1758" s="882"/>
      <c r="AP1758" s="882"/>
      <c r="AY1758" s="882"/>
      <c r="AZ1758" s="882"/>
      <c r="BA1758" s="882"/>
      <c r="BJ1758" s="882"/>
      <c r="BK1758" s="882"/>
      <c r="BL1758" s="882"/>
      <c r="BU1758" s="882"/>
      <c r="BV1758" s="882"/>
      <c r="BW1758" s="882"/>
      <c r="CF1758" s="882"/>
      <c r="CG1758" s="882"/>
      <c r="CH1758" s="882"/>
      <c r="CI1758" s="530"/>
    </row>
    <row r="1759">
      <c r="A1759" s="857"/>
      <c r="B1759" s="865" t="s">
        <v>121</v>
      </c>
      <c r="C1759" s="865" t="s">
        <v>591</v>
      </c>
      <c r="D1759" s="865" t="s">
        <v>633</v>
      </c>
      <c r="E1759" s="866">
        <v>2019.0</v>
      </c>
      <c r="F1759" s="865" t="s">
        <v>593</v>
      </c>
      <c r="G1759" s="865" t="s">
        <v>70</v>
      </c>
      <c r="H1759" s="867">
        <v>1.102424098E7</v>
      </c>
      <c r="I1759" s="867">
        <v>1.21403911E7</v>
      </c>
      <c r="J1759" s="868">
        <v>9911097.368</v>
      </c>
      <c r="K1759" s="50"/>
      <c r="L1759" s="869" t="s">
        <v>121</v>
      </c>
      <c r="M1759" s="865" t="s">
        <v>591</v>
      </c>
      <c r="N1759" s="865" t="s">
        <v>633</v>
      </c>
      <c r="O1759" s="866">
        <v>2004.0</v>
      </c>
      <c r="P1759" s="865" t="s">
        <v>593</v>
      </c>
      <c r="Q1759" s="865" t="s">
        <v>70</v>
      </c>
      <c r="R1759" s="867">
        <v>7493904.005</v>
      </c>
      <c r="S1759" s="867">
        <v>8088311.256</v>
      </c>
      <c r="T1759" s="868">
        <v>6885206.101</v>
      </c>
      <c r="AN1759" s="882"/>
      <c r="AO1759" s="882"/>
      <c r="AP1759" s="882"/>
      <c r="AY1759" s="882"/>
      <c r="AZ1759" s="882"/>
      <c r="BA1759" s="882"/>
      <c r="BJ1759" s="882"/>
      <c r="BK1759" s="882"/>
      <c r="BL1759" s="882"/>
      <c r="BU1759" s="882"/>
      <c r="BV1759" s="882"/>
      <c r="BW1759" s="882"/>
      <c r="CF1759" s="882"/>
      <c r="CG1759" s="882"/>
      <c r="CH1759" s="882"/>
      <c r="CI1759" s="530"/>
    </row>
    <row r="1760">
      <c r="A1760" s="857"/>
      <c r="B1760" s="865" t="s">
        <v>121</v>
      </c>
      <c r="C1760" s="865" t="s">
        <v>591</v>
      </c>
      <c r="D1760" s="865" t="s">
        <v>635</v>
      </c>
      <c r="E1760" s="866">
        <v>2019.0</v>
      </c>
      <c r="F1760" s="865" t="s">
        <v>593</v>
      </c>
      <c r="G1760" s="865" t="s">
        <v>70</v>
      </c>
      <c r="H1760" s="867">
        <v>9261002.418</v>
      </c>
      <c r="I1760" s="867">
        <v>1.019863331E7</v>
      </c>
      <c r="J1760" s="868">
        <v>8325897.165</v>
      </c>
      <c r="K1760" s="50"/>
      <c r="L1760" s="869" t="s">
        <v>121</v>
      </c>
      <c r="M1760" s="865" t="s">
        <v>591</v>
      </c>
      <c r="N1760" s="865" t="s">
        <v>635</v>
      </c>
      <c r="O1760" s="866">
        <v>2004.0</v>
      </c>
      <c r="P1760" s="865" t="s">
        <v>593</v>
      </c>
      <c r="Q1760" s="865" t="s">
        <v>70</v>
      </c>
      <c r="R1760" s="867">
        <v>5929516.801</v>
      </c>
      <c r="S1760" s="867">
        <v>6399838.783</v>
      </c>
      <c r="T1760" s="868">
        <v>5447887.407</v>
      </c>
      <c r="AN1760" s="882"/>
      <c r="AO1760" s="882"/>
      <c r="AP1760" s="882"/>
      <c r="AY1760" s="882"/>
      <c r="AZ1760" s="882"/>
      <c r="BA1760" s="882"/>
      <c r="BJ1760" s="882"/>
      <c r="BK1760" s="882"/>
      <c r="BL1760" s="882"/>
      <c r="BU1760" s="882"/>
      <c r="BV1760" s="882"/>
      <c r="BW1760" s="882"/>
      <c r="CF1760" s="882"/>
      <c r="CG1760" s="882"/>
      <c r="CH1760" s="882"/>
      <c r="CI1760" s="530"/>
    </row>
    <row r="1761">
      <c r="A1761" s="857"/>
      <c r="B1761" s="865" t="s">
        <v>121</v>
      </c>
      <c r="C1761" s="865" t="s">
        <v>591</v>
      </c>
      <c r="D1761" s="865" t="s">
        <v>637</v>
      </c>
      <c r="E1761" s="866">
        <v>2019.0</v>
      </c>
      <c r="F1761" s="865" t="s">
        <v>593</v>
      </c>
      <c r="G1761" s="865" t="s">
        <v>70</v>
      </c>
      <c r="H1761" s="867">
        <v>7759575.228</v>
      </c>
      <c r="I1761" s="867">
        <v>8545194.015</v>
      </c>
      <c r="J1761" s="868">
        <v>6976072.619</v>
      </c>
      <c r="K1761" s="50"/>
      <c r="L1761" s="869" t="s">
        <v>121</v>
      </c>
      <c r="M1761" s="865" t="s">
        <v>591</v>
      </c>
      <c r="N1761" s="865" t="s">
        <v>637</v>
      </c>
      <c r="O1761" s="866">
        <v>2004.0</v>
      </c>
      <c r="P1761" s="865" t="s">
        <v>593</v>
      </c>
      <c r="Q1761" s="865" t="s">
        <v>70</v>
      </c>
      <c r="R1761" s="867">
        <v>4712627.696</v>
      </c>
      <c r="S1761" s="867">
        <v>5086427.531</v>
      </c>
      <c r="T1761" s="868">
        <v>4329841.021</v>
      </c>
      <c r="AN1761" s="882"/>
      <c r="AO1761" s="882"/>
      <c r="AP1761" s="882"/>
      <c r="AY1761" s="882"/>
      <c r="AZ1761" s="882"/>
      <c r="BA1761" s="882"/>
      <c r="BJ1761" s="882"/>
      <c r="BK1761" s="882"/>
      <c r="BL1761" s="882"/>
      <c r="BU1761" s="882"/>
      <c r="BV1761" s="882"/>
      <c r="BW1761" s="882"/>
      <c r="CF1761" s="882"/>
      <c r="CG1761" s="882"/>
      <c r="CH1761" s="882"/>
      <c r="CI1761" s="530"/>
    </row>
    <row r="1762">
      <c r="A1762" s="857"/>
      <c r="B1762" s="865" t="s">
        <v>121</v>
      </c>
      <c r="C1762" s="865" t="s">
        <v>591</v>
      </c>
      <c r="D1762" s="865" t="s">
        <v>639</v>
      </c>
      <c r="E1762" s="866">
        <v>2019.0</v>
      </c>
      <c r="F1762" s="865" t="s">
        <v>593</v>
      </c>
      <c r="G1762" s="865" t="s">
        <v>70</v>
      </c>
      <c r="H1762" s="867">
        <v>8.428696947E7</v>
      </c>
      <c r="I1762" s="867">
        <v>9.282542704E7</v>
      </c>
      <c r="J1762" s="868">
        <v>7.577183113E7</v>
      </c>
      <c r="K1762" s="50"/>
      <c r="L1762" s="869" t="s">
        <v>121</v>
      </c>
      <c r="M1762" s="865" t="s">
        <v>591</v>
      </c>
      <c r="N1762" s="865" t="s">
        <v>639</v>
      </c>
      <c r="O1762" s="866">
        <v>2004.0</v>
      </c>
      <c r="P1762" s="865" t="s">
        <v>593</v>
      </c>
      <c r="Q1762" s="865" t="s">
        <v>70</v>
      </c>
      <c r="R1762" s="867">
        <v>5.048104069E7</v>
      </c>
      <c r="S1762" s="867">
        <v>5.448521138E7</v>
      </c>
      <c r="T1762" s="868">
        <v>4.637955622E7</v>
      </c>
      <c r="AN1762" s="882"/>
      <c r="AO1762" s="882"/>
      <c r="AP1762" s="882"/>
      <c r="AY1762" s="882"/>
      <c r="AZ1762" s="882"/>
      <c r="BA1762" s="882"/>
      <c r="BJ1762" s="882"/>
      <c r="BK1762" s="882"/>
      <c r="BL1762" s="882"/>
      <c r="BU1762" s="882"/>
      <c r="BV1762" s="882"/>
      <c r="BW1762" s="882"/>
      <c r="CF1762" s="882"/>
      <c r="CG1762" s="882"/>
      <c r="CH1762" s="882"/>
      <c r="CI1762" s="530"/>
    </row>
    <row r="1763">
      <c r="A1763" s="857"/>
      <c r="B1763" s="865" t="s">
        <v>121</v>
      </c>
      <c r="C1763" s="865" t="s">
        <v>591</v>
      </c>
      <c r="D1763" s="865" t="s">
        <v>641</v>
      </c>
      <c r="E1763" s="866">
        <v>2019.0</v>
      </c>
      <c r="F1763" s="865" t="s">
        <v>593</v>
      </c>
      <c r="G1763" s="865" t="s">
        <v>70</v>
      </c>
      <c r="H1763" s="867">
        <v>3.131580447E7</v>
      </c>
      <c r="I1763" s="867">
        <v>3.448637549E7</v>
      </c>
      <c r="J1763" s="868">
        <v>2.815377385E7</v>
      </c>
      <c r="K1763" s="50"/>
      <c r="L1763" s="869" t="s">
        <v>121</v>
      </c>
      <c r="M1763" s="865" t="s">
        <v>591</v>
      </c>
      <c r="N1763" s="865" t="s">
        <v>641</v>
      </c>
      <c r="O1763" s="866">
        <v>2004.0</v>
      </c>
      <c r="P1763" s="865" t="s">
        <v>593</v>
      </c>
      <c r="Q1763" s="865" t="s">
        <v>70</v>
      </c>
      <c r="R1763" s="867">
        <v>1.937482753E7</v>
      </c>
      <c r="S1763" s="867">
        <v>2.091161503E7</v>
      </c>
      <c r="T1763" s="868">
        <v>1.780109282E7</v>
      </c>
      <c r="AN1763" s="882"/>
      <c r="AO1763" s="882"/>
      <c r="AP1763" s="882"/>
      <c r="AY1763" s="882"/>
      <c r="AZ1763" s="882"/>
      <c r="BA1763" s="882"/>
      <c r="BJ1763" s="882"/>
      <c r="BK1763" s="882"/>
      <c r="BL1763" s="882"/>
      <c r="BU1763" s="882"/>
      <c r="BV1763" s="882"/>
      <c r="BW1763" s="882"/>
      <c r="CF1763" s="882"/>
      <c r="CG1763" s="882"/>
      <c r="CH1763" s="882"/>
      <c r="CI1763" s="530"/>
    </row>
    <row r="1764">
      <c r="A1764" s="857"/>
      <c r="B1764" s="865" t="s">
        <v>121</v>
      </c>
      <c r="C1764" s="865" t="s">
        <v>591</v>
      </c>
      <c r="D1764" s="865" t="s">
        <v>643</v>
      </c>
      <c r="E1764" s="866">
        <v>2019.0</v>
      </c>
      <c r="F1764" s="865" t="s">
        <v>593</v>
      </c>
      <c r="G1764" s="865" t="s">
        <v>70</v>
      </c>
      <c r="H1764" s="867">
        <v>6235278.543</v>
      </c>
      <c r="I1764" s="867">
        <v>6866569.795</v>
      </c>
      <c r="J1764" s="868">
        <v>5605687.765</v>
      </c>
      <c r="K1764" s="50"/>
      <c r="L1764" s="869" t="s">
        <v>121</v>
      </c>
      <c r="M1764" s="865" t="s">
        <v>591</v>
      </c>
      <c r="N1764" s="865" t="s">
        <v>643</v>
      </c>
      <c r="O1764" s="866">
        <v>2004.0</v>
      </c>
      <c r="P1764" s="865" t="s">
        <v>593</v>
      </c>
      <c r="Q1764" s="865" t="s">
        <v>70</v>
      </c>
      <c r="R1764" s="867">
        <v>3736064.864</v>
      </c>
      <c r="S1764" s="867">
        <v>4032404.935</v>
      </c>
      <c r="T1764" s="868">
        <v>3432600.228</v>
      </c>
      <c r="AN1764" s="882"/>
      <c r="AO1764" s="882"/>
      <c r="AP1764" s="882"/>
      <c r="AY1764" s="882"/>
      <c r="AZ1764" s="882"/>
      <c r="BA1764" s="882"/>
      <c r="BJ1764" s="882"/>
      <c r="BK1764" s="882"/>
      <c r="BL1764" s="882"/>
      <c r="BU1764" s="882"/>
      <c r="BV1764" s="882"/>
      <c r="BW1764" s="882"/>
      <c r="CF1764" s="882"/>
      <c r="CG1764" s="882"/>
      <c r="CH1764" s="882"/>
      <c r="CI1764" s="530"/>
    </row>
    <row r="1765">
      <c r="A1765" s="857"/>
      <c r="B1765" s="865" t="s">
        <v>121</v>
      </c>
      <c r="C1765" s="865" t="s">
        <v>591</v>
      </c>
      <c r="D1765" s="865" t="s">
        <v>645</v>
      </c>
      <c r="E1765" s="866">
        <v>2019.0</v>
      </c>
      <c r="F1765" s="865" t="s">
        <v>593</v>
      </c>
      <c r="G1765" s="865" t="s">
        <v>70</v>
      </c>
      <c r="H1765" s="867">
        <v>1.666652187E7</v>
      </c>
      <c r="I1765" s="867">
        <v>1.835392515E7</v>
      </c>
      <c r="J1765" s="868">
        <v>1.498366385E7</v>
      </c>
      <c r="K1765" s="50"/>
      <c r="L1765" s="869" t="s">
        <v>121</v>
      </c>
      <c r="M1765" s="865" t="s">
        <v>591</v>
      </c>
      <c r="N1765" s="865" t="s">
        <v>645</v>
      </c>
      <c r="O1765" s="866">
        <v>2004.0</v>
      </c>
      <c r="P1765" s="865" t="s">
        <v>593</v>
      </c>
      <c r="Q1765" s="865" t="s">
        <v>70</v>
      </c>
      <c r="R1765" s="867">
        <v>1.014694989E7</v>
      </c>
      <c r="S1765" s="867">
        <v>1.095179348E7</v>
      </c>
      <c r="T1765" s="868">
        <v>9322756.366</v>
      </c>
      <c r="AN1765" s="882"/>
      <c r="AO1765" s="882"/>
      <c r="AP1765" s="882"/>
      <c r="AY1765" s="882"/>
      <c r="AZ1765" s="882"/>
      <c r="BA1765" s="882"/>
      <c r="BJ1765" s="882"/>
      <c r="BK1765" s="882"/>
      <c r="BL1765" s="882"/>
      <c r="BU1765" s="882"/>
      <c r="BV1765" s="882"/>
      <c r="BW1765" s="882"/>
      <c r="CF1765" s="882"/>
      <c r="CG1765" s="882"/>
      <c r="CH1765" s="882"/>
      <c r="CI1765" s="530"/>
    </row>
    <row r="1766">
      <c r="A1766" s="857"/>
      <c r="B1766" s="865" t="s">
        <v>121</v>
      </c>
      <c r="C1766" s="865" t="s">
        <v>591</v>
      </c>
      <c r="D1766" s="865" t="s">
        <v>604</v>
      </c>
      <c r="E1766" s="866">
        <v>2019.0</v>
      </c>
      <c r="F1766" s="865" t="s">
        <v>593</v>
      </c>
      <c r="G1766" s="865" t="s">
        <v>70</v>
      </c>
      <c r="H1766" s="867">
        <v>6.022643653E7</v>
      </c>
      <c r="I1766" s="867">
        <v>6.632406669E7</v>
      </c>
      <c r="J1766" s="868">
        <v>5.414523121E7</v>
      </c>
      <c r="K1766" s="50"/>
      <c r="L1766" s="869" t="s">
        <v>121</v>
      </c>
      <c r="M1766" s="865" t="s">
        <v>591</v>
      </c>
      <c r="N1766" s="865" t="s">
        <v>604</v>
      </c>
      <c r="O1766" s="866">
        <v>2004.0</v>
      </c>
      <c r="P1766" s="865" t="s">
        <v>593</v>
      </c>
      <c r="Q1766" s="865" t="s">
        <v>70</v>
      </c>
      <c r="R1766" s="867">
        <v>3.590635856E7</v>
      </c>
      <c r="S1766" s="867">
        <v>3.875440677E7</v>
      </c>
      <c r="T1766" s="868">
        <v>3.298983799E7</v>
      </c>
      <c r="AN1766" s="882"/>
      <c r="AO1766" s="882"/>
      <c r="AP1766" s="882"/>
      <c r="AY1766" s="882"/>
      <c r="AZ1766" s="882"/>
      <c r="BA1766" s="882"/>
      <c r="BJ1766" s="882"/>
      <c r="BK1766" s="882"/>
      <c r="BL1766" s="882"/>
      <c r="BU1766" s="882"/>
      <c r="BV1766" s="882"/>
      <c r="BW1766" s="882"/>
      <c r="CF1766" s="882"/>
      <c r="CG1766" s="882"/>
      <c r="CH1766" s="882"/>
      <c r="CI1766" s="530"/>
    </row>
    <row r="1767">
      <c r="A1767" s="857"/>
      <c r="B1767" s="865" t="s">
        <v>121</v>
      </c>
      <c r="C1767" s="865" t="s">
        <v>591</v>
      </c>
      <c r="D1767" s="865" t="s">
        <v>647</v>
      </c>
      <c r="E1767" s="866">
        <v>2019.0</v>
      </c>
      <c r="F1767" s="865" t="s">
        <v>593</v>
      </c>
      <c r="G1767" s="865" t="s">
        <v>70</v>
      </c>
      <c r="H1767" s="867">
        <v>1.396254478E7</v>
      </c>
      <c r="I1767" s="867">
        <v>1.537698164E7</v>
      </c>
      <c r="J1767" s="868">
        <v>1.255197087E7</v>
      </c>
      <c r="K1767" s="50"/>
      <c r="L1767" s="869" t="s">
        <v>121</v>
      </c>
      <c r="M1767" s="865" t="s">
        <v>591</v>
      </c>
      <c r="N1767" s="865" t="s">
        <v>647</v>
      </c>
      <c r="O1767" s="866">
        <v>2004.0</v>
      </c>
      <c r="P1767" s="865" t="s">
        <v>593</v>
      </c>
      <c r="Q1767" s="865" t="s">
        <v>70</v>
      </c>
      <c r="R1767" s="867">
        <v>9009371.985</v>
      </c>
      <c r="S1767" s="867">
        <v>9723997.967</v>
      </c>
      <c r="T1767" s="868">
        <v>8277378.374</v>
      </c>
      <c r="AN1767" s="882"/>
      <c r="AO1767" s="882"/>
      <c r="AP1767" s="882"/>
      <c r="AY1767" s="882"/>
      <c r="AZ1767" s="882"/>
      <c r="BA1767" s="882"/>
      <c r="BJ1767" s="882"/>
      <c r="BK1767" s="882"/>
      <c r="BL1767" s="882"/>
      <c r="BU1767" s="882"/>
      <c r="BV1767" s="882"/>
      <c r="BW1767" s="882"/>
      <c r="CF1767" s="882"/>
      <c r="CG1767" s="882"/>
      <c r="CH1767" s="882"/>
      <c r="CI1767" s="530"/>
    </row>
    <row r="1768">
      <c r="A1768" s="857"/>
      <c r="B1768" s="865" t="s">
        <v>121</v>
      </c>
      <c r="C1768" s="865" t="s">
        <v>591</v>
      </c>
      <c r="D1768" s="865" t="s">
        <v>649</v>
      </c>
      <c r="E1768" s="866">
        <v>2019.0</v>
      </c>
      <c r="F1768" s="865" t="s">
        <v>593</v>
      </c>
      <c r="G1768" s="865" t="s">
        <v>70</v>
      </c>
      <c r="H1768" s="867">
        <v>4737596.752</v>
      </c>
      <c r="I1768" s="867">
        <v>5217255.097</v>
      </c>
      <c r="J1768" s="868">
        <v>4259230.436</v>
      </c>
      <c r="K1768" s="50"/>
      <c r="L1768" s="869" t="s">
        <v>121</v>
      </c>
      <c r="M1768" s="865" t="s">
        <v>591</v>
      </c>
      <c r="N1768" s="865" t="s">
        <v>649</v>
      </c>
      <c r="O1768" s="866">
        <v>2004.0</v>
      </c>
      <c r="P1768" s="865" t="s">
        <v>593</v>
      </c>
      <c r="Q1768" s="865" t="s">
        <v>70</v>
      </c>
      <c r="R1768" s="867">
        <v>2585261.499</v>
      </c>
      <c r="S1768" s="867">
        <v>2790321.262</v>
      </c>
      <c r="T1768" s="868">
        <v>2375271.718</v>
      </c>
      <c r="AN1768" s="882"/>
      <c r="AO1768" s="882"/>
      <c r="AP1768" s="882"/>
      <c r="AY1768" s="882"/>
      <c r="AZ1768" s="882"/>
      <c r="BA1768" s="882"/>
      <c r="BJ1768" s="882"/>
      <c r="BK1768" s="882"/>
      <c r="BL1768" s="882"/>
      <c r="BU1768" s="882"/>
      <c r="BV1768" s="882"/>
      <c r="BW1768" s="882"/>
      <c r="CF1768" s="882"/>
      <c r="CG1768" s="882"/>
      <c r="CH1768" s="882"/>
      <c r="CI1768" s="530"/>
    </row>
    <row r="1769">
      <c r="A1769" s="857"/>
      <c r="B1769" s="865" t="s">
        <v>121</v>
      </c>
      <c r="C1769" s="865" t="s">
        <v>591</v>
      </c>
      <c r="D1769" s="865" t="s">
        <v>651</v>
      </c>
      <c r="E1769" s="866">
        <v>2019.0</v>
      </c>
      <c r="F1769" s="865" t="s">
        <v>593</v>
      </c>
      <c r="G1769" s="865" t="s">
        <v>70</v>
      </c>
      <c r="H1769" s="867">
        <v>3369181.779</v>
      </c>
      <c r="I1769" s="867">
        <v>3710294.845</v>
      </c>
      <c r="J1769" s="868">
        <v>3028987.55</v>
      </c>
      <c r="K1769" s="50"/>
      <c r="L1769" s="869" t="s">
        <v>121</v>
      </c>
      <c r="M1769" s="865" t="s">
        <v>591</v>
      </c>
      <c r="N1769" s="865" t="s">
        <v>651</v>
      </c>
      <c r="O1769" s="866">
        <v>2004.0</v>
      </c>
      <c r="P1769" s="865" t="s">
        <v>593</v>
      </c>
      <c r="Q1769" s="865" t="s">
        <v>70</v>
      </c>
      <c r="R1769" s="867">
        <v>2251633.901</v>
      </c>
      <c r="S1769" s="867">
        <v>2430230.733</v>
      </c>
      <c r="T1769" s="868">
        <v>2068743.269</v>
      </c>
      <c r="AN1769" s="882"/>
      <c r="AO1769" s="882"/>
      <c r="AP1769" s="882"/>
      <c r="AY1769" s="882"/>
      <c r="AZ1769" s="882"/>
      <c r="BA1769" s="882"/>
      <c r="BJ1769" s="882"/>
      <c r="BK1769" s="882"/>
      <c r="BL1769" s="882"/>
      <c r="BU1769" s="882"/>
      <c r="BV1769" s="882"/>
      <c r="BW1769" s="882"/>
      <c r="CF1769" s="882"/>
      <c r="CG1769" s="882"/>
      <c r="CH1769" s="882"/>
      <c r="CI1769" s="530"/>
    </row>
    <row r="1770">
      <c r="A1770" s="857"/>
      <c r="B1770" s="865" t="s">
        <v>121</v>
      </c>
      <c r="C1770" s="865" t="s">
        <v>591</v>
      </c>
      <c r="D1770" s="865" t="s">
        <v>653</v>
      </c>
      <c r="E1770" s="866">
        <v>2019.0</v>
      </c>
      <c r="F1770" s="865" t="s">
        <v>593</v>
      </c>
      <c r="G1770" s="865" t="s">
        <v>70</v>
      </c>
      <c r="H1770" s="867">
        <v>2324464.793</v>
      </c>
      <c r="I1770" s="867">
        <v>2559805.408</v>
      </c>
      <c r="J1770" s="868">
        <v>2089758.101</v>
      </c>
      <c r="K1770" s="50"/>
      <c r="L1770" s="869" t="s">
        <v>121</v>
      </c>
      <c r="M1770" s="865" t="s">
        <v>591</v>
      </c>
      <c r="N1770" s="865" t="s">
        <v>653</v>
      </c>
      <c r="O1770" s="866">
        <v>2004.0</v>
      </c>
      <c r="P1770" s="865" t="s">
        <v>593</v>
      </c>
      <c r="Q1770" s="865" t="s">
        <v>70</v>
      </c>
      <c r="R1770" s="867">
        <v>1573989.623</v>
      </c>
      <c r="S1770" s="867">
        <v>1698836.545</v>
      </c>
      <c r="T1770" s="868">
        <v>1446141.15</v>
      </c>
      <c r="AN1770" s="882"/>
      <c r="AO1770" s="882"/>
      <c r="AP1770" s="882"/>
      <c r="AY1770" s="882"/>
      <c r="AZ1770" s="882"/>
      <c r="BA1770" s="882"/>
      <c r="BJ1770" s="882"/>
      <c r="BK1770" s="882"/>
      <c r="BL1770" s="882"/>
      <c r="BU1770" s="882"/>
      <c r="BV1770" s="882"/>
      <c r="BW1770" s="882"/>
      <c r="CF1770" s="882"/>
      <c r="CG1770" s="882"/>
      <c r="CH1770" s="882"/>
      <c r="CI1770" s="530"/>
    </row>
    <row r="1771">
      <c r="A1771" s="857"/>
      <c r="B1771" s="865" t="s">
        <v>121</v>
      </c>
      <c r="C1771" s="865" t="s">
        <v>591</v>
      </c>
      <c r="D1771" s="865" t="s">
        <v>655</v>
      </c>
      <c r="E1771" s="866">
        <v>2019.0</v>
      </c>
      <c r="F1771" s="865" t="s">
        <v>593</v>
      </c>
      <c r="G1771" s="865" t="s">
        <v>70</v>
      </c>
      <c r="H1771" s="867">
        <v>3759152.37</v>
      </c>
      <c r="I1771" s="867">
        <v>4139962.87</v>
      </c>
      <c r="J1771" s="868">
        <v>3379381.895</v>
      </c>
      <c r="K1771" s="50"/>
      <c r="L1771" s="869" t="s">
        <v>121</v>
      </c>
      <c r="M1771" s="865" t="s">
        <v>591</v>
      </c>
      <c r="N1771" s="865" t="s">
        <v>655</v>
      </c>
      <c r="O1771" s="866">
        <v>2004.0</v>
      </c>
      <c r="P1771" s="865" t="s">
        <v>593</v>
      </c>
      <c r="Q1771" s="865" t="s">
        <v>70</v>
      </c>
      <c r="R1771" s="867">
        <v>2720962.994</v>
      </c>
      <c r="S1771" s="867">
        <v>2936790.563</v>
      </c>
      <c r="T1771" s="868">
        <v>2499890.146</v>
      </c>
      <c r="AN1771" s="882"/>
      <c r="AO1771" s="882"/>
      <c r="AP1771" s="882"/>
      <c r="AY1771" s="882"/>
      <c r="AZ1771" s="882"/>
      <c r="BA1771" s="882"/>
      <c r="BJ1771" s="882"/>
      <c r="BK1771" s="882"/>
      <c r="BL1771" s="882"/>
      <c r="BU1771" s="882"/>
      <c r="BV1771" s="882"/>
      <c r="BW1771" s="882"/>
      <c r="CF1771" s="882"/>
      <c r="CG1771" s="882"/>
      <c r="CH1771" s="882"/>
      <c r="CI1771" s="530"/>
    </row>
    <row r="1772">
      <c r="A1772" s="857"/>
      <c r="B1772" s="865" t="s">
        <v>121</v>
      </c>
      <c r="C1772" s="865" t="s">
        <v>591</v>
      </c>
      <c r="D1772" s="865" t="s">
        <v>657</v>
      </c>
      <c r="E1772" s="866">
        <v>2019.0</v>
      </c>
      <c r="F1772" s="865" t="s">
        <v>593</v>
      </c>
      <c r="G1772" s="865" t="s">
        <v>70</v>
      </c>
      <c r="H1772" s="867">
        <v>1434610.567</v>
      </c>
      <c r="I1772" s="867">
        <v>1579857.823</v>
      </c>
      <c r="J1772" s="868">
        <v>1289754.555</v>
      </c>
      <c r="K1772" s="50"/>
      <c r="L1772" s="869" t="s">
        <v>121</v>
      </c>
      <c r="M1772" s="865" t="s">
        <v>591</v>
      </c>
      <c r="N1772" s="865" t="s">
        <v>657</v>
      </c>
      <c r="O1772" s="866">
        <v>2004.0</v>
      </c>
      <c r="P1772" s="865" t="s">
        <v>593</v>
      </c>
      <c r="Q1772" s="865" t="s">
        <v>70</v>
      </c>
      <c r="R1772" s="867">
        <v>1146929.913</v>
      </c>
      <c r="S1772" s="867">
        <v>1237902.984</v>
      </c>
      <c r="T1772" s="868">
        <v>1053769.682</v>
      </c>
      <c r="AN1772" s="882"/>
      <c r="AO1772" s="882"/>
      <c r="AP1772" s="882"/>
      <c r="AY1772" s="882"/>
      <c r="AZ1772" s="882"/>
      <c r="BA1772" s="882"/>
      <c r="BJ1772" s="882"/>
      <c r="BK1772" s="882"/>
      <c r="BL1772" s="882"/>
      <c r="BU1772" s="882"/>
      <c r="BV1772" s="882"/>
      <c r="BW1772" s="882"/>
      <c r="CF1772" s="882"/>
      <c r="CG1772" s="882"/>
      <c r="CH1772" s="882"/>
      <c r="CI1772" s="530"/>
    </row>
    <row r="1773">
      <c r="A1773" s="857"/>
      <c r="B1773" s="865" t="s">
        <v>121</v>
      </c>
      <c r="C1773" s="865" t="s">
        <v>591</v>
      </c>
      <c r="D1773" s="865" t="s">
        <v>659</v>
      </c>
      <c r="E1773" s="866">
        <v>2019.0</v>
      </c>
      <c r="F1773" s="865" t="s">
        <v>593</v>
      </c>
      <c r="G1773" s="865" t="s">
        <v>70</v>
      </c>
      <c r="H1773" s="867">
        <v>3531015.421</v>
      </c>
      <c r="I1773" s="867">
        <v>3888513.346</v>
      </c>
      <c r="J1773" s="868">
        <v>3174480.467</v>
      </c>
      <c r="K1773" s="50"/>
      <c r="L1773" s="869" t="s">
        <v>121</v>
      </c>
      <c r="M1773" s="865" t="s">
        <v>591</v>
      </c>
      <c r="N1773" s="865" t="s">
        <v>659</v>
      </c>
      <c r="O1773" s="866">
        <v>2004.0</v>
      </c>
      <c r="P1773" s="865" t="s">
        <v>593</v>
      </c>
      <c r="Q1773" s="865" t="s">
        <v>70</v>
      </c>
      <c r="R1773" s="867">
        <v>2598343.07</v>
      </c>
      <c r="S1773" s="867">
        <v>2804440.447</v>
      </c>
      <c r="T1773" s="868">
        <v>2387290.729</v>
      </c>
      <c r="AN1773" s="882"/>
      <c r="AO1773" s="882"/>
      <c r="AP1773" s="882"/>
      <c r="AY1773" s="882"/>
      <c r="AZ1773" s="882"/>
      <c r="BA1773" s="882"/>
      <c r="BJ1773" s="882"/>
      <c r="BK1773" s="882"/>
      <c r="BL1773" s="882"/>
      <c r="BU1773" s="882"/>
      <c r="BV1773" s="882"/>
      <c r="BW1773" s="882"/>
      <c r="CF1773" s="882"/>
      <c r="CG1773" s="882"/>
      <c r="CH1773" s="882"/>
      <c r="CI1773" s="530"/>
    </row>
    <row r="1774">
      <c r="A1774" s="857"/>
      <c r="B1774" s="865" t="s">
        <v>121</v>
      </c>
      <c r="C1774" s="865" t="s">
        <v>591</v>
      </c>
      <c r="D1774" s="865" t="s">
        <v>661</v>
      </c>
      <c r="E1774" s="866">
        <v>2019.0</v>
      </c>
      <c r="F1774" s="865" t="s">
        <v>593</v>
      </c>
      <c r="G1774" s="865" t="s">
        <v>70</v>
      </c>
      <c r="H1774" s="867">
        <v>2096447.802</v>
      </c>
      <c r="I1774" s="867">
        <v>2308822.63</v>
      </c>
      <c r="J1774" s="868">
        <v>1884652.988</v>
      </c>
      <c r="K1774" s="50"/>
      <c r="L1774" s="869" t="s">
        <v>121</v>
      </c>
      <c r="M1774" s="865" t="s">
        <v>591</v>
      </c>
      <c r="N1774" s="865" t="s">
        <v>661</v>
      </c>
      <c r="O1774" s="866">
        <v>2004.0</v>
      </c>
      <c r="P1774" s="865" t="s">
        <v>593</v>
      </c>
      <c r="Q1774" s="865" t="s">
        <v>70</v>
      </c>
      <c r="R1774" s="867">
        <v>1451436.338</v>
      </c>
      <c r="S1774" s="867">
        <v>1566564.687</v>
      </c>
      <c r="T1774" s="868">
        <v>1333510.013</v>
      </c>
      <c r="AN1774" s="882"/>
      <c r="AO1774" s="882"/>
      <c r="AP1774" s="882"/>
      <c r="AY1774" s="882"/>
      <c r="AZ1774" s="882"/>
      <c r="BA1774" s="882"/>
      <c r="BJ1774" s="882"/>
      <c r="BK1774" s="882"/>
      <c r="BL1774" s="882"/>
      <c r="BU1774" s="882"/>
      <c r="BV1774" s="882"/>
      <c r="BW1774" s="882"/>
      <c r="CF1774" s="882"/>
      <c r="CG1774" s="882"/>
      <c r="CH1774" s="882"/>
      <c r="CI1774" s="530"/>
    </row>
    <row r="1775">
      <c r="A1775" s="857"/>
      <c r="B1775" s="865" t="s">
        <v>121</v>
      </c>
      <c r="C1775" s="865" t="s">
        <v>591</v>
      </c>
      <c r="D1775" s="865" t="s">
        <v>663</v>
      </c>
      <c r="E1775" s="866">
        <v>2019.0</v>
      </c>
      <c r="F1775" s="865" t="s">
        <v>593</v>
      </c>
      <c r="G1775" s="865" t="s">
        <v>70</v>
      </c>
      <c r="H1775" s="867">
        <v>1122942.234</v>
      </c>
      <c r="I1775" s="867">
        <v>1236634.606</v>
      </c>
      <c r="J1775" s="868">
        <v>1009556.109</v>
      </c>
      <c r="K1775" s="50"/>
      <c r="L1775" s="869" t="s">
        <v>121</v>
      </c>
      <c r="M1775" s="865" t="s">
        <v>591</v>
      </c>
      <c r="N1775" s="865" t="s">
        <v>663</v>
      </c>
      <c r="O1775" s="866">
        <v>2004.0</v>
      </c>
      <c r="P1775" s="865" t="s">
        <v>593</v>
      </c>
      <c r="Q1775" s="865" t="s">
        <v>70</v>
      </c>
      <c r="R1775" s="867">
        <v>763963.2507</v>
      </c>
      <c r="S1775" s="867">
        <v>824559.8764</v>
      </c>
      <c r="T1775" s="868">
        <v>701909.7698</v>
      </c>
      <c r="AN1775" s="882"/>
      <c r="AO1775" s="882"/>
      <c r="AP1775" s="882"/>
      <c r="AY1775" s="882"/>
      <c r="AZ1775" s="882"/>
      <c r="BA1775" s="882"/>
      <c r="BJ1775" s="882"/>
      <c r="BK1775" s="882"/>
      <c r="BL1775" s="882"/>
      <c r="BU1775" s="882"/>
      <c r="BV1775" s="882"/>
      <c r="BW1775" s="882"/>
      <c r="CF1775" s="882"/>
      <c r="CG1775" s="882"/>
      <c r="CH1775" s="882"/>
      <c r="CI1775" s="530"/>
    </row>
    <row r="1776">
      <c r="A1776" s="857"/>
      <c r="B1776" s="865" t="s">
        <v>121</v>
      </c>
      <c r="C1776" s="865" t="s">
        <v>591</v>
      </c>
      <c r="D1776" s="865" t="s">
        <v>665</v>
      </c>
      <c r="E1776" s="866">
        <v>2019.0</v>
      </c>
      <c r="F1776" s="865" t="s">
        <v>593</v>
      </c>
      <c r="G1776" s="865" t="s">
        <v>70</v>
      </c>
      <c r="H1776" s="867">
        <v>1711075.257</v>
      </c>
      <c r="I1776" s="867">
        <v>1884410.988</v>
      </c>
      <c r="J1776" s="868">
        <v>1538212.92</v>
      </c>
      <c r="K1776" s="50"/>
      <c r="L1776" s="869" t="s">
        <v>121</v>
      </c>
      <c r="M1776" s="865" t="s">
        <v>591</v>
      </c>
      <c r="N1776" s="865" t="s">
        <v>665</v>
      </c>
      <c r="O1776" s="866">
        <v>2004.0</v>
      </c>
      <c r="P1776" s="865" t="s">
        <v>593</v>
      </c>
      <c r="Q1776" s="865" t="s">
        <v>70</v>
      </c>
      <c r="R1776" s="867">
        <v>1192956.639</v>
      </c>
      <c r="S1776" s="867">
        <v>1287582.304</v>
      </c>
      <c r="T1776" s="868">
        <v>1096031.278</v>
      </c>
      <c r="AN1776" s="882"/>
      <c r="AO1776" s="882"/>
      <c r="AP1776" s="882"/>
      <c r="AY1776" s="882"/>
      <c r="AZ1776" s="882"/>
      <c r="BA1776" s="882"/>
      <c r="BJ1776" s="882"/>
      <c r="BK1776" s="882"/>
      <c r="BL1776" s="882"/>
      <c r="BU1776" s="882"/>
      <c r="BV1776" s="882"/>
      <c r="BW1776" s="882"/>
      <c r="CF1776" s="882"/>
      <c r="CG1776" s="882"/>
      <c r="CH1776" s="882"/>
      <c r="CI1776" s="530"/>
    </row>
    <row r="1777">
      <c r="A1777" s="857"/>
      <c r="B1777" s="865" t="s">
        <v>121</v>
      </c>
      <c r="C1777" s="865" t="s">
        <v>591</v>
      </c>
      <c r="D1777" s="865" t="s">
        <v>667</v>
      </c>
      <c r="E1777" s="866">
        <v>2019.0</v>
      </c>
      <c r="F1777" s="865" t="s">
        <v>593</v>
      </c>
      <c r="G1777" s="865" t="s">
        <v>70</v>
      </c>
      <c r="H1777" s="867">
        <v>973462.62</v>
      </c>
      <c r="I1777" s="867">
        <v>1072020.917</v>
      </c>
      <c r="J1777" s="868">
        <v>875169.8037</v>
      </c>
      <c r="K1777" s="50"/>
      <c r="L1777" s="869" t="s">
        <v>121</v>
      </c>
      <c r="M1777" s="865" t="s">
        <v>591</v>
      </c>
      <c r="N1777" s="865" t="s">
        <v>667</v>
      </c>
      <c r="O1777" s="866">
        <v>2004.0</v>
      </c>
      <c r="P1777" s="865" t="s">
        <v>593</v>
      </c>
      <c r="Q1777" s="865" t="s">
        <v>70</v>
      </c>
      <c r="R1777" s="867">
        <v>687449.9057</v>
      </c>
      <c r="S1777" s="867">
        <v>741977.587</v>
      </c>
      <c r="T1777" s="868">
        <v>631611.2779</v>
      </c>
      <c r="AN1777" s="882"/>
      <c r="AO1777" s="882"/>
      <c r="AP1777" s="882"/>
      <c r="AY1777" s="882"/>
      <c r="AZ1777" s="882"/>
      <c r="BA1777" s="882"/>
      <c r="BJ1777" s="882"/>
      <c r="BK1777" s="882"/>
      <c r="BL1777" s="882"/>
      <c r="BU1777" s="882"/>
      <c r="BV1777" s="882"/>
      <c r="BW1777" s="882"/>
      <c r="CF1777" s="882"/>
      <c r="CG1777" s="882"/>
      <c r="CH1777" s="882"/>
      <c r="CI1777" s="530"/>
    </row>
    <row r="1778">
      <c r="A1778" s="857"/>
      <c r="B1778" s="865" t="s">
        <v>121</v>
      </c>
      <c r="C1778" s="865" t="s">
        <v>591</v>
      </c>
      <c r="D1778" s="865" t="s">
        <v>669</v>
      </c>
      <c r="E1778" s="866">
        <v>2019.0</v>
      </c>
      <c r="F1778" s="865" t="s">
        <v>593</v>
      </c>
      <c r="G1778" s="865" t="s">
        <v>70</v>
      </c>
      <c r="H1778" s="867">
        <v>588097.9693</v>
      </c>
      <c r="I1778" s="867">
        <v>647639.9931</v>
      </c>
      <c r="J1778" s="868">
        <v>528716.3305</v>
      </c>
      <c r="K1778" s="50"/>
      <c r="L1778" s="869" t="s">
        <v>121</v>
      </c>
      <c r="M1778" s="865" t="s">
        <v>591</v>
      </c>
      <c r="N1778" s="865" t="s">
        <v>669</v>
      </c>
      <c r="O1778" s="866">
        <v>2004.0</v>
      </c>
      <c r="P1778" s="865" t="s">
        <v>593</v>
      </c>
      <c r="Q1778" s="865" t="s">
        <v>70</v>
      </c>
      <c r="R1778" s="867">
        <v>428974.3353</v>
      </c>
      <c r="S1778" s="867">
        <v>463000.0522</v>
      </c>
      <c r="T1778" s="868">
        <v>394130.5772</v>
      </c>
      <c r="AN1778" s="882"/>
      <c r="AO1778" s="882"/>
      <c r="AP1778" s="882"/>
      <c r="AY1778" s="882"/>
      <c r="AZ1778" s="882"/>
      <c r="BA1778" s="882"/>
      <c r="BJ1778" s="882"/>
      <c r="BK1778" s="882"/>
      <c r="BL1778" s="882"/>
      <c r="BU1778" s="882"/>
      <c r="BV1778" s="882"/>
      <c r="BW1778" s="882"/>
      <c r="CF1778" s="882"/>
      <c r="CG1778" s="882"/>
      <c r="CH1778" s="882"/>
      <c r="CI1778" s="530"/>
    </row>
    <row r="1779">
      <c r="A1779" s="857"/>
      <c r="B1779" s="865" t="s">
        <v>121</v>
      </c>
      <c r="C1779" s="865" t="s">
        <v>591</v>
      </c>
      <c r="D1779" s="865" t="s">
        <v>671</v>
      </c>
      <c r="E1779" s="866">
        <v>2019.0</v>
      </c>
      <c r="F1779" s="865" t="s">
        <v>593</v>
      </c>
      <c r="G1779" s="865" t="s">
        <v>70</v>
      </c>
      <c r="H1779" s="867">
        <v>385372.5455</v>
      </c>
      <c r="I1779" s="867">
        <v>424411.6419</v>
      </c>
      <c r="J1779" s="868">
        <v>346440.068</v>
      </c>
      <c r="K1779" s="50"/>
      <c r="L1779" s="869" t="s">
        <v>121</v>
      </c>
      <c r="M1779" s="865" t="s">
        <v>591</v>
      </c>
      <c r="N1779" s="865" t="s">
        <v>671</v>
      </c>
      <c r="O1779" s="866">
        <v>2004.0</v>
      </c>
      <c r="P1779" s="865" t="s">
        <v>593</v>
      </c>
      <c r="Q1779" s="865" t="s">
        <v>70</v>
      </c>
      <c r="R1779" s="867">
        <v>258479.6987</v>
      </c>
      <c r="S1779" s="867">
        <v>278982.3829</v>
      </c>
      <c r="T1779" s="868">
        <v>237478.7357</v>
      </c>
      <c r="AN1779" s="882"/>
      <c r="AO1779" s="882"/>
      <c r="AP1779" s="882"/>
      <c r="AY1779" s="882"/>
      <c r="AZ1779" s="882"/>
      <c r="BA1779" s="882"/>
      <c r="BJ1779" s="882"/>
      <c r="BK1779" s="882"/>
      <c r="BL1779" s="882"/>
      <c r="BU1779" s="882"/>
      <c r="BV1779" s="882"/>
      <c r="BW1779" s="882"/>
      <c r="CF1779" s="882"/>
      <c r="CG1779" s="882"/>
      <c r="CH1779" s="882"/>
      <c r="CI1779" s="530"/>
    </row>
    <row r="1780">
      <c r="A1780" s="857"/>
      <c r="B1780" s="865" t="s">
        <v>121</v>
      </c>
      <c r="C1780" s="865" t="s">
        <v>591</v>
      </c>
      <c r="D1780" s="865" t="s">
        <v>673</v>
      </c>
      <c r="E1780" s="866">
        <v>2019.0</v>
      </c>
      <c r="F1780" s="865" t="s">
        <v>593</v>
      </c>
      <c r="G1780" s="865" t="s">
        <v>70</v>
      </c>
      <c r="H1780" s="867">
        <v>264305.514</v>
      </c>
      <c r="I1780" s="867">
        <v>291065.1459</v>
      </c>
      <c r="J1780" s="868">
        <v>237617.963</v>
      </c>
      <c r="K1780" s="50"/>
      <c r="L1780" s="869" t="s">
        <v>121</v>
      </c>
      <c r="M1780" s="865" t="s">
        <v>591</v>
      </c>
      <c r="N1780" s="865" t="s">
        <v>673</v>
      </c>
      <c r="O1780" s="866">
        <v>2004.0</v>
      </c>
      <c r="P1780" s="865" t="s">
        <v>593</v>
      </c>
      <c r="Q1780" s="865" t="s">
        <v>70</v>
      </c>
      <c r="R1780" s="867">
        <v>185639.8654</v>
      </c>
      <c r="S1780" s="867">
        <v>200364.5912</v>
      </c>
      <c r="T1780" s="868">
        <v>170561.1298</v>
      </c>
      <c r="AN1780" s="882"/>
      <c r="AO1780" s="882"/>
      <c r="AP1780" s="882"/>
      <c r="AY1780" s="882"/>
      <c r="AZ1780" s="882"/>
      <c r="BA1780" s="882"/>
      <c r="BJ1780" s="882"/>
      <c r="BK1780" s="882"/>
      <c r="BL1780" s="882"/>
      <c r="BU1780" s="882"/>
      <c r="BV1780" s="882"/>
      <c r="BW1780" s="882"/>
      <c r="CF1780" s="882"/>
      <c r="CG1780" s="882"/>
      <c r="CH1780" s="882"/>
      <c r="CI1780" s="530"/>
    </row>
    <row r="1781">
      <c r="A1781" s="857"/>
      <c r="B1781" s="865" t="s">
        <v>121</v>
      </c>
      <c r="C1781" s="865" t="s">
        <v>591</v>
      </c>
      <c r="D1781" s="865" t="s">
        <v>674</v>
      </c>
      <c r="E1781" s="866">
        <v>2019.0</v>
      </c>
      <c r="F1781" s="865" t="s">
        <v>593</v>
      </c>
      <c r="G1781" s="865" t="s">
        <v>70</v>
      </c>
      <c r="H1781" s="867">
        <v>94597.52614</v>
      </c>
      <c r="I1781" s="867">
        <v>104175.0599</v>
      </c>
      <c r="J1781" s="868">
        <v>85045.79085</v>
      </c>
      <c r="K1781" s="50"/>
      <c r="L1781" s="869" t="s">
        <v>121</v>
      </c>
      <c r="M1781" s="865" t="s">
        <v>591</v>
      </c>
      <c r="N1781" s="865" t="s">
        <v>674</v>
      </c>
      <c r="O1781" s="866">
        <v>2004.0</v>
      </c>
      <c r="P1781" s="865" t="s">
        <v>593</v>
      </c>
      <c r="Q1781" s="865" t="s">
        <v>70</v>
      </c>
      <c r="R1781" s="867">
        <v>59102.67286</v>
      </c>
      <c r="S1781" s="867">
        <v>63790.6242</v>
      </c>
      <c r="T1781" s="868">
        <v>54302.01448</v>
      </c>
      <c r="AN1781" s="882"/>
      <c r="AO1781" s="882"/>
      <c r="AP1781" s="882"/>
      <c r="AY1781" s="882"/>
      <c r="AZ1781" s="882"/>
      <c r="BA1781" s="882"/>
      <c r="BJ1781" s="882"/>
      <c r="BK1781" s="882"/>
      <c r="BL1781" s="882"/>
      <c r="BU1781" s="882"/>
      <c r="BV1781" s="882"/>
      <c r="BW1781" s="882"/>
      <c r="CF1781" s="882"/>
      <c r="CG1781" s="882"/>
      <c r="CH1781" s="882"/>
      <c r="CI1781" s="530"/>
    </row>
    <row r="1782">
      <c r="A1782" s="857"/>
      <c r="B1782" s="865" t="s">
        <v>121</v>
      </c>
      <c r="C1782" s="865" t="s">
        <v>591</v>
      </c>
      <c r="D1782" s="865" t="s">
        <v>676</v>
      </c>
      <c r="E1782" s="866">
        <v>2019.0</v>
      </c>
      <c r="F1782" s="865" t="s">
        <v>593</v>
      </c>
      <c r="G1782" s="865" t="s">
        <v>70</v>
      </c>
      <c r="H1782" s="867">
        <v>26461.61054</v>
      </c>
      <c r="I1782" s="867">
        <v>29140.71832</v>
      </c>
      <c r="J1782" s="868">
        <v>23789.71932</v>
      </c>
      <c r="K1782" s="50"/>
      <c r="L1782" s="869" t="s">
        <v>121</v>
      </c>
      <c r="M1782" s="865" t="s">
        <v>591</v>
      </c>
      <c r="N1782" s="865" t="s">
        <v>676</v>
      </c>
      <c r="O1782" s="866">
        <v>2004.0</v>
      </c>
      <c r="P1782" s="865" t="s">
        <v>593</v>
      </c>
      <c r="Q1782" s="865" t="s">
        <v>70</v>
      </c>
      <c r="R1782" s="867">
        <v>13733.0322</v>
      </c>
      <c r="S1782" s="867">
        <v>14822.31943</v>
      </c>
      <c r="T1782" s="868">
        <v>12617.55648</v>
      </c>
      <c r="AN1782" s="882"/>
      <c r="AO1782" s="882"/>
      <c r="AP1782" s="882"/>
      <c r="AY1782" s="882"/>
      <c r="AZ1782" s="882"/>
      <c r="BA1782" s="882"/>
      <c r="BJ1782" s="882"/>
      <c r="BK1782" s="882"/>
      <c r="BL1782" s="882"/>
      <c r="BU1782" s="882"/>
      <c r="BV1782" s="882"/>
      <c r="BW1782" s="882"/>
      <c r="CF1782" s="882"/>
      <c r="CG1782" s="882"/>
      <c r="CH1782" s="882"/>
      <c r="CI1782" s="530"/>
    </row>
    <row r="1783">
      <c r="A1783" s="857"/>
      <c r="B1783" s="865" t="s">
        <v>121</v>
      </c>
      <c r="C1783" s="865" t="s">
        <v>591</v>
      </c>
      <c r="D1783" s="865" t="s">
        <v>678</v>
      </c>
      <c r="E1783" s="866">
        <v>2019.0</v>
      </c>
      <c r="F1783" s="865" t="s">
        <v>593</v>
      </c>
      <c r="G1783" s="865" t="s">
        <v>70</v>
      </c>
      <c r="H1783" s="867">
        <v>2.148237857E8</v>
      </c>
      <c r="I1783" s="867">
        <v>2.365736363E8</v>
      </c>
      <c r="J1783" s="868">
        <v>1.931325215E8</v>
      </c>
      <c r="K1783" s="50"/>
      <c r="L1783" s="869" t="s">
        <v>121</v>
      </c>
      <c r="M1783" s="865" t="s">
        <v>591</v>
      </c>
      <c r="N1783" s="865" t="s">
        <v>678</v>
      </c>
      <c r="O1783" s="866">
        <v>2004.0</v>
      </c>
      <c r="P1783" s="865" t="s">
        <v>593</v>
      </c>
      <c r="Q1783" s="865" t="s">
        <v>70</v>
      </c>
      <c r="R1783" s="867">
        <v>1.391757947E8</v>
      </c>
      <c r="S1783" s="867">
        <v>1.502150476E8</v>
      </c>
      <c r="T1783" s="868">
        <v>1.278711377E8</v>
      </c>
      <c r="AN1783" s="882"/>
      <c r="AO1783" s="882"/>
      <c r="AP1783" s="882"/>
      <c r="AY1783" s="882"/>
      <c r="AZ1783" s="882"/>
      <c r="BA1783" s="882"/>
      <c r="BJ1783" s="882"/>
      <c r="BK1783" s="882"/>
      <c r="BL1783" s="882"/>
      <c r="BU1783" s="882"/>
      <c r="BV1783" s="882"/>
      <c r="BW1783" s="882"/>
      <c r="CF1783" s="882"/>
      <c r="CG1783" s="882"/>
      <c r="CH1783" s="882"/>
      <c r="CI1783" s="530"/>
    </row>
    <row r="1784">
      <c r="A1784" s="857"/>
      <c r="B1784" s="865" t="s">
        <v>121</v>
      </c>
      <c r="C1784" s="865" t="s">
        <v>591</v>
      </c>
      <c r="D1784" s="865" t="s">
        <v>680</v>
      </c>
      <c r="E1784" s="866">
        <v>2019.0</v>
      </c>
      <c r="F1784" s="865" t="s">
        <v>593</v>
      </c>
      <c r="G1784" s="865" t="s">
        <v>70</v>
      </c>
      <c r="H1784" s="867">
        <v>7587166.804</v>
      </c>
      <c r="I1784" s="867">
        <v>8238238.874</v>
      </c>
      <c r="J1784" s="868">
        <v>7020690.991</v>
      </c>
      <c r="K1784" s="50"/>
      <c r="L1784" s="869" t="s">
        <v>121</v>
      </c>
      <c r="M1784" s="865" t="s">
        <v>591</v>
      </c>
      <c r="N1784" s="865" t="s">
        <v>680</v>
      </c>
      <c r="O1784" s="866">
        <v>2004.0</v>
      </c>
      <c r="P1784" s="865" t="s">
        <v>593</v>
      </c>
      <c r="Q1784" s="865" t="s">
        <v>70</v>
      </c>
      <c r="R1784" s="867">
        <v>6303527.688</v>
      </c>
      <c r="S1784" s="867">
        <v>6598503.421</v>
      </c>
      <c r="T1784" s="868">
        <v>5997280.572</v>
      </c>
      <c r="AN1784" s="882"/>
      <c r="AO1784" s="882"/>
      <c r="AP1784" s="882"/>
      <c r="AY1784" s="882"/>
      <c r="AZ1784" s="882"/>
      <c r="BA1784" s="882"/>
      <c r="BJ1784" s="882"/>
      <c r="BK1784" s="882"/>
      <c r="BL1784" s="882"/>
      <c r="BU1784" s="882"/>
      <c r="BV1784" s="882"/>
      <c r="BW1784" s="882"/>
      <c r="CF1784" s="882"/>
      <c r="CG1784" s="882"/>
      <c r="CH1784" s="882"/>
      <c r="CI1784" s="530"/>
    </row>
    <row r="1785">
      <c r="A1785" s="857"/>
      <c r="B1785" s="865" t="s">
        <v>121</v>
      </c>
      <c r="C1785" s="865" t="s">
        <v>591</v>
      </c>
      <c r="D1785" s="865" t="s">
        <v>682</v>
      </c>
      <c r="E1785" s="866">
        <v>2019.0</v>
      </c>
      <c r="F1785" s="865" t="s">
        <v>593</v>
      </c>
      <c r="G1785" s="865" t="s">
        <v>70</v>
      </c>
      <c r="H1785" s="867">
        <v>143303.6766</v>
      </c>
      <c r="I1785" s="867">
        <v>157812.4682</v>
      </c>
      <c r="J1785" s="868">
        <v>128833.9664</v>
      </c>
      <c r="K1785" s="50"/>
      <c r="L1785" s="869" t="s">
        <v>121</v>
      </c>
      <c r="M1785" s="865" t="s">
        <v>591</v>
      </c>
      <c r="N1785" s="865" t="s">
        <v>682</v>
      </c>
      <c r="O1785" s="866">
        <v>2004.0</v>
      </c>
      <c r="P1785" s="865" t="s">
        <v>593</v>
      </c>
      <c r="Q1785" s="865" t="s">
        <v>70</v>
      </c>
      <c r="R1785" s="867">
        <v>117559.4808</v>
      </c>
      <c r="S1785" s="867">
        <v>126884.1543</v>
      </c>
      <c r="T1785" s="868">
        <v>108010.6249</v>
      </c>
      <c r="AN1785" s="882"/>
      <c r="AO1785" s="882"/>
      <c r="AP1785" s="882"/>
      <c r="AY1785" s="882"/>
      <c r="AZ1785" s="882"/>
      <c r="BA1785" s="882"/>
      <c r="BJ1785" s="882"/>
      <c r="BK1785" s="882"/>
      <c r="BL1785" s="882"/>
      <c r="BU1785" s="882"/>
      <c r="BV1785" s="882"/>
      <c r="BW1785" s="882"/>
      <c r="CF1785" s="882"/>
      <c r="CG1785" s="882"/>
      <c r="CH1785" s="882"/>
      <c r="CI1785" s="530"/>
    </row>
    <row r="1786">
      <c r="A1786" s="857"/>
      <c r="B1786" s="865" t="s">
        <v>121</v>
      </c>
      <c r="C1786" s="865" t="s">
        <v>591</v>
      </c>
      <c r="D1786" s="865" t="s">
        <v>684</v>
      </c>
      <c r="E1786" s="866">
        <v>2019.0</v>
      </c>
      <c r="F1786" s="865" t="s">
        <v>593</v>
      </c>
      <c r="G1786" s="865" t="s">
        <v>70</v>
      </c>
      <c r="H1786" s="867">
        <v>421525.6705</v>
      </c>
      <c r="I1786" s="867">
        <v>464203.0692</v>
      </c>
      <c r="J1786" s="868">
        <v>378963.2295</v>
      </c>
      <c r="K1786" s="50"/>
      <c r="L1786" s="869" t="s">
        <v>121</v>
      </c>
      <c r="M1786" s="865" t="s">
        <v>591</v>
      </c>
      <c r="N1786" s="865" t="s">
        <v>684</v>
      </c>
      <c r="O1786" s="866">
        <v>2004.0</v>
      </c>
      <c r="P1786" s="865" t="s">
        <v>593</v>
      </c>
      <c r="Q1786" s="865" t="s">
        <v>70</v>
      </c>
      <c r="R1786" s="867">
        <v>344172.585</v>
      </c>
      <c r="S1786" s="867">
        <v>371471.9313</v>
      </c>
      <c r="T1786" s="868">
        <v>316216.9119</v>
      </c>
      <c r="AN1786" s="882"/>
      <c r="AO1786" s="882"/>
      <c r="AP1786" s="882"/>
      <c r="AY1786" s="882"/>
      <c r="AZ1786" s="882"/>
      <c r="BA1786" s="882"/>
      <c r="BJ1786" s="882"/>
      <c r="BK1786" s="882"/>
      <c r="BL1786" s="882"/>
      <c r="BU1786" s="882"/>
      <c r="BV1786" s="882"/>
      <c r="BW1786" s="882"/>
      <c r="CF1786" s="882"/>
      <c r="CG1786" s="882"/>
      <c r="CH1786" s="882"/>
      <c r="CI1786" s="530"/>
    </row>
    <row r="1787">
      <c r="A1787" s="857"/>
      <c r="B1787" s="865" t="s">
        <v>121</v>
      </c>
      <c r="C1787" s="865" t="s">
        <v>591</v>
      </c>
      <c r="D1787" s="865" t="s">
        <v>686</v>
      </c>
      <c r="E1787" s="866">
        <v>2019.0</v>
      </c>
      <c r="F1787" s="865" t="s">
        <v>593</v>
      </c>
      <c r="G1787" s="865" t="s">
        <v>70</v>
      </c>
      <c r="H1787" s="867">
        <v>564829.3471</v>
      </c>
      <c r="I1787" s="867">
        <v>622015.5375</v>
      </c>
      <c r="J1787" s="868">
        <v>507797.196</v>
      </c>
      <c r="K1787" s="50"/>
      <c r="L1787" s="869" t="s">
        <v>121</v>
      </c>
      <c r="M1787" s="865" t="s">
        <v>591</v>
      </c>
      <c r="N1787" s="865" t="s">
        <v>686</v>
      </c>
      <c r="O1787" s="866">
        <v>2004.0</v>
      </c>
      <c r="P1787" s="865" t="s">
        <v>593</v>
      </c>
      <c r="Q1787" s="865" t="s">
        <v>70</v>
      </c>
      <c r="R1787" s="867">
        <v>461732.0658</v>
      </c>
      <c r="S1787" s="867">
        <v>498356.0856</v>
      </c>
      <c r="T1787" s="868">
        <v>424227.5368</v>
      </c>
      <c r="AN1787" s="882"/>
      <c r="AO1787" s="882"/>
      <c r="AP1787" s="882"/>
      <c r="AY1787" s="882"/>
      <c r="AZ1787" s="882"/>
      <c r="BA1787" s="882"/>
      <c r="BJ1787" s="882"/>
      <c r="BK1787" s="882"/>
      <c r="BL1787" s="882"/>
      <c r="BU1787" s="882"/>
      <c r="BV1787" s="882"/>
      <c r="BW1787" s="882"/>
      <c r="CF1787" s="882"/>
      <c r="CG1787" s="882"/>
      <c r="CH1787" s="882"/>
      <c r="CI1787" s="530"/>
    </row>
    <row r="1788">
      <c r="A1788" s="857"/>
      <c r="B1788" s="865" t="s">
        <v>121</v>
      </c>
      <c r="C1788" s="865" t="s">
        <v>591</v>
      </c>
      <c r="D1788" s="865" t="s">
        <v>688</v>
      </c>
      <c r="E1788" s="866">
        <v>2019.0</v>
      </c>
      <c r="F1788" s="865" t="s">
        <v>593</v>
      </c>
      <c r="G1788" s="865" t="s">
        <v>70</v>
      </c>
      <c r="H1788" s="867">
        <v>6555737.083</v>
      </c>
      <c r="I1788" s="867">
        <v>7219473.185</v>
      </c>
      <c r="J1788" s="868">
        <v>5893788.851</v>
      </c>
      <c r="K1788" s="50"/>
      <c r="L1788" s="869" t="s">
        <v>121</v>
      </c>
      <c r="M1788" s="865" t="s">
        <v>591</v>
      </c>
      <c r="N1788" s="865" t="s">
        <v>688</v>
      </c>
      <c r="O1788" s="866">
        <v>2004.0</v>
      </c>
      <c r="P1788" s="865" t="s">
        <v>593</v>
      </c>
      <c r="Q1788" s="865" t="s">
        <v>70</v>
      </c>
      <c r="R1788" s="867">
        <v>5301195.12</v>
      </c>
      <c r="S1788" s="867">
        <v>5721679.399</v>
      </c>
      <c r="T1788" s="868">
        <v>4870601.62</v>
      </c>
      <c r="AN1788" s="882"/>
      <c r="AO1788" s="882"/>
      <c r="AP1788" s="882"/>
      <c r="AY1788" s="882"/>
      <c r="AZ1788" s="882"/>
      <c r="BA1788" s="882"/>
      <c r="BJ1788" s="882"/>
      <c r="BK1788" s="882"/>
      <c r="BL1788" s="882"/>
      <c r="BU1788" s="882"/>
      <c r="BV1788" s="882"/>
      <c r="BW1788" s="882"/>
      <c r="CF1788" s="882"/>
      <c r="CG1788" s="882"/>
      <c r="CH1788" s="882"/>
      <c r="CI1788" s="530"/>
    </row>
    <row r="1789">
      <c r="A1789" s="857"/>
      <c r="B1789" s="865" t="s">
        <v>121</v>
      </c>
      <c r="C1789" s="865" t="s">
        <v>591</v>
      </c>
      <c r="D1789" s="865" t="s">
        <v>689</v>
      </c>
      <c r="E1789" s="866">
        <v>2019.0</v>
      </c>
      <c r="F1789" s="865" t="s">
        <v>593</v>
      </c>
      <c r="G1789" s="865" t="s">
        <v>70</v>
      </c>
      <c r="H1789" s="867">
        <v>3.352163783E7</v>
      </c>
      <c r="I1789" s="867">
        <v>3.691553861E7</v>
      </c>
      <c r="J1789" s="868">
        <v>3.013687901E7</v>
      </c>
      <c r="K1789" s="50"/>
      <c r="L1789" s="869" t="s">
        <v>121</v>
      </c>
      <c r="M1789" s="865" t="s">
        <v>591</v>
      </c>
      <c r="N1789" s="865" t="s">
        <v>689</v>
      </c>
      <c r="O1789" s="866">
        <v>2004.0</v>
      </c>
      <c r="P1789" s="865" t="s">
        <v>593</v>
      </c>
      <c r="Q1789" s="865" t="s">
        <v>70</v>
      </c>
      <c r="R1789" s="867">
        <v>2.496126963E7</v>
      </c>
      <c r="S1789" s="867">
        <v>2.694116685E7</v>
      </c>
      <c r="T1789" s="868">
        <v>2.293377202E7</v>
      </c>
      <c r="AN1789" s="882"/>
      <c r="AO1789" s="882"/>
      <c r="AP1789" s="882"/>
      <c r="AY1789" s="882"/>
      <c r="AZ1789" s="882"/>
      <c r="BA1789" s="882"/>
      <c r="BJ1789" s="882"/>
      <c r="BK1789" s="882"/>
      <c r="BL1789" s="882"/>
      <c r="BU1789" s="882"/>
      <c r="BV1789" s="882"/>
      <c r="BW1789" s="882"/>
      <c r="CF1789" s="882"/>
      <c r="CG1789" s="882"/>
      <c r="CH1789" s="882"/>
      <c r="CI1789" s="530"/>
    </row>
    <row r="1790">
      <c r="A1790" s="857"/>
      <c r="B1790" s="865" t="s">
        <v>675</v>
      </c>
      <c r="C1790" s="865" t="s">
        <v>591</v>
      </c>
      <c r="D1790" s="865" t="s">
        <v>592</v>
      </c>
      <c r="E1790" s="866">
        <v>2019.0</v>
      </c>
      <c r="F1790" s="865" t="s">
        <v>593</v>
      </c>
      <c r="G1790" s="865" t="s">
        <v>70</v>
      </c>
      <c r="H1790" s="867">
        <v>6334714.778</v>
      </c>
      <c r="I1790" s="867">
        <v>6832147.53</v>
      </c>
      <c r="J1790" s="868">
        <v>5854499.415</v>
      </c>
      <c r="K1790" s="50"/>
      <c r="L1790" s="869" t="s">
        <v>675</v>
      </c>
      <c r="M1790" s="865" t="s">
        <v>591</v>
      </c>
      <c r="N1790" s="865" t="s">
        <v>592</v>
      </c>
      <c r="O1790" s="866">
        <v>2004.0</v>
      </c>
      <c r="P1790" s="865" t="s">
        <v>593</v>
      </c>
      <c r="Q1790" s="865" t="s">
        <v>70</v>
      </c>
      <c r="R1790" s="867">
        <v>5920028.294</v>
      </c>
      <c r="S1790" s="867">
        <v>6532153.127</v>
      </c>
      <c r="T1790" s="868">
        <v>5290702.945</v>
      </c>
      <c r="AN1790" s="882"/>
      <c r="AO1790" s="882"/>
      <c r="AP1790" s="882"/>
      <c r="AY1790" s="882"/>
      <c r="AZ1790" s="882"/>
      <c r="BA1790" s="882"/>
      <c r="BJ1790" s="882"/>
      <c r="BK1790" s="882"/>
      <c r="BL1790" s="882"/>
      <c r="BU1790" s="882"/>
      <c r="BV1790" s="882"/>
      <c r="BW1790" s="882"/>
      <c r="CF1790" s="882"/>
      <c r="CG1790" s="882"/>
      <c r="CH1790" s="882"/>
      <c r="CI1790" s="530"/>
    </row>
    <row r="1791">
      <c r="A1791" s="857"/>
      <c r="B1791" s="865" t="s">
        <v>675</v>
      </c>
      <c r="C1791" s="865" t="s">
        <v>591</v>
      </c>
      <c r="D1791" s="865" t="s">
        <v>601</v>
      </c>
      <c r="E1791" s="866">
        <v>2019.0</v>
      </c>
      <c r="F1791" s="865" t="s">
        <v>593</v>
      </c>
      <c r="G1791" s="865" t="s">
        <v>70</v>
      </c>
      <c r="H1791" s="867">
        <v>1.118672311E8</v>
      </c>
      <c r="I1791" s="867">
        <v>1.206515926E8</v>
      </c>
      <c r="J1791" s="868">
        <v>1.033869183E8</v>
      </c>
      <c r="K1791" s="50"/>
      <c r="L1791" s="869" t="s">
        <v>675</v>
      </c>
      <c r="M1791" s="865" t="s">
        <v>591</v>
      </c>
      <c r="N1791" s="865" t="s">
        <v>601</v>
      </c>
      <c r="O1791" s="866">
        <v>2004.0</v>
      </c>
      <c r="P1791" s="865" t="s">
        <v>593</v>
      </c>
      <c r="Q1791" s="865" t="s">
        <v>70</v>
      </c>
      <c r="R1791" s="867">
        <v>8.498566773E7</v>
      </c>
      <c r="S1791" s="867">
        <v>9.37730983E7</v>
      </c>
      <c r="T1791" s="868">
        <v>7.59513131E7</v>
      </c>
      <c r="AN1791" s="882"/>
      <c r="AO1791" s="882"/>
      <c r="AP1791" s="882"/>
      <c r="AY1791" s="882"/>
      <c r="AZ1791" s="882"/>
      <c r="BA1791" s="882"/>
      <c r="BJ1791" s="882"/>
      <c r="BK1791" s="882"/>
      <c r="BL1791" s="882"/>
      <c r="BU1791" s="882"/>
      <c r="BV1791" s="882"/>
      <c r="BW1791" s="882"/>
      <c r="CF1791" s="882"/>
      <c r="CG1791" s="882"/>
      <c r="CH1791" s="882"/>
      <c r="CI1791" s="530"/>
    </row>
    <row r="1792">
      <c r="A1792" s="857"/>
      <c r="B1792" s="865" t="s">
        <v>675</v>
      </c>
      <c r="C1792" s="865" t="s">
        <v>591</v>
      </c>
      <c r="D1792" s="865" t="s">
        <v>606</v>
      </c>
      <c r="E1792" s="866">
        <v>2019.0</v>
      </c>
      <c r="F1792" s="865" t="s">
        <v>593</v>
      </c>
      <c r="G1792" s="865" t="s">
        <v>70</v>
      </c>
      <c r="H1792" s="867">
        <v>8.714577663E7</v>
      </c>
      <c r="I1792" s="867">
        <v>9.398888875E7</v>
      </c>
      <c r="J1792" s="868">
        <v>8.053952169E7</v>
      </c>
      <c r="K1792" s="50"/>
      <c r="L1792" s="869" t="s">
        <v>675</v>
      </c>
      <c r="M1792" s="865" t="s">
        <v>591</v>
      </c>
      <c r="N1792" s="865" t="s">
        <v>606</v>
      </c>
      <c r="O1792" s="866">
        <v>2004.0</v>
      </c>
      <c r="P1792" s="865" t="s">
        <v>593</v>
      </c>
      <c r="Q1792" s="865" t="s">
        <v>70</v>
      </c>
      <c r="R1792" s="867">
        <v>6.872036696E7</v>
      </c>
      <c r="S1792" s="867">
        <v>7.582598217E7</v>
      </c>
      <c r="T1792" s="868">
        <v>6.141508618E7</v>
      </c>
      <c r="AN1792" s="882"/>
      <c r="AO1792" s="882"/>
      <c r="AP1792" s="882"/>
      <c r="AY1792" s="882"/>
      <c r="AZ1792" s="882"/>
      <c r="BA1792" s="882"/>
      <c r="BJ1792" s="882"/>
      <c r="BK1792" s="882"/>
      <c r="BL1792" s="882"/>
      <c r="BU1792" s="882"/>
      <c r="BV1792" s="882"/>
      <c r="BW1792" s="882"/>
      <c r="CF1792" s="882"/>
      <c r="CG1792" s="882"/>
      <c r="CH1792" s="882"/>
      <c r="CI1792" s="530"/>
    </row>
    <row r="1793">
      <c r="A1793" s="857"/>
      <c r="B1793" s="865" t="s">
        <v>675</v>
      </c>
      <c r="C1793" s="865" t="s">
        <v>591</v>
      </c>
      <c r="D1793" s="865" t="s">
        <v>608</v>
      </c>
      <c r="E1793" s="866">
        <v>2019.0</v>
      </c>
      <c r="F1793" s="865" t="s">
        <v>593</v>
      </c>
      <c r="G1793" s="865" t="s">
        <v>70</v>
      </c>
      <c r="H1793" s="867">
        <v>2.419176825E7</v>
      </c>
      <c r="I1793" s="867">
        <v>2.609142408E7</v>
      </c>
      <c r="J1793" s="868">
        <v>2.235786425E7</v>
      </c>
      <c r="K1793" s="50"/>
      <c r="L1793" s="869" t="s">
        <v>675</v>
      </c>
      <c r="M1793" s="865" t="s">
        <v>591</v>
      </c>
      <c r="N1793" s="865" t="s">
        <v>608</v>
      </c>
      <c r="O1793" s="866">
        <v>2004.0</v>
      </c>
      <c r="P1793" s="865" t="s">
        <v>593</v>
      </c>
      <c r="Q1793" s="865" t="s">
        <v>70</v>
      </c>
      <c r="R1793" s="867">
        <v>2.140204852E7</v>
      </c>
      <c r="S1793" s="867">
        <v>2.361499831E7</v>
      </c>
      <c r="T1793" s="868">
        <v>1.912691553E7</v>
      </c>
      <c r="AN1793" s="882"/>
      <c r="AO1793" s="882"/>
      <c r="AP1793" s="882"/>
      <c r="AY1793" s="882"/>
      <c r="AZ1793" s="882"/>
      <c r="BA1793" s="882"/>
      <c r="BJ1793" s="882"/>
      <c r="BK1793" s="882"/>
      <c r="BL1793" s="882"/>
      <c r="BU1793" s="882"/>
      <c r="BV1793" s="882"/>
      <c r="BW1793" s="882"/>
      <c r="CF1793" s="882"/>
      <c r="CG1793" s="882"/>
      <c r="CH1793" s="882"/>
      <c r="CI1793" s="530"/>
    </row>
    <row r="1794">
      <c r="A1794" s="857"/>
      <c r="B1794" s="865" t="s">
        <v>675</v>
      </c>
      <c r="C1794" s="865" t="s">
        <v>591</v>
      </c>
      <c r="D1794" s="865" t="s">
        <v>610</v>
      </c>
      <c r="E1794" s="866">
        <v>2019.0</v>
      </c>
      <c r="F1794" s="865" t="s">
        <v>593</v>
      </c>
      <c r="G1794" s="865" t="s">
        <v>70</v>
      </c>
      <c r="H1794" s="867">
        <v>2.754341645E7</v>
      </c>
      <c r="I1794" s="867">
        <v>2.970626007E7</v>
      </c>
      <c r="J1794" s="868">
        <v>2.545543425E7</v>
      </c>
      <c r="K1794" s="50"/>
      <c r="L1794" s="869" t="s">
        <v>675</v>
      </c>
      <c r="M1794" s="865" t="s">
        <v>591</v>
      </c>
      <c r="N1794" s="865" t="s">
        <v>610</v>
      </c>
      <c r="O1794" s="866">
        <v>2004.0</v>
      </c>
      <c r="P1794" s="865" t="s">
        <v>593</v>
      </c>
      <c r="Q1794" s="865" t="s">
        <v>70</v>
      </c>
      <c r="R1794" s="867">
        <v>1.886624556E7</v>
      </c>
      <c r="S1794" s="867">
        <v>2.081699593E7</v>
      </c>
      <c r="T1794" s="868">
        <v>1.686067971E7</v>
      </c>
      <c r="AN1794" s="882"/>
      <c r="AO1794" s="882"/>
      <c r="AP1794" s="882"/>
      <c r="AY1794" s="882"/>
      <c r="AZ1794" s="882"/>
      <c r="BA1794" s="882"/>
      <c r="BJ1794" s="882"/>
      <c r="BK1794" s="882"/>
      <c r="BL1794" s="882"/>
      <c r="BU1794" s="882"/>
      <c r="BV1794" s="882"/>
      <c r="BW1794" s="882"/>
      <c r="CF1794" s="882"/>
      <c r="CG1794" s="882"/>
      <c r="CH1794" s="882"/>
      <c r="CI1794" s="530"/>
    </row>
    <row r="1795">
      <c r="A1795" s="857"/>
      <c r="B1795" s="865" t="s">
        <v>675</v>
      </c>
      <c r="C1795" s="865" t="s">
        <v>591</v>
      </c>
      <c r="D1795" s="865" t="s">
        <v>612</v>
      </c>
      <c r="E1795" s="866">
        <v>2019.0</v>
      </c>
      <c r="F1795" s="865" t="s">
        <v>593</v>
      </c>
      <c r="G1795" s="865" t="s">
        <v>70</v>
      </c>
      <c r="H1795" s="867">
        <v>5.22648709E7</v>
      </c>
      <c r="I1795" s="867">
        <v>5.63689639E7</v>
      </c>
      <c r="J1795" s="868">
        <v>4.830283081E7</v>
      </c>
      <c r="K1795" s="50"/>
      <c r="L1795" s="869" t="s">
        <v>675</v>
      </c>
      <c r="M1795" s="865" t="s">
        <v>591</v>
      </c>
      <c r="N1795" s="865" t="s">
        <v>612</v>
      </c>
      <c r="O1795" s="866">
        <v>2004.0</v>
      </c>
      <c r="P1795" s="865" t="s">
        <v>593</v>
      </c>
      <c r="Q1795" s="865" t="s">
        <v>70</v>
      </c>
      <c r="R1795" s="867">
        <v>3.513154632E7</v>
      </c>
      <c r="S1795" s="867">
        <v>3.876411205E7</v>
      </c>
      <c r="T1795" s="868">
        <v>3.139690663E7</v>
      </c>
      <c r="AN1795" s="882"/>
      <c r="AO1795" s="882"/>
      <c r="AP1795" s="882"/>
      <c r="AY1795" s="882"/>
      <c r="AZ1795" s="882"/>
      <c r="BA1795" s="882"/>
      <c r="BJ1795" s="882"/>
      <c r="BK1795" s="882"/>
      <c r="BL1795" s="882"/>
      <c r="BU1795" s="882"/>
      <c r="BV1795" s="882"/>
      <c r="BW1795" s="882"/>
      <c r="CF1795" s="882"/>
      <c r="CG1795" s="882"/>
      <c r="CH1795" s="882"/>
      <c r="CI1795" s="530"/>
    </row>
    <row r="1796">
      <c r="A1796" s="857"/>
      <c r="B1796" s="865" t="s">
        <v>675</v>
      </c>
      <c r="C1796" s="865" t="s">
        <v>591</v>
      </c>
      <c r="D1796" s="865" t="s">
        <v>614</v>
      </c>
      <c r="E1796" s="866">
        <v>2019.0</v>
      </c>
      <c r="F1796" s="865" t="s">
        <v>593</v>
      </c>
      <c r="G1796" s="865" t="s">
        <v>70</v>
      </c>
      <c r="H1796" s="867">
        <v>7.338983893E7</v>
      </c>
      <c r="I1796" s="867">
        <v>7.915276762E7</v>
      </c>
      <c r="J1796" s="868">
        <v>6.782637958E7</v>
      </c>
      <c r="K1796" s="50"/>
      <c r="L1796" s="869" t="s">
        <v>675</v>
      </c>
      <c r="M1796" s="865" t="s">
        <v>591</v>
      </c>
      <c r="N1796" s="865" t="s">
        <v>614</v>
      </c>
      <c r="O1796" s="866">
        <v>2004.0</v>
      </c>
      <c r="P1796" s="865" t="s">
        <v>593</v>
      </c>
      <c r="Q1796" s="865" t="s">
        <v>70</v>
      </c>
      <c r="R1796" s="867">
        <v>4.918525963E7</v>
      </c>
      <c r="S1796" s="867">
        <v>5.427096485E7</v>
      </c>
      <c r="T1796" s="868">
        <v>4.395664768E7</v>
      </c>
      <c r="AN1796" s="882"/>
      <c r="AO1796" s="882"/>
      <c r="AP1796" s="882"/>
      <c r="AY1796" s="882"/>
      <c r="AZ1796" s="882"/>
      <c r="BA1796" s="882"/>
      <c r="BJ1796" s="882"/>
      <c r="BK1796" s="882"/>
      <c r="BL1796" s="882"/>
      <c r="BU1796" s="882"/>
      <c r="BV1796" s="882"/>
      <c r="BW1796" s="882"/>
      <c r="CF1796" s="882"/>
      <c r="CG1796" s="882"/>
      <c r="CH1796" s="882"/>
      <c r="CI1796" s="530"/>
    </row>
    <row r="1797">
      <c r="A1797" s="857"/>
      <c r="B1797" s="865" t="s">
        <v>675</v>
      </c>
      <c r="C1797" s="865" t="s">
        <v>591</v>
      </c>
      <c r="D1797" s="865" t="s">
        <v>616</v>
      </c>
      <c r="E1797" s="866">
        <v>2019.0</v>
      </c>
      <c r="F1797" s="865" t="s">
        <v>593</v>
      </c>
      <c r="G1797" s="865" t="s">
        <v>70</v>
      </c>
      <c r="H1797" s="867">
        <v>2.472145445E7</v>
      </c>
      <c r="I1797" s="867">
        <v>2.666270383E7</v>
      </c>
      <c r="J1797" s="868">
        <v>2.284739656E7</v>
      </c>
      <c r="K1797" s="50"/>
      <c r="L1797" s="869" t="s">
        <v>675</v>
      </c>
      <c r="M1797" s="865" t="s">
        <v>591</v>
      </c>
      <c r="N1797" s="865" t="s">
        <v>616</v>
      </c>
      <c r="O1797" s="866">
        <v>2004.0</v>
      </c>
      <c r="P1797" s="865" t="s">
        <v>593</v>
      </c>
      <c r="Q1797" s="865" t="s">
        <v>70</v>
      </c>
      <c r="R1797" s="867">
        <v>1.626530076E7</v>
      </c>
      <c r="S1797" s="867">
        <v>1.794711612E7</v>
      </c>
      <c r="T1797" s="868">
        <v>1.453622692E7</v>
      </c>
      <c r="AN1797" s="882"/>
      <c r="AO1797" s="882"/>
      <c r="AP1797" s="882"/>
      <c r="AY1797" s="882"/>
      <c r="AZ1797" s="882"/>
      <c r="BA1797" s="882"/>
      <c r="BJ1797" s="882"/>
      <c r="BK1797" s="882"/>
      <c r="BL1797" s="882"/>
      <c r="BU1797" s="882"/>
      <c r="BV1797" s="882"/>
      <c r="BW1797" s="882"/>
      <c r="CF1797" s="882"/>
      <c r="CG1797" s="882"/>
      <c r="CH1797" s="882"/>
      <c r="CI1797" s="530"/>
    </row>
    <row r="1798">
      <c r="A1798" s="857"/>
      <c r="B1798" s="865" t="s">
        <v>675</v>
      </c>
      <c r="C1798" s="865" t="s">
        <v>591</v>
      </c>
      <c r="D1798" s="865" t="s">
        <v>618</v>
      </c>
      <c r="E1798" s="866">
        <v>2019.0</v>
      </c>
      <c r="F1798" s="865" t="s">
        <v>593</v>
      </c>
      <c r="G1798" s="865" t="s">
        <v>70</v>
      </c>
      <c r="H1798" s="867">
        <v>9.145829818E7</v>
      </c>
      <c r="I1798" s="867">
        <v>9.857155189E7</v>
      </c>
      <c r="J1798" s="868">
        <v>8.453205238E7</v>
      </c>
      <c r="K1798" s="50"/>
      <c r="L1798" s="869" t="s">
        <v>675</v>
      </c>
      <c r="M1798" s="865" t="s">
        <v>591</v>
      </c>
      <c r="N1798" s="865" t="s">
        <v>618</v>
      </c>
      <c r="O1798" s="866">
        <v>2004.0</v>
      </c>
      <c r="P1798" s="865" t="s">
        <v>593</v>
      </c>
      <c r="Q1798" s="865" t="s">
        <v>70</v>
      </c>
      <c r="R1798" s="867">
        <v>6.009777229E7</v>
      </c>
      <c r="S1798" s="867">
        <v>6.626605952E7</v>
      </c>
      <c r="T1798" s="868">
        <v>5.371444789E7</v>
      </c>
      <c r="AN1798" s="882"/>
      <c r="AO1798" s="882"/>
      <c r="AP1798" s="882"/>
      <c r="AY1798" s="882"/>
      <c r="AZ1798" s="882"/>
      <c r="BA1798" s="882"/>
      <c r="BJ1798" s="882"/>
      <c r="BK1798" s="882"/>
      <c r="BL1798" s="882"/>
      <c r="BU1798" s="882"/>
      <c r="BV1798" s="882"/>
      <c r="BW1798" s="882"/>
      <c r="CF1798" s="882"/>
      <c r="CG1798" s="882"/>
      <c r="CH1798" s="882"/>
      <c r="CI1798" s="530"/>
    </row>
    <row r="1799">
      <c r="A1799" s="857"/>
      <c r="B1799" s="865" t="s">
        <v>675</v>
      </c>
      <c r="C1799" s="865" t="s">
        <v>591</v>
      </c>
      <c r="D1799" s="865" t="s">
        <v>620</v>
      </c>
      <c r="E1799" s="866">
        <v>2019.0</v>
      </c>
      <c r="F1799" s="865" t="s">
        <v>593</v>
      </c>
      <c r="G1799" s="865" t="s">
        <v>70</v>
      </c>
      <c r="H1799" s="867">
        <v>1.117734934E8</v>
      </c>
      <c r="I1799" s="867">
        <v>1.205504942E8</v>
      </c>
      <c r="J1799" s="868">
        <v>1.033002866E8</v>
      </c>
      <c r="K1799" s="50"/>
      <c r="L1799" s="869" t="s">
        <v>675</v>
      </c>
      <c r="M1799" s="865" t="s">
        <v>591</v>
      </c>
      <c r="N1799" s="865" t="s">
        <v>620</v>
      </c>
      <c r="O1799" s="866">
        <v>2004.0</v>
      </c>
      <c r="P1799" s="865" t="s">
        <v>593</v>
      </c>
      <c r="Q1799" s="865" t="s">
        <v>70</v>
      </c>
      <c r="R1799" s="867">
        <v>7.269781331E7</v>
      </c>
      <c r="S1799" s="867">
        <v>8.021469238E7</v>
      </c>
      <c r="T1799" s="868">
        <v>6.496971229E7</v>
      </c>
      <c r="AN1799" s="882"/>
      <c r="AO1799" s="882"/>
      <c r="AP1799" s="882"/>
      <c r="AY1799" s="882"/>
      <c r="AZ1799" s="882"/>
      <c r="BA1799" s="882"/>
      <c r="BJ1799" s="882"/>
      <c r="BK1799" s="882"/>
      <c r="BL1799" s="882"/>
      <c r="BU1799" s="882"/>
      <c r="BV1799" s="882"/>
      <c r="BW1799" s="882"/>
      <c r="CF1799" s="882"/>
      <c r="CG1799" s="882"/>
      <c r="CH1799" s="882"/>
      <c r="CI1799" s="530"/>
    </row>
    <row r="1800">
      <c r="A1800" s="857"/>
      <c r="B1800" s="865" t="s">
        <v>675</v>
      </c>
      <c r="C1800" s="865" t="s">
        <v>591</v>
      </c>
      <c r="D1800" s="865" t="s">
        <v>622</v>
      </c>
      <c r="E1800" s="866">
        <v>2019.0</v>
      </c>
      <c r="F1800" s="865" t="s">
        <v>593</v>
      </c>
      <c r="G1800" s="865" t="s">
        <v>70</v>
      </c>
      <c r="H1800" s="867">
        <v>1.121854312E8</v>
      </c>
      <c r="I1800" s="867">
        <v>1.209107568E8</v>
      </c>
      <c r="J1800" s="868">
        <v>1.036894949E8</v>
      </c>
      <c r="K1800" s="50"/>
      <c r="L1800" s="869" t="s">
        <v>675</v>
      </c>
      <c r="M1800" s="865" t="s">
        <v>591</v>
      </c>
      <c r="N1800" s="865" t="s">
        <v>622</v>
      </c>
      <c r="O1800" s="866">
        <v>2004.0</v>
      </c>
      <c r="P1800" s="865" t="s">
        <v>593</v>
      </c>
      <c r="Q1800" s="865" t="s">
        <v>70</v>
      </c>
      <c r="R1800" s="867">
        <v>7.235064027E7</v>
      </c>
      <c r="S1800" s="867">
        <v>7.977653167E7</v>
      </c>
      <c r="T1800" s="868">
        <v>6.466586944E7</v>
      </c>
      <c r="AN1800" s="882"/>
      <c r="AO1800" s="882"/>
      <c r="AP1800" s="882"/>
      <c r="AY1800" s="882"/>
      <c r="AZ1800" s="882"/>
      <c r="BA1800" s="882"/>
      <c r="BJ1800" s="882"/>
      <c r="BK1800" s="882"/>
      <c r="BL1800" s="882"/>
      <c r="BU1800" s="882"/>
      <c r="BV1800" s="882"/>
      <c r="BW1800" s="882"/>
      <c r="CF1800" s="882"/>
      <c r="CG1800" s="882"/>
      <c r="CH1800" s="882"/>
      <c r="CI1800" s="530"/>
    </row>
    <row r="1801">
      <c r="A1801" s="857"/>
      <c r="B1801" s="865" t="s">
        <v>675</v>
      </c>
      <c r="C1801" s="865" t="s">
        <v>591</v>
      </c>
      <c r="D1801" s="865" t="s">
        <v>624</v>
      </c>
      <c r="E1801" s="866">
        <v>2019.0</v>
      </c>
      <c r="F1801" s="865" t="s">
        <v>593</v>
      </c>
      <c r="G1801" s="865" t="s">
        <v>70</v>
      </c>
      <c r="H1801" s="867">
        <v>2.112496802E7</v>
      </c>
      <c r="I1801" s="867">
        <v>2.278380372E7</v>
      </c>
      <c r="J1801" s="868">
        <v>1.952354877E7</v>
      </c>
      <c r="K1801" s="50"/>
      <c r="L1801" s="869" t="s">
        <v>675</v>
      </c>
      <c r="M1801" s="865" t="s">
        <v>591</v>
      </c>
      <c r="N1801" s="865" t="s">
        <v>624</v>
      </c>
      <c r="O1801" s="866">
        <v>2004.0</v>
      </c>
      <c r="P1801" s="865" t="s">
        <v>593</v>
      </c>
      <c r="Q1801" s="865" t="s">
        <v>70</v>
      </c>
      <c r="R1801" s="867">
        <v>1.405371331E7</v>
      </c>
      <c r="S1801" s="867">
        <v>1.55068528E7</v>
      </c>
      <c r="T1801" s="868">
        <v>1.255974105E7</v>
      </c>
      <c r="AN1801" s="882"/>
      <c r="AO1801" s="882"/>
      <c r="AP1801" s="882"/>
      <c r="AY1801" s="882"/>
      <c r="AZ1801" s="882"/>
      <c r="BA1801" s="882"/>
      <c r="BJ1801" s="882"/>
      <c r="BK1801" s="882"/>
      <c r="BL1801" s="882"/>
      <c r="BU1801" s="882"/>
      <c r="BV1801" s="882"/>
      <c r="BW1801" s="882"/>
      <c r="CF1801" s="882"/>
      <c r="CG1801" s="882"/>
      <c r="CH1801" s="882"/>
      <c r="CI1801" s="530"/>
    </row>
    <row r="1802">
      <c r="A1802" s="857"/>
      <c r="B1802" s="865" t="s">
        <v>675</v>
      </c>
      <c r="C1802" s="865" t="s">
        <v>591</v>
      </c>
      <c r="D1802" s="865" t="s">
        <v>625</v>
      </c>
      <c r="E1802" s="866">
        <v>2019.0</v>
      </c>
      <c r="F1802" s="865" t="s">
        <v>593</v>
      </c>
      <c r="G1802" s="865" t="s">
        <v>70</v>
      </c>
      <c r="H1802" s="867">
        <v>9.107064768E7</v>
      </c>
      <c r="I1802" s="867">
        <v>9.822195985E7</v>
      </c>
      <c r="J1802" s="868">
        <v>8.416686026E7</v>
      </c>
      <c r="K1802" s="50"/>
      <c r="L1802" s="869" t="s">
        <v>675</v>
      </c>
      <c r="M1802" s="865" t="s">
        <v>591</v>
      </c>
      <c r="N1802" s="865" t="s">
        <v>625</v>
      </c>
      <c r="O1802" s="866">
        <v>2004.0</v>
      </c>
      <c r="P1802" s="865" t="s">
        <v>593</v>
      </c>
      <c r="Q1802" s="865" t="s">
        <v>70</v>
      </c>
      <c r="R1802" s="867">
        <v>5.830490285E7</v>
      </c>
      <c r="S1802" s="867">
        <v>6.433356979E7</v>
      </c>
      <c r="T1802" s="868">
        <v>5.210683224E7</v>
      </c>
      <c r="AN1802" s="882"/>
      <c r="AO1802" s="882"/>
      <c r="AP1802" s="882"/>
      <c r="AY1802" s="882"/>
      <c r="AZ1802" s="882"/>
      <c r="BA1802" s="882"/>
      <c r="BJ1802" s="882"/>
      <c r="BK1802" s="882"/>
      <c r="BL1802" s="882"/>
      <c r="BU1802" s="882"/>
      <c r="BV1802" s="882"/>
      <c r="BW1802" s="882"/>
      <c r="CF1802" s="882"/>
      <c r="CG1802" s="882"/>
      <c r="CH1802" s="882"/>
      <c r="CI1802" s="530"/>
    </row>
    <row r="1803">
      <c r="A1803" s="857"/>
      <c r="B1803" s="865" t="s">
        <v>675</v>
      </c>
      <c r="C1803" s="865" t="s">
        <v>591</v>
      </c>
      <c r="D1803" s="865" t="s">
        <v>627</v>
      </c>
      <c r="E1803" s="866">
        <v>2019.0</v>
      </c>
      <c r="F1803" s="865" t="s">
        <v>593</v>
      </c>
      <c r="G1803" s="865" t="s">
        <v>70</v>
      </c>
      <c r="H1803" s="867">
        <v>1.754056434E7</v>
      </c>
      <c r="I1803" s="867">
        <v>1.891793514E7</v>
      </c>
      <c r="J1803" s="868">
        <v>1.621086778E7</v>
      </c>
      <c r="K1803" s="50"/>
      <c r="L1803" s="869" t="s">
        <v>675</v>
      </c>
      <c r="M1803" s="865" t="s">
        <v>591</v>
      </c>
      <c r="N1803" s="865" t="s">
        <v>627</v>
      </c>
      <c r="O1803" s="866">
        <v>2004.0</v>
      </c>
      <c r="P1803" s="865" t="s">
        <v>593</v>
      </c>
      <c r="Q1803" s="865" t="s">
        <v>70</v>
      </c>
      <c r="R1803" s="867">
        <v>1.180138107E7</v>
      </c>
      <c r="S1803" s="867">
        <v>1.302163173E7</v>
      </c>
      <c r="T1803" s="868">
        <v>1.054684175E7</v>
      </c>
      <c r="AN1803" s="882"/>
      <c r="AO1803" s="882"/>
      <c r="AP1803" s="882"/>
      <c r="AY1803" s="882"/>
      <c r="AZ1803" s="882"/>
      <c r="BA1803" s="882"/>
      <c r="BJ1803" s="882"/>
      <c r="BK1803" s="882"/>
      <c r="BL1803" s="882"/>
      <c r="BU1803" s="882"/>
      <c r="BV1803" s="882"/>
      <c r="BW1803" s="882"/>
      <c r="CF1803" s="882"/>
      <c r="CG1803" s="882"/>
      <c r="CH1803" s="882"/>
      <c r="CI1803" s="530"/>
    </row>
    <row r="1804">
      <c r="A1804" s="857"/>
      <c r="B1804" s="865" t="s">
        <v>675</v>
      </c>
      <c r="C1804" s="865" t="s">
        <v>591</v>
      </c>
      <c r="D1804" s="865" t="s">
        <v>629</v>
      </c>
      <c r="E1804" s="866">
        <v>2019.0</v>
      </c>
      <c r="F1804" s="865" t="s">
        <v>593</v>
      </c>
      <c r="G1804" s="865" t="s">
        <v>70</v>
      </c>
      <c r="H1804" s="867">
        <v>6.592108645E7</v>
      </c>
      <c r="I1804" s="867">
        <v>7.10481599E7</v>
      </c>
      <c r="J1804" s="868">
        <v>6.092880409E7</v>
      </c>
      <c r="K1804" s="50"/>
      <c r="L1804" s="869" t="s">
        <v>675</v>
      </c>
      <c r="M1804" s="865" t="s">
        <v>591</v>
      </c>
      <c r="N1804" s="865" t="s">
        <v>629</v>
      </c>
      <c r="O1804" s="866">
        <v>2004.0</v>
      </c>
      <c r="P1804" s="865" t="s">
        <v>593</v>
      </c>
      <c r="Q1804" s="865" t="s">
        <v>70</v>
      </c>
      <c r="R1804" s="867">
        <v>4.237412794E7</v>
      </c>
      <c r="S1804" s="867">
        <v>4.6723304E7</v>
      </c>
      <c r="T1804" s="868">
        <v>3.787333208E7</v>
      </c>
      <c r="AN1804" s="882"/>
      <c r="AO1804" s="882"/>
      <c r="AP1804" s="882"/>
      <c r="AY1804" s="882"/>
      <c r="AZ1804" s="882"/>
      <c r="BA1804" s="882"/>
      <c r="BJ1804" s="882"/>
      <c r="BK1804" s="882"/>
      <c r="BL1804" s="882"/>
      <c r="BU1804" s="882"/>
      <c r="BV1804" s="882"/>
      <c r="BW1804" s="882"/>
      <c r="CF1804" s="882"/>
      <c r="CG1804" s="882"/>
      <c r="CH1804" s="882"/>
      <c r="CI1804" s="530"/>
    </row>
    <row r="1805">
      <c r="A1805" s="857"/>
      <c r="B1805" s="865" t="s">
        <v>675</v>
      </c>
      <c r="C1805" s="865" t="s">
        <v>591</v>
      </c>
      <c r="D1805" s="865" t="s">
        <v>631</v>
      </c>
      <c r="E1805" s="866">
        <v>2019.0</v>
      </c>
      <c r="F1805" s="865" t="s">
        <v>593</v>
      </c>
      <c r="G1805" s="865" t="s">
        <v>70</v>
      </c>
      <c r="H1805" s="867">
        <v>1.503109578E7</v>
      </c>
      <c r="I1805" s="867">
        <v>1.621141086E7</v>
      </c>
      <c r="J1805" s="868">
        <v>1.389163436E7</v>
      </c>
      <c r="K1805" s="50"/>
      <c r="L1805" s="869" t="s">
        <v>675</v>
      </c>
      <c r="M1805" s="865" t="s">
        <v>591</v>
      </c>
      <c r="N1805" s="865" t="s">
        <v>631</v>
      </c>
      <c r="O1805" s="866">
        <v>2004.0</v>
      </c>
      <c r="P1805" s="865" t="s">
        <v>593</v>
      </c>
      <c r="Q1805" s="865" t="s">
        <v>70</v>
      </c>
      <c r="R1805" s="867">
        <v>9855181.529</v>
      </c>
      <c r="S1805" s="867">
        <v>1.087419716E7</v>
      </c>
      <c r="T1805" s="868">
        <v>8807531.881</v>
      </c>
      <c r="AN1805" s="882"/>
      <c r="AO1805" s="882"/>
      <c r="AP1805" s="882"/>
      <c r="AY1805" s="882"/>
      <c r="AZ1805" s="882"/>
      <c r="BA1805" s="882"/>
      <c r="BJ1805" s="882"/>
      <c r="BK1805" s="882"/>
      <c r="BL1805" s="882"/>
      <c r="BU1805" s="882"/>
      <c r="BV1805" s="882"/>
      <c r="BW1805" s="882"/>
      <c r="CF1805" s="882"/>
      <c r="CG1805" s="882"/>
      <c r="CH1805" s="882"/>
      <c r="CI1805" s="530"/>
    </row>
    <row r="1806">
      <c r="A1806" s="857"/>
      <c r="B1806" s="865" t="s">
        <v>675</v>
      </c>
      <c r="C1806" s="865" t="s">
        <v>591</v>
      </c>
      <c r="D1806" s="865" t="s">
        <v>633</v>
      </c>
      <c r="E1806" s="866">
        <v>2019.0</v>
      </c>
      <c r="F1806" s="865" t="s">
        <v>593</v>
      </c>
      <c r="G1806" s="865" t="s">
        <v>70</v>
      </c>
      <c r="H1806" s="867">
        <v>1.304851844E7</v>
      </c>
      <c r="I1806" s="867">
        <v>1.407315186E7</v>
      </c>
      <c r="J1806" s="868">
        <v>1.205935015E7</v>
      </c>
      <c r="K1806" s="50"/>
      <c r="L1806" s="869" t="s">
        <v>675</v>
      </c>
      <c r="M1806" s="865" t="s">
        <v>591</v>
      </c>
      <c r="N1806" s="865" t="s">
        <v>633</v>
      </c>
      <c r="O1806" s="866">
        <v>2004.0</v>
      </c>
      <c r="P1806" s="865" t="s">
        <v>593</v>
      </c>
      <c r="Q1806" s="865" t="s">
        <v>70</v>
      </c>
      <c r="R1806" s="867">
        <v>8128820.758</v>
      </c>
      <c r="S1806" s="867">
        <v>8969332.457</v>
      </c>
      <c r="T1806" s="868">
        <v>7264690.942</v>
      </c>
      <c r="AN1806" s="882"/>
      <c r="AO1806" s="882"/>
      <c r="AP1806" s="882"/>
      <c r="AY1806" s="882"/>
      <c r="AZ1806" s="882"/>
      <c r="BA1806" s="882"/>
      <c r="BJ1806" s="882"/>
      <c r="BK1806" s="882"/>
      <c r="BL1806" s="882"/>
      <c r="BU1806" s="882"/>
      <c r="BV1806" s="882"/>
      <c r="BW1806" s="882"/>
      <c r="CF1806" s="882"/>
      <c r="CG1806" s="882"/>
      <c r="CH1806" s="882"/>
      <c r="CI1806" s="530"/>
    </row>
    <row r="1807">
      <c r="A1807" s="857"/>
      <c r="B1807" s="865" t="s">
        <v>675</v>
      </c>
      <c r="C1807" s="865" t="s">
        <v>591</v>
      </c>
      <c r="D1807" s="865" t="s">
        <v>635</v>
      </c>
      <c r="E1807" s="866">
        <v>2019.0</v>
      </c>
      <c r="F1807" s="865" t="s">
        <v>593</v>
      </c>
      <c r="G1807" s="865" t="s">
        <v>70</v>
      </c>
      <c r="H1807" s="867">
        <v>1.10574561E7</v>
      </c>
      <c r="I1807" s="867">
        <v>1.192574157E7</v>
      </c>
      <c r="J1807" s="868">
        <v>1.021922415E7</v>
      </c>
      <c r="K1807" s="50"/>
      <c r="L1807" s="869" t="s">
        <v>675</v>
      </c>
      <c r="M1807" s="865" t="s">
        <v>591</v>
      </c>
      <c r="N1807" s="865" t="s">
        <v>635</v>
      </c>
      <c r="O1807" s="866">
        <v>2004.0</v>
      </c>
      <c r="P1807" s="865" t="s">
        <v>593</v>
      </c>
      <c r="Q1807" s="865" t="s">
        <v>70</v>
      </c>
      <c r="R1807" s="867">
        <v>6890289.149</v>
      </c>
      <c r="S1807" s="867">
        <v>7602737.955</v>
      </c>
      <c r="T1807" s="868">
        <v>6157820.754</v>
      </c>
      <c r="AN1807" s="882"/>
      <c r="AO1807" s="882"/>
      <c r="AP1807" s="882"/>
      <c r="AY1807" s="882"/>
      <c r="AZ1807" s="882"/>
      <c r="BA1807" s="882"/>
      <c r="BJ1807" s="882"/>
      <c r="BK1807" s="882"/>
      <c r="BL1807" s="882"/>
      <c r="BU1807" s="882"/>
      <c r="BV1807" s="882"/>
      <c r="BW1807" s="882"/>
      <c r="CF1807" s="882"/>
      <c r="CG1807" s="882"/>
      <c r="CH1807" s="882"/>
      <c r="CI1807" s="530"/>
    </row>
    <row r="1808">
      <c r="A1808" s="857"/>
      <c r="B1808" s="865" t="s">
        <v>675</v>
      </c>
      <c r="C1808" s="865" t="s">
        <v>591</v>
      </c>
      <c r="D1808" s="865" t="s">
        <v>637</v>
      </c>
      <c r="E1808" s="866">
        <v>2019.0</v>
      </c>
      <c r="F1808" s="865" t="s">
        <v>593</v>
      </c>
      <c r="G1808" s="865" t="s">
        <v>70</v>
      </c>
      <c r="H1808" s="867">
        <v>9249436.295</v>
      </c>
      <c r="I1808" s="867">
        <v>9975747.22</v>
      </c>
      <c r="J1808" s="868">
        <v>8548264.804</v>
      </c>
      <c r="K1808" s="50"/>
      <c r="L1808" s="869" t="s">
        <v>675</v>
      </c>
      <c r="M1808" s="865" t="s">
        <v>591</v>
      </c>
      <c r="N1808" s="865" t="s">
        <v>637</v>
      </c>
      <c r="O1808" s="866">
        <v>2004.0</v>
      </c>
      <c r="P1808" s="865" t="s">
        <v>593</v>
      </c>
      <c r="Q1808" s="865" t="s">
        <v>70</v>
      </c>
      <c r="R1808" s="867">
        <v>5703126.733</v>
      </c>
      <c r="S1808" s="867">
        <v>6292824.167</v>
      </c>
      <c r="T1808" s="868">
        <v>5096858.985</v>
      </c>
      <c r="AN1808" s="882"/>
      <c r="AO1808" s="882"/>
      <c r="AP1808" s="882"/>
      <c r="AY1808" s="882"/>
      <c r="AZ1808" s="882"/>
      <c r="BA1808" s="882"/>
      <c r="BJ1808" s="882"/>
      <c r="BK1808" s="882"/>
      <c r="BL1808" s="882"/>
      <c r="BU1808" s="882"/>
      <c r="BV1808" s="882"/>
      <c r="BW1808" s="882"/>
      <c r="CF1808" s="882"/>
      <c r="CG1808" s="882"/>
      <c r="CH1808" s="882"/>
      <c r="CI1808" s="530"/>
    </row>
    <row r="1809">
      <c r="A1809" s="857"/>
      <c r="B1809" s="865" t="s">
        <v>675</v>
      </c>
      <c r="C1809" s="865" t="s">
        <v>591</v>
      </c>
      <c r="D1809" s="865" t="s">
        <v>639</v>
      </c>
      <c r="E1809" s="866">
        <v>2019.0</v>
      </c>
      <c r="F1809" s="865" t="s">
        <v>593</v>
      </c>
      <c r="G1809" s="865" t="s">
        <v>70</v>
      </c>
      <c r="H1809" s="867">
        <v>8.133336436E7</v>
      </c>
      <c r="I1809" s="867">
        <v>8.765914199E7</v>
      </c>
      <c r="J1809" s="868">
        <v>7.517389185E7</v>
      </c>
      <c r="K1809" s="50"/>
      <c r="L1809" s="869" t="s">
        <v>675</v>
      </c>
      <c r="M1809" s="865" t="s">
        <v>591</v>
      </c>
      <c r="N1809" s="865" t="s">
        <v>639</v>
      </c>
      <c r="O1809" s="866">
        <v>2004.0</v>
      </c>
      <c r="P1809" s="865" t="s">
        <v>593</v>
      </c>
      <c r="Q1809" s="865" t="s">
        <v>70</v>
      </c>
      <c r="R1809" s="867">
        <v>5.765723481E7</v>
      </c>
      <c r="S1809" s="867">
        <v>6.357503129E7</v>
      </c>
      <c r="T1809" s="868">
        <v>5.153313371E7</v>
      </c>
      <c r="AN1809" s="882"/>
      <c r="AO1809" s="882"/>
      <c r="AP1809" s="882"/>
      <c r="AY1809" s="882"/>
      <c r="AZ1809" s="882"/>
      <c r="BA1809" s="882"/>
      <c r="BJ1809" s="882"/>
      <c r="BK1809" s="882"/>
      <c r="BL1809" s="882"/>
      <c r="BU1809" s="882"/>
      <c r="BV1809" s="882"/>
      <c r="BW1809" s="882"/>
      <c r="CF1809" s="882"/>
      <c r="CG1809" s="882"/>
      <c r="CH1809" s="882"/>
      <c r="CI1809" s="530"/>
    </row>
    <row r="1810">
      <c r="A1810" s="857"/>
      <c r="B1810" s="865" t="s">
        <v>675</v>
      </c>
      <c r="C1810" s="865" t="s">
        <v>591</v>
      </c>
      <c r="D1810" s="865" t="s">
        <v>641</v>
      </c>
      <c r="E1810" s="866">
        <v>2019.0</v>
      </c>
      <c r="F1810" s="865" t="s">
        <v>593</v>
      </c>
      <c r="G1810" s="865" t="s">
        <v>70</v>
      </c>
      <c r="H1810" s="867">
        <v>2.907587715E7</v>
      </c>
      <c r="I1810" s="867">
        <v>3.135905707E7</v>
      </c>
      <c r="J1810" s="868">
        <v>2.687172378E7</v>
      </c>
      <c r="K1810" s="50"/>
      <c r="L1810" s="869" t="s">
        <v>675</v>
      </c>
      <c r="M1810" s="865" t="s">
        <v>591</v>
      </c>
      <c r="N1810" s="865" t="s">
        <v>641</v>
      </c>
      <c r="O1810" s="866">
        <v>2004.0</v>
      </c>
      <c r="P1810" s="865" t="s">
        <v>593</v>
      </c>
      <c r="Q1810" s="865" t="s">
        <v>70</v>
      </c>
      <c r="R1810" s="867">
        <v>2.253204459E7</v>
      </c>
      <c r="S1810" s="867">
        <v>2.486183481E7</v>
      </c>
      <c r="T1810" s="868">
        <v>2.013678799E7</v>
      </c>
      <c r="AN1810" s="882"/>
      <c r="AO1810" s="882"/>
      <c r="AP1810" s="882"/>
      <c r="AY1810" s="882"/>
      <c r="AZ1810" s="882"/>
      <c r="BA1810" s="882"/>
      <c r="BJ1810" s="882"/>
      <c r="BK1810" s="882"/>
      <c r="BL1810" s="882"/>
      <c r="BU1810" s="882"/>
      <c r="BV1810" s="882"/>
      <c r="BW1810" s="882"/>
      <c r="CF1810" s="882"/>
      <c r="CG1810" s="882"/>
      <c r="CH1810" s="882"/>
      <c r="CI1810" s="530"/>
    </row>
    <row r="1811">
      <c r="A1811" s="857"/>
      <c r="B1811" s="865" t="s">
        <v>675</v>
      </c>
      <c r="C1811" s="865" t="s">
        <v>591</v>
      </c>
      <c r="D1811" s="865" t="s">
        <v>643</v>
      </c>
      <c r="E1811" s="866">
        <v>2019.0</v>
      </c>
      <c r="F1811" s="865" t="s">
        <v>593</v>
      </c>
      <c r="G1811" s="865" t="s">
        <v>70</v>
      </c>
      <c r="H1811" s="867">
        <v>7363025.257</v>
      </c>
      <c r="I1811" s="867">
        <v>7941205.971</v>
      </c>
      <c r="J1811" s="868">
        <v>6804856.82</v>
      </c>
      <c r="K1811" s="50"/>
      <c r="L1811" s="869" t="s">
        <v>675</v>
      </c>
      <c r="M1811" s="865" t="s">
        <v>591</v>
      </c>
      <c r="N1811" s="865" t="s">
        <v>643</v>
      </c>
      <c r="O1811" s="866">
        <v>2004.0</v>
      </c>
      <c r="P1811" s="865" t="s">
        <v>593</v>
      </c>
      <c r="Q1811" s="865" t="s">
        <v>70</v>
      </c>
      <c r="R1811" s="867">
        <v>4537784.285</v>
      </c>
      <c r="S1811" s="867">
        <v>5006986.51</v>
      </c>
      <c r="T1811" s="868">
        <v>4055397.624</v>
      </c>
      <c r="AN1811" s="882"/>
      <c r="AO1811" s="882"/>
      <c r="AP1811" s="882"/>
      <c r="AY1811" s="882"/>
      <c r="AZ1811" s="882"/>
      <c r="BA1811" s="882"/>
      <c r="BJ1811" s="882"/>
      <c r="BK1811" s="882"/>
      <c r="BL1811" s="882"/>
      <c r="BU1811" s="882"/>
      <c r="BV1811" s="882"/>
      <c r="BW1811" s="882"/>
      <c r="CF1811" s="882"/>
      <c r="CG1811" s="882"/>
      <c r="CH1811" s="882"/>
      <c r="CI1811" s="530"/>
    </row>
    <row r="1812">
      <c r="A1812" s="857"/>
      <c r="B1812" s="865" t="s">
        <v>675</v>
      </c>
      <c r="C1812" s="865" t="s">
        <v>591</v>
      </c>
      <c r="D1812" s="865" t="s">
        <v>645</v>
      </c>
      <c r="E1812" s="866">
        <v>2019.0</v>
      </c>
      <c r="F1812" s="865" t="s">
        <v>593</v>
      </c>
      <c r="G1812" s="865" t="s">
        <v>70</v>
      </c>
      <c r="H1812" s="867">
        <v>2.062352407E7</v>
      </c>
      <c r="I1812" s="867">
        <v>2.224298394E7</v>
      </c>
      <c r="J1812" s="868">
        <v>1.906011775E7</v>
      </c>
      <c r="K1812" s="50"/>
      <c r="L1812" s="869" t="s">
        <v>675</v>
      </c>
      <c r="M1812" s="865" t="s">
        <v>591</v>
      </c>
      <c r="N1812" s="865" t="s">
        <v>645</v>
      </c>
      <c r="O1812" s="866">
        <v>2004.0</v>
      </c>
      <c r="P1812" s="865" t="s">
        <v>593</v>
      </c>
      <c r="Q1812" s="865" t="s">
        <v>70</v>
      </c>
      <c r="R1812" s="867">
        <v>1.285989063E7</v>
      </c>
      <c r="S1812" s="867">
        <v>1.418959009E7</v>
      </c>
      <c r="T1812" s="868">
        <v>1.149282704E7</v>
      </c>
      <c r="AN1812" s="882"/>
      <c r="AO1812" s="882"/>
      <c r="AP1812" s="882"/>
      <c r="AY1812" s="882"/>
      <c r="AZ1812" s="882"/>
      <c r="BA1812" s="882"/>
      <c r="BJ1812" s="882"/>
      <c r="BK1812" s="882"/>
      <c r="BL1812" s="882"/>
      <c r="BU1812" s="882"/>
      <c r="BV1812" s="882"/>
      <c r="BW1812" s="882"/>
      <c r="CF1812" s="882"/>
      <c r="CG1812" s="882"/>
      <c r="CH1812" s="882"/>
      <c r="CI1812" s="530"/>
    </row>
    <row r="1813">
      <c r="A1813" s="857"/>
      <c r="B1813" s="865" t="s">
        <v>675</v>
      </c>
      <c r="C1813" s="865" t="s">
        <v>591</v>
      </c>
      <c r="D1813" s="865" t="s">
        <v>604</v>
      </c>
      <c r="E1813" s="866">
        <v>2019.0</v>
      </c>
      <c r="F1813" s="865" t="s">
        <v>593</v>
      </c>
      <c r="G1813" s="865" t="s">
        <v>70</v>
      </c>
      <c r="H1813" s="867">
        <v>5.66192936E7</v>
      </c>
      <c r="I1813" s="867">
        <v>6.106531714E7</v>
      </c>
      <c r="J1813" s="868">
        <v>5.232715803E7</v>
      </c>
      <c r="K1813" s="50"/>
      <c r="L1813" s="869" t="s">
        <v>675</v>
      </c>
      <c r="M1813" s="865" t="s">
        <v>591</v>
      </c>
      <c r="N1813" s="865" t="s">
        <v>604</v>
      </c>
      <c r="O1813" s="866">
        <v>2004.0</v>
      </c>
      <c r="P1813" s="865" t="s">
        <v>593</v>
      </c>
      <c r="Q1813" s="865" t="s">
        <v>70</v>
      </c>
      <c r="R1813" s="867">
        <v>4.139829015E7</v>
      </c>
      <c r="S1813" s="867">
        <v>4.567883074E7</v>
      </c>
      <c r="T1813" s="868">
        <v>3.69974677E7</v>
      </c>
      <c r="AN1813" s="882"/>
      <c r="AO1813" s="882"/>
      <c r="AP1813" s="882"/>
      <c r="AY1813" s="882"/>
      <c r="AZ1813" s="882"/>
      <c r="BA1813" s="882"/>
      <c r="BJ1813" s="882"/>
      <c r="BK1813" s="882"/>
      <c r="BL1813" s="882"/>
      <c r="BU1813" s="882"/>
      <c r="BV1813" s="882"/>
      <c r="BW1813" s="882"/>
      <c r="CF1813" s="882"/>
      <c r="CG1813" s="882"/>
      <c r="CH1813" s="882"/>
      <c r="CI1813" s="530"/>
    </row>
    <row r="1814">
      <c r="A1814" s="857"/>
      <c r="B1814" s="865" t="s">
        <v>675</v>
      </c>
      <c r="C1814" s="865" t="s">
        <v>591</v>
      </c>
      <c r="D1814" s="865" t="s">
        <v>647</v>
      </c>
      <c r="E1814" s="866">
        <v>2019.0</v>
      </c>
      <c r="F1814" s="865" t="s">
        <v>593</v>
      </c>
      <c r="G1814" s="865" t="s">
        <v>70</v>
      </c>
      <c r="H1814" s="867">
        <v>1.777893743E7</v>
      </c>
      <c r="I1814" s="867">
        <v>1.916171073E7</v>
      </c>
      <c r="J1814" s="868">
        <v>1.643251733E7</v>
      </c>
      <c r="K1814" s="50"/>
      <c r="L1814" s="869" t="s">
        <v>675</v>
      </c>
      <c r="M1814" s="865" t="s">
        <v>591</v>
      </c>
      <c r="N1814" s="865" t="s">
        <v>647</v>
      </c>
      <c r="O1814" s="866">
        <v>2004.0</v>
      </c>
      <c r="P1814" s="865" t="s">
        <v>593</v>
      </c>
      <c r="Q1814" s="865" t="s">
        <v>70</v>
      </c>
      <c r="R1814" s="867">
        <v>1.138706402E7</v>
      </c>
      <c r="S1814" s="867">
        <v>1.25558042E7</v>
      </c>
      <c r="T1814" s="868">
        <v>1.017757953E7</v>
      </c>
      <c r="AN1814" s="882"/>
      <c r="AO1814" s="882"/>
      <c r="AP1814" s="882"/>
      <c r="AY1814" s="882"/>
      <c r="AZ1814" s="882"/>
      <c r="BA1814" s="882"/>
      <c r="BJ1814" s="882"/>
      <c r="BK1814" s="882"/>
      <c r="BL1814" s="882"/>
      <c r="BU1814" s="882"/>
      <c r="BV1814" s="882"/>
      <c r="BW1814" s="882"/>
      <c r="CF1814" s="882"/>
      <c r="CG1814" s="882"/>
      <c r="CH1814" s="882"/>
      <c r="CI1814" s="530"/>
    </row>
    <row r="1815">
      <c r="A1815" s="857"/>
      <c r="B1815" s="865" t="s">
        <v>675</v>
      </c>
      <c r="C1815" s="865" t="s">
        <v>591</v>
      </c>
      <c r="D1815" s="865" t="s">
        <v>649</v>
      </c>
      <c r="E1815" s="866">
        <v>2019.0</v>
      </c>
      <c r="F1815" s="865" t="s">
        <v>593</v>
      </c>
      <c r="G1815" s="865" t="s">
        <v>70</v>
      </c>
      <c r="H1815" s="867">
        <v>5761588.484</v>
      </c>
      <c r="I1815" s="867">
        <v>6214016.56</v>
      </c>
      <c r="J1815" s="868">
        <v>5324820.074</v>
      </c>
      <c r="K1815" s="50"/>
      <c r="L1815" s="869" t="s">
        <v>675</v>
      </c>
      <c r="M1815" s="865" t="s">
        <v>591</v>
      </c>
      <c r="N1815" s="865" t="s">
        <v>649</v>
      </c>
      <c r="O1815" s="866">
        <v>2004.0</v>
      </c>
      <c r="P1815" s="865" t="s">
        <v>593</v>
      </c>
      <c r="Q1815" s="865" t="s">
        <v>70</v>
      </c>
      <c r="R1815" s="867">
        <v>3489292.666</v>
      </c>
      <c r="S1815" s="867">
        <v>3850081.936</v>
      </c>
      <c r="T1815" s="868">
        <v>3118365.33</v>
      </c>
      <c r="AN1815" s="882"/>
      <c r="AO1815" s="882"/>
      <c r="AP1815" s="882"/>
      <c r="AY1815" s="882"/>
      <c r="AZ1815" s="882"/>
      <c r="BA1815" s="882"/>
      <c r="BJ1815" s="882"/>
      <c r="BK1815" s="882"/>
      <c r="BL1815" s="882"/>
      <c r="BU1815" s="882"/>
      <c r="BV1815" s="882"/>
      <c r="BW1815" s="882"/>
      <c r="CF1815" s="882"/>
      <c r="CG1815" s="882"/>
      <c r="CH1815" s="882"/>
      <c r="CI1815" s="530"/>
    </row>
    <row r="1816">
      <c r="A1816" s="857"/>
      <c r="B1816" s="865" t="s">
        <v>675</v>
      </c>
      <c r="C1816" s="865" t="s">
        <v>591</v>
      </c>
      <c r="D1816" s="865" t="s">
        <v>651</v>
      </c>
      <c r="E1816" s="866">
        <v>2019.0</v>
      </c>
      <c r="F1816" s="865" t="s">
        <v>593</v>
      </c>
      <c r="G1816" s="865" t="s">
        <v>70</v>
      </c>
      <c r="H1816" s="867">
        <v>4354217.966</v>
      </c>
      <c r="I1816" s="867">
        <v>4696132.433</v>
      </c>
      <c r="J1816" s="868">
        <v>4024138.012</v>
      </c>
      <c r="K1816" s="50"/>
      <c r="L1816" s="869" t="s">
        <v>675</v>
      </c>
      <c r="M1816" s="865" t="s">
        <v>591</v>
      </c>
      <c r="N1816" s="865" t="s">
        <v>651</v>
      </c>
      <c r="O1816" s="866">
        <v>2004.0</v>
      </c>
      <c r="P1816" s="865" t="s">
        <v>593</v>
      </c>
      <c r="Q1816" s="865" t="s">
        <v>70</v>
      </c>
      <c r="R1816" s="867">
        <v>2756040.42</v>
      </c>
      <c r="S1816" s="867">
        <v>3041012.163</v>
      </c>
      <c r="T1816" s="868">
        <v>2463061.06</v>
      </c>
      <c r="AN1816" s="882"/>
      <c r="AO1816" s="882"/>
      <c r="AP1816" s="882"/>
      <c r="AY1816" s="882"/>
      <c r="AZ1816" s="882"/>
      <c r="BA1816" s="882"/>
      <c r="BJ1816" s="882"/>
      <c r="BK1816" s="882"/>
      <c r="BL1816" s="882"/>
      <c r="BU1816" s="882"/>
      <c r="BV1816" s="882"/>
      <c r="BW1816" s="882"/>
      <c r="CF1816" s="882"/>
      <c r="CG1816" s="882"/>
      <c r="CH1816" s="882"/>
      <c r="CI1816" s="530"/>
    </row>
    <row r="1817">
      <c r="A1817" s="857"/>
      <c r="B1817" s="865" t="s">
        <v>675</v>
      </c>
      <c r="C1817" s="865" t="s">
        <v>591</v>
      </c>
      <c r="D1817" s="865" t="s">
        <v>653</v>
      </c>
      <c r="E1817" s="866">
        <v>2019.0</v>
      </c>
      <c r="F1817" s="865" t="s">
        <v>593</v>
      </c>
      <c r="G1817" s="865" t="s">
        <v>70</v>
      </c>
      <c r="H1817" s="867">
        <v>3144692.365</v>
      </c>
      <c r="I1817" s="867">
        <v>3391628.972</v>
      </c>
      <c r="J1817" s="868">
        <v>2906302.849</v>
      </c>
      <c r="K1817" s="50"/>
      <c r="L1817" s="869" t="s">
        <v>675</v>
      </c>
      <c r="M1817" s="865" t="s">
        <v>591</v>
      </c>
      <c r="N1817" s="865" t="s">
        <v>653</v>
      </c>
      <c r="O1817" s="866">
        <v>2004.0</v>
      </c>
      <c r="P1817" s="865" t="s">
        <v>593</v>
      </c>
      <c r="Q1817" s="865" t="s">
        <v>70</v>
      </c>
      <c r="R1817" s="867">
        <v>2076773.263</v>
      </c>
      <c r="S1817" s="867">
        <v>2291509.481</v>
      </c>
      <c r="T1817" s="868">
        <v>1856003.025</v>
      </c>
      <c r="AN1817" s="882"/>
      <c r="AO1817" s="882"/>
      <c r="AP1817" s="882"/>
      <c r="AY1817" s="882"/>
      <c r="AZ1817" s="882"/>
      <c r="BA1817" s="882"/>
      <c r="BJ1817" s="882"/>
      <c r="BK1817" s="882"/>
      <c r="BL1817" s="882"/>
      <c r="BU1817" s="882"/>
      <c r="BV1817" s="882"/>
      <c r="BW1817" s="882"/>
      <c r="CF1817" s="882"/>
      <c r="CG1817" s="882"/>
      <c r="CH1817" s="882"/>
      <c r="CI1817" s="530"/>
    </row>
    <row r="1818">
      <c r="A1818" s="857"/>
      <c r="B1818" s="865" t="s">
        <v>675</v>
      </c>
      <c r="C1818" s="865" t="s">
        <v>591</v>
      </c>
      <c r="D1818" s="865" t="s">
        <v>655</v>
      </c>
      <c r="E1818" s="866">
        <v>2019.0</v>
      </c>
      <c r="F1818" s="865" t="s">
        <v>593</v>
      </c>
      <c r="G1818" s="865" t="s">
        <v>70</v>
      </c>
      <c r="H1818" s="867">
        <v>5248862.272</v>
      </c>
      <c r="I1818" s="867">
        <v>5657097.389</v>
      </c>
      <c r="J1818" s="868">
        <v>4851359.683</v>
      </c>
      <c r="K1818" s="50"/>
      <c r="L1818" s="869" t="s">
        <v>675</v>
      </c>
      <c r="M1818" s="865" t="s">
        <v>591</v>
      </c>
      <c r="N1818" s="865" t="s">
        <v>655</v>
      </c>
      <c r="O1818" s="866">
        <v>2004.0</v>
      </c>
      <c r="P1818" s="865" t="s">
        <v>593</v>
      </c>
      <c r="Q1818" s="865" t="s">
        <v>70</v>
      </c>
      <c r="R1818" s="867">
        <v>3501033.722</v>
      </c>
      <c r="S1818" s="867">
        <v>3860371.195</v>
      </c>
      <c r="T1818" s="868">
        <v>3129169.124</v>
      </c>
      <c r="AN1818" s="882"/>
      <c r="AO1818" s="882"/>
      <c r="AP1818" s="882"/>
      <c r="AY1818" s="882"/>
      <c r="AZ1818" s="882"/>
      <c r="BA1818" s="882"/>
      <c r="BJ1818" s="882"/>
      <c r="BK1818" s="882"/>
      <c r="BL1818" s="882"/>
      <c r="BU1818" s="882"/>
      <c r="BV1818" s="882"/>
      <c r="BW1818" s="882"/>
      <c r="CF1818" s="882"/>
      <c r="CG1818" s="882"/>
      <c r="CH1818" s="882"/>
      <c r="CI1818" s="530"/>
    </row>
    <row r="1819">
      <c r="A1819" s="857"/>
      <c r="B1819" s="865" t="s">
        <v>675</v>
      </c>
      <c r="C1819" s="865" t="s">
        <v>591</v>
      </c>
      <c r="D1819" s="865" t="s">
        <v>657</v>
      </c>
      <c r="E1819" s="866">
        <v>2019.0</v>
      </c>
      <c r="F1819" s="865" t="s">
        <v>593</v>
      </c>
      <c r="G1819" s="865" t="s">
        <v>70</v>
      </c>
      <c r="H1819" s="867">
        <v>2104646.415</v>
      </c>
      <c r="I1819" s="867">
        <v>2269913.534</v>
      </c>
      <c r="J1819" s="868">
        <v>1945099.604</v>
      </c>
      <c r="K1819" s="50"/>
      <c r="L1819" s="869" t="s">
        <v>675</v>
      </c>
      <c r="M1819" s="865" t="s">
        <v>591</v>
      </c>
      <c r="N1819" s="865" t="s">
        <v>657</v>
      </c>
      <c r="O1819" s="866">
        <v>2004.0</v>
      </c>
      <c r="P1819" s="865" t="s">
        <v>593</v>
      </c>
      <c r="Q1819" s="865" t="s">
        <v>70</v>
      </c>
      <c r="R1819" s="867">
        <v>1424646.411</v>
      </c>
      <c r="S1819" s="867">
        <v>1571953.383</v>
      </c>
      <c r="T1819" s="868">
        <v>1273200.158</v>
      </c>
      <c r="AN1819" s="882"/>
      <c r="AO1819" s="882"/>
      <c r="AP1819" s="882"/>
      <c r="AY1819" s="882"/>
      <c r="AZ1819" s="882"/>
      <c r="BA1819" s="882"/>
      <c r="BJ1819" s="882"/>
      <c r="BK1819" s="882"/>
      <c r="BL1819" s="882"/>
      <c r="BU1819" s="882"/>
      <c r="BV1819" s="882"/>
      <c r="BW1819" s="882"/>
      <c r="CF1819" s="882"/>
      <c r="CG1819" s="882"/>
      <c r="CH1819" s="882"/>
      <c r="CI1819" s="530"/>
    </row>
    <row r="1820">
      <c r="A1820" s="857"/>
      <c r="B1820" s="865" t="s">
        <v>675</v>
      </c>
      <c r="C1820" s="865" t="s">
        <v>591</v>
      </c>
      <c r="D1820" s="865" t="s">
        <v>659</v>
      </c>
      <c r="E1820" s="866">
        <v>2019.0</v>
      </c>
      <c r="F1820" s="865" t="s">
        <v>593</v>
      </c>
      <c r="G1820" s="865" t="s">
        <v>70</v>
      </c>
      <c r="H1820" s="867">
        <v>4520052.643</v>
      </c>
      <c r="I1820" s="867">
        <v>4874989.258</v>
      </c>
      <c r="J1820" s="868">
        <v>4177401.269</v>
      </c>
      <c r="K1820" s="50"/>
      <c r="L1820" s="869" t="s">
        <v>675</v>
      </c>
      <c r="M1820" s="865" t="s">
        <v>591</v>
      </c>
      <c r="N1820" s="865" t="s">
        <v>659</v>
      </c>
      <c r="O1820" s="866">
        <v>2004.0</v>
      </c>
      <c r="P1820" s="865" t="s">
        <v>593</v>
      </c>
      <c r="Q1820" s="865" t="s">
        <v>70</v>
      </c>
      <c r="R1820" s="867">
        <v>3066212.973</v>
      </c>
      <c r="S1820" s="867">
        <v>3383256.238</v>
      </c>
      <c r="T1820" s="868">
        <v>2740260.891</v>
      </c>
      <c r="AN1820" s="882"/>
      <c r="AO1820" s="882"/>
      <c r="AP1820" s="882"/>
      <c r="AY1820" s="882"/>
      <c r="AZ1820" s="882"/>
      <c r="BA1820" s="882"/>
      <c r="BJ1820" s="882"/>
      <c r="BK1820" s="882"/>
      <c r="BL1820" s="882"/>
      <c r="BU1820" s="882"/>
      <c r="BV1820" s="882"/>
      <c r="BW1820" s="882"/>
      <c r="CF1820" s="882"/>
      <c r="CG1820" s="882"/>
      <c r="CH1820" s="882"/>
      <c r="CI1820" s="530"/>
    </row>
    <row r="1821">
      <c r="A1821" s="857"/>
      <c r="B1821" s="865" t="s">
        <v>675</v>
      </c>
      <c r="C1821" s="865" t="s">
        <v>591</v>
      </c>
      <c r="D1821" s="865" t="s">
        <v>661</v>
      </c>
      <c r="E1821" s="866">
        <v>2019.0</v>
      </c>
      <c r="F1821" s="865" t="s">
        <v>593</v>
      </c>
      <c r="G1821" s="865" t="s">
        <v>70</v>
      </c>
      <c r="H1821" s="867">
        <v>2415186.97</v>
      </c>
      <c r="I1821" s="867">
        <v>2603030.369</v>
      </c>
      <c r="J1821" s="868">
        <v>2232281.985</v>
      </c>
      <c r="K1821" s="50"/>
      <c r="L1821" s="869" t="s">
        <v>675</v>
      </c>
      <c r="M1821" s="865" t="s">
        <v>591</v>
      </c>
      <c r="N1821" s="865" t="s">
        <v>661</v>
      </c>
      <c r="O1821" s="866">
        <v>2004.0</v>
      </c>
      <c r="P1821" s="865" t="s">
        <v>593</v>
      </c>
      <c r="Q1821" s="865" t="s">
        <v>70</v>
      </c>
      <c r="R1821" s="867">
        <v>1641385.617</v>
      </c>
      <c r="S1821" s="867">
        <v>1809853.391</v>
      </c>
      <c r="T1821" s="868">
        <v>1467044.764</v>
      </c>
      <c r="AN1821" s="882"/>
      <c r="AO1821" s="882"/>
      <c r="AP1821" s="882"/>
      <c r="AY1821" s="882"/>
      <c r="AZ1821" s="882"/>
      <c r="BA1821" s="882"/>
      <c r="BJ1821" s="882"/>
      <c r="BK1821" s="882"/>
      <c r="BL1821" s="882"/>
      <c r="BU1821" s="882"/>
      <c r="BV1821" s="882"/>
      <c r="BW1821" s="882"/>
      <c r="CF1821" s="882"/>
      <c r="CG1821" s="882"/>
      <c r="CH1821" s="882"/>
      <c r="CI1821" s="530"/>
    </row>
    <row r="1822">
      <c r="A1822" s="857"/>
      <c r="B1822" s="865" t="s">
        <v>675</v>
      </c>
      <c r="C1822" s="865" t="s">
        <v>591</v>
      </c>
      <c r="D1822" s="865" t="s">
        <v>663</v>
      </c>
      <c r="E1822" s="866">
        <v>2019.0</v>
      </c>
      <c r="F1822" s="865" t="s">
        <v>593</v>
      </c>
      <c r="G1822" s="865" t="s">
        <v>70</v>
      </c>
      <c r="H1822" s="867">
        <v>1323814.647</v>
      </c>
      <c r="I1822" s="867">
        <v>1427767.041</v>
      </c>
      <c r="J1822" s="868">
        <v>1223460.306</v>
      </c>
      <c r="K1822" s="50"/>
      <c r="L1822" s="869" t="s">
        <v>675</v>
      </c>
      <c r="M1822" s="865" t="s">
        <v>591</v>
      </c>
      <c r="N1822" s="865" t="s">
        <v>663</v>
      </c>
      <c r="O1822" s="866">
        <v>2004.0</v>
      </c>
      <c r="P1822" s="865" t="s">
        <v>593</v>
      </c>
      <c r="Q1822" s="865" t="s">
        <v>70</v>
      </c>
      <c r="R1822" s="867">
        <v>863983.1012</v>
      </c>
      <c r="S1822" s="867">
        <v>953318.0646</v>
      </c>
      <c r="T1822" s="868">
        <v>772137.8532</v>
      </c>
      <c r="AN1822" s="882"/>
      <c r="AO1822" s="882"/>
      <c r="AP1822" s="882"/>
      <c r="AY1822" s="882"/>
      <c r="AZ1822" s="882"/>
      <c r="BA1822" s="882"/>
      <c r="BJ1822" s="882"/>
      <c r="BK1822" s="882"/>
      <c r="BL1822" s="882"/>
      <c r="BU1822" s="882"/>
      <c r="BV1822" s="882"/>
      <c r="BW1822" s="882"/>
      <c r="CF1822" s="882"/>
      <c r="CG1822" s="882"/>
      <c r="CH1822" s="882"/>
      <c r="CI1822" s="530"/>
    </row>
    <row r="1823">
      <c r="A1823" s="857"/>
      <c r="B1823" s="865" t="s">
        <v>675</v>
      </c>
      <c r="C1823" s="865" t="s">
        <v>591</v>
      </c>
      <c r="D1823" s="865" t="s">
        <v>665</v>
      </c>
      <c r="E1823" s="866">
        <v>2019.0</v>
      </c>
      <c r="F1823" s="865" t="s">
        <v>593</v>
      </c>
      <c r="G1823" s="865" t="s">
        <v>70</v>
      </c>
      <c r="H1823" s="867">
        <v>2021851.801</v>
      </c>
      <c r="I1823" s="867">
        <v>2179103.194</v>
      </c>
      <c r="J1823" s="868">
        <v>1868734.557</v>
      </c>
      <c r="K1823" s="50"/>
      <c r="L1823" s="869" t="s">
        <v>675</v>
      </c>
      <c r="M1823" s="865" t="s">
        <v>591</v>
      </c>
      <c r="N1823" s="865" t="s">
        <v>665</v>
      </c>
      <c r="O1823" s="866">
        <v>2004.0</v>
      </c>
      <c r="P1823" s="865" t="s">
        <v>593</v>
      </c>
      <c r="Q1823" s="865" t="s">
        <v>70</v>
      </c>
      <c r="R1823" s="867">
        <v>1338963.967</v>
      </c>
      <c r="S1823" s="867">
        <v>1476391.929</v>
      </c>
      <c r="T1823" s="868">
        <v>1196745.029</v>
      </c>
      <c r="AN1823" s="882"/>
      <c r="AO1823" s="882"/>
      <c r="AP1823" s="882"/>
      <c r="AY1823" s="882"/>
      <c r="AZ1823" s="882"/>
      <c r="BA1823" s="882"/>
      <c r="BJ1823" s="882"/>
      <c r="BK1823" s="882"/>
      <c r="BL1823" s="882"/>
      <c r="BU1823" s="882"/>
      <c r="BV1823" s="882"/>
      <c r="BW1823" s="882"/>
      <c r="CF1823" s="882"/>
      <c r="CG1823" s="882"/>
      <c r="CH1823" s="882"/>
      <c r="CI1823" s="530"/>
    </row>
    <row r="1824">
      <c r="A1824" s="857"/>
      <c r="B1824" s="865" t="s">
        <v>675</v>
      </c>
      <c r="C1824" s="865" t="s">
        <v>591</v>
      </c>
      <c r="D1824" s="865" t="s">
        <v>667</v>
      </c>
      <c r="E1824" s="866">
        <v>2019.0</v>
      </c>
      <c r="F1824" s="865" t="s">
        <v>593</v>
      </c>
      <c r="G1824" s="865" t="s">
        <v>70</v>
      </c>
      <c r="H1824" s="867">
        <v>1091591.58</v>
      </c>
      <c r="I1824" s="867">
        <v>1177308.684</v>
      </c>
      <c r="J1824" s="868">
        <v>1008841.359</v>
      </c>
      <c r="K1824" s="50"/>
      <c r="L1824" s="869" t="s">
        <v>675</v>
      </c>
      <c r="M1824" s="865" t="s">
        <v>591</v>
      </c>
      <c r="N1824" s="865" t="s">
        <v>667</v>
      </c>
      <c r="O1824" s="866">
        <v>2004.0</v>
      </c>
      <c r="P1824" s="865" t="s">
        <v>593</v>
      </c>
      <c r="Q1824" s="865" t="s">
        <v>70</v>
      </c>
      <c r="R1824" s="867">
        <v>777583.4608</v>
      </c>
      <c r="S1824" s="867">
        <v>857984.7903</v>
      </c>
      <c r="T1824" s="868">
        <v>694922.879</v>
      </c>
      <c r="AN1824" s="882"/>
      <c r="AO1824" s="882"/>
      <c r="AP1824" s="882"/>
      <c r="AY1824" s="882"/>
      <c r="AZ1824" s="882"/>
      <c r="BA1824" s="882"/>
      <c r="BJ1824" s="882"/>
      <c r="BK1824" s="882"/>
      <c r="BL1824" s="882"/>
      <c r="BU1824" s="882"/>
      <c r="BV1824" s="882"/>
      <c r="BW1824" s="882"/>
      <c r="CF1824" s="882"/>
      <c r="CG1824" s="882"/>
      <c r="CH1824" s="882"/>
      <c r="CI1824" s="530"/>
    </row>
    <row r="1825">
      <c r="A1825" s="857"/>
      <c r="B1825" s="865" t="s">
        <v>675</v>
      </c>
      <c r="C1825" s="865" t="s">
        <v>591</v>
      </c>
      <c r="D1825" s="865" t="s">
        <v>669</v>
      </c>
      <c r="E1825" s="866">
        <v>2019.0</v>
      </c>
      <c r="F1825" s="865" t="s">
        <v>593</v>
      </c>
      <c r="G1825" s="865" t="s">
        <v>70</v>
      </c>
      <c r="H1825" s="867">
        <v>698220.7033</v>
      </c>
      <c r="I1825" s="867">
        <v>753048.404</v>
      </c>
      <c r="J1825" s="868">
        <v>645290.7261</v>
      </c>
      <c r="K1825" s="50"/>
      <c r="L1825" s="869" t="s">
        <v>675</v>
      </c>
      <c r="M1825" s="865" t="s">
        <v>591</v>
      </c>
      <c r="N1825" s="865" t="s">
        <v>669</v>
      </c>
      <c r="O1825" s="866">
        <v>2004.0</v>
      </c>
      <c r="P1825" s="865" t="s">
        <v>593</v>
      </c>
      <c r="Q1825" s="865" t="s">
        <v>70</v>
      </c>
      <c r="R1825" s="867">
        <v>475128.4725</v>
      </c>
      <c r="S1825" s="867">
        <v>524256.2675</v>
      </c>
      <c r="T1825" s="868">
        <v>424620.2018</v>
      </c>
      <c r="AN1825" s="882"/>
      <c r="AO1825" s="882"/>
      <c r="AP1825" s="882"/>
      <c r="AY1825" s="882"/>
      <c r="AZ1825" s="882"/>
      <c r="BA1825" s="882"/>
      <c r="BJ1825" s="882"/>
      <c r="BK1825" s="882"/>
      <c r="BL1825" s="882"/>
      <c r="BU1825" s="882"/>
      <c r="BV1825" s="882"/>
      <c r="BW1825" s="882"/>
      <c r="CF1825" s="882"/>
      <c r="CG1825" s="882"/>
      <c r="CH1825" s="882"/>
      <c r="CI1825" s="530"/>
    </row>
    <row r="1826">
      <c r="A1826" s="857"/>
      <c r="B1826" s="865" t="s">
        <v>675</v>
      </c>
      <c r="C1826" s="865" t="s">
        <v>591</v>
      </c>
      <c r="D1826" s="865" t="s">
        <v>671</v>
      </c>
      <c r="E1826" s="866">
        <v>2019.0</v>
      </c>
      <c r="F1826" s="865" t="s">
        <v>593</v>
      </c>
      <c r="G1826" s="865" t="s">
        <v>70</v>
      </c>
      <c r="H1826" s="867">
        <v>393335.1686</v>
      </c>
      <c r="I1826" s="867">
        <v>423927.1751</v>
      </c>
      <c r="J1826" s="868">
        <v>363547.428</v>
      </c>
      <c r="K1826" s="50"/>
      <c r="L1826" s="869" t="s">
        <v>675</v>
      </c>
      <c r="M1826" s="865" t="s">
        <v>591</v>
      </c>
      <c r="N1826" s="865" t="s">
        <v>671</v>
      </c>
      <c r="O1826" s="866">
        <v>2004.0</v>
      </c>
      <c r="P1826" s="865" t="s">
        <v>593</v>
      </c>
      <c r="Q1826" s="865" t="s">
        <v>70</v>
      </c>
      <c r="R1826" s="867">
        <v>302421.6495</v>
      </c>
      <c r="S1826" s="867">
        <v>333461.4622</v>
      </c>
      <c r="T1826" s="868">
        <v>270299.7351</v>
      </c>
      <c r="AN1826" s="882"/>
      <c r="AO1826" s="882"/>
      <c r="AP1826" s="882"/>
      <c r="AY1826" s="882"/>
      <c r="AZ1826" s="882"/>
      <c r="BA1826" s="882"/>
      <c r="BJ1826" s="882"/>
      <c r="BK1826" s="882"/>
      <c r="BL1826" s="882"/>
      <c r="BU1826" s="882"/>
      <c r="BV1826" s="882"/>
      <c r="BW1826" s="882"/>
      <c r="CF1826" s="882"/>
      <c r="CG1826" s="882"/>
      <c r="CH1826" s="882"/>
      <c r="CI1826" s="530"/>
    </row>
    <row r="1827">
      <c r="A1827" s="857"/>
      <c r="B1827" s="865" t="s">
        <v>675</v>
      </c>
      <c r="C1827" s="865" t="s">
        <v>591</v>
      </c>
      <c r="D1827" s="865" t="s">
        <v>673</v>
      </c>
      <c r="E1827" s="866">
        <v>2019.0</v>
      </c>
      <c r="F1827" s="865" t="s">
        <v>593</v>
      </c>
      <c r="G1827" s="865" t="s">
        <v>70</v>
      </c>
      <c r="H1827" s="867">
        <v>285159.0269</v>
      </c>
      <c r="I1827" s="867">
        <v>307551.1068</v>
      </c>
      <c r="J1827" s="868">
        <v>263541.9927</v>
      </c>
      <c r="K1827" s="50"/>
      <c r="L1827" s="869" t="s">
        <v>675</v>
      </c>
      <c r="M1827" s="865" t="s">
        <v>591</v>
      </c>
      <c r="N1827" s="865" t="s">
        <v>673</v>
      </c>
      <c r="O1827" s="866">
        <v>2004.0</v>
      </c>
      <c r="P1827" s="865" t="s">
        <v>593</v>
      </c>
      <c r="Q1827" s="865" t="s">
        <v>70</v>
      </c>
      <c r="R1827" s="867">
        <v>213073.8699</v>
      </c>
      <c r="S1827" s="867">
        <v>235105.4888</v>
      </c>
      <c r="T1827" s="868">
        <v>190423.1695</v>
      </c>
      <c r="AN1827" s="882"/>
      <c r="AO1827" s="882"/>
      <c r="AP1827" s="882"/>
      <c r="AY1827" s="882"/>
      <c r="AZ1827" s="882"/>
      <c r="BA1827" s="882"/>
      <c r="BJ1827" s="882"/>
      <c r="BK1827" s="882"/>
      <c r="BL1827" s="882"/>
      <c r="BU1827" s="882"/>
      <c r="BV1827" s="882"/>
      <c r="BW1827" s="882"/>
      <c r="CF1827" s="882"/>
      <c r="CG1827" s="882"/>
      <c r="CH1827" s="882"/>
      <c r="CI1827" s="530"/>
    </row>
    <row r="1828">
      <c r="A1828" s="857"/>
      <c r="B1828" s="865" t="s">
        <v>675</v>
      </c>
      <c r="C1828" s="865" t="s">
        <v>591</v>
      </c>
      <c r="D1828" s="865" t="s">
        <v>674</v>
      </c>
      <c r="E1828" s="866">
        <v>2019.0</v>
      </c>
      <c r="F1828" s="865" t="s">
        <v>593</v>
      </c>
      <c r="G1828" s="865" t="s">
        <v>70</v>
      </c>
      <c r="H1828" s="867">
        <v>87844.77165</v>
      </c>
      <c r="I1828" s="867">
        <v>94742.77228</v>
      </c>
      <c r="J1828" s="868">
        <v>81185.52804</v>
      </c>
      <c r="K1828" s="50"/>
      <c r="L1828" s="869" t="s">
        <v>675</v>
      </c>
      <c r="M1828" s="865" t="s">
        <v>591</v>
      </c>
      <c r="N1828" s="865" t="s">
        <v>674</v>
      </c>
      <c r="O1828" s="866">
        <v>2004.0</v>
      </c>
      <c r="P1828" s="865" t="s">
        <v>593</v>
      </c>
      <c r="Q1828" s="865" t="s">
        <v>70</v>
      </c>
      <c r="R1828" s="867">
        <v>72204.64063</v>
      </c>
      <c r="S1828" s="867">
        <v>79670.52615</v>
      </c>
      <c r="T1828" s="868">
        <v>64528.96605</v>
      </c>
      <c r="AN1828" s="882"/>
      <c r="AO1828" s="882"/>
      <c r="AP1828" s="882"/>
      <c r="AY1828" s="882"/>
      <c r="AZ1828" s="882"/>
      <c r="BA1828" s="882"/>
      <c r="BJ1828" s="882"/>
      <c r="BK1828" s="882"/>
      <c r="BL1828" s="882"/>
      <c r="BU1828" s="882"/>
      <c r="BV1828" s="882"/>
      <c r="BW1828" s="882"/>
      <c r="CF1828" s="882"/>
      <c r="CG1828" s="882"/>
      <c r="CH1828" s="882"/>
      <c r="CI1828" s="530"/>
    </row>
    <row r="1829">
      <c r="A1829" s="857"/>
      <c r="B1829" s="865" t="s">
        <v>675</v>
      </c>
      <c r="C1829" s="865" t="s">
        <v>591</v>
      </c>
      <c r="D1829" s="865" t="s">
        <v>676</v>
      </c>
      <c r="E1829" s="866">
        <v>2019.0</v>
      </c>
      <c r="F1829" s="865" t="s">
        <v>593</v>
      </c>
      <c r="G1829" s="865" t="s">
        <v>70</v>
      </c>
      <c r="H1829" s="867">
        <v>20367.07825</v>
      </c>
      <c r="I1829" s="867">
        <v>21966.40074</v>
      </c>
      <c r="J1829" s="868">
        <v>18823.11231</v>
      </c>
      <c r="K1829" s="50"/>
      <c r="L1829" s="869" t="s">
        <v>675</v>
      </c>
      <c r="M1829" s="865" t="s">
        <v>591</v>
      </c>
      <c r="N1829" s="865" t="s">
        <v>676</v>
      </c>
      <c r="O1829" s="866">
        <v>2004.0</v>
      </c>
      <c r="P1829" s="865" t="s">
        <v>593</v>
      </c>
      <c r="Q1829" s="865" t="s">
        <v>70</v>
      </c>
      <c r="R1829" s="867">
        <v>17176.47768</v>
      </c>
      <c r="S1829" s="867">
        <v>18952.50779</v>
      </c>
      <c r="T1829" s="868">
        <v>15350.54167</v>
      </c>
      <c r="AN1829" s="882"/>
      <c r="AO1829" s="882"/>
      <c r="AP1829" s="882"/>
      <c r="AY1829" s="882"/>
      <c r="AZ1829" s="882"/>
      <c r="BA1829" s="882"/>
      <c r="BJ1829" s="882"/>
      <c r="BK1829" s="882"/>
      <c r="BL1829" s="882"/>
      <c r="BU1829" s="882"/>
      <c r="BV1829" s="882"/>
      <c r="BW1829" s="882"/>
      <c r="CF1829" s="882"/>
      <c r="CG1829" s="882"/>
      <c r="CH1829" s="882"/>
      <c r="CI1829" s="530"/>
    </row>
    <row r="1830">
      <c r="A1830" s="857"/>
      <c r="B1830" s="865" t="s">
        <v>675</v>
      </c>
      <c r="C1830" s="865" t="s">
        <v>591</v>
      </c>
      <c r="D1830" s="865" t="s">
        <v>678</v>
      </c>
      <c r="E1830" s="866">
        <v>2019.0</v>
      </c>
      <c r="F1830" s="865" t="s">
        <v>593</v>
      </c>
      <c r="G1830" s="865" t="s">
        <v>70</v>
      </c>
      <c r="H1830" s="867">
        <v>2.240628468E8</v>
      </c>
      <c r="I1830" s="867">
        <v>2.416573561E8</v>
      </c>
      <c r="J1830" s="868">
        <v>2.070773273E8</v>
      </c>
      <c r="K1830" s="50"/>
      <c r="L1830" s="869" t="s">
        <v>675</v>
      </c>
      <c r="M1830" s="865" t="s">
        <v>591</v>
      </c>
      <c r="N1830" s="865" t="s">
        <v>678</v>
      </c>
      <c r="O1830" s="866">
        <v>2004.0</v>
      </c>
      <c r="P1830" s="865" t="s">
        <v>593</v>
      </c>
      <c r="Q1830" s="865" t="s">
        <v>70</v>
      </c>
      <c r="R1830" s="867">
        <v>1.573442839E8</v>
      </c>
      <c r="S1830" s="867">
        <v>1.736135209E8</v>
      </c>
      <c r="T1830" s="868">
        <v>1.406178864E8</v>
      </c>
      <c r="AN1830" s="882"/>
      <c r="AO1830" s="882"/>
      <c r="AP1830" s="882"/>
      <c r="AY1830" s="882"/>
      <c r="AZ1830" s="882"/>
      <c r="BA1830" s="882"/>
      <c r="BJ1830" s="882"/>
      <c r="BK1830" s="882"/>
      <c r="BL1830" s="882"/>
      <c r="BU1830" s="882"/>
      <c r="BV1830" s="882"/>
      <c r="BW1830" s="882"/>
      <c r="CF1830" s="882"/>
      <c r="CG1830" s="882"/>
      <c r="CH1830" s="882"/>
      <c r="CI1830" s="530"/>
    </row>
    <row r="1831">
      <c r="A1831" s="857"/>
      <c r="B1831" s="865" t="s">
        <v>675</v>
      </c>
      <c r="C1831" s="865" t="s">
        <v>591</v>
      </c>
      <c r="D1831" s="865" t="s">
        <v>680</v>
      </c>
      <c r="E1831" s="866">
        <v>2019.0</v>
      </c>
      <c r="F1831" s="865" t="s">
        <v>593</v>
      </c>
      <c r="G1831" s="865" t="s">
        <v>70</v>
      </c>
      <c r="H1831" s="867">
        <v>6686022.748</v>
      </c>
      <c r="I1831" s="867">
        <v>7548104.407</v>
      </c>
      <c r="J1831" s="868">
        <v>5941982.169</v>
      </c>
      <c r="K1831" s="50"/>
      <c r="L1831" s="869" t="s">
        <v>675</v>
      </c>
      <c r="M1831" s="865" t="s">
        <v>591</v>
      </c>
      <c r="N1831" s="865" t="s">
        <v>680</v>
      </c>
      <c r="O1831" s="866">
        <v>2004.0</v>
      </c>
      <c r="P1831" s="865" t="s">
        <v>593</v>
      </c>
      <c r="Q1831" s="865" t="s">
        <v>70</v>
      </c>
      <c r="R1831" s="867">
        <v>6307548.355</v>
      </c>
      <c r="S1831" s="867">
        <v>6628624.503</v>
      </c>
      <c r="T1831" s="868">
        <v>6003728.734</v>
      </c>
      <c r="AN1831" s="882"/>
      <c r="AO1831" s="882"/>
      <c r="AP1831" s="882"/>
      <c r="AY1831" s="882"/>
      <c r="AZ1831" s="882"/>
      <c r="BA1831" s="882"/>
      <c r="BJ1831" s="882"/>
      <c r="BK1831" s="882"/>
      <c r="BL1831" s="882"/>
      <c r="BU1831" s="882"/>
      <c r="BV1831" s="882"/>
      <c r="BW1831" s="882"/>
      <c r="CF1831" s="882"/>
      <c r="CG1831" s="882"/>
      <c r="CH1831" s="882"/>
      <c r="CI1831" s="530"/>
    </row>
    <row r="1832">
      <c r="A1832" s="857"/>
      <c r="B1832" s="865" t="s">
        <v>675</v>
      </c>
      <c r="C1832" s="865" t="s">
        <v>591</v>
      </c>
      <c r="D1832" s="865" t="s">
        <v>682</v>
      </c>
      <c r="E1832" s="866">
        <v>2019.0</v>
      </c>
      <c r="F1832" s="865" t="s">
        <v>593</v>
      </c>
      <c r="G1832" s="865" t="s">
        <v>70</v>
      </c>
      <c r="H1832" s="867">
        <v>126569.498</v>
      </c>
      <c r="I1832" s="867">
        <v>136508.3534</v>
      </c>
      <c r="J1832" s="868">
        <v>116974.6513</v>
      </c>
      <c r="K1832" s="50"/>
      <c r="L1832" s="869" t="s">
        <v>675</v>
      </c>
      <c r="M1832" s="865" t="s">
        <v>591</v>
      </c>
      <c r="N1832" s="865" t="s">
        <v>682</v>
      </c>
      <c r="O1832" s="866">
        <v>2004.0</v>
      </c>
      <c r="P1832" s="865" t="s">
        <v>593</v>
      </c>
      <c r="Q1832" s="865" t="s">
        <v>70</v>
      </c>
      <c r="R1832" s="867">
        <v>118850.226</v>
      </c>
      <c r="S1832" s="867">
        <v>131139.217</v>
      </c>
      <c r="T1832" s="868">
        <v>106215.9181</v>
      </c>
      <c r="AN1832" s="882"/>
      <c r="AO1832" s="882"/>
      <c r="AP1832" s="882"/>
      <c r="AY1832" s="882"/>
      <c r="AZ1832" s="882"/>
      <c r="BA1832" s="882"/>
      <c r="BJ1832" s="882"/>
      <c r="BK1832" s="882"/>
      <c r="BL1832" s="882"/>
      <c r="BU1832" s="882"/>
      <c r="BV1832" s="882"/>
      <c r="BW1832" s="882"/>
      <c r="CF1832" s="882"/>
      <c r="CG1832" s="882"/>
      <c r="CH1832" s="882"/>
      <c r="CI1832" s="530"/>
    </row>
    <row r="1833">
      <c r="A1833" s="857"/>
      <c r="B1833" s="865" t="s">
        <v>675</v>
      </c>
      <c r="C1833" s="865" t="s">
        <v>591</v>
      </c>
      <c r="D1833" s="865" t="s">
        <v>684</v>
      </c>
      <c r="E1833" s="866">
        <v>2019.0</v>
      </c>
      <c r="F1833" s="865" t="s">
        <v>593</v>
      </c>
      <c r="G1833" s="865" t="s">
        <v>70</v>
      </c>
      <c r="H1833" s="867">
        <v>371390.1557</v>
      </c>
      <c r="I1833" s="867">
        <v>400553.5251</v>
      </c>
      <c r="J1833" s="868">
        <v>343236.2033</v>
      </c>
      <c r="K1833" s="50"/>
      <c r="L1833" s="869" t="s">
        <v>675</v>
      </c>
      <c r="M1833" s="865" t="s">
        <v>591</v>
      </c>
      <c r="N1833" s="865" t="s">
        <v>684</v>
      </c>
      <c r="O1833" s="866">
        <v>2004.0</v>
      </c>
      <c r="P1833" s="865" t="s">
        <v>593</v>
      </c>
      <c r="Q1833" s="865" t="s">
        <v>70</v>
      </c>
      <c r="R1833" s="867">
        <v>346868.5718</v>
      </c>
      <c r="S1833" s="867">
        <v>382734.4251</v>
      </c>
      <c r="T1833" s="868">
        <v>309994.8992</v>
      </c>
      <c r="AN1833" s="882"/>
      <c r="AO1833" s="882"/>
      <c r="AP1833" s="882"/>
      <c r="AY1833" s="882"/>
      <c r="AZ1833" s="882"/>
      <c r="BA1833" s="882"/>
      <c r="BJ1833" s="882"/>
      <c r="BK1833" s="882"/>
      <c r="BL1833" s="882"/>
      <c r="BU1833" s="882"/>
      <c r="BV1833" s="882"/>
      <c r="BW1833" s="882"/>
      <c r="CF1833" s="882"/>
      <c r="CG1833" s="882"/>
      <c r="CH1833" s="882"/>
      <c r="CI1833" s="530"/>
    </row>
    <row r="1834">
      <c r="A1834" s="857"/>
      <c r="B1834" s="865" t="s">
        <v>675</v>
      </c>
      <c r="C1834" s="865" t="s">
        <v>591</v>
      </c>
      <c r="D1834" s="865" t="s">
        <v>686</v>
      </c>
      <c r="E1834" s="866">
        <v>2019.0</v>
      </c>
      <c r="F1834" s="865" t="s">
        <v>593</v>
      </c>
      <c r="G1834" s="865" t="s">
        <v>70</v>
      </c>
      <c r="H1834" s="867">
        <v>497959.6537</v>
      </c>
      <c r="I1834" s="867">
        <v>537061.8785</v>
      </c>
      <c r="J1834" s="868">
        <v>460210.8546</v>
      </c>
      <c r="K1834" s="50"/>
      <c r="L1834" s="869" t="s">
        <v>675</v>
      </c>
      <c r="M1834" s="865" t="s">
        <v>591</v>
      </c>
      <c r="N1834" s="865" t="s">
        <v>686</v>
      </c>
      <c r="O1834" s="866">
        <v>2004.0</v>
      </c>
      <c r="P1834" s="865" t="s">
        <v>593</v>
      </c>
      <c r="Q1834" s="865" t="s">
        <v>70</v>
      </c>
      <c r="R1834" s="867">
        <v>465718.7978</v>
      </c>
      <c r="S1834" s="867">
        <v>513873.6421</v>
      </c>
      <c r="T1834" s="868">
        <v>416210.8173</v>
      </c>
      <c r="AN1834" s="882"/>
      <c r="AO1834" s="882"/>
      <c r="AP1834" s="882"/>
      <c r="AY1834" s="882"/>
      <c r="AZ1834" s="882"/>
      <c r="BA1834" s="882"/>
      <c r="BJ1834" s="882"/>
      <c r="BK1834" s="882"/>
      <c r="BL1834" s="882"/>
      <c r="BU1834" s="882"/>
      <c r="BV1834" s="882"/>
      <c r="BW1834" s="882"/>
      <c r="CF1834" s="882"/>
      <c r="CG1834" s="882"/>
      <c r="CH1834" s="882"/>
      <c r="CI1834" s="530"/>
    </row>
    <row r="1835">
      <c r="A1835" s="857"/>
      <c r="B1835" s="865" t="s">
        <v>675</v>
      </c>
      <c r="C1835" s="865" t="s">
        <v>591</v>
      </c>
      <c r="D1835" s="865" t="s">
        <v>688</v>
      </c>
      <c r="E1835" s="866">
        <v>2019.0</v>
      </c>
      <c r="F1835" s="865" t="s">
        <v>593</v>
      </c>
      <c r="G1835" s="865" t="s">
        <v>70</v>
      </c>
      <c r="H1835" s="867">
        <v>5836755.124</v>
      </c>
      <c r="I1835" s="867">
        <v>6295085.651</v>
      </c>
      <c r="J1835" s="868">
        <v>5394288.56</v>
      </c>
      <c r="K1835" s="50"/>
      <c r="L1835" s="869" t="s">
        <v>675</v>
      </c>
      <c r="M1835" s="865" t="s">
        <v>591</v>
      </c>
      <c r="N1835" s="865" t="s">
        <v>688</v>
      </c>
      <c r="O1835" s="866">
        <v>2004.0</v>
      </c>
      <c r="P1835" s="865" t="s">
        <v>593</v>
      </c>
      <c r="Q1835" s="865" t="s">
        <v>70</v>
      </c>
      <c r="R1835" s="867">
        <v>5454309.496</v>
      </c>
      <c r="S1835" s="867">
        <v>6018279.484</v>
      </c>
      <c r="T1835" s="868">
        <v>4874492.128</v>
      </c>
      <c r="AN1835" s="882"/>
      <c r="AO1835" s="882"/>
      <c r="AP1835" s="882"/>
      <c r="AY1835" s="882"/>
      <c r="AZ1835" s="882"/>
      <c r="BA1835" s="882"/>
      <c r="BJ1835" s="882"/>
      <c r="BK1835" s="882"/>
      <c r="BL1835" s="882"/>
      <c r="BU1835" s="882"/>
      <c r="BV1835" s="882"/>
      <c r="BW1835" s="882"/>
      <c r="CF1835" s="882"/>
      <c r="CG1835" s="882"/>
      <c r="CH1835" s="882"/>
      <c r="CI1835" s="530"/>
    </row>
    <row r="1836">
      <c r="A1836" s="857"/>
      <c r="B1836" s="865" t="s">
        <v>675</v>
      </c>
      <c r="C1836" s="865" t="s">
        <v>591</v>
      </c>
      <c r="D1836" s="865" t="s">
        <v>689</v>
      </c>
      <c r="E1836" s="866">
        <v>2019.0</v>
      </c>
      <c r="F1836" s="865" t="s">
        <v>593</v>
      </c>
      <c r="G1836" s="865" t="s">
        <v>70</v>
      </c>
      <c r="H1836" s="867">
        <v>3.052648303E7</v>
      </c>
      <c r="I1836" s="867">
        <v>3.292357161E7</v>
      </c>
      <c r="J1836" s="868">
        <v>2.821236366E7</v>
      </c>
      <c r="K1836" s="50"/>
      <c r="L1836" s="869" t="s">
        <v>675</v>
      </c>
      <c r="M1836" s="865" t="s">
        <v>591</v>
      </c>
      <c r="N1836" s="865" t="s">
        <v>689</v>
      </c>
      <c r="O1836" s="866">
        <v>2004.0</v>
      </c>
      <c r="P1836" s="865" t="s">
        <v>593</v>
      </c>
      <c r="Q1836" s="865" t="s">
        <v>70</v>
      </c>
      <c r="R1836" s="867">
        <v>2.732207682E7</v>
      </c>
      <c r="S1836" s="867">
        <v>3.014715144E7</v>
      </c>
      <c r="T1836" s="868">
        <v>2.441761848E7</v>
      </c>
      <c r="AN1836" s="882"/>
      <c r="AO1836" s="882"/>
      <c r="AP1836" s="882"/>
      <c r="AY1836" s="882"/>
      <c r="AZ1836" s="882"/>
      <c r="BA1836" s="882"/>
      <c r="BJ1836" s="882"/>
      <c r="BK1836" s="882"/>
      <c r="BL1836" s="882"/>
      <c r="BU1836" s="882"/>
      <c r="BV1836" s="882"/>
      <c r="BW1836" s="882"/>
      <c r="CF1836" s="882"/>
      <c r="CG1836" s="882"/>
      <c r="CH1836" s="882"/>
      <c r="CI1836" s="530"/>
    </row>
    <row r="1837">
      <c r="A1837" s="857"/>
      <c r="B1837" s="865" t="s">
        <v>677</v>
      </c>
      <c r="C1837" s="865" t="s">
        <v>591</v>
      </c>
      <c r="D1837" s="865" t="s">
        <v>592</v>
      </c>
      <c r="E1837" s="866">
        <v>2019.0</v>
      </c>
      <c r="F1837" s="865" t="s">
        <v>593</v>
      </c>
      <c r="G1837" s="865" t="s">
        <v>70</v>
      </c>
      <c r="H1837" s="867">
        <v>339198.6328</v>
      </c>
      <c r="I1837" s="867">
        <v>376307.3104</v>
      </c>
      <c r="J1837" s="868">
        <v>303272.4702</v>
      </c>
      <c r="K1837" s="50"/>
      <c r="L1837" s="869" t="s">
        <v>677</v>
      </c>
      <c r="M1837" s="865" t="s">
        <v>591</v>
      </c>
      <c r="N1837" s="865" t="s">
        <v>592</v>
      </c>
      <c r="O1837" s="866">
        <v>2004.0</v>
      </c>
      <c r="P1837" s="865" t="s">
        <v>593</v>
      </c>
      <c r="Q1837" s="865" t="s">
        <v>70</v>
      </c>
      <c r="R1837" s="867">
        <v>318005.9271</v>
      </c>
      <c r="S1837" s="867">
        <v>342403.4175</v>
      </c>
      <c r="T1837" s="868">
        <v>293641.9884</v>
      </c>
      <c r="AN1837" s="882"/>
      <c r="AO1837" s="882"/>
      <c r="AP1837" s="882"/>
      <c r="AY1837" s="882"/>
      <c r="AZ1837" s="882"/>
      <c r="BA1837" s="882"/>
      <c r="BJ1837" s="882"/>
      <c r="BK1837" s="882"/>
      <c r="BL1837" s="882"/>
      <c r="BU1837" s="882"/>
      <c r="BV1837" s="882"/>
      <c r="BW1837" s="882"/>
      <c r="CF1837" s="882"/>
      <c r="CG1837" s="882"/>
      <c r="CH1837" s="882"/>
      <c r="CI1837" s="530"/>
    </row>
    <row r="1838">
      <c r="A1838" s="857"/>
      <c r="B1838" s="865" t="s">
        <v>677</v>
      </c>
      <c r="C1838" s="865" t="s">
        <v>591</v>
      </c>
      <c r="D1838" s="865" t="s">
        <v>601</v>
      </c>
      <c r="E1838" s="866">
        <v>2019.0</v>
      </c>
      <c r="F1838" s="865" t="s">
        <v>593</v>
      </c>
      <c r="G1838" s="865" t="s">
        <v>70</v>
      </c>
      <c r="H1838" s="867">
        <v>6250246.719</v>
      </c>
      <c r="I1838" s="867">
        <v>6934030.108</v>
      </c>
      <c r="J1838" s="868">
        <v>5588252.954</v>
      </c>
      <c r="K1838" s="50"/>
      <c r="L1838" s="869" t="s">
        <v>677</v>
      </c>
      <c r="M1838" s="865" t="s">
        <v>591</v>
      </c>
      <c r="N1838" s="865" t="s">
        <v>601</v>
      </c>
      <c r="O1838" s="866">
        <v>2004.0</v>
      </c>
      <c r="P1838" s="865" t="s">
        <v>593</v>
      </c>
      <c r="Q1838" s="865" t="s">
        <v>70</v>
      </c>
      <c r="R1838" s="867">
        <v>4966647.631</v>
      </c>
      <c r="S1838" s="867">
        <v>5347690.019</v>
      </c>
      <c r="T1838" s="868">
        <v>4586129.257</v>
      </c>
      <c r="AN1838" s="882"/>
      <c r="AO1838" s="882"/>
      <c r="AP1838" s="882"/>
      <c r="AY1838" s="882"/>
      <c r="AZ1838" s="882"/>
      <c r="BA1838" s="882"/>
      <c r="BJ1838" s="882"/>
      <c r="BK1838" s="882"/>
      <c r="BL1838" s="882"/>
      <c r="BU1838" s="882"/>
      <c r="BV1838" s="882"/>
      <c r="BW1838" s="882"/>
      <c r="CF1838" s="882"/>
      <c r="CG1838" s="882"/>
      <c r="CH1838" s="882"/>
      <c r="CI1838" s="530"/>
    </row>
    <row r="1839">
      <c r="A1839" s="857"/>
      <c r="B1839" s="865" t="s">
        <v>677</v>
      </c>
      <c r="C1839" s="865" t="s">
        <v>591</v>
      </c>
      <c r="D1839" s="865" t="s">
        <v>606</v>
      </c>
      <c r="E1839" s="866">
        <v>2019.0</v>
      </c>
      <c r="F1839" s="865" t="s">
        <v>593</v>
      </c>
      <c r="G1839" s="865" t="s">
        <v>70</v>
      </c>
      <c r="H1839" s="867">
        <v>4843632.288</v>
      </c>
      <c r="I1839" s="867">
        <v>5373530.619</v>
      </c>
      <c r="J1839" s="868">
        <v>4330619.84</v>
      </c>
      <c r="K1839" s="50"/>
      <c r="L1839" s="869" t="s">
        <v>677</v>
      </c>
      <c r="M1839" s="865" t="s">
        <v>591</v>
      </c>
      <c r="N1839" s="865" t="s">
        <v>606</v>
      </c>
      <c r="O1839" s="866">
        <v>2004.0</v>
      </c>
      <c r="P1839" s="865" t="s">
        <v>593</v>
      </c>
      <c r="Q1839" s="865" t="s">
        <v>70</v>
      </c>
      <c r="R1839" s="867">
        <v>3845176.659</v>
      </c>
      <c r="S1839" s="867">
        <v>4140179.526</v>
      </c>
      <c r="T1839" s="868">
        <v>3550579.482</v>
      </c>
      <c r="AN1839" s="882"/>
      <c r="AO1839" s="882"/>
      <c r="AP1839" s="882"/>
      <c r="AY1839" s="882"/>
      <c r="AZ1839" s="882"/>
      <c r="BA1839" s="882"/>
      <c r="BJ1839" s="882"/>
      <c r="BK1839" s="882"/>
      <c r="BL1839" s="882"/>
      <c r="BU1839" s="882"/>
      <c r="BV1839" s="882"/>
      <c r="BW1839" s="882"/>
      <c r="CF1839" s="882"/>
      <c r="CG1839" s="882"/>
      <c r="CH1839" s="882"/>
      <c r="CI1839" s="530"/>
    </row>
    <row r="1840">
      <c r="A1840" s="857"/>
      <c r="B1840" s="865" t="s">
        <v>677</v>
      </c>
      <c r="C1840" s="865" t="s">
        <v>591</v>
      </c>
      <c r="D1840" s="865" t="s">
        <v>608</v>
      </c>
      <c r="E1840" s="866">
        <v>2019.0</v>
      </c>
      <c r="F1840" s="865" t="s">
        <v>593</v>
      </c>
      <c r="G1840" s="865" t="s">
        <v>70</v>
      </c>
      <c r="H1840" s="867">
        <v>1311197.918</v>
      </c>
      <c r="I1840" s="867">
        <v>1454644.312</v>
      </c>
      <c r="J1840" s="868">
        <v>1172322.624</v>
      </c>
      <c r="K1840" s="50"/>
      <c r="L1840" s="869" t="s">
        <v>677</v>
      </c>
      <c r="M1840" s="865" t="s">
        <v>591</v>
      </c>
      <c r="N1840" s="865" t="s">
        <v>608</v>
      </c>
      <c r="O1840" s="866">
        <v>2004.0</v>
      </c>
      <c r="P1840" s="865" t="s">
        <v>593</v>
      </c>
      <c r="Q1840" s="865" t="s">
        <v>70</v>
      </c>
      <c r="R1840" s="867">
        <v>1146126.185</v>
      </c>
      <c r="S1840" s="867">
        <v>1234057.258</v>
      </c>
      <c r="T1840" s="868">
        <v>1058316.035</v>
      </c>
      <c r="AN1840" s="882"/>
      <c r="AO1840" s="882"/>
      <c r="AP1840" s="882"/>
      <c r="AY1840" s="882"/>
      <c r="AZ1840" s="882"/>
      <c r="BA1840" s="882"/>
      <c r="BJ1840" s="882"/>
      <c r="BK1840" s="882"/>
      <c r="BL1840" s="882"/>
      <c r="BU1840" s="882"/>
      <c r="BV1840" s="882"/>
      <c r="BW1840" s="882"/>
      <c r="CF1840" s="882"/>
      <c r="CG1840" s="882"/>
      <c r="CH1840" s="882"/>
      <c r="CI1840" s="530"/>
    </row>
    <row r="1841">
      <c r="A1841" s="857"/>
      <c r="B1841" s="865" t="s">
        <v>677</v>
      </c>
      <c r="C1841" s="865" t="s">
        <v>591</v>
      </c>
      <c r="D1841" s="865" t="s">
        <v>610</v>
      </c>
      <c r="E1841" s="866">
        <v>2019.0</v>
      </c>
      <c r="F1841" s="865" t="s">
        <v>593</v>
      </c>
      <c r="G1841" s="865" t="s">
        <v>70</v>
      </c>
      <c r="H1841" s="867">
        <v>1569068.241</v>
      </c>
      <c r="I1841" s="867">
        <v>1740725.913</v>
      </c>
      <c r="J1841" s="868">
        <v>1402880.659</v>
      </c>
      <c r="K1841" s="50"/>
      <c r="L1841" s="869" t="s">
        <v>677</v>
      </c>
      <c r="M1841" s="865" t="s">
        <v>591</v>
      </c>
      <c r="N1841" s="865" t="s">
        <v>610</v>
      </c>
      <c r="O1841" s="866">
        <v>2004.0</v>
      </c>
      <c r="P1841" s="865" t="s">
        <v>593</v>
      </c>
      <c r="Q1841" s="865" t="s">
        <v>70</v>
      </c>
      <c r="R1841" s="867">
        <v>1096561.312</v>
      </c>
      <c r="S1841" s="867">
        <v>1180689.757</v>
      </c>
      <c r="T1841" s="868">
        <v>1012548.562</v>
      </c>
      <c r="AN1841" s="882"/>
      <c r="AO1841" s="882"/>
      <c r="AP1841" s="882"/>
      <c r="AY1841" s="882"/>
      <c r="AZ1841" s="882"/>
      <c r="BA1841" s="882"/>
      <c r="BJ1841" s="882"/>
      <c r="BK1841" s="882"/>
      <c r="BL1841" s="882"/>
      <c r="BU1841" s="882"/>
      <c r="BV1841" s="882"/>
      <c r="BW1841" s="882"/>
      <c r="CF1841" s="882"/>
      <c r="CG1841" s="882"/>
      <c r="CH1841" s="882"/>
      <c r="CI1841" s="530"/>
    </row>
    <row r="1842">
      <c r="A1842" s="857"/>
      <c r="B1842" s="865" t="s">
        <v>677</v>
      </c>
      <c r="C1842" s="865" t="s">
        <v>591</v>
      </c>
      <c r="D1842" s="865" t="s">
        <v>612</v>
      </c>
      <c r="E1842" s="866">
        <v>2019.0</v>
      </c>
      <c r="F1842" s="865" t="s">
        <v>593</v>
      </c>
      <c r="G1842" s="865" t="s">
        <v>70</v>
      </c>
      <c r="H1842" s="867">
        <v>2975682.672</v>
      </c>
      <c r="I1842" s="867">
        <v>3301225.402</v>
      </c>
      <c r="J1842" s="868">
        <v>2660513.773</v>
      </c>
      <c r="K1842" s="50"/>
      <c r="L1842" s="869" t="s">
        <v>677</v>
      </c>
      <c r="M1842" s="865" t="s">
        <v>591</v>
      </c>
      <c r="N1842" s="865" t="s">
        <v>612</v>
      </c>
      <c r="O1842" s="866">
        <v>2004.0</v>
      </c>
      <c r="P1842" s="865" t="s">
        <v>593</v>
      </c>
      <c r="Q1842" s="865" t="s">
        <v>70</v>
      </c>
      <c r="R1842" s="867">
        <v>2218032.285</v>
      </c>
      <c r="S1842" s="867">
        <v>2388200.249</v>
      </c>
      <c r="T1842" s="868">
        <v>2048098.337</v>
      </c>
      <c r="AN1842" s="882"/>
      <c r="AO1842" s="882"/>
      <c r="AP1842" s="882"/>
      <c r="AY1842" s="882"/>
      <c r="AZ1842" s="882"/>
      <c r="BA1842" s="882"/>
      <c r="BJ1842" s="882"/>
      <c r="BK1842" s="882"/>
      <c r="BL1842" s="882"/>
      <c r="BU1842" s="882"/>
      <c r="BV1842" s="882"/>
      <c r="BW1842" s="882"/>
      <c r="CF1842" s="882"/>
      <c r="CG1842" s="882"/>
      <c r="CH1842" s="882"/>
      <c r="CI1842" s="530"/>
    </row>
    <row r="1843">
      <c r="A1843" s="857"/>
      <c r="B1843" s="865" t="s">
        <v>677</v>
      </c>
      <c r="C1843" s="865" t="s">
        <v>591</v>
      </c>
      <c r="D1843" s="865" t="s">
        <v>614</v>
      </c>
      <c r="E1843" s="866">
        <v>2019.0</v>
      </c>
      <c r="F1843" s="865" t="s">
        <v>593</v>
      </c>
      <c r="G1843" s="865" t="s">
        <v>70</v>
      </c>
      <c r="H1843" s="867">
        <v>4193883.101</v>
      </c>
      <c r="I1843" s="867">
        <v>4652698.206</v>
      </c>
      <c r="J1843" s="868">
        <v>3749688.722</v>
      </c>
      <c r="K1843" s="50"/>
      <c r="L1843" s="869" t="s">
        <v>677</v>
      </c>
      <c r="M1843" s="865" t="s">
        <v>591</v>
      </c>
      <c r="N1843" s="865" t="s">
        <v>614</v>
      </c>
      <c r="O1843" s="866">
        <v>2004.0</v>
      </c>
      <c r="P1843" s="865" t="s">
        <v>593</v>
      </c>
      <c r="Q1843" s="865" t="s">
        <v>70</v>
      </c>
      <c r="R1843" s="867">
        <v>3146165.402</v>
      </c>
      <c r="S1843" s="867">
        <v>3387539.96</v>
      </c>
      <c r="T1843" s="868">
        <v>2905122.785</v>
      </c>
      <c r="AN1843" s="882"/>
      <c r="AO1843" s="882"/>
      <c r="AP1843" s="882"/>
      <c r="AY1843" s="882"/>
      <c r="AZ1843" s="882"/>
      <c r="BA1843" s="882"/>
      <c r="BJ1843" s="882"/>
      <c r="BK1843" s="882"/>
      <c r="BL1843" s="882"/>
      <c r="BU1843" s="882"/>
      <c r="BV1843" s="882"/>
      <c r="BW1843" s="882"/>
      <c r="CF1843" s="882"/>
      <c r="CG1843" s="882"/>
      <c r="CH1843" s="882"/>
      <c r="CI1843" s="530"/>
    </row>
    <row r="1844">
      <c r="A1844" s="857"/>
      <c r="B1844" s="865" t="s">
        <v>677</v>
      </c>
      <c r="C1844" s="865" t="s">
        <v>591</v>
      </c>
      <c r="D1844" s="865" t="s">
        <v>616</v>
      </c>
      <c r="E1844" s="866">
        <v>2019.0</v>
      </c>
      <c r="F1844" s="865" t="s">
        <v>593</v>
      </c>
      <c r="G1844" s="865" t="s">
        <v>70</v>
      </c>
      <c r="H1844" s="867">
        <v>1406614.43</v>
      </c>
      <c r="I1844" s="867">
        <v>1560499.489</v>
      </c>
      <c r="J1844" s="868">
        <v>1257633.114</v>
      </c>
      <c r="K1844" s="50"/>
      <c r="L1844" s="869" t="s">
        <v>677</v>
      </c>
      <c r="M1844" s="865" t="s">
        <v>591</v>
      </c>
      <c r="N1844" s="865" t="s">
        <v>616</v>
      </c>
      <c r="O1844" s="866">
        <v>2004.0</v>
      </c>
      <c r="P1844" s="865" t="s">
        <v>593</v>
      </c>
      <c r="Q1844" s="865" t="s">
        <v>70</v>
      </c>
      <c r="R1844" s="867">
        <v>1121470.972</v>
      </c>
      <c r="S1844" s="867">
        <v>1207510.492</v>
      </c>
      <c r="T1844" s="868">
        <v>1035549.775</v>
      </c>
      <c r="AN1844" s="882"/>
      <c r="AO1844" s="882"/>
      <c r="AP1844" s="882"/>
      <c r="AY1844" s="882"/>
      <c r="AZ1844" s="882"/>
      <c r="BA1844" s="882"/>
      <c r="BJ1844" s="882"/>
      <c r="BK1844" s="882"/>
      <c r="BL1844" s="882"/>
      <c r="BU1844" s="882"/>
      <c r="BV1844" s="882"/>
      <c r="BW1844" s="882"/>
      <c r="CF1844" s="882"/>
      <c r="CG1844" s="882"/>
      <c r="CH1844" s="882"/>
      <c r="CI1844" s="530"/>
    </row>
    <row r="1845">
      <c r="A1845" s="857"/>
      <c r="B1845" s="865" t="s">
        <v>677</v>
      </c>
      <c r="C1845" s="865" t="s">
        <v>591</v>
      </c>
      <c r="D1845" s="865" t="s">
        <v>618</v>
      </c>
      <c r="E1845" s="866">
        <v>2019.0</v>
      </c>
      <c r="F1845" s="865" t="s">
        <v>593</v>
      </c>
      <c r="G1845" s="865" t="s">
        <v>70</v>
      </c>
      <c r="H1845" s="867">
        <v>5414016.574</v>
      </c>
      <c r="I1845" s="867">
        <v>6006611.296</v>
      </c>
      <c r="J1845" s="868">
        <v>4840189.923</v>
      </c>
      <c r="K1845" s="50"/>
      <c r="L1845" s="869" t="s">
        <v>677</v>
      </c>
      <c r="M1845" s="865" t="s">
        <v>591</v>
      </c>
      <c r="N1845" s="865" t="s">
        <v>618</v>
      </c>
      <c r="O1845" s="866">
        <v>2004.0</v>
      </c>
      <c r="P1845" s="865" t="s">
        <v>593</v>
      </c>
      <c r="Q1845" s="865" t="s">
        <v>70</v>
      </c>
      <c r="R1845" s="867">
        <v>3647141.087</v>
      </c>
      <c r="S1845" s="867">
        <v>3927284.469</v>
      </c>
      <c r="T1845" s="868">
        <v>3367819.508</v>
      </c>
      <c r="AN1845" s="882"/>
      <c r="AO1845" s="882"/>
      <c r="AP1845" s="882"/>
      <c r="AY1845" s="882"/>
      <c r="AZ1845" s="882"/>
      <c r="BA1845" s="882"/>
      <c r="BJ1845" s="882"/>
      <c r="BK1845" s="882"/>
      <c r="BL1845" s="882"/>
      <c r="BU1845" s="882"/>
      <c r="BV1845" s="882"/>
      <c r="BW1845" s="882"/>
      <c r="CF1845" s="882"/>
      <c r="CG1845" s="882"/>
      <c r="CH1845" s="882"/>
      <c r="CI1845" s="530"/>
    </row>
    <row r="1846">
      <c r="A1846" s="857"/>
      <c r="B1846" s="865" t="s">
        <v>677</v>
      </c>
      <c r="C1846" s="865" t="s">
        <v>591</v>
      </c>
      <c r="D1846" s="865" t="s">
        <v>620</v>
      </c>
      <c r="E1846" s="866">
        <v>2019.0</v>
      </c>
      <c r="F1846" s="865" t="s">
        <v>593</v>
      </c>
      <c r="G1846" s="865" t="s">
        <v>70</v>
      </c>
      <c r="H1846" s="867">
        <v>6468530.126</v>
      </c>
      <c r="I1846" s="867">
        <v>7176193.943</v>
      </c>
      <c r="J1846" s="868">
        <v>5783416.913</v>
      </c>
      <c r="K1846" s="50"/>
      <c r="L1846" s="869" t="s">
        <v>677</v>
      </c>
      <c r="M1846" s="865" t="s">
        <v>591</v>
      </c>
      <c r="N1846" s="865" t="s">
        <v>620</v>
      </c>
      <c r="O1846" s="866">
        <v>2004.0</v>
      </c>
      <c r="P1846" s="865" t="s">
        <v>593</v>
      </c>
      <c r="Q1846" s="865" t="s">
        <v>70</v>
      </c>
      <c r="R1846" s="867">
        <v>4319804.613</v>
      </c>
      <c r="S1846" s="867">
        <v>4651221.05</v>
      </c>
      <c r="T1846" s="868">
        <v>3988843.943</v>
      </c>
      <c r="AN1846" s="882"/>
      <c r="AO1846" s="882"/>
      <c r="AP1846" s="882"/>
      <c r="AY1846" s="882"/>
      <c r="AZ1846" s="882"/>
      <c r="BA1846" s="882"/>
      <c r="BJ1846" s="882"/>
      <c r="BK1846" s="882"/>
      <c r="BL1846" s="882"/>
      <c r="BU1846" s="882"/>
      <c r="BV1846" s="882"/>
      <c r="BW1846" s="882"/>
      <c r="CF1846" s="882"/>
      <c r="CG1846" s="882"/>
      <c r="CH1846" s="882"/>
      <c r="CI1846" s="530"/>
    </row>
    <row r="1847">
      <c r="A1847" s="857"/>
      <c r="B1847" s="865" t="s">
        <v>677</v>
      </c>
      <c r="C1847" s="865" t="s">
        <v>591</v>
      </c>
      <c r="D1847" s="865" t="s">
        <v>622</v>
      </c>
      <c r="E1847" s="866">
        <v>2019.0</v>
      </c>
      <c r="F1847" s="865" t="s">
        <v>593</v>
      </c>
      <c r="G1847" s="865" t="s">
        <v>70</v>
      </c>
      <c r="H1847" s="867">
        <v>6437562.822</v>
      </c>
      <c r="I1847" s="867">
        <v>7142190.468</v>
      </c>
      <c r="J1847" s="868">
        <v>5755251.444</v>
      </c>
      <c r="K1847" s="50"/>
      <c r="L1847" s="869" t="s">
        <v>677</v>
      </c>
      <c r="M1847" s="865" t="s">
        <v>591</v>
      </c>
      <c r="N1847" s="865" t="s">
        <v>622</v>
      </c>
      <c r="O1847" s="866">
        <v>2004.0</v>
      </c>
      <c r="P1847" s="865" t="s">
        <v>593</v>
      </c>
      <c r="Q1847" s="865" t="s">
        <v>70</v>
      </c>
      <c r="R1847" s="867">
        <v>3916790.378</v>
      </c>
      <c r="S1847" s="867">
        <v>4217646.001</v>
      </c>
      <c r="T1847" s="868">
        <v>3616817.318</v>
      </c>
      <c r="AN1847" s="882"/>
      <c r="AO1847" s="882"/>
      <c r="AP1847" s="882"/>
      <c r="AY1847" s="882"/>
      <c r="AZ1847" s="882"/>
      <c r="BA1847" s="882"/>
      <c r="BJ1847" s="882"/>
      <c r="BK1847" s="882"/>
      <c r="BL1847" s="882"/>
      <c r="BU1847" s="882"/>
      <c r="BV1847" s="882"/>
      <c r="BW1847" s="882"/>
      <c r="CF1847" s="882"/>
      <c r="CG1847" s="882"/>
      <c r="CH1847" s="882"/>
      <c r="CI1847" s="530"/>
    </row>
    <row r="1848">
      <c r="A1848" s="857"/>
      <c r="B1848" s="865" t="s">
        <v>677</v>
      </c>
      <c r="C1848" s="865" t="s">
        <v>591</v>
      </c>
      <c r="D1848" s="865" t="s">
        <v>624</v>
      </c>
      <c r="E1848" s="866">
        <v>2019.0</v>
      </c>
      <c r="F1848" s="865" t="s">
        <v>593</v>
      </c>
      <c r="G1848" s="865" t="s">
        <v>70</v>
      </c>
      <c r="H1848" s="867">
        <v>1218200.43</v>
      </c>
      <c r="I1848" s="867">
        <v>1351472.804</v>
      </c>
      <c r="J1848" s="868">
        <v>1089174.949</v>
      </c>
      <c r="K1848" s="50"/>
      <c r="L1848" s="869" t="s">
        <v>677</v>
      </c>
      <c r="M1848" s="865" t="s">
        <v>591</v>
      </c>
      <c r="N1848" s="865" t="s">
        <v>624</v>
      </c>
      <c r="O1848" s="866">
        <v>2004.0</v>
      </c>
      <c r="P1848" s="865" t="s">
        <v>593</v>
      </c>
      <c r="Q1848" s="865" t="s">
        <v>70</v>
      </c>
      <c r="R1848" s="867">
        <v>928133.1176</v>
      </c>
      <c r="S1848" s="867">
        <v>999339.7111</v>
      </c>
      <c r="T1848" s="868">
        <v>857024.448</v>
      </c>
      <c r="AN1848" s="882"/>
      <c r="AO1848" s="882"/>
      <c r="AP1848" s="882"/>
      <c r="AY1848" s="882"/>
      <c r="AZ1848" s="882"/>
      <c r="BA1848" s="882"/>
      <c r="BJ1848" s="882"/>
      <c r="BK1848" s="882"/>
      <c r="BL1848" s="882"/>
      <c r="BU1848" s="882"/>
      <c r="BV1848" s="882"/>
      <c r="BW1848" s="882"/>
      <c r="CF1848" s="882"/>
      <c r="CG1848" s="882"/>
      <c r="CH1848" s="882"/>
      <c r="CI1848" s="530"/>
    </row>
    <row r="1849">
      <c r="A1849" s="857"/>
      <c r="B1849" s="865" t="s">
        <v>677</v>
      </c>
      <c r="C1849" s="865" t="s">
        <v>591</v>
      </c>
      <c r="D1849" s="865" t="s">
        <v>625</v>
      </c>
      <c r="E1849" s="866">
        <v>2019.0</v>
      </c>
      <c r="F1849" s="865" t="s">
        <v>593</v>
      </c>
      <c r="G1849" s="865" t="s">
        <v>70</v>
      </c>
      <c r="H1849" s="867">
        <v>5219670.157</v>
      </c>
      <c r="I1849" s="867">
        <v>5790707.415</v>
      </c>
      <c r="J1849" s="868">
        <v>4666829.724</v>
      </c>
      <c r="K1849" s="50"/>
      <c r="L1849" s="869" t="s">
        <v>677</v>
      </c>
      <c r="M1849" s="865" t="s">
        <v>591</v>
      </c>
      <c r="N1849" s="865" t="s">
        <v>625</v>
      </c>
      <c r="O1849" s="866">
        <v>2004.0</v>
      </c>
      <c r="P1849" s="865" t="s">
        <v>593</v>
      </c>
      <c r="Q1849" s="865" t="s">
        <v>70</v>
      </c>
      <c r="R1849" s="867">
        <v>2988802.859</v>
      </c>
      <c r="S1849" s="867">
        <v>3218104.525</v>
      </c>
      <c r="T1849" s="868">
        <v>2759816.53</v>
      </c>
      <c r="AN1849" s="882"/>
      <c r="AO1849" s="882"/>
      <c r="AP1849" s="882"/>
      <c r="AY1849" s="882"/>
      <c r="AZ1849" s="882"/>
      <c r="BA1849" s="882"/>
      <c r="BJ1849" s="882"/>
      <c r="BK1849" s="882"/>
      <c r="BL1849" s="882"/>
      <c r="BU1849" s="882"/>
      <c r="BV1849" s="882"/>
      <c r="BW1849" s="882"/>
      <c r="CF1849" s="882"/>
      <c r="CG1849" s="882"/>
      <c r="CH1849" s="882"/>
      <c r="CI1849" s="530"/>
    </row>
    <row r="1850">
      <c r="A1850" s="857"/>
      <c r="B1850" s="865" t="s">
        <v>677</v>
      </c>
      <c r="C1850" s="865" t="s">
        <v>591</v>
      </c>
      <c r="D1850" s="865" t="s">
        <v>627</v>
      </c>
      <c r="E1850" s="866">
        <v>2019.0</v>
      </c>
      <c r="F1850" s="865" t="s">
        <v>593</v>
      </c>
      <c r="G1850" s="865" t="s">
        <v>70</v>
      </c>
      <c r="H1850" s="867">
        <v>992021.3591</v>
      </c>
      <c r="I1850" s="867">
        <v>1100549.511</v>
      </c>
      <c r="J1850" s="868">
        <v>886951.5941</v>
      </c>
      <c r="K1850" s="50"/>
      <c r="L1850" s="869" t="s">
        <v>677</v>
      </c>
      <c r="M1850" s="865" t="s">
        <v>591</v>
      </c>
      <c r="N1850" s="865" t="s">
        <v>627</v>
      </c>
      <c r="O1850" s="866">
        <v>2004.0</v>
      </c>
      <c r="P1850" s="865" t="s">
        <v>593</v>
      </c>
      <c r="Q1850" s="865" t="s">
        <v>70</v>
      </c>
      <c r="R1850" s="867">
        <v>675637.3553</v>
      </c>
      <c r="S1850" s="867">
        <v>727472.4139</v>
      </c>
      <c r="T1850" s="868">
        <v>623873.5808</v>
      </c>
      <c r="AN1850" s="882"/>
      <c r="AO1850" s="882"/>
      <c r="AP1850" s="882"/>
      <c r="AY1850" s="882"/>
      <c r="AZ1850" s="882"/>
      <c r="BA1850" s="882"/>
      <c r="BJ1850" s="882"/>
      <c r="BK1850" s="882"/>
      <c r="BL1850" s="882"/>
      <c r="BU1850" s="882"/>
      <c r="BV1850" s="882"/>
      <c r="BW1850" s="882"/>
      <c r="CF1850" s="882"/>
      <c r="CG1850" s="882"/>
      <c r="CH1850" s="882"/>
      <c r="CI1850" s="530"/>
    </row>
    <row r="1851">
      <c r="A1851" s="857"/>
      <c r="B1851" s="865" t="s">
        <v>677</v>
      </c>
      <c r="C1851" s="865" t="s">
        <v>591</v>
      </c>
      <c r="D1851" s="865" t="s">
        <v>629</v>
      </c>
      <c r="E1851" s="866">
        <v>2019.0</v>
      </c>
      <c r="F1851" s="865" t="s">
        <v>593</v>
      </c>
      <c r="G1851" s="865" t="s">
        <v>70</v>
      </c>
      <c r="H1851" s="867">
        <v>3843531.516</v>
      </c>
      <c r="I1851" s="867">
        <v>4264227.77</v>
      </c>
      <c r="J1851" s="868">
        <v>3436159.136</v>
      </c>
      <c r="K1851" s="50"/>
      <c r="L1851" s="869" t="s">
        <v>677</v>
      </c>
      <c r="M1851" s="865" t="s">
        <v>591</v>
      </c>
      <c r="N1851" s="865" t="s">
        <v>629</v>
      </c>
      <c r="O1851" s="866">
        <v>2004.0</v>
      </c>
      <c r="P1851" s="865" t="s">
        <v>593</v>
      </c>
      <c r="Q1851" s="865" t="s">
        <v>70</v>
      </c>
      <c r="R1851" s="867">
        <v>2270116.136</v>
      </c>
      <c r="S1851" s="867">
        <v>2444487.787</v>
      </c>
      <c r="T1851" s="868">
        <v>2096256.007</v>
      </c>
      <c r="AN1851" s="882"/>
      <c r="AO1851" s="882"/>
      <c r="AP1851" s="882"/>
      <c r="AY1851" s="882"/>
      <c r="AZ1851" s="882"/>
      <c r="BA1851" s="882"/>
      <c r="BJ1851" s="882"/>
      <c r="BK1851" s="882"/>
      <c r="BL1851" s="882"/>
      <c r="BU1851" s="882"/>
      <c r="BV1851" s="882"/>
      <c r="BW1851" s="882"/>
      <c r="CF1851" s="882"/>
      <c r="CG1851" s="882"/>
      <c r="CH1851" s="882"/>
      <c r="CI1851" s="530"/>
    </row>
    <row r="1852">
      <c r="A1852" s="857"/>
      <c r="B1852" s="865" t="s">
        <v>677</v>
      </c>
      <c r="C1852" s="865" t="s">
        <v>591</v>
      </c>
      <c r="D1852" s="865" t="s">
        <v>631</v>
      </c>
      <c r="E1852" s="866">
        <v>2019.0</v>
      </c>
      <c r="F1852" s="865" t="s">
        <v>593</v>
      </c>
      <c r="G1852" s="865" t="s">
        <v>70</v>
      </c>
      <c r="H1852" s="867">
        <v>980263.2062</v>
      </c>
      <c r="I1852" s="867">
        <v>1087505.004</v>
      </c>
      <c r="J1852" s="868">
        <v>876438.8038</v>
      </c>
      <c r="K1852" s="50"/>
      <c r="L1852" s="869" t="s">
        <v>677</v>
      </c>
      <c r="M1852" s="865" t="s">
        <v>591</v>
      </c>
      <c r="N1852" s="865" t="s">
        <v>631</v>
      </c>
      <c r="O1852" s="866">
        <v>2004.0</v>
      </c>
      <c r="P1852" s="865" t="s">
        <v>593</v>
      </c>
      <c r="Q1852" s="865" t="s">
        <v>70</v>
      </c>
      <c r="R1852" s="867">
        <v>501400.4953</v>
      </c>
      <c r="S1852" s="867">
        <v>539868.0606</v>
      </c>
      <c r="T1852" s="868">
        <v>462985.831</v>
      </c>
      <c r="AN1852" s="882"/>
      <c r="AO1852" s="882"/>
      <c r="AP1852" s="882"/>
      <c r="AY1852" s="882"/>
      <c r="AZ1852" s="882"/>
      <c r="BA1852" s="882"/>
      <c r="BJ1852" s="882"/>
      <c r="BK1852" s="882"/>
      <c r="BL1852" s="882"/>
      <c r="BU1852" s="882"/>
      <c r="BV1852" s="882"/>
      <c r="BW1852" s="882"/>
      <c r="CF1852" s="882"/>
      <c r="CG1852" s="882"/>
      <c r="CH1852" s="882"/>
      <c r="CI1852" s="530"/>
    </row>
    <row r="1853">
      <c r="A1853" s="857"/>
      <c r="B1853" s="865" t="s">
        <v>677</v>
      </c>
      <c r="C1853" s="865" t="s">
        <v>591</v>
      </c>
      <c r="D1853" s="865" t="s">
        <v>633</v>
      </c>
      <c r="E1853" s="866">
        <v>2019.0</v>
      </c>
      <c r="F1853" s="865" t="s">
        <v>593</v>
      </c>
      <c r="G1853" s="865" t="s">
        <v>70</v>
      </c>
      <c r="H1853" s="867">
        <v>817175.9791</v>
      </c>
      <c r="I1853" s="867">
        <v>906575.8677</v>
      </c>
      <c r="J1853" s="868">
        <v>730624.9312</v>
      </c>
      <c r="K1853" s="50"/>
      <c r="L1853" s="869" t="s">
        <v>677</v>
      </c>
      <c r="M1853" s="865" t="s">
        <v>591</v>
      </c>
      <c r="N1853" s="865" t="s">
        <v>633</v>
      </c>
      <c r="O1853" s="866">
        <v>2004.0</v>
      </c>
      <c r="P1853" s="865" t="s">
        <v>593</v>
      </c>
      <c r="Q1853" s="865" t="s">
        <v>70</v>
      </c>
      <c r="R1853" s="867">
        <v>420634.7208</v>
      </c>
      <c r="S1853" s="867">
        <v>452905.9167</v>
      </c>
      <c r="T1853" s="868">
        <v>388407.9047</v>
      </c>
      <c r="AN1853" s="882"/>
      <c r="AO1853" s="882"/>
      <c r="AP1853" s="882"/>
      <c r="AY1853" s="882"/>
      <c r="AZ1853" s="882"/>
      <c r="BA1853" s="882"/>
      <c r="BJ1853" s="882"/>
      <c r="BK1853" s="882"/>
      <c r="BL1853" s="882"/>
      <c r="BU1853" s="882"/>
      <c r="BV1853" s="882"/>
      <c r="BW1853" s="882"/>
      <c r="CF1853" s="882"/>
      <c r="CG1853" s="882"/>
      <c r="CH1853" s="882"/>
      <c r="CI1853" s="530"/>
    </row>
    <row r="1854">
      <c r="A1854" s="857"/>
      <c r="B1854" s="865" t="s">
        <v>677</v>
      </c>
      <c r="C1854" s="865" t="s">
        <v>591</v>
      </c>
      <c r="D1854" s="865" t="s">
        <v>635</v>
      </c>
      <c r="E1854" s="866">
        <v>2019.0</v>
      </c>
      <c r="F1854" s="865" t="s">
        <v>593</v>
      </c>
      <c r="G1854" s="865" t="s">
        <v>70</v>
      </c>
      <c r="H1854" s="867">
        <v>606338.3238</v>
      </c>
      <c r="I1854" s="867">
        <v>672672.3571</v>
      </c>
      <c r="J1854" s="868">
        <v>542118.1086</v>
      </c>
      <c r="K1854" s="50"/>
      <c r="L1854" s="869" t="s">
        <v>677</v>
      </c>
      <c r="M1854" s="865" t="s">
        <v>591</v>
      </c>
      <c r="N1854" s="865" t="s">
        <v>635</v>
      </c>
      <c r="O1854" s="866">
        <v>2004.0</v>
      </c>
      <c r="P1854" s="865" t="s">
        <v>593</v>
      </c>
      <c r="Q1854" s="865" t="s">
        <v>70</v>
      </c>
      <c r="R1854" s="867">
        <v>367529.0934</v>
      </c>
      <c r="S1854" s="867">
        <v>395726.0129</v>
      </c>
      <c r="T1854" s="868">
        <v>339370.9506</v>
      </c>
      <c r="AN1854" s="882"/>
      <c r="AO1854" s="882"/>
      <c r="AP1854" s="882"/>
      <c r="AY1854" s="882"/>
      <c r="AZ1854" s="882"/>
      <c r="BA1854" s="882"/>
      <c r="BJ1854" s="882"/>
      <c r="BK1854" s="882"/>
      <c r="BL1854" s="882"/>
      <c r="BU1854" s="882"/>
      <c r="BV1854" s="882"/>
      <c r="BW1854" s="882"/>
      <c r="CF1854" s="882"/>
      <c r="CG1854" s="882"/>
      <c r="CH1854" s="882"/>
      <c r="CI1854" s="530"/>
    </row>
    <row r="1855">
      <c r="A1855" s="857"/>
      <c r="B1855" s="865" t="s">
        <v>677</v>
      </c>
      <c r="C1855" s="865" t="s">
        <v>591</v>
      </c>
      <c r="D1855" s="865" t="s">
        <v>637</v>
      </c>
      <c r="E1855" s="866">
        <v>2019.0</v>
      </c>
      <c r="F1855" s="865" t="s">
        <v>593</v>
      </c>
      <c r="G1855" s="865" t="s">
        <v>70</v>
      </c>
      <c r="H1855" s="867">
        <v>447916.3973</v>
      </c>
      <c r="I1855" s="867">
        <v>496918.9097</v>
      </c>
      <c r="J1855" s="868">
        <v>400475.4121</v>
      </c>
      <c r="K1855" s="50"/>
      <c r="L1855" s="869" t="s">
        <v>677</v>
      </c>
      <c r="M1855" s="865" t="s">
        <v>591</v>
      </c>
      <c r="N1855" s="865" t="s">
        <v>637</v>
      </c>
      <c r="O1855" s="866">
        <v>2004.0</v>
      </c>
      <c r="P1855" s="865" t="s">
        <v>593</v>
      </c>
      <c r="Q1855" s="865" t="s">
        <v>70</v>
      </c>
      <c r="R1855" s="867">
        <v>304998.8581</v>
      </c>
      <c r="S1855" s="867">
        <v>328398.443</v>
      </c>
      <c r="T1855" s="868">
        <v>281631.4525</v>
      </c>
      <c r="AN1855" s="882"/>
      <c r="AO1855" s="882"/>
      <c r="AP1855" s="882"/>
      <c r="AY1855" s="882"/>
      <c r="AZ1855" s="882"/>
      <c r="BA1855" s="882"/>
      <c r="BJ1855" s="882"/>
      <c r="BK1855" s="882"/>
      <c r="BL1855" s="882"/>
      <c r="BU1855" s="882"/>
      <c r="BV1855" s="882"/>
      <c r="BW1855" s="882"/>
      <c r="CF1855" s="882"/>
      <c r="CG1855" s="882"/>
      <c r="CH1855" s="882"/>
      <c r="CI1855" s="530"/>
    </row>
    <row r="1856">
      <c r="A1856" s="857"/>
      <c r="B1856" s="865" t="s">
        <v>677</v>
      </c>
      <c r="C1856" s="865" t="s">
        <v>591</v>
      </c>
      <c r="D1856" s="865" t="s">
        <v>639</v>
      </c>
      <c r="E1856" s="866">
        <v>2019.0</v>
      </c>
      <c r="F1856" s="865" t="s">
        <v>593</v>
      </c>
      <c r="G1856" s="865" t="s">
        <v>70</v>
      </c>
      <c r="H1856" s="867">
        <v>4599630.271</v>
      </c>
      <c r="I1856" s="867">
        <v>5103085.808</v>
      </c>
      <c r="J1856" s="868">
        <v>4112119.678</v>
      </c>
      <c r="K1856" s="50"/>
      <c r="L1856" s="869" t="s">
        <v>677</v>
      </c>
      <c r="M1856" s="865" t="s">
        <v>591</v>
      </c>
      <c r="N1856" s="865" t="s">
        <v>639</v>
      </c>
      <c r="O1856" s="866">
        <v>2004.0</v>
      </c>
      <c r="P1856" s="865" t="s">
        <v>593</v>
      </c>
      <c r="Q1856" s="865" t="s">
        <v>70</v>
      </c>
      <c r="R1856" s="867">
        <v>3502385.325</v>
      </c>
      <c r="S1856" s="867">
        <v>3771409.76</v>
      </c>
      <c r="T1856" s="868">
        <v>3234150.076</v>
      </c>
      <c r="AN1856" s="882"/>
      <c r="AO1856" s="882"/>
      <c r="AP1856" s="882"/>
      <c r="AY1856" s="882"/>
      <c r="AZ1856" s="882"/>
      <c r="BA1856" s="882"/>
      <c r="BJ1856" s="882"/>
      <c r="BK1856" s="882"/>
      <c r="BL1856" s="882"/>
      <c r="BU1856" s="882"/>
      <c r="BV1856" s="882"/>
      <c r="BW1856" s="882"/>
      <c r="CF1856" s="882"/>
      <c r="CG1856" s="882"/>
      <c r="CH1856" s="882"/>
      <c r="CI1856" s="530"/>
    </row>
    <row r="1857">
      <c r="A1857" s="857"/>
      <c r="B1857" s="865" t="s">
        <v>677</v>
      </c>
      <c r="C1857" s="865" t="s">
        <v>591</v>
      </c>
      <c r="D1857" s="865" t="s">
        <v>641</v>
      </c>
      <c r="E1857" s="866">
        <v>2019.0</v>
      </c>
      <c r="F1857" s="865" t="s">
        <v>593</v>
      </c>
      <c r="G1857" s="865" t="s">
        <v>70</v>
      </c>
      <c r="H1857" s="867">
        <v>1624167.496</v>
      </c>
      <c r="I1857" s="867">
        <v>1801853.083</v>
      </c>
      <c r="J1857" s="868">
        <v>1452144.086</v>
      </c>
      <c r="K1857" s="50"/>
      <c r="L1857" s="869" t="s">
        <v>677</v>
      </c>
      <c r="M1857" s="865" t="s">
        <v>591</v>
      </c>
      <c r="N1857" s="865" t="s">
        <v>641</v>
      </c>
      <c r="O1857" s="866">
        <v>2004.0</v>
      </c>
      <c r="P1857" s="865" t="s">
        <v>593</v>
      </c>
      <c r="Q1857" s="865" t="s">
        <v>70</v>
      </c>
      <c r="R1857" s="867">
        <v>1284483.234</v>
      </c>
      <c r="S1857" s="867">
        <v>1383029.094</v>
      </c>
      <c r="T1857" s="868">
        <v>1186072.896</v>
      </c>
      <c r="AN1857" s="882"/>
      <c r="AO1857" s="882"/>
      <c r="AP1857" s="882"/>
      <c r="AY1857" s="882"/>
      <c r="AZ1857" s="882"/>
      <c r="BA1857" s="882"/>
      <c r="BJ1857" s="882"/>
      <c r="BK1857" s="882"/>
      <c r="BL1857" s="882"/>
      <c r="BU1857" s="882"/>
      <c r="BV1857" s="882"/>
      <c r="BW1857" s="882"/>
      <c r="CF1857" s="882"/>
      <c r="CG1857" s="882"/>
      <c r="CH1857" s="882"/>
      <c r="CI1857" s="530"/>
    </row>
    <row r="1858">
      <c r="A1858" s="857"/>
      <c r="B1858" s="865" t="s">
        <v>677</v>
      </c>
      <c r="C1858" s="865" t="s">
        <v>591</v>
      </c>
      <c r="D1858" s="865" t="s">
        <v>643</v>
      </c>
      <c r="E1858" s="866">
        <v>2019.0</v>
      </c>
      <c r="F1858" s="865" t="s">
        <v>593</v>
      </c>
      <c r="G1858" s="865" t="s">
        <v>70</v>
      </c>
      <c r="H1858" s="867">
        <v>371826.0604</v>
      </c>
      <c r="I1858" s="867">
        <v>412504.212</v>
      </c>
      <c r="J1858" s="868">
        <v>332444.1696</v>
      </c>
      <c r="K1858" s="50"/>
      <c r="L1858" s="869" t="s">
        <v>677</v>
      </c>
      <c r="M1858" s="865" t="s">
        <v>591</v>
      </c>
      <c r="N1858" s="865" t="s">
        <v>643</v>
      </c>
      <c r="O1858" s="866">
        <v>2004.0</v>
      </c>
      <c r="P1858" s="865" t="s">
        <v>593</v>
      </c>
      <c r="Q1858" s="865" t="s">
        <v>70</v>
      </c>
      <c r="R1858" s="867">
        <v>232432.531</v>
      </c>
      <c r="S1858" s="867">
        <v>250264.8101</v>
      </c>
      <c r="T1858" s="868">
        <v>214624.7751</v>
      </c>
      <c r="AN1858" s="882"/>
      <c r="AO1858" s="882"/>
      <c r="AP1858" s="882"/>
      <c r="AY1858" s="882"/>
      <c r="AZ1858" s="882"/>
      <c r="BA1858" s="882"/>
      <c r="BJ1858" s="882"/>
      <c r="BK1858" s="882"/>
      <c r="BL1858" s="882"/>
      <c r="BU1858" s="882"/>
      <c r="BV1858" s="882"/>
      <c r="BW1858" s="882"/>
      <c r="CF1858" s="882"/>
      <c r="CG1858" s="882"/>
      <c r="CH1858" s="882"/>
      <c r="CI1858" s="530"/>
    </row>
    <row r="1859">
      <c r="A1859" s="857"/>
      <c r="B1859" s="865" t="s">
        <v>677</v>
      </c>
      <c r="C1859" s="865" t="s">
        <v>591</v>
      </c>
      <c r="D1859" s="865" t="s">
        <v>645</v>
      </c>
      <c r="E1859" s="866">
        <v>2019.0</v>
      </c>
      <c r="F1859" s="865" t="s">
        <v>593</v>
      </c>
      <c r="G1859" s="865" t="s">
        <v>70</v>
      </c>
      <c r="H1859" s="867">
        <v>1142158.105</v>
      </c>
      <c r="I1859" s="867">
        <v>1267111.371</v>
      </c>
      <c r="J1859" s="868">
        <v>1021186.633</v>
      </c>
      <c r="K1859" s="50"/>
      <c r="L1859" s="869" t="s">
        <v>677</v>
      </c>
      <c r="M1859" s="865" t="s">
        <v>591</v>
      </c>
      <c r="N1859" s="865" t="s">
        <v>645</v>
      </c>
      <c r="O1859" s="866">
        <v>2004.0</v>
      </c>
      <c r="P1859" s="865" t="s">
        <v>593</v>
      </c>
      <c r="Q1859" s="865" t="s">
        <v>70</v>
      </c>
      <c r="R1859" s="867">
        <v>588801.464</v>
      </c>
      <c r="S1859" s="867">
        <v>633974.4524</v>
      </c>
      <c r="T1859" s="868">
        <v>543690.598</v>
      </c>
      <c r="AN1859" s="882"/>
      <c r="AO1859" s="882"/>
      <c r="AP1859" s="882"/>
      <c r="AY1859" s="882"/>
      <c r="AZ1859" s="882"/>
      <c r="BA1859" s="882"/>
      <c r="BJ1859" s="882"/>
      <c r="BK1859" s="882"/>
      <c r="BL1859" s="882"/>
      <c r="BU1859" s="882"/>
      <c r="BV1859" s="882"/>
      <c r="BW1859" s="882"/>
      <c r="CF1859" s="882"/>
      <c r="CG1859" s="882"/>
      <c r="CH1859" s="882"/>
      <c r="CI1859" s="530"/>
    </row>
    <row r="1860">
      <c r="A1860" s="857"/>
      <c r="B1860" s="865" t="s">
        <v>677</v>
      </c>
      <c r="C1860" s="865" t="s">
        <v>591</v>
      </c>
      <c r="D1860" s="865" t="s">
        <v>604</v>
      </c>
      <c r="E1860" s="866">
        <v>2019.0</v>
      </c>
      <c r="F1860" s="865" t="s">
        <v>593</v>
      </c>
      <c r="G1860" s="865" t="s">
        <v>70</v>
      </c>
      <c r="H1860" s="867">
        <v>3193235.738</v>
      </c>
      <c r="I1860" s="867">
        <v>3542578.996</v>
      </c>
      <c r="J1860" s="868">
        <v>2855024.745</v>
      </c>
      <c r="K1860" s="50"/>
      <c r="L1860" s="869" t="s">
        <v>677</v>
      </c>
      <c r="M1860" s="865" t="s">
        <v>591</v>
      </c>
      <c r="N1860" s="865" t="s">
        <v>604</v>
      </c>
      <c r="O1860" s="866">
        <v>2004.0</v>
      </c>
      <c r="P1860" s="865" t="s">
        <v>593</v>
      </c>
      <c r="Q1860" s="865" t="s">
        <v>70</v>
      </c>
      <c r="R1860" s="867">
        <v>2381044.547</v>
      </c>
      <c r="S1860" s="867">
        <v>2563718.851</v>
      </c>
      <c r="T1860" s="868">
        <v>2198621.458</v>
      </c>
      <c r="AN1860" s="882"/>
      <c r="AO1860" s="882"/>
      <c r="AP1860" s="882"/>
      <c r="AY1860" s="882"/>
      <c r="AZ1860" s="882"/>
      <c r="BA1860" s="882"/>
      <c r="BJ1860" s="882"/>
      <c r="BK1860" s="882"/>
      <c r="BL1860" s="882"/>
      <c r="BU1860" s="882"/>
      <c r="BV1860" s="882"/>
      <c r="BW1860" s="882"/>
      <c r="CF1860" s="882"/>
      <c r="CG1860" s="882"/>
      <c r="CH1860" s="882"/>
      <c r="CI1860" s="530"/>
    </row>
    <row r="1861">
      <c r="A1861" s="857"/>
      <c r="B1861" s="865" t="s">
        <v>677</v>
      </c>
      <c r="C1861" s="865" t="s">
        <v>591</v>
      </c>
      <c r="D1861" s="865" t="s">
        <v>647</v>
      </c>
      <c r="E1861" s="866">
        <v>2019.0</v>
      </c>
      <c r="F1861" s="865" t="s">
        <v>593</v>
      </c>
      <c r="G1861" s="865" t="s">
        <v>70</v>
      </c>
      <c r="H1861" s="867">
        <v>1004080.828</v>
      </c>
      <c r="I1861" s="867">
        <v>1113983.151</v>
      </c>
      <c r="J1861" s="868">
        <v>897659.2222</v>
      </c>
      <c r="K1861" s="50"/>
      <c r="L1861" s="869" t="s">
        <v>677</v>
      </c>
      <c r="M1861" s="865" t="s">
        <v>591</v>
      </c>
      <c r="N1861" s="865" t="s">
        <v>647</v>
      </c>
      <c r="O1861" s="866">
        <v>2004.0</v>
      </c>
      <c r="P1861" s="865" t="s">
        <v>593</v>
      </c>
      <c r="Q1861" s="865" t="s">
        <v>70</v>
      </c>
      <c r="R1861" s="867">
        <v>486151.7331</v>
      </c>
      <c r="S1861" s="867">
        <v>523493.9109</v>
      </c>
      <c r="T1861" s="868">
        <v>448919.0991</v>
      </c>
      <c r="AN1861" s="882"/>
      <c r="AO1861" s="882"/>
      <c r="AP1861" s="882"/>
      <c r="AY1861" s="882"/>
      <c r="AZ1861" s="882"/>
      <c r="BA1861" s="882"/>
      <c r="BJ1861" s="882"/>
      <c r="BK1861" s="882"/>
      <c r="BL1861" s="882"/>
      <c r="BU1861" s="882"/>
      <c r="BV1861" s="882"/>
      <c r="BW1861" s="882"/>
      <c r="CF1861" s="882"/>
      <c r="CG1861" s="882"/>
      <c r="CH1861" s="882"/>
      <c r="CI1861" s="530"/>
    </row>
    <row r="1862">
      <c r="A1862" s="857"/>
      <c r="B1862" s="865" t="s">
        <v>677</v>
      </c>
      <c r="C1862" s="865" t="s">
        <v>591</v>
      </c>
      <c r="D1862" s="865" t="s">
        <v>649</v>
      </c>
      <c r="E1862" s="866">
        <v>2019.0</v>
      </c>
      <c r="F1862" s="865" t="s">
        <v>593</v>
      </c>
      <c r="G1862" s="865" t="s">
        <v>70</v>
      </c>
      <c r="H1862" s="867">
        <v>321644.931</v>
      </c>
      <c r="I1862" s="867">
        <v>356833.2157</v>
      </c>
      <c r="J1862" s="868">
        <v>287577.9656</v>
      </c>
      <c r="K1862" s="50"/>
      <c r="L1862" s="869" t="s">
        <v>677</v>
      </c>
      <c r="M1862" s="865" t="s">
        <v>591</v>
      </c>
      <c r="N1862" s="865" t="s">
        <v>649</v>
      </c>
      <c r="O1862" s="866">
        <v>2004.0</v>
      </c>
      <c r="P1862" s="865" t="s">
        <v>593</v>
      </c>
      <c r="Q1862" s="865" t="s">
        <v>70</v>
      </c>
      <c r="R1862" s="867">
        <v>149099.0475</v>
      </c>
      <c r="S1862" s="867">
        <v>160537.9618</v>
      </c>
      <c r="T1862" s="868">
        <v>137675.864</v>
      </c>
      <c r="AN1862" s="882"/>
      <c r="AO1862" s="882"/>
      <c r="AP1862" s="882"/>
      <c r="AY1862" s="882"/>
      <c r="AZ1862" s="882"/>
      <c r="BA1862" s="882"/>
      <c r="BJ1862" s="882"/>
      <c r="BK1862" s="882"/>
      <c r="BL1862" s="882"/>
      <c r="BU1862" s="882"/>
      <c r="BV1862" s="882"/>
      <c r="BW1862" s="882"/>
      <c r="CF1862" s="882"/>
      <c r="CG1862" s="882"/>
      <c r="CH1862" s="882"/>
      <c r="CI1862" s="530"/>
    </row>
    <row r="1863">
      <c r="A1863" s="857"/>
      <c r="B1863" s="865" t="s">
        <v>677</v>
      </c>
      <c r="C1863" s="865" t="s">
        <v>591</v>
      </c>
      <c r="D1863" s="865" t="s">
        <v>651</v>
      </c>
      <c r="E1863" s="866">
        <v>2019.0</v>
      </c>
      <c r="F1863" s="865" t="s">
        <v>593</v>
      </c>
      <c r="G1863" s="865" t="s">
        <v>70</v>
      </c>
      <c r="H1863" s="867">
        <v>260584.9642</v>
      </c>
      <c r="I1863" s="867">
        <v>289093.226</v>
      </c>
      <c r="J1863" s="868">
        <v>232985.1543</v>
      </c>
      <c r="K1863" s="50"/>
      <c r="L1863" s="869" t="s">
        <v>677</v>
      </c>
      <c r="M1863" s="865" t="s">
        <v>591</v>
      </c>
      <c r="N1863" s="865" t="s">
        <v>651</v>
      </c>
      <c r="O1863" s="866">
        <v>2004.0</v>
      </c>
      <c r="P1863" s="865" t="s">
        <v>593</v>
      </c>
      <c r="Q1863" s="865" t="s">
        <v>70</v>
      </c>
      <c r="R1863" s="867">
        <v>113627.0178</v>
      </c>
      <c r="S1863" s="867">
        <v>122344.5097</v>
      </c>
      <c r="T1863" s="868">
        <v>104921.5144</v>
      </c>
      <c r="AN1863" s="882"/>
      <c r="AO1863" s="882"/>
      <c r="AP1863" s="882"/>
      <c r="AY1863" s="882"/>
      <c r="AZ1863" s="882"/>
      <c r="BA1863" s="882"/>
      <c r="BJ1863" s="882"/>
      <c r="BK1863" s="882"/>
      <c r="BL1863" s="882"/>
      <c r="BU1863" s="882"/>
      <c r="BV1863" s="882"/>
      <c r="BW1863" s="882"/>
      <c r="CF1863" s="882"/>
      <c r="CG1863" s="882"/>
      <c r="CH1863" s="882"/>
      <c r="CI1863" s="530"/>
    </row>
    <row r="1864">
      <c r="A1864" s="857"/>
      <c r="B1864" s="865" t="s">
        <v>677</v>
      </c>
      <c r="C1864" s="865" t="s">
        <v>591</v>
      </c>
      <c r="D1864" s="865" t="s">
        <v>653</v>
      </c>
      <c r="E1864" s="866">
        <v>2019.0</v>
      </c>
      <c r="F1864" s="865" t="s">
        <v>593</v>
      </c>
      <c r="G1864" s="865" t="s">
        <v>70</v>
      </c>
      <c r="H1864" s="867">
        <v>188102.1494</v>
      </c>
      <c r="I1864" s="867">
        <v>208680.7171</v>
      </c>
      <c r="J1864" s="868">
        <v>168179.3438</v>
      </c>
      <c r="K1864" s="50"/>
      <c r="L1864" s="869" t="s">
        <v>677</v>
      </c>
      <c r="M1864" s="865" t="s">
        <v>591</v>
      </c>
      <c r="N1864" s="865" t="s">
        <v>653</v>
      </c>
      <c r="O1864" s="866">
        <v>2004.0</v>
      </c>
      <c r="P1864" s="865" t="s">
        <v>593</v>
      </c>
      <c r="Q1864" s="865" t="s">
        <v>70</v>
      </c>
      <c r="R1864" s="867">
        <v>93642.86768</v>
      </c>
      <c r="S1864" s="867">
        <v>100827.1708</v>
      </c>
      <c r="T1864" s="868">
        <v>86468.44453</v>
      </c>
      <c r="AN1864" s="882"/>
      <c r="AO1864" s="882"/>
      <c r="AP1864" s="882"/>
      <c r="AY1864" s="882"/>
      <c r="AZ1864" s="882"/>
      <c r="BA1864" s="882"/>
      <c r="BJ1864" s="882"/>
      <c r="BK1864" s="882"/>
      <c r="BL1864" s="882"/>
      <c r="BU1864" s="882"/>
      <c r="BV1864" s="882"/>
      <c r="BW1864" s="882"/>
      <c r="CF1864" s="882"/>
      <c r="CG1864" s="882"/>
      <c r="CH1864" s="882"/>
      <c r="CI1864" s="530"/>
    </row>
    <row r="1865">
      <c r="A1865" s="857"/>
      <c r="B1865" s="865" t="s">
        <v>677</v>
      </c>
      <c r="C1865" s="865" t="s">
        <v>591</v>
      </c>
      <c r="D1865" s="865" t="s">
        <v>655</v>
      </c>
      <c r="E1865" s="866">
        <v>2019.0</v>
      </c>
      <c r="F1865" s="865" t="s">
        <v>593</v>
      </c>
      <c r="G1865" s="865" t="s">
        <v>70</v>
      </c>
      <c r="H1865" s="867">
        <v>295797.3808</v>
      </c>
      <c r="I1865" s="867">
        <v>328174.0764</v>
      </c>
      <c r="J1865" s="868">
        <v>264446.0877</v>
      </c>
      <c r="K1865" s="50"/>
      <c r="L1865" s="869" t="s">
        <v>677</v>
      </c>
      <c r="M1865" s="865" t="s">
        <v>591</v>
      </c>
      <c r="N1865" s="865" t="s">
        <v>655</v>
      </c>
      <c r="O1865" s="866">
        <v>2004.0</v>
      </c>
      <c r="P1865" s="865" t="s">
        <v>593</v>
      </c>
      <c r="Q1865" s="865" t="s">
        <v>70</v>
      </c>
      <c r="R1865" s="867">
        <v>158857.6427</v>
      </c>
      <c r="S1865" s="867">
        <v>171059.7803</v>
      </c>
      <c r="T1865" s="868">
        <v>146691.3003</v>
      </c>
      <c r="AN1865" s="882"/>
      <c r="AO1865" s="882"/>
      <c r="AP1865" s="882"/>
      <c r="AY1865" s="882"/>
      <c r="AZ1865" s="882"/>
      <c r="BA1865" s="882"/>
      <c r="BJ1865" s="882"/>
      <c r="BK1865" s="882"/>
      <c r="BL1865" s="882"/>
      <c r="BU1865" s="882"/>
      <c r="BV1865" s="882"/>
      <c r="BW1865" s="882"/>
      <c r="CF1865" s="882"/>
      <c r="CG1865" s="882"/>
      <c r="CH1865" s="882"/>
      <c r="CI1865" s="530"/>
    </row>
    <row r="1866">
      <c r="A1866" s="857"/>
      <c r="B1866" s="865" t="s">
        <v>677</v>
      </c>
      <c r="C1866" s="865" t="s">
        <v>591</v>
      </c>
      <c r="D1866" s="865" t="s">
        <v>657</v>
      </c>
      <c r="E1866" s="866">
        <v>2019.0</v>
      </c>
      <c r="F1866" s="865" t="s">
        <v>593</v>
      </c>
      <c r="G1866" s="865" t="s">
        <v>70</v>
      </c>
      <c r="H1866" s="867">
        <v>107709.3728</v>
      </c>
      <c r="I1866" s="867">
        <v>119492.8884</v>
      </c>
      <c r="J1866" s="868">
        <v>96301.35378</v>
      </c>
      <c r="K1866" s="50"/>
      <c r="L1866" s="869" t="s">
        <v>677</v>
      </c>
      <c r="M1866" s="865" t="s">
        <v>591</v>
      </c>
      <c r="N1866" s="865" t="s">
        <v>657</v>
      </c>
      <c r="O1866" s="866">
        <v>2004.0</v>
      </c>
      <c r="P1866" s="865" t="s">
        <v>593</v>
      </c>
      <c r="Q1866" s="865" t="s">
        <v>70</v>
      </c>
      <c r="R1866" s="867">
        <v>65220.68023</v>
      </c>
      <c r="S1866" s="867">
        <v>70224.42633</v>
      </c>
      <c r="T1866" s="868">
        <v>60223.81533</v>
      </c>
      <c r="AN1866" s="882"/>
      <c r="AO1866" s="882"/>
      <c r="AP1866" s="882"/>
      <c r="AY1866" s="882"/>
      <c r="AZ1866" s="882"/>
      <c r="BA1866" s="882"/>
      <c r="BJ1866" s="882"/>
      <c r="BK1866" s="882"/>
      <c r="BL1866" s="882"/>
      <c r="BU1866" s="882"/>
      <c r="BV1866" s="882"/>
      <c r="BW1866" s="882"/>
      <c r="CF1866" s="882"/>
      <c r="CG1866" s="882"/>
      <c r="CH1866" s="882"/>
      <c r="CI1866" s="530"/>
    </row>
    <row r="1867">
      <c r="A1867" s="857"/>
      <c r="B1867" s="865" t="s">
        <v>677</v>
      </c>
      <c r="C1867" s="865" t="s">
        <v>591</v>
      </c>
      <c r="D1867" s="865" t="s">
        <v>659</v>
      </c>
      <c r="E1867" s="866">
        <v>2019.0</v>
      </c>
      <c r="F1867" s="865" t="s">
        <v>593</v>
      </c>
      <c r="G1867" s="865" t="s">
        <v>70</v>
      </c>
      <c r="H1867" s="867">
        <v>233796.7863</v>
      </c>
      <c r="I1867" s="867">
        <v>259374.3941</v>
      </c>
      <c r="J1867" s="868">
        <v>209034.2415</v>
      </c>
      <c r="K1867" s="50"/>
      <c r="L1867" s="869" t="s">
        <v>677</v>
      </c>
      <c r="M1867" s="865" t="s">
        <v>591</v>
      </c>
      <c r="N1867" s="865" t="s">
        <v>659</v>
      </c>
      <c r="O1867" s="866">
        <v>2004.0</v>
      </c>
      <c r="P1867" s="865" t="s">
        <v>593</v>
      </c>
      <c r="Q1867" s="865" t="s">
        <v>70</v>
      </c>
      <c r="R1867" s="867">
        <v>129800.8718</v>
      </c>
      <c r="S1867" s="867">
        <v>139759.2256</v>
      </c>
      <c r="T1867" s="868">
        <v>119856.2129</v>
      </c>
      <c r="AN1867" s="882"/>
      <c r="AO1867" s="882"/>
      <c r="AP1867" s="882"/>
      <c r="AY1867" s="882"/>
      <c r="AZ1867" s="882"/>
      <c r="BA1867" s="882"/>
      <c r="BJ1867" s="882"/>
      <c r="BK1867" s="882"/>
      <c r="BL1867" s="882"/>
      <c r="BU1867" s="882"/>
      <c r="BV1867" s="882"/>
      <c r="BW1867" s="882"/>
      <c r="CF1867" s="882"/>
      <c r="CG1867" s="882"/>
      <c r="CH1867" s="882"/>
      <c r="CI1867" s="530"/>
    </row>
    <row r="1868">
      <c r="A1868" s="857"/>
      <c r="B1868" s="865" t="s">
        <v>677</v>
      </c>
      <c r="C1868" s="865" t="s">
        <v>591</v>
      </c>
      <c r="D1868" s="865" t="s">
        <v>661</v>
      </c>
      <c r="E1868" s="866">
        <v>2019.0</v>
      </c>
      <c r="F1868" s="865" t="s">
        <v>593</v>
      </c>
      <c r="G1868" s="865" t="s">
        <v>70</v>
      </c>
      <c r="H1868" s="867">
        <v>126081.3859</v>
      </c>
      <c r="I1868" s="867">
        <v>139881.7064</v>
      </c>
      <c r="J1868" s="868">
        <v>112718.1355</v>
      </c>
      <c r="K1868" s="50"/>
      <c r="L1868" s="869" t="s">
        <v>677</v>
      </c>
      <c r="M1868" s="865" t="s">
        <v>591</v>
      </c>
      <c r="N1868" s="865" t="s">
        <v>661</v>
      </c>
      <c r="O1868" s="866">
        <v>2004.0</v>
      </c>
      <c r="P1868" s="865" t="s">
        <v>593</v>
      </c>
      <c r="Q1868" s="865" t="s">
        <v>70</v>
      </c>
      <c r="R1868" s="867">
        <v>64577.79104</v>
      </c>
      <c r="S1868" s="867">
        <v>69538.12583</v>
      </c>
      <c r="T1868" s="868">
        <v>59632.00746</v>
      </c>
      <c r="AN1868" s="882"/>
      <c r="AO1868" s="882"/>
      <c r="AP1868" s="882"/>
      <c r="AY1868" s="882"/>
      <c r="AZ1868" s="882"/>
      <c r="BA1868" s="882"/>
      <c r="BJ1868" s="882"/>
      <c r="BK1868" s="882"/>
      <c r="BL1868" s="882"/>
      <c r="BU1868" s="882"/>
      <c r="BV1868" s="882"/>
      <c r="BW1868" s="882"/>
      <c r="CF1868" s="882"/>
      <c r="CG1868" s="882"/>
      <c r="CH1868" s="882"/>
      <c r="CI1868" s="530"/>
    </row>
    <row r="1869">
      <c r="A1869" s="857"/>
      <c r="B1869" s="865" t="s">
        <v>677</v>
      </c>
      <c r="C1869" s="865" t="s">
        <v>591</v>
      </c>
      <c r="D1869" s="865" t="s">
        <v>663</v>
      </c>
      <c r="E1869" s="866">
        <v>2019.0</v>
      </c>
      <c r="F1869" s="865" t="s">
        <v>593</v>
      </c>
      <c r="G1869" s="865" t="s">
        <v>70</v>
      </c>
      <c r="H1869" s="867">
        <v>66328.56162</v>
      </c>
      <c r="I1869" s="867">
        <v>73584.97416</v>
      </c>
      <c r="J1869" s="868">
        <v>59303.38387</v>
      </c>
      <c r="K1869" s="50"/>
      <c r="L1869" s="869" t="s">
        <v>677</v>
      </c>
      <c r="M1869" s="865" t="s">
        <v>591</v>
      </c>
      <c r="N1869" s="865" t="s">
        <v>663</v>
      </c>
      <c r="O1869" s="866">
        <v>2004.0</v>
      </c>
      <c r="P1869" s="865" t="s">
        <v>593</v>
      </c>
      <c r="Q1869" s="865" t="s">
        <v>70</v>
      </c>
      <c r="R1869" s="867">
        <v>38516.26012</v>
      </c>
      <c r="S1869" s="867">
        <v>41471.23676</v>
      </c>
      <c r="T1869" s="868">
        <v>35565.3472</v>
      </c>
      <c r="AN1869" s="882"/>
      <c r="AO1869" s="882"/>
      <c r="AP1869" s="882"/>
      <c r="AY1869" s="882"/>
      <c r="AZ1869" s="882"/>
      <c r="BA1869" s="882"/>
      <c r="BJ1869" s="882"/>
      <c r="BK1869" s="882"/>
      <c r="BL1869" s="882"/>
      <c r="BU1869" s="882"/>
      <c r="BV1869" s="882"/>
      <c r="BW1869" s="882"/>
      <c r="CF1869" s="882"/>
      <c r="CG1869" s="882"/>
      <c r="CH1869" s="882"/>
      <c r="CI1869" s="530"/>
    </row>
    <row r="1870">
      <c r="A1870" s="857"/>
      <c r="B1870" s="865" t="s">
        <v>677</v>
      </c>
      <c r="C1870" s="865" t="s">
        <v>591</v>
      </c>
      <c r="D1870" s="865" t="s">
        <v>665</v>
      </c>
      <c r="E1870" s="866">
        <v>2019.0</v>
      </c>
      <c r="F1870" s="865" t="s">
        <v>593</v>
      </c>
      <c r="G1870" s="865" t="s">
        <v>70</v>
      </c>
      <c r="H1870" s="867">
        <v>104249.1606</v>
      </c>
      <c r="I1870" s="867">
        <v>115659.8206</v>
      </c>
      <c r="J1870" s="868">
        <v>93199.88771</v>
      </c>
      <c r="K1870" s="50"/>
      <c r="L1870" s="869" t="s">
        <v>677</v>
      </c>
      <c r="M1870" s="865" t="s">
        <v>591</v>
      </c>
      <c r="N1870" s="865" t="s">
        <v>665</v>
      </c>
      <c r="O1870" s="866">
        <v>2004.0</v>
      </c>
      <c r="P1870" s="865" t="s">
        <v>593</v>
      </c>
      <c r="Q1870" s="865" t="s">
        <v>70</v>
      </c>
      <c r="R1870" s="867">
        <v>54913.42805</v>
      </c>
      <c r="S1870" s="867">
        <v>59131.42596</v>
      </c>
      <c r="T1870" s="868">
        <v>50707.80369</v>
      </c>
      <c r="AN1870" s="882"/>
      <c r="AO1870" s="882"/>
      <c r="AP1870" s="882"/>
      <c r="AY1870" s="882"/>
      <c r="AZ1870" s="882"/>
      <c r="BA1870" s="882"/>
      <c r="BJ1870" s="882"/>
      <c r="BK1870" s="882"/>
      <c r="BL1870" s="882"/>
      <c r="BU1870" s="882"/>
      <c r="BV1870" s="882"/>
      <c r="BW1870" s="882"/>
      <c r="CF1870" s="882"/>
      <c r="CG1870" s="882"/>
      <c r="CH1870" s="882"/>
      <c r="CI1870" s="530"/>
    </row>
    <row r="1871">
      <c r="A1871" s="857"/>
      <c r="B1871" s="865" t="s">
        <v>677</v>
      </c>
      <c r="C1871" s="865" t="s">
        <v>591</v>
      </c>
      <c r="D1871" s="865" t="s">
        <v>667</v>
      </c>
      <c r="E1871" s="866">
        <v>2019.0</v>
      </c>
      <c r="F1871" s="865" t="s">
        <v>593</v>
      </c>
      <c r="G1871" s="865" t="s">
        <v>70</v>
      </c>
      <c r="H1871" s="867">
        <v>59758.85194</v>
      </c>
      <c r="I1871" s="867">
        <v>66296.53151</v>
      </c>
      <c r="J1871" s="868">
        <v>53429.50381</v>
      </c>
      <c r="K1871" s="50"/>
      <c r="L1871" s="869" t="s">
        <v>677</v>
      </c>
      <c r="M1871" s="865" t="s">
        <v>591</v>
      </c>
      <c r="N1871" s="865" t="s">
        <v>667</v>
      </c>
      <c r="O1871" s="866">
        <v>2004.0</v>
      </c>
      <c r="P1871" s="865" t="s">
        <v>593</v>
      </c>
      <c r="Q1871" s="865" t="s">
        <v>70</v>
      </c>
      <c r="R1871" s="867">
        <v>26063.93146</v>
      </c>
      <c r="S1871" s="867">
        <v>28063.56248</v>
      </c>
      <c r="T1871" s="868">
        <v>24067.05035</v>
      </c>
      <c r="AN1871" s="882"/>
      <c r="AO1871" s="882"/>
      <c r="AP1871" s="882"/>
      <c r="AY1871" s="882"/>
      <c r="AZ1871" s="882"/>
      <c r="BA1871" s="882"/>
      <c r="BJ1871" s="882"/>
      <c r="BK1871" s="882"/>
      <c r="BL1871" s="882"/>
      <c r="BU1871" s="882"/>
      <c r="BV1871" s="882"/>
      <c r="BW1871" s="882"/>
      <c r="CF1871" s="882"/>
      <c r="CG1871" s="882"/>
      <c r="CH1871" s="882"/>
      <c r="CI1871" s="530"/>
    </row>
    <row r="1872">
      <c r="A1872" s="857"/>
      <c r="B1872" s="865" t="s">
        <v>677</v>
      </c>
      <c r="C1872" s="865" t="s">
        <v>591</v>
      </c>
      <c r="D1872" s="865" t="s">
        <v>669</v>
      </c>
      <c r="E1872" s="866">
        <v>2019.0</v>
      </c>
      <c r="F1872" s="865" t="s">
        <v>593</v>
      </c>
      <c r="G1872" s="865" t="s">
        <v>70</v>
      </c>
      <c r="H1872" s="867">
        <v>37925.5829</v>
      </c>
      <c r="I1872" s="867">
        <v>42074.68049</v>
      </c>
      <c r="J1872" s="868">
        <v>33908.70156</v>
      </c>
      <c r="K1872" s="50"/>
      <c r="L1872" s="869" t="s">
        <v>677</v>
      </c>
      <c r="M1872" s="865" t="s">
        <v>591</v>
      </c>
      <c r="N1872" s="865" t="s">
        <v>669</v>
      </c>
      <c r="O1872" s="866">
        <v>2004.0</v>
      </c>
      <c r="P1872" s="865" t="s">
        <v>593</v>
      </c>
      <c r="Q1872" s="865" t="s">
        <v>70</v>
      </c>
      <c r="R1872" s="867">
        <v>16399.20922</v>
      </c>
      <c r="S1872" s="867">
        <v>17657.36045</v>
      </c>
      <c r="T1872" s="868">
        <v>15142.78821</v>
      </c>
      <c r="AN1872" s="882"/>
      <c r="AO1872" s="882"/>
      <c r="AP1872" s="882"/>
      <c r="AY1872" s="882"/>
      <c r="AZ1872" s="882"/>
      <c r="BA1872" s="882"/>
      <c r="BJ1872" s="882"/>
      <c r="BK1872" s="882"/>
      <c r="BL1872" s="882"/>
      <c r="BU1872" s="882"/>
      <c r="BV1872" s="882"/>
      <c r="BW1872" s="882"/>
      <c r="CF1872" s="882"/>
      <c r="CG1872" s="882"/>
      <c r="CH1872" s="882"/>
      <c r="CI1872" s="530"/>
    </row>
    <row r="1873">
      <c r="A1873" s="857"/>
      <c r="B1873" s="865" t="s">
        <v>677</v>
      </c>
      <c r="C1873" s="865" t="s">
        <v>591</v>
      </c>
      <c r="D1873" s="865" t="s">
        <v>671</v>
      </c>
      <c r="E1873" s="866">
        <v>2019.0</v>
      </c>
      <c r="F1873" s="865" t="s">
        <v>593</v>
      </c>
      <c r="G1873" s="865" t="s">
        <v>70</v>
      </c>
      <c r="H1873" s="867">
        <v>21832.22529</v>
      </c>
      <c r="I1873" s="867">
        <v>24221.88578</v>
      </c>
      <c r="J1873" s="868">
        <v>19518.24776</v>
      </c>
      <c r="K1873" s="50"/>
      <c r="L1873" s="869" t="s">
        <v>677</v>
      </c>
      <c r="M1873" s="865" t="s">
        <v>591</v>
      </c>
      <c r="N1873" s="865" t="s">
        <v>671</v>
      </c>
      <c r="O1873" s="866">
        <v>2004.0</v>
      </c>
      <c r="P1873" s="865" t="s">
        <v>593</v>
      </c>
      <c r="Q1873" s="865" t="s">
        <v>70</v>
      </c>
      <c r="R1873" s="867">
        <v>9664.362989</v>
      </c>
      <c r="S1873" s="867">
        <v>10406.69987</v>
      </c>
      <c r="T1873" s="868">
        <v>8924.203763</v>
      </c>
      <c r="AN1873" s="882"/>
      <c r="AO1873" s="882"/>
      <c r="AP1873" s="882"/>
      <c r="AY1873" s="882"/>
      <c r="AZ1873" s="882"/>
      <c r="BA1873" s="882"/>
      <c r="BJ1873" s="882"/>
      <c r="BK1873" s="882"/>
      <c r="BL1873" s="882"/>
      <c r="BU1873" s="882"/>
      <c r="BV1873" s="882"/>
      <c r="BW1873" s="882"/>
      <c r="CF1873" s="882"/>
      <c r="CG1873" s="882"/>
      <c r="CH1873" s="882"/>
      <c r="CI1873" s="530"/>
    </row>
    <row r="1874">
      <c r="A1874" s="857"/>
      <c r="B1874" s="865" t="s">
        <v>677</v>
      </c>
      <c r="C1874" s="865" t="s">
        <v>591</v>
      </c>
      <c r="D1874" s="865" t="s">
        <v>673</v>
      </c>
      <c r="E1874" s="866">
        <v>2019.0</v>
      </c>
      <c r="F1874" s="865" t="s">
        <v>593</v>
      </c>
      <c r="G1874" s="865" t="s">
        <v>70</v>
      </c>
      <c r="H1874" s="867">
        <v>15841.24573</v>
      </c>
      <c r="I1874" s="867">
        <v>17574.29423</v>
      </c>
      <c r="J1874" s="868">
        <v>14163.42302</v>
      </c>
      <c r="K1874" s="50"/>
      <c r="L1874" s="869" t="s">
        <v>677</v>
      </c>
      <c r="M1874" s="865" t="s">
        <v>591</v>
      </c>
      <c r="N1874" s="865" t="s">
        <v>673</v>
      </c>
      <c r="O1874" s="866">
        <v>2004.0</v>
      </c>
      <c r="P1874" s="865" t="s">
        <v>593</v>
      </c>
      <c r="Q1874" s="865" t="s">
        <v>70</v>
      </c>
      <c r="R1874" s="867">
        <v>7288.548523</v>
      </c>
      <c r="S1874" s="867">
        <v>7847.727699</v>
      </c>
      <c r="T1874" s="868">
        <v>6730.138335</v>
      </c>
      <c r="AN1874" s="882"/>
      <c r="AO1874" s="882"/>
      <c r="AP1874" s="882"/>
      <c r="AY1874" s="882"/>
      <c r="AZ1874" s="882"/>
      <c r="BA1874" s="882"/>
      <c r="BJ1874" s="882"/>
      <c r="BK1874" s="882"/>
      <c r="BL1874" s="882"/>
      <c r="BU1874" s="882"/>
      <c r="BV1874" s="882"/>
      <c r="BW1874" s="882"/>
      <c r="CF1874" s="882"/>
      <c r="CG1874" s="882"/>
      <c r="CH1874" s="882"/>
      <c r="CI1874" s="530"/>
    </row>
    <row r="1875">
      <c r="A1875" s="857"/>
      <c r="B1875" s="865" t="s">
        <v>677</v>
      </c>
      <c r="C1875" s="865" t="s">
        <v>591</v>
      </c>
      <c r="D1875" s="865" t="s">
        <v>674</v>
      </c>
      <c r="E1875" s="866">
        <v>2019.0</v>
      </c>
      <c r="F1875" s="865" t="s">
        <v>593</v>
      </c>
      <c r="G1875" s="865" t="s">
        <v>70</v>
      </c>
      <c r="H1875" s="867">
        <v>4988.817636</v>
      </c>
      <c r="I1875" s="867">
        <v>5534.599393</v>
      </c>
      <c r="J1875" s="868">
        <v>4460.427907</v>
      </c>
      <c r="K1875" s="50"/>
      <c r="L1875" s="869" t="s">
        <v>677</v>
      </c>
      <c r="M1875" s="865" t="s">
        <v>591</v>
      </c>
      <c r="N1875" s="865" t="s">
        <v>674</v>
      </c>
      <c r="O1875" s="866">
        <v>2004.0</v>
      </c>
      <c r="P1875" s="865" t="s">
        <v>593</v>
      </c>
      <c r="Q1875" s="865" t="s">
        <v>70</v>
      </c>
      <c r="R1875" s="867">
        <v>1987.747933</v>
      </c>
      <c r="S1875" s="867">
        <v>2140.248427</v>
      </c>
      <c r="T1875" s="868">
        <v>1835.457159</v>
      </c>
      <c r="AN1875" s="882"/>
      <c r="AO1875" s="882"/>
      <c r="AP1875" s="882"/>
      <c r="AY1875" s="882"/>
      <c r="AZ1875" s="882"/>
      <c r="BA1875" s="882"/>
      <c r="BJ1875" s="882"/>
      <c r="BK1875" s="882"/>
      <c r="BL1875" s="882"/>
      <c r="BU1875" s="882"/>
      <c r="BV1875" s="882"/>
      <c r="BW1875" s="882"/>
      <c r="CF1875" s="882"/>
      <c r="CG1875" s="882"/>
      <c r="CH1875" s="882"/>
      <c r="CI1875" s="530"/>
    </row>
    <row r="1876">
      <c r="A1876" s="857"/>
      <c r="B1876" s="865" t="s">
        <v>677</v>
      </c>
      <c r="C1876" s="865" t="s">
        <v>591</v>
      </c>
      <c r="D1876" s="865" t="s">
        <v>676</v>
      </c>
      <c r="E1876" s="866">
        <v>2019.0</v>
      </c>
      <c r="F1876" s="865" t="s">
        <v>593</v>
      </c>
      <c r="G1876" s="865" t="s">
        <v>70</v>
      </c>
      <c r="H1876" s="867">
        <v>1003.205665</v>
      </c>
      <c r="I1876" s="867">
        <v>1112.957392</v>
      </c>
      <c r="J1876" s="868">
        <v>896.9513164</v>
      </c>
      <c r="K1876" s="50"/>
      <c r="L1876" s="869" t="s">
        <v>677</v>
      </c>
      <c r="M1876" s="865" t="s">
        <v>591</v>
      </c>
      <c r="N1876" s="865" t="s">
        <v>676</v>
      </c>
      <c r="O1876" s="866">
        <v>2004.0</v>
      </c>
      <c r="P1876" s="865" t="s">
        <v>593</v>
      </c>
      <c r="Q1876" s="865" t="s">
        <v>70</v>
      </c>
      <c r="R1876" s="867">
        <v>388.4257862</v>
      </c>
      <c r="S1876" s="867">
        <v>418.2259049</v>
      </c>
      <c r="T1876" s="868">
        <v>358.6666489</v>
      </c>
      <c r="AN1876" s="882"/>
      <c r="AO1876" s="882"/>
      <c r="AP1876" s="882"/>
      <c r="AY1876" s="882"/>
      <c r="AZ1876" s="882"/>
      <c r="BA1876" s="882"/>
      <c r="BJ1876" s="882"/>
      <c r="BK1876" s="882"/>
      <c r="BL1876" s="882"/>
      <c r="BU1876" s="882"/>
      <c r="BV1876" s="882"/>
      <c r="BW1876" s="882"/>
      <c r="CF1876" s="882"/>
      <c r="CG1876" s="882"/>
      <c r="CH1876" s="882"/>
      <c r="CI1876" s="530"/>
    </row>
    <row r="1877">
      <c r="A1877" s="857"/>
      <c r="B1877" s="865" t="s">
        <v>677</v>
      </c>
      <c r="C1877" s="865" t="s">
        <v>591</v>
      </c>
      <c r="D1877" s="865" t="s">
        <v>678</v>
      </c>
      <c r="E1877" s="866">
        <v>2019.0</v>
      </c>
      <c r="F1877" s="865" t="s">
        <v>593</v>
      </c>
      <c r="G1877" s="865" t="s">
        <v>70</v>
      </c>
      <c r="H1877" s="867">
        <v>1.268811731E7</v>
      </c>
      <c r="I1877" s="867">
        <v>1.407621033E7</v>
      </c>
      <c r="J1877" s="868">
        <v>1.134425763E7</v>
      </c>
      <c r="K1877" s="50"/>
      <c r="L1877" s="869" t="s">
        <v>677</v>
      </c>
      <c r="M1877" s="865" t="s">
        <v>591</v>
      </c>
      <c r="N1877" s="865" t="s">
        <v>678</v>
      </c>
      <c r="O1877" s="866">
        <v>2004.0</v>
      </c>
      <c r="P1877" s="865" t="s">
        <v>593</v>
      </c>
      <c r="Q1877" s="865" t="s">
        <v>70</v>
      </c>
      <c r="R1877" s="867">
        <v>8883583.607</v>
      </c>
      <c r="S1877" s="867">
        <v>9565134.255</v>
      </c>
      <c r="T1877" s="868">
        <v>8202970.235</v>
      </c>
      <c r="AN1877" s="882"/>
      <c r="AO1877" s="882"/>
      <c r="AP1877" s="882"/>
      <c r="AY1877" s="882"/>
      <c r="AZ1877" s="882"/>
      <c r="BA1877" s="882"/>
      <c r="BJ1877" s="882"/>
      <c r="BK1877" s="882"/>
      <c r="BL1877" s="882"/>
      <c r="BU1877" s="882"/>
      <c r="BV1877" s="882"/>
      <c r="BW1877" s="882"/>
      <c r="CF1877" s="882"/>
      <c r="CG1877" s="882"/>
      <c r="CH1877" s="882"/>
      <c r="CI1877" s="530"/>
    </row>
    <row r="1878">
      <c r="A1878" s="857"/>
      <c r="B1878" s="865" t="s">
        <v>677</v>
      </c>
      <c r="C1878" s="865" t="s">
        <v>591</v>
      </c>
      <c r="D1878" s="865" t="s">
        <v>680</v>
      </c>
      <c r="E1878" s="866">
        <v>2019.0</v>
      </c>
      <c r="F1878" s="865" t="s">
        <v>593</v>
      </c>
      <c r="G1878" s="865" t="s">
        <v>70</v>
      </c>
      <c r="H1878" s="867">
        <v>352297.7752</v>
      </c>
      <c r="I1878" s="867">
        <v>387873.175</v>
      </c>
      <c r="J1878" s="868">
        <v>321197.352</v>
      </c>
      <c r="K1878" s="50"/>
      <c r="L1878" s="869" t="s">
        <v>677</v>
      </c>
      <c r="M1878" s="865" t="s">
        <v>591</v>
      </c>
      <c r="N1878" s="865" t="s">
        <v>680</v>
      </c>
      <c r="O1878" s="866">
        <v>2004.0</v>
      </c>
      <c r="P1878" s="865" t="s">
        <v>593</v>
      </c>
      <c r="Q1878" s="865" t="s">
        <v>70</v>
      </c>
      <c r="R1878" s="867">
        <v>336211.7054</v>
      </c>
      <c r="S1878" s="867">
        <v>345949.1745</v>
      </c>
      <c r="T1878" s="868">
        <v>326112.2921</v>
      </c>
      <c r="AN1878" s="882"/>
      <c r="AO1878" s="882"/>
      <c r="AP1878" s="882"/>
      <c r="AY1878" s="882"/>
      <c r="AZ1878" s="882"/>
      <c r="BA1878" s="882"/>
      <c r="BJ1878" s="882"/>
      <c r="BK1878" s="882"/>
      <c r="BL1878" s="882"/>
      <c r="BU1878" s="882"/>
      <c r="BV1878" s="882"/>
      <c r="BW1878" s="882"/>
      <c r="CF1878" s="882"/>
      <c r="CG1878" s="882"/>
      <c r="CH1878" s="882"/>
      <c r="CI1878" s="530"/>
    </row>
    <row r="1879">
      <c r="A1879" s="857"/>
      <c r="B1879" s="865" t="s">
        <v>677</v>
      </c>
      <c r="C1879" s="865" t="s">
        <v>591</v>
      </c>
      <c r="D1879" s="865" t="s">
        <v>682</v>
      </c>
      <c r="E1879" s="866">
        <v>2019.0</v>
      </c>
      <c r="F1879" s="865" t="s">
        <v>593</v>
      </c>
      <c r="G1879" s="865" t="s">
        <v>70</v>
      </c>
      <c r="H1879" s="867">
        <v>6708.108822</v>
      </c>
      <c r="I1879" s="867">
        <v>7441.982794</v>
      </c>
      <c r="J1879" s="868">
        <v>5997.620674</v>
      </c>
      <c r="K1879" s="50"/>
      <c r="L1879" s="869" t="s">
        <v>677</v>
      </c>
      <c r="M1879" s="865" t="s">
        <v>591</v>
      </c>
      <c r="N1879" s="865" t="s">
        <v>682</v>
      </c>
      <c r="O1879" s="866">
        <v>2004.0</v>
      </c>
      <c r="P1879" s="865" t="s">
        <v>593</v>
      </c>
      <c r="Q1879" s="865" t="s">
        <v>70</v>
      </c>
      <c r="R1879" s="867">
        <v>6353.326294</v>
      </c>
      <c r="S1879" s="867">
        <v>6840.754998</v>
      </c>
      <c r="T1879" s="868">
        <v>5866.567906</v>
      </c>
      <c r="AN1879" s="882"/>
      <c r="AO1879" s="882"/>
      <c r="AP1879" s="882"/>
      <c r="AY1879" s="882"/>
      <c r="AZ1879" s="882"/>
      <c r="BA1879" s="882"/>
      <c r="BJ1879" s="882"/>
      <c r="BK1879" s="882"/>
      <c r="BL1879" s="882"/>
      <c r="BU1879" s="882"/>
      <c r="BV1879" s="882"/>
      <c r="BW1879" s="882"/>
      <c r="CF1879" s="882"/>
      <c r="CG1879" s="882"/>
      <c r="CH1879" s="882"/>
      <c r="CI1879" s="530"/>
    </row>
    <row r="1880">
      <c r="A1880" s="857"/>
      <c r="B1880" s="865" t="s">
        <v>677</v>
      </c>
      <c r="C1880" s="865" t="s">
        <v>591</v>
      </c>
      <c r="D1880" s="865" t="s">
        <v>684</v>
      </c>
      <c r="E1880" s="866">
        <v>2019.0</v>
      </c>
      <c r="F1880" s="865" t="s">
        <v>593</v>
      </c>
      <c r="G1880" s="865" t="s">
        <v>70</v>
      </c>
      <c r="H1880" s="867">
        <v>19902.4706</v>
      </c>
      <c r="I1880" s="867">
        <v>22079.82125</v>
      </c>
      <c r="J1880" s="868">
        <v>17794.50398</v>
      </c>
      <c r="K1880" s="50"/>
      <c r="L1880" s="869" t="s">
        <v>677</v>
      </c>
      <c r="M1880" s="865" t="s">
        <v>591</v>
      </c>
      <c r="N1880" s="865" t="s">
        <v>684</v>
      </c>
      <c r="O1880" s="866">
        <v>2004.0</v>
      </c>
      <c r="P1880" s="865" t="s">
        <v>593</v>
      </c>
      <c r="Q1880" s="865" t="s">
        <v>70</v>
      </c>
      <c r="R1880" s="867">
        <v>18757.83595</v>
      </c>
      <c r="S1880" s="867">
        <v>20196.94159</v>
      </c>
      <c r="T1880" s="868">
        <v>17320.70939</v>
      </c>
      <c r="AN1880" s="882"/>
      <c r="AO1880" s="882"/>
      <c r="AP1880" s="882"/>
      <c r="AY1880" s="882"/>
      <c r="AZ1880" s="882"/>
      <c r="BA1880" s="882"/>
      <c r="BJ1880" s="882"/>
      <c r="BK1880" s="882"/>
      <c r="BL1880" s="882"/>
      <c r="BU1880" s="882"/>
      <c r="BV1880" s="882"/>
      <c r="BW1880" s="882"/>
      <c r="CF1880" s="882"/>
      <c r="CG1880" s="882"/>
      <c r="CH1880" s="882"/>
      <c r="CI1880" s="530"/>
    </row>
    <row r="1881">
      <c r="A1881" s="857"/>
      <c r="B1881" s="865" t="s">
        <v>677</v>
      </c>
      <c r="C1881" s="865" t="s">
        <v>591</v>
      </c>
      <c r="D1881" s="865" t="s">
        <v>686</v>
      </c>
      <c r="E1881" s="866">
        <v>2019.0</v>
      </c>
      <c r="F1881" s="865" t="s">
        <v>593</v>
      </c>
      <c r="G1881" s="865" t="s">
        <v>70</v>
      </c>
      <c r="H1881" s="867">
        <v>26610.57942</v>
      </c>
      <c r="I1881" s="867">
        <v>29521.80405</v>
      </c>
      <c r="J1881" s="868">
        <v>23792.12465</v>
      </c>
      <c r="K1881" s="50"/>
      <c r="L1881" s="869" t="s">
        <v>677</v>
      </c>
      <c r="M1881" s="865" t="s">
        <v>591</v>
      </c>
      <c r="N1881" s="865" t="s">
        <v>686</v>
      </c>
      <c r="O1881" s="866">
        <v>2004.0</v>
      </c>
      <c r="P1881" s="865" t="s">
        <v>593</v>
      </c>
      <c r="Q1881" s="865" t="s">
        <v>70</v>
      </c>
      <c r="R1881" s="867">
        <v>25111.16225</v>
      </c>
      <c r="S1881" s="867">
        <v>27037.69659</v>
      </c>
      <c r="T1881" s="868">
        <v>23187.2773</v>
      </c>
      <c r="AN1881" s="882"/>
      <c r="AO1881" s="882"/>
      <c r="AP1881" s="882"/>
      <c r="AY1881" s="882"/>
      <c r="AZ1881" s="882"/>
      <c r="BA1881" s="882"/>
      <c r="BJ1881" s="882"/>
      <c r="BK1881" s="882"/>
      <c r="BL1881" s="882"/>
      <c r="BU1881" s="882"/>
      <c r="BV1881" s="882"/>
      <c r="BW1881" s="882"/>
      <c r="CF1881" s="882"/>
      <c r="CG1881" s="882"/>
      <c r="CH1881" s="882"/>
      <c r="CI1881" s="530"/>
    </row>
    <row r="1882">
      <c r="A1882" s="857"/>
      <c r="B1882" s="865" t="s">
        <v>677</v>
      </c>
      <c r="C1882" s="865" t="s">
        <v>591</v>
      </c>
      <c r="D1882" s="865" t="s">
        <v>688</v>
      </c>
      <c r="E1882" s="866">
        <v>2019.0</v>
      </c>
      <c r="F1882" s="865" t="s">
        <v>593</v>
      </c>
      <c r="G1882" s="865" t="s">
        <v>70</v>
      </c>
      <c r="H1882" s="867">
        <v>312588.0534</v>
      </c>
      <c r="I1882" s="867">
        <v>346785.5064</v>
      </c>
      <c r="J1882" s="868">
        <v>279480.3455</v>
      </c>
      <c r="K1882" s="50"/>
      <c r="L1882" s="869" t="s">
        <v>677</v>
      </c>
      <c r="M1882" s="865" t="s">
        <v>591</v>
      </c>
      <c r="N1882" s="865" t="s">
        <v>688</v>
      </c>
      <c r="O1882" s="866">
        <v>2004.0</v>
      </c>
      <c r="P1882" s="865" t="s">
        <v>593</v>
      </c>
      <c r="Q1882" s="865" t="s">
        <v>70</v>
      </c>
      <c r="R1882" s="867">
        <v>292894.7649</v>
      </c>
      <c r="S1882" s="867">
        <v>315365.7209</v>
      </c>
      <c r="T1882" s="868">
        <v>270454.7111</v>
      </c>
      <c r="AN1882" s="882"/>
      <c r="AO1882" s="882"/>
      <c r="AP1882" s="882"/>
      <c r="AY1882" s="882"/>
      <c r="AZ1882" s="882"/>
      <c r="BA1882" s="882"/>
      <c r="BJ1882" s="882"/>
      <c r="BK1882" s="882"/>
      <c r="BL1882" s="882"/>
      <c r="BU1882" s="882"/>
      <c r="BV1882" s="882"/>
      <c r="BW1882" s="882"/>
      <c r="CF1882" s="882"/>
      <c r="CG1882" s="882"/>
      <c r="CH1882" s="882"/>
      <c r="CI1882" s="530"/>
    </row>
    <row r="1883">
      <c r="A1883" s="857"/>
      <c r="B1883" s="865" t="s">
        <v>677</v>
      </c>
      <c r="C1883" s="865" t="s">
        <v>591</v>
      </c>
      <c r="D1883" s="865" t="s">
        <v>689</v>
      </c>
      <c r="E1883" s="866">
        <v>2019.0</v>
      </c>
      <c r="F1883" s="865" t="s">
        <v>593</v>
      </c>
      <c r="G1883" s="865" t="s">
        <v>70</v>
      </c>
      <c r="H1883" s="867">
        <v>1650396.551</v>
      </c>
      <c r="I1883" s="867">
        <v>1830951.623</v>
      </c>
      <c r="J1883" s="868">
        <v>1475595.095</v>
      </c>
      <c r="K1883" s="50"/>
      <c r="L1883" s="869" t="s">
        <v>677</v>
      </c>
      <c r="M1883" s="865" t="s">
        <v>591</v>
      </c>
      <c r="N1883" s="865" t="s">
        <v>689</v>
      </c>
      <c r="O1883" s="866">
        <v>2004.0</v>
      </c>
      <c r="P1883" s="865" t="s">
        <v>593</v>
      </c>
      <c r="Q1883" s="865" t="s">
        <v>70</v>
      </c>
      <c r="R1883" s="867">
        <v>1464132.112</v>
      </c>
      <c r="S1883" s="867">
        <v>1576460.676</v>
      </c>
      <c r="T1883" s="868">
        <v>1351958.023</v>
      </c>
      <c r="AN1883" s="882"/>
      <c r="AO1883" s="882"/>
      <c r="AP1883" s="882"/>
      <c r="AY1883" s="882"/>
      <c r="AZ1883" s="882"/>
      <c r="BA1883" s="882"/>
      <c r="BJ1883" s="882"/>
      <c r="BK1883" s="882"/>
      <c r="BL1883" s="882"/>
      <c r="BU1883" s="882"/>
      <c r="BV1883" s="882"/>
      <c r="BW1883" s="882"/>
      <c r="CF1883" s="882"/>
      <c r="CG1883" s="882"/>
      <c r="CH1883" s="882"/>
      <c r="CI1883" s="530"/>
    </row>
    <row r="1884">
      <c r="A1884" s="857"/>
      <c r="B1884" s="865" t="s">
        <v>679</v>
      </c>
      <c r="C1884" s="865" t="s">
        <v>591</v>
      </c>
      <c r="D1884" s="865" t="s">
        <v>592</v>
      </c>
      <c r="E1884" s="866">
        <v>2019.0</v>
      </c>
      <c r="F1884" s="865" t="s">
        <v>593</v>
      </c>
      <c r="G1884" s="865" t="s">
        <v>70</v>
      </c>
      <c r="H1884" s="867">
        <v>4572.003418</v>
      </c>
      <c r="I1884" s="867">
        <v>5099.720245</v>
      </c>
      <c r="J1884" s="868">
        <v>4060.865819</v>
      </c>
      <c r="K1884" s="50"/>
      <c r="L1884" s="869" t="s">
        <v>679</v>
      </c>
      <c r="M1884" s="865" t="s">
        <v>591</v>
      </c>
      <c r="N1884" s="865" t="s">
        <v>592</v>
      </c>
      <c r="O1884" s="866">
        <v>2004.0</v>
      </c>
      <c r="P1884" s="865" t="s">
        <v>593</v>
      </c>
      <c r="Q1884" s="865" t="s">
        <v>70</v>
      </c>
      <c r="R1884" s="867">
        <v>5270.387302</v>
      </c>
      <c r="S1884" s="867">
        <v>5709.658632</v>
      </c>
      <c r="T1884" s="868">
        <v>4849.382672</v>
      </c>
      <c r="AN1884" s="882"/>
      <c r="AO1884" s="882"/>
      <c r="AP1884" s="882"/>
      <c r="AY1884" s="882"/>
      <c r="AZ1884" s="882"/>
      <c r="BA1884" s="882"/>
      <c r="BJ1884" s="882"/>
      <c r="BK1884" s="882"/>
      <c r="BL1884" s="882"/>
      <c r="BU1884" s="882"/>
      <c r="BV1884" s="882"/>
      <c r="BW1884" s="882"/>
      <c r="CF1884" s="882"/>
      <c r="CG1884" s="882"/>
      <c r="CH1884" s="882"/>
      <c r="CI1884" s="530"/>
    </row>
    <row r="1885">
      <c r="A1885" s="857"/>
      <c r="B1885" s="865" t="s">
        <v>679</v>
      </c>
      <c r="C1885" s="865" t="s">
        <v>591</v>
      </c>
      <c r="D1885" s="865" t="s">
        <v>601</v>
      </c>
      <c r="E1885" s="866">
        <v>2019.0</v>
      </c>
      <c r="F1885" s="865" t="s">
        <v>593</v>
      </c>
      <c r="G1885" s="865" t="s">
        <v>70</v>
      </c>
      <c r="H1885" s="867">
        <v>97302.12835</v>
      </c>
      <c r="I1885" s="867">
        <v>108533.0846</v>
      </c>
      <c r="J1885" s="868">
        <v>86424.01396</v>
      </c>
      <c r="K1885" s="50"/>
      <c r="L1885" s="869" t="s">
        <v>679</v>
      </c>
      <c r="M1885" s="865" t="s">
        <v>591</v>
      </c>
      <c r="N1885" s="865" t="s">
        <v>601</v>
      </c>
      <c r="O1885" s="866">
        <v>2004.0</v>
      </c>
      <c r="P1885" s="865" t="s">
        <v>593</v>
      </c>
      <c r="Q1885" s="865" t="s">
        <v>70</v>
      </c>
      <c r="R1885" s="867">
        <v>84543.92537</v>
      </c>
      <c r="S1885" s="867">
        <v>91590.41369</v>
      </c>
      <c r="T1885" s="868">
        <v>77790.45888</v>
      </c>
      <c r="AN1885" s="882"/>
      <c r="AO1885" s="882"/>
      <c r="AP1885" s="882"/>
      <c r="AY1885" s="882"/>
      <c r="AZ1885" s="882"/>
      <c r="BA1885" s="882"/>
      <c r="BJ1885" s="882"/>
      <c r="BK1885" s="882"/>
      <c r="BL1885" s="882"/>
      <c r="BU1885" s="882"/>
      <c r="BV1885" s="882"/>
      <c r="BW1885" s="882"/>
      <c r="CF1885" s="882"/>
      <c r="CG1885" s="882"/>
      <c r="CH1885" s="882"/>
      <c r="CI1885" s="530"/>
    </row>
    <row r="1886">
      <c r="A1886" s="857"/>
      <c r="B1886" s="865" t="s">
        <v>679</v>
      </c>
      <c r="C1886" s="865" t="s">
        <v>591</v>
      </c>
      <c r="D1886" s="865" t="s">
        <v>606</v>
      </c>
      <c r="E1886" s="866">
        <v>2019.0</v>
      </c>
      <c r="F1886" s="865" t="s">
        <v>593</v>
      </c>
      <c r="G1886" s="865" t="s">
        <v>70</v>
      </c>
      <c r="H1886" s="867">
        <v>74399.76426</v>
      </c>
      <c r="I1886" s="867">
        <v>82987.24856</v>
      </c>
      <c r="J1886" s="868">
        <v>66082.07214</v>
      </c>
      <c r="K1886" s="50"/>
      <c r="L1886" s="869" t="s">
        <v>679</v>
      </c>
      <c r="M1886" s="865" t="s">
        <v>591</v>
      </c>
      <c r="N1886" s="865" t="s">
        <v>606</v>
      </c>
      <c r="O1886" s="866">
        <v>2004.0</v>
      </c>
      <c r="P1886" s="865" t="s">
        <v>593</v>
      </c>
      <c r="Q1886" s="865" t="s">
        <v>70</v>
      </c>
      <c r="R1886" s="867">
        <v>66443.36603</v>
      </c>
      <c r="S1886" s="867">
        <v>71981.22579</v>
      </c>
      <c r="T1886" s="868">
        <v>61135.79314</v>
      </c>
      <c r="AN1886" s="882"/>
      <c r="AO1886" s="882"/>
      <c r="AP1886" s="882"/>
      <c r="AY1886" s="882"/>
      <c r="AZ1886" s="882"/>
      <c r="BA1886" s="882"/>
      <c r="BJ1886" s="882"/>
      <c r="BK1886" s="882"/>
      <c r="BL1886" s="882"/>
      <c r="BU1886" s="882"/>
      <c r="BV1886" s="882"/>
      <c r="BW1886" s="882"/>
      <c r="CF1886" s="882"/>
      <c r="CG1886" s="882"/>
      <c r="CH1886" s="882"/>
      <c r="CI1886" s="530"/>
    </row>
    <row r="1887">
      <c r="A1887" s="857"/>
      <c r="B1887" s="865" t="s">
        <v>679</v>
      </c>
      <c r="C1887" s="865" t="s">
        <v>591</v>
      </c>
      <c r="D1887" s="865" t="s">
        <v>608</v>
      </c>
      <c r="E1887" s="866">
        <v>2019.0</v>
      </c>
      <c r="F1887" s="865" t="s">
        <v>593</v>
      </c>
      <c r="G1887" s="865" t="s">
        <v>70</v>
      </c>
      <c r="H1887" s="867">
        <v>18750.5629</v>
      </c>
      <c r="I1887" s="867">
        <v>20914.81928</v>
      </c>
      <c r="J1887" s="868">
        <v>16654.30075</v>
      </c>
      <c r="K1887" s="50"/>
      <c r="L1887" s="869" t="s">
        <v>679</v>
      </c>
      <c r="M1887" s="865" t="s">
        <v>591</v>
      </c>
      <c r="N1887" s="865" t="s">
        <v>608</v>
      </c>
      <c r="O1887" s="866">
        <v>2004.0</v>
      </c>
      <c r="P1887" s="865" t="s">
        <v>593</v>
      </c>
      <c r="Q1887" s="865" t="s">
        <v>70</v>
      </c>
      <c r="R1887" s="867">
        <v>19869.59178</v>
      </c>
      <c r="S1887" s="867">
        <v>21525.664</v>
      </c>
      <c r="T1887" s="868">
        <v>18282.38582</v>
      </c>
      <c r="AN1887" s="882"/>
      <c r="AO1887" s="882"/>
      <c r="AP1887" s="882"/>
      <c r="AY1887" s="882"/>
      <c r="AZ1887" s="882"/>
      <c r="BA1887" s="882"/>
      <c r="BJ1887" s="882"/>
      <c r="BK1887" s="882"/>
      <c r="BL1887" s="882"/>
      <c r="BU1887" s="882"/>
      <c r="BV1887" s="882"/>
      <c r="BW1887" s="882"/>
      <c r="CF1887" s="882"/>
      <c r="CG1887" s="882"/>
      <c r="CH1887" s="882"/>
      <c r="CI1887" s="530"/>
    </row>
    <row r="1888">
      <c r="A1888" s="857"/>
      <c r="B1888" s="865" t="s">
        <v>679</v>
      </c>
      <c r="C1888" s="865" t="s">
        <v>591</v>
      </c>
      <c r="D1888" s="865" t="s">
        <v>610</v>
      </c>
      <c r="E1888" s="866">
        <v>2019.0</v>
      </c>
      <c r="F1888" s="865" t="s">
        <v>593</v>
      </c>
      <c r="G1888" s="865" t="s">
        <v>70</v>
      </c>
      <c r="H1888" s="867">
        <v>25770.45941</v>
      </c>
      <c r="I1888" s="867">
        <v>28744.97711</v>
      </c>
      <c r="J1888" s="868">
        <v>22889.39185</v>
      </c>
      <c r="K1888" s="50"/>
      <c r="L1888" s="869" t="s">
        <v>679</v>
      </c>
      <c r="M1888" s="865" t="s">
        <v>591</v>
      </c>
      <c r="N1888" s="865" t="s">
        <v>610</v>
      </c>
      <c r="O1888" s="866">
        <v>2004.0</v>
      </c>
      <c r="P1888" s="865" t="s">
        <v>593</v>
      </c>
      <c r="Q1888" s="865" t="s">
        <v>70</v>
      </c>
      <c r="R1888" s="867">
        <v>19719.49903</v>
      </c>
      <c r="S1888" s="867">
        <v>21363.06146</v>
      </c>
      <c r="T1888" s="868">
        <v>18144.28265</v>
      </c>
      <c r="AN1888" s="882"/>
      <c r="AO1888" s="882"/>
      <c r="AP1888" s="882"/>
      <c r="AY1888" s="882"/>
      <c r="AZ1888" s="882"/>
      <c r="BA1888" s="882"/>
      <c r="BJ1888" s="882"/>
      <c r="BK1888" s="882"/>
      <c r="BL1888" s="882"/>
      <c r="BU1888" s="882"/>
      <c r="BV1888" s="882"/>
      <c r="BW1888" s="882"/>
      <c r="CF1888" s="882"/>
      <c r="CG1888" s="882"/>
      <c r="CH1888" s="882"/>
      <c r="CI1888" s="530"/>
    </row>
    <row r="1889">
      <c r="A1889" s="857"/>
      <c r="B1889" s="865" t="s">
        <v>679</v>
      </c>
      <c r="C1889" s="865" t="s">
        <v>591</v>
      </c>
      <c r="D1889" s="865" t="s">
        <v>612</v>
      </c>
      <c r="E1889" s="866">
        <v>2019.0</v>
      </c>
      <c r="F1889" s="865" t="s">
        <v>593</v>
      </c>
      <c r="G1889" s="865" t="s">
        <v>70</v>
      </c>
      <c r="H1889" s="867">
        <v>48672.8235</v>
      </c>
      <c r="I1889" s="867">
        <v>54290.81317</v>
      </c>
      <c r="J1889" s="868">
        <v>43231.33367</v>
      </c>
      <c r="K1889" s="50"/>
      <c r="L1889" s="869" t="s">
        <v>679</v>
      </c>
      <c r="M1889" s="865" t="s">
        <v>591</v>
      </c>
      <c r="N1889" s="865" t="s">
        <v>612</v>
      </c>
      <c r="O1889" s="866">
        <v>2004.0</v>
      </c>
      <c r="P1889" s="865" t="s">
        <v>593</v>
      </c>
      <c r="Q1889" s="865" t="s">
        <v>70</v>
      </c>
      <c r="R1889" s="867">
        <v>37820.05837</v>
      </c>
      <c r="S1889" s="867">
        <v>40972.24935</v>
      </c>
      <c r="T1889" s="868">
        <v>34798.94839</v>
      </c>
      <c r="AN1889" s="882"/>
      <c r="AO1889" s="882"/>
      <c r="AP1889" s="882"/>
      <c r="AY1889" s="882"/>
      <c r="AZ1889" s="882"/>
      <c r="BA1889" s="882"/>
      <c r="BJ1889" s="882"/>
      <c r="BK1889" s="882"/>
      <c r="BL1889" s="882"/>
      <c r="BU1889" s="882"/>
      <c r="BV1889" s="882"/>
      <c r="BW1889" s="882"/>
      <c r="CF1889" s="882"/>
      <c r="CG1889" s="882"/>
      <c r="CH1889" s="882"/>
      <c r="CI1889" s="530"/>
    </row>
    <row r="1890">
      <c r="A1890" s="857"/>
      <c r="B1890" s="865" t="s">
        <v>679</v>
      </c>
      <c r="C1890" s="865" t="s">
        <v>591</v>
      </c>
      <c r="D1890" s="865" t="s">
        <v>614</v>
      </c>
      <c r="E1890" s="866">
        <v>2019.0</v>
      </c>
      <c r="F1890" s="865" t="s">
        <v>593</v>
      </c>
      <c r="G1890" s="865" t="s">
        <v>70</v>
      </c>
      <c r="H1890" s="867">
        <v>67514.19953</v>
      </c>
      <c r="I1890" s="867">
        <v>75306.92756</v>
      </c>
      <c r="J1890" s="868">
        <v>59966.2949</v>
      </c>
      <c r="K1890" s="50"/>
      <c r="L1890" s="869" t="s">
        <v>679</v>
      </c>
      <c r="M1890" s="865" t="s">
        <v>591</v>
      </c>
      <c r="N1890" s="865" t="s">
        <v>614</v>
      </c>
      <c r="O1890" s="866">
        <v>2004.0</v>
      </c>
      <c r="P1890" s="865" t="s">
        <v>593</v>
      </c>
      <c r="Q1890" s="865" t="s">
        <v>70</v>
      </c>
      <c r="R1890" s="867">
        <v>52722.96367</v>
      </c>
      <c r="S1890" s="867">
        <v>57117.26812</v>
      </c>
      <c r="T1890" s="868">
        <v>48511.39238</v>
      </c>
      <c r="AN1890" s="882"/>
      <c r="AO1890" s="882"/>
      <c r="AP1890" s="882"/>
      <c r="AY1890" s="882"/>
      <c r="AZ1890" s="882"/>
      <c r="BA1890" s="882"/>
      <c r="BJ1890" s="882"/>
      <c r="BK1890" s="882"/>
      <c r="BL1890" s="882"/>
      <c r="BU1890" s="882"/>
      <c r="BV1890" s="882"/>
      <c r="BW1890" s="882"/>
      <c r="CF1890" s="882"/>
      <c r="CG1890" s="882"/>
      <c r="CH1890" s="882"/>
      <c r="CI1890" s="530"/>
    </row>
    <row r="1891">
      <c r="A1891" s="857"/>
      <c r="B1891" s="865" t="s">
        <v>679</v>
      </c>
      <c r="C1891" s="865" t="s">
        <v>591</v>
      </c>
      <c r="D1891" s="865" t="s">
        <v>616</v>
      </c>
      <c r="E1891" s="866">
        <v>2019.0</v>
      </c>
      <c r="F1891" s="865" t="s">
        <v>593</v>
      </c>
      <c r="G1891" s="865" t="s">
        <v>70</v>
      </c>
      <c r="H1891" s="867">
        <v>22902.36409</v>
      </c>
      <c r="I1891" s="867">
        <v>25545.83606</v>
      </c>
      <c r="J1891" s="868">
        <v>20341.94182</v>
      </c>
      <c r="K1891" s="50"/>
      <c r="L1891" s="869" t="s">
        <v>679</v>
      </c>
      <c r="M1891" s="865" t="s">
        <v>591</v>
      </c>
      <c r="N1891" s="865" t="s">
        <v>616</v>
      </c>
      <c r="O1891" s="866">
        <v>2004.0</v>
      </c>
      <c r="P1891" s="865" t="s">
        <v>593</v>
      </c>
      <c r="Q1891" s="865" t="s">
        <v>70</v>
      </c>
      <c r="R1891" s="867">
        <v>18100.55934</v>
      </c>
      <c r="S1891" s="867">
        <v>19609.1879</v>
      </c>
      <c r="T1891" s="868">
        <v>16654.66574</v>
      </c>
      <c r="AN1891" s="882"/>
      <c r="AO1891" s="882"/>
      <c r="AP1891" s="882"/>
      <c r="AY1891" s="882"/>
      <c r="AZ1891" s="882"/>
      <c r="BA1891" s="882"/>
      <c r="BJ1891" s="882"/>
      <c r="BK1891" s="882"/>
      <c r="BL1891" s="882"/>
      <c r="BU1891" s="882"/>
      <c r="BV1891" s="882"/>
      <c r="BW1891" s="882"/>
      <c r="CF1891" s="882"/>
      <c r="CG1891" s="882"/>
      <c r="CH1891" s="882"/>
      <c r="CI1891" s="530"/>
    </row>
    <row r="1892">
      <c r="A1892" s="857"/>
      <c r="B1892" s="865" t="s">
        <v>679</v>
      </c>
      <c r="C1892" s="865" t="s">
        <v>591</v>
      </c>
      <c r="D1892" s="865" t="s">
        <v>618</v>
      </c>
      <c r="E1892" s="866">
        <v>2019.0</v>
      </c>
      <c r="F1892" s="865" t="s">
        <v>593</v>
      </c>
      <c r="G1892" s="865" t="s">
        <v>70</v>
      </c>
      <c r="H1892" s="867">
        <v>86839.73185</v>
      </c>
      <c r="I1892" s="867">
        <v>96862.39829</v>
      </c>
      <c r="J1892" s="868">
        <v>77129.0568</v>
      </c>
      <c r="K1892" s="50"/>
      <c r="L1892" s="869" t="s">
        <v>679</v>
      </c>
      <c r="M1892" s="865" t="s">
        <v>591</v>
      </c>
      <c r="N1892" s="865" t="s">
        <v>618</v>
      </c>
      <c r="O1892" s="866">
        <v>2004.0</v>
      </c>
      <c r="P1892" s="865" t="s">
        <v>593</v>
      </c>
      <c r="Q1892" s="865" t="s">
        <v>70</v>
      </c>
      <c r="R1892" s="867">
        <v>61515.32755</v>
      </c>
      <c r="S1892" s="867">
        <v>66641.45718</v>
      </c>
      <c r="T1892" s="868">
        <v>56598.51952</v>
      </c>
      <c r="AN1892" s="882"/>
      <c r="AO1892" s="882"/>
      <c r="AP1892" s="882"/>
      <c r="AY1892" s="882"/>
      <c r="AZ1892" s="882"/>
      <c r="BA1892" s="882"/>
      <c r="BJ1892" s="882"/>
      <c r="BK1892" s="882"/>
      <c r="BL1892" s="882"/>
      <c r="BU1892" s="882"/>
      <c r="BV1892" s="882"/>
      <c r="BW1892" s="882"/>
      <c r="CF1892" s="882"/>
      <c r="CG1892" s="882"/>
      <c r="CH1892" s="882"/>
      <c r="CI1892" s="530"/>
    </row>
    <row r="1893">
      <c r="A1893" s="857"/>
      <c r="B1893" s="865" t="s">
        <v>679</v>
      </c>
      <c r="C1893" s="865" t="s">
        <v>591</v>
      </c>
      <c r="D1893" s="865" t="s">
        <v>620</v>
      </c>
      <c r="E1893" s="866">
        <v>2019.0</v>
      </c>
      <c r="F1893" s="865" t="s">
        <v>593</v>
      </c>
      <c r="G1893" s="865" t="s">
        <v>70</v>
      </c>
      <c r="H1893" s="867">
        <v>107042.3214</v>
      </c>
      <c r="I1893" s="867">
        <v>119397.5253</v>
      </c>
      <c r="J1893" s="868">
        <v>95075.27981</v>
      </c>
      <c r="K1893" s="50"/>
      <c r="L1893" s="869" t="s">
        <v>679</v>
      </c>
      <c r="M1893" s="865" t="s">
        <v>591</v>
      </c>
      <c r="N1893" s="865" t="s">
        <v>620</v>
      </c>
      <c r="O1893" s="866">
        <v>2004.0</v>
      </c>
      <c r="P1893" s="865" t="s">
        <v>593</v>
      </c>
      <c r="Q1893" s="865" t="s">
        <v>70</v>
      </c>
      <c r="R1893" s="867">
        <v>72332.29671</v>
      </c>
      <c r="S1893" s="867">
        <v>78360.98157</v>
      </c>
      <c r="T1893" s="868">
        <v>66554.30923</v>
      </c>
      <c r="AN1893" s="882"/>
      <c r="AO1893" s="882"/>
      <c r="AP1893" s="882"/>
      <c r="AY1893" s="882"/>
      <c r="AZ1893" s="882"/>
      <c r="BA1893" s="882"/>
      <c r="BJ1893" s="882"/>
      <c r="BK1893" s="882"/>
      <c r="BL1893" s="882"/>
      <c r="BU1893" s="882"/>
      <c r="BV1893" s="882"/>
      <c r="BW1893" s="882"/>
      <c r="CF1893" s="882"/>
      <c r="CG1893" s="882"/>
      <c r="CH1893" s="882"/>
      <c r="CI1893" s="530"/>
    </row>
    <row r="1894">
      <c r="A1894" s="857"/>
      <c r="B1894" s="865" t="s">
        <v>679</v>
      </c>
      <c r="C1894" s="865" t="s">
        <v>591</v>
      </c>
      <c r="D1894" s="865" t="s">
        <v>622</v>
      </c>
      <c r="E1894" s="866">
        <v>2019.0</v>
      </c>
      <c r="F1894" s="865" t="s">
        <v>593</v>
      </c>
      <c r="G1894" s="865" t="s">
        <v>70</v>
      </c>
      <c r="H1894" s="867">
        <v>108085.5</v>
      </c>
      <c r="I1894" s="867">
        <v>120560.2611</v>
      </c>
      <c r="J1894" s="868">
        <v>95999.06046</v>
      </c>
      <c r="K1894" s="50"/>
      <c r="L1894" s="869" t="s">
        <v>679</v>
      </c>
      <c r="M1894" s="865" t="s">
        <v>591</v>
      </c>
      <c r="N1894" s="865" t="s">
        <v>622</v>
      </c>
      <c r="O1894" s="866">
        <v>2004.0</v>
      </c>
      <c r="P1894" s="865" t="s">
        <v>593</v>
      </c>
      <c r="Q1894" s="865" t="s">
        <v>70</v>
      </c>
      <c r="R1894" s="867">
        <v>69447.38286</v>
      </c>
      <c r="S1894" s="867">
        <v>75234.49805</v>
      </c>
      <c r="T1894" s="868">
        <v>63896.5801</v>
      </c>
      <c r="AN1894" s="882"/>
      <c r="AO1894" s="882"/>
      <c r="AP1894" s="882"/>
      <c r="AY1894" s="882"/>
      <c r="AZ1894" s="882"/>
      <c r="BA1894" s="882"/>
      <c r="BJ1894" s="882"/>
      <c r="BK1894" s="882"/>
      <c r="BL1894" s="882"/>
      <c r="BU1894" s="882"/>
      <c r="BV1894" s="882"/>
      <c r="BW1894" s="882"/>
      <c r="CF1894" s="882"/>
      <c r="CG1894" s="882"/>
      <c r="CH1894" s="882"/>
      <c r="CI1894" s="530"/>
    </row>
    <row r="1895">
      <c r="A1895" s="857"/>
      <c r="B1895" s="865" t="s">
        <v>679</v>
      </c>
      <c r="C1895" s="865" t="s">
        <v>591</v>
      </c>
      <c r="D1895" s="865" t="s">
        <v>624</v>
      </c>
      <c r="E1895" s="866">
        <v>2019.0</v>
      </c>
      <c r="F1895" s="865" t="s">
        <v>593</v>
      </c>
      <c r="G1895" s="865" t="s">
        <v>70</v>
      </c>
      <c r="H1895" s="867">
        <v>18841.37604</v>
      </c>
      <c r="I1895" s="867">
        <v>21016.11439</v>
      </c>
      <c r="J1895" s="868">
        <v>16734.96123</v>
      </c>
      <c r="K1895" s="50"/>
      <c r="L1895" s="869" t="s">
        <v>679</v>
      </c>
      <c r="M1895" s="865" t="s">
        <v>591</v>
      </c>
      <c r="N1895" s="865" t="s">
        <v>624</v>
      </c>
      <c r="O1895" s="866">
        <v>2004.0</v>
      </c>
      <c r="P1895" s="865" t="s">
        <v>593</v>
      </c>
      <c r="Q1895" s="865" t="s">
        <v>70</v>
      </c>
      <c r="R1895" s="867">
        <v>14902.9053</v>
      </c>
      <c r="S1895" s="867">
        <v>16145.01876</v>
      </c>
      <c r="T1895" s="868">
        <v>13712.444</v>
      </c>
      <c r="AN1895" s="882"/>
      <c r="AO1895" s="882"/>
      <c r="AP1895" s="882"/>
      <c r="AY1895" s="882"/>
      <c r="AZ1895" s="882"/>
      <c r="BA1895" s="882"/>
      <c r="BJ1895" s="882"/>
      <c r="BK1895" s="882"/>
      <c r="BL1895" s="882"/>
      <c r="BU1895" s="882"/>
      <c r="BV1895" s="882"/>
      <c r="BW1895" s="882"/>
      <c r="CF1895" s="882"/>
      <c r="CG1895" s="882"/>
      <c r="CH1895" s="882"/>
      <c r="CI1895" s="530"/>
    </row>
    <row r="1896">
      <c r="A1896" s="857"/>
      <c r="B1896" s="865" t="s">
        <v>679</v>
      </c>
      <c r="C1896" s="865" t="s">
        <v>591</v>
      </c>
      <c r="D1896" s="865" t="s">
        <v>625</v>
      </c>
      <c r="E1896" s="866">
        <v>2019.0</v>
      </c>
      <c r="F1896" s="865" t="s">
        <v>593</v>
      </c>
      <c r="G1896" s="865" t="s">
        <v>70</v>
      </c>
      <c r="H1896" s="867">
        <v>89241.6351</v>
      </c>
      <c r="I1896" s="867">
        <v>99542.22069</v>
      </c>
      <c r="J1896" s="868">
        <v>79264.66201</v>
      </c>
      <c r="K1896" s="50"/>
      <c r="L1896" s="869" t="s">
        <v>679</v>
      </c>
      <c r="M1896" s="865" t="s">
        <v>591</v>
      </c>
      <c r="N1896" s="865" t="s">
        <v>625</v>
      </c>
      <c r="O1896" s="866">
        <v>2004.0</v>
      </c>
      <c r="P1896" s="865" t="s">
        <v>593</v>
      </c>
      <c r="Q1896" s="865" t="s">
        <v>70</v>
      </c>
      <c r="R1896" s="867">
        <v>54543.25457</v>
      </c>
      <c r="S1896" s="867">
        <v>59089.27493</v>
      </c>
      <c r="T1896" s="868">
        <v>50186.27635</v>
      </c>
      <c r="AN1896" s="882"/>
      <c r="AO1896" s="882"/>
      <c r="AP1896" s="882"/>
      <c r="AY1896" s="882"/>
      <c r="AZ1896" s="882"/>
      <c r="BA1896" s="882"/>
      <c r="BJ1896" s="882"/>
      <c r="BK1896" s="882"/>
      <c r="BL1896" s="882"/>
      <c r="BU1896" s="882"/>
      <c r="BV1896" s="882"/>
      <c r="BW1896" s="882"/>
      <c r="CF1896" s="882"/>
      <c r="CG1896" s="882"/>
      <c r="CH1896" s="882"/>
      <c r="CI1896" s="530"/>
    </row>
    <row r="1897">
      <c r="A1897" s="857"/>
      <c r="B1897" s="865" t="s">
        <v>679</v>
      </c>
      <c r="C1897" s="865" t="s">
        <v>591</v>
      </c>
      <c r="D1897" s="865" t="s">
        <v>627</v>
      </c>
      <c r="E1897" s="866">
        <v>2019.0</v>
      </c>
      <c r="F1897" s="865" t="s">
        <v>593</v>
      </c>
      <c r="G1897" s="865" t="s">
        <v>70</v>
      </c>
      <c r="H1897" s="867">
        <v>16494.48297</v>
      </c>
      <c r="I1897" s="867">
        <v>18398.33461</v>
      </c>
      <c r="J1897" s="868">
        <v>14650.44445</v>
      </c>
      <c r="K1897" s="50"/>
      <c r="L1897" s="869" t="s">
        <v>679</v>
      </c>
      <c r="M1897" s="865" t="s">
        <v>591</v>
      </c>
      <c r="N1897" s="865" t="s">
        <v>627</v>
      </c>
      <c r="O1897" s="866">
        <v>2004.0</v>
      </c>
      <c r="P1897" s="865" t="s">
        <v>593</v>
      </c>
      <c r="Q1897" s="865" t="s">
        <v>70</v>
      </c>
      <c r="R1897" s="867">
        <v>12017.25557</v>
      </c>
      <c r="S1897" s="867">
        <v>13018.85859</v>
      </c>
      <c r="T1897" s="868">
        <v>11057.3033</v>
      </c>
      <c r="AN1897" s="882"/>
      <c r="AO1897" s="882"/>
      <c r="AP1897" s="882"/>
      <c r="AY1897" s="882"/>
      <c r="AZ1897" s="882"/>
      <c r="BA1897" s="882"/>
      <c r="BJ1897" s="882"/>
      <c r="BK1897" s="882"/>
      <c r="BL1897" s="882"/>
      <c r="BU1897" s="882"/>
      <c r="BV1897" s="882"/>
      <c r="BW1897" s="882"/>
      <c r="CF1897" s="882"/>
      <c r="CG1897" s="882"/>
      <c r="CH1897" s="882"/>
      <c r="CI1897" s="530"/>
    </row>
    <row r="1898">
      <c r="A1898" s="857"/>
      <c r="B1898" s="865" t="s">
        <v>679</v>
      </c>
      <c r="C1898" s="865" t="s">
        <v>591</v>
      </c>
      <c r="D1898" s="865" t="s">
        <v>629</v>
      </c>
      <c r="E1898" s="866">
        <v>2019.0</v>
      </c>
      <c r="F1898" s="865" t="s">
        <v>593</v>
      </c>
      <c r="G1898" s="865" t="s">
        <v>70</v>
      </c>
      <c r="H1898" s="867">
        <v>65300.08493</v>
      </c>
      <c r="I1898" s="867">
        <v>72836.73843</v>
      </c>
      <c r="J1898" s="868">
        <v>57998.03675</v>
      </c>
      <c r="K1898" s="50"/>
      <c r="L1898" s="869" t="s">
        <v>679</v>
      </c>
      <c r="M1898" s="865" t="s">
        <v>591</v>
      </c>
      <c r="N1898" s="865" t="s">
        <v>629</v>
      </c>
      <c r="O1898" s="866">
        <v>2004.0</v>
      </c>
      <c r="P1898" s="865" t="s">
        <v>593</v>
      </c>
      <c r="Q1898" s="865" t="s">
        <v>70</v>
      </c>
      <c r="R1898" s="867">
        <v>39329.52467</v>
      </c>
      <c r="S1898" s="867">
        <v>42606.89065</v>
      </c>
      <c r="T1898" s="868">
        <v>36185.98743</v>
      </c>
      <c r="AN1898" s="882"/>
      <c r="AO1898" s="882"/>
      <c r="AP1898" s="882"/>
      <c r="AY1898" s="882"/>
      <c r="AZ1898" s="882"/>
      <c r="BA1898" s="882"/>
      <c r="BJ1898" s="882"/>
      <c r="BK1898" s="882"/>
      <c r="BL1898" s="882"/>
      <c r="BU1898" s="882"/>
      <c r="BV1898" s="882"/>
      <c r="BW1898" s="882"/>
      <c r="CF1898" s="882"/>
      <c r="CG1898" s="882"/>
      <c r="CH1898" s="882"/>
      <c r="CI1898" s="530"/>
    </row>
    <row r="1899">
      <c r="A1899" s="857"/>
      <c r="B1899" s="865" t="s">
        <v>679</v>
      </c>
      <c r="C1899" s="865" t="s">
        <v>591</v>
      </c>
      <c r="D1899" s="865" t="s">
        <v>631</v>
      </c>
      <c r="E1899" s="866">
        <v>2019.0</v>
      </c>
      <c r="F1899" s="865" t="s">
        <v>593</v>
      </c>
      <c r="G1899" s="865" t="s">
        <v>70</v>
      </c>
      <c r="H1899" s="867">
        <v>15216.1016</v>
      </c>
      <c r="I1899" s="867">
        <v>16972.39793</v>
      </c>
      <c r="J1899" s="868">
        <v>13514.98265</v>
      </c>
      <c r="K1899" s="50"/>
      <c r="L1899" s="869" t="s">
        <v>679</v>
      </c>
      <c r="M1899" s="865" t="s">
        <v>591</v>
      </c>
      <c r="N1899" s="865" t="s">
        <v>631</v>
      </c>
      <c r="O1899" s="866">
        <v>2004.0</v>
      </c>
      <c r="P1899" s="865" t="s">
        <v>593</v>
      </c>
      <c r="Q1899" s="865" t="s">
        <v>70</v>
      </c>
      <c r="R1899" s="867">
        <v>9368.188593</v>
      </c>
      <c r="S1899" s="867">
        <v>10148.99965</v>
      </c>
      <c r="T1899" s="868">
        <v>8619.846858</v>
      </c>
      <c r="AN1899" s="882"/>
      <c r="AO1899" s="882"/>
      <c r="AP1899" s="882"/>
      <c r="AY1899" s="882"/>
      <c r="AZ1899" s="882"/>
      <c r="BA1899" s="882"/>
      <c r="BJ1899" s="882"/>
      <c r="BK1899" s="882"/>
      <c r="BL1899" s="882"/>
      <c r="BU1899" s="882"/>
      <c r="BV1899" s="882"/>
      <c r="BW1899" s="882"/>
      <c r="CF1899" s="882"/>
      <c r="CG1899" s="882"/>
      <c r="CH1899" s="882"/>
      <c r="CI1899" s="530"/>
    </row>
    <row r="1900">
      <c r="A1900" s="857"/>
      <c r="B1900" s="865" t="s">
        <v>679</v>
      </c>
      <c r="C1900" s="865" t="s">
        <v>591</v>
      </c>
      <c r="D1900" s="865" t="s">
        <v>633</v>
      </c>
      <c r="E1900" s="866">
        <v>2019.0</v>
      </c>
      <c r="F1900" s="865" t="s">
        <v>593</v>
      </c>
      <c r="G1900" s="865" t="s">
        <v>70</v>
      </c>
      <c r="H1900" s="867">
        <v>13383.40753</v>
      </c>
      <c r="I1900" s="867">
        <v>14928.16783</v>
      </c>
      <c r="J1900" s="868">
        <v>11887.17882</v>
      </c>
      <c r="K1900" s="50"/>
      <c r="L1900" s="869" t="s">
        <v>679</v>
      </c>
      <c r="M1900" s="865" t="s">
        <v>591</v>
      </c>
      <c r="N1900" s="865" t="s">
        <v>633</v>
      </c>
      <c r="O1900" s="866">
        <v>2004.0</v>
      </c>
      <c r="P1900" s="865" t="s">
        <v>593</v>
      </c>
      <c r="Q1900" s="865" t="s">
        <v>70</v>
      </c>
      <c r="R1900" s="867">
        <v>7125.335451</v>
      </c>
      <c r="S1900" s="867">
        <v>7719.21127</v>
      </c>
      <c r="T1900" s="868">
        <v>6556.155418</v>
      </c>
      <c r="AN1900" s="882"/>
      <c r="AO1900" s="882"/>
      <c r="AP1900" s="882"/>
      <c r="AY1900" s="882"/>
      <c r="AZ1900" s="882"/>
      <c r="BA1900" s="882"/>
      <c r="BJ1900" s="882"/>
      <c r="BK1900" s="882"/>
      <c r="BL1900" s="882"/>
      <c r="BU1900" s="882"/>
      <c r="BV1900" s="882"/>
      <c r="BW1900" s="882"/>
      <c r="CF1900" s="882"/>
      <c r="CG1900" s="882"/>
      <c r="CH1900" s="882"/>
      <c r="CI1900" s="530"/>
    </row>
    <row r="1901">
      <c r="A1901" s="857"/>
      <c r="B1901" s="865" t="s">
        <v>679</v>
      </c>
      <c r="C1901" s="865" t="s">
        <v>591</v>
      </c>
      <c r="D1901" s="865" t="s">
        <v>635</v>
      </c>
      <c r="E1901" s="866">
        <v>2019.0</v>
      </c>
      <c r="F1901" s="865" t="s">
        <v>593</v>
      </c>
      <c r="G1901" s="865" t="s">
        <v>70</v>
      </c>
      <c r="H1901" s="867">
        <v>11138.3681</v>
      </c>
      <c r="I1901" s="867">
        <v>12423.998</v>
      </c>
      <c r="J1901" s="868">
        <v>9893.12872</v>
      </c>
      <c r="K1901" s="50"/>
      <c r="L1901" s="869" t="s">
        <v>679</v>
      </c>
      <c r="M1901" s="865" t="s">
        <v>591</v>
      </c>
      <c r="N1901" s="865" t="s">
        <v>635</v>
      </c>
      <c r="O1901" s="866">
        <v>2004.0</v>
      </c>
      <c r="P1901" s="865" t="s">
        <v>593</v>
      </c>
      <c r="Q1901" s="865" t="s">
        <v>70</v>
      </c>
      <c r="R1901" s="867">
        <v>6015.585729</v>
      </c>
      <c r="S1901" s="867">
        <v>6516.967163</v>
      </c>
      <c r="T1901" s="868">
        <v>5535.053787</v>
      </c>
      <c r="AN1901" s="882"/>
      <c r="AO1901" s="882"/>
      <c r="AP1901" s="882"/>
      <c r="AY1901" s="882"/>
      <c r="AZ1901" s="882"/>
      <c r="BA1901" s="882"/>
      <c r="BJ1901" s="882"/>
      <c r="BK1901" s="882"/>
      <c r="BL1901" s="882"/>
      <c r="BU1901" s="882"/>
      <c r="BV1901" s="882"/>
      <c r="BW1901" s="882"/>
      <c r="CF1901" s="882"/>
      <c r="CG1901" s="882"/>
      <c r="CH1901" s="882"/>
      <c r="CI1901" s="530"/>
    </row>
    <row r="1902">
      <c r="A1902" s="857"/>
      <c r="B1902" s="865" t="s">
        <v>679</v>
      </c>
      <c r="C1902" s="865" t="s">
        <v>591</v>
      </c>
      <c r="D1902" s="865" t="s">
        <v>637</v>
      </c>
      <c r="E1902" s="866">
        <v>2019.0</v>
      </c>
      <c r="F1902" s="865" t="s">
        <v>593</v>
      </c>
      <c r="G1902" s="865" t="s">
        <v>70</v>
      </c>
      <c r="H1902" s="867">
        <v>9066.221082</v>
      </c>
      <c r="I1902" s="867">
        <v>10112.67643</v>
      </c>
      <c r="J1902" s="868">
        <v>8052.642122</v>
      </c>
      <c r="K1902" s="50"/>
      <c r="L1902" s="869" t="s">
        <v>679</v>
      </c>
      <c r="M1902" s="865" t="s">
        <v>591</v>
      </c>
      <c r="N1902" s="865" t="s">
        <v>637</v>
      </c>
      <c r="O1902" s="866">
        <v>2004.0</v>
      </c>
      <c r="P1902" s="865" t="s">
        <v>593</v>
      </c>
      <c r="Q1902" s="865" t="s">
        <v>70</v>
      </c>
      <c r="R1902" s="867">
        <v>4802.466727</v>
      </c>
      <c r="S1902" s="867">
        <v>5202.738249</v>
      </c>
      <c r="T1902" s="868">
        <v>4418.840133</v>
      </c>
      <c r="AN1902" s="882"/>
      <c r="AO1902" s="882"/>
      <c r="AP1902" s="882"/>
      <c r="AY1902" s="882"/>
      <c r="AZ1902" s="882"/>
      <c r="BA1902" s="882"/>
      <c r="BJ1902" s="882"/>
      <c r="BK1902" s="882"/>
      <c r="BL1902" s="882"/>
      <c r="BU1902" s="882"/>
      <c r="BV1902" s="882"/>
      <c r="BW1902" s="882"/>
      <c r="CF1902" s="882"/>
      <c r="CG1902" s="882"/>
      <c r="CH1902" s="882"/>
      <c r="CI1902" s="530"/>
    </row>
    <row r="1903">
      <c r="A1903" s="857"/>
      <c r="B1903" s="865" t="s">
        <v>679</v>
      </c>
      <c r="C1903" s="865" t="s">
        <v>591</v>
      </c>
      <c r="D1903" s="865" t="s">
        <v>639</v>
      </c>
      <c r="E1903" s="866">
        <v>2019.0</v>
      </c>
      <c r="F1903" s="865" t="s">
        <v>593</v>
      </c>
      <c r="G1903" s="865" t="s">
        <v>70</v>
      </c>
      <c r="H1903" s="867">
        <v>73981.26558</v>
      </c>
      <c r="I1903" s="867">
        <v>82519.86342</v>
      </c>
      <c r="J1903" s="868">
        <v>65708.46217</v>
      </c>
      <c r="K1903" s="50"/>
      <c r="L1903" s="869" t="s">
        <v>679</v>
      </c>
      <c r="M1903" s="865" t="s">
        <v>591</v>
      </c>
      <c r="N1903" s="865" t="s">
        <v>639</v>
      </c>
      <c r="O1903" s="866">
        <v>2004.0</v>
      </c>
      <c r="P1903" s="865" t="s">
        <v>593</v>
      </c>
      <c r="Q1903" s="865" t="s">
        <v>70</v>
      </c>
      <c r="R1903" s="867">
        <v>59404.99243</v>
      </c>
      <c r="S1903" s="867">
        <v>64355.26586</v>
      </c>
      <c r="T1903" s="868">
        <v>54656.85963</v>
      </c>
      <c r="AN1903" s="882"/>
      <c r="AO1903" s="882"/>
      <c r="AP1903" s="882"/>
      <c r="AY1903" s="882"/>
      <c r="AZ1903" s="882"/>
      <c r="BA1903" s="882"/>
      <c r="BJ1903" s="882"/>
      <c r="BK1903" s="882"/>
      <c r="BL1903" s="882"/>
      <c r="BU1903" s="882"/>
      <c r="BV1903" s="882"/>
      <c r="BW1903" s="882"/>
      <c r="CF1903" s="882"/>
      <c r="CG1903" s="882"/>
      <c r="CH1903" s="882"/>
      <c r="CI1903" s="530"/>
    </row>
    <row r="1904">
      <c r="A1904" s="857"/>
      <c r="B1904" s="865" t="s">
        <v>679</v>
      </c>
      <c r="C1904" s="865" t="s">
        <v>591</v>
      </c>
      <c r="D1904" s="865" t="s">
        <v>641</v>
      </c>
      <c r="E1904" s="866">
        <v>2019.0</v>
      </c>
      <c r="F1904" s="865" t="s">
        <v>593</v>
      </c>
      <c r="G1904" s="865" t="s">
        <v>70</v>
      </c>
      <c r="H1904" s="867">
        <v>25306.73854</v>
      </c>
      <c r="I1904" s="867">
        <v>28227.73193</v>
      </c>
      <c r="J1904" s="868">
        <v>22477.51372</v>
      </c>
      <c r="K1904" s="50"/>
      <c r="L1904" s="869" t="s">
        <v>679</v>
      </c>
      <c r="M1904" s="865" t="s">
        <v>591</v>
      </c>
      <c r="N1904" s="865" t="s">
        <v>641</v>
      </c>
      <c r="O1904" s="866">
        <v>2004.0</v>
      </c>
      <c r="P1904" s="865" t="s">
        <v>593</v>
      </c>
      <c r="Q1904" s="865" t="s">
        <v>70</v>
      </c>
      <c r="R1904" s="867">
        <v>21583.88792</v>
      </c>
      <c r="S1904" s="867">
        <v>23382.8417</v>
      </c>
      <c r="T1904" s="868">
        <v>19859.742</v>
      </c>
      <c r="AN1904" s="882"/>
      <c r="AO1904" s="882"/>
      <c r="AP1904" s="882"/>
      <c r="AY1904" s="882"/>
      <c r="AZ1904" s="882"/>
      <c r="BA1904" s="882"/>
      <c r="BJ1904" s="882"/>
      <c r="BK1904" s="882"/>
      <c r="BL1904" s="882"/>
      <c r="BU1904" s="882"/>
      <c r="BV1904" s="882"/>
      <c r="BW1904" s="882"/>
      <c r="CF1904" s="882"/>
      <c r="CG1904" s="882"/>
      <c r="CH1904" s="882"/>
      <c r="CI1904" s="530"/>
    </row>
    <row r="1905">
      <c r="A1905" s="857"/>
      <c r="B1905" s="865" t="s">
        <v>679</v>
      </c>
      <c r="C1905" s="865" t="s">
        <v>591</v>
      </c>
      <c r="D1905" s="865" t="s">
        <v>643</v>
      </c>
      <c r="E1905" s="866">
        <v>2019.0</v>
      </c>
      <c r="F1905" s="865" t="s">
        <v>593</v>
      </c>
      <c r="G1905" s="865" t="s">
        <v>70</v>
      </c>
      <c r="H1905" s="867">
        <v>6947.39643</v>
      </c>
      <c r="I1905" s="867">
        <v>7749.289531</v>
      </c>
      <c r="J1905" s="868">
        <v>6170.696327</v>
      </c>
      <c r="K1905" s="50"/>
      <c r="L1905" s="869" t="s">
        <v>679</v>
      </c>
      <c r="M1905" s="865" t="s">
        <v>591</v>
      </c>
      <c r="N1905" s="865" t="s">
        <v>643</v>
      </c>
      <c r="O1905" s="866">
        <v>2004.0</v>
      </c>
      <c r="P1905" s="865" t="s">
        <v>593</v>
      </c>
      <c r="Q1905" s="865" t="s">
        <v>70</v>
      </c>
      <c r="R1905" s="867">
        <v>3583.585593</v>
      </c>
      <c r="S1905" s="867">
        <v>3882.266946</v>
      </c>
      <c r="T1905" s="868">
        <v>3297.324634</v>
      </c>
      <c r="AN1905" s="882"/>
      <c r="AO1905" s="882"/>
      <c r="AP1905" s="882"/>
      <c r="AY1905" s="882"/>
      <c r="AZ1905" s="882"/>
      <c r="BA1905" s="882"/>
      <c r="BJ1905" s="882"/>
      <c r="BK1905" s="882"/>
      <c r="BL1905" s="882"/>
      <c r="BU1905" s="882"/>
      <c r="BV1905" s="882"/>
      <c r="BW1905" s="882"/>
      <c r="CF1905" s="882"/>
      <c r="CG1905" s="882"/>
      <c r="CH1905" s="882"/>
      <c r="CI1905" s="530"/>
    </row>
    <row r="1906">
      <c r="A1906" s="857"/>
      <c r="B1906" s="865" t="s">
        <v>679</v>
      </c>
      <c r="C1906" s="865" t="s">
        <v>591</v>
      </c>
      <c r="D1906" s="865" t="s">
        <v>645</v>
      </c>
      <c r="E1906" s="866">
        <v>2019.0</v>
      </c>
      <c r="F1906" s="865" t="s">
        <v>593</v>
      </c>
      <c r="G1906" s="865" t="s">
        <v>70</v>
      </c>
      <c r="H1906" s="867">
        <v>19489.91441</v>
      </c>
      <c r="I1906" s="867">
        <v>21739.50935</v>
      </c>
      <c r="J1906" s="868">
        <v>17310.99477</v>
      </c>
      <c r="K1906" s="50"/>
      <c r="L1906" s="869" t="s">
        <v>679</v>
      </c>
      <c r="M1906" s="865" t="s">
        <v>591</v>
      </c>
      <c r="N1906" s="865" t="s">
        <v>645</v>
      </c>
      <c r="O1906" s="866">
        <v>2004.0</v>
      </c>
      <c r="P1906" s="865" t="s">
        <v>593</v>
      </c>
      <c r="Q1906" s="865" t="s">
        <v>70</v>
      </c>
      <c r="R1906" s="867">
        <v>10952.501</v>
      </c>
      <c r="S1906" s="867">
        <v>11865.35985</v>
      </c>
      <c r="T1906" s="868">
        <v>10077.60256</v>
      </c>
      <c r="AN1906" s="882"/>
      <c r="AO1906" s="882"/>
      <c r="AP1906" s="882"/>
      <c r="AY1906" s="882"/>
      <c r="AZ1906" s="882"/>
      <c r="BA1906" s="882"/>
      <c r="BJ1906" s="882"/>
      <c r="BK1906" s="882"/>
      <c r="BL1906" s="882"/>
      <c r="BU1906" s="882"/>
      <c r="BV1906" s="882"/>
      <c r="BW1906" s="882"/>
      <c r="CF1906" s="882"/>
      <c r="CG1906" s="882"/>
      <c r="CH1906" s="882"/>
      <c r="CI1906" s="530"/>
    </row>
    <row r="1907">
      <c r="A1907" s="857"/>
      <c r="B1907" s="865" t="s">
        <v>679</v>
      </c>
      <c r="C1907" s="865" t="s">
        <v>591</v>
      </c>
      <c r="D1907" s="865" t="s">
        <v>604</v>
      </c>
      <c r="E1907" s="866">
        <v>2019.0</v>
      </c>
      <c r="F1907" s="865" t="s">
        <v>593</v>
      </c>
      <c r="G1907" s="865" t="s">
        <v>70</v>
      </c>
      <c r="H1907" s="867">
        <v>51077.19795</v>
      </c>
      <c r="I1907" s="867">
        <v>56972.70904</v>
      </c>
      <c r="J1907" s="868">
        <v>45366.90557</v>
      </c>
      <c r="K1907" s="50"/>
      <c r="L1907" s="869" t="s">
        <v>679</v>
      </c>
      <c r="M1907" s="865" t="s">
        <v>591</v>
      </c>
      <c r="N1907" s="865" t="s">
        <v>604</v>
      </c>
      <c r="O1907" s="866">
        <v>2004.0</v>
      </c>
      <c r="P1907" s="865" t="s">
        <v>593</v>
      </c>
      <c r="Q1907" s="865" t="s">
        <v>70</v>
      </c>
      <c r="R1907" s="867">
        <v>41303.38695</v>
      </c>
      <c r="S1907" s="867">
        <v>44745.90316</v>
      </c>
      <c r="T1907" s="868">
        <v>38004.02465</v>
      </c>
      <c r="AN1907" s="882"/>
      <c r="AO1907" s="882"/>
      <c r="AP1907" s="882"/>
      <c r="AY1907" s="882"/>
      <c r="AZ1907" s="882"/>
      <c r="BA1907" s="882"/>
      <c r="BJ1907" s="882"/>
      <c r="BK1907" s="882"/>
      <c r="BL1907" s="882"/>
      <c r="BU1907" s="882"/>
      <c r="BV1907" s="882"/>
      <c r="BW1907" s="882"/>
      <c r="CF1907" s="882"/>
      <c r="CG1907" s="882"/>
      <c r="CH1907" s="882"/>
      <c r="CI1907" s="530"/>
    </row>
    <row r="1908">
      <c r="A1908" s="857"/>
      <c r="B1908" s="865" t="s">
        <v>679</v>
      </c>
      <c r="C1908" s="865" t="s">
        <v>591</v>
      </c>
      <c r="D1908" s="865" t="s">
        <v>647</v>
      </c>
      <c r="E1908" s="866">
        <v>2019.0</v>
      </c>
      <c r="F1908" s="865" t="s">
        <v>593</v>
      </c>
      <c r="G1908" s="865" t="s">
        <v>70</v>
      </c>
      <c r="H1908" s="867">
        <v>16996.04875</v>
      </c>
      <c r="I1908" s="867">
        <v>18957.65922</v>
      </c>
      <c r="J1908" s="868">
        <v>15095.50043</v>
      </c>
      <c r="K1908" s="50"/>
      <c r="L1908" s="869" t="s">
        <v>679</v>
      </c>
      <c r="M1908" s="865" t="s">
        <v>591</v>
      </c>
      <c r="N1908" s="865" t="s">
        <v>647</v>
      </c>
      <c r="O1908" s="866">
        <v>2004.0</v>
      </c>
      <c r="P1908" s="865" t="s">
        <v>593</v>
      </c>
      <c r="Q1908" s="865" t="s">
        <v>70</v>
      </c>
      <c r="R1908" s="867">
        <v>11631.04174</v>
      </c>
      <c r="S1908" s="867">
        <v>12600.2673</v>
      </c>
      <c r="T1908" s="868">
        <v>10701.39377</v>
      </c>
      <c r="AN1908" s="882"/>
      <c r="AO1908" s="882"/>
      <c r="AP1908" s="882"/>
      <c r="AY1908" s="882"/>
      <c r="AZ1908" s="882"/>
      <c r="BA1908" s="882"/>
      <c r="BJ1908" s="882"/>
      <c r="BK1908" s="882"/>
      <c r="BL1908" s="882"/>
      <c r="BU1908" s="882"/>
      <c r="BV1908" s="882"/>
      <c r="BW1908" s="882"/>
      <c r="CF1908" s="882"/>
      <c r="CG1908" s="882"/>
      <c r="CH1908" s="882"/>
      <c r="CI1908" s="530"/>
    </row>
    <row r="1909">
      <c r="A1909" s="857"/>
      <c r="B1909" s="865" t="s">
        <v>679</v>
      </c>
      <c r="C1909" s="865" t="s">
        <v>591</v>
      </c>
      <c r="D1909" s="865" t="s">
        <v>649</v>
      </c>
      <c r="E1909" s="866">
        <v>2019.0</v>
      </c>
      <c r="F1909" s="865" t="s">
        <v>593</v>
      </c>
      <c r="G1909" s="865" t="s">
        <v>70</v>
      </c>
      <c r="H1909" s="867">
        <v>5571.574172</v>
      </c>
      <c r="I1909" s="867">
        <v>6214.664996</v>
      </c>
      <c r="J1909" s="868">
        <v>4948.687271</v>
      </c>
      <c r="K1909" s="50"/>
      <c r="L1909" s="869" t="s">
        <v>679</v>
      </c>
      <c r="M1909" s="865" t="s">
        <v>591</v>
      </c>
      <c r="N1909" s="865" t="s">
        <v>649</v>
      </c>
      <c r="O1909" s="866">
        <v>2004.0</v>
      </c>
      <c r="P1909" s="865" t="s">
        <v>593</v>
      </c>
      <c r="Q1909" s="865" t="s">
        <v>70</v>
      </c>
      <c r="R1909" s="867">
        <v>2625.878313</v>
      </c>
      <c r="S1909" s="867">
        <v>2844.737572</v>
      </c>
      <c r="T1909" s="868">
        <v>2416.120118</v>
      </c>
      <c r="AN1909" s="882"/>
      <c r="AO1909" s="882"/>
      <c r="AP1909" s="882"/>
      <c r="AY1909" s="882"/>
      <c r="AZ1909" s="882"/>
      <c r="BA1909" s="882"/>
      <c r="BJ1909" s="882"/>
      <c r="BK1909" s="882"/>
      <c r="BL1909" s="882"/>
      <c r="BU1909" s="882"/>
      <c r="BV1909" s="882"/>
      <c r="BW1909" s="882"/>
      <c r="CF1909" s="882"/>
      <c r="CG1909" s="882"/>
      <c r="CH1909" s="882"/>
      <c r="CI1909" s="530"/>
    </row>
    <row r="1910">
      <c r="A1910" s="857"/>
      <c r="B1910" s="865" t="s">
        <v>679</v>
      </c>
      <c r="C1910" s="865" t="s">
        <v>591</v>
      </c>
      <c r="D1910" s="865" t="s">
        <v>651</v>
      </c>
      <c r="E1910" s="866">
        <v>2019.0</v>
      </c>
      <c r="F1910" s="865" t="s">
        <v>593</v>
      </c>
      <c r="G1910" s="865" t="s">
        <v>70</v>
      </c>
      <c r="H1910" s="867">
        <v>4123.450363</v>
      </c>
      <c r="I1910" s="867">
        <v>4599.393608</v>
      </c>
      <c r="J1910" s="868">
        <v>3662.459781</v>
      </c>
      <c r="K1910" s="50"/>
      <c r="L1910" s="869" t="s">
        <v>679</v>
      </c>
      <c r="M1910" s="865" t="s">
        <v>591</v>
      </c>
      <c r="N1910" s="865" t="s">
        <v>651</v>
      </c>
      <c r="O1910" s="866">
        <v>2004.0</v>
      </c>
      <c r="P1910" s="865" t="s">
        <v>593</v>
      </c>
      <c r="Q1910" s="865" t="s">
        <v>70</v>
      </c>
      <c r="R1910" s="867">
        <v>2452.15293</v>
      </c>
      <c r="S1910" s="867">
        <v>2656.532688</v>
      </c>
      <c r="T1910" s="868">
        <v>2256.27212</v>
      </c>
      <c r="AN1910" s="882"/>
      <c r="AO1910" s="882"/>
      <c r="AP1910" s="882"/>
      <c r="AY1910" s="882"/>
      <c r="AZ1910" s="882"/>
      <c r="BA1910" s="882"/>
      <c r="BJ1910" s="882"/>
      <c r="BK1910" s="882"/>
      <c r="BL1910" s="882"/>
      <c r="BU1910" s="882"/>
      <c r="BV1910" s="882"/>
      <c r="BW1910" s="882"/>
      <c r="CF1910" s="882"/>
      <c r="CG1910" s="882"/>
      <c r="CH1910" s="882"/>
      <c r="CI1910" s="530"/>
    </row>
    <row r="1911">
      <c r="A1911" s="857"/>
      <c r="B1911" s="865" t="s">
        <v>679</v>
      </c>
      <c r="C1911" s="865" t="s">
        <v>591</v>
      </c>
      <c r="D1911" s="865" t="s">
        <v>653</v>
      </c>
      <c r="E1911" s="866">
        <v>2019.0</v>
      </c>
      <c r="F1911" s="865" t="s">
        <v>593</v>
      </c>
      <c r="G1911" s="865" t="s">
        <v>70</v>
      </c>
      <c r="H1911" s="867">
        <v>2847.49344</v>
      </c>
      <c r="I1911" s="867">
        <v>3176.161218</v>
      </c>
      <c r="J1911" s="868">
        <v>2529.151386</v>
      </c>
      <c r="K1911" s="50"/>
      <c r="L1911" s="869" t="s">
        <v>679</v>
      </c>
      <c r="M1911" s="865" t="s">
        <v>591</v>
      </c>
      <c r="N1911" s="865" t="s">
        <v>653</v>
      </c>
      <c r="O1911" s="866">
        <v>2004.0</v>
      </c>
      <c r="P1911" s="865" t="s">
        <v>593</v>
      </c>
      <c r="Q1911" s="865" t="s">
        <v>70</v>
      </c>
      <c r="R1911" s="867">
        <v>2290.884168</v>
      </c>
      <c r="S1911" s="867">
        <v>2481.822647</v>
      </c>
      <c r="T1911" s="868">
        <v>2107.885692</v>
      </c>
      <c r="AN1911" s="882"/>
      <c r="AO1911" s="882"/>
      <c r="AP1911" s="882"/>
      <c r="AY1911" s="882"/>
      <c r="AZ1911" s="882"/>
      <c r="BA1911" s="882"/>
      <c r="BJ1911" s="882"/>
      <c r="BK1911" s="882"/>
      <c r="BL1911" s="882"/>
      <c r="BU1911" s="882"/>
      <c r="BV1911" s="882"/>
      <c r="BW1911" s="882"/>
      <c r="CF1911" s="882"/>
      <c r="CG1911" s="882"/>
      <c r="CH1911" s="882"/>
      <c r="CI1911" s="530"/>
    </row>
    <row r="1912">
      <c r="A1912" s="857"/>
      <c r="B1912" s="865" t="s">
        <v>679</v>
      </c>
      <c r="C1912" s="865" t="s">
        <v>591</v>
      </c>
      <c r="D1912" s="865" t="s">
        <v>655</v>
      </c>
      <c r="E1912" s="866">
        <v>2019.0</v>
      </c>
      <c r="F1912" s="865" t="s">
        <v>593</v>
      </c>
      <c r="G1912" s="865" t="s">
        <v>70</v>
      </c>
      <c r="H1912" s="867">
        <v>4643.956504</v>
      </c>
      <c r="I1912" s="867">
        <v>5179.941888</v>
      </c>
      <c r="J1912" s="868">
        <v>4124.655585</v>
      </c>
      <c r="K1912" s="50"/>
      <c r="L1912" s="869" t="s">
        <v>679</v>
      </c>
      <c r="M1912" s="865" t="s">
        <v>591</v>
      </c>
      <c r="N1912" s="865" t="s">
        <v>655</v>
      </c>
      <c r="O1912" s="866">
        <v>2004.0</v>
      </c>
      <c r="P1912" s="865" t="s">
        <v>593</v>
      </c>
      <c r="Q1912" s="865" t="s">
        <v>70</v>
      </c>
      <c r="R1912" s="867">
        <v>4053.637913</v>
      </c>
      <c r="S1912" s="867">
        <v>4391.431341</v>
      </c>
      <c r="T1912" s="868">
        <v>3729.638021</v>
      </c>
      <c r="AN1912" s="882"/>
      <c r="AO1912" s="882"/>
      <c r="AP1912" s="882"/>
      <c r="AY1912" s="882"/>
      <c r="AZ1912" s="882"/>
      <c r="BA1912" s="882"/>
      <c r="BJ1912" s="882"/>
      <c r="BK1912" s="882"/>
      <c r="BL1912" s="882"/>
      <c r="BU1912" s="882"/>
      <c r="BV1912" s="882"/>
      <c r="BW1912" s="882"/>
      <c r="CF1912" s="882"/>
      <c r="CG1912" s="882"/>
      <c r="CH1912" s="882"/>
      <c r="CI1912" s="530"/>
    </row>
    <row r="1913">
      <c r="A1913" s="857"/>
      <c r="B1913" s="865" t="s">
        <v>679</v>
      </c>
      <c r="C1913" s="865" t="s">
        <v>591</v>
      </c>
      <c r="D1913" s="865" t="s">
        <v>657</v>
      </c>
      <c r="E1913" s="866">
        <v>2019.0</v>
      </c>
      <c r="F1913" s="865" t="s">
        <v>593</v>
      </c>
      <c r="G1913" s="865" t="s">
        <v>70</v>
      </c>
      <c r="H1913" s="867">
        <v>1796.356129</v>
      </c>
      <c r="I1913" s="867">
        <v>2003.697916</v>
      </c>
      <c r="J1913" s="868">
        <v>1595.52838</v>
      </c>
      <c r="K1913" s="50"/>
      <c r="L1913" s="869" t="s">
        <v>679</v>
      </c>
      <c r="M1913" s="865" t="s">
        <v>591</v>
      </c>
      <c r="N1913" s="865" t="s">
        <v>657</v>
      </c>
      <c r="O1913" s="866">
        <v>2004.0</v>
      </c>
      <c r="P1913" s="865" t="s">
        <v>593</v>
      </c>
      <c r="Q1913" s="865" t="s">
        <v>70</v>
      </c>
      <c r="R1913" s="867">
        <v>1762.682359</v>
      </c>
      <c r="S1913" s="867">
        <v>1909.596766</v>
      </c>
      <c r="T1913" s="868">
        <v>1621.877255</v>
      </c>
      <c r="AN1913" s="882"/>
      <c r="AO1913" s="882"/>
      <c r="AP1913" s="882"/>
      <c r="AY1913" s="882"/>
      <c r="AZ1913" s="882"/>
      <c r="BA1913" s="882"/>
      <c r="BJ1913" s="882"/>
      <c r="BK1913" s="882"/>
      <c r="BL1913" s="882"/>
      <c r="BU1913" s="882"/>
      <c r="BV1913" s="882"/>
      <c r="BW1913" s="882"/>
      <c r="CF1913" s="882"/>
      <c r="CG1913" s="882"/>
      <c r="CH1913" s="882"/>
      <c r="CI1913" s="530"/>
    </row>
    <row r="1914">
      <c r="A1914" s="857"/>
      <c r="B1914" s="865" t="s">
        <v>679</v>
      </c>
      <c r="C1914" s="865" t="s">
        <v>591</v>
      </c>
      <c r="D1914" s="865" t="s">
        <v>659</v>
      </c>
      <c r="E1914" s="866">
        <v>2019.0</v>
      </c>
      <c r="F1914" s="865" t="s">
        <v>593</v>
      </c>
      <c r="G1914" s="865" t="s">
        <v>70</v>
      </c>
      <c r="H1914" s="867">
        <v>4453.139407</v>
      </c>
      <c r="I1914" s="867">
        <v>4967.136529</v>
      </c>
      <c r="J1914" s="868">
        <v>3955.290483</v>
      </c>
      <c r="K1914" s="50"/>
      <c r="L1914" s="869" t="s">
        <v>679</v>
      </c>
      <c r="M1914" s="865" t="s">
        <v>591</v>
      </c>
      <c r="N1914" s="865" t="s">
        <v>659</v>
      </c>
      <c r="O1914" s="866">
        <v>2004.0</v>
      </c>
      <c r="P1914" s="865" t="s">
        <v>593</v>
      </c>
      <c r="Q1914" s="865" t="s">
        <v>70</v>
      </c>
      <c r="R1914" s="867">
        <v>4261.921502</v>
      </c>
      <c r="S1914" s="867">
        <v>4617.140164</v>
      </c>
      <c r="T1914" s="868">
        <v>3921.474286</v>
      </c>
      <c r="AN1914" s="882"/>
      <c r="AO1914" s="882"/>
      <c r="AP1914" s="882"/>
      <c r="AY1914" s="882"/>
      <c r="AZ1914" s="882"/>
      <c r="BA1914" s="882"/>
      <c r="BJ1914" s="882"/>
      <c r="BK1914" s="882"/>
      <c r="BL1914" s="882"/>
      <c r="BU1914" s="882"/>
      <c r="BV1914" s="882"/>
      <c r="BW1914" s="882"/>
      <c r="CF1914" s="882"/>
      <c r="CG1914" s="882"/>
      <c r="CH1914" s="882"/>
      <c r="CI1914" s="530"/>
    </row>
    <row r="1915">
      <c r="A1915" s="857"/>
      <c r="B1915" s="865" t="s">
        <v>679</v>
      </c>
      <c r="C1915" s="865" t="s">
        <v>591</v>
      </c>
      <c r="D1915" s="865" t="s">
        <v>661</v>
      </c>
      <c r="E1915" s="866">
        <v>2019.0</v>
      </c>
      <c r="F1915" s="865" t="s">
        <v>593</v>
      </c>
      <c r="G1915" s="865" t="s">
        <v>70</v>
      </c>
      <c r="H1915" s="867">
        <v>2656.844457</v>
      </c>
      <c r="I1915" s="867">
        <v>2963.485958</v>
      </c>
      <c r="J1915" s="868">
        <v>2359.74827</v>
      </c>
      <c r="K1915" s="50"/>
      <c r="L1915" s="869" t="s">
        <v>679</v>
      </c>
      <c r="M1915" s="865" t="s">
        <v>591</v>
      </c>
      <c r="N1915" s="865" t="s">
        <v>661</v>
      </c>
      <c r="O1915" s="866">
        <v>2004.0</v>
      </c>
      <c r="P1915" s="865" t="s">
        <v>593</v>
      </c>
      <c r="Q1915" s="865" t="s">
        <v>70</v>
      </c>
      <c r="R1915" s="867">
        <v>2499.283156</v>
      </c>
      <c r="S1915" s="867">
        <v>2707.550753</v>
      </c>
      <c r="T1915" s="868">
        <v>2299.520007</v>
      </c>
      <c r="AN1915" s="882"/>
      <c r="AO1915" s="882"/>
      <c r="AP1915" s="882"/>
      <c r="AY1915" s="882"/>
      <c r="AZ1915" s="882"/>
      <c r="BA1915" s="882"/>
      <c r="BJ1915" s="882"/>
      <c r="BK1915" s="882"/>
      <c r="BL1915" s="882"/>
      <c r="BU1915" s="882"/>
      <c r="BV1915" s="882"/>
      <c r="BW1915" s="882"/>
      <c r="CF1915" s="882"/>
      <c r="CG1915" s="882"/>
      <c r="CH1915" s="882"/>
      <c r="CI1915" s="530"/>
    </row>
    <row r="1916">
      <c r="A1916" s="857"/>
      <c r="B1916" s="865" t="s">
        <v>679</v>
      </c>
      <c r="C1916" s="865" t="s">
        <v>591</v>
      </c>
      <c r="D1916" s="865" t="s">
        <v>663</v>
      </c>
      <c r="E1916" s="866">
        <v>2019.0</v>
      </c>
      <c r="F1916" s="865" t="s">
        <v>593</v>
      </c>
      <c r="G1916" s="865" t="s">
        <v>70</v>
      </c>
      <c r="H1916" s="867">
        <v>1282.719038</v>
      </c>
      <c r="I1916" s="867">
        <v>1430.775012</v>
      </c>
      <c r="J1916" s="868">
        <v>1139.314524</v>
      </c>
      <c r="K1916" s="50"/>
      <c r="L1916" s="869" t="s">
        <v>679</v>
      </c>
      <c r="M1916" s="865" t="s">
        <v>591</v>
      </c>
      <c r="N1916" s="865" t="s">
        <v>663</v>
      </c>
      <c r="O1916" s="866">
        <v>2004.0</v>
      </c>
      <c r="P1916" s="865" t="s">
        <v>593</v>
      </c>
      <c r="Q1916" s="865" t="s">
        <v>70</v>
      </c>
      <c r="R1916" s="867">
        <v>1313.403019</v>
      </c>
      <c r="S1916" s="867">
        <v>1422.87131</v>
      </c>
      <c r="T1916" s="868">
        <v>1208.486868</v>
      </c>
      <c r="AN1916" s="882"/>
      <c r="AO1916" s="882"/>
      <c r="AP1916" s="882"/>
      <c r="AY1916" s="882"/>
      <c r="AZ1916" s="882"/>
      <c r="BA1916" s="882"/>
      <c r="BJ1916" s="882"/>
      <c r="BK1916" s="882"/>
      <c r="BL1916" s="882"/>
      <c r="BU1916" s="882"/>
      <c r="BV1916" s="882"/>
      <c r="BW1916" s="882"/>
      <c r="CF1916" s="882"/>
      <c r="CG1916" s="882"/>
      <c r="CH1916" s="882"/>
      <c r="CI1916" s="530"/>
    </row>
    <row r="1917">
      <c r="A1917" s="857"/>
      <c r="B1917" s="865" t="s">
        <v>679</v>
      </c>
      <c r="C1917" s="865" t="s">
        <v>591</v>
      </c>
      <c r="D1917" s="865" t="s">
        <v>665</v>
      </c>
      <c r="E1917" s="866">
        <v>2019.0</v>
      </c>
      <c r="F1917" s="865" t="s">
        <v>593</v>
      </c>
      <c r="G1917" s="865" t="s">
        <v>70</v>
      </c>
      <c r="H1917" s="867">
        <v>2130.176844</v>
      </c>
      <c r="I1917" s="867">
        <v>2376.032646</v>
      </c>
      <c r="J1917" s="868">
        <v>1891.974184</v>
      </c>
      <c r="K1917" s="50"/>
      <c r="L1917" s="869" t="s">
        <v>679</v>
      </c>
      <c r="M1917" s="865" t="s">
        <v>591</v>
      </c>
      <c r="N1917" s="865" t="s">
        <v>665</v>
      </c>
      <c r="O1917" s="866">
        <v>2004.0</v>
      </c>
      <c r="P1917" s="865" t="s">
        <v>593</v>
      </c>
      <c r="Q1917" s="865" t="s">
        <v>70</v>
      </c>
      <c r="R1917" s="867">
        <v>2041.860071</v>
      </c>
      <c r="S1917" s="867">
        <v>2212.010175</v>
      </c>
      <c r="T1917" s="868">
        <v>1878.657916</v>
      </c>
      <c r="AN1917" s="882"/>
      <c r="AO1917" s="882"/>
      <c r="AP1917" s="882"/>
      <c r="AY1917" s="882"/>
      <c r="AZ1917" s="882"/>
      <c r="BA1917" s="882"/>
      <c r="BJ1917" s="882"/>
      <c r="BK1917" s="882"/>
      <c r="BL1917" s="882"/>
      <c r="BU1917" s="882"/>
      <c r="BV1917" s="882"/>
      <c r="BW1917" s="882"/>
      <c r="CF1917" s="882"/>
      <c r="CG1917" s="882"/>
      <c r="CH1917" s="882"/>
      <c r="CI1917" s="530"/>
    </row>
    <row r="1918">
      <c r="A1918" s="857"/>
      <c r="B1918" s="865" t="s">
        <v>679</v>
      </c>
      <c r="C1918" s="865" t="s">
        <v>591</v>
      </c>
      <c r="D1918" s="865" t="s">
        <v>667</v>
      </c>
      <c r="E1918" s="866">
        <v>2019.0</v>
      </c>
      <c r="F1918" s="865" t="s">
        <v>593</v>
      </c>
      <c r="G1918" s="865" t="s">
        <v>70</v>
      </c>
      <c r="H1918" s="867">
        <v>1374.064241</v>
      </c>
      <c r="I1918" s="867">
        <v>1532.663602</v>
      </c>
      <c r="J1918" s="868">
        <v>1220.44758</v>
      </c>
      <c r="K1918" s="50"/>
      <c r="L1918" s="869" t="s">
        <v>679</v>
      </c>
      <c r="M1918" s="865" t="s">
        <v>591</v>
      </c>
      <c r="N1918" s="865" t="s">
        <v>667</v>
      </c>
      <c r="O1918" s="866">
        <v>2004.0</v>
      </c>
      <c r="P1918" s="865" t="s">
        <v>593</v>
      </c>
      <c r="Q1918" s="865" t="s">
        <v>70</v>
      </c>
      <c r="R1918" s="867">
        <v>1185.836124</v>
      </c>
      <c r="S1918" s="867">
        <v>1284.672088</v>
      </c>
      <c r="T1918" s="868">
        <v>1091.110163</v>
      </c>
      <c r="AN1918" s="882"/>
      <c r="AO1918" s="882"/>
      <c r="AP1918" s="882"/>
      <c r="AY1918" s="882"/>
      <c r="AZ1918" s="882"/>
      <c r="BA1918" s="882"/>
      <c r="BJ1918" s="882"/>
      <c r="BK1918" s="882"/>
      <c r="BL1918" s="882"/>
      <c r="BU1918" s="882"/>
      <c r="BV1918" s="882"/>
      <c r="BW1918" s="882"/>
      <c r="CF1918" s="882"/>
      <c r="CG1918" s="882"/>
      <c r="CH1918" s="882"/>
      <c r="CI1918" s="530"/>
    </row>
    <row r="1919">
      <c r="A1919" s="857"/>
      <c r="B1919" s="865" t="s">
        <v>679</v>
      </c>
      <c r="C1919" s="865" t="s">
        <v>591</v>
      </c>
      <c r="D1919" s="865" t="s">
        <v>669</v>
      </c>
      <c r="E1919" s="866">
        <v>2019.0</v>
      </c>
      <c r="F1919" s="865" t="s">
        <v>593</v>
      </c>
      <c r="G1919" s="865" t="s">
        <v>70</v>
      </c>
      <c r="H1919" s="867">
        <v>847.4087554</v>
      </c>
      <c r="I1919" s="867">
        <v>945.2196752</v>
      </c>
      <c r="J1919" s="868">
        <v>752.6707518</v>
      </c>
      <c r="K1919" s="50"/>
      <c r="L1919" s="869" t="s">
        <v>679</v>
      </c>
      <c r="M1919" s="865" t="s">
        <v>591</v>
      </c>
      <c r="N1919" s="865" t="s">
        <v>669</v>
      </c>
      <c r="O1919" s="866">
        <v>2004.0</v>
      </c>
      <c r="P1919" s="865" t="s">
        <v>593</v>
      </c>
      <c r="Q1919" s="865" t="s">
        <v>70</v>
      </c>
      <c r="R1919" s="867">
        <v>728.4210943</v>
      </c>
      <c r="S1919" s="867">
        <v>789.1328569</v>
      </c>
      <c r="T1919" s="868">
        <v>670.2339752</v>
      </c>
      <c r="AN1919" s="882"/>
      <c r="AO1919" s="882"/>
      <c r="AP1919" s="882"/>
      <c r="AY1919" s="882"/>
      <c r="AZ1919" s="882"/>
      <c r="BA1919" s="882"/>
      <c r="BJ1919" s="882"/>
      <c r="BK1919" s="882"/>
      <c r="BL1919" s="882"/>
      <c r="BU1919" s="882"/>
      <c r="BV1919" s="882"/>
      <c r="BW1919" s="882"/>
      <c r="CF1919" s="882"/>
      <c r="CG1919" s="882"/>
      <c r="CH1919" s="882"/>
      <c r="CI1919" s="530"/>
    </row>
    <row r="1920">
      <c r="A1920" s="857"/>
      <c r="B1920" s="865" t="s">
        <v>679</v>
      </c>
      <c r="C1920" s="865" t="s">
        <v>591</v>
      </c>
      <c r="D1920" s="865" t="s">
        <v>671</v>
      </c>
      <c r="E1920" s="866">
        <v>2019.0</v>
      </c>
      <c r="F1920" s="865" t="s">
        <v>593</v>
      </c>
      <c r="G1920" s="865" t="s">
        <v>70</v>
      </c>
      <c r="H1920" s="867">
        <v>526.6676126</v>
      </c>
      <c r="I1920" s="867">
        <v>587.4533116</v>
      </c>
      <c r="J1920" s="868">
        <v>467.7740861</v>
      </c>
      <c r="K1920" s="50"/>
      <c r="L1920" s="869" t="s">
        <v>679</v>
      </c>
      <c r="M1920" s="865" t="s">
        <v>591</v>
      </c>
      <c r="N1920" s="865" t="s">
        <v>671</v>
      </c>
      <c r="O1920" s="866">
        <v>2004.0</v>
      </c>
      <c r="P1920" s="865" t="s">
        <v>593</v>
      </c>
      <c r="Q1920" s="865" t="s">
        <v>70</v>
      </c>
      <c r="R1920" s="867">
        <v>457.4230847</v>
      </c>
      <c r="S1920" s="867">
        <v>495.5405771</v>
      </c>
      <c r="T1920" s="868">
        <v>420.8620911</v>
      </c>
      <c r="AN1920" s="882"/>
      <c r="AO1920" s="882"/>
      <c r="AP1920" s="882"/>
      <c r="AY1920" s="882"/>
      <c r="AZ1920" s="882"/>
      <c r="BA1920" s="882"/>
      <c r="BJ1920" s="882"/>
      <c r="BK1920" s="882"/>
      <c r="BL1920" s="882"/>
      <c r="BU1920" s="882"/>
      <c r="BV1920" s="882"/>
      <c r="BW1920" s="882"/>
      <c r="CF1920" s="882"/>
      <c r="CG1920" s="882"/>
      <c r="CH1920" s="882"/>
      <c r="CI1920" s="530"/>
    </row>
    <row r="1921">
      <c r="A1921" s="857"/>
      <c r="B1921" s="865" t="s">
        <v>679</v>
      </c>
      <c r="C1921" s="865" t="s">
        <v>591</v>
      </c>
      <c r="D1921" s="865" t="s">
        <v>673</v>
      </c>
      <c r="E1921" s="866">
        <v>2019.0</v>
      </c>
      <c r="F1921" s="865" t="s">
        <v>593</v>
      </c>
      <c r="G1921" s="865" t="s">
        <v>70</v>
      </c>
      <c r="H1921" s="867">
        <v>377.9297927</v>
      </c>
      <c r="I1921" s="867">
        <v>421.5517879</v>
      </c>
      <c r="J1921" s="868">
        <v>335.6782655</v>
      </c>
      <c r="K1921" s="50"/>
      <c r="L1921" s="869" t="s">
        <v>679</v>
      </c>
      <c r="M1921" s="865" t="s">
        <v>591</v>
      </c>
      <c r="N1921" s="865" t="s">
        <v>673</v>
      </c>
      <c r="O1921" s="866">
        <v>2004.0</v>
      </c>
      <c r="P1921" s="865" t="s">
        <v>593</v>
      </c>
      <c r="Q1921" s="865" t="s">
        <v>70</v>
      </c>
      <c r="R1921" s="867">
        <v>329.4651119</v>
      </c>
      <c r="S1921" s="867">
        <v>356.925063</v>
      </c>
      <c r="T1921" s="868">
        <v>303.1470579</v>
      </c>
      <c r="AN1921" s="882"/>
      <c r="AO1921" s="882"/>
      <c r="AP1921" s="882"/>
      <c r="AY1921" s="882"/>
      <c r="AZ1921" s="882"/>
      <c r="BA1921" s="882"/>
      <c r="BJ1921" s="882"/>
      <c r="BK1921" s="882"/>
      <c r="BL1921" s="882"/>
      <c r="BU1921" s="882"/>
      <c r="BV1921" s="882"/>
      <c r="BW1921" s="882"/>
      <c r="CF1921" s="882"/>
      <c r="CG1921" s="882"/>
      <c r="CH1921" s="882"/>
      <c r="CI1921" s="530"/>
    </row>
    <row r="1922">
      <c r="A1922" s="857"/>
      <c r="B1922" s="865" t="s">
        <v>679</v>
      </c>
      <c r="C1922" s="865" t="s">
        <v>591</v>
      </c>
      <c r="D1922" s="865" t="s">
        <v>674</v>
      </c>
      <c r="E1922" s="866">
        <v>2019.0</v>
      </c>
      <c r="F1922" s="865" t="s">
        <v>593</v>
      </c>
      <c r="G1922" s="865" t="s">
        <v>70</v>
      </c>
      <c r="H1922" s="867">
        <v>122.1976888</v>
      </c>
      <c r="I1922" s="867">
        <v>136.3021788</v>
      </c>
      <c r="J1922" s="868">
        <v>108.5363182</v>
      </c>
      <c r="K1922" s="50"/>
      <c r="L1922" s="869" t="s">
        <v>679</v>
      </c>
      <c r="M1922" s="865" t="s">
        <v>591</v>
      </c>
      <c r="N1922" s="865" t="s">
        <v>674</v>
      </c>
      <c r="O1922" s="866">
        <v>2004.0</v>
      </c>
      <c r="P1922" s="865" t="s">
        <v>593</v>
      </c>
      <c r="Q1922" s="865" t="s">
        <v>70</v>
      </c>
      <c r="R1922" s="867">
        <v>105.4396452</v>
      </c>
      <c r="S1922" s="867">
        <v>114.2277305</v>
      </c>
      <c r="T1922" s="868">
        <v>97.0170045</v>
      </c>
      <c r="AN1922" s="882"/>
      <c r="AO1922" s="882"/>
      <c r="AP1922" s="882"/>
      <c r="AY1922" s="882"/>
      <c r="AZ1922" s="882"/>
      <c r="BA1922" s="882"/>
      <c r="BJ1922" s="882"/>
      <c r="BK1922" s="882"/>
      <c r="BL1922" s="882"/>
      <c r="BU1922" s="882"/>
      <c r="BV1922" s="882"/>
      <c r="BW1922" s="882"/>
      <c r="CF1922" s="882"/>
      <c r="CG1922" s="882"/>
      <c r="CH1922" s="882"/>
      <c r="CI1922" s="530"/>
    </row>
    <row r="1923">
      <c r="A1923" s="857"/>
      <c r="B1923" s="865" t="s">
        <v>679</v>
      </c>
      <c r="C1923" s="865" t="s">
        <v>591</v>
      </c>
      <c r="D1923" s="865" t="s">
        <v>676</v>
      </c>
      <c r="E1923" s="866">
        <v>2019.0</v>
      </c>
      <c r="F1923" s="865" t="s">
        <v>593</v>
      </c>
      <c r="G1923" s="865" t="s">
        <v>70</v>
      </c>
      <c r="H1923" s="867">
        <v>26.52800368</v>
      </c>
      <c r="I1923" s="867">
        <v>29.58995982</v>
      </c>
      <c r="J1923" s="868">
        <v>23.56224472</v>
      </c>
      <c r="K1923" s="50"/>
      <c r="L1923" s="869" t="s">
        <v>679</v>
      </c>
      <c r="M1923" s="865" t="s">
        <v>591</v>
      </c>
      <c r="N1923" s="865" t="s">
        <v>676</v>
      </c>
      <c r="O1923" s="866">
        <v>2004.0</v>
      </c>
      <c r="P1923" s="865" t="s">
        <v>593</v>
      </c>
      <c r="Q1923" s="865" t="s">
        <v>70</v>
      </c>
      <c r="R1923" s="867">
        <v>22.51027224</v>
      </c>
      <c r="S1923" s="867">
        <v>24.38643744</v>
      </c>
      <c r="T1923" s="868">
        <v>20.71212567</v>
      </c>
      <c r="AN1923" s="882"/>
      <c r="AO1923" s="882"/>
      <c r="AP1923" s="882"/>
      <c r="AY1923" s="882"/>
      <c r="AZ1923" s="882"/>
      <c r="BA1923" s="882"/>
      <c r="BJ1923" s="882"/>
      <c r="BK1923" s="882"/>
      <c r="BL1923" s="882"/>
      <c r="BU1923" s="882"/>
      <c r="BV1923" s="882"/>
      <c r="BW1923" s="882"/>
      <c r="CF1923" s="882"/>
      <c r="CG1923" s="882"/>
      <c r="CH1923" s="882"/>
      <c r="CI1923" s="530"/>
    </row>
    <row r="1924">
      <c r="A1924" s="857"/>
      <c r="B1924" s="865" t="s">
        <v>679</v>
      </c>
      <c r="C1924" s="865" t="s">
        <v>591</v>
      </c>
      <c r="D1924" s="865" t="s">
        <v>678</v>
      </c>
      <c r="E1924" s="866">
        <v>2019.0</v>
      </c>
      <c r="F1924" s="865" t="s">
        <v>593</v>
      </c>
      <c r="G1924" s="865" t="s">
        <v>70</v>
      </c>
      <c r="H1924" s="867">
        <v>205385.1395</v>
      </c>
      <c r="I1924" s="867">
        <v>229091.4197</v>
      </c>
      <c r="J1924" s="868">
        <v>182423.6372</v>
      </c>
      <c r="K1924" s="50"/>
      <c r="L1924" s="869" t="s">
        <v>679</v>
      </c>
      <c r="M1924" s="865" t="s">
        <v>591</v>
      </c>
      <c r="N1924" s="865" t="s">
        <v>678</v>
      </c>
      <c r="O1924" s="866">
        <v>2004.0</v>
      </c>
      <c r="P1924" s="865" t="s">
        <v>593</v>
      </c>
      <c r="Q1924" s="865" t="s">
        <v>70</v>
      </c>
      <c r="R1924" s="867">
        <v>153990.0852</v>
      </c>
      <c r="S1924" s="867">
        <v>166824.7074</v>
      </c>
      <c r="T1924" s="868">
        <v>141689.1792</v>
      </c>
      <c r="AN1924" s="882"/>
      <c r="AO1924" s="882"/>
      <c r="AP1924" s="882"/>
      <c r="AY1924" s="882"/>
      <c r="AZ1924" s="882"/>
      <c r="BA1924" s="882"/>
      <c r="BJ1924" s="882"/>
      <c r="BK1924" s="882"/>
      <c r="BL1924" s="882"/>
      <c r="BU1924" s="882"/>
      <c r="BV1924" s="882"/>
      <c r="BW1924" s="882"/>
      <c r="CF1924" s="882"/>
      <c r="CG1924" s="882"/>
      <c r="CH1924" s="882"/>
      <c r="CI1924" s="530"/>
    </row>
    <row r="1925">
      <c r="A1925" s="857"/>
      <c r="B1925" s="865" t="s">
        <v>679</v>
      </c>
      <c r="C1925" s="865" t="s">
        <v>591</v>
      </c>
      <c r="D1925" s="865" t="s">
        <v>680</v>
      </c>
      <c r="E1925" s="866">
        <v>2019.0</v>
      </c>
      <c r="F1925" s="865" t="s">
        <v>593</v>
      </c>
      <c r="G1925" s="865" t="s">
        <v>70</v>
      </c>
      <c r="H1925" s="867">
        <v>4672.860987</v>
      </c>
      <c r="I1925" s="867">
        <v>5410.211692</v>
      </c>
      <c r="J1925" s="868">
        <v>4010.597532</v>
      </c>
      <c r="K1925" s="50"/>
      <c r="L1925" s="869" t="s">
        <v>679</v>
      </c>
      <c r="M1925" s="865" t="s">
        <v>591</v>
      </c>
      <c r="N1925" s="865" t="s">
        <v>680</v>
      </c>
      <c r="O1925" s="866">
        <v>2004.0</v>
      </c>
      <c r="P1925" s="865" t="s">
        <v>593</v>
      </c>
      <c r="Q1925" s="865" t="s">
        <v>70</v>
      </c>
      <c r="R1925" s="867">
        <v>5438.426818</v>
      </c>
      <c r="S1925" s="867">
        <v>5749.043776</v>
      </c>
      <c r="T1925" s="868">
        <v>5134.829036</v>
      </c>
      <c r="AN1925" s="882"/>
      <c r="AO1925" s="882"/>
      <c r="AP1925" s="882"/>
      <c r="AY1925" s="882"/>
      <c r="AZ1925" s="882"/>
      <c r="BA1925" s="882"/>
      <c r="BJ1925" s="882"/>
      <c r="BK1925" s="882"/>
      <c r="BL1925" s="882"/>
      <c r="BU1925" s="882"/>
      <c r="BV1925" s="882"/>
      <c r="BW1925" s="882"/>
      <c r="CF1925" s="882"/>
      <c r="CG1925" s="882"/>
      <c r="CH1925" s="882"/>
      <c r="CI1925" s="530"/>
    </row>
    <row r="1926">
      <c r="A1926" s="857"/>
      <c r="B1926" s="865" t="s">
        <v>679</v>
      </c>
      <c r="C1926" s="865" t="s">
        <v>591</v>
      </c>
      <c r="D1926" s="865" t="s">
        <v>682</v>
      </c>
      <c r="E1926" s="866">
        <v>2019.0</v>
      </c>
      <c r="F1926" s="865" t="s">
        <v>593</v>
      </c>
      <c r="G1926" s="865" t="s">
        <v>70</v>
      </c>
      <c r="H1926" s="867">
        <v>89.18533722</v>
      </c>
      <c r="I1926" s="867">
        <v>99.47942471</v>
      </c>
      <c r="J1926" s="868">
        <v>79.21465809</v>
      </c>
      <c r="K1926" s="50"/>
      <c r="L1926" s="869" t="s">
        <v>679</v>
      </c>
      <c r="M1926" s="865" t="s">
        <v>591</v>
      </c>
      <c r="N1926" s="865" t="s">
        <v>682</v>
      </c>
      <c r="O1926" s="866">
        <v>2004.0</v>
      </c>
      <c r="P1926" s="865" t="s">
        <v>593</v>
      </c>
      <c r="Q1926" s="865" t="s">
        <v>70</v>
      </c>
      <c r="R1926" s="867">
        <v>103.3320004</v>
      </c>
      <c r="S1926" s="867">
        <v>111.9444197</v>
      </c>
      <c r="T1926" s="868">
        <v>95.07772079</v>
      </c>
      <c r="AN1926" s="882"/>
      <c r="AO1926" s="882"/>
      <c r="AP1926" s="882"/>
      <c r="AY1926" s="882"/>
      <c r="AZ1926" s="882"/>
      <c r="BA1926" s="882"/>
      <c r="BJ1926" s="882"/>
      <c r="BK1926" s="882"/>
      <c r="BL1926" s="882"/>
      <c r="BU1926" s="882"/>
      <c r="BV1926" s="882"/>
      <c r="BW1926" s="882"/>
      <c r="CF1926" s="882"/>
      <c r="CG1926" s="882"/>
      <c r="CH1926" s="882"/>
      <c r="CI1926" s="530"/>
    </row>
    <row r="1927">
      <c r="A1927" s="857"/>
      <c r="B1927" s="865" t="s">
        <v>679</v>
      </c>
      <c r="C1927" s="865" t="s">
        <v>591</v>
      </c>
      <c r="D1927" s="865" t="s">
        <v>684</v>
      </c>
      <c r="E1927" s="866">
        <v>2019.0</v>
      </c>
      <c r="F1927" s="865" t="s">
        <v>593</v>
      </c>
      <c r="G1927" s="865" t="s">
        <v>70</v>
      </c>
      <c r="H1927" s="867">
        <v>265.8054461</v>
      </c>
      <c r="I1927" s="867">
        <v>296.4856521</v>
      </c>
      <c r="J1927" s="868">
        <v>236.0891172</v>
      </c>
      <c r="K1927" s="50"/>
      <c r="L1927" s="869" t="s">
        <v>679</v>
      </c>
      <c r="M1927" s="865" t="s">
        <v>591</v>
      </c>
      <c r="N1927" s="865" t="s">
        <v>684</v>
      </c>
      <c r="O1927" s="866">
        <v>2004.0</v>
      </c>
      <c r="P1927" s="865" t="s">
        <v>593</v>
      </c>
      <c r="Q1927" s="865" t="s">
        <v>70</v>
      </c>
      <c r="R1927" s="867">
        <v>307.0884288</v>
      </c>
      <c r="S1927" s="867">
        <v>332.683349</v>
      </c>
      <c r="T1927" s="868">
        <v>282.5578501</v>
      </c>
      <c r="AN1927" s="882"/>
      <c r="AO1927" s="882"/>
      <c r="AP1927" s="882"/>
      <c r="AY1927" s="882"/>
      <c r="AZ1927" s="882"/>
      <c r="BA1927" s="882"/>
      <c r="BJ1927" s="882"/>
      <c r="BK1927" s="882"/>
      <c r="BL1927" s="882"/>
      <c r="BU1927" s="882"/>
      <c r="BV1927" s="882"/>
      <c r="BW1927" s="882"/>
      <c r="CF1927" s="882"/>
      <c r="CG1927" s="882"/>
      <c r="CH1927" s="882"/>
      <c r="CI1927" s="530"/>
    </row>
    <row r="1928">
      <c r="A1928" s="857"/>
      <c r="B1928" s="865" t="s">
        <v>679</v>
      </c>
      <c r="C1928" s="865" t="s">
        <v>591</v>
      </c>
      <c r="D1928" s="865" t="s">
        <v>686</v>
      </c>
      <c r="E1928" s="866">
        <v>2019.0</v>
      </c>
      <c r="F1928" s="865" t="s">
        <v>593</v>
      </c>
      <c r="G1928" s="865" t="s">
        <v>70</v>
      </c>
      <c r="H1928" s="867">
        <v>354.9907833</v>
      </c>
      <c r="I1928" s="867">
        <v>395.9650768</v>
      </c>
      <c r="J1928" s="868">
        <v>315.3037753</v>
      </c>
      <c r="K1928" s="50"/>
      <c r="L1928" s="869" t="s">
        <v>679</v>
      </c>
      <c r="M1928" s="865" t="s">
        <v>591</v>
      </c>
      <c r="N1928" s="865" t="s">
        <v>686</v>
      </c>
      <c r="O1928" s="866">
        <v>2004.0</v>
      </c>
      <c r="P1928" s="865" t="s">
        <v>593</v>
      </c>
      <c r="Q1928" s="865" t="s">
        <v>70</v>
      </c>
      <c r="R1928" s="867">
        <v>410.4204293</v>
      </c>
      <c r="S1928" s="867">
        <v>444.6277688</v>
      </c>
      <c r="T1928" s="868">
        <v>377.6355709</v>
      </c>
      <c r="AN1928" s="882"/>
      <c r="AO1928" s="882"/>
      <c r="AP1928" s="882"/>
      <c r="AY1928" s="882"/>
      <c r="AZ1928" s="882"/>
      <c r="BA1928" s="882"/>
      <c r="BJ1928" s="882"/>
      <c r="BK1928" s="882"/>
      <c r="BL1928" s="882"/>
      <c r="BU1928" s="882"/>
      <c r="BV1928" s="882"/>
      <c r="BW1928" s="882"/>
      <c r="CF1928" s="882"/>
      <c r="CG1928" s="882"/>
      <c r="CH1928" s="882"/>
      <c r="CI1928" s="530"/>
    </row>
    <row r="1929">
      <c r="A1929" s="857"/>
      <c r="B1929" s="865" t="s">
        <v>679</v>
      </c>
      <c r="C1929" s="865" t="s">
        <v>591</v>
      </c>
      <c r="D1929" s="865" t="s">
        <v>688</v>
      </c>
      <c r="E1929" s="866">
        <v>2019.0</v>
      </c>
      <c r="F1929" s="865" t="s">
        <v>593</v>
      </c>
      <c r="G1929" s="865" t="s">
        <v>70</v>
      </c>
      <c r="H1929" s="867">
        <v>4217.012634</v>
      </c>
      <c r="I1929" s="867">
        <v>4703.755168</v>
      </c>
      <c r="J1929" s="868">
        <v>3745.562044</v>
      </c>
      <c r="K1929" s="50"/>
      <c r="L1929" s="869" t="s">
        <v>679</v>
      </c>
      <c r="M1929" s="865" t="s">
        <v>591</v>
      </c>
      <c r="N1929" s="865" t="s">
        <v>688</v>
      </c>
      <c r="O1929" s="866">
        <v>2004.0</v>
      </c>
      <c r="P1929" s="865" t="s">
        <v>593</v>
      </c>
      <c r="Q1929" s="865" t="s">
        <v>70</v>
      </c>
      <c r="R1929" s="867">
        <v>4859.966873</v>
      </c>
      <c r="S1929" s="867">
        <v>5265.030863</v>
      </c>
      <c r="T1929" s="868">
        <v>4471.747101</v>
      </c>
      <c r="AN1929" s="882"/>
      <c r="AO1929" s="882"/>
      <c r="AP1929" s="882"/>
      <c r="AY1929" s="882"/>
      <c r="AZ1929" s="882"/>
      <c r="BA1929" s="882"/>
      <c r="BJ1929" s="882"/>
      <c r="BK1929" s="882"/>
      <c r="BL1929" s="882"/>
      <c r="BU1929" s="882"/>
      <c r="BV1929" s="882"/>
      <c r="BW1929" s="882"/>
      <c r="CF1929" s="882"/>
      <c r="CG1929" s="882"/>
      <c r="CH1929" s="882"/>
      <c r="CI1929" s="530"/>
    </row>
    <row r="1930">
      <c r="A1930" s="857"/>
      <c r="B1930" s="865" t="s">
        <v>679</v>
      </c>
      <c r="C1930" s="865" t="s">
        <v>591</v>
      </c>
      <c r="D1930" s="865" t="s">
        <v>689</v>
      </c>
      <c r="E1930" s="866">
        <v>2019.0</v>
      </c>
      <c r="F1930" s="865" t="s">
        <v>593</v>
      </c>
      <c r="G1930" s="865" t="s">
        <v>70</v>
      </c>
      <c r="H1930" s="867">
        <v>23322.56631</v>
      </c>
      <c r="I1930" s="867">
        <v>26014.53952</v>
      </c>
      <c r="J1930" s="868">
        <v>20715.16657</v>
      </c>
      <c r="K1930" s="50"/>
      <c r="L1930" s="869" t="s">
        <v>679</v>
      </c>
      <c r="M1930" s="865" t="s">
        <v>591</v>
      </c>
      <c r="N1930" s="865" t="s">
        <v>689</v>
      </c>
      <c r="O1930" s="866">
        <v>2004.0</v>
      </c>
      <c r="P1930" s="865" t="s">
        <v>593</v>
      </c>
      <c r="Q1930" s="865" t="s">
        <v>70</v>
      </c>
      <c r="R1930" s="867">
        <v>25139.97908</v>
      </c>
      <c r="S1930" s="867">
        <v>27235.32263</v>
      </c>
      <c r="T1930" s="868">
        <v>23131.76849</v>
      </c>
      <c r="AN1930" s="882"/>
      <c r="AO1930" s="882"/>
      <c r="AP1930" s="882"/>
      <c r="AY1930" s="882"/>
      <c r="AZ1930" s="882"/>
      <c r="BA1930" s="882"/>
      <c r="BJ1930" s="882"/>
      <c r="BK1930" s="882"/>
      <c r="BL1930" s="882"/>
      <c r="BU1930" s="882"/>
      <c r="BV1930" s="882"/>
      <c r="BW1930" s="882"/>
      <c r="CF1930" s="882"/>
      <c r="CG1930" s="882"/>
      <c r="CH1930" s="882"/>
      <c r="CI1930" s="530"/>
    </row>
    <row r="1931">
      <c r="A1931" s="857"/>
      <c r="B1931" s="865" t="s">
        <v>681</v>
      </c>
      <c r="C1931" s="865" t="s">
        <v>591</v>
      </c>
      <c r="D1931" s="865" t="s">
        <v>592</v>
      </c>
      <c r="E1931" s="866">
        <v>2019.0</v>
      </c>
      <c r="F1931" s="865" t="s">
        <v>593</v>
      </c>
      <c r="G1931" s="865" t="s">
        <v>70</v>
      </c>
      <c r="H1931" s="867">
        <v>445866.7205</v>
      </c>
      <c r="I1931" s="867">
        <v>496493.9487</v>
      </c>
      <c r="J1931" s="868">
        <v>397842.8597</v>
      </c>
      <c r="K1931" s="50"/>
      <c r="L1931" s="869" t="s">
        <v>681</v>
      </c>
      <c r="M1931" s="865" t="s">
        <v>591</v>
      </c>
      <c r="N1931" s="865" t="s">
        <v>592</v>
      </c>
      <c r="O1931" s="866">
        <v>2004.0</v>
      </c>
      <c r="P1931" s="865" t="s">
        <v>593</v>
      </c>
      <c r="Q1931" s="865" t="s">
        <v>70</v>
      </c>
      <c r="R1931" s="867">
        <v>394559.8047</v>
      </c>
      <c r="S1931" s="867">
        <v>427168.4564</v>
      </c>
      <c r="T1931" s="868">
        <v>363437.9334</v>
      </c>
      <c r="AN1931" s="882"/>
      <c r="AO1931" s="882"/>
      <c r="AP1931" s="882"/>
      <c r="AY1931" s="882"/>
      <c r="AZ1931" s="882"/>
      <c r="BA1931" s="882"/>
      <c r="BJ1931" s="882"/>
      <c r="BK1931" s="882"/>
      <c r="BL1931" s="882"/>
      <c r="BU1931" s="882"/>
      <c r="BV1931" s="882"/>
      <c r="BW1931" s="882"/>
      <c r="CF1931" s="882"/>
      <c r="CG1931" s="882"/>
      <c r="CH1931" s="882"/>
      <c r="CI1931" s="530"/>
    </row>
    <row r="1932">
      <c r="A1932" s="857"/>
      <c r="B1932" s="865" t="s">
        <v>681</v>
      </c>
      <c r="C1932" s="865" t="s">
        <v>591</v>
      </c>
      <c r="D1932" s="865" t="s">
        <v>601</v>
      </c>
      <c r="E1932" s="866">
        <v>2019.0</v>
      </c>
      <c r="F1932" s="865" t="s">
        <v>593</v>
      </c>
      <c r="G1932" s="865" t="s">
        <v>70</v>
      </c>
      <c r="H1932" s="867">
        <v>7778364.165</v>
      </c>
      <c r="I1932" s="867">
        <v>8661581.053</v>
      </c>
      <c r="J1932" s="868">
        <v>6940564.3</v>
      </c>
      <c r="K1932" s="50"/>
      <c r="L1932" s="869" t="s">
        <v>681</v>
      </c>
      <c r="M1932" s="865" t="s">
        <v>591</v>
      </c>
      <c r="N1932" s="865" t="s">
        <v>601</v>
      </c>
      <c r="O1932" s="866">
        <v>2004.0</v>
      </c>
      <c r="P1932" s="865" t="s">
        <v>593</v>
      </c>
      <c r="Q1932" s="865" t="s">
        <v>70</v>
      </c>
      <c r="R1932" s="867">
        <v>5861155.102</v>
      </c>
      <c r="S1932" s="867">
        <v>6345554.078</v>
      </c>
      <c r="T1932" s="868">
        <v>5398842.133</v>
      </c>
      <c r="AN1932" s="882"/>
      <c r="AO1932" s="882"/>
      <c r="AP1932" s="882"/>
      <c r="AY1932" s="882"/>
      <c r="AZ1932" s="882"/>
      <c r="BA1932" s="882"/>
      <c r="BJ1932" s="882"/>
      <c r="BK1932" s="882"/>
      <c r="BL1932" s="882"/>
      <c r="BU1932" s="882"/>
      <c r="BV1932" s="882"/>
      <c r="BW1932" s="882"/>
      <c r="CF1932" s="882"/>
      <c r="CG1932" s="882"/>
      <c r="CH1932" s="882"/>
      <c r="CI1932" s="530"/>
    </row>
    <row r="1933">
      <c r="A1933" s="857"/>
      <c r="B1933" s="865" t="s">
        <v>681</v>
      </c>
      <c r="C1933" s="865" t="s">
        <v>591</v>
      </c>
      <c r="D1933" s="865" t="s">
        <v>606</v>
      </c>
      <c r="E1933" s="866">
        <v>2019.0</v>
      </c>
      <c r="F1933" s="865" t="s">
        <v>593</v>
      </c>
      <c r="G1933" s="865" t="s">
        <v>70</v>
      </c>
      <c r="H1933" s="867">
        <v>6102048.136</v>
      </c>
      <c r="I1933" s="867">
        <v>6794922.865</v>
      </c>
      <c r="J1933" s="868">
        <v>5444802.602</v>
      </c>
      <c r="K1933" s="50"/>
      <c r="L1933" s="869" t="s">
        <v>681</v>
      </c>
      <c r="M1933" s="865" t="s">
        <v>591</v>
      </c>
      <c r="N1933" s="865" t="s">
        <v>606</v>
      </c>
      <c r="O1933" s="866">
        <v>2004.0</v>
      </c>
      <c r="P1933" s="865" t="s">
        <v>593</v>
      </c>
      <c r="Q1933" s="865" t="s">
        <v>70</v>
      </c>
      <c r="R1933" s="867">
        <v>4661064.877</v>
      </c>
      <c r="S1933" s="867">
        <v>5046281.616</v>
      </c>
      <c r="T1933" s="868">
        <v>4293411.966</v>
      </c>
      <c r="AN1933" s="882"/>
      <c r="AO1933" s="882"/>
      <c r="AP1933" s="882"/>
      <c r="AY1933" s="882"/>
      <c r="AZ1933" s="882"/>
      <c r="BA1933" s="882"/>
      <c r="BJ1933" s="882"/>
      <c r="BK1933" s="882"/>
      <c r="BL1933" s="882"/>
      <c r="BU1933" s="882"/>
      <c r="BV1933" s="882"/>
      <c r="BW1933" s="882"/>
      <c r="CF1933" s="882"/>
      <c r="CG1933" s="882"/>
      <c r="CH1933" s="882"/>
      <c r="CI1933" s="530"/>
    </row>
    <row r="1934">
      <c r="A1934" s="857"/>
      <c r="B1934" s="865" t="s">
        <v>681</v>
      </c>
      <c r="C1934" s="865" t="s">
        <v>591</v>
      </c>
      <c r="D1934" s="865" t="s">
        <v>608</v>
      </c>
      <c r="E1934" s="866">
        <v>2019.0</v>
      </c>
      <c r="F1934" s="865" t="s">
        <v>593</v>
      </c>
      <c r="G1934" s="865" t="s">
        <v>70</v>
      </c>
      <c r="H1934" s="867">
        <v>1704740.107</v>
      </c>
      <c r="I1934" s="867">
        <v>1898309.76</v>
      </c>
      <c r="J1934" s="868">
        <v>1521124.246</v>
      </c>
      <c r="K1934" s="50"/>
      <c r="L1934" s="869" t="s">
        <v>681</v>
      </c>
      <c r="M1934" s="865" t="s">
        <v>591</v>
      </c>
      <c r="N1934" s="865" t="s">
        <v>608</v>
      </c>
      <c r="O1934" s="866">
        <v>2004.0</v>
      </c>
      <c r="P1934" s="865" t="s">
        <v>593</v>
      </c>
      <c r="Q1934" s="865" t="s">
        <v>70</v>
      </c>
      <c r="R1934" s="867">
        <v>1400602.869</v>
      </c>
      <c r="S1934" s="867">
        <v>1516356.604</v>
      </c>
      <c r="T1934" s="868">
        <v>1290126.886</v>
      </c>
      <c r="AN1934" s="882"/>
      <c r="AO1934" s="882"/>
      <c r="AP1934" s="882"/>
      <c r="AY1934" s="882"/>
      <c r="AZ1934" s="882"/>
      <c r="BA1934" s="882"/>
      <c r="BJ1934" s="882"/>
      <c r="BK1934" s="882"/>
      <c r="BL1934" s="882"/>
      <c r="BU1934" s="882"/>
      <c r="BV1934" s="882"/>
      <c r="BW1934" s="882"/>
      <c r="CF1934" s="882"/>
      <c r="CG1934" s="882"/>
      <c r="CH1934" s="882"/>
      <c r="CI1934" s="530"/>
    </row>
    <row r="1935">
      <c r="A1935" s="857"/>
      <c r="B1935" s="865" t="s">
        <v>681</v>
      </c>
      <c r="C1935" s="865" t="s">
        <v>591</v>
      </c>
      <c r="D1935" s="865" t="s">
        <v>610</v>
      </c>
      <c r="E1935" s="866">
        <v>2019.0</v>
      </c>
      <c r="F1935" s="865" t="s">
        <v>593</v>
      </c>
      <c r="G1935" s="865" t="s">
        <v>70</v>
      </c>
      <c r="H1935" s="867">
        <v>1907093.617</v>
      </c>
      <c r="I1935" s="867">
        <v>2123640.085</v>
      </c>
      <c r="J1935" s="868">
        <v>1701682.461</v>
      </c>
      <c r="K1935" s="50"/>
      <c r="L1935" s="869" t="s">
        <v>681</v>
      </c>
      <c r="M1935" s="865" t="s">
        <v>591</v>
      </c>
      <c r="N1935" s="865" t="s">
        <v>610</v>
      </c>
      <c r="O1935" s="866">
        <v>2004.0</v>
      </c>
      <c r="P1935" s="865" t="s">
        <v>593</v>
      </c>
      <c r="Q1935" s="865" t="s">
        <v>70</v>
      </c>
      <c r="R1935" s="867">
        <v>1354777.267</v>
      </c>
      <c r="S1935" s="867">
        <v>1466743.716</v>
      </c>
      <c r="T1935" s="868">
        <v>1247915.891</v>
      </c>
      <c r="AN1935" s="882"/>
      <c r="AO1935" s="882"/>
      <c r="AP1935" s="882"/>
      <c r="AY1935" s="882"/>
      <c r="AZ1935" s="882"/>
      <c r="BA1935" s="882"/>
      <c r="BJ1935" s="882"/>
      <c r="BK1935" s="882"/>
      <c r="BL1935" s="882"/>
      <c r="BU1935" s="882"/>
      <c r="BV1935" s="882"/>
      <c r="BW1935" s="882"/>
      <c r="CF1935" s="882"/>
      <c r="CG1935" s="882"/>
      <c r="CH1935" s="882"/>
      <c r="CI1935" s="530"/>
    </row>
    <row r="1936">
      <c r="A1936" s="857"/>
      <c r="B1936" s="865" t="s">
        <v>681</v>
      </c>
      <c r="C1936" s="865" t="s">
        <v>591</v>
      </c>
      <c r="D1936" s="865" t="s">
        <v>612</v>
      </c>
      <c r="E1936" s="866">
        <v>2019.0</v>
      </c>
      <c r="F1936" s="865" t="s">
        <v>593</v>
      </c>
      <c r="G1936" s="865" t="s">
        <v>70</v>
      </c>
      <c r="H1936" s="867">
        <v>3583409.647</v>
      </c>
      <c r="I1936" s="867">
        <v>3990298.274</v>
      </c>
      <c r="J1936" s="868">
        <v>3197444.159</v>
      </c>
      <c r="K1936" s="50"/>
      <c r="L1936" s="869" t="s">
        <v>681</v>
      </c>
      <c r="M1936" s="865" t="s">
        <v>591</v>
      </c>
      <c r="N1936" s="865" t="s">
        <v>612</v>
      </c>
      <c r="O1936" s="866">
        <v>2004.0</v>
      </c>
      <c r="P1936" s="865" t="s">
        <v>593</v>
      </c>
      <c r="Q1936" s="865" t="s">
        <v>70</v>
      </c>
      <c r="R1936" s="867">
        <v>2554867.492</v>
      </c>
      <c r="S1936" s="867">
        <v>2766016.177</v>
      </c>
      <c r="T1936" s="868">
        <v>2353346.059</v>
      </c>
      <c r="AN1936" s="882"/>
      <c r="AO1936" s="882"/>
      <c r="AP1936" s="882"/>
      <c r="AY1936" s="882"/>
      <c r="AZ1936" s="882"/>
      <c r="BA1936" s="882"/>
      <c r="BJ1936" s="882"/>
      <c r="BK1936" s="882"/>
      <c r="BL1936" s="882"/>
      <c r="BU1936" s="882"/>
      <c r="BV1936" s="882"/>
      <c r="BW1936" s="882"/>
      <c r="CF1936" s="882"/>
      <c r="CG1936" s="882"/>
      <c r="CH1936" s="882"/>
      <c r="CI1936" s="530"/>
    </row>
    <row r="1937">
      <c r="A1937" s="857"/>
      <c r="B1937" s="865" t="s">
        <v>681</v>
      </c>
      <c r="C1937" s="865" t="s">
        <v>591</v>
      </c>
      <c r="D1937" s="865" t="s">
        <v>614</v>
      </c>
      <c r="E1937" s="866">
        <v>2019.0</v>
      </c>
      <c r="F1937" s="865" t="s">
        <v>593</v>
      </c>
      <c r="G1937" s="865" t="s">
        <v>70</v>
      </c>
      <c r="H1937" s="867">
        <v>5000932.349</v>
      </c>
      <c r="I1937" s="867">
        <v>5568777.697</v>
      </c>
      <c r="J1937" s="868">
        <v>4462286.902</v>
      </c>
      <c r="K1937" s="50"/>
      <c r="L1937" s="869" t="s">
        <v>681</v>
      </c>
      <c r="M1937" s="865" t="s">
        <v>591</v>
      </c>
      <c r="N1937" s="865" t="s">
        <v>614</v>
      </c>
      <c r="O1937" s="866">
        <v>2004.0</v>
      </c>
      <c r="P1937" s="865" t="s">
        <v>593</v>
      </c>
      <c r="Q1937" s="865" t="s">
        <v>70</v>
      </c>
      <c r="R1937" s="867">
        <v>3571346.899</v>
      </c>
      <c r="S1937" s="867">
        <v>3866503.186</v>
      </c>
      <c r="T1937" s="868">
        <v>3289648.162</v>
      </c>
      <c r="AN1937" s="882"/>
      <c r="AO1937" s="882"/>
      <c r="AP1937" s="882"/>
      <c r="AY1937" s="882"/>
      <c r="AZ1937" s="882"/>
      <c r="BA1937" s="882"/>
      <c r="BJ1937" s="882"/>
      <c r="BK1937" s="882"/>
      <c r="BL1937" s="882"/>
      <c r="BU1937" s="882"/>
      <c r="BV1937" s="882"/>
      <c r="BW1937" s="882"/>
      <c r="CF1937" s="882"/>
      <c r="CG1937" s="882"/>
      <c r="CH1937" s="882"/>
      <c r="CI1937" s="530"/>
    </row>
    <row r="1938">
      <c r="A1938" s="857"/>
      <c r="B1938" s="865" t="s">
        <v>681</v>
      </c>
      <c r="C1938" s="865" t="s">
        <v>591</v>
      </c>
      <c r="D1938" s="865" t="s">
        <v>616</v>
      </c>
      <c r="E1938" s="866">
        <v>2019.0</v>
      </c>
      <c r="F1938" s="865" t="s">
        <v>593</v>
      </c>
      <c r="G1938" s="865" t="s">
        <v>70</v>
      </c>
      <c r="H1938" s="867">
        <v>1676316.03</v>
      </c>
      <c r="I1938" s="867">
        <v>1866658.188</v>
      </c>
      <c r="J1938" s="868">
        <v>1495761.698</v>
      </c>
      <c r="K1938" s="50"/>
      <c r="L1938" s="869" t="s">
        <v>681</v>
      </c>
      <c r="M1938" s="865" t="s">
        <v>591</v>
      </c>
      <c r="N1938" s="865" t="s">
        <v>616</v>
      </c>
      <c r="O1938" s="866">
        <v>2004.0</v>
      </c>
      <c r="P1938" s="865" t="s">
        <v>593</v>
      </c>
      <c r="Q1938" s="865" t="s">
        <v>70</v>
      </c>
      <c r="R1938" s="867">
        <v>1200090.224</v>
      </c>
      <c r="S1938" s="867">
        <v>1299272.462</v>
      </c>
      <c r="T1938" s="868">
        <v>1105430.168</v>
      </c>
      <c r="AN1938" s="882"/>
      <c r="AO1938" s="882"/>
      <c r="AP1938" s="882"/>
      <c r="AY1938" s="882"/>
      <c r="AZ1938" s="882"/>
      <c r="BA1938" s="882"/>
      <c r="BJ1938" s="882"/>
      <c r="BK1938" s="882"/>
      <c r="BL1938" s="882"/>
      <c r="BU1938" s="882"/>
      <c r="BV1938" s="882"/>
      <c r="BW1938" s="882"/>
      <c r="CF1938" s="882"/>
      <c r="CG1938" s="882"/>
      <c r="CH1938" s="882"/>
      <c r="CI1938" s="530"/>
    </row>
    <row r="1939">
      <c r="A1939" s="857"/>
      <c r="B1939" s="865" t="s">
        <v>681</v>
      </c>
      <c r="C1939" s="865" t="s">
        <v>591</v>
      </c>
      <c r="D1939" s="865" t="s">
        <v>618</v>
      </c>
      <c r="E1939" s="866">
        <v>2019.0</v>
      </c>
      <c r="F1939" s="865" t="s">
        <v>593</v>
      </c>
      <c r="G1939" s="865" t="s">
        <v>70</v>
      </c>
      <c r="H1939" s="867">
        <v>6129256.623</v>
      </c>
      <c r="I1939" s="867">
        <v>6825653.555</v>
      </c>
      <c r="J1939" s="868">
        <v>5469365.534</v>
      </c>
      <c r="K1939" s="50"/>
      <c r="L1939" s="869" t="s">
        <v>681</v>
      </c>
      <c r="M1939" s="865" t="s">
        <v>591</v>
      </c>
      <c r="N1939" s="865" t="s">
        <v>618</v>
      </c>
      <c r="O1939" s="866">
        <v>2004.0</v>
      </c>
      <c r="P1939" s="865" t="s">
        <v>593</v>
      </c>
      <c r="Q1939" s="865" t="s">
        <v>70</v>
      </c>
      <c r="R1939" s="867">
        <v>4312227.267</v>
      </c>
      <c r="S1939" s="867">
        <v>4668813.488</v>
      </c>
      <c r="T1939" s="868">
        <v>3972232.437</v>
      </c>
      <c r="AN1939" s="882"/>
      <c r="AO1939" s="882"/>
      <c r="AP1939" s="882"/>
      <c r="AY1939" s="882"/>
      <c r="AZ1939" s="882"/>
      <c r="BA1939" s="882"/>
      <c r="BJ1939" s="882"/>
      <c r="BK1939" s="882"/>
      <c r="BL1939" s="882"/>
      <c r="BU1939" s="882"/>
      <c r="BV1939" s="882"/>
      <c r="BW1939" s="882"/>
      <c r="CF1939" s="882"/>
      <c r="CG1939" s="882"/>
      <c r="CH1939" s="882"/>
      <c r="CI1939" s="530"/>
    </row>
    <row r="1940">
      <c r="A1940" s="857"/>
      <c r="B1940" s="865" t="s">
        <v>681</v>
      </c>
      <c r="C1940" s="865" t="s">
        <v>591</v>
      </c>
      <c r="D1940" s="865" t="s">
        <v>620</v>
      </c>
      <c r="E1940" s="866">
        <v>2019.0</v>
      </c>
      <c r="F1940" s="865" t="s">
        <v>593</v>
      </c>
      <c r="G1940" s="865" t="s">
        <v>70</v>
      </c>
      <c r="H1940" s="867">
        <v>7342059.614</v>
      </c>
      <c r="I1940" s="867">
        <v>8175735.038</v>
      </c>
      <c r="J1940" s="868">
        <v>6551253.678</v>
      </c>
      <c r="K1940" s="50"/>
      <c r="L1940" s="869" t="s">
        <v>681</v>
      </c>
      <c r="M1940" s="865" t="s">
        <v>591</v>
      </c>
      <c r="N1940" s="865" t="s">
        <v>620</v>
      </c>
      <c r="O1940" s="866">
        <v>2004.0</v>
      </c>
      <c r="P1940" s="865" t="s">
        <v>593</v>
      </c>
      <c r="Q1940" s="865" t="s">
        <v>70</v>
      </c>
      <c r="R1940" s="867">
        <v>5132749.247</v>
      </c>
      <c r="S1940" s="867">
        <v>5556948.647</v>
      </c>
      <c r="T1940" s="868">
        <v>4727891.075</v>
      </c>
      <c r="AN1940" s="882"/>
      <c r="AO1940" s="882"/>
      <c r="AP1940" s="882"/>
      <c r="AY1940" s="882"/>
      <c r="AZ1940" s="882"/>
      <c r="BA1940" s="882"/>
      <c r="BJ1940" s="882"/>
      <c r="BK1940" s="882"/>
      <c r="BL1940" s="882"/>
      <c r="BU1940" s="882"/>
      <c r="BV1940" s="882"/>
      <c r="BW1940" s="882"/>
      <c r="CF1940" s="882"/>
      <c r="CG1940" s="882"/>
      <c r="CH1940" s="882"/>
      <c r="CI1940" s="530"/>
    </row>
    <row r="1941">
      <c r="A1941" s="857"/>
      <c r="B1941" s="865" t="s">
        <v>681</v>
      </c>
      <c r="C1941" s="865" t="s">
        <v>591</v>
      </c>
      <c r="D1941" s="865" t="s">
        <v>622</v>
      </c>
      <c r="E1941" s="866">
        <v>2019.0</v>
      </c>
      <c r="F1941" s="865" t="s">
        <v>593</v>
      </c>
      <c r="G1941" s="865" t="s">
        <v>70</v>
      </c>
      <c r="H1941" s="867">
        <v>7355303.297</v>
      </c>
      <c r="I1941" s="867">
        <v>8191001.811</v>
      </c>
      <c r="J1941" s="868">
        <v>6563412.959</v>
      </c>
      <c r="K1941" s="50"/>
      <c r="L1941" s="869" t="s">
        <v>681</v>
      </c>
      <c r="M1941" s="865" t="s">
        <v>591</v>
      </c>
      <c r="N1941" s="865" t="s">
        <v>622</v>
      </c>
      <c r="O1941" s="866">
        <v>2004.0</v>
      </c>
      <c r="P1941" s="865" t="s">
        <v>593</v>
      </c>
      <c r="Q1941" s="865" t="s">
        <v>70</v>
      </c>
      <c r="R1941" s="867">
        <v>5010785.112</v>
      </c>
      <c r="S1941" s="867">
        <v>5425136.402</v>
      </c>
      <c r="T1941" s="868">
        <v>4615712.931</v>
      </c>
      <c r="AN1941" s="882"/>
      <c r="AO1941" s="882"/>
      <c r="AP1941" s="882"/>
      <c r="AY1941" s="882"/>
      <c r="AZ1941" s="882"/>
      <c r="BA1941" s="882"/>
      <c r="BJ1941" s="882"/>
      <c r="BK1941" s="882"/>
      <c r="BL1941" s="882"/>
      <c r="BU1941" s="882"/>
      <c r="BV1941" s="882"/>
      <c r="BW1941" s="882"/>
      <c r="CF1941" s="882"/>
      <c r="CG1941" s="882"/>
      <c r="CH1941" s="882"/>
      <c r="CI1941" s="530"/>
    </row>
    <row r="1942">
      <c r="A1942" s="857"/>
      <c r="B1942" s="865" t="s">
        <v>681</v>
      </c>
      <c r="C1942" s="865" t="s">
        <v>591</v>
      </c>
      <c r="D1942" s="865" t="s">
        <v>624</v>
      </c>
      <c r="E1942" s="866">
        <v>2019.0</v>
      </c>
      <c r="F1942" s="865" t="s">
        <v>593</v>
      </c>
      <c r="G1942" s="865" t="s">
        <v>70</v>
      </c>
      <c r="H1942" s="867">
        <v>1417522.703</v>
      </c>
      <c r="I1942" s="867">
        <v>1578479.424</v>
      </c>
      <c r="J1942" s="868">
        <v>1264842.743</v>
      </c>
      <c r="K1942" s="50"/>
      <c r="L1942" s="869" t="s">
        <v>681</v>
      </c>
      <c r="M1942" s="865" t="s">
        <v>591</v>
      </c>
      <c r="N1942" s="865" t="s">
        <v>624</v>
      </c>
      <c r="O1942" s="866">
        <v>2004.0</v>
      </c>
      <c r="P1942" s="865" t="s">
        <v>593</v>
      </c>
      <c r="Q1942" s="865" t="s">
        <v>70</v>
      </c>
      <c r="R1942" s="867">
        <v>1016479.407</v>
      </c>
      <c r="S1942" s="867">
        <v>1100487.009</v>
      </c>
      <c r="T1942" s="868">
        <v>936302.1037</v>
      </c>
      <c r="AN1942" s="882"/>
      <c r="AO1942" s="882"/>
      <c r="AP1942" s="882"/>
      <c r="AY1942" s="882"/>
      <c r="AZ1942" s="882"/>
      <c r="BA1942" s="882"/>
      <c r="BJ1942" s="882"/>
      <c r="BK1942" s="882"/>
      <c r="BL1942" s="882"/>
      <c r="BU1942" s="882"/>
      <c r="BV1942" s="882"/>
      <c r="BW1942" s="882"/>
      <c r="CF1942" s="882"/>
      <c r="CG1942" s="882"/>
      <c r="CH1942" s="882"/>
      <c r="CI1942" s="530"/>
    </row>
    <row r="1943">
      <c r="A1943" s="857"/>
      <c r="B1943" s="865" t="s">
        <v>681</v>
      </c>
      <c r="C1943" s="865" t="s">
        <v>591</v>
      </c>
      <c r="D1943" s="865" t="s">
        <v>625</v>
      </c>
      <c r="E1943" s="866">
        <v>2019.0</v>
      </c>
      <c r="F1943" s="865" t="s">
        <v>593</v>
      </c>
      <c r="G1943" s="865" t="s">
        <v>70</v>
      </c>
      <c r="H1943" s="867">
        <v>5938180.277</v>
      </c>
      <c r="I1943" s="867">
        <v>6612448.156</v>
      </c>
      <c r="J1943" s="868">
        <v>5298584.788</v>
      </c>
      <c r="K1943" s="50"/>
      <c r="L1943" s="869" t="s">
        <v>681</v>
      </c>
      <c r="M1943" s="865" t="s">
        <v>591</v>
      </c>
      <c r="N1943" s="865" t="s">
        <v>625</v>
      </c>
      <c r="O1943" s="866">
        <v>2004.0</v>
      </c>
      <c r="P1943" s="865" t="s">
        <v>593</v>
      </c>
      <c r="Q1943" s="865" t="s">
        <v>70</v>
      </c>
      <c r="R1943" s="867">
        <v>3994515.86</v>
      </c>
      <c r="S1943" s="867">
        <v>4324645.222</v>
      </c>
      <c r="T1943" s="868">
        <v>3679438.635</v>
      </c>
      <c r="AN1943" s="882"/>
      <c r="AO1943" s="882"/>
      <c r="AP1943" s="882"/>
      <c r="AY1943" s="882"/>
      <c r="AZ1943" s="882"/>
      <c r="BA1943" s="882"/>
      <c r="BJ1943" s="882"/>
      <c r="BK1943" s="882"/>
      <c r="BL1943" s="882"/>
      <c r="BU1943" s="882"/>
      <c r="BV1943" s="882"/>
      <c r="BW1943" s="882"/>
      <c r="CF1943" s="882"/>
      <c r="CG1943" s="882"/>
      <c r="CH1943" s="882"/>
      <c r="CI1943" s="530"/>
    </row>
    <row r="1944">
      <c r="A1944" s="857"/>
      <c r="B1944" s="865" t="s">
        <v>681</v>
      </c>
      <c r="C1944" s="865" t="s">
        <v>591</v>
      </c>
      <c r="D1944" s="865" t="s">
        <v>627</v>
      </c>
      <c r="E1944" s="866">
        <v>2019.0</v>
      </c>
      <c r="F1944" s="865" t="s">
        <v>593</v>
      </c>
      <c r="G1944" s="865" t="s">
        <v>70</v>
      </c>
      <c r="H1944" s="867">
        <v>1205284.667</v>
      </c>
      <c r="I1944" s="867">
        <v>1342142.205</v>
      </c>
      <c r="J1944" s="868">
        <v>1075464.654</v>
      </c>
      <c r="K1944" s="50"/>
      <c r="L1944" s="869" t="s">
        <v>681</v>
      </c>
      <c r="M1944" s="865" t="s">
        <v>591</v>
      </c>
      <c r="N1944" s="865" t="s">
        <v>627</v>
      </c>
      <c r="O1944" s="866">
        <v>2004.0</v>
      </c>
      <c r="P1944" s="865" t="s">
        <v>593</v>
      </c>
      <c r="Q1944" s="865" t="s">
        <v>70</v>
      </c>
      <c r="R1944" s="867">
        <v>853783.2114</v>
      </c>
      <c r="S1944" s="867">
        <v>924344.6803</v>
      </c>
      <c r="T1944" s="868">
        <v>786438.9689</v>
      </c>
      <c r="AN1944" s="882"/>
      <c r="AO1944" s="882"/>
      <c r="AP1944" s="882"/>
      <c r="AY1944" s="882"/>
      <c r="AZ1944" s="882"/>
      <c r="BA1944" s="882"/>
      <c r="BJ1944" s="882"/>
      <c r="BK1944" s="882"/>
      <c r="BL1944" s="882"/>
      <c r="BU1944" s="882"/>
      <c r="BV1944" s="882"/>
      <c r="BW1944" s="882"/>
      <c r="CF1944" s="882"/>
      <c r="CG1944" s="882"/>
      <c r="CH1944" s="882"/>
      <c r="CI1944" s="530"/>
    </row>
    <row r="1945">
      <c r="A1945" s="857"/>
      <c r="B1945" s="865" t="s">
        <v>681</v>
      </c>
      <c r="C1945" s="865" t="s">
        <v>591</v>
      </c>
      <c r="D1945" s="865" t="s">
        <v>629</v>
      </c>
      <c r="E1945" s="866">
        <v>2019.0</v>
      </c>
      <c r="F1945" s="865" t="s">
        <v>593</v>
      </c>
      <c r="G1945" s="865" t="s">
        <v>70</v>
      </c>
      <c r="H1945" s="867">
        <v>4247990.048</v>
      </c>
      <c r="I1945" s="867">
        <v>4730640.298</v>
      </c>
      <c r="J1945" s="868">
        <v>3790640.821</v>
      </c>
      <c r="K1945" s="50"/>
      <c r="L1945" s="869" t="s">
        <v>681</v>
      </c>
      <c r="M1945" s="865" t="s">
        <v>591</v>
      </c>
      <c r="N1945" s="865" t="s">
        <v>629</v>
      </c>
      <c r="O1945" s="866">
        <v>2004.0</v>
      </c>
      <c r="P1945" s="865" t="s">
        <v>593</v>
      </c>
      <c r="Q1945" s="865" t="s">
        <v>70</v>
      </c>
      <c r="R1945" s="867">
        <v>2916057.314</v>
      </c>
      <c r="S1945" s="867">
        <v>3157191.603</v>
      </c>
      <c r="T1945" s="868">
        <v>2686142.62</v>
      </c>
      <c r="AN1945" s="882"/>
      <c r="AO1945" s="882"/>
      <c r="AP1945" s="882"/>
      <c r="AY1945" s="882"/>
      <c r="AZ1945" s="882"/>
      <c r="BA1945" s="882"/>
      <c r="BJ1945" s="882"/>
      <c r="BK1945" s="882"/>
      <c r="BL1945" s="882"/>
      <c r="BU1945" s="882"/>
      <c r="BV1945" s="882"/>
      <c r="BW1945" s="882"/>
      <c r="CF1945" s="882"/>
      <c r="CG1945" s="882"/>
      <c r="CH1945" s="882"/>
      <c r="CI1945" s="530"/>
    </row>
    <row r="1946">
      <c r="A1946" s="857"/>
      <c r="B1946" s="865" t="s">
        <v>681</v>
      </c>
      <c r="C1946" s="865" t="s">
        <v>591</v>
      </c>
      <c r="D1946" s="865" t="s">
        <v>631</v>
      </c>
      <c r="E1946" s="866">
        <v>2019.0</v>
      </c>
      <c r="F1946" s="865" t="s">
        <v>593</v>
      </c>
      <c r="G1946" s="865" t="s">
        <v>70</v>
      </c>
      <c r="H1946" s="867">
        <v>1005215.879</v>
      </c>
      <c r="I1946" s="867">
        <v>1119356.027</v>
      </c>
      <c r="J1946" s="868">
        <v>896945.0767</v>
      </c>
      <c r="K1946" s="50"/>
      <c r="L1946" s="869" t="s">
        <v>681</v>
      </c>
      <c r="M1946" s="865" t="s">
        <v>591</v>
      </c>
      <c r="N1946" s="865" t="s">
        <v>631</v>
      </c>
      <c r="O1946" s="866">
        <v>2004.0</v>
      </c>
      <c r="P1946" s="865" t="s">
        <v>593</v>
      </c>
      <c r="Q1946" s="865" t="s">
        <v>70</v>
      </c>
      <c r="R1946" s="867">
        <v>687195.4664</v>
      </c>
      <c r="S1946" s="867">
        <v>743989.1827</v>
      </c>
      <c r="T1946" s="868">
        <v>632991.2403</v>
      </c>
      <c r="AN1946" s="882"/>
      <c r="AO1946" s="882"/>
      <c r="AP1946" s="882"/>
      <c r="AY1946" s="882"/>
      <c r="AZ1946" s="882"/>
      <c r="BA1946" s="882"/>
      <c r="BJ1946" s="882"/>
      <c r="BK1946" s="882"/>
      <c r="BL1946" s="882"/>
      <c r="BU1946" s="882"/>
      <c r="BV1946" s="882"/>
      <c r="BW1946" s="882"/>
      <c r="CF1946" s="882"/>
      <c r="CG1946" s="882"/>
      <c r="CH1946" s="882"/>
      <c r="CI1946" s="530"/>
    </row>
    <row r="1947">
      <c r="A1947" s="857"/>
      <c r="B1947" s="865" t="s">
        <v>681</v>
      </c>
      <c r="C1947" s="865" t="s">
        <v>591</v>
      </c>
      <c r="D1947" s="865" t="s">
        <v>633</v>
      </c>
      <c r="E1947" s="866">
        <v>2019.0</v>
      </c>
      <c r="F1947" s="865" t="s">
        <v>593</v>
      </c>
      <c r="G1947" s="865" t="s">
        <v>70</v>
      </c>
      <c r="H1947" s="867">
        <v>825250.4054</v>
      </c>
      <c r="I1947" s="867">
        <v>918955.8529</v>
      </c>
      <c r="J1947" s="868">
        <v>736363.5054</v>
      </c>
      <c r="K1947" s="50"/>
      <c r="L1947" s="869" t="s">
        <v>681</v>
      </c>
      <c r="M1947" s="865" t="s">
        <v>591</v>
      </c>
      <c r="N1947" s="865" t="s">
        <v>633</v>
      </c>
      <c r="O1947" s="866">
        <v>2004.0</v>
      </c>
      <c r="P1947" s="865" t="s">
        <v>593</v>
      </c>
      <c r="Q1947" s="865" t="s">
        <v>70</v>
      </c>
      <c r="R1947" s="867">
        <v>554859.8147</v>
      </c>
      <c r="S1947" s="867">
        <v>600716.565</v>
      </c>
      <c r="T1947" s="868">
        <v>511093.8875</v>
      </c>
      <c r="AN1947" s="882"/>
      <c r="AO1947" s="882"/>
      <c r="AP1947" s="882"/>
      <c r="AY1947" s="882"/>
      <c r="AZ1947" s="882"/>
      <c r="BA1947" s="882"/>
      <c r="BJ1947" s="882"/>
      <c r="BK1947" s="882"/>
      <c r="BL1947" s="882"/>
      <c r="BU1947" s="882"/>
      <c r="BV1947" s="882"/>
      <c r="BW1947" s="882"/>
      <c r="CF1947" s="882"/>
      <c r="CG1947" s="882"/>
      <c r="CH1947" s="882"/>
      <c r="CI1947" s="530"/>
    </row>
    <row r="1948">
      <c r="A1948" s="857"/>
      <c r="B1948" s="865" t="s">
        <v>681</v>
      </c>
      <c r="C1948" s="865" t="s">
        <v>591</v>
      </c>
      <c r="D1948" s="865" t="s">
        <v>635</v>
      </c>
      <c r="E1948" s="866">
        <v>2019.0</v>
      </c>
      <c r="F1948" s="865" t="s">
        <v>593</v>
      </c>
      <c r="G1948" s="865" t="s">
        <v>70</v>
      </c>
      <c r="H1948" s="867">
        <v>671353.8826</v>
      </c>
      <c r="I1948" s="867">
        <v>747584.7036</v>
      </c>
      <c r="J1948" s="868">
        <v>599043.0239</v>
      </c>
      <c r="K1948" s="50"/>
      <c r="L1948" s="869" t="s">
        <v>681</v>
      </c>
      <c r="M1948" s="865" t="s">
        <v>591</v>
      </c>
      <c r="N1948" s="865" t="s">
        <v>635</v>
      </c>
      <c r="O1948" s="866">
        <v>2004.0</v>
      </c>
      <c r="P1948" s="865" t="s">
        <v>593</v>
      </c>
      <c r="Q1948" s="865" t="s">
        <v>70</v>
      </c>
      <c r="R1948" s="867">
        <v>449775.7516</v>
      </c>
      <c r="S1948" s="867">
        <v>486947.7612</v>
      </c>
      <c r="T1948" s="868">
        <v>414298.5873</v>
      </c>
      <c r="AN1948" s="882"/>
      <c r="AO1948" s="882"/>
      <c r="AP1948" s="882"/>
      <c r="AY1948" s="882"/>
      <c r="AZ1948" s="882"/>
      <c r="BA1948" s="882"/>
      <c r="BJ1948" s="882"/>
      <c r="BK1948" s="882"/>
      <c r="BL1948" s="882"/>
      <c r="BU1948" s="882"/>
      <c r="BV1948" s="882"/>
      <c r="BW1948" s="882"/>
      <c r="CF1948" s="882"/>
      <c r="CG1948" s="882"/>
      <c r="CH1948" s="882"/>
      <c r="CI1948" s="530"/>
    </row>
    <row r="1949">
      <c r="A1949" s="857"/>
      <c r="B1949" s="865" t="s">
        <v>681</v>
      </c>
      <c r="C1949" s="865" t="s">
        <v>591</v>
      </c>
      <c r="D1949" s="865" t="s">
        <v>637</v>
      </c>
      <c r="E1949" s="866">
        <v>2019.0</v>
      </c>
      <c r="F1949" s="865" t="s">
        <v>593</v>
      </c>
      <c r="G1949" s="865" t="s">
        <v>70</v>
      </c>
      <c r="H1949" s="867">
        <v>541116.048</v>
      </c>
      <c r="I1949" s="867">
        <v>602558.6369</v>
      </c>
      <c r="J1949" s="868">
        <v>482832.9769</v>
      </c>
      <c r="K1949" s="50"/>
      <c r="L1949" s="869" t="s">
        <v>681</v>
      </c>
      <c r="M1949" s="865" t="s">
        <v>591</v>
      </c>
      <c r="N1949" s="865" t="s">
        <v>637</v>
      </c>
      <c r="O1949" s="866">
        <v>2004.0</v>
      </c>
      <c r="P1949" s="865" t="s">
        <v>593</v>
      </c>
      <c r="Q1949" s="865" t="s">
        <v>70</v>
      </c>
      <c r="R1949" s="867">
        <v>370565.3706</v>
      </c>
      <c r="S1949" s="867">
        <v>401190.9867</v>
      </c>
      <c r="T1949" s="868">
        <v>341336.1191</v>
      </c>
      <c r="AN1949" s="882"/>
      <c r="AO1949" s="882"/>
      <c r="AP1949" s="882"/>
      <c r="AY1949" s="882"/>
      <c r="AZ1949" s="882"/>
      <c r="BA1949" s="882"/>
      <c r="BJ1949" s="882"/>
      <c r="BK1949" s="882"/>
      <c r="BL1949" s="882"/>
      <c r="BU1949" s="882"/>
      <c r="BV1949" s="882"/>
      <c r="BW1949" s="882"/>
      <c r="CF1949" s="882"/>
      <c r="CG1949" s="882"/>
      <c r="CH1949" s="882"/>
      <c r="CI1949" s="530"/>
    </row>
    <row r="1950">
      <c r="A1950" s="857"/>
      <c r="B1950" s="865" t="s">
        <v>681</v>
      </c>
      <c r="C1950" s="865" t="s">
        <v>591</v>
      </c>
      <c r="D1950" s="865" t="s">
        <v>639</v>
      </c>
      <c r="E1950" s="866">
        <v>2019.0</v>
      </c>
      <c r="F1950" s="865" t="s">
        <v>593</v>
      </c>
      <c r="G1950" s="865" t="s">
        <v>70</v>
      </c>
      <c r="H1950" s="867">
        <v>5627451.545</v>
      </c>
      <c r="I1950" s="867">
        <v>6266834.138</v>
      </c>
      <c r="J1950" s="868">
        <v>5021586.046</v>
      </c>
      <c r="K1950" s="50"/>
      <c r="L1950" s="869" t="s">
        <v>681</v>
      </c>
      <c r="M1950" s="865" t="s">
        <v>591</v>
      </c>
      <c r="N1950" s="865" t="s">
        <v>639</v>
      </c>
      <c r="O1950" s="866">
        <v>2004.0</v>
      </c>
      <c r="P1950" s="865" t="s">
        <v>593</v>
      </c>
      <c r="Q1950" s="865" t="s">
        <v>70</v>
      </c>
      <c r="R1950" s="867">
        <v>4065821.905</v>
      </c>
      <c r="S1950" s="867">
        <v>4402032.401</v>
      </c>
      <c r="T1950" s="868">
        <v>3745254.75</v>
      </c>
      <c r="AN1950" s="882"/>
      <c r="AO1950" s="882"/>
      <c r="AP1950" s="882"/>
      <c r="AY1950" s="882"/>
      <c r="AZ1950" s="882"/>
      <c r="BA1950" s="882"/>
      <c r="BJ1950" s="882"/>
      <c r="BK1950" s="882"/>
      <c r="BL1950" s="882"/>
      <c r="BU1950" s="882"/>
      <c r="BV1950" s="882"/>
      <c r="BW1950" s="882"/>
      <c r="CF1950" s="882"/>
      <c r="CG1950" s="882"/>
      <c r="CH1950" s="882"/>
      <c r="CI1950" s="530"/>
    </row>
    <row r="1951">
      <c r="A1951" s="857"/>
      <c r="B1951" s="865" t="s">
        <v>681</v>
      </c>
      <c r="C1951" s="865" t="s">
        <v>591</v>
      </c>
      <c r="D1951" s="865" t="s">
        <v>641</v>
      </c>
      <c r="E1951" s="866">
        <v>2019.0</v>
      </c>
      <c r="F1951" s="865" t="s">
        <v>593</v>
      </c>
      <c r="G1951" s="865" t="s">
        <v>70</v>
      </c>
      <c r="H1951" s="867">
        <v>2044347.691</v>
      </c>
      <c r="I1951" s="867">
        <v>2276479.071</v>
      </c>
      <c r="J1951" s="868">
        <v>1824153.035</v>
      </c>
      <c r="K1951" s="50"/>
      <c r="L1951" s="869" t="s">
        <v>681</v>
      </c>
      <c r="M1951" s="865" t="s">
        <v>591</v>
      </c>
      <c r="N1951" s="865" t="s">
        <v>641</v>
      </c>
      <c r="O1951" s="866">
        <v>2004.0</v>
      </c>
      <c r="P1951" s="865" t="s">
        <v>593</v>
      </c>
      <c r="Q1951" s="865" t="s">
        <v>70</v>
      </c>
      <c r="R1951" s="867">
        <v>1511124.936</v>
      </c>
      <c r="S1951" s="867">
        <v>1636012.84</v>
      </c>
      <c r="T1951" s="868">
        <v>1391931.255</v>
      </c>
      <c r="AN1951" s="882"/>
      <c r="AO1951" s="882"/>
      <c r="AP1951" s="882"/>
      <c r="AY1951" s="882"/>
      <c r="AZ1951" s="882"/>
      <c r="BA1951" s="882"/>
      <c r="BJ1951" s="882"/>
      <c r="BK1951" s="882"/>
      <c r="BL1951" s="882"/>
      <c r="BU1951" s="882"/>
      <c r="BV1951" s="882"/>
      <c r="BW1951" s="882"/>
      <c r="CF1951" s="882"/>
      <c r="CG1951" s="882"/>
      <c r="CH1951" s="882"/>
      <c r="CI1951" s="530"/>
    </row>
    <row r="1952">
      <c r="A1952" s="857"/>
      <c r="B1952" s="865" t="s">
        <v>681</v>
      </c>
      <c r="C1952" s="865" t="s">
        <v>591</v>
      </c>
      <c r="D1952" s="865" t="s">
        <v>643</v>
      </c>
      <c r="E1952" s="866">
        <v>2019.0</v>
      </c>
      <c r="F1952" s="865" t="s">
        <v>593</v>
      </c>
      <c r="G1952" s="865" t="s">
        <v>70</v>
      </c>
      <c r="H1952" s="867">
        <v>450086.953</v>
      </c>
      <c r="I1952" s="867">
        <v>501193.3797</v>
      </c>
      <c r="J1952" s="868">
        <v>401608.5352</v>
      </c>
      <c r="K1952" s="50"/>
      <c r="L1952" s="869" t="s">
        <v>681</v>
      </c>
      <c r="M1952" s="865" t="s">
        <v>591</v>
      </c>
      <c r="N1952" s="865" t="s">
        <v>643</v>
      </c>
      <c r="O1952" s="866">
        <v>2004.0</v>
      </c>
      <c r="P1952" s="865" t="s">
        <v>593</v>
      </c>
      <c r="Q1952" s="865" t="s">
        <v>70</v>
      </c>
      <c r="R1952" s="867">
        <v>297854.1328</v>
      </c>
      <c r="S1952" s="867">
        <v>322470.4813</v>
      </c>
      <c r="T1952" s="868">
        <v>274360.1583</v>
      </c>
      <c r="AN1952" s="882"/>
      <c r="AO1952" s="882"/>
      <c r="AP1952" s="882"/>
      <c r="AY1952" s="882"/>
      <c r="AZ1952" s="882"/>
      <c r="BA1952" s="882"/>
      <c r="BJ1952" s="882"/>
      <c r="BK1952" s="882"/>
      <c r="BL1952" s="882"/>
      <c r="BU1952" s="882"/>
      <c r="BV1952" s="882"/>
      <c r="BW1952" s="882"/>
      <c r="CF1952" s="882"/>
      <c r="CG1952" s="882"/>
      <c r="CH1952" s="882"/>
      <c r="CI1952" s="530"/>
    </row>
    <row r="1953">
      <c r="A1953" s="857"/>
      <c r="B1953" s="865" t="s">
        <v>681</v>
      </c>
      <c r="C1953" s="865" t="s">
        <v>591</v>
      </c>
      <c r="D1953" s="865" t="s">
        <v>645</v>
      </c>
      <c r="E1953" s="866">
        <v>2019.0</v>
      </c>
      <c r="F1953" s="865" t="s">
        <v>593</v>
      </c>
      <c r="G1953" s="865" t="s">
        <v>70</v>
      </c>
      <c r="H1953" s="867">
        <v>1343856.161</v>
      </c>
      <c r="I1953" s="867">
        <v>1496448.201</v>
      </c>
      <c r="J1953" s="868">
        <v>1199110.751</v>
      </c>
      <c r="K1953" s="50"/>
      <c r="L1953" s="869" t="s">
        <v>681</v>
      </c>
      <c r="M1953" s="865" t="s">
        <v>591</v>
      </c>
      <c r="N1953" s="865" t="s">
        <v>645</v>
      </c>
      <c r="O1953" s="866">
        <v>2004.0</v>
      </c>
      <c r="P1953" s="865" t="s">
        <v>593</v>
      </c>
      <c r="Q1953" s="865" t="s">
        <v>70</v>
      </c>
      <c r="R1953" s="867">
        <v>842770.0507</v>
      </c>
      <c r="S1953" s="867">
        <v>912421.3298</v>
      </c>
      <c r="T1953" s="868">
        <v>776294.4982</v>
      </c>
      <c r="AN1953" s="882"/>
      <c r="AO1953" s="882"/>
      <c r="AP1953" s="882"/>
      <c r="AY1953" s="882"/>
      <c r="AZ1953" s="882"/>
      <c r="BA1953" s="882"/>
      <c r="BJ1953" s="882"/>
      <c r="BK1953" s="882"/>
      <c r="BL1953" s="882"/>
      <c r="BU1953" s="882"/>
      <c r="BV1953" s="882"/>
      <c r="BW1953" s="882"/>
      <c r="CF1953" s="882"/>
      <c r="CG1953" s="882"/>
      <c r="CH1953" s="882"/>
      <c r="CI1953" s="530"/>
    </row>
    <row r="1954">
      <c r="A1954" s="857"/>
      <c r="B1954" s="865" t="s">
        <v>681</v>
      </c>
      <c r="C1954" s="865" t="s">
        <v>591</v>
      </c>
      <c r="D1954" s="865" t="s">
        <v>604</v>
      </c>
      <c r="E1954" s="866">
        <v>2019.0</v>
      </c>
      <c r="F1954" s="865" t="s">
        <v>593</v>
      </c>
      <c r="G1954" s="865" t="s">
        <v>70</v>
      </c>
      <c r="H1954" s="867">
        <v>3951441.308</v>
      </c>
      <c r="I1954" s="867">
        <v>4400119.156</v>
      </c>
      <c r="J1954" s="868">
        <v>3525835.496</v>
      </c>
      <c r="K1954" s="50"/>
      <c r="L1954" s="869" t="s">
        <v>681</v>
      </c>
      <c r="M1954" s="865" t="s">
        <v>591</v>
      </c>
      <c r="N1954" s="865" t="s">
        <v>604</v>
      </c>
      <c r="O1954" s="866">
        <v>2004.0</v>
      </c>
      <c r="P1954" s="865" t="s">
        <v>593</v>
      </c>
      <c r="Q1954" s="865" t="s">
        <v>70</v>
      </c>
      <c r="R1954" s="867">
        <v>2865902.203</v>
      </c>
      <c r="S1954" s="867">
        <v>3102756.555</v>
      </c>
      <c r="T1954" s="868">
        <v>2639847.146</v>
      </c>
      <c r="AN1954" s="882"/>
      <c r="AO1954" s="882"/>
      <c r="AP1954" s="882"/>
      <c r="AY1954" s="882"/>
      <c r="AZ1954" s="882"/>
      <c r="BA1954" s="882"/>
      <c r="BJ1954" s="882"/>
      <c r="BK1954" s="882"/>
      <c r="BL1954" s="882"/>
      <c r="BU1954" s="882"/>
      <c r="BV1954" s="882"/>
      <c r="BW1954" s="882"/>
      <c r="CF1954" s="882"/>
      <c r="CG1954" s="882"/>
      <c r="CH1954" s="882"/>
      <c r="CI1954" s="530"/>
    </row>
    <row r="1955">
      <c r="A1955" s="857"/>
      <c r="B1955" s="865" t="s">
        <v>681</v>
      </c>
      <c r="C1955" s="865" t="s">
        <v>591</v>
      </c>
      <c r="D1955" s="865" t="s">
        <v>647</v>
      </c>
      <c r="E1955" s="866">
        <v>2019.0</v>
      </c>
      <c r="F1955" s="865" t="s">
        <v>593</v>
      </c>
      <c r="G1955" s="865" t="s">
        <v>70</v>
      </c>
      <c r="H1955" s="867">
        <v>1239805.073</v>
      </c>
      <c r="I1955" s="867">
        <v>1380669.863</v>
      </c>
      <c r="J1955" s="868">
        <v>1106324.56</v>
      </c>
      <c r="K1955" s="50"/>
      <c r="L1955" s="869" t="s">
        <v>681</v>
      </c>
      <c r="M1955" s="865" t="s">
        <v>591</v>
      </c>
      <c r="N1955" s="865" t="s">
        <v>647</v>
      </c>
      <c r="O1955" s="866">
        <v>2004.0</v>
      </c>
      <c r="P1955" s="865" t="s">
        <v>593</v>
      </c>
      <c r="Q1955" s="865" t="s">
        <v>70</v>
      </c>
      <c r="R1955" s="867">
        <v>780449.3801</v>
      </c>
      <c r="S1955" s="867">
        <v>844986.2141</v>
      </c>
      <c r="T1955" s="868">
        <v>718915.3426</v>
      </c>
      <c r="AN1955" s="882"/>
      <c r="AO1955" s="882"/>
      <c r="AP1955" s="882"/>
      <c r="AY1955" s="882"/>
      <c r="AZ1955" s="882"/>
      <c r="BA1955" s="882"/>
      <c r="BJ1955" s="882"/>
      <c r="BK1955" s="882"/>
      <c r="BL1955" s="882"/>
      <c r="BU1955" s="882"/>
      <c r="BV1955" s="882"/>
      <c r="BW1955" s="882"/>
      <c r="CF1955" s="882"/>
      <c r="CG1955" s="882"/>
      <c r="CH1955" s="882"/>
      <c r="CI1955" s="530"/>
    </row>
    <row r="1956">
      <c r="A1956" s="857"/>
      <c r="B1956" s="865" t="s">
        <v>681</v>
      </c>
      <c r="C1956" s="865" t="s">
        <v>591</v>
      </c>
      <c r="D1956" s="865" t="s">
        <v>649</v>
      </c>
      <c r="E1956" s="866">
        <v>2019.0</v>
      </c>
      <c r="F1956" s="865" t="s">
        <v>593</v>
      </c>
      <c r="G1956" s="865" t="s">
        <v>70</v>
      </c>
      <c r="H1956" s="867">
        <v>379048.9384</v>
      </c>
      <c r="I1956" s="867">
        <v>422089.1479</v>
      </c>
      <c r="J1956" s="868">
        <v>338221.9544</v>
      </c>
      <c r="K1956" s="50"/>
      <c r="L1956" s="869" t="s">
        <v>681</v>
      </c>
      <c r="M1956" s="865" t="s">
        <v>591</v>
      </c>
      <c r="N1956" s="865" t="s">
        <v>649</v>
      </c>
      <c r="O1956" s="866">
        <v>2004.0</v>
      </c>
      <c r="P1956" s="865" t="s">
        <v>593</v>
      </c>
      <c r="Q1956" s="865" t="s">
        <v>70</v>
      </c>
      <c r="R1956" s="867">
        <v>229533.5183</v>
      </c>
      <c r="S1956" s="867">
        <v>248503.4653</v>
      </c>
      <c r="T1956" s="868">
        <v>211428.4997</v>
      </c>
      <c r="AN1956" s="882"/>
      <c r="AO1956" s="882"/>
      <c r="AP1956" s="882"/>
      <c r="AY1956" s="882"/>
      <c r="AZ1956" s="882"/>
      <c r="BA1956" s="882"/>
      <c r="BJ1956" s="882"/>
      <c r="BK1956" s="882"/>
      <c r="BL1956" s="882"/>
      <c r="BU1956" s="882"/>
      <c r="BV1956" s="882"/>
      <c r="BW1956" s="882"/>
      <c r="CF1956" s="882"/>
      <c r="CG1956" s="882"/>
      <c r="CH1956" s="882"/>
      <c r="CI1956" s="530"/>
    </row>
    <row r="1957">
      <c r="A1957" s="857"/>
      <c r="B1957" s="865" t="s">
        <v>681</v>
      </c>
      <c r="C1957" s="865" t="s">
        <v>591</v>
      </c>
      <c r="D1957" s="865" t="s">
        <v>651</v>
      </c>
      <c r="E1957" s="866">
        <v>2019.0</v>
      </c>
      <c r="F1957" s="865" t="s">
        <v>593</v>
      </c>
      <c r="G1957" s="865" t="s">
        <v>70</v>
      </c>
      <c r="H1957" s="867">
        <v>297274.9635</v>
      </c>
      <c r="I1957" s="867">
        <v>331029.9102</v>
      </c>
      <c r="J1957" s="868">
        <v>265255.773</v>
      </c>
      <c r="K1957" s="50"/>
      <c r="L1957" s="869" t="s">
        <v>681</v>
      </c>
      <c r="M1957" s="865" t="s">
        <v>591</v>
      </c>
      <c r="N1957" s="865" t="s">
        <v>651</v>
      </c>
      <c r="O1957" s="866">
        <v>2004.0</v>
      </c>
      <c r="P1957" s="865" t="s">
        <v>593</v>
      </c>
      <c r="Q1957" s="865" t="s">
        <v>70</v>
      </c>
      <c r="R1957" s="867">
        <v>174751.9494</v>
      </c>
      <c r="S1957" s="867">
        <v>189194.438</v>
      </c>
      <c r="T1957" s="868">
        <v>160967.9613</v>
      </c>
      <c r="AN1957" s="882"/>
      <c r="AO1957" s="882"/>
      <c r="AP1957" s="882"/>
      <c r="AY1957" s="882"/>
      <c r="AZ1957" s="882"/>
      <c r="BA1957" s="882"/>
      <c r="BJ1957" s="882"/>
      <c r="BK1957" s="882"/>
      <c r="BL1957" s="882"/>
      <c r="BU1957" s="882"/>
      <c r="BV1957" s="882"/>
      <c r="BW1957" s="882"/>
      <c r="CF1957" s="882"/>
      <c r="CG1957" s="882"/>
      <c r="CH1957" s="882"/>
      <c r="CI1957" s="530"/>
    </row>
    <row r="1958">
      <c r="A1958" s="857"/>
      <c r="B1958" s="865" t="s">
        <v>681</v>
      </c>
      <c r="C1958" s="865" t="s">
        <v>591</v>
      </c>
      <c r="D1958" s="865" t="s">
        <v>653</v>
      </c>
      <c r="E1958" s="866">
        <v>2019.0</v>
      </c>
      <c r="F1958" s="865" t="s">
        <v>593</v>
      </c>
      <c r="G1958" s="865" t="s">
        <v>70</v>
      </c>
      <c r="H1958" s="867">
        <v>217445.3059</v>
      </c>
      <c r="I1958" s="867">
        <v>242135.7629</v>
      </c>
      <c r="J1958" s="868">
        <v>194024.4883</v>
      </c>
      <c r="K1958" s="50"/>
      <c r="L1958" s="869" t="s">
        <v>681</v>
      </c>
      <c r="M1958" s="865" t="s">
        <v>591</v>
      </c>
      <c r="N1958" s="865" t="s">
        <v>653</v>
      </c>
      <c r="O1958" s="866">
        <v>2004.0</v>
      </c>
      <c r="P1958" s="865" t="s">
        <v>593</v>
      </c>
      <c r="Q1958" s="865" t="s">
        <v>70</v>
      </c>
      <c r="R1958" s="867">
        <v>140630.4502</v>
      </c>
      <c r="S1958" s="867">
        <v>152252.9453</v>
      </c>
      <c r="T1958" s="868">
        <v>129537.8789</v>
      </c>
      <c r="AN1958" s="882"/>
      <c r="AO1958" s="882"/>
      <c r="AP1958" s="882"/>
      <c r="AY1958" s="882"/>
      <c r="AZ1958" s="882"/>
      <c r="BA1958" s="882"/>
      <c r="BJ1958" s="882"/>
      <c r="BK1958" s="882"/>
      <c r="BL1958" s="882"/>
      <c r="BU1958" s="882"/>
      <c r="BV1958" s="882"/>
      <c r="BW1958" s="882"/>
      <c r="CF1958" s="882"/>
      <c r="CG1958" s="882"/>
      <c r="CH1958" s="882"/>
      <c r="CI1958" s="530"/>
    </row>
    <row r="1959">
      <c r="A1959" s="857"/>
      <c r="B1959" s="865" t="s">
        <v>681</v>
      </c>
      <c r="C1959" s="865" t="s">
        <v>591</v>
      </c>
      <c r="D1959" s="865" t="s">
        <v>655</v>
      </c>
      <c r="E1959" s="866">
        <v>2019.0</v>
      </c>
      <c r="F1959" s="865" t="s">
        <v>593</v>
      </c>
      <c r="G1959" s="865" t="s">
        <v>70</v>
      </c>
      <c r="H1959" s="867">
        <v>369668.0553</v>
      </c>
      <c r="I1959" s="867">
        <v>411669.1845</v>
      </c>
      <c r="J1959" s="868">
        <v>329868.6684</v>
      </c>
      <c r="K1959" s="50"/>
      <c r="L1959" s="869" t="s">
        <v>681</v>
      </c>
      <c r="M1959" s="865" t="s">
        <v>591</v>
      </c>
      <c r="N1959" s="865" t="s">
        <v>655</v>
      </c>
      <c r="O1959" s="866">
        <v>2004.0</v>
      </c>
      <c r="P1959" s="865" t="s">
        <v>593</v>
      </c>
      <c r="Q1959" s="865" t="s">
        <v>70</v>
      </c>
      <c r="R1959" s="867">
        <v>247776.2261</v>
      </c>
      <c r="S1959" s="867">
        <v>268265.3104</v>
      </c>
      <c r="T1959" s="868">
        <v>228240.4663</v>
      </c>
      <c r="AN1959" s="882"/>
      <c r="AO1959" s="882"/>
      <c r="AP1959" s="882"/>
      <c r="AY1959" s="882"/>
      <c r="AZ1959" s="882"/>
      <c r="BA1959" s="882"/>
      <c r="BJ1959" s="882"/>
      <c r="BK1959" s="882"/>
      <c r="BL1959" s="882"/>
      <c r="BU1959" s="882"/>
      <c r="BV1959" s="882"/>
      <c r="BW1959" s="882"/>
      <c r="CF1959" s="882"/>
      <c r="CG1959" s="882"/>
      <c r="CH1959" s="882"/>
      <c r="CI1959" s="530"/>
    </row>
    <row r="1960">
      <c r="A1960" s="857"/>
      <c r="B1960" s="865" t="s">
        <v>681</v>
      </c>
      <c r="C1960" s="865" t="s">
        <v>591</v>
      </c>
      <c r="D1960" s="865" t="s">
        <v>657</v>
      </c>
      <c r="E1960" s="866">
        <v>2019.0</v>
      </c>
      <c r="F1960" s="865" t="s">
        <v>593</v>
      </c>
      <c r="G1960" s="865" t="s">
        <v>70</v>
      </c>
      <c r="H1960" s="867">
        <v>152242.8369</v>
      </c>
      <c r="I1960" s="867">
        <v>169529.6908</v>
      </c>
      <c r="J1960" s="868">
        <v>135844.9125</v>
      </c>
      <c r="K1960" s="50"/>
      <c r="L1960" s="869" t="s">
        <v>681</v>
      </c>
      <c r="M1960" s="865" t="s">
        <v>591</v>
      </c>
      <c r="N1960" s="865" t="s">
        <v>657</v>
      </c>
      <c r="O1960" s="866">
        <v>2004.0</v>
      </c>
      <c r="P1960" s="865" t="s">
        <v>593</v>
      </c>
      <c r="Q1960" s="865" t="s">
        <v>70</v>
      </c>
      <c r="R1960" s="867">
        <v>107156.1677</v>
      </c>
      <c r="S1960" s="867">
        <v>116012.1589</v>
      </c>
      <c r="T1960" s="868">
        <v>98703.96245</v>
      </c>
      <c r="AN1960" s="882"/>
      <c r="AO1960" s="882"/>
      <c r="AP1960" s="882"/>
      <c r="AY1960" s="882"/>
      <c r="AZ1960" s="882"/>
      <c r="BA1960" s="882"/>
      <c r="BJ1960" s="882"/>
      <c r="BK1960" s="882"/>
      <c r="BL1960" s="882"/>
      <c r="BU1960" s="882"/>
      <c r="BV1960" s="882"/>
      <c r="BW1960" s="882"/>
      <c r="CF1960" s="882"/>
      <c r="CG1960" s="882"/>
      <c r="CH1960" s="882"/>
      <c r="CI1960" s="530"/>
    </row>
    <row r="1961">
      <c r="A1961" s="857"/>
      <c r="B1961" s="865" t="s">
        <v>681</v>
      </c>
      <c r="C1961" s="865" t="s">
        <v>591</v>
      </c>
      <c r="D1961" s="865" t="s">
        <v>659</v>
      </c>
      <c r="E1961" s="866">
        <v>2019.0</v>
      </c>
      <c r="F1961" s="865" t="s">
        <v>593</v>
      </c>
      <c r="G1961" s="865" t="s">
        <v>70</v>
      </c>
      <c r="H1961" s="867">
        <v>346103.2352</v>
      </c>
      <c r="I1961" s="867">
        <v>385402.5295</v>
      </c>
      <c r="J1961" s="868">
        <v>308824.8001</v>
      </c>
      <c r="K1961" s="50"/>
      <c r="L1961" s="869" t="s">
        <v>681</v>
      </c>
      <c r="M1961" s="865" t="s">
        <v>591</v>
      </c>
      <c r="N1961" s="865" t="s">
        <v>659</v>
      </c>
      <c r="O1961" s="866">
        <v>2004.0</v>
      </c>
      <c r="P1961" s="865" t="s">
        <v>593</v>
      </c>
      <c r="Q1961" s="865" t="s">
        <v>70</v>
      </c>
      <c r="R1961" s="867">
        <v>235566.1946</v>
      </c>
      <c r="S1961" s="867">
        <v>255034.716</v>
      </c>
      <c r="T1961" s="868">
        <v>216985.3339</v>
      </c>
      <c r="AN1961" s="882"/>
      <c r="AO1961" s="882"/>
      <c r="AP1961" s="882"/>
      <c r="AY1961" s="882"/>
      <c r="AZ1961" s="882"/>
      <c r="BA1961" s="882"/>
      <c r="BJ1961" s="882"/>
      <c r="BK1961" s="882"/>
      <c r="BL1961" s="882"/>
      <c r="BU1961" s="882"/>
      <c r="BV1961" s="882"/>
      <c r="BW1961" s="882"/>
      <c r="CF1961" s="882"/>
      <c r="CG1961" s="882"/>
      <c r="CH1961" s="882"/>
      <c r="CI1961" s="530"/>
    </row>
    <row r="1962">
      <c r="A1962" s="857"/>
      <c r="B1962" s="865" t="s">
        <v>681</v>
      </c>
      <c r="C1962" s="865" t="s">
        <v>591</v>
      </c>
      <c r="D1962" s="865" t="s">
        <v>661</v>
      </c>
      <c r="E1962" s="866">
        <v>2019.0</v>
      </c>
      <c r="F1962" s="865" t="s">
        <v>593</v>
      </c>
      <c r="G1962" s="865" t="s">
        <v>70</v>
      </c>
      <c r="H1962" s="867">
        <v>193849.8646</v>
      </c>
      <c r="I1962" s="867">
        <v>215874.7951</v>
      </c>
      <c r="J1962" s="868">
        <v>172979.5036</v>
      </c>
      <c r="K1962" s="50"/>
      <c r="L1962" s="869" t="s">
        <v>681</v>
      </c>
      <c r="M1962" s="865" t="s">
        <v>591</v>
      </c>
      <c r="N1962" s="865" t="s">
        <v>661</v>
      </c>
      <c r="O1962" s="866">
        <v>2004.0</v>
      </c>
      <c r="P1962" s="865" t="s">
        <v>593</v>
      </c>
      <c r="Q1962" s="865" t="s">
        <v>70</v>
      </c>
      <c r="R1962" s="867">
        <v>128404.6415</v>
      </c>
      <c r="S1962" s="867">
        <v>139022.664</v>
      </c>
      <c r="T1962" s="868">
        <v>118280.6588</v>
      </c>
      <c r="AN1962" s="882"/>
      <c r="AO1962" s="882"/>
      <c r="AP1962" s="882"/>
      <c r="AY1962" s="882"/>
      <c r="AZ1962" s="882"/>
      <c r="BA1962" s="882"/>
      <c r="BJ1962" s="882"/>
      <c r="BK1962" s="882"/>
      <c r="BL1962" s="882"/>
      <c r="BU1962" s="882"/>
      <c r="BV1962" s="882"/>
      <c r="BW1962" s="882"/>
      <c r="CF1962" s="882"/>
      <c r="CG1962" s="882"/>
      <c r="CH1962" s="882"/>
      <c r="CI1962" s="530"/>
    </row>
    <row r="1963">
      <c r="A1963" s="857"/>
      <c r="B1963" s="865" t="s">
        <v>681</v>
      </c>
      <c r="C1963" s="865" t="s">
        <v>591</v>
      </c>
      <c r="D1963" s="865" t="s">
        <v>663</v>
      </c>
      <c r="E1963" s="866">
        <v>2019.0</v>
      </c>
      <c r="F1963" s="865" t="s">
        <v>593</v>
      </c>
      <c r="G1963" s="865" t="s">
        <v>70</v>
      </c>
      <c r="H1963" s="867">
        <v>98743.3736</v>
      </c>
      <c r="I1963" s="867">
        <v>109955.4759</v>
      </c>
      <c r="J1963" s="868">
        <v>88107.82308</v>
      </c>
      <c r="K1963" s="50"/>
      <c r="L1963" s="869" t="s">
        <v>681</v>
      </c>
      <c r="M1963" s="865" t="s">
        <v>591</v>
      </c>
      <c r="N1963" s="865" t="s">
        <v>663</v>
      </c>
      <c r="O1963" s="866">
        <v>2004.0</v>
      </c>
      <c r="P1963" s="865" t="s">
        <v>593</v>
      </c>
      <c r="Q1963" s="865" t="s">
        <v>70</v>
      </c>
      <c r="R1963" s="867">
        <v>72409.1679</v>
      </c>
      <c r="S1963" s="867">
        <v>78393.47068</v>
      </c>
      <c r="T1963" s="868">
        <v>66697.71738</v>
      </c>
      <c r="AN1963" s="882"/>
      <c r="AO1963" s="882"/>
      <c r="AP1963" s="882"/>
      <c r="AY1963" s="882"/>
      <c r="AZ1963" s="882"/>
      <c r="BA1963" s="882"/>
      <c r="BJ1963" s="882"/>
      <c r="BK1963" s="882"/>
      <c r="BL1963" s="882"/>
      <c r="BU1963" s="882"/>
      <c r="BV1963" s="882"/>
      <c r="BW1963" s="882"/>
      <c r="CF1963" s="882"/>
      <c r="CG1963" s="882"/>
      <c r="CH1963" s="882"/>
      <c r="CI1963" s="530"/>
    </row>
    <row r="1964">
      <c r="A1964" s="857"/>
      <c r="B1964" s="865" t="s">
        <v>681</v>
      </c>
      <c r="C1964" s="865" t="s">
        <v>591</v>
      </c>
      <c r="D1964" s="865" t="s">
        <v>665</v>
      </c>
      <c r="E1964" s="866">
        <v>2019.0</v>
      </c>
      <c r="F1964" s="865" t="s">
        <v>593</v>
      </c>
      <c r="G1964" s="865" t="s">
        <v>70</v>
      </c>
      <c r="H1964" s="867">
        <v>156603.0024</v>
      </c>
      <c r="I1964" s="867">
        <v>174396.0003</v>
      </c>
      <c r="J1964" s="868">
        <v>139742.7317</v>
      </c>
      <c r="K1964" s="50"/>
      <c r="L1964" s="869" t="s">
        <v>681</v>
      </c>
      <c r="M1964" s="865" t="s">
        <v>591</v>
      </c>
      <c r="N1964" s="865" t="s">
        <v>665</v>
      </c>
      <c r="O1964" s="866">
        <v>2004.0</v>
      </c>
      <c r="P1964" s="865" t="s">
        <v>593</v>
      </c>
      <c r="Q1964" s="865" t="s">
        <v>70</v>
      </c>
      <c r="R1964" s="867">
        <v>109098.3299</v>
      </c>
      <c r="S1964" s="867">
        <v>118119.877</v>
      </c>
      <c r="T1964" s="868">
        <v>100496.5412</v>
      </c>
      <c r="AN1964" s="882"/>
      <c r="AO1964" s="882"/>
      <c r="AP1964" s="882"/>
      <c r="AY1964" s="882"/>
      <c r="AZ1964" s="882"/>
      <c r="BA1964" s="882"/>
      <c r="BJ1964" s="882"/>
      <c r="BK1964" s="882"/>
      <c r="BL1964" s="882"/>
      <c r="BU1964" s="882"/>
      <c r="BV1964" s="882"/>
      <c r="BW1964" s="882"/>
      <c r="CF1964" s="882"/>
      <c r="CG1964" s="882"/>
      <c r="CH1964" s="882"/>
      <c r="CI1964" s="530"/>
    </row>
    <row r="1965">
      <c r="A1965" s="857"/>
      <c r="B1965" s="865" t="s">
        <v>681</v>
      </c>
      <c r="C1965" s="865" t="s">
        <v>591</v>
      </c>
      <c r="D1965" s="865" t="s">
        <v>667</v>
      </c>
      <c r="E1965" s="866">
        <v>2019.0</v>
      </c>
      <c r="F1965" s="865" t="s">
        <v>593</v>
      </c>
      <c r="G1965" s="865" t="s">
        <v>70</v>
      </c>
      <c r="H1965" s="867">
        <v>95117.0247</v>
      </c>
      <c r="I1965" s="867">
        <v>105917.3628</v>
      </c>
      <c r="J1965" s="868">
        <v>84872.06461</v>
      </c>
      <c r="K1965" s="50"/>
      <c r="L1965" s="869" t="s">
        <v>681</v>
      </c>
      <c r="M1965" s="865" t="s">
        <v>591</v>
      </c>
      <c r="N1965" s="865" t="s">
        <v>667</v>
      </c>
      <c r="O1965" s="866">
        <v>2004.0</v>
      </c>
      <c r="P1965" s="865" t="s">
        <v>593</v>
      </c>
      <c r="Q1965" s="865" t="s">
        <v>70</v>
      </c>
      <c r="R1965" s="867">
        <v>56000.85899</v>
      </c>
      <c r="S1965" s="867">
        <v>60629.08641</v>
      </c>
      <c r="T1965" s="868">
        <v>51583.65403</v>
      </c>
      <c r="AN1965" s="882"/>
      <c r="AO1965" s="882"/>
      <c r="AP1965" s="882"/>
      <c r="AY1965" s="882"/>
      <c r="AZ1965" s="882"/>
      <c r="BA1965" s="882"/>
      <c r="BJ1965" s="882"/>
      <c r="BK1965" s="882"/>
      <c r="BL1965" s="882"/>
      <c r="BU1965" s="882"/>
      <c r="BV1965" s="882"/>
      <c r="BW1965" s="882"/>
      <c r="CF1965" s="882"/>
      <c r="CG1965" s="882"/>
      <c r="CH1965" s="882"/>
      <c r="CI1965" s="530"/>
    </row>
    <row r="1966">
      <c r="A1966" s="857"/>
      <c r="B1966" s="865" t="s">
        <v>681</v>
      </c>
      <c r="C1966" s="865" t="s">
        <v>591</v>
      </c>
      <c r="D1966" s="865" t="s">
        <v>669</v>
      </c>
      <c r="E1966" s="866">
        <v>2019.0</v>
      </c>
      <c r="F1966" s="865" t="s">
        <v>593</v>
      </c>
      <c r="G1966" s="865" t="s">
        <v>70</v>
      </c>
      <c r="H1966" s="867">
        <v>57868.1385</v>
      </c>
      <c r="I1966" s="867">
        <v>64438.94389</v>
      </c>
      <c r="J1966" s="868">
        <v>51635.21888</v>
      </c>
      <c r="K1966" s="50"/>
      <c r="L1966" s="869" t="s">
        <v>681</v>
      </c>
      <c r="M1966" s="865" t="s">
        <v>591</v>
      </c>
      <c r="N1966" s="865" t="s">
        <v>669</v>
      </c>
      <c r="O1966" s="866">
        <v>2004.0</v>
      </c>
      <c r="P1966" s="865" t="s">
        <v>593</v>
      </c>
      <c r="Q1966" s="865" t="s">
        <v>70</v>
      </c>
      <c r="R1966" s="867">
        <v>36693.73768</v>
      </c>
      <c r="S1966" s="867">
        <v>39726.3155</v>
      </c>
      <c r="T1966" s="868">
        <v>33799.42922</v>
      </c>
      <c r="AN1966" s="882"/>
      <c r="AO1966" s="882"/>
      <c r="AP1966" s="882"/>
      <c r="AY1966" s="882"/>
      <c r="AZ1966" s="882"/>
      <c r="BA1966" s="882"/>
      <c r="BJ1966" s="882"/>
      <c r="BK1966" s="882"/>
      <c r="BL1966" s="882"/>
      <c r="BU1966" s="882"/>
      <c r="BV1966" s="882"/>
      <c r="BW1966" s="882"/>
      <c r="CF1966" s="882"/>
      <c r="CG1966" s="882"/>
      <c r="CH1966" s="882"/>
      <c r="CI1966" s="530"/>
    </row>
    <row r="1967">
      <c r="A1967" s="857"/>
      <c r="B1967" s="865" t="s">
        <v>681</v>
      </c>
      <c r="C1967" s="865" t="s">
        <v>591</v>
      </c>
      <c r="D1967" s="865" t="s">
        <v>671</v>
      </c>
      <c r="E1967" s="866">
        <v>2019.0</v>
      </c>
      <c r="F1967" s="865" t="s">
        <v>593</v>
      </c>
      <c r="G1967" s="865" t="s">
        <v>70</v>
      </c>
      <c r="H1967" s="867">
        <v>37246.86222</v>
      </c>
      <c r="I1967" s="867">
        <v>41478.79477</v>
      </c>
      <c r="J1967" s="868">
        <v>33236.77194</v>
      </c>
      <c r="K1967" s="50"/>
      <c r="L1967" s="869" t="s">
        <v>681</v>
      </c>
      <c r="M1967" s="865" t="s">
        <v>591</v>
      </c>
      <c r="N1967" s="865" t="s">
        <v>671</v>
      </c>
      <c r="O1967" s="866">
        <v>2004.0</v>
      </c>
      <c r="P1967" s="865" t="s">
        <v>593</v>
      </c>
      <c r="Q1967" s="865" t="s">
        <v>70</v>
      </c>
      <c r="R1967" s="867">
        <v>19306.31159</v>
      </c>
      <c r="S1967" s="867">
        <v>20902.78698</v>
      </c>
      <c r="T1967" s="868">
        <v>17784.11767</v>
      </c>
      <c r="AN1967" s="882"/>
      <c r="AO1967" s="882"/>
      <c r="AP1967" s="882"/>
      <c r="AY1967" s="882"/>
      <c r="AZ1967" s="882"/>
      <c r="BA1967" s="882"/>
      <c r="BJ1967" s="882"/>
      <c r="BK1967" s="882"/>
      <c r="BL1967" s="882"/>
      <c r="BU1967" s="882"/>
      <c r="BV1967" s="882"/>
      <c r="BW1967" s="882"/>
      <c r="CF1967" s="882"/>
      <c r="CG1967" s="882"/>
      <c r="CH1967" s="882"/>
      <c r="CI1967" s="530"/>
    </row>
    <row r="1968">
      <c r="A1968" s="857"/>
      <c r="B1968" s="865" t="s">
        <v>681</v>
      </c>
      <c r="C1968" s="865" t="s">
        <v>591</v>
      </c>
      <c r="D1968" s="865" t="s">
        <v>673</v>
      </c>
      <c r="E1968" s="866">
        <v>2019.0</v>
      </c>
      <c r="F1968" s="865" t="s">
        <v>593</v>
      </c>
      <c r="G1968" s="865" t="s">
        <v>70</v>
      </c>
      <c r="H1968" s="867">
        <v>26262.20124</v>
      </c>
      <c r="I1968" s="867">
        <v>29244.21895</v>
      </c>
      <c r="J1968" s="868">
        <v>23433.52568</v>
      </c>
      <c r="K1968" s="50"/>
      <c r="L1968" s="869" t="s">
        <v>681</v>
      </c>
      <c r="M1968" s="865" t="s">
        <v>591</v>
      </c>
      <c r="N1968" s="865" t="s">
        <v>673</v>
      </c>
      <c r="O1968" s="866">
        <v>2004.0</v>
      </c>
      <c r="P1968" s="865" t="s">
        <v>593</v>
      </c>
      <c r="Q1968" s="865" t="s">
        <v>70</v>
      </c>
      <c r="R1968" s="867">
        <v>14076.80116</v>
      </c>
      <c r="S1968" s="867">
        <v>15240.18755</v>
      </c>
      <c r="T1968" s="868">
        <v>12966.45898</v>
      </c>
      <c r="AN1968" s="882"/>
      <c r="AO1968" s="882"/>
      <c r="AP1968" s="882"/>
      <c r="AY1968" s="882"/>
      <c r="AZ1968" s="882"/>
      <c r="BA1968" s="882"/>
      <c r="BJ1968" s="882"/>
      <c r="BK1968" s="882"/>
      <c r="BL1968" s="882"/>
      <c r="BU1968" s="882"/>
      <c r="BV1968" s="882"/>
      <c r="BW1968" s="882"/>
      <c r="CF1968" s="882"/>
      <c r="CG1968" s="882"/>
      <c r="CH1968" s="882"/>
      <c r="CI1968" s="530"/>
    </row>
    <row r="1969">
      <c r="A1969" s="857"/>
      <c r="B1969" s="865" t="s">
        <v>681</v>
      </c>
      <c r="C1969" s="865" t="s">
        <v>591</v>
      </c>
      <c r="D1969" s="865" t="s">
        <v>674</v>
      </c>
      <c r="E1969" s="866">
        <v>2019.0</v>
      </c>
      <c r="F1969" s="865" t="s">
        <v>593</v>
      </c>
      <c r="G1969" s="865" t="s">
        <v>70</v>
      </c>
      <c r="H1969" s="867">
        <v>8903.574523</v>
      </c>
      <c r="I1969" s="867">
        <v>9914.55668</v>
      </c>
      <c r="J1969" s="868">
        <v>7944.57937</v>
      </c>
      <c r="K1969" s="50"/>
      <c r="L1969" s="869" t="s">
        <v>681</v>
      </c>
      <c r="M1969" s="865" t="s">
        <v>591</v>
      </c>
      <c r="N1969" s="865" t="s">
        <v>674</v>
      </c>
      <c r="O1969" s="866">
        <v>2004.0</v>
      </c>
      <c r="P1969" s="865" t="s">
        <v>593</v>
      </c>
      <c r="Q1969" s="865" t="s">
        <v>70</v>
      </c>
      <c r="R1969" s="867">
        <v>4260.004405</v>
      </c>
      <c r="S1969" s="867">
        <v>4612.07524</v>
      </c>
      <c r="T1969" s="868">
        <v>3923.986121</v>
      </c>
      <c r="AN1969" s="882"/>
      <c r="AO1969" s="882"/>
      <c r="AP1969" s="882"/>
      <c r="AY1969" s="882"/>
      <c r="AZ1969" s="882"/>
      <c r="BA1969" s="882"/>
      <c r="BJ1969" s="882"/>
      <c r="BK1969" s="882"/>
      <c r="BL1969" s="882"/>
      <c r="BU1969" s="882"/>
      <c r="BV1969" s="882"/>
      <c r="BW1969" s="882"/>
      <c r="CF1969" s="882"/>
      <c r="CG1969" s="882"/>
      <c r="CH1969" s="882"/>
      <c r="CI1969" s="530"/>
    </row>
    <row r="1970">
      <c r="A1970" s="857"/>
      <c r="B1970" s="865" t="s">
        <v>681</v>
      </c>
      <c r="C1970" s="865" t="s">
        <v>591</v>
      </c>
      <c r="D1970" s="865" t="s">
        <v>676</v>
      </c>
      <c r="E1970" s="866">
        <v>2019.0</v>
      </c>
      <c r="F1970" s="865" t="s">
        <v>593</v>
      </c>
      <c r="G1970" s="865" t="s">
        <v>70</v>
      </c>
      <c r="H1970" s="867">
        <v>2083.11043</v>
      </c>
      <c r="I1970" s="867">
        <v>2319.643237</v>
      </c>
      <c r="J1970" s="868">
        <v>1858.740678</v>
      </c>
      <c r="K1970" s="50"/>
      <c r="L1970" s="869" t="s">
        <v>681</v>
      </c>
      <c r="M1970" s="865" t="s">
        <v>591</v>
      </c>
      <c r="N1970" s="865" t="s">
        <v>676</v>
      </c>
      <c r="O1970" s="866">
        <v>2004.0</v>
      </c>
      <c r="P1970" s="865" t="s">
        <v>593</v>
      </c>
      <c r="Q1970" s="865" t="s">
        <v>70</v>
      </c>
      <c r="R1970" s="867">
        <v>970.3157403</v>
      </c>
      <c r="S1970" s="867">
        <v>1050.508116</v>
      </c>
      <c r="T1970" s="868">
        <v>893.779709</v>
      </c>
      <c r="AN1970" s="882"/>
      <c r="AO1970" s="882"/>
      <c r="AP1970" s="882"/>
      <c r="AY1970" s="882"/>
      <c r="AZ1970" s="882"/>
      <c r="BA1970" s="882"/>
      <c r="BJ1970" s="882"/>
      <c r="BK1970" s="882"/>
      <c r="BL1970" s="882"/>
      <c r="BU1970" s="882"/>
      <c r="BV1970" s="882"/>
      <c r="BW1970" s="882"/>
      <c r="CF1970" s="882"/>
      <c r="CG1970" s="882"/>
      <c r="CH1970" s="882"/>
      <c r="CI1970" s="530"/>
    </row>
    <row r="1971">
      <c r="A1971" s="857"/>
      <c r="B1971" s="865" t="s">
        <v>681</v>
      </c>
      <c r="C1971" s="865" t="s">
        <v>591</v>
      </c>
      <c r="D1971" s="865" t="s">
        <v>678</v>
      </c>
      <c r="E1971" s="866">
        <v>2019.0</v>
      </c>
      <c r="F1971" s="865" t="s">
        <v>593</v>
      </c>
      <c r="G1971" s="865" t="s">
        <v>70</v>
      </c>
      <c r="H1971" s="867">
        <v>1.513406715E7</v>
      </c>
      <c r="I1971" s="867">
        <v>1.685250863E7</v>
      </c>
      <c r="J1971" s="868">
        <v>1.350399183E7</v>
      </c>
      <c r="K1971" s="50"/>
      <c r="L1971" s="869" t="s">
        <v>681</v>
      </c>
      <c r="M1971" s="865" t="s">
        <v>591</v>
      </c>
      <c r="N1971" s="865" t="s">
        <v>678</v>
      </c>
      <c r="O1971" s="866">
        <v>2004.0</v>
      </c>
      <c r="P1971" s="865" t="s">
        <v>593</v>
      </c>
      <c r="Q1971" s="865" t="s">
        <v>70</v>
      </c>
      <c r="R1971" s="867">
        <v>1.087215037E7</v>
      </c>
      <c r="S1971" s="867">
        <v>1.177068631E7</v>
      </c>
      <c r="T1971" s="868">
        <v>1.001458287E7</v>
      </c>
      <c r="AN1971" s="882"/>
      <c r="AO1971" s="882"/>
      <c r="AP1971" s="882"/>
      <c r="AY1971" s="882"/>
      <c r="AZ1971" s="882"/>
      <c r="BA1971" s="882"/>
      <c r="BJ1971" s="882"/>
      <c r="BK1971" s="882"/>
      <c r="BL1971" s="882"/>
      <c r="BU1971" s="882"/>
      <c r="BV1971" s="882"/>
      <c r="BW1971" s="882"/>
      <c r="CF1971" s="882"/>
      <c r="CG1971" s="882"/>
      <c r="CH1971" s="882"/>
      <c r="CI1971" s="530"/>
    </row>
    <row r="1972">
      <c r="A1972" s="857"/>
      <c r="B1972" s="865" t="s">
        <v>681</v>
      </c>
      <c r="C1972" s="865" t="s">
        <v>591</v>
      </c>
      <c r="D1972" s="865" t="s">
        <v>680</v>
      </c>
      <c r="E1972" s="866">
        <v>2019.0</v>
      </c>
      <c r="F1972" s="865" t="s">
        <v>593</v>
      </c>
      <c r="G1972" s="865" t="s">
        <v>70</v>
      </c>
      <c r="H1972" s="867">
        <v>466541.4073</v>
      </c>
      <c r="I1972" s="867">
        <v>510213.174</v>
      </c>
      <c r="J1972" s="868">
        <v>430435.1005</v>
      </c>
      <c r="K1972" s="50"/>
      <c r="L1972" s="869" t="s">
        <v>681</v>
      </c>
      <c r="M1972" s="865" t="s">
        <v>591</v>
      </c>
      <c r="N1972" s="865" t="s">
        <v>680</v>
      </c>
      <c r="O1972" s="866">
        <v>2004.0</v>
      </c>
      <c r="P1972" s="865" t="s">
        <v>593</v>
      </c>
      <c r="Q1972" s="865" t="s">
        <v>70</v>
      </c>
      <c r="R1972" s="867">
        <v>419782.5447</v>
      </c>
      <c r="S1972" s="867">
        <v>433356.2657</v>
      </c>
      <c r="T1972" s="868">
        <v>405915.9734</v>
      </c>
      <c r="AN1972" s="882"/>
      <c r="AO1972" s="882"/>
      <c r="AP1972" s="882"/>
      <c r="AY1972" s="882"/>
      <c r="AZ1972" s="882"/>
      <c r="BA1972" s="882"/>
      <c r="BJ1972" s="882"/>
      <c r="BK1972" s="882"/>
      <c r="BL1972" s="882"/>
      <c r="BU1972" s="882"/>
      <c r="BV1972" s="882"/>
      <c r="BW1972" s="882"/>
      <c r="CF1972" s="882"/>
      <c r="CG1972" s="882"/>
      <c r="CH1972" s="882"/>
      <c r="CI1972" s="530"/>
    </row>
    <row r="1973">
      <c r="A1973" s="857"/>
      <c r="B1973" s="865" t="s">
        <v>681</v>
      </c>
      <c r="C1973" s="865" t="s">
        <v>591</v>
      </c>
      <c r="D1973" s="865" t="s">
        <v>682</v>
      </c>
      <c r="E1973" s="866">
        <v>2019.0</v>
      </c>
      <c r="F1973" s="865" t="s">
        <v>593</v>
      </c>
      <c r="G1973" s="865" t="s">
        <v>70</v>
      </c>
      <c r="H1973" s="867">
        <v>8818.390813</v>
      </c>
      <c r="I1973" s="867">
        <v>9819.700539</v>
      </c>
      <c r="J1973" s="868">
        <v>7868.570713</v>
      </c>
      <c r="K1973" s="50"/>
      <c r="L1973" s="869" t="s">
        <v>681</v>
      </c>
      <c r="M1973" s="865" t="s">
        <v>591</v>
      </c>
      <c r="N1973" s="865" t="s">
        <v>682</v>
      </c>
      <c r="O1973" s="866">
        <v>2004.0</v>
      </c>
      <c r="P1973" s="865" t="s">
        <v>593</v>
      </c>
      <c r="Q1973" s="865" t="s">
        <v>70</v>
      </c>
      <c r="R1973" s="867">
        <v>7918.706665</v>
      </c>
      <c r="S1973" s="867">
        <v>8573.153328</v>
      </c>
      <c r="T1973" s="868">
        <v>7294.099276</v>
      </c>
      <c r="AN1973" s="882"/>
      <c r="AO1973" s="882"/>
      <c r="AP1973" s="882"/>
      <c r="AY1973" s="882"/>
      <c r="AZ1973" s="882"/>
      <c r="BA1973" s="882"/>
      <c r="BJ1973" s="882"/>
      <c r="BK1973" s="882"/>
      <c r="BL1973" s="882"/>
      <c r="BU1973" s="882"/>
      <c r="BV1973" s="882"/>
      <c r="BW1973" s="882"/>
      <c r="CF1973" s="882"/>
      <c r="CG1973" s="882"/>
      <c r="CH1973" s="882"/>
      <c r="CI1973" s="530"/>
    </row>
    <row r="1974">
      <c r="A1974" s="857"/>
      <c r="B1974" s="865" t="s">
        <v>681</v>
      </c>
      <c r="C1974" s="865" t="s">
        <v>591</v>
      </c>
      <c r="D1974" s="865" t="s">
        <v>684</v>
      </c>
      <c r="E1974" s="866">
        <v>2019.0</v>
      </c>
      <c r="F1974" s="865" t="s">
        <v>593</v>
      </c>
      <c r="G1974" s="865" t="s">
        <v>70</v>
      </c>
      <c r="H1974" s="867">
        <v>26101.18872</v>
      </c>
      <c r="I1974" s="867">
        <v>29064.92379</v>
      </c>
      <c r="J1974" s="868">
        <v>23289.85565</v>
      </c>
      <c r="K1974" s="50"/>
      <c r="L1974" s="869" t="s">
        <v>681</v>
      </c>
      <c r="M1974" s="865" t="s">
        <v>591</v>
      </c>
      <c r="N1974" s="865" t="s">
        <v>684</v>
      </c>
      <c r="O1974" s="866">
        <v>2004.0</v>
      </c>
      <c r="P1974" s="865" t="s">
        <v>593</v>
      </c>
      <c r="Q1974" s="865" t="s">
        <v>70</v>
      </c>
      <c r="R1974" s="867">
        <v>23328.91029</v>
      </c>
      <c r="S1974" s="867">
        <v>25256.94325</v>
      </c>
      <c r="T1974" s="868">
        <v>21488.78533</v>
      </c>
      <c r="AN1974" s="882"/>
      <c r="AO1974" s="882"/>
      <c r="AP1974" s="882"/>
      <c r="AY1974" s="882"/>
      <c r="AZ1974" s="882"/>
      <c r="BA1974" s="882"/>
      <c r="BJ1974" s="882"/>
      <c r="BK1974" s="882"/>
      <c r="BL1974" s="882"/>
      <c r="BU1974" s="882"/>
      <c r="BV1974" s="882"/>
      <c r="BW1974" s="882"/>
      <c r="CF1974" s="882"/>
      <c r="CG1974" s="882"/>
      <c r="CH1974" s="882"/>
      <c r="CI1974" s="530"/>
    </row>
    <row r="1975">
      <c r="A1975" s="857"/>
      <c r="B1975" s="865" t="s">
        <v>681</v>
      </c>
      <c r="C1975" s="865" t="s">
        <v>591</v>
      </c>
      <c r="D1975" s="865" t="s">
        <v>686</v>
      </c>
      <c r="E1975" s="866">
        <v>2019.0</v>
      </c>
      <c r="F1975" s="865" t="s">
        <v>593</v>
      </c>
      <c r="G1975" s="865" t="s">
        <v>70</v>
      </c>
      <c r="H1975" s="867">
        <v>34919.57953</v>
      </c>
      <c r="I1975" s="867">
        <v>38884.62433</v>
      </c>
      <c r="J1975" s="868">
        <v>31158.42636</v>
      </c>
      <c r="K1975" s="50"/>
      <c r="L1975" s="869" t="s">
        <v>681</v>
      </c>
      <c r="M1975" s="865" t="s">
        <v>591</v>
      </c>
      <c r="N1975" s="865" t="s">
        <v>686</v>
      </c>
      <c r="O1975" s="866">
        <v>2004.0</v>
      </c>
      <c r="P1975" s="865" t="s">
        <v>593</v>
      </c>
      <c r="Q1975" s="865" t="s">
        <v>70</v>
      </c>
      <c r="R1975" s="867">
        <v>31247.61695</v>
      </c>
      <c r="S1975" s="867">
        <v>33830.09658</v>
      </c>
      <c r="T1975" s="868">
        <v>28782.88461</v>
      </c>
      <c r="AN1975" s="882"/>
      <c r="AO1975" s="882"/>
      <c r="AP1975" s="882"/>
      <c r="AY1975" s="882"/>
      <c r="AZ1975" s="882"/>
      <c r="BA1975" s="882"/>
      <c r="BJ1975" s="882"/>
      <c r="BK1975" s="882"/>
      <c r="BL1975" s="882"/>
      <c r="BU1975" s="882"/>
      <c r="BV1975" s="882"/>
      <c r="BW1975" s="882"/>
      <c r="CF1975" s="882"/>
      <c r="CG1975" s="882"/>
      <c r="CH1975" s="882"/>
      <c r="CI1975" s="530"/>
    </row>
    <row r="1976">
      <c r="A1976" s="857"/>
      <c r="B1976" s="865" t="s">
        <v>681</v>
      </c>
      <c r="C1976" s="865" t="s">
        <v>591</v>
      </c>
      <c r="D1976" s="865" t="s">
        <v>688</v>
      </c>
      <c r="E1976" s="866">
        <v>2019.0</v>
      </c>
      <c r="F1976" s="865" t="s">
        <v>593</v>
      </c>
      <c r="G1976" s="865" t="s">
        <v>70</v>
      </c>
      <c r="H1976" s="867">
        <v>410947.141</v>
      </c>
      <c r="I1976" s="867">
        <v>457609.3244</v>
      </c>
      <c r="J1976" s="868">
        <v>366684.4333</v>
      </c>
      <c r="K1976" s="50"/>
      <c r="L1976" s="869" t="s">
        <v>681</v>
      </c>
      <c r="M1976" s="865" t="s">
        <v>591</v>
      </c>
      <c r="N1976" s="865" t="s">
        <v>688</v>
      </c>
      <c r="O1976" s="866">
        <v>2004.0</v>
      </c>
      <c r="P1976" s="865" t="s">
        <v>593</v>
      </c>
      <c r="Q1976" s="865" t="s">
        <v>70</v>
      </c>
      <c r="R1976" s="867">
        <v>363312.1877</v>
      </c>
      <c r="S1976" s="867">
        <v>393338.3598</v>
      </c>
      <c r="T1976" s="868">
        <v>334655.0488</v>
      </c>
      <c r="AN1976" s="882"/>
      <c r="AO1976" s="882"/>
      <c r="AP1976" s="882"/>
      <c r="AY1976" s="882"/>
      <c r="AZ1976" s="882"/>
      <c r="BA1976" s="882"/>
      <c r="BJ1976" s="882"/>
      <c r="BK1976" s="882"/>
      <c r="BL1976" s="882"/>
      <c r="BU1976" s="882"/>
      <c r="BV1976" s="882"/>
      <c r="BW1976" s="882"/>
      <c r="CF1976" s="882"/>
      <c r="CG1976" s="882"/>
      <c r="CH1976" s="882"/>
      <c r="CI1976" s="530"/>
    </row>
    <row r="1977">
      <c r="A1977" s="857"/>
      <c r="B1977" s="865" t="s">
        <v>681</v>
      </c>
      <c r="C1977" s="865" t="s">
        <v>591</v>
      </c>
      <c r="D1977" s="865" t="s">
        <v>689</v>
      </c>
      <c r="E1977" s="866">
        <v>2019.0</v>
      </c>
      <c r="F1977" s="865" t="s">
        <v>593</v>
      </c>
      <c r="G1977" s="865" t="s">
        <v>70</v>
      </c>
      <c r="H1977" s="867">
        <v>2150606.828</v>
      </c>
      <c r="I1977" s="867">
        <v>2394803.709</v>
      </c>
      <c r="J1977" s="868">
        <v>1918967.106</v>
      </c>
      <c r="K1977" s="50"/>
      <c r="L1977" s="869" t="s">
        <v>681</v>
      </c>
      <c r="M1977" s="865" t="s">
        <v>591</v>
      </c>
      <c r="N1977" s="865" t="s">
        <v>689</v>
      </c>
      <c r="O1977" s="866">
        <v>2004.0</v>
      </c>
      <c r="P1977" s="865" t="s">
        <v>593</v>
      </c>
      <c r="Q1977" s="865" t="s">
        <v>70</v>
      </c>
      <c r="R1977" s="867">
        <v>1795162.674</v>
      </c>
      <c r="S1977" s="867">
        <v>1943525.061</v>
      </c>
      <c r="T1977" s="868">
        <v>1653564.82</v>
      </c>
      <c r="AN1977" s="882"/>
      <c r="AO1977" s="882"/>
      <c r="AP1977" s="882"/>
      <c r="AY1977" s="882"/>
      <c r="AZ1977" s="882"/>
      <c r="BA1977" s="882"/>
      <c r="BJ1977" s="882"/>
      <c r="BK1977" s="882"/>
      <c r="BL1977" s="882"/>
      <c r="BU1977" s="882"/>
      <c r="BV1977" s="882"/>
      <c r="BW1977" s="882"/>
      <c r="CF1977" s="882"/>
      <c r="CG1977" s="882"/>
      <c r="CH1977" s="882"/>
      <c r="CI1977" s="530"/>
    </row>
    <row r="1978">
      <c r="A1978" s="857"/>
      <c r="B1978" s="865" t="s">
        <v>683</v>
      </c>
      <c r="C1978" s="865" t="s">
        <v>591</v>
      </c>
      <c r="D1978" s="865" t="s">
        <v>592</v>
      </c>
      <c r="E1978" s="866">
        <v>2019.0</v>
      </c>
      <c r="F1978" s="865" t="s">
        <v>593</v>
      </c>
      <c r="G1978" s="865" t="s">
        <v>70</v>
      </c>
      <c r="H1978" s="867">
        <v>263101.6554</v>
      </c>
      <c r="I1978" s="867">
        <v>288363.4003</v>
      </c>
      <c r="J1978" s="868">
        <v>239016.6528</v>
      </c>
      <c r="K1978" s="50"/>
      <c r="L1978" s="869" t="s">
        <v>683</v>
      </c>
      <c r="M1978" s="865" t="s">
        <v>591</v>
      </c>
      <c r="N1978" s="865" t="s">
        <v>592</v>
      </c>
      <c r="O1978" s="866">
        <v>2004.0</v>
      </c>
      <c r="P1978" s="865" t="s">
        <v>593</v>
      </c>
      <c r="Q1978" s="865" t="s">
        <v>70</v>
      </c>
      <c r="R1978" s="867">
        <v>213488.8596</v>
      </c>
      <c r="S1978" s="867">
        <v>226765.5648</v>
      </c>
      <c r="T1978" s="868">
        <v>199467.7459</v>
      </c>
      <c r="AN1978" s="882"/>
      <c r="AO1978" s="882"/>
      <c r="AP1978" s="882"/>
      <c r="AY1978" s="882"/>
      <c r="AZ1978" s="882"/>
      <c r="BA1978" s="882"/>
      <c r="BJ1978" s="882"/>
      <c r="BK1978" s="882"/>
      <c r="BL1978" s="882"/>
      <c r="BU1978" s="882"/>
      <c r="BV1978" s="882"/>
      <c r="BW1978" s="882"/>
      <c r="CF1978" s="882"/>
      <c r="CG1978" s="882"/>
      <c r="CH1978" s="882"/>
      <c r="CI1978" s="530"/>
    </row>
    <row r="1979">
      <c r="A1979" s="857"/>
      <c r="B1979" s="865" t="s">
        <v>683</v>
      </c>
      <c r="C1979" s="865" t="s">
        <v>591</v>
      </c>
      <c r="D1979" s="865" t="s">
        <v>601</v>
      </c>
      <c r="E1979" s="866">
        <v>2019.0</v>
      </c>
      <c r="F1979" s="865" t="s">
        <v>593</v>
      </c>
      <c r="G1979" s="865" t="s">
        <v>70</v>
      </c>
      <c r="H1979" s="867">
        <v>4269474.694</v>
      </c>
      <c r="I1979" s="867">
        <v>4679408.947</v>
      </c>
      <c r="J1979" s="868">
        <v>3878635.994</v>
      </c>
      <c r="K1979" s="50"/>
      <c r="L1979" s="869" t="s">
        <v>683</v>
      </c>
      <c r="M1979" s="865" t="s">
        <v>591</v>
      </c>
      <c r="N1979" s="865" t="s">
        <v>601</v>
      </c>
      <c r="O1979" s="866">
        <v>2004.0</v>
      </c>
      <c r="P1979" s="865" t="s">
        <v>593</v>
      </c>
      <c r="Q1979" s="865" t="s">
        <v>70</v>
      </c>
      <c r="R1979" s="867">
        <v>2889284.829</v>
      </c>
      <c r="S1979" s="867">
        <v>3068967.193</v>
      </c>
      <c r="T1979" s="868">
        <v>2699527.898</v>
      </c>
      <c r="AN1979" s="882"/>
      <c r="AO1979" s="882"/>
      <c r="AP1979" s="882"/>
      <c r="AY1979" s="882"/>
      <c r="AZ1979" s="882"/>
      <c r="BA1979" s="882"/>
      <c r="BJ1979" s="882"/>
      <c r="BK1979" s="882"/>
      <c r="BL1979" s="882"/>
      <c r="BU1979" s="882"/>
      <c r="BV1979" s="882"/>
      <c r="BW1979" s="882"/>
      <c r="CF1979" s="882"/>
      <c r="CG1979" s="882"/>
      <c r="CH1979" s="882"/>
      <c r="CI1979" s="530"/>
    </row>
    <row r="1980">
      <c r="A1980" s="857"/>
      <c r="B1980" s="865" t="s">
        <v>683</v>
      </c>
      <c r="C1980" s="865" t="s">
        <v>591</v>
      </c>
      <c r="D1980" s="865" t="s">
        <v>606</v>
      </c>
      <c r="E1980" s="866">
        <v>2019.0</v>
      </c>
      <c r="F1980" s="865" t="s">
        <v>593</v>
      </c>
      <c r="G1980" s="865" t="s">
        <v>70</v>
      </c>
      <c r="H1980" s="867">
        <v>3341378.432</v>
      </c>
      <c r="I1980" s="867">
        <v>3662201.384</v>
      </c>
      <c r="J1980" s="868">
        <v>3035500.052</v>
      </c>
      <c r="K1980" s="50"/>
      <c r="L1980" s="869" t="s">
        <v>683</v>
      </c>
      <c r="M1980" s="865" t="s">
        <v>591</v>
      </c>
      <c r="N1980" s="865" t="s">
        <v>606</v>
      </c>
      <c r="O1980" s="866">
        <v>2004.0</v>
      </c>
      <c r="P1980" s="865" t="s">
        <v>593</v>
      </c>
      <c r="Q1980" s="865" t="s">
        <v>70</v>
      </c>
      <c r="R1980" s="867">
        <v>2340233.043</v>
      </c>
      <c r="S1980" s="867">
        <v>2485770.305</v>
      </c>
      <c r="T1980" s="868">
        <v>2186535.686</v>
      </c>
      <c r="AN1980" s="882"/>
      <c r="AO1980" s="882"/>
      <c r="AP1980" s="882"/>
      <c r="AY1980" s="882"/>
      <c r="AZ1980" s="882"/>
      <c r="BA1980" s="882"/>
      <c r="BJ1980" s="882"/>
      <c r="BK1980" s="882"/>
      <c r="BL1980" s="882"/>
      <c r="BU1980" s="882"/>
      <c r="BV1980" s="882"/>
      <c r="BW1980" s="882"/>
      <c r="CF1980" s="882"/>
      <c r="CG1980" s="882"/>
      <c r="CH1980" s="882"/>
      <c r="CI1980" s="530"/>
    </row>
    <row r="1981">
      <c r="A1981" s="857"/>
      <c r="B1981" s="865" t="s">
        <v>683</v>
      </c>
      <c r="C1981" s="865" t="s">
        <v>591</v>
      </c>
      <c r="D1981" s="865" t="s">
        <v>608</v>
      </c>
      <c r="E1981" s="866">
        <v>2019.0</v>
      </c>
      <c r="F1981" s="865" t="s">
        <v>593</v>
      </c>
      <c r="G1981" s="865" t="s">
        <v>70</v>
      </c>
      <c r="H1981" s="867">
        <v>966556.4304</v>
      </c>
      <c r="I1981" s="867">
        <v>1059360.491</v>
      </c>
      <c r="J1981" s="868">
        <v>878075.3675</v>
      </c>
      <c r="K1981" s="50"/>
      <c r="L1981" s="869" t="s">
        <v>683</v>
      </c>
      <c r="M1981" s="865" t="s">
        <v>591</v>
      </c>
      <c r="N1981" s="865" t="s">
        <v>608</v>
      </c>
      <c r="O1981" s="866">
        <v>2004.0</v>
      </c>
      <c r="P1981" s="865" t="s">
        <v>593</v>
      </c>
      <c r="Q1981" s="865" t="s">
        <v>70</v>
      </c>
      <c r="R1981" s="867">
        <v>731575.4926</v>
      </c>
      <c r="S1981" s="867">
        <v>777071.6003</v>
      </c>
      <c r="T1981" s="868">
        <v>683528.4744</v>
      </c>
      <c r="AN1981" s="882"/>
      <c r="AO1981" s="882"/>
      <c r="AP1981" s="882"/>
      <c r="AY1981" s="882"/>
      <c r="AZ1981" s="882"/>
      <c r="BA1981" s="882"/>
      <c r="BJ1981" s="882"/>
      <c r="BK1981" s="882"/>
      <c r="BL1981" s="882"/>
      <c r="BU1981" s="882"/>
      <c r="BV1981" s="882"/>
      <c r="BW1981" s="882"/>
      <c r="CF1981" s="882"/>
      <c r="CG1981" s="882"/>
      <c r="CH1981" s="882"/>
      <c r="CI1981" s="530"/>
    </row>
    <row r="1982">
      <c r="A1982" s="857"/>
      <c r="B1982" s="865" t="s">
        <v>683</v>
      </c>
      <c r="C1982" s="865" t="s">
        <v>591</v>
      </c>
      <c r="D1982" s="865" t="s">
        <v>610</v>
      </c>
      <c r="E1982" s="866">
        <v>2019.0</v>
      </c>
      <c r="F1982" s="865" t="s">
        <v>593</v>
      </c>
      <c r="G1982" s="865" t="s">
        <v>70</v>
      </c>
      <c r="H1982" s="867">
        <v>1005724.469</v>
      </c>
      <c r="I1982" s="867">
        <v>1102289.255</v>
      </c>
      <c r="J1982" s="868">
        <v>913657.863</v>
      </c>
      <c r="K1982" s="50"/>
      <c r="L1982" s="869" t="s">
        <v>683</v>
      </c>
      <c r="M1982" s="865" t="s">
        <v>591</v>
      </c>
      <c r="N1982" s="865" t="s">
        <v>610</v>
      </c>
      <c r="O1982" s="866">
        <v>2004.0</v>
      </c>
      <c r="P1982" s="865" t="s">
        <v>593</v>
      </c>
      <c r="Q1982" s="865" t="s">
        <v>70</v>
      </c>
      <c r="R1982" s="867">
        <v>643102.4114</v>
      </c>
      <c r="S1982" s="867">
        <v>683096.4475</v>
      </c>
      <c r="T1982" s="868">
        <v>600865.9593</v>
      </c>
      <c r="AN1982" s="882"/>
      <c r="AO1982" s="882"/>
      <c r="AP1982" s="882"/>
      <c r="AY1982" s="882"/>
      <c r="AZ1982" s="882"/>
      <c r="BA1982" s="882"/>
      <c r="BJ1982" s="882"/>
      <c r="BK1982" s="882"/>
      <c r="BL1982" s="882"/>
      <c r="BU1982" s="882"/>
      <c r="BV1982" s="882"/>
      <c r="BW1982" s="882"/>
      <c r="CF1982" s="882"/>
      <c r="CG1982" s="882"/>
      <c r="CH1982" s="882"/>
      <c r="CI1982" s="530"/>
    </row>
    <row r="1983">
      <c r="A1983" s="857"/>
      <c r="B1983" s="865" t="s">
        <v>683</v>
      </c>
      <c r="C1983" s="865" t="s">
        <v>591</v>
      </c>
      <c r="D1983" s="865" t="s">
        <v>612</v>
      </c>
      <c r="E1983" s="866">
        <v>2019.0</v>
      </c>
      <c r="F1983" s="865" t="s">
        <v>593</v>
      </c>
      <c r="G1983" s="865" t="s">
        <v>70</v>
      </c>
      <c r="H1983" s="867">
        <v>1933820.731</v>
      </c>
      <c r="I1983" s="867">
        <v>2119496.818</v>
      </c>
      <c r="J1983" s="868">
        <v>1756793.805</v>
      </c>
      <c r="K1983" s="50"/>
      <c r="L1983" s="869" t="s">
        <v>683</v>
      </c>
      <c r="M1983" s="865" t="s">
        <v>591</v>
      </c>
      <c r="N1983" s="865" t="s">
        <v>612</v>
      </c>
      <c r="O1983" s="866">
        <v>2004.0</v>
      </c>
      <c r="P1983" s="865" t="s">
        <v>593</v>
      </c>
      <c r="Q1983" s="865" t="s">
        <v>70</v>
      </c>
      <c r="R1983" s="867">
        <v>1192154.198</v>
      </c>
      <c r="S1983" s="867">
        <v>1266293.336</v>
      </c>
      <c r="T1983" s="868">
        <v>1113858.171</v>
      </c>
      <c r="AN1983" s="882"/>
      <c r="AO1983" s="882"/>
      <c r="AP1983" s="882"/>
      <c r="AY1983" s="882"/>
      <c r="AZ1983" s="882"/>
      <c r="BA1983" s="882"/>
      <c r="BJ1983" s="882"/>
      <c r="BK1983" s="882"/>
      <c r="BL1983" s="882"/>
      <c r="BU1983" s="882"/>
      <c r="BV1983" s="882"/>
      <c r="BW1983" s="882"/>
      <c r="CF1983" s="882"/>
      <c r="CG1983" s="882"/>
      <c r="CH1983" s="882"/>
      <c r="CI1983" s="530"/>
    </row>
    <row r="1984">
      <c r="A1984" s="857"/>
      <c r="B1984" s="865" t="s">
        <v>683</v>
      </c>
      <c r="C1984" s="865" t="s">
        <v>591</v>
      </c>
      <c r="D1984" s="865" t="s">
        <v>614</v>
      </c>
      <c r="E1984" s="866">
        <v>2019.0</v>
      </c>
      <c r="F1984" s="865" t="s">
        <v>593</v>
      </c>
      <c r="G1984" s="865" t="s">
        <v>70</v>
      </c>
      <c r="H1984" s="867">
        <v>2749838.806</v>
      </c>
      <c r="I1984" s="867">
        <v>3013864.991</v>
      </c>
      <c r="J1984" s="868">
        <v>2498111.485</v>
      </c>
      <c r="K1984" s="50"/>
      <c r="L1984" s="869" t="s">
        <v>683</v>
      </c>
      <c r="M1984" s="865" t="s">
        <v>591</v>
      </c>
      <c r="N1984" s="865" t="s">
        <v>614</v>
      </c>
      <c r="O1984" s="866">
        <v>2004.0</v>
      </c>
      <c r="P1984" s="865" t="s">
        <v>593</v>
      </c>
      <c r="Q1984" s="865" t="s">
        <v>70</v>
      </c>
      <c r="R1984" s="867">
        <v>1667282.123</v>
      </c>
      <c r="S1984" s="867">
        <v>1770969.094</v>
      </c>
      <c r="T1984" s="868">
        <v>1557781.551</v>
      </c>
      <c r="AN1984" s="882"/>
      <c r="AO1984" s="882"/>
      <c r="AP1984" s="882"/>
      <c r="AY1984" s="882"/>
      <c r="AZ1984" s="882"/>
      <c r="BA1984" s="882"/>
      <c r="BJ1984" s="882"/>
      <c r="BK1984" s="882"/>
      <c r="BL1984" s="882"/>
      <c r="BU1984" s="882"/>
      <c r="BV1984" s="882"/>
      <c r="BW1984" s="882"/>
      <c r="CF1984" s="882"/>
      <c r="CG1984" s="882"/>
      <c r="CH1984" s="882"/>
      <c r="CI1984" s="530"/>
    </row>
    <row r="1985">
      <c r="A1985" s="857"/>
      <c r="B1985" s="865" t="s">
        <v>683</v>
      </c>
      <c r="C1985" s="865" t="s">
        <v>591</v>
      </c>
      <c r="D1985" s="865" t="s">
        <v>616</v>
      </c>
      <c r="E1985" s="866">
        <v>2019.0</v>
      </c>
      <c r="F1985" s="865" t="s">
        <v>593</v>
      </c>
      <c r="G1985" s="865" t="s">
        <v>70</v>
      </c>
      <c r="H1985" s="867">
        <v>928096.2617</v>
      </c>
      <c r="I1985" s="867">
        <v>1017207.564</v>
      </c>
      <c r="J1985" s="868">
        <v>843135.9416</v>
      </c>
      <c r="K1985" s="50"/>
      <c r="L1985" s="869" t="s">
        <v>683</v>
      </c>
      <c r="M1985" s="865" t="s">
        <v>591</v>
      </c>
      <c r="N1985" s="865" t="s">
        <v>616</v>
      </c>
      <c r="O1985" s="866">
        <v>2004.0</v>
      </c>
      <c r="P1985" s="865" t="s">
        <v>593</v>
      </c>
      <c r="Q1985" s="865" t="s">
        <v>70</v>
      </c>
      <c r="R1985" s="867">
        <v>549051.7868</v>
      </c>
      <c r="S1985" s="867">
        <v>583196.888</v>
      </c>
      <c r="T1985" s="868">
        <v>512992.212</v>
      </c>
      <c r="AN1985" s="882"/>
      <c r="AO1985" s="882"/>
      <c r="AP1985" s="882"/>
      <c r="AY1985" s="882"/>
      <c r="AZ1985" s="882"/>
      <c r="BA1985" s="882"/>
      <c r="BJ1985" s="882"/>
      <c r="BK1985" s="882"/>
      <c r="BL1985" s="882"/>
      <c r="BU1985" s="882"/>
      <c r="BV1985" s="882"/>
      <c r="BW1985" s="882"/>
      <c r="CF1985" s="882"/>
      <c r="CG1985" s="882"/>
      <c r="CH1985" s="882"/>
      <c r="CI1985" s="530"/>
    </row>
    <row r="1986">
      <c r="A1986" s="857"/>
      <c r="B1986" s="865" t="s">
        <v>683</v>
      </c>
      <c r="C1986" s="865" t="s">
        <v>591</v>
      </c>
      <c r="D1986" s="865" t="s">
        <v>618</v>
      </c>
      <c r="E1986" s="866">
        <v>2019.0</v>
      </c>
      <c r="F1986" s="865" t="s">
        <v>593</v>
      </c>
      <c r="G1986" s="865" t="s">
        <v>70</v>
      </c>
      <c r="H1986" s="867">
        <v>3496311.801</v>
      </c>
      <c r="I1986" s="867">
        <v>3832104.092</v>
      </c>
      <c r="J1986" s="868">
        <v>3176228.41</v>
      </c>
      <c r="K1986" s="50"/>
      <c r="L1986" s="869" t="s">
        <v>683</v>
      </c>
      <c r="M1986" s="865" t="s">
        <v>591</v>
      </c>
      <c r="N1986" s="865" t="s">
        <v>618</v>
      </c>
      <c r="O1986" s="866">
        <v>2004.0</v>
      </c>
      <c r="P1986" s="865" t="s">
        <v>593</v>
      </c>
      <c r="Q1986" s="865" t="s">
        <v>70</v>
      </c>
      <c r="R1986" s="867">
        <v>2059422.038</v>
      </c>
      <c r="S1986" s="867">
        <v>2187514.782</v>
      </c>
      <c r="T1986" s="868">
        <v>1924145.939</v>
      </c>
      <c r="AN1986" s="882"/>
      <c r="AO1986" s="882"/>
      <c r="AP1986" s="882"/>
      <c r="AY1986" s="882"/>
      <c r="AZ1986" s="882"/>
      <c r="BA1986" s="882"/>
      <c r="BJ1986" s="882"/>
      <c r="BK1986" s="882"/>
      <c r="BL1986" s="882"/>
      <c r="BU1986" s="882"/>
      <c r="BV1986" s="882"/>
      <c r="BW1986" s="882"/>
      <c r="CF1986" s="882"/>
      <c r="CG1986" s="882"/>
      <c r="CH1986" s="882"/>
      <c r="CI1986" s="530"/>
    </row>
    <row r="1987">
      <c r="A1987" s="857"/>
      <c r="B1987" s="865" t="s">
        <v>683</v>
      </c>
      <c r="C1987" s="865" t="s">
        <v>591</v>
      </c>
      <c r="D1987" s="865" t="s">
        <v>620</v>
      </c>
      <c r="E1987" s="866">
        <v>2019.0</v>
      </c>
      <c r="F1987" s="865" t="s">
        <v>593</v>
      </c>
      <c r="G1987" s="865" t="s">
        <v>70</v>
      </c>
      <c r="H1987" s="867">
        <v>4154482.986</v>
      </c>
      <c r="I1987" s="867">
        <v>4553376.293</v>
      </c>
      <c r="J1987" s="868">
        <v>3774170.923</v>
      </c>
      <c r="K1987" s="50"/>
      <c r="L1987" s="869" t="s">
        <v>683</v>
      </c>
      <c r="M1987" s="865" t="s">
        <v>591</v>
      </c>
      <c r="N1987" s="865" t="s">
        <v>620</v>
      </c>
      <c r="O1987" s="866">
        <v>2004.0</v>
      </c>
      <c r="P1987" s="865" t="s">
        <v>593</v>
      </c>
      <c r="Q1987" s="865" t="s">
        <v>70</v>
      </c>
      <c r="R1987" s="867">
        <v>2458831.005</v>
      </c>
      <c r="S1987" s="867">
        <v>2611743.782</v>
      </c>
      <c r="T1987" s="868">
        <v>2297344.597</v>
      </c>
      <c r="AN1987" s="882"/>
      <c r="AO1987" s="882"/>
      <c r="AP1987" s="882"/>
      <c r="AY1987" s="882"/>
      <c r="AZ1987" s="882"/>
      <c r="BA1987" s="882"/>
      <c r="BJ1987" s="882"/>
      <c r="BK1987" s="882"/>
      <c r="BL1987" s="882"/>
      <c r="BU1987" s="882"/>
      <c r="BV1987" s="882"/>
      <c r="BW1987" s="882"/>
      <c r="CF1987" s="882"/>
      <c r="CG1987" s="882"/>
      <c r="CH1987" s="882"/>
      <c r="CI1987" s="530"/>
    </row>
    <row r="1988">
      <c r="A1988" s="857"/>
      <c r="B1988" s="865" t="s">
        <v>683</v>
      </c>
      <c r="C1988" s="865" t="s">
        <v>591</v>
      </c>
      <c r="D1988" s="865" t="s">
        <v>622</v>
      </c>
      <c r="E1988" s="866">
        <v>2019.0</v>
      </c>
      <c r="F1988" s="865" t="s">
        <v>593</v>
      </c>
      <c r="G1988" s="865" t="s">
        <v>70</v>
      </c>
      <c r="H1988" s="867">
        <v>4015275.754</v>
      </c>
      <c r="I1988" s="867">
        <v>4400910.308</v>
      </c>
      <c r="J1988" s="868">
        <v>3647681.799</v>
      </c>
      <c r="K1988" s="50"/>
      <c r="L1988" s="869" t="s">
        <v>683</v>
      </c>
      <c r="M1988" s="865" t="s">
        <v>591</v>
      </c>
      <c r="N1988" s="865" t="s">
        <v>622</v>
      </c>
      <c r="O1988" s="866">
        <v>2004.0</v>
      </c>
      <c r="P1988" s="865" t="s">
        <v>593</v>
      </c>
      <c r="Q1988" s="865" t="s">
        <v>70</v>
      </c>
      <c r="R1988" s="867">
        <v>2399864.372</v>
      </c>
      <c r="S1988" s="867">
        <v>2549132.084</v>
      </c>
      <c r="T1988" s="868">
        <v>2242225.829</v>
      </c>
      <c r="AN1988" s="882"/>
      <c r="AO1988" s="882"/>
      <c r="AP1988" s="882"/>
      <c r="AY1988" s="882"/>
      <c r="AZ1988" s="882"/>
      <c r="BA1988" s="882"/>
      <c r="BJ1988" s="882"/>
      <c r="BK1988" s="882"/>
      <c r="BL1988" s="882"/>
      <c r="BU1988" s="882"/>
      <c r="BV1988" s="882"/>
      <c r="BW1988" s="882"/>
      <c r="CF1988" s="882"/>
      <c r="CG1988" s="882"/>
      <c r="CH1988" s="882"/>
      <c r="CI1988" s="530"/>
    </row>
    <row r="1989">
      <c r="A1989" s="857"/>
      <c r="B1989" s="865" t="s">
        <v>683</v>
      </c>
      <c r="C1989" s="865" t="s">
        <v>591</v>
      </c>
      <c r="D1989" s="865" t="s">
        <v>624</v>
      </c>
      <c r="E1989" s="866">
        <v>2019.0</v>
      </c>
      <c r="F1989" s="865" t="s">
        <v>593</v>
      </c>
      <c r="G1989" s="865" t="s">
        <v>70</v>
      </c>
      <c r="H1989" s="867">
        <v>816018.0749</v>
      </c>
      <c r="I1989" s="867">
        <v>894368.1728</v>
      </c>
      <c r="J1989" s="868">
        <v>741317.6804</v>
      </c>
      <c r="K1989" s="50"/>
      <c r="L1989" s="869" t="s">
        <v>683</v>
      </c>
      <c r="M1989" s="865" t="s">
        <v>591</v>
      </c>
      <c r="N1989" s="865" t="s">
        <v>624</v>
      </c>
      <c r="O1989" s="866">
        <v>2004.0</v>
      </c>
      <c r="P1989" s="865" t="s">
        <v>593</v>
      </c>
      <c r="Q1989" s="865" t="s">
        <v>70</v>
      </c>
      <c r="R1989" s="867">
        <v>475127.9247</v>
      </c>
      <c r="S1989" s="867">
        <v>504675.7587</v>
      </c>
      <c r="T1989" s="868">
        <v>443923.3801</v>
      </c>
      <c r="AN1989" s="882"/>
      <c r="AO1989" s="882"/>
      <c r="AP1989" s="882"/>
      <c r="AY1989" s="882"/>
      <c r="AZ1989" s="882"/>
      <c r="BA1989" s="882"/>
      <c r="BJ1989" s="882"/>
      <c r="BK1989" s="882"/>
      <c r="BL1989" s="882"/>
      <c r="BU1989" s="882"/>
      <c r="BV1989" s="882"/>
      <c r="BW1989" s="882"/>
      <c r="CF1989" s="882"/>
      <c r="CG1989" s="882"/>
      <c r="CH1989" s="882"/>
      <c r="CI1989" s="530"/>
    </row>
    <row r="1990">
      <c r="A1990" s="857"/>
      <c r="B1990" s="865" t="s">
        <v>683</v>
      </c>
      <c r="C1990" s="865" t="s">
        <v>591</v>
      </c>
      <c r="D1990" s="865" t="s">
        <v>625</v>
      </c>
      <c r="E1990" s="866">
        <v>2019.0</v>
      </c>
      <c r="F1990" s="865" t="s">
        <v>593</v>
      </c>
      <c r="G1990" s="865" t="s">
        <v>70</v>
      </c>
      <c r="H1990" s="867">
        <v>3199262.707</v>
      </c>
      <c r="I1990" s="867">
        <v>3506440.396</v>
      </c>
      <c r="J1990" s="868">
        <v>2906393.966</v>
      </c>
      <c r="K1990" s="50"/>
      <c r="L1990" s="869" t="s">
        <v>683</v>
      </c>
      <c r="M1990" s="865" t="s">
        <v>591</v>
      </c>
      <c r="N1990" s="865" t="s">
        <v>625</v>
      </c>
      <c r="O1990" s="866">
        <v>2004.0</v>
      </c>
      <c r="P1990" s="865" t="s">
        <v>593</v>
      </c>
      <c r="Q1990" s="865" t="s">
        <v>70</v>
      </c>
      <c r="R1990" s="867">
        <v>1924740.082</v>
      </c>
      <c r="S1990" s="867">
        <v>2044438.162</v>
      </c>
      <c r="T1990" s="868">
        <v>1798330.678</v>
      </c>
      <c r="AN1990" s="882"/>
      <c r="AO1990" s="882"/>
      <c r="AP1990" s="882"/>
      <c r="AY1990" s="882"/>
      <c r="AZ1990" s="882"/>
      <c r="BA1990" s="882"/>
      <c r="BJ1990" s="882"/>
      <c r="BK1990" s="882"/>
      <c r="BL1990" s="882"/>
      <c r="BU1990" s="882"/>
      <c r="BV1990" s="882"/>
      <c r="BW1990" s="882"/>
      <c r="CF1990" s="882"/>
      <c r="CG1990" s="882"/>
      <c r="CH1990" s="882"/>
      <c r="CI1990" s="530"/>
    </row>
    <row r="1991">
      <c r="A1991" s="857"/>
      <c r="B1991" s="865" t="s">
        <v>683</v>
      </c>
      <c r="C1991" s="865" t="s">
        <v>591</v>
      </c>
      <c r="D1991" s="865" t="s">
        <v>627</v>
      </c>
      <c r="E1991" s="866">
        <v>2019.0</v>
      </c>
      <c r="F1991" s="865" t="s">
        <v>593</v>
      </c>
      <c r="G1991" s="865" t="s">
        <v>70</v>
      </c>
      <c r="H1991" s="867">
        <v>705187.6677</v>
      </c>
      <c r="I1991" s="867">
        <v>772896.3674</v>
      </c>
      <c r="J1991" s="868">
        <v>640632.9739</v>
      </c>
      <c r="K1991" s="50"/>
      <c r="L1991" s="869" t="s">
        <v>683</v>
      </c>
      <c r="M1991" s="865" t="s">
        <v>591</v>
      </c>
      <c r="N1991" s="865" t="s">
        <v>627</v>
      </c>
      <c r="O1991" s="866">
        <v>2004.0</v>
      </c>
      <c r="P1991" s="865" t="s">
        <v>593</v>
      </c>
      <c r="Q1991" s="865" t="s">
        <v>70</v>
      </c>
      <c r="R1991" s="867">
        <v>407193.4929</v>
      </c>
      <c r="S1991" s="867">
        <v>432516.5378</v>
      </c>
      <c r="T1991" s="868">
        <v>380450.6162</v>
      </c>
      <c r="AN1991" s="882"/>
      <c r="AO1991" s="882"/>
      <c r="AP1991" s="882"/>
      <c r="AY1991" s="882"/>
      <c r="AZ1991" s="882"/>
      <c r="BA1991" s="882"/>
      <c r="BJ1991" s="882"/>
      <c r="BK1991" s="882"/>
      <c r="BL1991" s="882"/>
      <c r="BU1991" s="882"/>
      <c r="BV1991" s="882"/>
      <c r="BW1991" s="882"/>
      <c r="CF1991" s="882"/>
      <c r="CG1991" s="882"/>
      <c r="CH1991" s="882"/>
      <c r="CI1991" s="530"/>
    </row>
    <row r="1992">
      <c r="A1992" s="857"/>
      <c r="B1992" s="865" t="s">
        <v>683</v>
      </c>
      <c r="C1992" s="865" t="s">
        <v>591</v>
      </c>
      <c r="D1992" s="865" t="s">
        <v>629</v>
      </c>
      <c r="E1992" s="866">
        <v>2019.0</v>
      </c>
      <c r="F1992" s="865" t="s">
        <v>593</v>
      </c>
      <c r="G1992" s="865" t="s">
        <v>70</v>
      </c>
      <c r="H1992" s="867">
        <v>2410365.631</v>
      </c>
      <c r="I1992" s="867">
        <v>2641861.631</v>
      </c>
      <c r="J1992" s="868">
        <v>2189699.383</v>
      </c>
      <c r="K1992" s="50"/>
      <c r="L1992" s="869" t="s">
        <v>683</v>
      </c>
      <c r="M1992" s="865" t="s">
        <v>591</v>
      </c>
      <c r="N1992" s="865" t="s">
        <v>629</v>
      </c>
      <c r="O1992" s="866">
        <v>2004.0</v>
      </c>
      <c r="P1992" s="865" t="s">
        <v>593</v>
      </c>
      <c r="Q1992" s="865" t="s">
        <v>70</v>
      </c>
      <c r="R1992" s="867">
        <v>1434649.121</v>
      </c>
      <c r="S1992" s="867">
        <v>1523881.993</v>
      </c>
      <c r="T1992" s="868">
        <v>1340412.129</v>
      </c>
      <c r="AN1992" s="882"/>
      <c r="AO1992" s="882"/>
      <c r="AP1992" s="882"/>
      <c r="AY1992" s="882"/>
      <c r="AZ1992" s="882"/>
      <c r="BA1992" s="882"/>
      <c r="BJ1992" s="882"/>
      <c r="BK1992" s="882"/>
      <c r="BL1992" s="882"/>
      <c r="BU1992" s="882"/>
      <c r="BV1992" s="882"/>
      <c r="BW1992" s="882"/>
      <c r="CF1992" s="882"/>
      <c r="CG1992" s="882"/>
      <c r="CH1992" s="882"/>
      <c r="CI1992" s="530"/>
    </row>
    <row r="1993">
      <c r="A1993" s="857"/>
      <c r="B1993" s="865" t="s">
        <v>683</v>
      </c>
      <c r="C1993" s="865" t="s">
        <v>591</v>
      </c>
      <c r="D1993" s="865" t="s">
        <v>631</v>
      </c>
      <c r="E1993" s="866">
        <v>2019.0</v>
      </c>
      <c r="F1993" s="865" t="s">
        <v>593</v>
      </c>
      <c r="G1993" s="865" t="s">
        <v>70</v>
      </c>
      <c r="H1993" s="867">
        <v>586854.9724</v>
      </c>
      <c r="I1993" s="867">
        <v>643201.9406</v>
      </c>
      <c r="J1993" s="868">
        <v>533132.758</v>
      </c>
      <c r="K1993" s="50"/>
      <c r="L1993" s="869" t="s">
        <v>683</v>
      </c>
      <c r="M1993" s="865" t="s">
        <v>591</v>
      </c>
      <c r="N1993" s="865" t="s">
        <v>631</v>
      </c>
      <c r="O1993" s="866">
        <v>2004.0</v>
      </c>
      <c r="P1993" s="865" t="s">
        <v>593</v>
      </c>
      <c r="Q1993" s="865" t="s">
        <v>70</v>
      </c>
      <c r="R1993" s="867">
        <v>341397.4476</v>
      </c>
      <c r="S1993" s="867">
        <v>362628.6878</v>
      </c>
      <c r="T1993" s="868">
        <v>318975.7979</v>
      </c>
      <c r="AN1993" s="882"/>
      <c r="AO1993" s="882"/>
      <c r="AP1993" s="882"/>
      <c r="AY1993" s="882"/>
      <c r="AZ1993" s="882"/>
      <c r="BA1993" s="882"/>
      <c r="BJ1993" s="882"/>
      <c r="BK1993" s="882"/>
      <c r="BL1993" s="882"/>
      <c r="BU1993" s="882"/>
      <c r="BV1993" s="882"/>
      <c r="BW1993" s="882"/>
      <c r="CF1993" s="882"/>
      <c r="CG1993" s="882"/>
      <c r="CH1993" s="882"/>
      <c r="CI1993" s="530"/>
    </row>
    <row r="1994">
      <c r="A1994" s="857"/>
      <c r="B1994" s="865" t="s">
        <v>683</v>
      </c>
      <c r="C1994" s="865" t="s">
        <v>591</v>
      </c>
      <c r="D1994" s="865" t="s">
        <v>633</v>
      </c>
      <c r="E1994" s="866">
        <v>2019.0</v>
      </c>
      <c r="F1994" s="865" t="s">
        <v>593</v>
      </c>
      <c r="G1994" s="865" t="s">
        <v>70</v>
      </c>
      <c r="H1994" s="867">
        <v>460159.2029</v>
      </c>
      <c r="I1994" s="867">
        <v>504341.4578</v>
      </c>
      <c r="J1994" s="868">
        <v>418035.0453</v>
      </c>
      <c r="K1994" s="50"/>
      <c r="L1994" s="869" t="s">
        <v>683</v>
      </c>
      <c r="M1994" s="865" t="s">
        <v>591</v>
      </c>
      <c r="N1994" s="865" t="s">
        <v>633</v>
      </c>
      <c r="O1994" s="866">
        <v>2004.0</v>
      </c>
      <c r="P1994" s="865" t="s">
        <v>593</v>
      </c>
      <c r="Q1994" s="865" t="s">
        <v>70</v>
      </c>
      <c r="R1994" s="867">
        <v>286654.5045</v>
      </c>
      <c r="S1994" s="867">
        <v>304481.324</v>
      </c>
      <c r="T1994" s="868">
        <v>267828.1573</v>
      </c>
      <c r="AN1994" s="882"/>
      <c r="AO1994" s="882"/>
      <c r="AP1994" s="882"/>
      <c r="AY1994" s="882"/>
      <c r="AZ1994" s="882"/>
      <c r="BA1994" s="882"/>
      <c r="BJ1994" s="882"/>
      <c r="BK1994" s="882"/>
      <c r="BL1994" s="882"/>
      <c r="BU1994" s="882"/>
      <c r="BV1994" s="882"/>
      <c r="BW1994" s="882"/>
      <c r="CF1994" s="882"/>
      <c r="CG1994" s="882"/>
      <c r="CH1994" s="882"/>
      <c r="CI1994" s="530"/>
    </row>
    <row r="1995">
      <c r="A1995" s="857"/>
      <c r="B1995" s="865" t="s">
        <v>683</v>
      </c>
      <c r="C1995" s="865" t="s">
        <v>591</v>
      </c>
      <c r="D1995" s="865" t="s">
        <v>635</v>
      </c>
      <c r="E1995" s="866">
        <v>2019.0</v>
      </c>
      <c r="F1995" s="865" t="s">
        <v>593</v>
      </c>
      <c r="G1995" s="865" t="s">
        <v>70</v>
      </c>
      <c r="H1995" s="867">
        <v>370720.7926</v>
      </c>
      <c r="I1995" s="867">
        <v>406315.6051</v>
      </c>
      <c r="J1995" s="868">
        <v>336784.0573</v>
      </c>
      <c r="K1995" s="50"/>
      <c r="L1995" s="869" t="s">
        <v>683</v>
      </c>
      <c r="M1995" s="865" t="s">
        <v>591</v>
      </c>
      <c r="N1995" s="865" t="s">
        <v>635</v>
      </c>
      <c r="O1995" s="866">
        <v>2004.0</v>
      </c>
      <c r="P1995" s="865" t="s">
        <v>593</v>
      </c>
      <c r="Q1995" s="865" t="s">
        <v>70</v>
      </c>
      <c r="R1995" s="867">
        <v>229559.4188</v>
      </c>
      <c r="S1995" s="867">
        <v>243835.5396</v>
      </c>
      <c r="T1995" s="868">
        <v>214482.8537</v>
      </c>
      <c r="AN1995" s="882"/>
      <c r="AO1995" s="882"/>
      <c r="AP1995" s="882"/>
      <c r="AY1995" s="882"/>
      <c r="AZ1995" s="882"/>
      <c r="BA1995" s="882"/>
      <c r="BJ1995" s="882"/>
      <c r="BK1995" s="882"/>
      <c r="BL1995" s="882"/>
      <c r="BU1995" s="882"/>
      <c r="BV1995" s="882"/>
      <c r="BW1995" s="882"/>
      <c r="CF1995" s="882"/>
      <c r="CG1995" s="882"/>
      <c r="CH1995" s="882"/>
      <c r="CI1995" s="530"/>
    </row>
    <row r="1996">
      <c r="A1996" s="857"/>
      <c r="B1996" s="865" t="s">
        <v>683</v>
      </c>
      <c r="C1996" s="865" t="s">
        <v>591</v>
      </c>
      <c r="D1996" s="865" t="s">
        <v>637</v>
      </c>
      <c r="E1996" s="866">
        <v>2019.0</v>
      </c>
      <c r="F1996" s="865" t="s">
        <v>593</v>
      </c>
      <c r="G1996" s="865" t="s">
        <v>70</v>
      </c>
      <c r="H1996" s="867">
        <v>287446.014</v>
      </c>
      <c r="I1996" s="867">
        <v>315045.1861</v>
      </c>
      <c r="J1996" s="868">
        <v>261132.4662</v>
      </c>
      <c r="K1996" s="50"/>
      <c r="L1996" s="869" t="s">
        <v>683</v>
      </c>
      <c r="M1996" s="865" t="s">
        <v>591</v>
      </c>
      <c r="N1996" s="865" t="s">
        <v>637</v>
      </c>
      <c r="O1996" s="866">
        <v>2004.0</v>
      </c>
      <c r="P1996" s="865" t="s">
        <v>593</v>
      </c>
      <c r="Q1996" s="865" t="s">
        <v>70</v>
      </c>
      <c r="R1996" s="867">
        <v>169846.4294</v>
      </c>
      <c r="S1996" s="867">
        <v>180409.046</v>
      </c>
      <c r="T1996" s="868">
        <v>158691.5799</v>
      </c>
      <c r="AN1996" s="882"/>
      <c r="AO1996" s="882"/>
      <c r="AP1996" s="882"/>
      <c r="AY1996" s="882"/>
      <c r="AZ1996" s="882"/>
      <c r="BA1996" s="882"/>
      <c r="BJ1996" s="882"/>
      <c r="BK1996" s="882"/>
      <c r="BL1996" s="882"/>
      <c r="BU1996" s="882"/>
      <c r="BV1996" s="882"/>
      <c r="BW1996" s="882"/>
      <c r="CF1996" s="882"/>
      <c r="CG1996" s="882"/>
      <c r="CH1996" s="882"/>
      <c r="CI1996" s="530"/>
    </row>
    <row r="1997">
      <c r="A1997" s="857"/>
      <c r="B1997" s="865" t="s">
        <v>683</v>
      </c>
      <c r="C1997" s="865" t="s">
        <v>591</v>
      </c>
      <c r="D1997" s="865" t="s">
        <v>639</v>
      </c>
      <c r="E1997" s="866">
        <v>2019.0</v>
      </c>
      <c r="F1997" s="865" t="s">
        <v>593</v>
      </c>
      <c r="G1997" s="865" t="s">
        <v>70</v>
      </c>
      <c r="H1997" s="867">
        <v>3039812.801</v>
      </c>
      <c r="I1997" s="867">
        <v>3331762.079</v>
      </c>
      <c r="J1997" s="868">
        <v>2761521.377</v>
      </c>
      <c r="K1997" s="50"/>
      <c r="L1997" s="869" t="s">
        <v>683</v>
      </c>
      <c r="M1997" s="865" t="s">
        <v>591</v>
      </c>
      <c r="N1997" s="865" t="s">
        <v>639</v>
      </c>
      <c r="O1997" s="866">
        <v>2004.0</v>
      </c>
      <c r="P1997" s="865" t="s">
        <v>593</v>
      </c>
      <c r="Q1997" s="865" t="s">
        <v>70</v>
      </c>
      <c r="R1997" s="867">
        <v>1944217.533</v>
      </c>
      <c r="S1997" s="867">
        <v>2065144.743</v>
      </c>
      <c r="T1997" s="868">
        <v>1816508.808</v>
      </c>
      <c r="AN1997" s="882"/>
      <c r="AO1997" s="882"/>
      <c r="AP1997" s="882"/>
      <c r="AY1997" s="882"/>
      <c r="AZ1997" s="882"/>
      <c r="BA1997" s="882"/>
      <c r="BJ1997" s="882"/>
      <c r="BK1997" s="882"/>
      <c r="BL1997" s="882"/>
      <c r="BU1997" s="882"/>
      <c r="BV1997" s="882"/>
      <c r="BW1997" s="882"/>
      <c r="CF1997" s="882"/>
      <c r="CG1997" s="882"/>
      <c r="CH1997" s="882"/>
      <c r="CI1997" s="530"/>
    </row>
    <row r="1998">
      <c r="A1998" s="857"/>
      <c r="B1998" s="865" t="s">
        <v>683</v>
      </c>
      <c r="C1998" s="865" t="s">
        <v>591</v>
      </c>
      <c r="D1998" s="865" t="s">
        <v>641</v>
      </c>
      <c r="E1998" s="866">
        <v>2019.0</v>
      </c>
      <c r="F1998" s="865" t="s">
        <v>593</v>
      </c>
      <c r="G1998" s="865" t="s">
        <v>70</v>
      </c>
      <c r="H1998" s="867">
        <v>1105995.877</v>
      </c>
      <c r="I1998" s="867">
        <v>1212188.238</v>
      </c>
      <c r="J1998" s="868">
        <v>1004750.169</v>
      </c>
      <c r="K1998" s="50"/>
      <c r="L1998" s="869" t="s">
        <v>683</v>
      </c>
      <c r="M1998" s="865" t="s">
        <v>591</v>
      </c>
      <c r="N1998" s="865" t="s">
        <v>641</v>
      </c>
      <c r="O1998" s="866">
        <v>2004.0</v>
      </c>
      <c r="P1998" s="865" t="s">
        <v>593</v>
      </c>
      <c r="Q1998" s="865" t="s">
        <v>70</v>
      </c>
      <c r="R1998" s="867">
        <v>752066.279</v>
      </c>
      <c r="S1998" s="867">
        <v>798836.6927</v>
      </c>
      <c r="T1998" s="868">
        <v>702673.506</v>
      </c>
      <c r="AN1998" s="882"/>
      <c r="AO1998" s="882"/>
      <c r="AP1998" s="882"/>
      <c r="AY1998" s="882"/>
      <c r="AZ1998" s="882"/>
      <c r="BA1998" s="882"/>
      <c r="BJ1998" s="882"/>
      <c r="BK1998" s="882"/>
      <c r="BL1998" s="882"/>
      <c r="BU1998" s="882"/>
      <c r="BV1998" s="882"/>
      <c r="BW1998" s="882"/>
      <c r="CF1998" s="882"/>
      <c r="CG1998" s="882"/>
      <c r="CH1998" s="882"/>
      <c r="CI1998" s="530"/>
    </row>
    <row r="1999">
      <c r="A1999" s="857"/>
      <c r="B1999" s="865" t="s">
        <v>683</v>
      </c>
      <c r="C1999" s="865" t="s">
        <v>591</v>
      </c>
      <c r="D1999" s="865" t="s">
        <v>643</v>
      </c>
      <c r="E1999" s="866">
        <v>2019.0</v>
      </c>
      <c r="F1999" s="865" t="s">
        <v>593</v>
      </c>
      <c r="G1999" s="865" t="s">
        <v>70</v>
      </c>
      <c r="H1999" s="867">
        <v>222124.2415</v>
      </c>
      <c r="I1999" s="867">
        <v>243451.5338</v>
      </c>
      <c r="J1999" s="868">
        <v>201790.4168</v>
      </c>
      <c r="K1999" s="50"/>
      <c r="L1999" s="869" t="s">
        <v>683</v>
      </c>
      <c r="M1999" s="865" t="s">
        <v>591</v>
      </c>
      <c r="N1999" s="865" t="s">
        <v>643</v>
      </c>
      <c r="O1999" s="866">
        <v>2004.0</v>
      </c>
      <c r="P1999" s="865" t="s">
        <v>593</v>
      </c>
      <c r="Q1999" s="865" t="s">
        <v>70</v>
      </c>
      <c r="R1999" s="867">
        <v>127558.1686</v>
      </c>
      <c r="S1999" s="867">
        <v>135490.9113</v>
      </c>
      <c r="T1999" s="868">
        <v>119180.6468</v>
      </c>
      <c r="AN1999" s="882"/>
      <c r="AO1999" s="882"/>
      <c r="AP1999" s="882"/>
      <c r="AY1999" s="882"/>
      <c r="AZ1999" s="882"/>
      <c r="BA1999" s="882"/>
      <c r="BJ1999" s="882"/>
      <c r="BK1999" s="882"/>
      <c r="BL1999" s="882"/>
      <c r="BU1999" s="882"/>
      <c r="BV1999" s="882"/>
      <c r="BW1999" s="882"/>
      <c r="CF1999" s="882"/>
      <c r="CG1999" s="882"/>
      <c r="CH1999" s="882"/>
      <c r="CI1999" s="530"/>
    </row>
    <row r="2000">
      <c r="A2000" s="857"/>
      <c r="B2000" s="865" t="s">
        <v>683</v>
      </c>
      <c r="C2000" s="865" t="s">
        <v>591</v>
      </c>
      <c r="D2000" s="865" t="s">
        <v>645</v>
      </c>
      <c r="E2000" s="866">
        <v>2019.0</v>
      </c>
      <c r="F2000" s="865" t="s">
        <v>593</v>
      </c>
      <c r="G2000" s="865" t="s">
        <v>70</v>
      </c>
      <c r="H2000" s="867">
        <v>623615.9507</v>
      </c>
      <c r="I2000" s="867">
        <v>683492.5298</v>
      </c>
      <c r="J2000" s="868">
        <v>566528.5418</v>
      </c>
      <c r="K2000" s="50"/>
      <c r="L2000" s="869" t="s">
        <v>683</v>
      </c>
      <c r="M2000" s="865" t="s">
        <v>591</v>
      </c>
      <c r="N2000" s="865" t="s">
        <v>645</v>
      </c>
      <c r="O2000" s="866">
        <v>2004.0</v>
      </c>
      <c r="P2000" s="865" t="s">
        <v>593</v>
      </c>
      <c r="Q2000" s="865" t="s">
        <v>70</v>
      </c>
      <c r="R2000" s="867">
        <v>372458.0173</v>
      </c>
      <c r="S2000" s="867">
        <v>395620.8901</v>
      </c>
      <c r="T2000" s="868">
        <v>347996.4309</v>
      </c>
      <c r="AN2000" s="882"/>
      <c r="AO2000" s="882"/>
      <c r="AP2000" s="882"/>
      <c r="AY2000" s="882"/>
      <c r="AZ2000" s="882"/>
      <c r="BA2000" s="882"/>
      <c r="BJ2000" s="882"/>
      <c r="BK2000" s="882"/>
      <c r="BL2000" s="882"/>
      <c r="BU2000" s="882"/>
      <c r="BV2000" s="882"/>
      <c r="BW2000" s="882"/>
      <c r="CF2000" s="882"/>
      <c r="CG2000" s="882"/>
      <c r="CH2000" s="882"/>
      <c r="CI2000" s="530"/>
    </row>
    <row r="2001">
      <c r="A2001" s="857"/>
      <c r="B2001" s="865" t="s">
        <v>683</v>
      </c>
      <c r="C2001" s="865" t="s">
        <v>591</v>
      </c>
      <c r="D2001" s="865" t="s">
        <v>604</v>
      </c>
      <c r="E2001" s="866">
        <v>2019.0</v>
      </c>
      <c r="F2001" s="865" t="s">
        <v>593</v>
      </c>
      <c r="G2001" s="865" t="s">
        <v>70</v>
      </c>
      <c r="H2001" s="867">
        <v>2111720.346</v>
      </c>
      <c r="I2001" s="867">
        <v>2314477.492</v>
      </c>
      <c r="J2001" s="868">
        <v>1918408.032</v>
      </c>
      <c r="K2001" s="50"/>
      <c r="L2001" s="869" t="s">
        <v>683</v>
      </c>
      <c r="M2001" s="865" t="s">
        <v>591</v>
      </c>
      <c r="N2001" s="865" t="s">
        <v>604</v>
      </c>
      <c r="O2001" s="866">
        <v>2004.0</v>
      </c>
      <c r="P2001" s="865" t="s">
        <v>593</v>
      </c>
      <c r="Q2001" s="865" t="s">
        <v>70</v>
      </c>
      <c r="R2001" s="867">
        <v>1395168.69</v>
      </c>
      <c r="S2001" s="867">
        <v>1481933.14</v>
      </c>
      <c r="T2001" s="868">
        <v>1303539.465</v>
      </c>
      <c r="AN2001" s="882"/>
      <c r="AO2001" s="882"/>
      <c r="AP2001" s="882"/>
      <c r="AY2001" s="882"/>
      <c r="AZ2001" s="882"/>
      <c r="BA2001" s="882"/>
      <c r="BJ2001" s="882"/>
      <c r="BK2001" s="882"/>
      <c r="BL2001" s="882"/>
      <c r="BU2001" s="882"/>
      <c r="BV2001" s="882"/>
      <c r="BW2001" s="882"/>
      <c r="CF2001" s="882"/>
      <c r="CG2001" s="882"/>
      <c r="CH2001" s="882"/>
      <c r="CI2001" s="530"/>
    </row>
    <row r="2002">
      <c r="A2002" s="857"/>
      <c r="B2002" s="865" t="s">
        <v>683</v>
      </c>
      <c r="C2002" s="865" t="s">
        <v>591</v>
      </c>
      <c r="D2002" s="865" t="s">
        <v>647</v>
      </c>
      <c r="E2002" s="866">
        <v>2019.0</v>
      </c>
      <c r="F2002" s="865" t="s">
        <v>593</v>
      </c>
      <c r="G2002" s="865" t="s">
        <v>70</v>
      </c>
      <c r="H2002" s="867">
        <v>566769.1064</v>
      </c>
      <c r="I2002" s="867">
        <v>621202.6658</v>
      </c>
      <c r="J2002" s="868">
        <v>514882.0356</v>
      </c>
      <c r="K2002" s="50"/>
      <c r="L2002" s="869" t="s">
        <v>683</v>
      </c>
      <c r="M2002" s="865" t="s">
        <v>591</v>
      </c>
      <c r="N2002" s="865" t="s">
        <v>647</v>
      </c>
      <c r="O2002" s="866">
        <v>2004.0</v>
      </c>
      <c r="P2002" s="865" t="s">
        <v>593</v>
      </c>
      <c r="Q2002" s="865" t="s">
        <v>70</v>
      </c>
      <c r="R2002" s="867">
        <v>362530.071</v>
      </c>
      <c r="S2002" s="867">
        <v>385078.8595</v>
      </c>
      <c r="T2002" s="868">
        <v>338716.7618</v>
      </c>
      <c r="AN2002" s="882"/>
      <c r="AO2002" s="882"/>
      <c r="AP2002" s="882"/>
      <c r="AY2002" s="882"/>
      <c r="AZ2002" s="882"/>
      <c r="BA2002" s="882"/>
      <c r="BJ2002" s="882"/>
      <c r="BK2002" s="882"/>
      <c r="BL2002" s="882"/>
      <c r="BU2002" s="882"/>
      <c r="BV2002" s="882"/>
      <c r="BW2002" s="882"/>
      <c r="CF2002" s="882"/>
      <c r="CG2002" s="882"/>
      <c r="CH2002" s="882"/>
      <c r="CI2002" s="530"/>
    </row>
    <row r="2003">
      <c r="A2003" s="857"/>
      <c r="B2003" s="865" t="s">
        <v>683</v>
      </c>
      <c r="C2003" s="865" t="s">
        <v>591</v>
      </c>
      <c r="D2003" s="865" t="s">
        <v>649</v>
      </c>
      <c r="E2003" s="866">
        <v>2019.0</v>
      </c>
      <c r="F2003" s="865" t="s">
        <v>593</v>
      </c>
      <c r="G2003" s="865" t="s">
        <v>70</v>
      </c>
      <c r="H2003" s="867">
        <v>171347.8361</v>
      </c>
      <c r="I2003" s="867">
        <v>187799.8243</v>
      </c>
      <c r="J2003" s="868">
        <v>155662.2143</v>
      </c>
      <c r="K2003" s="50"/>
      <c r="L2003" s="869" t="s">
        <v>683</v>
      </c>
      <c r="M2003" s="865" t="s">
        <v>591</v>
      </c>
      <c r="N2003" s="865" t="s">
        <v>649</v>
      </c>
      <c r="O2003" s="866">
        <v>2004.0</v>
      </c>
      <c r="P2003" s="865" t="s">
        <v>593</v>
      </c>
      <c r="Q2003" s="865" t="s">
        <v>70</v>
      </c>
      <c r="R2003" s="867">
        <v>98564.64639</v>
      </c>
      <c r="S2003" s="867">
        <v>104694.3047</v>
      </c>
      <c r="T2003" s="868">
        <v>92091.30576</v>
      </c>
      <c r="AN2003" s="882"/>
      <c r="AO2003" s="882"/>
      <c r="AP2003" s="882"/>
      <c r="AY2003" s="882"/>
      <c r="AZ2003" s="882"/>
      <c r="BA2003" s="882"/>
      <c r="BJ2003" s="882"/>
      <c r="BK2003" s="882"/>
      <c r="BL2003" s="882"/>
      <c r="BU2003" s="882"/>
      <c r="BV2003" s="882"/>
      <c r="BW2003" s="882"/>
      <c r="CF2003" s="882"/>
      <c r="CG2003" s="882"/>
      <c r="CH2003" s="882"/>
      <c r="CI2003" s="530"/>
    </row>
    <row r="2004">
      <c r="A2004" s="857"/>
      <c r="B2004" s="865" t="s">
        <v>683</v>
      </c>
      <c r="C2004" s="865" t="s">
        <v>591</v>
      </c>
      <c r="D2004" s="865" t="s">
        <v>651</v>
      </c>
      <c r="E2004" s="866">
        <v>2019.0</v>
      </c>
      <c r="F2004" s="865" t="s">
        <v>593</v>
      </c>
      <c r="G2004" s="865" t="s">
        <v>70</v>
      </c>
      <c r="H2004" s="867">
        <v>131204.0857</v>
      </c>
      <c r="I2004" s="867">
        <v>143801.6657</v>
      </c>
      <c r="J2004" s="868">
        <v>119193.3261</v>
      </c>
      <c r="K2004" s="50"/>
      <c r="L2004" s="869" t="s">
        <v>683</v>
      </c>
      <c r="M2004" s="865" t="s">
        <v>591</v>
      </c>
      <c r="N2004" s="865" t="s">
        <v>651</v>
      </c>
      <c r="O2004" s="866">
        <v>2004.0</v>
      </c>
      <c r="P2004" s="865" t="s">
        <v>593</v>
      </c>
      <c r="Q2004" s="865" t="s">
        <v>70</v>
      </c>
      <c r="R2004" s="867">
        <v>81255.55257</v>
      </c>
      <c r="S2004" s="867">
        <v>86308.77184</v>
      </c>
      <c r="T2004" s="868">
        <v>75919.00555</v>
      </c>
      <c r="AN2004" s="882"/>
      <c r="AO2004" s="882"/>
      <c r="AP2004" s="882"/>
      <c r="AY2004" s="882"/>
      <c r="AZ2004" s="882"/>
      <c r="BA2004" s="882"/>
      <c r="BJ2004" s="882"/>
      <c r="BK2004" s="882"/>
      <c r="BL2004" s="882"/>
      <c r="BU2004" s="882"/>
      <c r="BV2004" s="882"/>
      <c r="BW2004" s="882"/>
      <c r="CF2004" s="882"/>
      <c r="CG2004" s="882"/>
      <c r="CH2004" s="882"/>
      <c r="CI2004" s="530"/>
    </row>
    <row r="2005">
      <c r="A2005" s="857"/>
      <c r="B2005" s="865" t="s">
        <v>683</v>
      </c>
      <c r="C2005" s="865" t="s">
        <v>591</v>
      </c>
      <c r="D2005" s="865" t="s">
        <v>653</v>
      </c>
      <c r="E2005" s="866">
        <v>2019.0</v>
      </c>
      <c r="F2005" s="865" t="s">
        <v>593</v>
      </c>
      <c r="G2005" s="865" t="s">
        <v>70</v>
      </c>
      <c r="H2005" s="867">
        <v>98939.78747</v>
      </c>
      <c r="I2005" s="867">
        <v>108439.506</v>
      </c>
      <c r="J2005" s="868">
        <v>89882.58472</v>
      </c>
      <c r="K2005" s="50"/>
      <c r="L2005" s="869" t="s">
        <v>683</v>
      </c>
      <c r="M2005" s="865" t="s">
        <v>591</v>
      </c>
      <c r="N2005" s="865" t="s">
        <v>653</v>
      </c>
      <c r="O2005" s="866">
        <v>2004.0</v>
      </c>
      <c r="P2005" s="865" t="s">
        <v>593</v>
      </c>
      <c r="Q2005" s="865" t="s">
        <v>70</v>
      </c>
      <c r="R2005" s="867">
        <v>65079.64975</v>
      </c>
      <c r="S2005" s="867">
        <v>69126.90227</v>
      </c>
      <c r="T2005" s="868">
        <v>60805.47279</v>
      </c>
      <c r="AN2005" s="882"/>
      <c r="AO2005" s="882"/>
      <c r="AP2005" s="882"/>
      <c r="AY2005" s="882"/>
      <c r="AZ2005" s="882"/>
      <c r="BA2005" s="882"/>
      <c r="BJ2005" s="882"/>
      <c r="BK2005" s="882"/>
      <c r="BL2005" s="882"/>
      <c r="BU2005" s="882"/>
      <c r="BV2005" s="882"/>
      <c r="BW2005" s="882"/>
      <c r="CF2005" s="882"/>
      <c r="CG2005" s="882"/>
      <c r="CH2005" s="882"/>
      <c r="CI2005" s="530"/>
    </row>
    <row r="2006">
      <c r="A2006" s="857"/>
      <c r="B2006" s="865" t="s">
        <v>683</v>
      </c>
      <c r="C2006" s="865" t="s">
        <v>591</v>
      </c>
      <c r="D2006" s="865" t="s">
        <v>655</v>
      </c>
      <c r="E2006" s="866">
        <v>2019.0</v>
      </c>
      <c r="F2006" s="865" t="s">
        <v>593</v>
      </c>
      <c r="G2006" s="865" t="s">
        <v>70</v>
      </c>
      <c r="H2006" s="867">
        <v>170991.4511</v>
      </c>
      <c r="I2006" s="867">
        <v>187413.7882</v>
      </c>
      <c r="J2006" s="868">
        <v>155337.3771</v>
      </c>
      <c r="K2006" s="50"/>
      <c r="L2006" s="869" t="s">
        <v>683</v>
      </c>
      <c r="M2006" s="865" t="s">
        <v>591</v>
      </c>
      <c r="N2006" s="865" t="s">
        <v>655</v>
      </c>
      <c r="O2006" s="866">
        <v>2004.0</v>
      </c>
      <c r="P2006" s="865" t="s">
        <v>593</v>
      </c>
      <c r="Q2006" s="865" t="s">
        <v>70</v>
      </c>
      <c r="R2006" s="867">
        <v>115189.4588</v>
      </c>
      <c r="S2006" s="867">
        <v>122354.0583</v>
      </c>
      <c r="T2006" s="868">
        <v>107623.0735</v>
      </c>
      <c r="AN2006" s="882"/>
      <c r="AO2006" s="882"/>
      <c r="AP2006" s="882"/>
      <c r="AY2006" s="882"/>
      <c r="AZ2006" s="882"/>
      <c r="BA2006" s="882"/>
      <c r="BJ2006" s="882"/>
      <c r="BK2006" s="882"/>
      <c r="BL2006" s="882"/>
      <c r="BU2006" s="882"/>
      <c r="BV2006" s="882"/>
      <c r="BW2006" s="882"/>
      <c r="CF2006" s="882"/>
      <c r="CG2006" s="882"/>
      <c r="CH2006" s="882"/>
      <c r="CI2006" s="530"/>
    </row>
    <row r="2007">
      <c r="A2007" s="857"/>
      <c r="B2007" s="865" t="s">
        <v>683</v>
      </c>
      <c r="C2007" s="865" t="s">
        <v>591</v>
      </c>
      <c r="D2007" s="865" t="s">
        <v>657</v>
      </c>
      <c r="E2007" s="866">
        <v>2019.0</v>
      </c>
      <c r="F2007" s="865" t="s">
        <v>593</v>
      </c>
      <c r="G2007" s="865" t="s">
        <v>70</v>
      </c>
      <c r="H2007" s="867">
        <v>72051.87774</v>
      </c>
      <c r="I2007" s="867">
        <v>78969.94959</v>
      </c>
      <c r="J2007" s="868">
        <v>65456.06344</v>
      </c>
      <c r="K2007" s="50"/>
      <c r="L2007" s="869" t="s">
        <v>683</v>
      </c>
      <c r="M2007" s="865" t="s">
        <v>591</v>
      </c>
      <c r="N2007" s="865" t="s">
        <v>657</v>
      </c>
      <c r="O2007" s="866">
        <v>2004.0</v>
      </c>
      <c r="P2007" s="865" t="s">
        <v>593</v>
      </c>
      <c r="Q2007" s="865" t="s">
        <v>70</v>
      </c>
      <c r="R2007" s="867">
        <v>50109.98351</v>
      </c>
      <c r="S2007" s="867">
        <v>53226.2842</v>
      </c>
      <c r="T2007" s="868">
        <v>46818.95571</v>
      </c>
      <c r="AN2007" s="882"/>
      <c r="AO2007" s="882"/>
      <c r="AP2007" s="882"/>
      <c r="AY2007" s="882"/>
      <c r="AZ2007" s="882"/>
      <c r="BA2007" s="882"/>
      <c r="BJ2007" s="882"/>
      <c r="BK2007" s="882"/>
      <c r="BL2007" s="882"/>
      <c r="BU2007" s="882"/>
      <c r="BV2007" s="882"/>
      <c r="BW2007" s="882"/>
      <c r="CF2007" s="882"/>
      <c r="CG2007" s="882"/>
      <c r="CH2007" s="882"/>
      <c r="CI2007" s="530"/>
    </row>
    <row r="2008">
      <c r="A2008" s="857"/>
      <c r="B2008" s="865" t="s">
        <v>683</v>
      </c>
      <c r="C2008" s="865" t="s">
        <v>591</v>
      </c>
      <c r="D2008" s="865" t="s">
        <v>659</v>
      </c>
      <c r="E2008" s="866">
        <v>2019.0</v>
      </c>
      <c r="F2008" s="865" t="s">
        <v>593</v>
      </c>
      <c r="G2008" s="865" t="s">
        <v>70</v>
      </c>
      <c r="H2008" s="867">
        <v>165278.1068</v>
      </c>
      <c r="I2008" s="867">
        <v>181147.3091</v>
      </c>
      <c r="J2008" s="868">
        <v>150148.1236</v>
      </c>
      <c r="K2008" s="50"/>
      <c r="L2008" s="869" t="s">
        <v>683</v>
      </c>
      <c r="M2008" s="865" t="s">
        <v>591</v>
      </c>
      <c r="N2008" s="865" t="s">
        <v>659</v>
      </c>
      <c r="O2008" s="866">
        <v>2004.0</v>
      </c>
      <c r="P2008" s="865" t="s">
        <v>593</v>
      </c>
      <c r="Q2008" s="865" t="s">
        <v>70</v>
      </c>
      <c r="R2008" s="867">
        <v>117630.7713</v>
      </c>
      <c r="S2008" s="867">
        <v>124946.137</v>
      </c>
      <c r="T2008" s="868">
        <v>109905.2422</v>
      </c>
      <c r="AN2008" s="882"/>
      <c r="AO2008" s="882"/>
      <c r="AP2008" s="882"/>
      <c r="AY2008" s="882"/>
      <c r="AZ2008" s="882"/>
      <c r="BA2008" s="882"/>
      <c r="BJ2008" s="882"/>
      <c r="BK2008" s="882"/>
      <c r="BL2008" s="882"/>
      <c r="BU2008" s="882"/>
      <c r="BV2008" s="882"/>
      <c r="BW2008" s="882"/>
      <c r="CF2008" s="882"/>
      <c r="CG2008" s="882"/>
      <c r="CH2008" s="882"/>
      <c r="CI2008" s="530"/>
    </row>
    <row r="2009">
      <c r="A2009" s="857"/>
      <c r="B2009" s="865" t="s">
        <v>683</v>
      </c>
      <c r="C2009" s="865" t="s">
        <v>591</v>
      </c>
      <c r="D2009" s="865" t="s">
        <v>661</v>
      </c>
      <c r="E2009" s="866">
        <v>2019.0</v>
      </c>
      <c r="F2009" s="865" t="s">
        <v>593</v>
      </c>
      <c r="G2009" s="865" t="s">
        <v>70</v>
      </c>
      <c r="H2009" s="867">
        <v>93226.11236</v>
      </c>
      <c r="I2009" s="867">
        <v>102179.7216</v>
      </c>
      <c r="J2009" s="868">
        <v>84691.3672</v>
      </c>
      <c r="K2009" s="50"/>
      <c r="L2009" s="869" t="s">
        <v>683</v>
      </c>
      <c r="M2009" s="865" t="s">
        <v>591</v>
      </c>
      <c r="N2009" s="865" t="s">
        <v>661</v>
      </c>
      <c r="O2009" s="866">
        <v>2004.0</v>
      </c>
      <c r="P2009" s="865" t="s">
        <v>593</v>
      </c>
      <c r="Q2009" s="865" t="s">
        <v>70</v>
      </c>
      <c r="R2009" s="867">
        <v>67520.68557</v>
      </c>
      <c r="S2009" s="867">
        <v>71720.36382</v>
      </c>
      <c r="T2009" s="868">
        <v>63085.49221</v>
      </c>
      <c r="AN2009" s="882"/>
      <c r="AO2009" s="882"/>
      <c r="AP2009" s="882"/>
      <c r="AY2009" s="882"/>
      <c r="AZ2009" s="882"/>
      <c r="BA2009" s="882"/>
      <c r="BJ2009" s="882"/>
      <c r="BK2009" s="882"/>
      <c r="BL2009" s="882"/>
      <c r="BU2009" s="882"/>
      <c r="BV2009" s="882"/>
      <c r="BW2009" s="882"/>
      <c r="CF2009" s="882"/>
      <c r="CG2009" s="882"/>
      <c r="CH2009" s="882"/>
      <c r="CI2009" s="530"/>
    </row>
    <row r="2010">
      <c r="A2010" s="857"/>
      <c r="B2010" s="865" t="s">
        <v>683</v>
      </c>
      <c r="C2010" s="865" t="s">
        <v>591</v>
      </c>
      <c r="D2010" s="865" t="s">
        <v>663</v>
      </c>
      <c r="E2010" s="866">
        <v>2019.0</v>
      </c>
      <c r="F2010" s="865" t="s">
        <v>593</v>
      </c>
      <c r="G2010" s="865" t="s">
        <v>70</v>
      </c>
      <c r="H2010" s="867">
        <v>50465.91993</v>
      </c>
      <c r="I2010" s="867">
        <v>55311.41281</v>
      </c>
      <c r="J2010" s="868">
        <v>45846.13976</v>
      </c>
      <c r="K2010" s="50"/>
      <c r="L2010" s="869" t="s">
        <v>683</v>
      </c>
      <c r="M2010" s="865" t="s">
        <v>591</v>
      </c>
      <c r="N2010" s="865" t="s">
        <v>663</v>
      </c>
      <c r="O2010" s="866">
        <v>2004.0</v>
      </c>
      <c r="P2010" s="865" t="s">
        <v>593</v>
      </c>
      <c r="Q2010" s="865" t="s">
        <v>70</v>
      </c>
      <c r="R2010" s="867">
        <v>36136.92069</v>
      </c>
      <c r="S2010" s="867">
        <v>38384.24753</v>
      </c>
      <c r="T2010" s="868">
        <v>33763.58902</v>
      </c>
      <c r="AN2010" s="882"/>
      <c r="AO2010" s="882"/>
      <c r="AP2010" s="882"/>
      <c r="AY2010" s="882"/>
      <c r="AZ2010" s="882"/>
      <c r="BA2010" s="882"/>
      <c r="BJ2010" s="882"/>
      <c r="BK2010" s="882"/>
      <c r="BL2010" s="882"/>
      <c r="BU2010" s="882"/>
      <c r="BV2010" s="882"/>
      <c r="BW2010" s="882"/>
      <c r="CF2010" s="882"/>
      <c r="CG2010" s="882"/>
      <c r="CH2010" s="882"/>
      <c r="CI2010" s="530"/>
    </row>
    <row r="2011">
      <c r="A2011" s="857"/>
      <c r="B2011" s="865" t="s">
        <v>683</v>
      </c>
      <c r="C2011" s="865" t="s">
        <v>591</v>
      </c>
      <c r="D2011" s="865" t="s">
        <v>665</v>
      </c>
      <c r="E2011" s="866">
        <v>2019.0</v>
      </c>
      <c r="F2011" s="865" t="s">
        <v>593</v>
      </c>
      <c r="G2011" s="865" t="s">
        <v>70</v>
      </c>
      <c r="H2011" s="867">
        <v>77752.68402</v>
      </c>
      <c r="I2011" s="867">
        <v>85220.19646</v>
      </c>
      <c r="J2011" s="868">
        <v>70634.51373</v>
      </c>
      <c r="K2011" s="50"/>
      <c r="L2011" s="869" t="s">
        <v>683</v>
      </c>
      <c r="M2011" s="865" t="s">
        <v>591</v>
      </c>
      <c r="N2011" s="865" t="s">
        <v>665</v>
      </c>
      <c r="O2011" s="866">
        <v>2004.0</v>
      </c>
      <c r="P2011" s="865" t="s">
        <v>593</v>
      </c>
      <c r="Q2011" s="865" t="s">
        <v>70</v>
      </c>
      <c r="R2011" s="867">
        <v>55934.84443</v>
      </c>
      <c r="S2011" s="867">
        <v>59413.90196</v>
      </c>
      <c r="T2011" s="868">
        <v>52260.68371</v>
      </c>
      <c r="AN2011" s="882"/>
      <c r="AO2011" s="882"/>
      <c r="AP2011" s="882"/>
      <c r="AY2011" s="882"/>
      <c r="AZ2011" s="882"/>
      <c r="BA2011" s="882"/>
      <c r="BJ2011" s="882"/>
      <c r="BK2011" s="882"/>
      <c r="BL2011" s="882"/>
      <c r="BU2011" s="882"/>
      <c r="BV2011" s="882"/>
      <c r="BW2011" s="882"/>
      <c r="CF2011" s="882"/>
      <c r="CG2011" s="882"/>
      <c r="CH2011" s="882"/>
      <c r="CI2011" s="530"/>
    </row>
    <row r="2012">
      <c r="A2012" s="857"/>
      <c r="B2012" s="865" t="s">
        <v>683</v>
      </c>
      <c r="C2012" s="865" t="s">
        <v>591</v>
      </c>
      <c r="D2012" s="865" t="s">
        <v>667</v>
      </c>
      <c r="E2012" s="866">
        <v>2019.0</v>
      </c>
      <c r="F2012" s="865" t="s">
        <v>593</v>
      </c>
      <c r="G2012" s="865" t="s">
        <v>70</v>
      </c>
      <c r="H2012" s="867">
        <v>42760.30917</v>
      </c>
      <c r="I2012" s="867">
        <v>46865.94667</v>
      </c>
      <c r="J2012" s="868">
        <v>38845.92043</v>
      </c>
      <c r="K2012" s="50"/>
      <c r="L2012" s="869" t="s">
        <v>683</v>
      </c>
      <c r="M2012" s="865" t="s">
        <v>591</v>
      </c>
      <c r="N2012" s="865" t="s">
        <v>667</v>
      </c>
      <c r="O2012" s="866">
        <v>2004.0</v>
      </c>
      <c r="P2012" s="865" t="s">
        <v>593</v>
      </c>
      <c r="Q2012" s="865" t="s">
        <v>70</v>
      </c>
      <c r="R2012" s="867">
        <v>31383.86713</v>
      </c>
      <c r="S2012" s="867">
        <v>33335.60528</v>
      </c>
      <c r="T2012" s="868">
        <v>29322.69743</v>
      </c>
      <c r="AN2012" s="882"/>
      <c r="AO2012" s="882"/>
      <c r="AP2012" s="882"/>
      <c r="AY2012" s="882"/>
      <c r="AZ2012" s="882"/>
      <c r="BA2012" s="882"/>
      <c r="BJ2012" s="882"/>
      <c r="BK2012" s="882"/>
      <c r="BL2012" s="882"/>
      <c r="BU2012" s="882"/>
      <c r="BV2012" s="882"/>
      <c r="BW2012" s="882"/>
      <c r="CF2012" s="882"/>
      <c r="CG2012" s="882"/>
      <c r="CH2012" s="882"/>
      <c r="CI2012" s="530"/>
    </row>
    <row r="2013">
      <c r="A2013" s="857"/>
      <c r="B2013" s="865" t="s">
        <v>683</v>
      </c>
      <c r="C2013" s="865" t="s">
        <v>591</v>
      </c>
      <c r="D2013" s="865" t="s">
        <v>669</v>
      </c>
      <c r="E2013" s="866">
        <v>2019.0</v>
      </c>
      <c r="F2013" s="865" t="s">
        <v>593</v>
      </c>
      <c r="G2013" s="865" t="s">
        <v>70</v>
      </c>
      <c r="H2013" s="867">
        <v>27286.86146</v>
      </c>
      <c r="I2013" s="867">
        <v>29906.81356</v>
      </c>
      <c r="J2013" s="868">
        <v>24788.95194</v>
      </c>
      <c r="K2013" s="50"/>
      <c r="L2013" s="869" t="s">
        <v>683</v>
      </c>
      <c r="M2013" s="865" t="s">
        <v>591</v>
      </c>
      <c r="N2013" s="865" t="s">
        <v>669</v>
      </c>
      <c r="O2013" s="866">
        <v>2004.0</v>
      </c>
      <c r="P2013" s="865" t="s">
        <v>593</v>
      </c>
      <c r="Q2013" s="865" t="s">
        <v>70</v>
      </c>
      <c r="R2013" s="867">
        <v>19798.00844</v>
      </c>
      <c r="S2013" s="867">
        <v>21029.2311</v>
      </c>
      <c r="T2013" s="868">
        <v>18497.75265</v>
      </c>
      <c r="AN2013" s="882"/>
      <c r="AO2013" s="882"/>
      <c r="AP2013" s="882"/>
      <c r="AY2013" s="882"/>
      <c r="AZ2013" s="882"/>
      <c r="BA2013" s="882"/>
      <c r="BJ2013" s="882"/>
      <c r="BK2013" s="882"/>
      <c r="BL2013" s="882"/>
      <c r="BU2013" s="882"/>
      <c r="BV2013" s="882"/>
      <c r="BW2013" s="882"/>
      <c r="CF2013" s="882"/>
      <c r="CG2013" s="882"/>
      <c r="CH2013" s="882"/>
      <c r="CI2013" s="530"/>
    </row>
    <row r="2014">
      <c r="A2014" s="857"/>
      <c r="B2014" s="865" t="s">
        <v>683</v>
      </c>
      <c r="C2014" s="865" t="s">
        <v>591</v>
      </c>
      <c r="D2014" s="865" t="s">
        <v>671</v>
      </c>
      <c r="E2014" s="866">
        <v>2019.0</v>
      </c>
      <c r="F2014" s="865" t="s">
        <v>593</v>
      </c>
      <c r="G2014" s="865" t="s">
        <v>70</v>
      </c>
      <c r="H2014" s="867">
        <v>15473.42833</v>
      </c>
      <c r="I2014" s="867">
        <v>16959.52518</v>
      </c>
      <c r="J2014" s="868">
        <v>14056.85347</v>
      </c>
      <c r="K2014" s="50"/>
      <c r="L2014" s="869" t="s">
        <v>683</v>
      </c>
      <c r="M2014" s="865" t="s">
        <v>591</v>
      </c>
      <c r="N2014" s="865" t="s">
        <v>671</v>
      </c>
      <c r="O2014" s="866">
        <v>2004.0</v>
      </c>
      <c r="P2014" s="865" t="s">
        <v>593</v>
      </c>
      <c r="Q2014" s="865" t="s">
        <v>70</v>
      </c>
      <c r="R2014" s="867">
        <v>11585.84114</v>
      </c>
      <c r="S2014" s="867">
        <v>12306.46186</v>
      </c>
      <c r="T2014" s="868">
        <v>10824.8085</v>
      </c>
      <c r="AN2014" s="882"/>
      <c r="AO2014" s="882"/>
      <c r="AP2014" s="882"/>
      <c r="AY2014" s="882"/>
      <c r="AZ2014" s="882"/>
      <c r="BA2014" s="882"/>
      <c r="BJ2014" s="882"/>
      <c r="BK2014" s="882"/>
      <c r="BL2014" s="882"/>
      <c r="BU2014" s="882"/>
      <c r="BV2014" s="882"/>
      <c r="BW2014" s="882"/>
      <c r="CF2014" s="882"/>
      <c r="CG2014" s="882"/>
      <c r="CH2014" s="882"/>
      <c r="CI2014" s="530"/>
    </row>
    <row r="2015">
      <c r="A2015" s="857"/>
      <c r="B2015" s="865" t="s">
        <v>683</v>
      </c>
      <c r="C2015" s="865" t="s">
        <v>591</v>
      </c>
      <c r="D2015" s="865" t="s">
        <v>673</v>
      </c>
      <c r="E2015" s="866">
        <v>2019.0</v>
      </c>
      <c r="F2015" s="865" t="s">
        <v>593</v>
      </c>
      <c r="G2015" s="865" t="s">
        <v>70</v>
      </c>
      <c r="H2015" s="867">
        <v>10993.45635</v>
      </c>
      <c r="I2015" s="867">
        <v>12048.99471</v>
      </c>
      <c r="J2015" s="868">
        <v>9987.087069</v>
      </c>
      <c r="K2015" s="50"/>
      <c r="L2015" s="869" t="s">
        <v>683</v>
      </c>
      <c r="M2015" s="865" t="s">
        <v>591</v>
      </c>
      <c r="N2015" s="865" t="s">
        <v>673</v>
      </c>
      <c r="O2015" s="866">
        <v>2004.0</v>
      </c>
      <c r="P2015" s="865" t="s">
        <v>593</v>
      </c>
      <c r="Q2015" s="865" t="s">
        <v>70</v>
      </c>
      <c r="R2015" s="867">
        <v>8434.510639</v>
      </c>
      <c r="S2015" s="867">
        <v>8959.04626</v>
      </c>
      <c r="T2015" s="868">
        <v>7880.564956</v>
      </c>
      <c r="AN2015" s="882"/>
      <c r="AO2015" s="882"/>
      <c r="AP2015" s="882"/>
      <c r="AY2015" s="882"/>
      <c r="AZ2015" s="882"/>
      <c r="BA2015" s="882"/>
      <c r="BJ2015" s="882"/>
      <c r="BK2015" s="882"/>
      <c r="BL2015" s="882"/>
      <c r="BU2015" s="882"/>
      <c r="BV2015" s="882"/>
      <c r="BW2015" s="882"/>
      <c r="CF2015" s="882"/>
      <c r="CG2015" s="882"/>
      <c r="CH2015" s="882"/>
      <c r="CI2015" s="530"/>
    </row>
    <row r="2016">
      <c r="A2016" s="857"/>
      <c r="B2016" s="865" t="s">
        <v>683</v>
      </c>
      <c r="C2016" s="865" t="s">
        <v>591</v>
      </c>
      <c r="D2016" s="865" t="s">
        <v>674</v>
      </c>
      <c r="E2016" s="866">
        <v>2019.0</v>
      </c>
      <c r="F2016" s="865" t="s">
        <v>593</v>
      </c>
      <c r="G2016" s="865" t="s">
        <v>70</v>
      </c>
      <c r="H2016" s="867">
        <v>3650.941343</v>
      </c>
      <c r="I2016" s="867">
        <v>4001.487024</v>
      </c>
      <c r="J2016" s="868">
        <v>3316.724777</v>
      </c>
      <c r="K2016" s="50"/>
      <c r="L2016" s="869" t="s">
        <v>683</v>
      </c>
      <c r="M2016" s="865" t="s">
        <v>591</v>
      </c>
      <c r="N2016" s="865" t="s">
        <v>674</v>
      </c>
      <c r="O2016" s="866">
        <v>2004.0</v>
      </c>
      <c r="P2016" s="865" t="s">
        <v>593</v>
      </c>
      <c r="Q2016" s="865" t="s">
        <v>70</v>
      </c>
      <c r="R2016" s="867">
        <v>2562.550685</v>
      </c>
      <c r="S2016" s="867">
        <v>2721.913708</v>
      </c>
      <c r="T2016" s="868">
        <v>2394.252374</v>
      </c>
      <c r="AN2016" s="882"/>
      <c r="AO2016" s="882"/>
      <c r="AP2016" s="882"/>
      <c r="AY2016" s="882"/>
      <c r="AZ2016" s="882"/>
      <c r="BA2016" s="882"/>
      <c r="BJ2016" s="882"/>
      <c r="BK2016" s="882"/>
      <c r="BL2016" s="882"/>
      <c r="BU2016" s="882"/>
      <c r="BV2016" s="882"/>
      <c r="BW2016" s="882"/>
      <c r="CF2016" s="882"/>
      <c r="CG2016" s="882"/>
      <c r="CH2016" s="882"/>
      <c r="CI2016" s="530"/>
    </row>
    <row r="2017">
      <c r="A2017" s="857"/>
      <c r="B2017" s="865" t="s">
        <v>683</v>
      </c>
      <c r="C2017" s="865" t="s">
        <v>591</v>
      </c>
      <c r="D2017" s="865" t="s">
        <v>676</v>
      </c>
      <c r="E2017" s="866">
        <v>2019.0</v>
      </c>
      <c r="F2017" s="865" t="s">
        <v>593</v>
      </c>
      <c r="G2017" s="865" t="s">
        <v>70</v>
      </c>
      <c r="H2017" s="867">
        <v>829.0500143</v>
      </c>
      <c r="I2017" s="867">
        <v>908.6513758</v>
      </c>
      <c r="J2017" s="868">
        <v>753.1566425</v>
      </c>
      <c r="K2017" s="50"/>
      <c r="L2017" s="869" t="s">
        <v>683</v>
      </c>
      <c r="M2017" s="865" t="s">
        <v>591</v>
      </c>
      <c r="N2017" s="865" t="s">
        <v>676</v>
      </c>
      <c r="O2017" s="866">
        <v>2004.0</v>
      </c>
      <c r="P2017" s="865" t="s">
        <v>593</v>
      </c>
      <c r="Q2017" s="865" t="s">
        <v>70</v>
      </c>
      <c r="R2017" s="867">
        <v>588.7973634</v>
      </c>
      <c r="S2017" s="867">
        <v>625.414211</v>
      </c>
      <c r="T2017" s="868">
        <v>550.1274545</v>
      </c>
      <c r="AN2017" s="882"/>
      <c r="AO2017" s="882"/>
      <c r="AP2017" s="882"/>
      <c r="AY2017" s="882"/>
      <c r="AZ2017" s="882"/>
      <c r="BA2017" s="882"/>
      <c r="BJ2017" s="882"/>
      <c r="BK2017" s="882"/>
      <c r="BL2017" s="882"/>
      <c r="BU2017" s="882"/>
      <c r="BV2017" s="882"/>
      <c r="BW2017" s="882"/>
      <c r="CF2017" s="882"/>
      <c r="CG2017" s="882"/>
      <c r="CH2017" s="882"/>
      <c r="CI2017" s="530"/>
    </row>
    <row r="2018">
      <c r="A2018" s="857"/>
      <c r="B2018" s="865" t="s">
        <v>683</v>
      </c>
      <c r="C2018" s="865" t="s">
        <v>591</v>
      </c>
      <c r="D2018" s="865" t="s">
        <v>678</v>
      </c>
      <c r="E2018" s="866">
        <v>2019.0</v>
      </c>
      <c r="F2018" s="865" t="s">
        <v>593</v>
      </c>
      <c r="G2018" s="865" t="s">
        <v>70</v>
      </c>
      <c r="H2018" s="867">
        <v>8284755.476</v>
      </c>
      <c r="I2018" s="867">
        <v>9080217.516</v>
      </c>
      <c r="J2018" s="868">
        <v>7526347.64</v>
      </c>
      <c r="K2018" s="50"/>
      <c r="L2018" s="869" t="s">
        <v>683</v>
      </c>
      <c r="M2018" s="865" t="s">
        <v>591</v>
      </c>
      <c r="N2018" s="865" t="s">
        <v>678</v>
      </c>
      <c r="O2018" s="866">
        <v>2004.0</v>
      </c>
      <c r="P2018" s="865" t="s">
        <v>593</v>
      </c>
      <c r="Q2018" s="865" t="s">
        <v>70</v>
      </c>
      <c r="R2018" s="867">
        <v>5289152.836</v>
      </c>
      <c r="S2018" s="867">
        <v>5618081.114</v>
      </c>
      <c r="T2018" s="868">
        <v>4941781.956</v>
      </c>
      <c r="AN2018" s="882"/>
      <c r="AO2018" s="882"/>
      <c r="AP2018" s="882"/>
      <c r="AY2018" s="882"/>
      <c r="AZ2018" s="882"/>
      <c r="BA2018" s="882"/>
      <c r="BJ2018" s="882"/>
      <c r="BK2018" s="882"/>
      <c r="BL2018" s="882"/>
      <c r="BU2018" s="882"/>
      <c r="BV2018" s="882"/>
      <c r="BW2018" s="882"/>
      <c r="CF2018" s="882"/>
      <c r="CG2018" s="882"/>
      <c r="CH2018" s="882"/>
      <c r="CI2018" s="530"/>
    </row>
    <row r="2019">
      <c r="A2019" s="857"/>
      <c r="B2019" s="865" t="s">
        <v>683</v>
      </c>
      <c r="C2019" s="865" t="s">
        <v>591</v>
      </c>
      <c r="D2019" s="865" t="s">
        <v>680</v>
      </c>
      <c r="E2019" s="866">
        <v>2019.0</v>
      </c>
      <c r="F2019" s="865" t="s">
        <v>593</v>
      </c>
      <c r="G2019" s="865" t="s">
        <v>70</v>
      </c>
      <c r="H2019" s="867">
        <v>280671.47</v>
      </c>
      <c r="I2019" s="867">
        <v>309412.4572</v>
      </c>
      <c r="J2019" s="868">
        <v>256456.8295</v>
      </c>
      <c r="K2019" s="50"/>
      <c r="L2019" s="869" t="s">
        <v>683</v>
      </c>
      <c r="M2019" s="865" t="s">
        <v>591</v>
      </c>
      <c r="N2019" s="865" t="s">
        <v>680</v>
      </c>
      <c r="O2019" s="866">
        <v>2004.0</v>
      </c>
      <c r="P2019" s="865" t="s">
        <v>593</v>
      </c>
      <c r="Q2019" s="865" t="s">
        <v>70</v>
      </c>
      <c r="R2019" s="867">
        <v>234249.2037</v>
      </c>
      <c r="S2019" s="867">
        <v>250613.8491</v>
      </c>
      <c r="T2019" s="868">
        <v>216670.7385</v>
      </c>
      <c r="AN2019" s="882"/>
      <c r="AO2019" s="882"/>
      <c r="AP2019" s="882"/>
      <c r="AY2019" s="882"/>
      <c r="AZ2019" s="882"/>
      <c r="BA2019" s="882"/>
      <c r="BJ2019" s="882"/>
      <c r="BK2019" s="882"/>
      <c r="BL2019" s="882"/>
      <c r="BU2019" s="882"/>
      <c r="BV2019" s="882"/>
      <c r="BW2019" s="882"/>
      <c r="CF2019" s="882"/>
      <c r="CG2019" s="882"/>
      <c r="CH2019" s="882"/>
      <c r="CI2019" s="530"/>
    </row>
    <row r="2020">
      <c r="A2020" s="857"/>
      <c r="B2020" s="865" t="s">
        <v>683</v>
      </c>
      <c r="C2020" s="865" t="s">
        <v>591</v>
      </c>
      <c r="D2020" s="865" t="s">
        <v>682</v>
      </c>
      <c r="E2020" s="866">
        <v>2019.0</v>
      </c>
      <c r="F2020" s="865" t="s">
        <v>593</v>
      </c>
      <c r="G2020" s="865" t="s">
        <v>70</v>
      </c>
      <c r="H2020" s="867">
        <v>5303.828792</v>
      </c>
      <c r="I2020" s="867">
        <v>5813.076709</v>
      </c>
      <c r="J2020" s="868">
        <v>4818.302656</v>
      </c>
      <c r="K2020" s="50"/>
      <c r="L2020" s="869" t="s">
        <v>683</v>
      </c>
      <c r="M2020" s="865" t="s">
        <v>591</v>
      </c>
      <c r="N2020" s="865" t="s">
        <v>682</v>
      </c>
      <c r="O2020" s="866">
        <v>2004.0</v>
      </c>
      <c r="P2020" s="865" t="s">
        <v>593</v>
      </c>
      <c r="Q2020" s="865" t="s">
        <v>70</v>
      </c>
      <c r="R2020" s="867">
        <v>4435.791732</v>
      </c>
      <c r="S2020" s="867">
        <v>4711.650151</v>
      </c>
      <c r="T2020" s="868">
        <v>4144.466273</v>
      </c>
      <c r="AN2020" s="882"/>
      <c r="AO2020" s="882"/>
      <c r="AP2020" s="882"/>
      <c r="AY2020" s="882"/>
      <c r="AZ2020" s="882"/>
      <c r="BA2020" s="882"/>
      <c r="BJ2020" s="882"/>
      <c r="BK2020" s="882"/>
      <c r="BL2020" s="882"/>
      <c r="BU2020" s="882"/>
      <c r="BV2020" s="882"/>
      <c r="BW2020" s="882"/>
      <c r="CF2020" s="882"/>
      <c r="CG2020" s="882"/>
      <c r="CH2020" s="882"/>
      <c r="CI2020" s="530"/>
    </row>
    <row r="2021">
      <c r="A2021" s="857"/>
      <c r="B2021" s="865" t="s">
        <v>683</v>
      </c>
      <c r="C2021" s="865" t="s">
        <v>591</v>
      </c>
      <c r="D2021" s="865" t="s">
        <v>684</v>
      </c>
      <c r="E2021" s="866">
        <v>2019.0</v>
      </c>
      <c r="F2021" s="865" t="s">
        <v>593</v>
      </c>
      <c r="G2021" s="865" t="s">
        <v>70</v>
      </c>
      <c r="H2021" s="867">
        <v>15664.57945</v>
      </c>
      <c r="I2021" s="867">
        <v>17168.6164</v>
      </c>
      <c r="J2021" s="868">
        <v>14230.60354</v>
      </c>
      <c r="K2021" s="50"/>
      <c r="L2021" s="869" t="s">
        <v>683</v>
      </c>
      <c r="M2021" s="865" t="s">
        <v>591</v>
      </c>
      <c r="N2021" s="865" t="s">
        <v>684</v>
      </c>
      <c r="O2021" s="866">
        <v>2004.0</v>
      </c>
      <c r="P2021" s="865" t="s">
        <v>593</v>
      </c>
      <c r="Q2021" s="865" t="s">
        <v>70</v>
      </c>
      <c r="R2021" s="867">
        <v>12994.8278</v>
      </c>
      <c r="S2021" s="867">
        <v>13802.96598</v>
      </c>
      <c r="T2021" s="868">
        <v>12141.37832</v>
      </c>
      <c r="AN2021" s="882"/>
      <c r="AO2021" s="882"/>
      <c r="AP2021" s="882"/>
      <c r="AY2021" s="882"/>
      <c r="AZ2021" s="882"/>
      <c r="BA2021" s="882"/>
      <c r="BJ2021" s="882"/>
      <c r="BK2021" s="882"/>
      <c r="BL2021" s="882"/>
      <c r="BU2021" s="882"/>
      <c r="BV2021" s="882"/>
      <c r="BW2021" s="882"/>
      <c r="CF2021" s="882"/>
      <c r="CG2021" s="882"/>
      <c r="CH2021" s="882"/>
      <c r="CI2021" s="530"/>
    </row>
    <row r="2022">
      <c r="A2022" s="857"/>
      <c r="B2022" s="865" t="s">
        <v>683</v>
      </c>
      <c r="C2022" s="865" t="s">
        <v>591</v>
      </c>
      <c r="D2022" s="865" t="s">
        <v>686</v>
      </c>
      <c r="E2022" s="866">
        <v>2019.0</v>
      </c>
      <c r="F2022" s="865" t="s">
        <v>593</v>
      </c>
      <c r="G2022" s="865" t="s">
        <v>70</v>
      </c>
      <c r="H2022" s="867">
        <v>20968.40825</v>
      </c>
      <c r="I2022" s="867">
        <v>22981.69311</v>
      </c>
      <c r="J2022" s="868">
        <v>19048.9062</v>
      </c>
      <c r="K2022" s="50"/>
      <c r="L2022" s="869" t="s">
        <v>683</v>
      </c>
      <c r="M2022" s="865" t="s">
        <v>591</v>
      </c>
      <c r="N2022" s="865" t="s">
        <v>686</v>
      </c>
      <c r="O2022" s="866">
        <v>2004.0</v>
      </c>
      <c r="P2022" s="865" t="s">
        <v>593</v>
      </c>
      <c r="Q2022" s="865" t="s">
        <v>70</v>
      </c>
      <c r="R2022" s="867">
        <v>17430.61953</v>
      </c>
      <c r="S2022" s="867">
        <v>18514.61613</v>
      </c>
      <c r="T2022" s="868">
        <v>16285.84459</v>
      </c>
      <c r="AN2022" s="882"/>
      <c r="AO2022" s="882"/>
      <c r="AP2022" s="882"/>
      <c r="AY2022" s="882"/>
      <c r="AZ2022" s="882"/>
      <c r="BA2022" s="882"/>
      <c r="BJ2022" s="882"/>
      <c r="BK2022" s="882"/>
      <c r="BL2022" s="882"/>
      <c r="BU2022" s="882"/>
      <c r="BV2022" s="882"/>
      <c r="BW2022" s="882"/>
      <c r="CF2022" s="882"/>
      <c r="CG2022" s="882"/>
      <c r="CH2022" s="882"/>
      <c r="CI2022" s="530"/>
    </row>
    <row r="2023">
      <c r="A2023" s="857"/>
      <c r="B2023" s="865" t="s">
        <v>683</v>
      </c>
      <c r="C2023" s="865" t="s">
        <v>591</v>
      </c>
      <c r="D2023" s="865" t="s">
        <v>688</v>
      </c>
      <c r="E2023" s="866">
        <v>2019.0</v>
      </c>
      <c r="F2023" s="865" t="s">
        <v>593</v>
      </c>
      <c r="G2023" s="865" t="s">
        <v>70</v>
      </c>
      <c r="H2023" s="867">
        <v>242133.2471</v>
      </c>
      <c r="I2023" s="867">
        <v>265381.7071</v>
      </c>
      <c r="J2023" s="868">
        <v>219967.7466</v>
      </c>
      <c r="K2023" s="50"/>
      <c r="L2023" s="869" t="s">
        <v>683</v>
      </c>
      <c r="M2023" s="865" t="s">
        <v>591</v>
      </c>
      <c r="N2023" s="865" t="s">
        <v>688</v>
      </c>
      <c r="O2023" s="866">
        <v>2004.0</v>
      </c>
      <c r="P2023" s="865" t="s">
        <v>593</v>
      </c>
      <c r="Q2023" s="865" t="s">
        <v>70</v>
      </c>
      <c r="R2023" s="867">
        <v>196058.24</v>
      </c>
      <c r="S2023" s="867">
        <v>208250.9487</v>
      </c>
      <c r="T2023" s="868">
        <v>183181.9013</v>
      </c>
      <c r="AN2023" s="882"/>
      <c r="AO2023" s="882"/>
      <c r="AP2023" s="882"/>
      <c r="AY2023" s="882"/>
      <c r="AZ2023" s="882"/>
      <c r="BA2023" s="882"/>
      <c r="BJ2023" s="882"/>
      <c r="BK2023" s="882"/>
      <c r="BL2023" s="882"/>
      <c r="BU2023" s="882"/>
      <c r="BV2023" s="882"/>
      <c r="BW2023" s="882"/>
      <c r="CF2023" s="882"/>
      <c r="CG2023" s="882"/>
      <c r="CH2023" s="882"/>
      <c r="CI2023" s="530"/>
    </row>
    <row r="2024">
      <c r="A2024" s="857"/>
      <c r="B2024" s="865" t="s">
        <v>683</v>
      </c>
      <c r="C2024" s="865" t="s">
        <v>591</v>
      </c>
      <c r="D2024" s="865" t="s">
        <v>689</v>
      </c>
      <c r="E2024" s="866">
        <v>2019.0</v>
      </c>
      <c r="F2024" s="865" t="s">
        <v>593</v>
      </c>
      <c r="G2024" s="865" t="s">
        <v>70</v>
      </c>
      <c r="H2024" s="867">
        <v>1229658.086</v>
      </c>
      <c r="I2024" s="867">
        <v>1347723.891</v>
      </c>
      <c r="J2024" s="868">
        <v>1117092.02</v>
      </c>
      <c r="K2024" s="50"/>
      <c r="L2024" s="869" t="s">
        <v>683</v>
      </c>
      <c r="M2024" s="865" t="s">
        <v>591</v>
      </c>
      <c r="N2024" s="865" t="s">
        <v>689</v>
      </c>
      <c r="O2024" s="866">
        <v>2004.0</v>
      </c>
      <c r="P2024" s="865" t="s">
        <v>593</v>
      </c>
      <c r="Q2024" s="865" t="s">
        <v>70</v>
      </c>
      <c r="R2024" s="867">
        <v>945064.3521</v>
      </c>
      <c r="S2024" s="867">
        <v>1003837.165</v>
      </c>
      <c r="T2024" s="868">
        <v>882996.2203</v>
      </c>
      <c r="AN2024" s="882"/>
      <c r="AO2024" s="882"/>
      <c r="AP2024" s="882"/>
      <c r="AY2024" s="882"/>
      <c r="AZ2024" s="882"/>
      <c r="BA2024" s="882"/>
      <c r="BJ2024" s="882"/>
      <c r="BK2024" s="882"/>
      <c r="BL2024" s="882"/>
      <c r="BU2024" s="882"/>
      <c r="BV2024" s="882"/>
      <c r="BW2024" s="882"/>
      <c r="CF2024" s="882"/>
      <c r="CG2024" s="882"/>
      <c r="CH2024" s="882"/>
      <c r="CI2024" s="530"/>
    </row>
    <row r="2025">
      <c r="A2025" s="857"/>
      <c r="B2025" s="865" t="s">
        <v>685</v>
      </c>
      <c r="C2025" s="865" t="s">
        <v>591</v>
      </c>
      <c r="D2025" s="865" t="s">
        <v>592</v>
      </c>
      <c r="E2025" s="866">
        <v>2019.0</v>
      </c>
      <c r="F2025" s="865" t="s">
        <v>593</v>
      </c>
      <c r="G2025" s="865" t="s">
        <v>70</v>
      </c>
      <c r="H2025" s="867">
        <v>816428.9432</v>
      </c>
      <c r="I2025" s="867">
        <v>1031562.201</v>
      </c>
      <c r="J2025" s="868">
        <v>610078.7159</v>
      </c>
      <c r="K2025" s="50"/>
      <c r="L2025" s="869" t="s">
        <v>685</v>
      </c>
      <c r="M2025" s="865" t="s">
        <v>591</v>
      </c>
      <c r="N2025" s="865" t="s">
        <v>592</v>
      </c>
      <c r="O2025" s="866">
        <v>2004.0</v>
      </c>
      <c r="P2025" s="865" t="s">
        <v>593</v>
      </c>
      <c r="Q2025" s="865" t="s">
        <v>70</v>
      </c>
      <c r="R2025" s="867">
        <v>551092.1971</v>
      </c>
      <c r="S2025" s="867">
        <v>644178.847</v>
      </c>
      <c r="T2025" s="868">
        <v>459481.8577</v>
      </c>
      <c r="AN2025" s="882"/>
      <c r="AO2025" s="882"/>
      <c r="AP2025" s="882"/>
      <c r="AY2025" s="882"/>
      <c r="AZ2025" s="882"/>
      <c r="BA2025" s="882"/>
      <c r="BJ2025" s="882"/>
      <c r="BK2025" s="882"/>
      <c r="BL2025" s="882"/>
      <c r="BU2025" s="882"/>
      <c r="BV2025" s="882"/>
      <c r="BW2025" s="882"/>
      <c r="CF2025" s="882"/>
      <c r="CG2025" s="882"/>
      <c r="CH2025" s="882"/>
      <c r="CI2025" s="530"/>
    </row>
    <row r="2026">
      <c r="A2026" s="857"/>
      <c r="B2026" s="865" t="s">
        <v>685</v>
      </c>
      <c r="C2026" s="865" t="s">
        <v>591</v>
      </c>
      <c r="D2026" s="865" t="s">
        <v>601</v>
      </c>
      <c r="E2026" s="866">
        <v>2019.0</v>
      </c>
      <c r="F2026" s="865" t="s">
        <v>593</v>
      </c>
      <c r="G2026" s="865" t="s">
        <v>70</v>
      </c>
      <c r="H2026" s="867">
        <v>1.179971503E7</v>
      </c>
      <c r="I2026" s="867">
        <v>1.49090011E7</v>
      </c>
      <c r="J2026" s="868">
        <v>8817368.683</v>
      </c>
      <c r="K2026" s="50"/>
      <c r="L2026" s="869" t="s">
        <v>685</v>
      </c>
      <c r="M2026" s="865" t="s">
        <v>591</v>
      </c>
      <c r="N2026" s="865" t="s">
        <v>601</v>
      </c>
      <c r="O2026" s="866">
        <v>2004.0</v>
      </c>
      <c r="P2026" s="865" t="s">
        <v>593</v>
      </c>
      <c r="Q2026" s="865" t="s">
        <v>70</v>
      </c>
      <c r="R2026" s="867">
        <v>7062539.014</v>
      </c>
      <c r="S2026" s="867">
        <v>8255493.842</v>
      </c>
      <c r="T2026" s="868">
        <v>5888503.89</v>
      </c>
      <c r="AN2026" s="882"/>
      <c r="AO2026" s="882"/>
      <c r="AP2026" s="882"/>
      <c r="AY2026" s="882"/>
      <c r="AZ2026" s="882"/>
      <c r="BA2026" s="882"/>
      <c r="BJ2026" s="882"/>
      <c r="BK2026" s="882"/>
      <c r="BL2026" s="882"/>
      <c r="BU2026" s="882"/>
      <c r="BV2026" s="882"/>
      <c r="BW2026" s="882"/>
      <c r="CF2026" s="882"/>
      <c r="CG2026" s="882"/>
      <c r="CH2026" s="882"/>
      <c r="CI2026" s="530"/>
    </row>
    <row r="2027">
      <c r="A2027" s="857"/>
      <c r="B2027" s="865" t="s">
        <v>685</v>
      </c>
      <c r="C2027" s="865" t="s">
        <v>591</v>
      </c>
      <c r="D2027" s="865" t="s">
        <v>606</v>
      </c>
      <c r="E2027" s="866">
        <v>2019.0</v>
      </c>
      <c r="F2027" s="865" t="s">
        <v>593</v>
      </c>
      <c r="G2027" s="865" t="s">
        <v>70</v>
      </c>
      <c r="H2027" s="867">
        <v>9500150.465</v>
      </c>
      <c r="I2027" s="867">
        <v>1.200348935E7</v>
      </c>
      <c r="J2027" s="868">
        <v>7099012.896</v>
      </c>
      <c r="K2027" s="50"/>
      <c r="L2027" s="869" t="s">
        <v>685</v>
      </c>
      <c r="M2027" s="865" t="s">
        <v>591</v>
      </c>
      <c r="N2027" s="865" t="s">
        <v>606</v>
      </c>
      <c r="O2027" s="866">
        <v>2004.0</v>
      </c>
      <c r="P2027" s="865" t="s">
        <v>593</v>
      </c>
      <c r="Q2027" s="865" t="s">
        <v>70</v>
      </c>
      <c r="R2027" s="867">
        <v>5805220.18</v>
      </c>
      <c r="S2027" s="867">
        <v>6785797.48</v>
      </c>
      <c r="T2027" s="868">
        <v>4840194.375</v>
      </c>
      <c r="AN2027" s="882"/>
      <c r="AO2027" s="882"/>
      <c r="AP2027" s="882"/>
      <c r="AY2027" s="882"/>
      <c r="AZ2027" s="882"/>
      <c r="BA2027" s="882"/>
      <c r="BJ2027" s="882"/>
      <c r="BK2027" s="882"/>
      <c r="BL2027" s="882"/>
      <c r="BU2027" s="882"/>
      <c r="BV2027" s="882"/>
      <c r="BW2027" s="882"/>
      <c r="CF2027" s="882"/>
      <c r="CG2027" s="882"/>
      <c r="CH2027" s="882"/>
      <c r="CI2027" s="530"/>
    </row>
    <row r="2028">
      <c r="A2028" s="857"/>
      <c r="B2028" s="865" t="s">
        <v>685</v>
      </c>
      <c r="C2028" s="865" t="s">
        <v>591</v>
      </c>
      <c r="D2028" s="865" t="s">
        <v>608</v>
      </c>
      <c r="E2028" s="866">
        <v>2019.0</v>
      </c>
      <c r="F2028" s="865" t="s">
        <v>593</v>
      </c>
      <c r="G2028" s="865" t="s">
        <v>70</v>
      </c>
      <c r="H2028" s="867">
        <v>2915576.916</v>
      </c>
      <c r="I2028" s="867">
        <v>3683846.545</v>
      </c>
      <c r="J2028" s="868">
        <v>2178672.665</v>
      </c>
      <c r="K2028" s="50"/>
      <c r="L2028" s="869" t="s">
        <v>685</v>
      </c>
      <c r="M2028" s="865" t="s">
        <v>591</v>
      </c>
      <c r="N2028" s="865" t="s">
        <v>608</v>
      </c>
      <c r="O2028" s="866">
        <v>2004.0</v>
      </c>
      <c r="P2028" s="865" t="s">
        <v>593</v>
      </c>
      <c r="Q2028" s="865" t="s">
        <v>70</v>
      </c>
      <c r="R2028" s="867">
        <v>1876287.351</v>
      </c>
      <c r="S2028" s="867">
        <v>2193216.723</v>
      </c>
      <c r="T2028" s="868">
        <v>1564384.33</v>
      </c>
      <c r="AN2028" s="882"/>
      <c r="AO2028" s="882"/>
      <c r="AP2028" s="882"/>
      <c r="AY2028" s="882"/>
      <c r="AZ2028" s="882"/>
      <c r="BA2028" s="882"/>
      <c r="BJ2028" s="882"/>
      <c r="BK2028" s="882"/>
      <c r="BL2028" s="882"/>
      <c r="BU2028" s="882"/>
      <c r="BV2028" s="882"/>
      <c r="BW2028" s="882"/>
      <c r="CF2028" s="882"/>
      <c r="CG2028" s="882"/>
      <c r="CH2028" s="882"/>
      <c r="CI2028" s="530"/>
    </row>
    <row r="2029">
      <c r="A2029" s="857"/>
      <c r="B2029" s="865" t="s">
        <v>685</v>
      </c>
      <c r="C2029" s="865" t="s">
        <v>591</v>
      </c>
      <c r="D2029" s="865" t="s">
        <v>610</v>
      </c>
      <c r="E2029" s="866">
        <v>2019.0</v>
      </c>
      <c r="F2029" s="865" t="s">
        <v>593</v>
      </c>
      <c r="G2029" s="865" t="s">
        <v>70</v>
      </c>
      <c r="H2029" s="867">
        <v>2664526.828</v>
      </c>
      <c r="I2029" s="867">
        <v>3366643.457</v>
      </c>
      <c r="J2029" s="868">
        <v>1991074.813</v>
      </c>
      <c r="K2029" s="50"/>
      <c r="L2029" s="869" t="s">
        <v>685</v>
      </c>
      <c r="M2029" s="865" t="s">
        <v>591</v>
      </c>
      <c r="N2029" s="865" t="s">
        <v>610</v>
      </c>
      <c r="O2029" s="866">
        <v>2004.0</v>
      </c>
      <c r="P2029" s="865" t="s">
        <v>593</v>
      </c>
      <c r="Q2029" s="865" t="s">
        <v>70</v>
      </c>
      <c r="R2029" s="867">
        <v>1501186.756</v>
      </c>
      <c r="S2029" s="867">
        <v>1754756.752</v>
      </c>
      <c r="T2029" s="868">
        <v>1251638.261</v>
      </c>
      <c r="AN2029" s="882"/>
      <c r="AO2029" s="882"/>
      <c r="AP2029" s="882"/>
      <c r="AY2029" s="882"/>
      <c r="AZ2029" s="882"/>
      <c r="BA2029" s="882"/>
      <c r="BJ2029" s="882"/>
      <c r="BK2029" s="882"/>
      <c r="BL2029" s="882"/>
      <c r="BU2029" s="882"/>
      <c r="BV2029" s="882"/>
      <c r="BW2029" s="882"/>
      <c r="CF2029" s="882"/>
      <c r="CG2029" s="882"/>
      <c r="CH2029" s="882"/>
      <c r="CI2029" s="530"/>
    </row>
    <row r="2030">
      <c r="A2030" s="857"/>
      <c r="B2030" s="865" t="s">
        <v>685</v>
      </c>
      <c r="C2030" s="865" t="s">
        <v>591</v>
      </c>
      <c r="D2030" s="865" t="s">
        <v>612</v>
      </c>
      <c r="E2030" s="866">
        <v>2019.0</v>
      </c>
      <c r="F2030" s="865" t="s">
        <v>593</v>
      </c>
      <c r="G2030" s="865" t="s">
        <v>70</v>
      </c>
      <c r="H2030" s="867">
        <v>4964091.396</v>
      </c>
      <c r="I2030" s="867">
        <v>6272155.207</v>
      </c>
      <c r="J2030" s="868">
        <v>3709430.6</v>
      </c>
      <c r="K2030" s="50"/>
      <c r="L2030" s="869" t="s">
        <v>685</v>
      </c>
      <c r="M2030" s="865" t="s">
        <v>591</v>
      </c>
      <c r="N2030" s="865" t="s">
        <v>612</v>
      </c>
      <c r="O2030" s="866">
        <v>2004.0</v>
      </c>
      <c r="P2030" s="865" t="s">
        <v>593</v>
      </c>
      <c r="Q2030" s="865" t="s">
        <v>70</v>
      </c>
      <c r="R2030" s="867">
        <v>2758505.59</v>
      </c>
      <c r="S2030" s="867">
        <v>3224453.113</v>
      </c>
      <c r="T2030" s="868">
        <v>2299947.776</v>
      </c>
      <c r="AN2030" s="882"/>
      <c r="AO2030" s="882"/>
      <c r="AP2030" s="882"/>
      <c r="AY2030" s="882"/>
      <c r="AZ2030" s="882"/>
      <c r="BA2030" s="882"/>
      <c r="BJ2030" s="882"/>
      <c r="BK2030" s="882"/>
      <c r="BL2030" s="882"/>
      <c r="BU2030" s="882"/>
      <c r="BV2030" s="882"/>
      <c r="BW2030" s="882"/>
      <c r="CF2030" s="882"/>
      <c r="CG2030" s="882"/>
      <c r="CH2030" s="882"/>
      <c r="CI2030" s="530"/>
    </row>
    <row r="2031">
      <c r="A2031" s="857"/>
      <c r="B2031" s="865" t="s">
        <v>685</v>
      </c>
      <c r="C2031" s="865" t="s">
        <v>591</v>
      </c>
      <c r="D2031" s="865" t="s">
        <v>614</v>
      </c>
      <c r="E2031" s="866">
        <v>2019.0</v>
      </c>
      <c r="F2031" s="865" t="s">
        <v>593</v>
      </c>
      <c r="G2031" s="865" t="s">
        <v>70</v>
      </c>
      <c r="H2031" s="867">
        <v>6849431.622</v>
      </c>
      <c r="I2031" s="867">
        <v>8654292.354</v>
      </c>
      <c r="J2031" s="868">
        <v>5118256.136</v>
      </c>
      <c r="K2031" s="50"/>
      <c r="L2031" s="869" t="s">
        <v>685</v>
      </c>
      <c r="M2031" s="865" t="s">
        <v>591</v>
      </c>
      <c r="N2031" s="865" t="s">
        <v>614</v>
      </c>
      <c r="O2031" s="866">
        <v>2004.0</v>
      </c>
      <c r="P2031" s="865" t="s">
        <v>593</v>
      </c>
      <c r="Q2031" s="865" t="s">
        <v>70</v>
      </c>
      <c r="R2031" s="867">
        <v>3954552.079</v>
      </c>
      <c r="S2031" s="867">
        <v>4622527.432</v>
      </c>
      <c r="T2031" s="868">
        <v>3297170.501</v>
      </c>
      <c r="AN2031" s="882"/>
      <c r="AO2031" s="882"/>
      <c r="AP2031" s="882"/>
      <c r="AY2031" s="882"/>
      <c r="AZ2031" s="882"/>
      <c r="BA2031" s="882"/>
      <c r="BJ2031" s="882"/>
      <c r="BK2031" s="882"/>
      <c r="BL2031" s="882"/>
      <c r="BU2031" s="882"/>
      <c r="BV2031" s="882"/>
      <c r="BW2031" s="882"/>
      <c r="CF2031" s="882"/>
      <c r="CG2031" s="882"/>
      <c r="CH2031" s="882"/>
      <c r="CI2031" s="530"/>
    </row>
    <row r="2032">
      <c r="A2032" s="857"/>
      <c r="B2032" s="865" t="s">
        <v>685</v>
      </c>
      <c r="C2032" s="865" t="s">
        <v>591</v>
      </c>
      <c r="D2032" s="865" t="s">
        <v>616</v>
      </c>
      <c r="E2032" s="866">
        <v>2019.0</v>
      </c>
      <c r="F2032" s="865" t="s">
        <v>593</v>
      </c>
      <c r="G2032" s="865" t="s">
        <v>70</v>
      </c>
      <c r="H2032" s="867">
        <v>2299564.568</v>
      </c>
      <c r="I2032" s="867">
        <v>2905511.751</v>
      </c>
      <c r="J2032" s="868">
        <v>1718355.787</v>
      </c>
      <c r="K2032" s="50"/>
      <c r="L2032" s="869" t="s">
        <v>685</v>
      </c>
      <c r="M2032" s="865" t="s">
        <v>591</v>
      </c>
      <c r="N2032" s="865" t="s">
        <v>616</v>
      </c>
      <c r="O2032" s="866">
        <v>2004.0</v>
      </c>
      <c r="P2032" s="865" t="s">
        <v>593</v>
      </c>
      <c r="Q2032" s="865" t="s">
        <v>70</v>
      </c>
      <c r="R2032" s="867">
        <v>1257318.834</v>
      </c>
      <c r="S2032" s="867">
        <v>1469696.362</v>
      </c>
      <c r="T2032" s="868">
        <v>1048309.515</v>
      </c>
      <c r="AN2032" s="882"/>
      <c r="AO2032" s="882"/>
      <c r="AP2032" s="882"/>
      <c r="AY2032" s="882"/>
      <c r="AZ2032" s="882"/>
      <c r="BA2032" s="882"/>
      <c r="BJ2032" s="882"/>
      <c r="BK2032" s="882"/>
      <c r="BL2032" s="882"/>
      <c r="BU2032" s="882"/>
      <c r="BV2032" s="882"/>
      <c r="BW2032" s="882"/>
      <c r="CF2032" s="882"/>
      <c r="CG2032" s="882"/>
      <c r="CH2032" s="882"/>
      <c r="CI2032" s="530"/>
    </row>
    <row r="2033">
      <c r="A2033" s="857"/>
      <c r="B2033" s="865" t="s">
        <v>685</v>
      </c>
      <c r="C2033" s="865" t="s">
        <v>591</v>
      </c>
      <c r="D2033" s="865" t="s">
        <v>618</v>
      </c>
      <c r="E2033" s="866">
        <v>2019.0</v>
      </c>
      <c r="F2033" s="865" t="s">
        <v>593</v>
      </c>
      <c r="G2033" s="865" t="s">
        <v>70</v>
      </c>
      <c r="H2033" s="867">
        <v>7842477.819</v>
      </c>
      <c r="I2033" s="867">
        <v>9909289.946</v>
      </c>
      <c r="J2033" s="868">
        <v>5860193.065</v>
      </c>
      <c r="K2033" s="50"/>
      <c r="L2033" s="869" t="s">
        <v>685</v>
      </c>
      <c r="M2033" s="865" t="s">
        <v>591</v>
      </c>
      <c r="N2033" s="865" t="s">
        <v>618</v>
      </c>
      <c r="O2033" s="866">
        <v>2004.0</v>
      </c>
      <c r="P2033" s="865" t="s">
        <v>593</v>
      </c>
      <c r="Q2033" s="865" t="s">
        <v>70</v>
      </c>
      <c r="R2033" s="867">
        <v>4719104.856</v>
      </c>
      <c r="S2033" s="867">
        <v>5516599.145</v>
      </c>
      <c r="T2033" s="868">
        <v>3934621.172</v>
      </c>
      <c r="AN2033" s="882"/>
      <c r="AO2033" s="882"/>
      <c r="AP2033" s="882"/>
      <c r="AY2033" s="882"/>
      <c r="AZ2033" s="882"/>
      <c r="BA2033" s="882"/>
      <c r="BJ2033" s="882"/>
      <c r="BK2033" s="882"/>
      <c r="BL2033" s="882"/>
      <c r="BU2033" s="882"/>
      <c r="BV2033" s="882"/>
      <c r="BW2033" s="882"/>
      <c r="CF2033" s="882"/>
      <c r="CG2033" s="882"/>
      <c r="CH2033" s="882"/>
      <c r="CI2033" s="530"/>
    </row>
    <row r="2034">
      <c r="A2034" s="857"/>
      <c r="B2034" s="865" t="s">
        <v>685</v>
      </c>
      <c r="C2034" s="865" t="s">
        <v>591</v>
      </c>
      <c r="D2034" s="865" t="s">
        <v>620</v>
      </c>
      <c r="E2034" s="866">
        <v>2019.0</v>
      </c>
      <c r="F2034" s="865" t="s">
        <v>593</v>
      </c>
      <c r="G2034" s="865" t="s">
        <v>70</v>
      </c>
      <c r="H2034" s="867">
        <v>9465950.984</v>
      </c>
      <c r="I2034" s="867">
        <v>1.196027813E7</v>
      </c>
      <c r="J2034" s="868">
        <v>7073457.242</v>
      </c>
      <c r="K2034" s="50"/>
      <c r="L2034" s="869" t="s">
        <v>685</v>
      </c>
      <c r="M2034" s="865" t="s">
        <v>591</v>
      </c>
      <c r="N2034" s="865" t="s">
        <v>620</v>
      </c>
      <c r="O2034" s="866">
        <v>2004.0</v>
      </c>
      <c r="P2034" s="865" t="s">
        <v>593</v>
      </c>
      <c r="Q2034" s="865" t="s">
        <v>70</v>
      </c>
      <c r="R2034" s="867">
        <v>5498340.283</v>
      </c>
      <c r="S2034" s="867">
        <v>6427081.571</v>
      </c>
      <c r="T2034" s="868">
        <v>4584328.395</v>
      </c>
      <c r="AN2034" s="882"/>
      <c r="AO2034" s="882"/>
      <c r="AP2034" s="882"/>
      <c r="AY2034" s="882"/>
      <c r="AZ2034" s="882"/>
      <c r="BA2034" s="882"/>
      <c r="BJ2034" s="882"/>
      <c r="BK2034" s="882"/>
      <c r="BL2034" s="882"/>
      <c r="BU2034" s="882"/>
      <c r="BV2034" s="882"/>
      <c r="BW2034" s="882"/>
      <c r="CF2034" s="882"/>
      <c r="CG2034" s="882"/>
      <c r="CH2034" s="882"/>
      <c r="CI2034" s="530"/>
    </row>
    <row r="2035">
      <c r="A2035" s="857"/>
      <c r="B2035" s="865" t="s">
        <v>685</v>
      </c>
      <c r="C2035" s="865" t="s">
        <v>591</v>
      </c>
      <c r="D2035" s="865" t="s">
        <v>622</v>
      </c>
      <c r="E2035" s="866">
        <v>2019.0</v>
      </c>
      <c r="F2035" s="865" t="s">
        <v>593</v>
      </c>
      <c r="G2035" s="865" t="s">
        <v>70</v>
      </c>
      <c r="H2035" s="867">
        <v>8543168.973</v>
      </c>
      <c r="I2035" s="867">
        <v>1.079464174E7</v>
      </c>
      <c r="J2035" s="868">
        <v>6383775.73</v>
      </c>
      <c r="K2035" s="50"/>
      <c r="L2035" s="869" t="s">
        <v>685</v>
      </c>
      <c r="M2035" s="865" t="s">
        <v>591</v>
      </c>
      <c r="N2035" s="865" t="s">
        <v>622</v>
      </c>
      <c r="O2035" s="866">
        <v>2004.0</v>
      </c>
      <c r="P2035" s="865" t="s">
        <v>593</v>
      </c>
      <c r="Q2035" s="865" t="s">
        <v>70</v>
      </c>
      <c r="R2035" s="867">
        <v>5208033.974</v>
      </c>
      <c r="S2035" s="867">
        <v>6088153.718</v>
      </c>
      <c r="T2035" s="868">
        <v>4342272.818</v>
      </c>
      <c r="AN2035" s="882"/>
      <c r="AO2035" s="882"/>
      <c r="AP2035" s="882"/>
      <c r="AY2035" s="882"/>
      <c r="AZ2035" s="882"/>
      <c r="BA2035" s="882"/>
      <c r="BJ2035" s="882"/>
      <c r="BK2035" s="882"/>
      <c r="BL2035" s="882"/>
      <c r="BU2035" s="882"/>
      <c r="BV2035" s="882"/>
      <c r="BW2035" s="882"/>
      <c r="CF2035" s="882"/>
      <c r="CG2035" s="882"/>
      <c r="CH2035" s="882"/>
      <c r="CI2035" s="530"/>
    </row>
    <row r="2036">
      <c r="A2036" s="857"/>
      <c r="B2036" s="865" t="s">
        <v>685</v>
      </c>
      <c r="C2036" s="865" t="s">
        <v>591</v>
      </c>
      <c r="D2036" s="865" t="s">
        <v>624</v>
      </c>
      <c r="E2036" s="866">
        <v>2019.0</v>
      </c>
      <c r="F2036" s="865" t="s">
        <v>593</v>
      </c>
      <c r="G2036" s="865" t="s">
        <v>70</v>
      </c>
      <c r="H2036" s="867">
        <v>1885340.226</v>
      </c>
      <c r="I2036" s="867">
        <v>2382137.147</v>
      </c>
      <c r="J2036" s="868">
        <v>1408825.536</v>
      </c>
      <c r="K2036" s="50"/>
      <c r="L2036" s="869" t="s">
        <v>685</v>
      </c>
      <c r="M2036" s="865" t="s">
        <v>591</v>
      </c>
      <c r="N2036" s="865" t="s">
        <v>624</v>
      </c>
      <c r="O2036" s="866">
        <v>2004.0</v>
      </c>
      <c r="P2036" s="865" t="s">
        <v>593</v>
      </c>
      <c r="Q2036" s="865" t="s">
        <v>70</v>
      </c>
      <c r="R2036" s="867">
        <v>1196046.489</v>
      </c>
      <c r="S2036" s="867">
        <v>1398074.319</v>
      </c>
      <c r="T2036" s="868">
        <v>997222.7252</v>
      </c>
      <c r="AN2036" s="882"/>
      <c r="AO2036" s="882"/>
      <c r="AP2036" s="882"/>
      <c r="AY2036" s="882"/>
      <c r="AZ2036" s="882"/>
      <c r="BA2036" s="882"/>
      <c r="BJ2036" s="882"/>
      <c r="BK2036" s="882"/>
      <c r="BL2036" s="882"/>
      <c r="BU2036" s="882"/>
      <c r="BV2036" s="882"/>
      <c r="BW2036" s="882"/>
      <c r="CF2036" s="882"/>
      <c r="CG2036" s="882"/>
      <c r="CH2036" s="882"/>
      <c r="CI2036" s="530"/>
    </row>
    <row r="2037">
      <c r="A2037" s="857"/>
      <c r="B2037" s="865" t="s">
        <v>685</v>
      </c>
      <c r="C2037" s="865" t="s">
        <v>591</v>
      </c>
      <c r="D2037" s="865" t="s">
        <v>625</v>
      </c>
      <c r="E2037" s="866">
        <v>2019.0</v>
      </c>
      <c r="F2037" s="865" t="s">
        <v>593</v>
      </c>
      <c r="G2037" s="865" t="s">
        <v>70</v>
      </c>
      <c r="H2037" s="867">
        <v>6658056.687</v>
      </c>
      <c r="I2037" s="867">
        <v>8412489.132</v>
      </c>
      <c r="J2037" s="868">
        <v>4975250.703</v>
      </c>
      <c r="K2037" s="50"/>
      <c r="L2037" s="869" t="s">
        <v>685</v>
      </c>
      <c r="M2037" s="865" t="s">
        <v>591</v>
      </c>
      <c r="N2037" s="865" t="s">
        <v>625</v>
      </c>
      <c r="O2037" s="866">
        <v>2004.0</v>
      </c>
      <c r="P2037" s="865" t="s">
        <v>593</v>
      </c>
      <c r="Q2037" s="865" t="s">
        <v>70</v>
      </c>
      <c r="R2037" s="867">
        <v>4012092.73</v>
      </c>
      <c r="S2037" s="867">
        <v>4689787.448</v>
      </c>
      <c r="T2037" s="868">
        <v>3345145.931</v>
      </c>
      <c r="AN2037" s="882"/>
      <c r="AO2037" s="882"/>
      <c r="AP2037" s="882"/>
      <c r="AY2037" s="882"/>
      <c r="AZ2037" s="882"/>
      <c r="BA2037" s="882"/>
      <c r="BJ2037" s="882"/>
      <c r="BK2037" s="882"/>
      <c r="BL2037" s="882"/>
      <c r="BU2037" s="882"/>
      <c r="BV2037" s="882"/>
      <c r="BW2037" s="882"/>
      <c r="CF2037" s="882"/>
      <c r="CG2037" s="882"/>
      <c r="CH2037" s="882"/>
      <c r="CI2037" s="530"/>
    </row>
    <row r="2038">
      <c r="A2038" s="857"/>
      <c r="B2038" s="865" t="s">
        <v>685</v>
      </c>
      <c r="C2038" s="865" t="s">
        <v>591</v>
      </c>
      <c r="D2038" s="865" t="s">
        <v>627</v>
      </c>
      <c r="E2038" s="866">
        <v>2019.0</v>
      </c>
      <c r="F2038" s="865" t="s">
        <v>593</v>
      </c>
      <c r="G2038" s="865" t="s">
        <v>70</v>
      </c>
      <c r="H2038" s="867">
        <v>1463429.261</v>
      </c>
      <c r="I2038" s="867">
        <v>1849050.456</v>
      </c>
      <c r="J2038" s="868">
        <v>1093551.437</v>
      </c>
      <c r="K2038" s="50"/>
      <c r="L2038" s="869" t="s">
        <v>685</v>
      </c>
      <c r="M2038" s="865" t="s">
        <v>591</v>
      </c>
      <c r="N2038" s="865" t="s">
        <v>627</v>
      </c>
      <c r="O2038" s="866">
        <v>2004.0</v>
      </c>
      <c r="P2038" s="865" t="s">
        <v>593</v>
      </c>
      <c r="Q2038" s="865" t="s">
        <v>70</v>
      </c>
      <c r="R2038" s="867">
        <v>1088446.594</v>
      </c>
      <c r="S2038" s="867">
        <v>1272299.4</v>
      </c>
      <c r="T2038" s="868">
        <v>907509.6064</v>
      </c>
      <c r="AN2038" s="882"/>
      <c r="AO2038" s="882"/>
      <c r="AP2038" s="882"/>
      <c r="AY2038" s="882"/>
      <c r="AZ2038" s="882"/>
      <c r="BA2038" s="882"/>
      <c r="BJ2038" s="882"/>
      <c r="BK2038" s="882"/>
      <c r="BL2038" s="882"/>
      <c r="BU2038" s="882"/>
      <c r="BV2038" s="882"/>
      <c r="BW2038" s="882"/>
      <c r="CF2038" s="882"/>
      <c r="CG2038" s="882"/>
      <c r="CH2038" s="882"/>
      <c r="CI2038" s="530"/>
    </row>
    <row r="2039">
      <c r="A2039" s="857"/>
      <c r="B2039" s="865" t="s">
        <v>685</v>
      </c>
      <c r="C2039" s="865" t="s">
        <v>591</v>
      </c>
      <c r="D2039" s="865" t="s">
        <v>629</v>
      </c>
      <c r="E2039" s="866">
        <v>2019.0</v>
      </c>
      <c r="F2039" s="865" t="s">
        <v>593</v>
      </c>
      <c r="G2039" s="865" t="s">
        <v>70</v>
      </c>
      <c r="H2039" s="867">
        <v>5280905.291</v>
      </c>
      <c r="I2039" s="867">
        <v>6672638.79</v>
      </c>
      <c r="J2039" s="868">
        <v>3946090.161</v>
      </c>
      <c r="K2039" s="50"/>
      <c r="L2039" s="869" t="s">
        <v>685</v>
      </c>
      <c r="M2039" s="865" t="s">
        <v>591</v>
      </c>
      <c r="N2039" s="865" t="s">
        <v>629</v>
      </c>
      <c r="O2039" s="866">
        <v>2004.0</v>
      </c>
      <c r="P2039" s="865" t="s">
        <v>593</v>
      </c>
      <c r="Q2039" s="865" t="s">
        <v>70</v>
      </c>
      <c r="R2039" s="867">
        <v>3044913.428</v>
      </c>
      <c r="S2039" s="867">
        <v>3559481.582</v>
      </c>
      <c r="T2039" s="868">
        <v>2538740.123</v>
      </c>
      <c r="AN2039" s="882"/>
      <c r="AO2039" s="882"/>
      <c r="AP2039" s="882"/>
      <c r="AY2039" s="882"/>
      <c r="AZ2039" s="882"/>
      <c r="BA2039" s="882"/>
      <c r="BJ2039" s="882"/>
      <c r="BK2039" s="882"/>
      <c r="BL2039" s="882"/>
      <c r="BU2039" s="882"/>
      <c r="BV2039" s="882"/>
      <c r="BW2039" s="882"/>
      <c r="CF2039" s="882"/>
      <c r="CG2039" s="882"/>
      <c r="CH2039" s="882"/>
      <c r="CI2039" s="530"/>
    </row>
    <row r="2040">
      <c r="A2040" s="857"/>
      <c r="B2040" s="865" t="s">
        <v>685</v>
      </c>
      <c r="C2040" s="865" t="s">
        <v>591</v>
      </c>
      <c r="D2040" s="865" t="s">
        <v>631</v>
      </c>
      <c r="E2040" s="866">
        <v>2019.0</v>
      </c>
      <c r="F2040" s="865" t="s">
        <v>593</v>
      </c>
      <c r="G2040" s="865" t="s">
        <v>70</v>
      </c>
      <c r="H2040" s="867">
        <v>1124703.028</v>
      </c>
      <c r="I2040" s="867">
        <v>1421068.105</v>
      </c>
      <c r="J2040" s="868">
        <v>840437.3518</v>
      </c>
      <c r="K2040" s="50"/>
      <c r="L2040" s="869" t="s">
        <v>685</v>
      </c>
      <c r="M2040" s="865" t="s">
        <v>591</v>
      </c>
      <c r="N2040" s="865" t="s">
        <v>631</v>
      </c>
      <c r="O2040" s="866">
        <v>2004.0</v>
      </c>
      <c r="P2040" s="865" t="s">
        <v>593</v>
      </c>
      <c r="Q2040" s="865" t="s">
        <v>70</v>
      </c>
      <c r="R2040" s="867">
        <v>746687.3525</v>
      </c>
      <c r="S2040" s="867">
        <v>872812.5718</v>
      </c>
      <c r="T2040" s="868">
        <v>622562.42</v>
      </c>
      <c r="AN2040" s="882"/>
      <c r="AO2040" s="882"/>
      <c r="AP2040" s="882"/>
      <c r="AY2040" s="882"/>
      <c r="AZ2040" s="882"/>
      <c r="BA2040" s="882"/>
      <c r="BJ2040" s="882"/>
      <c r="BK2040" s="882"/>
      <c r="BL2040" s="882"/>
      <c r="BU2040" s="882"/>
      <c r="BV2040" s="882"/>
      <c r="BW2040" s="882"/>
      <c r="CF2040" s="882"/>
      <c r="CG2040" s="882"/>
      <c r="CH2040" s="882"/>
      <c r="CI2040" s="530"/>
    </row>
    <row r="2041">
      <c r="A2041" s="857"/>
      <c r="B2041" s="865" t="s">
        <v>685</v>
      </c>
      <c r="C2041" s="865" t="s">
        <v>591</v>
      </c>
      <c r="D2041" s="865" t="s">
        <v>633</v>
      </c>
      <c r="E2041" s="866">
        <v>2019.0</v>
      </c>
      <c r="F2041" s="865" t="s">
        <v>593</v>
      </c>
      <c r="G2041" s="865" t="s">
        <v>70</v>
      </c>
      <c r="H2041" s="867">
        <v>1069649.98</v>
      </c>
      <c r="I2041" s="867">
        <v>1351508.294</v>
      </c>
      <c r="J2041" s="868">
        <v>799298.8146</v>
      </c>
      <c r="K2041" s="50"/>
      <c r="L2041" s="869" t="s">
        <v>685</v>
      </c>
      <c r="M2041" s="865" t="s">
        <v>591</v>
      </c>
      <c r="N2041" s="865" t="s">
        <v>633</v>
      </c>
      <c r="O2041" s="866">
        <v>2004.0</v>
      </c>
      <c r="P2041" s="865" t="s">
        <v>593</v>
      </c>
      <c r="Q2041" s="865" t="s">
        <v>70</v>
      </c>
      <c r="R2041" s="867">
        <v>430700.9502</v>
      </c>
      <c r="S2041" s="867">
        <v>503451.9505</v>
      </c>
      <c r="T2041" s="868">
        <v>359103.7466</v>
      </c>
      <c r="AN2041" s="882"/>
      <c r="AO2041" s="882"/>
      <c r="AP2041" s="882"/>
      <c r="AY2041" s="882"/>
      <c r="AZ2041" s="882"/>
      <c r="BA2041" s="882"/>
      <c r="BJ2041" s="882"/>
      <c r="BK2041" s="882"/>
      <c r="BL2041" s="882"/>
      <c r="BU2041" s="882"/>
      <c r="BV2041" s="882"/>
      <c r="BW2041" s="882"/>
      <c r="CF2041" s="882"/>
      <c r="CG2041" s="882"/>
      <c r="CH2041" s="882"/>
      <c r="CI2041" s="530"/>
    </row>
    <row r="2042">
      <c r="A2042" s="857"/>
      <c r="B2042" s="865" t="s">
        <v>685</v>
      </c>
      <c r="C2042" s="865" t="s">
        <v>591</v>
      </c>
      <c r="D2042" s="865" t="s">
        <v>635</v>
      </c>
      <c r="E2042" s="866">
        <v>2019.0</v>
      </c>
      <c r="F2042" s="865" t="s">
        <v>593</v>
      </c>
      <c r="G2042" s="865" t="s">
        <v>70</v>
      </c>
      <c r="H2042" s="867">
        <v>972830.1803</v>
      </c>
      <c r="I2042" s="867">
        <v>1229175.975</v>
      </c>
      <c r="J2042" s="868">
        <v>726949.9594</v>
      </c>
      <c r="K2042" s="50"/>
      <c r="L2042" s="869" t="s">
        <v>685</v>
      </c>
      <c r="M2042" s="865" t="s">
        <v>591</v>
      </c>
      <c r="N2042" s="865" t="s">
        <v>635</v>
      </c>
      <c r="O2042" s="866">
        <v>2004.0</v>
      </c>
      <c r="P2042" s="865" t="s">
        <v>593</v>
      </c>
      <c r="Q2042" s="865" t="s">
        <v>70</v>
      </c>
      <c r="R2042" s="867">
        <v>389061.6566</v>
      </c>
      <c r="S2042" s="867">
        <v>454779.2378</v>
      </c>
      <c r="T2042" s="868">
        <v>324386.3253</v>
      </c>
      <c r="AN2042" s="882"/>
      <c r="AO2042" s="882"/>
      <c r="AP2042" s="882"/>
      <c r="AY2042" s="882"/>
      <c r="AZ2042" s="882"/>
      <c r="BA2042" s="882"/>
      <c r="BJ2042" s="882"/>
      <c r="BK2042" s="882"/>
      <c r="BL2042" s="882"/>
      <c r="BU2042" s="882"/>
      <c r="BV2042" s="882"/>
      <c r="BW2042" s="882"/>
      <c r="CF2042" s="882"/>
      <c r="CG2042" s="882"/>
      <c r="CH2042" s="882"/>
      <c r="CI2042" s="530"/>
    </row>
    <row r="2043">
      <c r="A2043" s="857"/>
      <c r="B2043" s="865" t="s">
        <v>685</v>
      </c>
      <c r="C2043" s="865" t="s">
        <v>591</v>
      </c>
      <c r="D2043" s="865" t="s">
        <v>637</v>
      </c>
      <c r="E2043" s="866">
        <v>2019.0</v>
      </c>
      <c r="F2043" s="865" t="s">
        <v>593</v>
      </c>
      <c r="G2043" s="865" t="s">
        <v>70</v>
      </c>
      <c r="H2043" s="867">
        <v>650433.7408</v>
      </c>
      <c r="I2043" s="867">
        <v>821826.4026</v>
      </c>
      <c r="J2043" s="868">
        <v>486038.356</v>
      </c>
      <c r="K2043" s="50"/>
      <c r="L2043" s="869" t="s">
        <v>685</v>
      </c>
      <c r="M2043" s="865" t="s">
        <v>591</v>
      </c>
      <c r="N2043" s="865" t="s">
        <v>637</v>
      </c>
      <c r="O2043" s="866">
        <v>2004.0</v>
      </c>
      <c r="P2043" s="865" t="s">
        <v>593</v>
      </c>
      <c r="Q2043" s="865" t="s">
        <v>70</v>
      </c>
      <c r="R2043" s="867">
        <v>390078.407</v>
      </c>
      <c r="S2043" s="867">
        <v>455967.7306</v>
      </c>
      <c r="T2043" s="868">
        <v>325234.0571</v>
      </c>
      <c r="AN2043" s="882"/>
      <c r="AO2043" s="882"/>
      <c r="AP2043" s="882"/>
      <c r="AY2043" s="882"/>
      <c r="AZ2043" s="882"/>
      <c r="BA2043" s="882"/>
      <c r="BJ2043" s="882"/>
      <c r="BK2043" s="882"/>
      <c r="BL2043" s="882"/>
      <c r="BU2043" s="882"/>
      <c r="BV2043" s="882"/>
      <c r="BW2043" s="882"/>
      <c r="CF2043" s="882"/>
      <c r="CG2043" s="882"/>
      <c r="CH2043" s="882"/>
      <c r="CI2043" s="530"/>
    </row>
    <row r="2044">
      <c r="A2044" s="857"/>
      <c r="B2044" s="865" t="s">
        <v>685</v>
      </c>
      <c r="C2044" s="865" t="s">
        <v>591</v>
      </c>
      <c r="D2044" s="865" t="s">
        <v>639</v>
      </c>
      <c r="E2044" s="866">
        <v>2019.0</v>
      </c>
      <c r="F2044" s="865" t="s">
        <v>593</v>
      </c>
      <c r="G2044" s="865" t="s">
        <v>70</v>
      </c>
      <c r="H2044" s="867">
        <v>8067493.926</v>
      </c>
      <c r="I2044" s="867">
        <v>1.019360696E7</v>
      </c>
      <c r="J2044" s="868">
        <v>6028333.525</v>
      </c>
      <c r="K2044" s="50"/>
      <c r="L2044" s="869" t="s">
        <v>685</v>
      </c>
      <c r="M2044" s="865" t="s">
        <v>591</v>
      </c>
      <c r="N2044" s="865" t="s">
        <v>639</v>
      </c>
      <c r="O2044" s="866">
        <v>2004.0</v>
      </c>
      <c r="P2044" s="865" t="s">
        <v>593</v>
      </c>
      <c r="Q2044" s="865" t="s">
        <v>70</v>
      </c>
      <c r="R2044" s="867">
        <v>4635065.8</v>
      </c>
      <c r="S2044" s="867">
        <v>5418358.103</v>
      </c>
      <c r="T2044" s="868">
        <v>3864552.408</v>
      </c>
      <c r="AN2044" s="882"/>
      <c r="AO2044" s="882"/>
      <c r="AP2044" s="882"/>
      <c r="AY2044" s="882"/>
      <c r="AZ2044" s="882"/>
      <c r="BA2044" s="882"/>
      <c r="BJ2044" s="882"/>
      <c r="BK2044" s="882"/>
      <c r="BL2044" s="882"/>
      <c r="BU2044" s="882"/>
      <c r="BV2044" s="882"/>
      <c r="BW2044" s="882"/>
      <c r="CF2044" s="882"/>
      <c r="CG2044" s="882"/>
      <c r="CH2044" s="882"/>
      <c r="CI2044" s="530"/>
    </row>
    <row r="2045">
      <c r="A2045" s="857"/>
      <c r="B2045" s="865" t="s">
        <v>685</v>
      </c>
      <c r="C2045" s="865" t="s">
        <v>591</v>
      </c>
      <c r="D2045" s="865" t="s">
        <v>641</v>
      </c>
      <c r="E2045" s="866">
        <v>2019.0</v>
      </c>
      <c r="F2045" s="865" t="s">
        <v>593</v>
      </c>
      <c r="G2045" s="865" t="s">
        <v>70</v>
      </c>
      <c r="H2045" s="867">
        <v>3103617.778</v>
      </c>
      <c r="I2045" s="867">
        <v>3921437.148</v>
      </c>
      <c r="J2045" s="868">
        <v>2319186.703</v>
      </c>
      <c r="K2045" s="50"/>
      <c r="L2045" s="869" t="s">
        <v>685</v>
      </c>
      <c r="M2045" s="865" t="s">
        <v>591</v>
      </c>
      <c r="N2045" s="865" t="s">
        <v>641</v>
      </c>
      <c r="O2045" s="866">
        <v>2004.0</v>
      </c>
      <c r="P2045" s="865" t="s">
        <v>593</v>
      </c>
      <c r="Q2045" s="865" t="s">
        <v>70</v>
      </c>
      <c r="R2045" s="867">
        <v>1876653.876</v>
      </c>
      <c r="S2045" s="867">
        <v>2193645.158</v>
      </c>
      <c r="T2045" s="868">
        <v>1564689.926</v>
      </c>
      <c r="AN2045" s="882"/>
      <c r="AO2045" s="882"/>
      <c r="AP2045" s="882"/>
      <c r="AY2045" s="882"/>
      <c r="AZ2045" s="882"/>
      <c r="BA2045" s="882"/>
      <c r="BJ2045" s="882"/>
      <c r="BK2045" s="882"/>
      <c r="BL2045" s="882"/>
      <c r="BU2045" s="882"/>
      <c r="BV2045" s="882"/>
      <c r="BW2045" s="882"/>
      <c r="CF2045" s="882"/>
      <c r="CG2045" s="882"/>
      <c r="CH2045" s="882"/>
      <c r="CI2045" s="530"/>
    </row>
    <row r="2046">
      <c r="A2046" s="857"/>
      <c r="B2046" s="865" t="s">
        <v>685</v>
      </c>
      <c r="C2046" s="865" t="s">
        <v>591</v>
      </c>
      <c r="D2046" s="865" t="s">
        <v>643</v>
      </c>
      <c r="E2046" s="866">
        <v>2019.0</v>
      </c>
      <c r="F2046" s="865" t="s">
        <v>593</v>
      </c>
      <c r="G2046" s="865" t="s">
        <v>70</v>
      </c>
      <c r="H2046" s="867">
        <v>359031.2839</v>
      </c>
      <c r="I2046" s="867">
        <v>453637.888</v>
      </c>
      <c r="J2046" s="868">
        <v>268287.0891</v>
      </c>
      <c r="K2046" s="50"/>
      <c r="L2046" s="869" t="s">
        <v>685</v>
      </c>
      <c r="M2046" s="865" t="s">
        <v>591</v>
      </c>
      <c r="N2046" s="865" t="s">
        <v>643</v>
      </c>
      <c r="O2046" s="866">
        <v>2004.0</v>
      </c>
      <c r="P2046" s="865" t="s">
        <v>593</v>
      </c>
      <c r="Q2046" s="865" t="s">
        <v>70</v>
      </c>
      <c r="R2046" s="867">
        <v>341661.5642</v>
      </c>
      <c r="S2046" s="867">
        <v>399372.6525</v>
      </c>
      <c r="T2046" s="868">
        <v>284865.7467</v>
      </c>
      <c r="AN2046" s="882"/>
      <c r="AO2046" s="882"/>
      <c r="AP2046" s="882"/>
      <c r="AY2046" s="882"/>
      <c r="AZ2046" s="882"/>
      <c r="BA2046" s="882"/>
      <c r="BJ2046" s="882"/>
      <c r="BK2046" s="882"/>
      <c r="BL2046" s="882"/>
      <c r="BU2046" s="882"/>
      <c r="BV2046" s="882"/>
      <c r="BW2046" s="882"/>
      <c r="CF2046" s="882"/>
      <c r="CG2046" s="882"/>
      <c r="CH2046" s="882"/>
      <c r="CI2046" s="530"/>
    </row>
    <row r="2047">
      <c r="A2047" s="857"/>
      <c r="B2047" s="865" t="s">
        <v>685</v>
      </c>
      <c r="C2047" s="865" t="s">
        <v>591</v>
      </c>
      <c r="D2047" s="865" t="s">
        <v>645</v>
      </c>
      <c r="E2047" s="866">
        <v>2019.0</v>
      </c>
      <c r="F2047" s="865" t="s">
        <v>593</v>
      </c>
      <c r="G2047" s="865" t="s">
        <v>70</v>
      </c>
      <c r="H2047" s="867">
        <v>1149491.242</v>
      </c>
      <c r="I2047" s="867">
        <v>1452388.143</v>
      </c>
      <c r="J2047" s="868">
        <v>858960.4116</v>
      </c>
      <c r="K2047" s="50"/>
      <c r="L2047" s="869" t="s">
        <v>685</v>
      </c>
      <c r="M2047" s="865" t="s">
        <v>591</v>
      </c>
      <c r="N2047" s="865" t="s">
        <v>645</v>
      </c>
      <c r="O2047" s="866">
        <v>2004.0</v>
      </c>
      <c r="P2047" s="865" t="s">
        <v>593</v>
      </c>
      <c r="Q2047" s="865" t="s">
        <v>70</v>
      </c>
      <c r="R2047" s="867">
        <v>849020.3646</v>
      </c>
      <c r="S2047" s="867">
        <v>992430.9624</v>
      </c>
      <c r="T2047" s="868">
        <v>707884.1914</v>
      </c>
      <c r="AN2047" s="882"/>
      <c r="AO2047" s="882"/>
      <c r="AP2047" s="882"/>
      <c r="AY2047" s="882"/>
      <c r="AZ2047" s="882"/>
      <c r="BA2047" s="882"/>
      <c r="BJ2047" s="882"/>
      <c r="BK2047" s="882"/>
      <c r="BL2047" s="882"/>
      <c r="BU2047" s="882"/>
      <c r="BV2047" s="882"/>
      <c r="BW2047" s="882"/>
      <c r="CF2047" s="882"/>
      <c r="CG2047" s="882"/>
      <c r="CH2047" s="882"/>
      <c r="CI2047" s="530"/>
    </row>
    <row r="2048">
      <c r="A2048" s="857"/>
      <c r="B2048" s="865" t="s">
        <v>685</v>
      </c>
      <c r="C2048" s="865" t="s">
        <v>591</v>
      </c>
      <c r="D2048" s="865" t="s">
        <v>604</v>
      </c>
      <c r="E2048" s="866">
        <v>2019.0</v>
      </c>
      <c r="F2048" s="865" t="s">
        <v>593</v>
      </c>
      <c r="G2048" s="865" t="s">
        <v>70</v>
      </c>
      <c r="H2048" s="867">
        <v>5768144.606</v>
      </c>
      <c r="I2048" s="867">
        <v>7288080.605</v>
      </c>
      <c r="J2048" s="868">
        <v>4310261.515</v>
      </c>
      <c r="K2048" s="50"/>
      <c r="L2048" s="869" t="s">
        <v>685</v>
      </c>
      <c r="M2048" s="865" t="s">
        <v>591</v>
      </c>
      <c r="N2048" s="865" t="s">
        <v>604</v>
      </c>
      <c r="O2048" s="866">
        <v>2004.0</v>
      </c>
      <c r="P2048" s="865" t="s">
        <v>593</v>
      </c>
      <c r="Q2048" s="865" t="s">
        <v>70</v>
      </c>
      <c r="R2048" s="867">
        <v>3377840.632</v>
      </c>
      <c r="S2048" s="867">
        <v>3948401.91</v>
      </c>
      <c r="T2048" s="868">
        <v>2816328.187</v>
      </c>
      <c r="AN2048" s="882"/>
      <c r="AO2048" s="882"/>
      <c r="AP2048" s="882"/>
      <c r="AY2048" s="882"/>
      <c r="AZ2048" s="882"/>
      <c r="BA2048" s="882"/>
      <c r="BJ2048" s="882"/>
      <c r="BK2048" s="882"/>
      <c r="BL2048" s="882"/>
      <c r="BU2048" s="882"/>
      <c r="BV2048" s="882"/>
      <c r="BW2048" s="882"/>
      <c r="CF2048" s="882"/>
      <c r="CG2048" s="882"/>
      <c r="CH2048" s="882"/>
      <c r="CI2048" s="530"/>
    </row>
    <row r="2049">
      <c r="A2049" s="857"/>
      <c r="B2049" s="865" t="s">
        <v>685</v>
      </c>
      <c r="C2049" s="865" t="s">
        <v>591</v>
      </c>
      <c r="D2049" s="865" t="s">
        <v>647</v>
      </c>
      <c r="E2049" s="866">
        <v>2019.0</v>
      </c>
      <c r="F2049" s="865" t="s">
        <v>593</v>
      </c>
      <c r="G2049" s="865" t="s">
        <v>70</v>
      </c>
      <c r="H2049" s="867">
        <v>1017952.053</v>
      </c>
      <c r="I2049" s="867">
        <v>1286223.854</v>
      </c>
      <c r="J2049" s="868">
        <v>760651.8881</v>
      </c>
      <c r="K2049" s="50"/>
      <c r="L2049" s="869" t="s">
        <v>685</v>
      </c>
      <c r="M2049" s="865" t="s">
        <v>591</v>
      </c>
      <c r="N2049" s="865" t="s">
        <v>647</v>
      </c>
      <c r="O2049" s="866">
        <v>2004.0</v>
      </c>
      <c r="P2049" s="865" t="s">
        <v>593</v>
      </c>
      <c r="Q2049" s="865" t="s">
        <v>70</v>
      </c>
      <c r="R2049" s="867">
        <v>625443.5665</v>
      </c>
      <c r="S2049" s="867">
        <v>731138.966</v>
      </c>
      <c r="T2049" s="868">
        <v>521472.5195</v>
      </c>
      <c r="AN2049" s="882"/>
      <c r="AO2049" s="882"/>
      <c r="AP2049" s="882"/>
      <c r="AY2049" s="882"/>
      <c r="AZ2049" s="882"/>
      <c r="BA2049" s="882"/>
      <c r="BJ2049" s="882"/>
      <c r="BK2049" s="882"/>
      <c r="BL2049" s="882"/>
      <c r="BU2049" s="882"/>
      <c r="BV2049" s="882"/>
      <c r="BW2049" s="882"/>
      <c r="CF2049" s="882"/>
      <c r="CG2049" s="882"/>
      <c r="CH2049" s="882"/>
      <c r="CI2049" s="530"/>
    </row>
    <row r="2050">
      <c r="A2050" s="857"/>
      <c r="B2050" s="865" t="s">
        <v>685</v>
      </c>
      <c r="C2050" s="865" t="s">
        <v>591</v>
      </c>
      <c r="D2050" s="865" t="s">
        <v>649</v>
      </c>
      <c r="E2050" s="866">
        <v>2019.0</v>
      </c>
      <c r="F2050" s="865" t="s">
        <v>593</v>
      </c>
      <c r="G2050" s="865" t="s">
        <v>70</v>
      </c>
      <c r="H2050" s="867">
        <v>303431.097</v>
      </c>
      <c r="I2050" s="867">
        <v>383386.7638</v>
      </c>
      <c r="J2050" s="868">
        <v>226739.7005</v>
      </c>
      <c r="K2050" s="50"/>
      <c r="L2050" s="869" t="s">
        <v>685</v>
      </c>
      <c r="M2050" s="865" t="s">
        <v>591</v>
      </c>
      <c r="N2050" s="865" t="s">
        <v>649</v>
      </c>
      <c r="O2050" s="866">
        <v>2004.0</v>
      </c>
      <c r="P2050" s="865" t="s">
        <v>593</v>
      </c>
      <c r="Q2050" s="865" t="s">
        <v>70</v>
      </c>
      <c r="R2050" s="867">
        <v>239134.3339</v>
      </c>
      <c r="S2050" s="867">
        <v>279527.2376</v>
      </c>
      <c r="T2050" s="868">
        <v>199382.0427</v>
      </c>
      <c r="AN2050" s="882"/>
      <c r="AO2050" s="882"/>
      <c r="AP2050" s="882"/>
      <c r="AY2050" s="882"/>
      <c r="AZ2050" s="882"/>
      <c r="BA2050" s="882"/>
      <c r="BJ2050" s="882"/>
      <c r="BK2050" s="882"/>
      <c r="BL2050" s="882"/>
      <c r="BU2050" s="882"/>
      <c r="BV2050" s="882"/>
      <c r="BW2050" s="882"/>
      <c r="CF2050" s="882"/>
      <c r="CG2050" s="882"/>
      <c r="CH2050" s="882"/>
      <c r="CI2050" s="530"/>
    </row>
    <row r="2051">
      <c r="A2051" s="857"/>
      <c r="B2051" s="865" t="s">
        <v>685</v>
      </c>
      <c r="C2051" s="865" t="s">
        <v>591</v>
      </c>
      <c r="D2051" s="865" t="s">
        <v>651</v>
      </c>
      <c r="E2051" s="866">
        <v>2019.0</v>
      </c>
      <c r="F2051" s="865" t="s">
        <v>593</v>
      </c>
      <c r="G2051" s="865" t="s">
        <v>70</v>
      </c>
      <c r="H2051" s="867">
        <v>275293.9153</v>
      </c>
      <c r="I2051" s="867">
        <v>347835.2889</v>
      </c>
      <c r="J2051" s="868">
        <v>205714.116</v>
      </c>
      <c r="K2051" s="50"/>
      <c r="L2051" s="869" t="s">
        <v>685</v>
      </c>
      <c r="M2051" s="865" t="s">
        <v>591</v>
      </c>
      <c r="N2051" s="865" t="s">
        <v>651</v>
      </c>
      <c r="O2051" s="866">
        <v>2004.0</v>
      </c>
      <c r="P2051" s="865" t="s">
        <v>593</v>
      </c>
      <c r="Q2051" s="865" t="s">
        <v>70</v>
      </c>
      <c r="R2051" s="867">
        <v>162264.1282</v>
      </c>
      <c r="S2051" s="867">
        <v>189672.6529</v>
      </c>
      <c r="T2051" s="868">
        <v>135290.2898</v>
      </c>
      <c r="AN2051" s="882"/>
      <c r="AO2051" s="882"/>
      <c r="AP2051" s="882"/>
      <c r="AY2051" s="882"/>
      <c r="AZ2051" s="882"/>
      <c r="BA2051" s="882"/>
      <c r="BJ2051" s="882"/>
      <c r="BK2051" s="882"/>
      <c r="BL2051" s="882"/>
      <c r="BU2051" s="882"/>
      <c r="BV2051" s="882"/>
      <c r="BW2051" s="882"/>
      <c r="CF2051" s="882"/>
      <c r="CG2051" s="882"/>
      <c r="CH2051" s="882"/>
      <c r="CI2051" s="530"/>
    </row>
    <row r="2052">
      <c r="A2052" s="857"/>
      <c r="B2052" s="865" t="s">
        <v>685</v>
      </c>
      <c r="C2052" s="865" t="s">
        <v>591</v>
      </c>
      <c r="D2052" s="865" t="s">
        <v>653</v>
      </c>
      <c r="E2052" s="866">
        <v>2019.0</v>
      </c>
      <c r="F2052" s="865" t="s">
        <v>593</v>
      </c>
      <c r="G2052" s="865" t="s">
        <v>70</v>
      </c>
      <c r="H2052" s="867">
        <v>211734.9462</v>
      </c>
      <c r="I2052" s="867">
        <v>267528.202</v>
      </c>
      <c r="J2052" s="868">
        <v>158219.506</v>
      </c>
      <c r="K2052" s="50"/>
      <c r="L2052" s="869" t="s">
        <v>685</v>
      </c>
      <c r="M2052" s="865" t="s">
        <v>591</v>
      </c>
      <c r="N2052" s="865" t="s">
        <v>653</v>
      </c>
      <c r="O2052" s="866">
        <v>2004.0</v>
      </c>
      <c r="P2052" s="865" t="s">
        <v>593</v>
      </c>
      <c r="Q2052" s="865" t="s">
        <v>70</v>
      </c>
      <c r="R2052" s="867">
        <v>105960.3383</v>
      </c>
      <c r="S2052" s="867">
        <v>123858.4195</v>
      </c>
      <c r="T2052" s="868">
        <v>88346.11221</v>
      </c>
      <c r="AN2052" s="882"/>
      <c r="AO2052" s="882"/>
      <c r="AP2052" s="882"/>
      <c r="AY2052" s="882"/>
      <c r="AZ2052" s="882"/>
      <c r="BA2052" s="882"/>
      <c r="BJ2052" s="882"/>
      <c r="BK2052" s="882"/>
      <c r="BL2052" s="882"/>
      <c r="BU2052" s="882"/>
      <c r="BV2052" s="882"/>
      <c r="BW2052" s="882"/>
      <c r="CF2052" s="882"/>
      <c r="CG2052" s="882"/>
      <c r="CH2052" s="882"/>
      <c r="CI2052" s="530"/>
    </row>
    <row r="2053">
      <c r="A2053" s="857"/>
      <c r="B2053" s="865" t="s">
        <v>685</v>
      </c>
      <c r="C2053" s="865" t="s">
        <v>591</v>
      </c>
      <c r="D2053" s="865" t="s">
        <v>655</v>
      </c>
      <c r="E2053" s="866">
        <v>2019.0</v>
      </c>
      <c r="F2053" s="865" t="s">
        <v>593</v>
      </c>
      <c r="G2053" s="865" t="s">
        <v>70</v>
      </c>
      <c r="H2053" s="867">
        <v>334809.5834</v>
      </c>
      <c r="I2053" s="867">
        <v>423045.5368</v>
      </c>
      <c r="J2053" s="868">
        <v>250182.2567</v>
      </c>
      <c r="K2053" s="50"/>
      <c r="L2053" s="869" t="s">
        <v>685</v>
      </c>
      <c r="M2053" s="865" t="s">
        <v>591</v>
      </c>
      <c r="N2053" s="865" t="s">
        <v>655</v>
      </c>
      <c r="O2053" s="866">
        <v>2004.0</v>
      </c>
      <c r="P2053" s="865" t="s">
        <v>593</v>
      </c>
      <c r="Q2053" s="865" t="s">
        <v>70</v>
      </c>
      <c r="R2053" s="867">
        <v>170041.7078</v>
      </c>
      <c r="S2053" s="867">
        <v>198777.5158</v>
      </c>
      <c r="T2053" s="868">
        <v>141774.706</v>
      </c>
      <c r="AN2053" s="882"/>
      <c r="AO2053" s="882"/>
      <c r="AP2053" s="882"/>
      <c r="AY2053" s="882"/>
      <c r="AZ2053" s="882"/>
      <c r="BA2053" s="882"/>
      <c r="BJ2053" s="882"/>
      <c r="BK2053" s="882"/>
      <c r="BL2053" s="882"/>
      <c r="BU2053" s="882"/>
      <c r="BV2053" s="882"/>
      <c r="BW2053" s="882"/>
      <c r="CF2053" s="882"/>
      <c r="CG2053" s="882"/>
      <c r="CH2053" s="882"/>
      <c r="CI2053" s="530"/>
    </row>
    <row r="2054">
      <c r="A2054" s="857"/>
      <c r="B2054" s="865" t="s">
        <v>685</v>
      </c>
      <c r="C2054" s="865" t="s">
        <v>591</v>
      </c>
      <c r="D2054" s="865" t="s">
        <v>657</v>
      </c>
      <c r="E2054" s="866">
        <v>2019.0</v>
      </c>
      <c r="F2054" s="865" t="s">
        <v>593</v>
      </c>
      <c r="G2054" s="865" t="s">
        <v>70</v>
      </c>
      <c r="H2054" s="867">
        <v>123083.5702</v>
      </c>
      <c r="I2054" s="867">
        <v>155516.7288</v>
      </c>
      <c r="J2054" s="868">
        <v>91974.52768</v>
      </c>
      <c r="K2054" s="50"/>
      <c r="L2054" s="869" t="s">
        <v>685</v>
      </c>
      <c r="M2054" s="865" t="s">
        <v>591</v>
      </c>
      <c r="N2054" s="865" t="s">
        <v>657</v>
      </c>
      <c r="O2054" s="866">
        <v>2004.0</v>
      </c>
      <c r="P2054" s="865" t="s">
        <v>593</v>
      </c>
      <c r="Q2054" s="865" t="s">
        <v>70</v>
      </c>
      <c r="R2054" s="867">
        <v>64084.80573</v>
      </c>
      <c r="S2054" s="867">
        <v>74909.56411</v>
      </c>
      <c r="T2054" s="868">
        <v>53431.72294</v>
      </c>
      <c r="AN2054" s="882"/>
      <c r="AO2054" s="882"/>
      <c r="AP2054" s="882"/>
      <c r="AY2054" s="882"/>
      <c r="AZ2054" s="882"/>
      <c r="BA2054" s="882"/>
      <c r="BJ2054" s="882"/>
      <c r="BK2054" s="882"/>
      <c r="BL2054" s="882"/>
      <c r="BU2054" s="882"/>
      <c r="BV2054" s="882"/>
      <c r="BW2054" s="882"/>
      <c r="CF2054" s="882"/>
      <c r="CG2054" s="882"/>
      <c r="CH2054" s="882"/>
      <c r="CI2054" s="530"/>
    </row>
    <row r="2055">
      <c r="A2055" s="857"/>
      <c r="B2055" s="865" t="s">
        <v>685</v>
      </c>
      <c r="C2055" s="865" t="s">
        <v>591</v>
      </c>
      <c r="D2055" s="865" t="s">
        <v>659</v>
      </c>
      <c r="E2055" s="866">
        <v>2019.0</v>
      </c>
      <c r="F2055" s="865" t="s">
        <v>593</v>
      </c>
      <c r="G2055" s="865" t="s">
        <v>70</v>
      </c>
      <c r="H2055" s="867">
        <v>227519.2541</v>
      </c>
      <c r="I2055" s="867">
        <v>287471.7568</v>
      </c>
      <c r="J2055" s="868">
        <v>170014.3724</v>
      </c>
      <c r="K2055" s="50"/>
      <c r="L2055" s="869" t="s">
        <v>685</v>
      </c>
      <c r="M2055" s="865" t="s">
        <v>591</v>
      </c>
      <c r="N2055" s="865" t="s">
        <v>659</v>
      </c>
      <c r="O2055" s="866">
        <v>2004.0</v>
      </c>
      <c r="P2055" s="865" t="s">
        <v>593</v>
      </c>
      <c r="Q2055" s="865" t="s">
        <v>70</v>
      </c>
      <c r="R2055" s="867">
        <v>118097.4052</v>
      </c>
      <c r="S2055" s="867">
        <v>138045.5951</v>
      </c>
      <c r="T2055" s="868">
        <v>98465.58416</v>
      </c>
      <c r="AN2055" s="882"/>
      <c r="AO2055" s="882"/>
      <c r="AP2055" s="882"/>
      <c r="AY2055" s="882"/>
      <c r="AZ2055" s="882"/>
      <c r="BA2055" s="882"/>
      <c r="BJ2055" s="882"/>
      <c r="BK2055" s="882"/>
      <c r="BL2055" s="882"/>
      <c r="BU2055" s="882"/>
      <c r="BV2055" s="882"/>
      <c r="BW2055" s="882"/>
      <c r="CF2055" s="882"/>
      <c r="CG2055" s="882"/>
      <c r="CH2055" s="882"/>
      <c r="CI2055" s="530"/>
    </row>
    <row r="2056">
      <c r="A2056" s="857"/>
      <c r="B2056" s="865" t="s">
        <v>685</v>
      </c>
      <c r="C2056" s="865" t="s">
        <v>591</v>
      </c>
      <c r="D2056" s="865" t="s">
        <v>661</v>
      </c>
      <c r="E2056" s="866">
        <v>2019.0</v>
      </c>
      <c r="F2056" s="865" t="s">
        <v>593</v>
      </c>
      <c r="G2056" s="865" t="s">
        <v>70</v>
      </c>
      <c r="H2056" s="867">
        <v>104432.8976</v>
      </c>
      <c r="I2056" s="867">
        <v>131955.2169</v>
      </c>
      <c r="J2056" s="868">
        <v>78036.17124</v>
      </c>
      <c r="K2056" s="50"/>
      <c r="L2056" s="869" t="s">
        <v>685</v>
      </c>
      <c r="M2056" s="865" t="s">
        <v>591</v>
      </c>
      <c r="N2056" s="865" t="s">
        <v>661</v>
      </c>
      <c r="O2056" s="866">
        <v>2004.0</v>
      </c>
      <c r="P2056" s="865" t="s">
        <v>593</v>
      </c>
      <c r="Q2056" s="865" t="s">
        <v>70</v>
      </c>
      <c r="R2056" s="867">
        <v>54011.50796</v>
      </c>
      <c r="S2056" s="867">
        <v>63139.05874</v>
      </c>
      <c r="T2056" s="868">
        <v>45032.86731</v>
      </c>
      <c r="AN2056" s="882"/>
      <c r="AO2056" s="882"/>
      <c r="AP2056" s="882"/>
      <c r="AY2056" s="882"/>
      <c r="AZ2056" s="882"/>
      <c r="BA2056" s="882"/>
      <c r="BJ2056" s="882"/>
      <c r="BK2056" s="882"/>
      <c r="BL2056" s="882"/>
      <c r="BU2056" s="882"/>
      <c r="BV2056" s="882"/>
      <c r="BW2056" s="882"/>
      <c r="CF2056" s="882"/>
      <c r="CG2056" s="882"/>
      <c r="CH2056" s="882"/>
      <c r="CI2056" s="530"/>
    </row>
    <row r="2057">
      <c r="A2057" s="857"/>
      <c r="B2057" s="865" t="s">
        <v>685</v>
      </c>
      <c r="C2057" s="865" t="s">
        <v>591</v>
      </c>
      <c r="D2057" s="865" t="s">
        <v>663</v>
      </c>
      <c r="E2057" s="866">
        <v>2019.0</v>
      </c>
      <c r="F2057" s="865" t="s">
        <v>593</v>
      </c>
      <c r="G2057" s="865" t="s">
        <v>70</v>
      </c>
      <c r="H2057" s="867">
        <v>63666.90661</v>
      </c>
      <c r="I2057" s="867">
        <v>80443.46648</v>
      </c>
      <c r="J2057" s="868">
        <v>47575.26659</v>
      </c>
      <c r="K2057" s="50"/>
      <c r="L2057" s="869" t="s">
        <v>685</v>
      </c>
      <c r="M2057" s="865" t="s">
        <v>591</v>
      </c>
      <c r="N2057" s="865" t="s">
        <v>663</v>
      </c>
      <c r="O2057" s="866">
        <v>2004.0</v>
      </c>
      <c r="P2057" s="865" t="s">
        <v>593</v>
      </c>
      <c r="Q2057" s="865" t="s">
        <v>70</v>
      </c>
      <c r="R2057" s="867">
        <v>33647.9374</v>
      </c>
      <c r="S2057" s="867">
        <v>39331.51229</v>
      </c>
      <c r="T2057" s="868">
        <v>28054.50135</v>
      </c>
      <c r="AN2057" s="882"/>
      <c r="AO2057" s="882"/>
      <c r="AP2057" s="882"/>
      <c r="AY2057" s="882"/>
      <c r="AZ2057" s="882"/>
      <c r="BA2057" s="882"/>
      <c r="BJ2057" s="882"/>
      <c r="BK2057" s="882"/>
      <c r="BL2057" s="882"/>
      <c r="BU2057" s="882"/>
      <c r="BV2057" s="882"/>
      <c r="BW2057" s="882"/>
      <c r="CF2057" s="882"/>
      <c r="CG2057" s="882"/>
      <c r="CH2057" s="882"/>
      <c r="CI2057" s="530"/>
    </row>
    <row r="2058">
      <c r="A2058" s="857"/>
      <c r="B2058" s="865" t="s">
        <v>685</v>
      </c>
      <c r="C2058" s="865" t="s">
        <v>591</v>
      </c>
      <c r="D2058" s="865" t="s">
        <v>665</v>
      </c>
      <c r="E2058" s="866">
        <v>2019.0</v>
      </c>
      <c r="F2058" s="865" t="s">
        <v>593</v>
      </c>
      <c r="G2058" s="865" t="s">
        <v>70</v>
      </c>
      <c r="H2058" s="867">
        <v>91816.71715</v>
      </c>
      <c r="I2058" s="867">
        <v>116014.1595</v>
      </c>
      <c r="J2058" s="868">
        <v>68608.88886</v>
      </c>
      <c r="K2058" s="50"/>
      <c r="L2058" s="869" t="s">
        <v>685</v>
      </c>
      <c r="M2058" s="865" t="s">
        <v>591</v>
      </c>
      <c r="N2058" s="865" t="s">
        <v>665</v>
      </c>
      <c r="O2058" s="866">
        <v>2004.0</v>
      </c>
      <c r="P2058" s="865" t="s">
        <v>593</v>
      </c>
      <c r="Q2058" s="865" t="s">
        <v>70</v>
      </c>
      <c r="R2058" s="867">
        <v>47578.28189</v>
      </c>
      <c r="S2058" s="867">
        <v>55618.66439</v>
      </c>
      <c r="T2058" s="868">
        <v>39669.07305</v>
      </c>
      <c r="AN2058" s="882"/>
      <c r="AO2058" s="882"/>
      <c r="AP2058" s="882"/>
      <c r="AY2058" s="882"/>
      <c r="AZ2058" s="882"/>
      <c r="BA2058" s="882"/>
      <c r="BJ2058" s="882"/>
      <c r="BK2058" s="882"/>
      <c r="BL2058" s="882"/>
      <c r="BU2058" s="882"/>
      <c r="BV2058" s="882"/>
      <c r="BW2058" s="882"/>
      <c r="CF2058" s="882"/>
      <c r="CG2058" s="882"/>
      <c r="CH2058" s="882"/>
      <c r="CI2058" s="530"/>
    </row>
    <row r="2059">
      <c r="A2059" s="857"/>
      <c r="B2059" s="865" t="s">
        <v>685</v>
      </c>
      <c r="C2059" s="865" t="s">
        <v>591</v>
      </c>
      <c r="D2059" s="865" t="s">
        <v>667</v>
      </c>
      <c r="E2059" s="866">
        <v>2019.0</v>
      </c>
      <c r="F2059" s="865" t="s">
        <v>593</v>
      </c>
      <c r="G2059" s="865" t="s">
        <v>70</v>
      </c>
      <c r="H2059" s="867">
        <v>40768.77731</v>
      </c>
      <c r="I2059" s="867">
        <v>51511.56144</v>
      </c>
      <c r="J2059" s="868">
        <v>30464.57811</v>
      </c>
      <c r="K2059" s="50"/>
      <c r="L2059" s="869" t="s">
        <v>685</v>
      </c>
      <c r="M2059" s="865" t="s">
        <v>591</v>
      </c>
      <c r="N2059" s="865" t="s">
        <v>667</v>
      </c>
      <c r="O2059" s="866">
        <v>2004.0</v>
      </c>
      <c r="P2059" s="865" t="s">
        <v>593</v>
      </c>
      <c r="Q2059" s="865" t="s">
        <v>70</v>
      </c>
      <c r="R2059" s="867">
        <v>20364.66203</v>
      </c>
      <c r="S2059" s="867">
        <v>23804.51869</v>
      </c>
      <c r="T2059" s="868">
        <v>16979.35988</v>
      </c>
      <c r="AN2059" s="882"/>
      <c r="AO2059" s="882"/>
      <c r="AP2059" s="882"/>
      <c r="AY2059" s="882"/>
      <c r="AZ2059" s="882"/>
      <c r="BA2059" s="882"/>
      <c r="BJ2059" s="882"/>
      <c r="BK2059" s="882"/>
      <c r="BL2059" s="882"/>
      <c r="BU2059" s="882"/>
      <c r="BV2059" s="882"/>
      <c r="BW2059" s="882"/>
      <c r="CF2059" s="882"/>
      <c r="CG2059" s="882"/>
      <c r="CH2059" s="882"/>
      <c r="CI2059" s="530"/>
    </row>
    <row r="2060">
      <c r="A2060" s="857"/>
      <c r="B2060" s="865" t="s">
        <v>685</v>
      </c>
      <c r="C2060" s="865" t="s">
        <v>591</v>
      </c>
      <c r="D2060" s="865" t="s">
        <v>669</v>
      </c>
      <c r="E2060" s="866">
        <v>2019.0</v>
      </c>
      <c r="F2060" s="865" t="s">
        <v>593</v>
      </c>
      <c r="G2060" s="865" t="s">
        <v>70</v>
      </c>
      <c r="H2060" s="867">
        <v>28152.26029</v>
      </c>
      <c r="I2060" s="867">
        <v>35570.52679</v>
      </c>
      <c r="J2060" s="868">
        <v>21036.85195</v>
      </c>
      <c r="K2060" s="50"/>
      <c r="L2060" s="869" t="s">
        <v>685</v>
      </c>
      <c r="M2060" s="865" t="s">
        <v>591</v>
      </c>
      <c r="N2060" s="865" t="s">
        <v>669</v>
      </c>
      <c r="O2060" s="866">
        <v>2004.0</v>
      </c>
      <c r="P2060" s="865" t="s">
        <v>593</v>
      </c>
      <c r="Q2060" s="865" t="s">
        <v>70</v>
      </c>
      <c r="R2060" s="867">
        <v>13931.30595</v>
      </c>
      <c r="S2060" s="867">
        <v>16284.48498</v>
      </c>
      <c r="T2060" s="868">
        <v>11615.44724</v>
      </c>
      <c r="AN2060" s="882"/>
      <c r="AO2060" s="882"/>
      <c r="AP2060" s="882"/>
      <c r="AY2060" s="882"/>
      <c r="AZ2060" s="882"/>
      <c r="BA2060" s="882"/>
      <c r="BJ2060" s="882"/>
      <c r="BK2060" s="882"/>
      <c r="BL2060" s="882"/>
      <c r="BU2060" s="882"/>
      <c r="BV2060" s="882"/>
      <c r="BW2060" s="882"/>
      <c r="CF2060" s="882"/>
      <c r="CG2060" s="882"/>
      <c r="CH2060" s="882"/>
      <c r="CI2060" s="530"/>
    </row>
    <row r="2061">
      <c r="A2061" s="857"/>
      <c r="B2061" s="865" t="s">
        <v>685</v>
      </c>
      <c r="C2061" s="865" t="s">
        <v>591</v>
      </c>
      <c r="D2061" s="865" t="s">
        <v>671</v>
      </c>
      <c r="E2061" s="866">
        <v>2019.0</v>
      </c>
      <c r="F2061" s="865" t="s">
        <v>593</v>
      </c>
      <c r="G2061" s="865" t="s">
        <v>70</v>
      </c>
      <c r="H2061" s="867">
        <v>12616.18041</v>
      </c>
      <c r="I2061" s="867">
        <v>15941.05748</v>
      </c>
      <c r="J2061" s="868">
        <v>9427.282377</v>
      </c>
      <c r="K2061" s="50"/>
      <c r="L2061" s="869" t="s">
        <v>685</v>
      </c>
      <c r="M2061" s="865" t="s">
        <v>591</v>
      </c>
      <c r="N2061" s="865" t="s">
        <v>671</v>
      </c>
      <c r="O2061" s="866">
        <v>2004.0</v>
      </c>
      <c r="P2061" s="865" t="s">
        <v>593</v>
      </c>
      <c r="Q2061" s="865" t="s">
        <v>70</v>
      </c>
      <c r="R2061" s="867">
        <v>6433.226074</v>
      </c>
      <c r="S2061" s="867">
        <v>7520.394343</v>
      </c>
      <c r="T2061" s="868">
        <v>5363.794255</v>
      </c>
      <c r="AN2061" s="882"/>
      <c r="AO2061" s="882"/>
      <c r="AP2061" s="882"/>
      <c r="AY2061" s="882"/>
      <c r="AZ2061" s="882"/>
      <c r="BA2061" s="882"/>
      <c r="BJ2061" s="882"/>
      <c r="BK2061" s="882"/>
      <c r="BL2061" s="882"/>
      <c r="BU2061" s="882"/>
      <c r="BV2061" s="882"/>
      <c r="BW2061" s="882"/>
      <c r="CF2061" s="882"/>
      <c r="CG2061" s="882"/>
      <c r="CH2061" s="882"/>
      <c r="CI2061" s="530"/>
    </row>
    <row r="2062">
      <c r="A2062" s="857"/>
      <c r="B2062" s="865" t="s">
        <v>685</v>
      </c>
      <c r="C2062" s="865" t="s">
        <v>591</v>
      </c>
      <c r="D2062" s="865" t="s">
        <v>673</v>
      </c>
      <c r="E2062" s="866">
        <v>2019.0</v>
      </c>
      <c r="F2062" s="865" t="s">
        <v>593</v>
      </c>
      <c r="G2062" s="865" t="s">
        <v>70</v>
      </c>
      <c r="H2062" s="867">
        <v>9710.729429</v>
      </c>
      <c r="I2062" s="867">
        <v>12269.55696</v>
      </c>
      <c r="J2062" s="868">
        <v>7256.368591</v>
      </c>
      <c r="K2062" s="50"/>
      <c r="L2062" s="869" t="s">
        <v>685</v>
      </c>
      <c r="M2062" s="865" t="s">
        <v>591</v>
      </c>
      <c r="N2062" s="865" t="s">
        <v>673</v>
      </c>
      <c r="O2062" s="866">
        <v>2004.0</v>
      </c>
      <c r="P2062" s="865" t="s">
        <v>593</v>
      </c>
      <c r="Q2062" s="865" t="s">
        <v>70</v>
      </c>
      <c r="R2062" s="867">
        <v>4589.103873</v>
      </c>
      <c r="S2062" s="867">
        <v>5364.263289</v>
      </c>
      <c r="T2062" s="868">
        <v>3826.238121</v>
      </c>
      <c r="AN2062" s="882"/>
      <c r="AO2062" s="882"/>
      <c r="AP2062" s="882"/>
      <c r="AY2062" s="882"/>
      <c r="AZ2062" s="882"/>
      <c r="BA2062" s="882"/>
      <c r="BJ2062" s="882"/>
      <c r="BK2062" s="882"/>
      <c r="BL2062" s="882"/>
      <c r="BU2062" s="882"/>
      <c r="BV2062" s="882"/>
      <c r="BW2062" s="882"/>
      <c r="CF2062" s="882"/>
      <c r="CG2062" s="882"/>
      <c r="CH2062" s="882"/>
      <c r="CI2062" s="530"/>
    </row>
    <row r="2063">
      <c r="A2063" s="857"/>
      <c r="B2063" s="865" t="s">
        <v>685</v>
      </c>
      <c r="C2063" s="865" t="s">
        <v>591</v>
      </c>
      <c r="D2063" s="865" t="s">
        <v>674</v>
      </c>
      <c r="E2063" s="866">
        <v>2019.0</v>
      </c>
      <c r="F2063" s="865" t="s">
        <v>593</v>
      </c>
      <c r="G2063" s="865" t="s">
        <v>70</v>
      </c>
      <c r="H2063" s="867">
        <v>2461.02894</v>
      </c>
      <c r="I2063" s="867">
        <v>3109.522821</v>
      </c>
      <c r="J2063" s="868">
        <v>1839.010471</v>
      </c>
      <c r="K2063" s="50"/>
      <c r="L2063" s="869" t="s">
        <v>685</v>
      </c>
      <c r="M2063" s="865" t="s">
        <v>591</v>
      </c>
      <c r="N2063" s="865" t="s">
        <v>674</v>
      </c>
      <c r="O2063" s="866">
        <v>2004.0</v>
      </c>
      <c r="P2063" s="865" t="s">
        <v>593</v>
      </c>
      <c r="Q2063" s="865" t="s">
        <v>70</v>
      </c>
      <c r="R2063" s="867">
        <v>1494.186816</v>
      </c>
      <c r="S2063" s="867">
        <v>1746.57443</v>
      </c>
      <c r="T2063" s="868">
        <v>1245.80195</v>
      </c>
      <c r="AN2063" s="882"/>
      <c r="AO2063" s="882"/>
      <c r="AP2063" s="882"/>
      <c r="AY2063" s="882"/>
      <c r="AZ2063" s="882"/>
      <c r="BA2063" s="882"/>
      <c r="BJ2063" s="882"/>
      <c r="BK2063" s="882"/>
      <c r="BL2063" s="882"/>
      <c r="BU2063" s="882"/>
      <c r="BV2063" s="882"/>
      <c r="BW2063" s="882"/>
      <c r="CF2063" s="882"/>
      <c r="CG2063" s="882"/>
      <c r="CH2063" s="882"/>
      <c r="CI2063" s="530"/>
    </row>
    <row r="2064">
      <c r="A2064" s="857"/>
      <c r="B2064" s="865" t="s">
        <v>685</v>
      </c>
      <c r="C2064" s="865" t="s">
        <v>591</v>
      </c>
      <c r="D2064" s="865" t="s">
        <v>676</v>
      </c>
      <c r="E2064" s="866">
        <v>2019.0</v>
      </c>
      <c r="F2064" s="865" t="s">
        <v>593</v>
      </c>
      <c r="G2064" s="865" t="s">
        <v>70</v>
      </c>
      <c r="H2064" s="867">
        <v>444.7586511</v>
      </c>
      <c r="I2064" s="867">
        <v>561.9548608</v>
      </c>
      <c r="J2064" s="868">
        <v>332.347094</v>
      </c>
      <c r="K2064" s="50"/>
      <c r="L2064" s="869" t="s">
        <v>685</v>
      </c>
      <c r="M2064" s="865" t="s">
        <v>591</v>
      </c>
      <c r="N2064" s="865" t="s">
        <v>676</v>
      </c>
      <c r="O2064" s="866">
        <v>2004.0</v>
      </c>
      <c r="P2064" s="865" t="s">
        <v>593</v>
      </c>
      <c r="Q2064" s="865" t="s">
        <v>70</v>
      </c>
      <c r="R2064" s="867">
        <v>350.0653878</v>
      </c>
      <c r="S2064" s="867">
        <v>409.1959913</v>
      </c>
      <c r="T2064" s="868">
        <v>291.8725679</v>
      </c>
      <c r="AN2064" s="882"/>
      <c r="AO2064" s="882"/>
      <c r="AP2064" s="882"/>
      <c r="AY2064" s="882"/>
      <c r="AZ2064" s="882"/>
      <c r="BA2064" s="882"/>
      <c r="BJ2064" s="882"/>
      <c r="BK2064" s="882"/>
      <c r="BL2064" s="882"/>
      <c r="BU2064" s="882"/>
      <c r="BV2064" s="882"/>
      <c r="BW2064" s="882"/>
      <c r="CF2064" s="882"/>
      <c r="CG2064" s="882"/>
      <c r="CH2064" s="882"/>
      <c r="CI2064" s="530"/>
    </row>
    <row r="2065">
      <c r="A2065" s="857"/>
      <c r="B2065" s="865" t="s">
        <v>685</v>
      </c>
      <c r="C2065" s="865" t="s">
        <v>591</v>
      </c>
      <c r="D2065" s="865" t="s">
        <v>678</v>
      </c>
      <c r="E2065" s="866">
        <v>2019.0</v>
      </c>
      <c r="F2065" s="865" t="s">
        <v>593</v>
      </c>
      <c r="G2065" s="865" t="s">
        <v>70</v>
      </c>
      <c r="H2065" s="867">
        <v>2.034311195E7</v>
      </c>
      <c r="I2065" s="867">
        <v>2.570362738E7</v>
      </c>
      <c r="J2065" s="868">
        <v>1.520144492E7</v>
      </c>
      <c r="K2065" s="50"/>
      <c r="L2065" s="869" t="s">
        <v>685</v>
      </c>
      <c r="M2065" s="865" t="s">
        <v>591</v>
      </c>
      <c r="N2065" s="865" t="s">
        <v>678</v>
      </c>
      <c r="O2065" s="866">
        <v>2004.0</v>
      </c>
      <c r="P2065" s="865" t="s">
        <v>593</v>
      </c>
      <c r="Q2065" s="865" t="s">
        <v>70</v>
      </c>
      <c r="R2065" s="867">
        <v>1.227067823E7</v>
      </c>
      <c r="S2065" s="867">
        <v>1.434335561E7</v>
      </c>
      <c r="T2065" s="868">
        <v>1.023087255E7</v>
      </c>
      <c r="AN2065" s="882"/>
      <c r="AO2065" s="882"/>
      <c r="AP2065" s="882"/>
      <c r="AY2065" s="882"/>
      <c r="AZ2065" s="882"/>
      <c r="BA2065" s="882"/>
      <c r="BJ2065" s="882"/>
      <c r="BK2065" s="882"/>
      <c r="BL2065" s="882"/>
      <c r="BU2065" s="882"/>
      <c r="BV2065" s="882"/>
      <c r="BW2065" s="882"/>
      <c r="CF2065" s="882"/>
      <c r="CG2065" s="882"/>
      <c r="CH2065" s="882"/>
      <c r="CI2065" s="530"/>
    </row>
    <row r="2066">
      <c r="A2066" s="857"/>
      <c r="B2066" s="865" t="s">
        <v>685</v>
      </c>
      <c r="C2066" s="865" t="s">
        <v>591</v>
      </c>
      <c r="D2066" s="865" t="s">
        <v>680</v>
      </c>
      <c r="E2066" s="866">
        <v>2019.0</v>
      </c>
      <c r="F2066" s="865" t="s">
        <v>593</v>
      </c>
      <c r="G2066" s="865" t="s">
        <v>70</v>
      </c>
      <c r="H2066" s="867">
        <v>871200.3634</v>
      </c>
      <c r="I2066" s="867">
        <v>941178.9169</v>
      </c>
      <c r="J2066" s="868">
        <v>805574.0937</v>
      </c>
      <c r="K2066" s="50"/>
      <c r="L2066" s="869" t="s">
        <v>685</v>
      </c>
      <c r="M2066" s="865" t="s">
        <v>591</v>
      </c>
      <c r="N2066" s="865" t="s">
        <v>680</v>
      </c>
      <c r="O2066" s="866">
        <v>2004.0</v>
      </c>
      <c r="P2066" s="865" t="s">
        <v>593</v>
      </c>
      <c r="Q2066" s="865" t="s">
        <v>70</v>
      </c>
      <c r="R2066" s="867">
        <v>593465.1445</v>
      </c>
      <c r="S2066" s="867">
        <v>622381.4557</v>
      </c>
      <c r="T2066" s="868">
        <v>562614.1202</v>
      </c>
      <c r="AN2066" s="882"/>
      <c r="AO2066" s="882"/>
      <c r="AP2066" s="882"/>
      <c r="AY2066" s="882"/>
      <c r="AZ2066" s="882"/>
      <c r="BA2066" s="882"/>
      <c r="BJ2066" s="882"/>
      <c r="BK2066" s="882"/>
      <c r="BL2066" s="882"/>
      <c r="BU2066" s="882"/>
      <c r="BV2066" s="882"/>
      <c r="BW2066" s="882"/>
      <c r="CF2066" s="882"/>
      <c r="CG2066" s="882"/>
      <c r="CH2066" s="882"/>
      <c r="CI2066" s="530"/>
    </row>
    <row r="2067">
      <c r="A2067" s="857"/>
      <c r="B2067" s="865" t="s">
        <v>685</v>
      </c>
      <c r="C2067" s="865" t="s">
        <v>591</v>
      </c>
      <c r="D2067" s="865" t="s">
        <v>682</v>
      </c>
      <c r="E2067" s="866">
        <v>2019.0</v>
      </c>
      <c r="F2067" s="865" t="s">
        <v>593</v>
      </c>
      <c r="G2067" s="865" t="s">
        <v>70</v>
      </c>
      <c r="H2067" s="867">
        <v>16529.25634</v>
      </c>
      <c r="I2067" s="867">
        <v>20884.80106</v>
      </c>
      <c r="J2067" s="868">
        <v>12351.5311</v>
      </c>
      <c r="K2067" s="50"/>
      <c r="L2067" s="869" t="s">
        <v>685</v>
      </c>
      <c r="M2067" s="865" t="s">
        <v>591</v>
      </c>
      <c r="N2067" s="865" t="s">
        <v>682</v>
      </c>
      <c r="O2067" s="866">
        <v>2004.0</v>
      </c>
      <c r="P2067" s="865" t="s">
        <v>593</v>
      </c>
      <c r="Q2067" s="865" t="s">
        <v>70</v>
      </c>
      <c r="R2067" s="867">
        <v>11294.69936</v>
      </c>
      <c r="S2067" s="867">
        <v>13202.52119</v>
      </c>
      <c r="T2067" s="868">
        <v>9417.134685</v>
      </c>
      <c r="AN2067" s="882"/>
      <c r="AO2067" s="882"/>
      <c r="AP2067" s="882"/>
      <c r="AY2067" s="882"/>
      <c r="AZ2067" s="882"/>
      <c r="BA2067" s="882"/>
      <c r="BJ2067" s="882"/>
      <c r="BK2067" s="882"/>
      <c r="BL2067" s="882"/>
      <c r="BU2067" s="882"/>
      <c r="BV2067" s="882"/>
      <c r="BW2067" s="882"/>
      <c r="CF2067" s="882"/>
      <c r="CG2067" s="882"/>
      <c r="CH2067" s="882"/>
      <c r="CI2067" s="530"/>
    </row>
    <row r="2068">
      <c r="A2068" s="857"/>
      <c r="B2068" s="865" t="s">
        <v>685</v>
      </c>
      <c r="C2068" s="865" t="s">
        <v>591</v>
      </c>
      <c r="D2068" s="865" t="s">
        <v>684</v>
      </c>
      <c r="E2068" s="866">
        <v>2019.0</v>
      </c>
      <c r="F2068" s="865" t="s">
        <v>593</v>
      </c>
      <c r="G2068" s="865" t="s">
        <v>70</v>
      </c>
      <c r="H2068" s="867">
        <v>48742.08696</v>
      </c>
      <c r="I2068" s="867">
        <v>61585.87951</v>
      </c>
      <c r="J2068" s="868">
        <v>36422.65512</v>
      </c>
      <c r="K2068" s="50"/>
      <c r="L2068" s="869" t="s">
        <v>685</v>
      </c>
      <c r="M2068" s="865" t="s">
        <v>591</v>
      </c>
      <c r="N2068" s="865" t="s">
        <v>684</v>
      </c>
      <c r="O2068" s="866">
        <v>2004.0</v>
      </c>
      <c r="P2068" s="865" t="s">
        <v>593</v>
      </c>
      <c r="Q2068" s="865" t="s">
        <v>70</v>
      </c>
      <c r="R2068" s="867">
        <v>33179.58728</v>
      </c>
      <c r="S2068" s="867">
        <v>38784.05173</v>
      </c>
      <c r="T2068" s="868">
        <v>27664.00701</v>
      </c>
      <c r="AN2068" s="882"/>
      <c r="AO2068" s="882"/>
      <c r="AP2068" s="882"/>
      <c r="AY2068" s="882"/>
      <c r="AZ2068" s="882"/>
      <c r="BA2068" s="882"/>
      <c r="BJ2068" s="882"/>
      <c r="BK2068" s="882"/>
      <c r="BL2068" s="882"/>
      <c r="BU2068" s="882"/>
      <c r="BV2068" s="882"/>
      <c r="BW2068" s="882"/>
      <c r="CF2068" s="882"/>
      <c r="CG2068" s="882"/>
      <c r="CH2068" s="882"/>
      <c r="CI2068" s="530"/>
    </row>
    <row r="2069">
      <c r="A2069" s="857"/>
      <c r="B2069" s="865" t="s">
        <v>685</v>
      </c>
      <c r="C2069" s="865" t="s">
        <v>591</v>
      </c>
      <c r="D2069" s="865" t="s">
        <v>686</v>
      </c>
      <c r="E2069" s="866">
        <v>2019.0</v>
      </c>
      <c r="F2069" s="865" t="s">
        <v>593</v>
      </c>
      <c r="G2069" s="865" t="s">
        <v>70</v>
      </c>
      <c r="H2069" s="867">
        <v>65271.34331</v>
      </c>
      <c r="I2069" s="867">
        <v>82470.68057</v>
      </c>
      <c r="J2069" s="868">
        <v>48774.18622</v>
      </c>
      <c r="K2069" s="50"/>
      <c r="L2069" s="869" t="s">
        <v>685</v>
      </c>
      <c r="M2069" s="865" t="s">
        <v>591</v>
      </c>
      <c r="N2069" s="865" t="s">
        <v>686</v>
      </c>
      <c r="O2069" s="866">
        <v>2004.0</v>
      </c>
      <c r="P2069" s="865" t="s">
        <v>593</v>
      </c>
      <c r="Q2069" s="865" t="s">
        <v>70</v>
      </c>
      <c r="R2069" s="867">
        <v>44474.28664</v>
      </c>
      <c r="S2069" s="867">
        <v>51986.57293</v>
      </c>
      <c r="T2069" s="868">
        <v>37081.1417</v>
      </c>
      <c r="AN2069" s="882"/>
      <c r="AO2069" s="882"/>
      <c r="AP2069" s="882"/>
      <c r="AY2069" s="882"/>
      <c r="AZ2069" s="882"/>
      <c r="BA2069" s="882"/>
      <c r="BJ2069" s="882"/>
      <c r="BK2069" s="882"/>
      <c r="BL2069" s="882"/>
      <c r="BU2069" s="882"/>
      <c r="BV2069" s="882"/>
      <c r="BW2069" s="882"/>
      <c r="CF2069" s="882"/>
      <c r="CG2069" s="882"/>
      <c r="CH2069" s="882"/>
      <c r="CI2069" s="530"/>
    </row>
    <row r="2070">
      <c r="A2070" s="857"/>
      <c r="B2070" s="865" t="s">
        <v>685</v>
      </c>
      <c r="C2070" s="865" t="s">
        <v>591</v>
      </c>
      <c r="D2070" s="865" t="s">
        <v>688</v>
      </c>
      <c r="E2070" s="866">
        <v>2019.0</v>
      </c>
      <c r="F2070" s="865" t="s">
        <v>593</v>
      </c>
      <c r="G2070" s="865" t="s">
        <v>70</v>
      </c>
      <c r="H2070" s="867">
        <v>751157.5999</v>
      </c>
      <c r="I2070" s="867">
        <v>949091.5206</v>
      </c>
      <c r="J2070" s="868">
        <v>561304.5296</v>
      </c>
      <c r="K2070" s="50"/>
      <c r="L2070" s="869" t="s">
        <v>685</v>
      </c>
      <c r="M2070" s="865" t="s">
        <v>591</v>
      </c>
      <c r="N2070" s="865" t="s">
        <v>688</v>
      </c>
      <c r="O2070" s="866">
        <v>2004.0</v>
      </c>
      <c r="P2070" s="865" t="s">
        <v>593</v>
      </c>
      <c r="Q2070" s="865" t="s">
        <v>70</v>
      </c>
      <c r="R2070" s="867">
        <v>506617.9105</v>
      </c>
      <c r="S2070" s="867">
        <v>592192.2741</v>
      </c>
      <c r="T2070" s="868">
        <v>422400.716</v>
      </c>
      <c r="AN2070" s="882"/>
      <c r="AO2070" s="882"/>
      <c r="AP2070" s="882"/>
      <c r="AY2070" s="882"/>
      <c r="AZ2070" s="882"/>
      <c r="BA2070" s="882"/>
      <c r="BJ2070" s="882"/>
      <c r="BK2070" s="882"/>
      <c r="BL2070" s="882"/>
      <c r="BU2070" s="882"/>
      <c r="BV2070" s="882"/>
      <c r="BW2070" s="882"/>
      <c r="CF2070" s="882"/>
      <c r="CG2070" s="882"/>
      <c r="CH2070" s="882"/>
      <c r="CI2070" s="530"/>
    </row>
    <row r="2071">
      <c r="A2071" s="857"/>
      <c r="B2071" s="865" t="s">
        <v>685</v>
      </c>
      <c r="C2071" s="865" t="s">
        <v>591</v>
      </c>
      <c r="D2071" s="865" t="s">
        <v>689</v>
      </c>
      <c r="E2071" s="866">
        <v>2019.0</v>
      </c>
      <c r="F2071" s="865" t="s">
        <v>593</v>
      </c>
      <c r="G2071" s="865" t="s">
        <v>70</v>
      </c>
      <c r="H2071" s="867">
        <v>3732005.859</v>
      </c>
      <c r="I2071" s="867">
        <v>4715408.746</v>
      </c>
      <c r="J2071" s="868">
        <v>2788751.38</v>
      </c>
      <c r="K2071" s="50"/>
      <c r="L2071" s="869" t="s">
        <v>685</v>
      </c>
      <c r="M2071" s="865" t="s">
        <v>591</v>
      </c>
      <c r="N2071" s="865" t="s">
        <v>689</v>
      </c>
      <c r="O2071" s="866">
        <v>2004.0</v>
      </c>
      <c r="P2071" s="865" t="s">
        <v>593</v>
      </c>
      <c r="Q2071" s="865" t="s">
        <v>70</v>
      </c>
      <c r="R2071" s="867">
        <v>2427379.548</v>
      </c>
      <c r="S2071" s="867">
        <v>2837395.57</v>
      </c>
      <c r="T2071" s="868">
        <v>2023866.188</v>
      </c>
      <c r="AN2071" s="882"/>
      <c r="AO2071" s="882"/>
      <c r="AP2071" s="882"/>
      <c r="AY2071" s="882"/>
      <c r="AZ2071" s="882"/>
      <c r="BA2071" s="882"/>
      <c r="BJ2071" s="882"/>
      <c r="BK2071" s="882"/>
      <c r="BL2071" s="882"/>
      <c r="BU2071" s="882"/>
      <c r="BV2071" s="882"/>
      <c r="BW2071" s="882"/>
      <c r="CF2071" s="882"/>
      <c r="CG2071" s="882"/>
      <c r="CH2071" s="882"/>
      <c r="CI2071" s="530"/>
    </row>
    <row r="2072">
      <c r="A2072" s="857"/>
      <c r="B2072" s="865" t="s">
        <v>687</v>
      </c>
      <c r="C2072" s="865" t="s">
        <v>591</v>
      </c>
      <c r="D2072" s="865" t="s">
        <v>592</v>
      </c>
      <c r="E2072" s="866">
        <v>2019.0</v>
      </c>
      <c r="F2072" s="865" t="s">
        <v>593</v>
      </c>
      <c r="G2072" s="865" t="s">
        <v>70</v>
      </c>
      <c r="H2072" s="867">
        <v>1009383.723</v>
      </c>
      <c r="I2072" s="867">
        <v>1138965.278</v>
      </c>
      <c r="J2072" s="868">
        <v>892831.1404</v>
      </c>
      <c r="K2072" s="50"/>
      <c r="L2072" s="869" t="s">
        <v>687</v>
      </c>
      <c r="M2072" s="865" t="s">
        <v>591</v>
      </c>
      <c r="N2072" s="865" t="s">
        <v>592</v>
      </c>
      <c r="O2072" s="866">
        <v>2004.0</v>
      </c>
      <c r="P2072" s="865" t="s">
        <v>593</v>
      </c>
      <c r="Q2072" s="865" t="s">
        <v>70</v>
      </c>
      <c r="R2072" s="867">
        <v>1031430.154</v>
      </c>
      <c r="S2072" s="867">
        <v>1118835.293</v>
      </c>
      <c r="T2072" s="868">
        <v>938633.9724</v>
      </c>
      <c r="AN2072" s="882"/>
      <c r="AO2072" s="882"/>
      <c r="AP2072" s="882"/>
      <c r="AY2072" s="882"/>
      <c r="AZ2072" s="882"/>
      <c r="BA2072" s="882"/>
      <c r="BJ2072" s="882"/>
      <c r="BK2072" s="882"/>
      <c r="BL2072" s="882"/>
      <c r="BU2072" s="882"/>
      <c r="BV2072" s="882"/>
      <c r="BW2072" s="882"/>
      <c r="CF2072" s="882"/>
      <c r="CG2072" s="882"/>
      <c r="CH2072" s="882"/>
      <c r="CI2072" s="530"/>
    </row>
    <row r="2073">
      <c r="A2073" s="857"/>
      <c r="B2073" s="865" t="s">
        <v>687</v>
      </c>
      <c r="C2073" s="865" t="s">
        <v>591</v>
      </c>
      <c r="D2073" s="865" t="s">
        <v>601</v>
      </c>
      <c r="E2073" s="866">
        <v>2019.0</v>
      </c>
      <c r="F2073" s="865" t="s">
        <v>593</v>
      </c>
      <c r="G2073" s="865" t="s">
        <v>70</v>
      </c>
      <c r="H2073" s="867">
        <v>1.95843363E7</v>
      </c>
      <c r="I2073" s="867">
        <v>2.209851271E7</v>
      </c>
      <c r="J2073" s="868">
        <v>1.732295153E7</v>
      </c>
      <c r="K2073" s="50"/>
      <c r="L2073" s="869" t="s">
        <v>687</v>
      </c>
      <c r="M2073" s="865" t="s">
        <v>591</v>
      </c>
      <c r="N2073" s="865" t="s">
        <v>601</v>
      </c>
      <c r="O2073" s="866">
        <v>2004.0</v>
      </c>
      <c r="P2073" s="865" t="s">
        <v>593</v>
      </c>
      <c r="Q2073" s="865" t="s">
        <v>70</v>
      </c>
      <c r="R2073" s="867">
        <v>2.033971031E7</v>
      </c>
      <c r="S2073" s="867">
        <v>2.206333183E7</v>
      </c>
      <c r="T2073" s="868">
        <v>1.850977792E7</v>
      </c>
      <c r="AN2073" s="882"/>
      <c r="AO2073" s="882"/>
      <c r="AP2073" s="882"/>
      <c r="AY2073" s="882"/>
      <c r="AZ2073" s="882"/>
      <c r="BA2073" s="882"/>
      <c r="BJ2073" s="882"/>
      <c r="BK2073" s="882"/>
      <c r="BL2073" s="882"/>
      <c r="BU2073" s="882"/>
      <c r="BV2073" s="882"/>
      <c r="BW2073" s="882"/>
      <c r="CF2073" s="882"/>
      <c r="CG2073" s="882"/>
      <c r="CH2073" s="882"/>
      <c r="CI2073" s="530"/>
    </row>
    <row r="2074">
      <c r="A2074" s="857"/>
      <c r="B2074" s="865" t="s">
        <v>687</v>
      </c>
      <c r="C2074" s="865" t="s">
        <v>591</v>
      </c>
      <c r="D2074" s="865" t="s">
        <v>606</v>
      </c>
      <c r="E2074" s="866">
        <v>2019.0</v>
      </c>
      <c r="F2074" s="865" t="s">
        <v>593</v>
      </c>
      <c r="G2074" s="865" t="s">
        <v>70</v>
      </c>
      <c r="H2074" s="867">
        <v>1.503537272E7</v>
      </c>
      <c r="I2074" s="867">
        <v>1.696556728E7</v>
      </c>
      <c r="J2074" s="868">
        <v>1.329925247E7</v>
      </c>
      <c r="K2074" s="50"/>
      <c r="L2074" s="869" t="s">
        <v>687</v>
      </c>
      <c r="M2074" s="865" t="s">
        <v>591</v>
      </c>
      <c r="N2074" s="865" t="s">
        <v>606</v>
      </c>
      <c r="O2074" s="866">
        <v>2004.0</v>
      </c>
      <c r="P2074" s="865" t="s">
        <v>593</v>
      </c>
      <c r="Q2074" s="865" t="s">
        <v>70</v>
      </c>
      <c r="R2074" s="867">
        <v>1.501446959E7</v>
      </c>
      <c r="S2074" s="867">
        <v>1.628682119E7</v>
      </c>
      <c r="T2074" s="868">
        <v>1.36636409E7</v>
      </c>
      <c r="AN2074" s="882"/>
      <c r="AO2074" s="882"/>
      <c r="AP2074" s="882"/>
      <c r="AY2074" s="882"/>
      <c r="AZ2074" s="882"/>
      <c r="BA2074" s="882"/>
      <c r="BJ2074" s="882"/>
      <c r="BK2074" s="882"/>
      <c r="BL2074" s="882"/>
      <c r="BU2074" s="882"/>
      <c r="BV2074" s="882"/>
      <c r="BW2074" s="882"/>
      <c r="CF2074" s="882"/>
      <c r="CG2074" s="882"/>
      <c r="CH2074" s="882"/>
      <c r="CI2074" s="530"/>
    </row>
    <row r="2075">
      <c r="A2075" s="857"/>
      <c r="B2075" s="865" t="s">
        <v>687</v>
      </c>
      <c r="C2075" s="865" t="s">
        <v>591</v>
      </c>
      <c r="D2075" s="865" t="s">
        <v>608</v>
      </c>
      <c r="E2075" s="866">
        <v>2019.0</v>
      </c>
      <c r="F2075" s="865" t="s">
        <v>593</v>
      </c>
      <c r="G2075" s="865" t="s">
        <v>70</v>
      </c>
      <c r="H2075" s="867">
        <v>4085143.433</v>
      </c>
      <c r="I2075" s="867">
        <v>4609581.488</v>
      </c>
      <c r="J2075" s="868">
        <v>3613435.788</v>
      </c>
      <c r="K2075" s="50"/>
      <c r="L2075" s="869" t="s">
        <v>687</v>
      </c>
      <c r="M2075" s="865" t="s">
        <v>591</v>
      </c>
      <c r="N2075" s="865" t="s">
        <v>608</v>
      </c>
      <c r="O2075" s="866">
        <v>2004.0</v>
      </c>
      <c r="P2075" s="865" t="s">
        <v>593</v>
      </c>
      <c r="Q2075" s="865" t="s">
        <v>70</v>
      </c>
      <c r="R2075" s="867">
        <v>3918779.359</v>
      </c>
      <c r="S2075" s="867">
        <v>4250863.363</v>
      </c>
      <c r="T2075" s="868">
        <v>3566212.819</v>
      </c>
      <c r="AN2075" s="882"/>
      <c r="AO2075" s="882"/>
      <c r="AP2075" s="882"/>
      <c r="AY2075" s="882"/>
      <c r="AZ2075" s="882"/>
      <c r="BA2075" s="882"/>
      <c r="BJ2075" s="882"/>
      <c r="BK2075" s="882"/>
      <c r="BL2075" s="882"/>
      <c r="BU2075" s="882"/>
      <c r="BV2075" s="882"/>
      <c r="BW2075" s="882"/>
      <c r="CF2075" s="882"/>
      <c r="CG2075" s="882"/>
      <c r="CH2075" s="882"/>
      <c r="CI2075" s="530"/>
    </row>
    <row r="2076">
      <c r="A2076" s="857"/>
      <c r="B2076" s="865" t="s">
        <v>687</v>
      </c>
      <c r="C2076" s="865" t="s">
        <v>591</v>
      </c>
      <c r="D2076" s="865" t="s">
        <v>610</v>
      </c>
      <c r="E2076" s="866">
        <v>2019.0</v>
      </c>
      <c r="F2076" s="865" t="s">
        <v>593</v>
      </c>
      <c r="G2076" s="865" t="s">
        <v>70</v>
      </c>
      <c r="H2076" s="867">
        <v>4824189.989</v>
      </c>
      <c r="I2076" s="867">
        <v>5443504.551</v>
      </c>
      <c r="J2076" s="868">
        <v>4267145.338</v>
      </c>
      <c r="K2076" s="50"/>
      <c r="L2076" s="869" t="s">
        <v>687</v>
      </c>
      <c r="M2076" s="865" t="s">
        <v>591</v>
      </c>
      <c r="N2076" s="865" t="s">
        <v>610</v>
      </c>
      <c r="O2076" s="866">
        <v>2004.0</v>
      </c>
      <c r="P2076" s="865" t="s">
        <v>593</v>
      </c>
      <c r="Q2076" s="865" t="s">
        <v>70</v>
      </c>
      <c r="R2076" s="867">
        <v>5226124.232</v>
      </c>
      <c r="S2076" s="867">
        <v>5668994.857</v>
      </c>
      <c r="T2076" s="868">
        <v>4755937.889</v>
      </c>
      <c r="AN2076" s="882"/>
      <c r="AO2076" s="882"/>
      <c r="AP2076" s="882"/>
      <c r="AY2076" s="882"/>
      <c r="AZ2076" s="882"/>
      <c r="BA2076" s="882"/>
      <c r="BJ2076" s="882"/>
      <c r="BK2076" s="882"/>
      <c r="BL2076" s="882"/>
      <c r="BU2076" s="882"/>
      <c r="BV2076" s="882"/>
      <c r="BW2076" s="882"/>
      <c r="CF2076" s="882"/>
      <c r="CG2076" s="882"/>
      <c r="CH2076" s="882"/>
      <c r="CI2076" s="530"/>
    </row>
    <row r="2077">
      <c r="A2077" s="857"/>
      <c r="B2077" s="865" t="s">
        <v>687</v>
      </c>
      <c r="C2077" s="865" t="s">
        <v>591</v>
      </c>
      <c r="D2077" s="865" t="s">
        <v>612</v>
      </c>
      <c r="E2077" s="866">
        <v>2019.0</v>
      </c>
      <c r="F2077" s="865" t="s">
        <v>593</v>
      </c>
      <c r="G2077" s="865" t="s">
        <v>70</v>
      </c>
      <c r="H2077" s="867">
        <v>9373153.569</v>
      </c>
      <c r="I2077" s="867">
        <v>1.057644998E7</v>
      </c>
      <c r="J2077" s="868">
        <v>8290844.401</v>
      </c>
      <c r="K2077" s="50"/>
      <c r="L2077" s="869" t="s">
        <v>687</v>
      </c>
      <c r="M2077" s="865" t="s">
        <v>591</v>
      </c>
      <c r="N2077" s="865" t="s">
        <v>612</v>
      </c>
      <c r="O2077" s="866">
        <v>2004.0</v>
      </c>
      <c r="P2077" s="865" t="s">
        <v>593</v>
      </c>
      <c r="Q2077" s="865" t="s">
        <v>70</v>
      </c>
      <c r="R2077" s="867">
        <v>1.055136496E7</v>
      </c>
      <c r="S2077" s="867">
        <v>1.14455055E7</v>
      </c>
      <c r="T2077" s="868">
        <v>9602074.91</v>
      </c>
      <c r="AN2077" s="882"/>
      <c r="AO2077" s="882"/>
      <c r="AP2077" s="882"/>
      <c r="AY2077" s="882"/>
      <c r="AZ2077" s="882"/>
      <c r="BA2077" s="882"/>
      <c r="BJ2077" s="882"/>
      <c r="BK2077" s="882"/>
      <c r="BL2077" s="882"/>
      <c r="BU2077" s="882"/>
      <c r="BV2077" s="882"/>
      <c r="BW2077" s="882"/>
      <c r="CF2077" s="882"/>
      <c r="CG2077" s="882"/>
      <c r="CH2077" s="882"/>
      <c r="CI2077" s="530"/>
    </row>
    <row r="2078">
      <c r="A2078" s="857"/>
      <c r="B2078" s="865" t="s">
        <v>687</v>
      </c>
      <c r="C2078" s="865" t="s">
        <v>591</v>
      </c>
      <c r="D2078" s="865" t="s">
        <v>614</v>
      </c>
      <c r="E2078" s="866">
        <v>2019.0</v>
      </c>
      <c r="F2078" s="865" t="s">
        <v>593</v>
      </c>
      <c r="G2078" s="865" t="s">
        <v>70</v>
      </c>
      <c r="H2078" s="867">
        <v>1.40255726E7</v>
      </c>
      <c r="I2078" s="867">
        <v>1.582613215E7</v>
      </c>
      <c r="J2078" s="868">
        <v>1.240605301E7</v>
      </c>
      <c r="K2078" s="50"/>
      <c r="L2078" s="869" t="s">
        <v>687</v>
      </c>
      <c r="M2078" s="865" t="s">
        <v>591</v>
      </c>
      <c r="N2078" s="865" t="s">
        <v>614</v>
      </c>
      <c r="O2078" s="866">
        <v>2004.0</v>
      </c>
      <c r="P2078" s="865" t="s">
        <v>593</v>
      </c>
      <c r="Q2078" s="865" t="s">
        <v>70</v>
      </c>
      <c r="R2078" s="867">
        <v>1.538213637E7</v>
      </c>
      <c r="S2078" s="867">
        <v>1.668564468E7</v>
      </c>
      <c r="T2078" s="868">
        <v>1.399822927E7</v>
      </c>
      <c r="AN2078" s="882"/>
      <c r="AO2078" s="882"/>
      <c r="AP2078" s="882"/>
      <c r="AY2078" s="882"/>
      <c r="AZ2078" s="882"/>
      <c r="BA2078" s="882"/>
      <c r="BJ2078" s="882"/>
      <c r="BK2078" s="882"/>
      <c r="BL2078" s="882"/>
      <c r="BU2078" s="882"/>
      <c r="BV2078" s="882"/>
      <c r="BW2078" s="882"/>
      <c r="CF2078" s="882"/>
      <c r="CG2078" s="882"/>
      <c r="CH2078" s="882"/>
      <c r="CI2078" s="530"/>
    </row>
    <row r="2079">
      <c r="A2079" s="857"/>
      <c r="B2079" s="865" t="s">
        <v>687</v>
      </c>
      <c r="C2079" s="865" t="s">
        <v>591</v>
      </c>
      <c r="D2079" s="865" t="s">
        <v>616</v>
      </c>
      <c r="E2079" s="866">
        <v>2019.0</v>
      </c>
      <c r="F2079" s="865" t="s">
        <v>593</v>
      </c>
      <c r="G2079" s="865" t="s">
        <v>70</v>
      </c>
      <c r="H2079" s="867">
        <v>4548963.58</v>
      </c>
      <c r="I2079" s="867">
        <v>5132945.428</v>
      </c>
      <c r="J2079" s="868">
        <v>4023699.062</v>
      </c>
      <c r="K2079" s="50"/>
      <c r="L2079" s="869" t="s">
        <v>687</v>
      </c>
      <c r="M2079" s="865" t="s">
        <v>591</v>
      </c>
      <c r="N2079" s="865" t="s">
        <v>616</v>
      </c>
      <c r="O2079" s="866">
        <v>2004.0</v>
      </c>
      <c r="P2079" s="865" t="s">
        <v>593</v>
      </c>
      <c r="Q2079" s="865" t="s">
        <v>70</v>
      </c>
      <c r="R2079" s="867">
        <v>5325240.724</v>
      </c>
      <c r="S2079" s="867">
        <v>5776510.647</v>
      </c>
      <c r="T2079" s="868">
        <v>4846137.022</v>
      </c>
      <c r="AN2079" s="882"/>
      <c r="AO2079" s="882"/>
      <c r="AP2079" s="882"/>
      <c r="AY2079" s="882"/>
      <c r="AZ2079" s="882"/>
      <c r="BA2079" s="882"/>
      <c r="BJ2079" s="882"/>
      <c r="BK2079" s="882"/>
      <c r="BL2079" s="882"/>
      <c r="BU2079" s="882"/>
      <c r="BV2079" s="882"/>
      <c r="BW2079" s="882"/>
      <c r="CF2079" s="882"/>
      <c r="CG2079" s="882"/>
      <c r="CH2079" s="882"/>
      <c r="CI2079" s="530"/>
    </row>
    <row r="2080">
      <c r="A2080" s="857"/>
      <c r="B2080" s="865" t="s">
        <v>687</v>
      </c>
      <c r="C2080" s="865" t="s">
        <v>591</v>
      </c>
      <c r="D2080" s="865" t="s">
        <v>618</v>
      </c>
      <c r="E2080" s="866">
        <v>2019.0</v>
      </c>
      <c r="F2080" s="865" t="s">
        <v>593</v>
      </c>
      <c r="G2080" s="865" t="s">
        <v>70</v>
      </c>
      <c r="H2080" s="867">
        <v>2.395008784E7</v>
      </c>
      <c r="I2080" s="867">
        <v>2.702648464E7</v>
      </c>
      <c r="J2080" s="868">
        <v>2.118347644E7</v>
      </c>
      <c r="K2080" s="50"/>
      <c r="L2080" s="869" t="s">
        <v>687</v>
      </c>
      <c r="M2080" s="865" t="s">
        <v>591</v>
      </c>
      <c r="N2080" s="865" t="s">
        <v>618</v>
      </c>
      <c r="O2080" s="866">
        <v>2004.0</v>
      </c>
      <c r="P2080" s="865" t="s">
        <v>593</v>
      </c>
      <c r="Q2080" s="865" t="s">
        <v>70</v>
      </c>
      <c r="R2080" s="867">
        <v>2.113554549E7</v>
      </c>
      <c r="S2080" s="867">
        <v>2.29266155E7</v>
      </c>
      <c r="T2080" s="868">
        <v>1.923310295E7</v>
      </c>
      <c r="AN2080" s="882"/>
      <c r="AO2080" s="882"/>
      <c r="AP2080" s="882"/>
      <c r="AY2080" s="882"/>
      <c r="AZ2080" s="882"/>
      <c r="BA2080" s="882"/>
      <c r="BJ2080" s="882"/>
      <c r="BK2080" s="882"/>
      <c r="BL2080" s="882"/>
      <c r="BU2080" s="882"/>
      <c r="BV2080" s="882"/>
      <c r="BW2080" s="882"/>
      <c r="CF2080" s="882"/>
      <c r="CG2080" s="882"/>
      <c r="CH2080" s="882"/>
      <c r="CI2080" s="530"/>
    </row>
    <row r="2081">
      <c r="A2081" s="857"/>
      <c r="B2081" s="865" t="s">
        <v>687</v>
      </c>
      <c r="C2081" s="865" t="s">
        <v>591</v>
      </c>
      <c r="D2081" s="865" t="s">
        <v>620</v>
      </c>
      <c r="E2081" s="866">
        <v>2019.0</v>
      </c>
      <c r="F2081" s="865" t="s">
        <v>593</v>
      </c>
      <c r="G2081" s="865" t="s">
        <v>70</v>
      </c>
      <c r="H2081" s="867">
        <v>3.045169745E7</v>
      </c>
      <c r="I2081" s="867">
        <v>3.436099201E7</v>
      </c>
      <c r="J2081" s="868">
        <v>2.693546878E7</v>
      </c>
      <c r="K2081" s="50"/>
      <c r="L2081" s="869" t="s">
        <v>687</v>
      </c>
      <c r="M2081" s="865" t="s">
        <v>591</v>
      </c>
      <c r="N2081" s="865" t="s">
        <v>620</v>
      </c>
      <c r="O2081" s="866">
        <v>2004.0</v>
      </c>
      <c r="P2081" s="865" t="s">
        <v>593</v>
      </c>
      <c r="Q2081" s="865" t="s">
        <v>70</v>
      </c>
      <c r="R2081" s="867">
        <v>2.628412896E7</v>
      </c>
      <c r="S2081" s="867">
        <v>2.851149059E7</v>
      </c>
      <c r="T2081" s="868">
        <v>2.391938638E7</v>
      </c>
      <c r="AN2081" s="882"/>
      <c r="AO2081" s="882"/>
      <c r="AP2081" s="882"/>
      <c r="AY2081" s="882"/>
      <c r="AZ2081" s="882"/>
      <c r="BA2081" s="882"/>
      <c r="BJ2081" s="882"/>
      <c r="BK2081" s="882"/>
      <c r="BL2081" s="882"/>
      <c r="BU2081" s="882"/>
      <c r="BV2081" s="882"/>
      <c r="BW2081" s="882"/>
      <c r="CF2081" s="882"/>
      <c r="CG2081" s="882"/>
      <c r="CH2081" s="882"/>
      <c r="CI2081" s="530"/>
    </row>
    <row r="2082">
      <c r="A2082" s="857"/>
      <c r="B2082" s="865" t="s">
        <v>687</v>
      </c>
      <c r="C2082" s="865" t="s">
        <v>591</v>
      </c>
      <c r="D2082" s="865" t="s">
        <v>622</v>
      </c>
      <c r="E2082" s="866">
        <v>2019.0</v>
      </c>
      <c r="F2082" s="865" t="s">
        <v>593</v>
      </c>
      <c r="G2082" s="865" t="s">
        <v>70</v>
      </c>
      <c r="H2082" s="867">
        <v>3.600428693E7</v>
      </c>
      <c r="I2082" s="867">
        <v>4.062904965E7</v>
      </c>
      <c r="J2082" s="868">
        <v>3.184522617E7</v>
      </c>
      <c r="K2082" s="50"/>
      <c r="L2082" s="869" t="s">
        <v>687</v>
      </c>
      <c r="M2082" s="865" t="s">
        <v>591</v>
      </c>
      <c r="N2082" s="865" t="s">
        <v>622</v>
      </c>
      <c r="O2082" s="866">
        <v>2004.0</v>
      </c>
      <c r="P2082" s="865" t="s">
        <v>593</v>
      </c>
      <c r="Q2082" s="865" t="s">
        <v>70</v>
      </c>
      <c r="R2082" s="867">
        <v>2.765508988E7</v>
      </c>
      <c r="S2082" s="867">
        <v>2.999863962E7</v>
      </c>
      <c r="T2082" s="868">
        <v>2.516581325E7</v>
      </c>
      <c r="AN2082" s="882"/>
      <c r="AO2082" s="882"/>
      <c r="AP2082" s="882"/>
      <c r="AY2082" s="882"/>
      <c r="AZ2082" s="882"/>
      <c r="BA2082" s="882"/>
      <c r="BJ2082" s="882"/>
      <c r="BK2082" s="882"/>
      <c r="BL2082" s="882"/>
      <c r="BU2082" s="882"/>
      <c r="BV2082" s="882"/>
      <c r="BW2082" s="882"/>
      <c r="CF2082" s="882"/>
      <c r="CG2082" s="882"/>
      <c r="CH2082" s="882"/>
      <c r="CI2082" s="530"/>
    </row>
    <row r="2083">
      <c r="A2083" s="857"/>
      <c r="B2083" s="865" t="s">
        <v>687</v>
      </c>
      <c r="C2083" s="865" t="s">
        <v>591</v>
      </c>
      <c r="D2083" s="865" t="s">
        <v>624</v>
      </c>
      <c r="E2083" s="866">
        <v>2019.0</v>
      </c>
      <c r="F2083" s="865" t="s">
        <v>593</v>
      </c>
      <c r="G2083" s="865" t="s">
        <v>70</v>
      </c>
      <c r="H2083" s="867">
        <v>4652419.033</v>
      </c>
      <c r="I2083" s="867">
        <v>5249682.172</v>
      </c>
      <c r="J2083" s="868">
        <v>4115208.612</v>
      </c>
      <c r="K2083" s="50"/>
      <c r="L2083" s="869" t="s">
        <v>687</v>
      </c>
      <c r="M2083" s="865" t="s">
        <v>591</v>
      </c>
      <c r="N2083" s="865" t="s">
        <v>624</v>
      </c>
      <c r="O2083" s="866">
        <v>2004.0</v>
      </c>
      <c r="P2083" s="865" t="s">
        <v>593</v>
      </c>
      <c r="Q2083" s="865" t="s">
        <v>70</v>
      </c>
      <c r="R2083" s="867">
        <v>4830771.415</v>
      </c>
      <c r="S2083" s="867">
        <v>5240139.171</v>
      </c>
      <c r="T2083" s="868">
        <v>4396154.355</v>
      </c>
      <c r="AN2083" s="882"/>
      <c r="AO2083" s="882"/>
      <c r="AP2083" s="882"/>
      <c r="AY2083" s="882"/>
      <c r="AZ2083" s="882"/>
      <c r="BA2083" s="882"/>
      <c r="BJ2083" s="882"/>
      <c r="BK2083" s="882"/>
      <c r="BL2083" s="882"/>
      <c r="BU2083" s="882"/>
      <c r="BV2083" s="882"/>
      <c r="BW2083" s="882"/>
      <c r="CF2083" s="882"/>
      <c r="CG2083" s="882"/>
      <c r="CH2083" s="882"/>
      <c r="CI2083" s="530"/>
    </row>
    <row r="2084">
      <c r="A2084" s="857"/>
      <c r="B2084" s="865" t="s">
        <v>687</v>
      </c>
      <c r="C2084" s="865" t="s">
        <v>591</v>
      </c>
      <c r="D2084" s="865" t="s">
        <v>625</v>
      </c>
      <c r="E2084" s="866">
        <v>2019.0</v>
      </c>
      <c r="F2084" s="865" t="s">
        <v>593</v>
      </c>
      <c r="G2084" s="865" t="s">
        <v>70</v>
      </c>
      <c r="H2084" s="867">
        <v>3.135166919E7</v>
      </c>
      <c r="I2084" s="867">
        <v>3.537649932E7</v>
      </c>
      <c r="J2084" s="868">
        <v>2.773152163E7</v>
      </c>
      <c r="K2084" s="50"/>
      <c r="L2084" s="869" t="s">
        <v>687</v>
      </c>
      <c r="M2084" s="865" t="s">
        <v>591</v>
      </c>
      <c r="N2084" s="865" t="s">
        <v>625</v>
      </c>
      <c r="O2084" s="866">
        <v>2004.0</v>
      </c>
      <c r="P2084" s="865" t="s">
        <v>593</v>
      </c>
      <c r="Q2084" s="865" t="s">
        <v>70</v>
      </c>
      <c r="R2084" s="867">
        <v>2.282425475E7</v>
      </c>
      <c r="S2084" s="867">
        <v>2.475842078E7</v>
      </c>
      <c r="T2084" s="868">
        <v>2.077079172E7</v>
      </c>
      <c r="AN2084" s="882"/>
      <c r="AO2084" s="882"/>
      <c r="AP2084" s="882"/>
      <c r="AY2084" s="882"/>
      <c r="AZ2084" s="882"/>
      <c r="BA2084" s="882"/>
      <c r="BJ2084" s="882"/>
      <c r="BK2084" s="882"/>
      <c r="BL2084" s="882"/>
      <c r="BU2084" s="882"/>
      <c r="BV2084" s="882"/>
      <c r="BW2084" s="882"/>
      <c r="CF2084" s="882"/>
      <c r="CG2084" s="882"/>
      <c r="CH2084" s="882"/>
      <c r="CI2084" s="530"/>
    </row>
    <row r="2085">
      <c r="A2085" s="857"/>
      <c r="B2085" s="865" t="s">
        <v>687</v>
      </c>
      <c r="C2085" s="865" t="s">
        <v>591</v>
      </c>
      <c r="D2085" s="865" t="s">
        <v>627</v>
      </c>
      <c r="E2085" s="866">
        <v>2019.0</v>
      </c>
      <c r="F2085" s="865" t="s">
        <v>593</v>
      </c>
      <c r="G2085" s="865" t="s">
        <v>70</v>
      </c>
      <c r="H2085" s="867">
        <v>5202736.573</v>
      </c>
      <c r="I2085" s="867">
        <v>5870647.772</v>
      </c>
      <c r="J2085" s="868">
        <v>4601981.506</v>
      </c>
      <c r="K2085" s="50"/>
      <c r="L2085" s="869" t="s">
        <v>687</v>
      </c>
      <c r="M2085" s="865" t="s">
        <v>591</v>
      </c>
      <c r="N2085" s="865" t="s">
        <v>627</v>
      </c>
      <c r="O2085" s="866">
        <v>2004.0</v>
      </c>
      <c r="P2085" s="865" t="s">
        <v>593</v>
      </c>
      <c r="Q2085" s="865" t="s">
        <v>70</v>
      </c>
      <c r="R2085" s="867">
        <v>4160059.253</v>
      </c>
      <c r="S2085" s="867">
        <v>4512589.725</v>
      </c>
      <c r="T2085" s="868">
        <v>3785785.133</v>
      </c>
      <c r="AN2085" s="882"/>
      <c r="AO2085" s="882"/>
      <c r="AP2085" s="882"/>
      <c r="AY2085" s="882"/>
      <c r="AZ2085" s="882"/>
      <c r="BA2085" s="882"/>
      <c r="BJ2085" s="882"/>
      <c r="BK2085" s="882"/>
      <c r="BL2085" s="882"/>
      <c r="BU2085" s="882"/>
      <c r="BV2085" s="882"/>
      <c r="BW2085" s="882"/>
      <c r="CF2085" s="882"/>
      <c r="CG2085" s="882"/>
      <c r="CH2085" s="882"/>
      <c r="CI2085" s="530"/>
    </row>
    <row r="2086">
      <c r="A2086" s="857"/>
      <c r="B2086" s="865" t="s">
        <v>687</v>
      </c>
      <c r="C2086" s="865" t="s">
        <v>591</v>
      </c>
      <c r="D2086" s="865" t="s">
        <v>629</v>
      </c>
      <c r="E2086" s="866">
        <v>2019.0</v>
      </c>
      <c r="F2086" s="865" t="s">
        <v>593</v>
      </c>
      <c r="G2086" s="865" t="s">
        <v>70</v>
      </c>
      <c r="H2086" s="867">
        <v>2.125043212E7</v>
      </c>
      <c r="I2086" s="867">
        <v>2.398005725E7</v>
      </c>
      <c r="J2086" s="868">
        <v>1.879567337E7</v>
      </c>
      <c r="K2086" s="50"/>
      <c r="L2086" s="869" t="s">
        <v>687</v>
      </c>
      <c r="M2086" s="865" t="s">
        <v>591</v>
      </c>
      <c r="N2086" s="865" t="s">
        <v>629</v>
      </c>
      <c r="O2086" s="866">
        <v>2004.0</v>
      </c>
      <c r="P2086" s="865" t="s">
        <v>593</v>
      </c>
      <c r="Q2086" s="865" t="s">
        <v>70</v>
      </c>
      <c r="R2086" s="867">
        <v>1.612815398E7</v>
      </c>
      <c r="S2086" s="867">
        <v>1.749488724E7</v>
      </c>
      <c r="T2086" s="868">
        <v>1.467643435E7</v>
      </c>
      <c r="AN2086" s="882"/>
      <c r="AO2086" s="882"/>
      <c r="AP2086" s="882"/>
      <c r="AY2086" s="882"/>
      <c r="AZ2086" s="882"/>
      <c r="BA2086" s="882"/>
      <c r="BJ2086" s="882"/>
      <c r="BK2086" s="882"/>
      <c r="BL2086" s="882"/>
      <c r="BU2086" s="882"/>
      <c r="BV2086" s="882"/>
      <c r="BW2086" s="882"/>
      <c r="CF2086" s="882"/>
      <c r="CG2086" s="882"/>
      <c r="CH2086" s="882"/>
      <c r="CI2086" s="530"/>
    </row>
    <row r="2087">
      <c r="A2087" s="857"/>
      <c r="B2087" s="865" t="s">
        <v>687</v>
      </c>
      <c r="C2087" s="865" t="s">
        <v>591</v>
      </c>
      <c r="D2087" s="865" t="s">
        <v>631</v>
      </c>
      <c r="E2087" s="866">
        <v>2019.0</v>
      </c>
      <c r="F2087" s="865" t="s">
        <v>593</v>
      </c>
      <c r="G2087" s="865" t="s">
        <v>70</v>
      </c>
      <c r="H2087" s="867">
        <v>5167063.958</v>
      </c>
      <c r="I2087" s="867">
        <v>5830395.618</v>
      </c>
      <c r="J2087" s="868">
        <v>4570427.975</v>
      </c>
      <c r="K2087" s="50"/>
      <c r="L2087" s="869" t="s">
        <v>687</v>
      </c>
      <c r="M2087" s="865" t="s">
        <v>591</v>
      </c>
      <c r="N2087" s="865" t="s">
        <v>631</v>
      </c>
      <c r="O2087" s="866">
        <v>2004.0</v>
      </c>
      <c r="P2087" s="865" t="s">
        <v>593</v>
      </c>
      <c r="Q2087" s="865" t="s">
        <v>70</v>
      </c>
      <c r="R2087" s="867">
        <v>3642207.805</v>
      </c>
      <c r="S2087" s="867">
        <v>3950854.667</v>
      </c>
      <c r="T2087" s="868">
        <v>3314523.982</v>
      </c>
      <c r="AN2087" s="882"/>
      <c r="AO2087" s="882"/>
      <c r="AP2087" s="882"/>
      <c r="AY2087" s="882"/>
      <c r="AZ2087" s="882"/>
      <c r="BA2087" s="882"/>
      <c r="BJ2087" s="882"/>
      <c r="BK2087" s="882"/>
      <c r="BL2087" s="882"/>
      <c r="BU2087" s="882"/>
      <c r="BV2087" s="882"/>
      <c r="BW2087" s="882"/>
      <c r="CF2087" s="882"/>
      <c r="CG2087" s="882"/>
      <c r="CH2087" s="882"/>
      <c r="CI2087" s="530"/>
    </row>
    <row r="2088">
      <c r="A2088" s="857"/>
      <c r="B2088" s="865" t="s">
        <v>687</v>
      </c>
      <c r="C2088" s="865" t="s">
        <v>591</v>
      </c>
      <c r="D2088" s="865" t="s">
        <v>633</v>
      </c>
      <c r="E2088" s="866">
        <v>2019.0</v>
      </c>
      <c r="F2088" s="865" t="s">
        <v>593</v>
      </c>
      <c r="G2088" s="865" t="s">
        <v>70</v>
      </c>
      <c r="H2088" s="867">
        <v>4378772.507</v>
      </c>
      <c r="I2088" s="867">
        <v>4940905.752</v>
      </c>
      <c r="J2088" s="868">
        <v>3873159.791</v>
      </c>
      <c r="K2088" s="50"/>
      <c r="L2088" s="869" t="s">
        <v>687</v>
      </c>
      <c r="M2088" s="865" t="s">
        <v>591</v>
      </c>
      <c r="N2088" s="865" t="s">
        <v>633</v>
      </c>
      <c r="O2088" s="866">
        <v>2004.0</v>
      </c>
      <c r="P2088" s="865" t="s">
        <v>593</v>
      </c>
      <c r="Q2088" s="865" t="s">
        <v>70</v>
      </c>
      <c r="R2088" s="867">
        <v>3177217.601</v>
      </c>
      <c r="S2088" s="867">
        <v>3446460.405</v>
      </c>
      <c r="T2088" s="868">
        <v>2891368.229</v>
      </c>
      <c r="AN2088" s="882"/>
      <c r="AO2088" s="882"/>
      <c r="AP2088" s="882"/>
      <c r="AY2088" s="882"/>
      <c r="AZ2088" s="882"/>
      <c r="BA2088" s="882"/>
      <c r="BJ2088" s="882"/>
      <c r="BK2088" s="882"/>
      <c r="BL2088" s="882"/>
      <c r="BU2088" s="882"/>
      <c r="BV2088" s="882"/>
      <c r="BW2088" s="882"/>
      <c r="CF2088" s="882"/>
      <c r="CG2088" s="882"/>
      <c r="CH2088" s="882"/>
      <c r="CI2088" s="530"/>
    </row>
    <row r="2089">
      <c r="A2089" s="857"/>
      <c r="B2089" s="865" t="s">
        <v>687</v>
      </c>
      <c r="C2089" s="865" t="s">
        <v>591</v>
      </c>
      <c r="D2089" s="865" t="s">
        <v>635</v>
      </c>
      <c r="E2089" s="866">
        <v>2019.0</v>
      </c>
      <c r="F2089" s="865" t="s">
        <v>593</v>
      </c>
      <c r="G2089" s="865" t="s">
        <v>70</v>
      </c>
      <c r="H2089" s="867">
        <v>3502150.453</v>
      </c>
      <c r="I2089" s="867">
        <v>3951745.675</v>
      </c>
      <c r="J2089" s="868">
        <v>3097760.455</v>
      </c>
      <c r="K2089" s="50"/>
      <c r="L2089" s="869" t="s">
        <v>687</v>
      </c>
      <c r="M2089" s="865" t="s">
        <v>591</v>
      </c>
      <c r="N2089" s="865" t="s">
        <v>635</v>
      </c>
      <c r="O2089" s="866">
        <v>2004.0</v>
      </c>
      <c r="P2089" s="865" t="s">
        <v>593</v>
      </c>
      <c r="Q2089" s="865" t="s">
        <v>70</v>
      </c>
      <c r="R2089" s="867">
        <v>2775463.168</v>
      </c>
      <c r="S2089" s="867">
        <v>3010660.621</v>
      </c>
      <c r="T2089" s="868">
        <v>2525759.024</v>
      </c>
      <c r="AN2089" s="882"/>
      <c r="AO2089" s="882"/>
      <c r="AP2089" s="882"/>
      <c r="AY2089" s="882"/>
      <c r="AZ2089" s="882"/>
      <c r="BA2089" s="882"/>
      <c r="BJ2089" s="882"/>
      <c r="BK2089" s="882"/>
      <c r="BL2089" s="882"/>
      <c r="BU2089" s="882"/>
      <c r="BV2089" s="882"/>
      <c r="BW2089" s="882"/>
      <c r="CF2089" s="882"/>
      <c r="CG2089" s="882"/>
      <c r="CH2089" s="882"/>
      <c r="CI2089" s="530"/>
    </row>
    <row r="2090">
      <c r="A2090" s="857"/>
      <c r="B2090" s="865" t="s">
        <v>687</v>
      </c>
      <c r="C2090" s="865" t="s">
        <v>591</v>
      </c>
      <c r="D2090" s="865" t="s">
        <v>637</v>
      </c>
      <c r="E2090" s="866">
        <v>2019.0</v>
      </c>
      <c r="F2090" s="865" t="s">
        <v>593</v>
      </c>
      <c r="G2090" s="865" t="s">
        <v>70</v>
      </c>
      <c r="H2090" s="867">
        <v>2999591.347</v>
      </c>
      <c r="I2090" s="867">
        <v>3384669.589</v>
      </c>
      <c r="J2090" s="868">
        <v>2653231.374</v>
      </c>
      <c r="K2090" s="50"/>
      <c r="L2090" s="869" t="s">
        <v>687</v>
      </c>
      <c r="M2090" s="865" t="s">
        <v>591</v>
      </c>
      <c r="N2090" s="865" t="s">
        <v>637</v>
      </c>
      <c r="O2090" s="866">
        <v>2004.0</v>
      </c>
      <c r="P2090" s="865" t="s">
        <v>593</v>
      </c>
      <c r="Q2090" s="865" t="s">
        <v>70</v>
      </c>
      <c r="R2090" s="867">
        <v>2373168.996</v>
      </c>
      <c r="S2090" s="867">
        <v>2574275.358</v>
      </c>
      <c r="T2090" s="868">
        <v>2159658.638</v>
      </c>
      <c r="AN2090" s="882"/>
      <c r="AO2090" s="882"/>
      <c r="AP2090" s="882"/>
      <c r="AY2090" s="882"/>
      <c r="AZ2090" s="882"/>
      <c r="BA2090" s="882"/>
      <c r="BJ2090" s="882"/>
      <c r="BK2090" s="882"/>
      <c r="BL2090" s="882"/>
      <c r="BU2090" s="882"/>
      <c r="BV2090" s="882"/>
      <c r="BW2090" s="882"/>
      <c r="CF2090" s="882"/>
      <c r="CG2090" s="882"/>
      <c r="CH2090" s="882"/>
      <c r="CI2090" s="530"/>
    </row>
    <row r="2091">
      <c r="A2091" s="857"/>
      <c r="B2091" s="865" t="s">
        <v>687</v>
      </c>
      <c r="C2091" s="865" t="s">
        <v>591</v>
      </c>
      <c r="D2091" s="865" t="s">
        <v>639</v>
      </c>
      <c r="E2091" s="866">
        <v>2019.0</v>
      </c>
      <c r="F2091" s="865" t="s">
        <v>593</v>
      </c>
      <c r="G2091" s="865" t="s">
        <v>70</v>
      </c>
      <c r="H2091" s="867">
        <v>1.448988912E7</v>
      </c>
      <c r="I2091" s="867">
        <v>1.635112023E7</v>
      </c>
      <c r="J2091" s="868">
        <v>1.281607929E7</v>
      </c>
      <c r="K2091" s="50"/>
      <c r="L2091" s="869" t="s">
        <v>687</v>
      </c>
      <c r="M2091" s="865" t="s">
        <v>591</v>
      </c>
      <c r="N2091" s="865" t="s">
        <v>639</v>
      </c>
      <c r="O2091" s="866">
        <v>2004.0</v>
      </c>
      <c r="P2091" s="865" t="s">
        <v>593</v>
      </c>
      <c r="Q2091" s="865" t="s">
        <v>70</v>
      </c>
      <c r="R2091" s="867">
        <v>1.538953625E7</v>
      </c>
      <c r="S2091" s="867">
        <v>1.669367751E7</v>
      </c>
      <c r="T2091" s="868">
        <v>1.400430073E7</v>
      </c>
      <c r="AN2091" s="882"/>
      <c r="AO2091" s="882"/>
      <c r="AP2091" s="882"/>
      <c r="AY2091" s="882"/>
      <c r="AZ2091" s="882"/>
      <c r="BA2091" s="882"/>
      <c r="BJ2091" s="882"/>
      <c r="BK2091" s="882"/>
      <c r="BL2091" s="882"/>
      <c r="BU2091" s="882"/>
      <c r="BV2091" s="882"/>
      <c r="BW2091" s="882"/>
      <c r="CF2091" s="882"/>
      <c r="CG2091" s="882"/>
      <c r="CH2091" s="882"/>
      <c r="CI2091" s="530"/>
    </row>
    <row r="2092">
      <c r="A2092" s="857"/>
      <c r="B2092" s="865" t="s">
        <v>687</v>
      </c>
      <c r="C2092" s="865" t="s">
        <v>591</v>
      </c>
      <c r="D2092" s="865" t="s">
        <v>641</v>
      </c>
      <c r="E2092" s="866">
        <v>2019.0</v>
      </c>
      <c r="F2092" s="865" t="s">
        <v>593</v>
      </c>
      <c r="G2092" s="865" t="s">
        <v>70</v>
      </c>
      <c r="H2092" s="867">
        <v>5116655.576</v>
      </c>
      <c r="I2092" s="867">
        <v>5773515.964</v>
      </c>
      <c r="J2092" s="868">
        <v>4525840.201</v>
      </c>
      <c r="K2092" s="50"/>
      <c r="L2092" s="869" t="s">
        <v>687</v>
      </c>
      <c r="M2092" s="865" t="s">
        <v>591</v>
      </c>
      <c r="N2092" s="865" t="s">
        <v>641</v>
      </c>
      <c r="O2092" s="866">
        <v>2004.0</v>
      </c>
      <c r="P2092" s="865" t="s">
        <v>593</v>
      </c>
      <c r="Q2092" s="865" t="s">
        <v>70</v>
      </c>
      <c r="R2092" s="867">
        <v>4838135.842</v>
      </c>
      <c r="S2092" s="867">
        <v>5248127.673</v>
      </c>
      <c r="T2092" s="868">
        <v>4402856.216</v>
      </c>
      <c r="AN2092" s="882"/>
      <c r="AO2092" s="882"/>
      <c r="AP2092" s="882"/>
      <c r="AY2092" s="882"/>
      <c r="AZ2092" s="882"/>
      <c r="BA2092" s="882"/>
      <c r="BJ2092" s="882"/>
      <c r="BK2092" s="882"/>
      <c r="BL2092" s="882"/>
      <c r="BU2092" s="882"/>
      <c r="BV2092" s="882"/>
      <c r="BW2092" s="882"/>
      <c r="CF2092" s="882"/>
      <c r="CG2092" s="882"/>
      <c r="CH2092" s="882"/>
      <c r="CI2092" s="530"/>
    </row>
    <row r="2093">
      <c r="A2093" s="857"/>
      <c r="B2093" s="865" t="s">
        <v>687</v>
      </c>
      <c r="C2093" s="865" t="s">
        <v>591</v>
      </c>
      <c r="D2093" s="865" t="s">
        <v>643</v>
      </c>
      <c r="E2093" s="866">
        <v>2019.0</v>
      </c>
      <c r="F2093" s="865" t="s">
        <v>593</v>
      </c>
      <c r="G2093" s="865" t="s">
        <v>70</v>
      </c>
      <c r="H2093" s="867">
        <v>2538271.077</v>
      </c>
      <c r="I2093" s="867">
        <v>2864126.452</v>
      </c>
      <c r="J2093" s="868">
        <v>2245179.319</v>
      </c>
      <c r="K2093" s="50"/>
      <c r="L2093" s="869" t="s">
        <v>687</v>
      </c>
      <c r="M2093" s="865" t="s">
        <v>591</v>
      </c>
      <c r="N2093" s="865" t="s">
        <v>643</v>
      </c>
      <c r="O2093" s="866">
        <v>2004.0</v>
      </c>
      <c r="P2093" s="865" t="s">
        <v>593</v>
      </c>
      <c r="Q2093" s="865" t="s">
        <v>70</v>
      </c>
      <c r="R2093" s="867">
        <v>1822391.553</v>
      </c>
      <c r="S2093" s="867">
        <v>1976824.101</v>
      </c>
      <c r="T2093" s="868">
        <v>1658433.793</v>
      </c>
      <c r="AN2093" s="882"/>
      <c r="AO2093" s="882"/>
      <c r="AP2093" s="882"/>
      <c r="AY2093" s="882"/>
      <c r="AZ2093" s="882"/>
      <c r="BA2093" s="882"/>
      <c r="BJ2093" s="882"/>
      <c r="BK2093" s="882"/>
      <c r="BL2093" s="882"/>
      <c r="BU2093" s="882"/>
      <c r="BV2093" s="882"/>
      <c r="BW2093" s="882"/>
      <c r="CF2093" s="882"/>
      <c r="CG2093" s="882"/>
      <c r="CH2093" s="882"/>
      <c r="CI2093" s="530"/>
    </row>
    <row r="2094">
      <c r="A2094" s="857"/>
      <c r="B2094" s="865" t="s">
        <v>687</v>
      </c>
      <c r="C2094" s="865" t="s">
        <v>591</v>
      </c>
      <c r="D2094" s="865" t="s">
        <v>645</v>
      </c>
      <c r="E2094" s="866">
        <v>2019.0</v>
      </c>
      <c r="F2094" s="865" t="s">
        <v>593</v>
      </c>
      <c r="G2094" s="865" t="s">
        <v>70</v>
      </c>
      <c r="H2094" s="867">
        <v>7941333.667</v>
      </c>
      <c r="I2094" s="867">
        <v>8960817.475</v>
      </c>
      <c r="J2094" s="868">
        <v>7024355.387</v>
      </c>
      <c r="K2094" s="50"/>
      <c r="L2094" s="869" t="s">
        <v>687</v>
      </c>
      <c r="M2094" s="865" t="s">
        <v>591</v>
      </c>
      <c r="N2094" s="865" t="s">
        <v>645</v>
      </c>
      <c r="O2094" s="866">
        <v>2004.0</v>
      </c>
      <c r="P2094" s="865" t="s">
        <v>593</v>
      </c>
      <c r="Q2094" s="865" t="s">
        <v>70</v>
      </c>
      <c r="R2094" s="867">
        <v>5191807.029</v>
      </c>
      <c r="S2094" s="867">
        <v>5631769.556</v>
      </c>
      <c r="T2094" s="868">
        <v>4724708.151</v>
      </c>
      <c r="AN2094" s="882"/>
      <c r="AO2094" s="882"/>
      <c r="AP2094" s="882"/>
      <c r="AY2094" s="882"/>
      <c r="AZ2094" s="882"/>
      <c r="BA2094" s="882"/>
      <c r="BJ2094" s="882"/>
      <c r="BK2094" s="882"/>
      <c r="BL2094" s="882"/>
      <c r="BU2094" s="882"/>
      <c r="BV2094" s="882"/>
      <c r="BW2094" s="882"/>
      <c r="CF2094" s="882"/>
      <c r="CG2094" s="882"/>
      <c r="CH2094" s="882"/>
      <c r="CI2094" s="530"/>
    </row>
    <row r="2095">
      <c r="A2095" s="857"/>
      <c r="B2095" s="865" t="s">
        <v>687</v>
      </c>
      <c r="C2095" s="865" t="s">
        <v>591</v>
      </c>
      <c r="D2095" s="865" t="s">
        <v>604</v>
      </c>
      <c r="E2095" s="866">
        <v>2019.0</v>
      </c>
      <c r="F2095" s="865" t="s">
        <v>593</v>
      </c>
      <c r="G2095" s="865" t="s">
        <v>70</v>
      </c>
      <c r="H2095" s="867">
        <v>9940845.565</v>
      </c>
      <c r="I2095" s="867">
        <v>1.121702051E7</v>
      </c>
      <c r="J2095" s="868">
        <v>8792985.539</v>
      </c>
      <c r="K2095" s="50"/>
      <c r="L2095" s="869" t="s">
        <v>687</v>
      </c>
      <c r="M2095" s="865" t="s">
        <v>591</v>
      </c>
      <c r="N2095" s="865" t="s">
        <v>604</v>
      </c>
      <c r="O2095" s="866">
        <v>2004.0</v>
      </c>
      <c r="P2095" s="865" t="s">
        <v>593</v>
      </c>
      <c r="Q2095" s="865" t="s">
        <v>70</v>
      </c>
      <c r="R2095" s="867">
        <v>1.006426007E7</v>
      </c>
      <c r="S2095" s="867">
        <v>1.091712253E7</v>
      </c>
      <c r="T2095" s="868">
        <v>9158794.104</v>
      </c>
      <c r="AN2095" s="882"/>
      <c r="AO2095" s="882"/>
      <c r="AP2095" s="882"/>
      <c r="AY2095" s="882"/>
      <c r="AZ2095" s="882"/>
      <c r="BA2095" s="882"/>
      <c r="BJ2095" s="882"/>
      <c r="BK2095" s="882"/>
      <c r="BL2095" s="882"/>
      <c r="BU2095" s="882"/>
      <c r="BV2095" s="882"/>
      <c r="BW2095" s="882"/>
      <c r="CF2095" s="882"/>
      <c r="CG2095" s="882"/>
      <c r="CH2095" s="882"/>
      <c r="CI2095" s="530"/>
    </row>
    <row r="2096">
      <c r="A2096" s="857"/>
      <c r="B2096" s="865" t="s">
        <v>687</v>
      </c>
      <c r="C2096" s="865" t="s">
        <v>591</v>
      </c>
      <c r="D2096" s="865" t="s">
        <v>647</v>
      </c>
      <c r="E2096" s="866">
        <v>2019.0</v>
      </c>
      <c r="F2096" s="865" t="s">
        <v>593</v>
      </c>
      <c r="G2096" s="865" t="s">
        <v>70</v>
      </c>
      <c r="H2096" s="867">
        <v>7563125.014</v>
      </c>
      <c r="I2096" s="867">
        <v>8534610.955</v>
      </c>
      <c r="J2096" s="868">
        <v>6689465.26</v>
      </c>
      <c r="K2096" s="50"/>
      <c r="L2096" s="869" t="s">
        <v>687</v>
      </c>
      <c r="M2096" s="865" t="s">
        <v>591</v>
      </c>
      <c r="N2096" s="865" t="s">
        <v>647</v>
      </c>
      <c r="O2096" s="866">
        <v>2004.0</v>
      </c>
      <c r="P2096" s="865" t="s">
        <v>593</v>
      </c>
      <c r="Q2096" s="865" t="s">
        <v>70</v>
      </c>
      <c r="R2096" s="867">
        <v>4873757.603</v>
      </c>
      <c r="S2096" s="867">
        <v>5286769.941</v>
      </c>
      <c r="T2096" s="868">
        <v>4435063.281</v>
      </c>
      <c r="AN2096" s="882"/>
      <c r="AO2096" s="882"/>
      <c r="AP2096" s="882"/>
      <c r="AY2096" s="882"/>
      <c r="AZ2096" s="882"/>
      <c r="BA2096" s="882"/>
      <c r="BJ2096" s="882"/>
      <c r="BK2096" s="882"/>
      <c r="BL2096" s="882"/>
      <c r="BU2096" s="882"/>
      <c r="BV2096" s="882"/>
      <c r="BW2096" s="882"/>
      <c r="CF2096" s="882"/>
      <c r="CG2096" s="882"/>
      <c r="CH2096" s="882"/>
      <c r="CI2096" s="530"/>
    </row>
    <row r="2097">
      <c r="A2097" s="857"/>
      <c r="B2097" s="865" t="s">
        <v>687</v>
      </c>
      <c r="C2097" s="865" t="s">
        <v>591</v>
      </c>
      <c r="D2097" s="865" t="s">
        <v>649</v>
      </c>
      <c r="E2097" s="866">
        <v>2019.0</v>
      </c>
      <c r="F2097" s="865" t="s">
        <v>593</v>
      </c>
      <c r="G2097" s="865" t="s">
        <v>70</v>
      </c>
      <c r="H2097" s="867">
        <v>2206625.676</v>
      </c>
      <c r="I2097" s="867">
        <v>2489905.443</v>
      </c>
      <c r="J2097" s="868">
        <v>1951828.698</v>
      </c>
      <c r="K2097" s="50"/>
      <c r="L2097" s="869" t="s">
        <v>687</v>
      </c>
      <c r="M2097" s="865" t="s">
        <v>591</v>
      </c>
      <c r="N2097" s="865" t="s">
        <v>649</v>
      </c>
      <c r="O2097" s="866">
        <v>2004.0</v>
      </c>
      <c r="P2097" s="865" t="s">
        <v>593</v>
      </c>
      <c r="Q2097" s="865" t="s">
        <v>70</v>
      </c>
      <c r="R2097" s="867">
        <v>1394353.093</v>
      </c>
      <c r="S2097" s="867">
        <v>1512512.937</v>
      </c>
      <c r="T2097" s="868">
        <v>1268905.294</v>
      </c>
      <c r="AN2097" s="882"/>
      <c r="AO2097" s="882"/>
      <c r="AP2097" s="882"/>
      <c r="AY2097" s="882"/>
      <c r="AZ2097" s="882"/>
      <c r="BA2097" s="882"/>
      <c r="BJ2097" s="882"/>
      <c r="BK2097" s="882"/>
      <c r="BL2097" s="882"/>
      <c r="BU2097" s="882"/>
      <c r="BV2097" s="882"/>
      <c r="BW2097" s="882"/>
      <c r="CF2097" s="882"/>
      <c r="CG2097" s="882"/>
      <c r="CH2097" s="882"/>
      <c r="CI2097" s="530"/>
    </row>
    <row r="2098">
      <c r="A2098" s="857"/>
      <c r="B2098" s="865" t="s">
        <v>687</v>
      </c>
      <c r="C2098" s="865" t="s">
        <v>591</v>
      </c>
      <c r="D2098" s="865" t="s">
        <v>651</v>
      </c>
      <c r="E2098" s="866">
        <v>2019.0</v>
      </c>
      <c r="F2098" s="865" t="s">
        <v>593</v>
      </c>
      <c r="G2098" s="865" t="s">
        <v>70</v>
      </c>
      <c r="H2098" s="867">
        <v>1850151.011</v>
      </c>
      <c r="I2098" s="867">
        <v>2087667.665</v>
      </c>
      <c r="J2098" s="868">
        <v>1636515.826</v>
      </c>
      <c r="K2098" s="50"/>
      <c r="L2098" s="869" t="s">
        <v>687</v>
      </c>
      <c r="M2098" s="865" t="s">
        <v>591</v>
      </c>
      <c r="N2098" s="865" t="s">
        <v>651</v>
      </c>
      <c r="O2098" s="866">
        <v>2004.0</v>
      </c>
      <c r="P2098" s="865" t="s">
        <v>593</v>
      </c>
      <c r="Q2098" s="865" t="s">
        <v>70</v>
      </c>
      <c r="R2098" s="867">
        <v>1117931.854</v>
      </c>
      <c r="S2098" s="867">
        <v>1212667.294</v>
      </c>
      <c r="T2098" s="868">
        <v>1017353.248</v>
      </c>
      <c r="AN2098" s="882"/>
      <c r="AO2098" s="882"/>
      <c r="AP2098" s="882"/>
      <c r="AY2098" s="882"/>
      <c r="AZ2098" s="882"/>
      <c r="BA2098" s="882"/>
      <c r="BJ2098" s="882"/>
      <c r="BK2098" s="882"/>
      <c r="BL2098" s="882"/>
      <c r="BU2098" s="882"/>
      <c r="BV2098" s="882"/>
      <c r="BW2098" s="882"/>
      <c r="CF2098" s="882"/>
      <c r="CG2098" s="882"/>
      <c r="CH2098" s="882"/>
      <c r="CI2098" s="530"/>
    </row>
    <row r="2099">
      <c r="A2099" s="857"/>
      <c r="B2099" s="865" t="s">
        <v>687</v>
      </c>
      <c r="C2099" s="865" t="s">
        <v>591</v>
      </c>
      <c r="D2099" s="865" t="s">
        <v>653</v>
      </c>
      <c r="E2099" s="866">
        <v>2019.0</v>
      </c>
      <c r="F2099" s="865" t="s">
        <v>593</v>
      </c>
      <c r="G2099" s="865" t="s">
        <v>70</v>
      </c>
      <c r="H2099" s="867">
        <v>1346285.903</v>
      </c>
      <c r="I2099" s="867">
        <v>1519117.915</v>
      </c>
      <c r="J2099" s="868">
        <v>1190831.544</v>
      </c>
      <c r="K2099" s="50"/>
      <c r="L2099" s="869" t="s">
        <v>687</v>
      </c>
      <c r="M2099" s="865" t="s">
        <v>591</v>
      </c>
      <c r="N2099" s="865" t="s">
        <v>653</v>
      </c>
      <c r="O2099" s="866">
        <v>2004.0</v>
      </c>
      <c r="P2099" s="865" t="s">
        <v>593</v>
      </c>
      <c r="Q2099" s="865" t="s">
        <v>70</v>
      </c>
      <c r="R2099" s="867">
        <v>857130.529</v>
      </c>
      <c r="S2099" s="867">
        <v>929765.2226</v>
      </c>
      <c r="T2099" s="868">
        <v>780015.8161</v>
      </c>
      <c r="AN2099" s="882"/>
      <c r="AO2099" s="882"/>
      <c r="AP2099" s="882"/>
      <c r="AY2099" s="882"/>
      <c r="AZ2099" s="882"/>
      <c r="BA2099" s="882"/>
      <c r="BJ2099" s="882"/>
      <c r="BK2099" s="882"/>
      <c r="BL2099" s="882"/>
      <c r="BU2099" s="882"/>
      <c r="BV2099" s="882"/>
      <c r="BW2099" s="882"/>
      <c r="CF2099" s="882"/>
      <c r="CG2099" s="882"/>
      <c r="CH2099" s="882"/>
      <c r="CI2099" s="530"/>
    </row>
    <row r="2100">
      <c r="A2100" s="857"/>
      <c r="B2100" s="865" t="s">
        <v>687</v>
      </c>
      <c r="C2100" s="865" t="s">
        <v>591</v>
      </c>
      <c r="D2100" s="865" t="s">
        <v>655</v>
      </c>
      <c r="E2100" s="866">
        <v>2019.0</v>
      </c>
      <c r="F2100" s="865" t="s">
        <v>593</v>
      </c>
      <c r="G2100" s="865" t="s">
        <v>70</v>
      </c>
      <c r="H2100" s="867">
        <v>2257226.837</v>
      </c>
      <c r="I2100" s="867">
        <v>2547168.38</v>
      </c>
      <c r="J2100" s="868">
        <v>1996481.677</v>
      </c>
      <c r="K2100" s="50"/>
      <c r="L2100" s="869" t="s">
        <v>687</v>
      </c>
      <c r="M2100" s="865" t="s">
        <v>591</v>
      </c>
      <c r="N2100" s="865" t="s">
        <v>655</v>
      </c>
      <c r="O2100" s="866">
        <v>2004.0</v>
      </c>
      <c r="P2100" s="865" t="s">
        <v>593</v>
      </c>
      <c r="Q2100" s="865" t="s">
        <v>70</v>
      </c>
      <c r="R2100" s="867">
        <v>1486834.641</v>
      </c>
      <c r="S2100" s="867">
        <v>1612832.096</v>
      </c>
      <c r="T2100" s="868">
        <v>1353002.397</v>
      </c>
      <c r="AN2100" s="882"/>
      <c r="AO2100" s="882"/>
      <c r="AP2100" s="882"/>
      <c r="AY2100" s="882"/>
      <c r="AZ2100" s="882"/>
      <c r="BA2100" s="882"/>
      <c r="BJ2100" s="882"/>
      <c r="BK2100" s="882"/>
      <c r="BL2100" s="882"/>
      <c r="BU2100" s="882"/>
      <c r="BV2100" s="882"/>
      <c r="BW2100" s="882"/>
      <c r="CF2100" s="882"/>
      <c r="CG2100" s="882"/>
      <c r="CH2100" s="882"/>
      <c r="CI2100" s="530"/>
    </row>
    <row r="2101">
      <c r="A2101" s="857"/>
      <c r="B2101" s="865" t="s">
        <v>687</v>
      </c>
      <c r="C2101" s="865" t="s">
        <v>591</v>
      </c>
      <c r="D2101" s="865" t="s">
        <v>657</v>
      </c>
      <c r="E2101" s="866">
        <v>2019.0</v>
      </c>
      <c r="F2101" s="865" t="s">
        <v>593</v>
      </c>
      <c r="G2101" s="865" t="s">
        <v>70</v>
      </c>
      <c r="H2101" s="867">
        <v>910928.4763</v>
      </c>
      <c r="I2101" s="867">
        <v>1027870.651</v>
      </c>
      <c r="J2101" s="868">
        <v>805744.4276</v>
      </c>
      <c r="K2101" s="50"/>
      <c r="L2101" s="869" t="s">
        <v>687</v>
      </c>
      <c r="M2101" s="865" t="s">
        <v>591</v>
      </c>
      <c r="N2101" s="865" t="s">
        <v>657</v>
      </c>
      <c r="O2101" s="866">
        <v>2004.0</v>
      </c>
      <c r="P2101" s="865" t="s">
        <v>593</v>
      </c>
      <c r="Q2101" s="865" t="s">
        <v>70</v>
      </c>
      <c r="R2101" s="867">
        <v>629700.6866</v>
      </c>
      <c r="S2101" s="867">
        <v>683062.5899</v>
      </c>
      <c r="T2101" s="868">
        <v>573047.4861</v>
      </c>
      <c r="AN2101" s="882"/>
      <c r="AO2101" s="882"/>
      <c r="AP2101" s="882"/>
      <c r="AY2101" s="882"/>
      <c r="AZ2101" s="882"/>
      <c r="BA2101" s="882"/>
      <c r="BJ2101" s="882"/>
      <c r="BK2101" s="882"/>
      <c r="BL2101" s="882"/>
      <c r="BU2101" s="882"/>
      <c r="BV2101" s="882"/>
      <c r="BW2101" s="882"/>
      <c r="CF2101" s="882"/>
      <c r="CG2101" s="882"/>
      <c r="CH2101" s="882"/>
      <c r="CI2101" s="530"/>
    </row>
    <row r="2102">
      <c r="A2102" s="857"/>
      <c r="B2102" s="865" t="s">
        <v>687</v>
      </c>
      <c r="C2102" s="865" t="s">
        <v>591</v>
      </c>
      <c r="D2102" s="865" t="s">
        <v>659</v>
      </c>
      <c r="E2102" s="866">
        <v>2019.0</v>
      </c>
      <c r="F2102" s="865" t="s">
        <v>593</v>
      </c>
      <c r="G2102" s="865" t="s">
        <v>70</v>
      </c>
      <c r="H2102" s="867">
        <v>2160020.682</v>
      </c>
      <c r="I2102" s="867">
        <v>2437317.443</v>
      </c>
      <c r="J2102" s="868">
        <v>1910605.139</v>
      </c>
      <c r="K2102" s="50"/>
      <c r="L2102" s="869" t="s">
        <v>687</v>
      </c>
      <c r="M2102" s="865" t="s">
        <v>591</v>
      </c>
      <c r="N2102" s="865" t="s">
        <v>659</v>
      </c>
      <c r="O2102" s="866">
        <v>2004.0</v>
      </c>
      <c r="P2102" s="865" t="s">
        <v>593</v>
      </c>
      <c r="Q2102" s="865" t="s">
        <v>70</v>
      </c>
      <c r="R2102" s="867">
        <v>1504330.897</v>
      </c>
      <c r="S2102" s="867">
        <v>1631810.447</v>
      </c>
      <c r="T2102" s="868">
        <v>1368988.565</v>
      </c>
      <c r="AN2102" s="882"/>
      <c r="AO2102" s="882"/>
      <c r="AP2102" s="882"/>
      <c r="AY2102" s="882"/>
      <c r="AZ2102" s="882"/>
      <c r="BA2102" s="882"/>
      <c r="BJ2102" s="882"/>
      <c r="BK2102" s="882"/>
      <c r="BL2102" s="882"/>
      <c r="BU2102" s="882"/>
      <c r="BV2102" s="882"/>
      <c r="BW2102" s="882"/>
      <c r="CF2102" s="882"/>
      <c r="CG2102" s="882"/>
      <c r="CH2102" s="882"/>
      <c r="CI2102" s="530"/>
    </row>
    <row r="2103">
      <c r="A2103" s="857"/>
      <c r="B2103" s="865" t="s">
        <v>687</v>
      </c>
      <c r="C2103" s="865" t="s">
        <v>591</v>
      </c>
      <c r="D2103" s="865" t="s">
        <v>661</v>
      </c>
      <c r="E2103" s="866">
        <v>2019.0</v>
      </c>
      <c r="F2103" s="865" t="s">
        <v>593</v>
      </c>
      <c r="G2103" s="865" t="s">
        <v>70</v>
      </c>
      <c r="H2103" s="867">
        <v>1249099.099</v>
      </c>
      <c r="I2103" s="867">
        <v>1409546.297</v>
      </c>
      <c r="J2103" s="868">
        <v>1104808.53</v>
      </c>
      <c r="K2103" s="50"/>
      <c r="L2103" s="869" t="s">
        <v>687</v>
      </c>
      <c r="M2103" s="865" t="s">
        <v>591</v>
      </c>
      <c r="N2103" s="865" t="s">
        <v>661</v>
      </c>
      <c r="O2103" s="866">
        <v>2004.0</v>
      </c>
      <c r="P2103" s="865" t="s">
        <v>593</v>
      </c>
      <c r="Q2103" s="865" t="s">
        <v>70</v>
      </c>
      <c r="R2103" s="867">
        <v>874632.2258</v>
      </c>
      <c r="S2103" s="867">
        <v>948750.3767</v>
      </c>
      <c r="T2103" s="868">
        <v>795905.2512</v>
      </c>
      <c r="AN2103" s="882"/>
      <c r="AO2103" s="882"/>
      <c r="AP2103" s="882"/>
      <c r="AY2103" s="882"/>
      <c r="AZ2103" s="882"/>
      <c r="BA2103" s="882"/>
      <c r="BJ2103" s="882"/>
      <c r="BK2103" s="882"/>
      <c r="BL2103" s="882"/>
      <c r="BU2103" s="882"/>
      <c r="BV2103" s="882"/>
      <c r="BW2103" s="882"/>
      <c r="CF2103" s="882"/>
      <c r="CG2103" s="882"/>
      <c r="CH2103" s="882"/>
      <c r="CI2103" s="530"/>
    </row>
    <row r="2104">
      <c r="A2104" s="857"/>
      <c r="B2104" s="865" t="s">
        <v>687</v>
      </c>
      <c r="C2104" s="865" t="s">
        <v>591</v>
      </c>
      <c r="D2104" s="865" t="s">
        <v>663</v>
      </c>
      <c r="E2104" s="866">
        <v>2019.0</v>
      </c>
      <c r="F2104" s="865" t="s">
        <v>593</v>
      </c>
      <c r="G2104" s="865" t="s">
        <v>70</v>
      </c>
      <c r="H2104" s="867">
        <v>609110.5391</v>
      </c>
      <c r="I2104" s="867">
        <v>687306.2626</v>
      </c>
      <c r="J2104" s="868">
        <v>538777.1218</v>
      </c>
      <c r="K2104" s="50"/>
      <c r="L2104" s="869" t="s">
        <v>687</v>
      </c>
      <c r="M2104" s="865" t="s">
        <v>591</v>
      </c>
      <c r="N2104" s="865" t="s">
        <v>663</v>
      </c>
      <c r="O2104" s="866">
        <v>2004.0</v>
      </c>
      <c r="P2104" s="865" t="s">
        <v>593</v>
      </c>
      <c r="Q2104" s="865" t="s">
        <v>70</v>
      </c>
      <c r="R2104" s="867">
        <v>437368.6805</v>
      </c>
      <c r="S2104" s="867">
        <v>474432.0437</v>
      </c>
      <c r="T2104" s="868">
        <v>398019.2943</v>
      </c>
      <c r="AN2104" s="882"/>
      <c r="AO2104" s="882"/>
      <c r="AP2104" s="882"/>
      <c r="AY2104" s="882"/>
      <c r="AZ2104" s="882"/>
      <c r="BA2104" s="882"/>
      <c r="BJ2104" s="882"/>
      <c r="BK2104" s="882"/>
      <c r="BL2104" s="882"/>
      <c r="BU2104" s="882"/>
      <c r="BV2104" s="882"/>
      <c r="BW2104" s="882"/>
      <c r="CF2104" s="882"/>
      <c r="CG2104" s="882"/>
      <c r="CH2104" s="882"/>
      <c r="CI2104" s="530"/>
    </row>
    <row r="2105">
      <c r="A2105" s="857"/>
      <c r="B2105" s="865" t="s">
        <v>687</v>
      </c>
      <c r="C2105" s="865" t="s">
        <v>591</v>
      </c>
      <c r="D2105" s="865" t="s">
        <v>665</v>
      </c>
      <c r="E2105" s="866">
        <v>2019.0</v>
      </c>
      <c r="F2105" s="865" t="s">
        <v>593</v>
      </c>
      <c r="G2105" s="865" t="s">
        <v>70</v>
      </c>
      <c r="H2105" s="867">
        <v>987434.6718</v>
      </c>
      <c r="I2105" s="867">
        <v>1114270.986</v>
      </c>
      <c r="J2105" s="868">
        <v>873370.4549</v>
      </c>
      <c r="K2105" s="50"/>
      <c r="L2105" s="869" t="s">
        <v>687</v>
      </c>
      <c r="M2105" s="865" t="s">
        <v>591</v>
      </c>
      <c r="N2105" s="865" t="s">
        <v>665</v>
      </c>
      <c r="O2105" s="866">
        <v>2004.0</v>
      </c>
      <c r="P2105" s="865" t="s">
        <v>593</v>
      </c>
      <c r="Q2105" s="865" t="s">
        <v>70</v>
      </c>
      <c r="R2105" s="867">
        <v>709692.8185</v>
      </c>
      <c r="S2105" s="867">
        <v>769833.6615</v>
      </c>
      <c r="T2105" s="868">
        <v>645812.2904</v>
      </c>
      <c r="AN2105" s="882"/>
      <c r="AO2105" s="882"/>
      <c r="AP2105" s="882"/>
      <c r="AY2105" s="882"/>
      <c r="AZ2105" s="882"/>
      <c r="BA2105" s="882"/>
      <c r="BJ2105" s="882"/>
      <c r="BK2105" s="882"/>
      <c r="BL2105" s="882"/>
      <c r="BU2105" s="882"/>
      <c r="BV2105" s="882"/>
      <c r="BW2105" s="882"/>
      <c r="CF2105" s="882"/>
      <c r="CG2105" s="882"/>
      <c r="CH2105" s="882"/>
      <c r="CI2105" s="530"/>
    </row>
    <row r="2106">
      <c r="A2106" s="857"/>
      <c r="B2106" s="865" t="s">
        <v>687</v>
      </c>
      <c r="C2106" s="865" t="s">
        <v>591</v>
      </c>
      <c r="D2106" s="865" t="s">
        <v>667</v>
      </c>
      <c r="E2106" s="866">
        <v>2019.0</v>
      </c>
      <c r="F2106" s="865" t="s">
        <v>593</v>
      </c>
      <c r="G2106" s="865" t="s">
        <v>70</v>
      </c>
      <c r="H2106" s="867">
        <v>639981.6662</v>
      </c>
      <c r="I2106" s="867">
        <v>722140.5294</v>
      </c>
      <c r="J2106" s="868">
        <v>566083.5891</v>
      </c>
      <c r="K2106" s="50"/>
      <c r="L2106" s="869" t="s">
        <v>687</v>
      </c>
      <c r="M2106" s="865" t="s">
        <v>591</v>
      </c>
      <c r="N2106" s="865" t="s">
        <v>667</v>
      </c>
      <c r="O2106" s="866">
        <v>2004.0</v>
      </c>
      <c r="P2106" s="865" t="s">
        <v>593</v>
      </c>
      <c r="Q2106" s="865" t="s">
        <v>70</v>
      </c>
      <c r="R2106" s="867">
        <v>437261.5302</v>
      </c>
      <c r="S2106" s="867">
        <v>474315.8133</v>
      </c>
      <c r="T2106" s="868">
        <v>397921.7841</v>
      </c>
      <c r="AN2106" s="882"/>
      <c r="AO2106" s="882"/>
      <c r="AP2106" s="882"/>
      <c r="AY2106" s="882"/>
      <c r="AZ2106" s="882"/>
      <c r="BA2106" s="882"/>
      <c r="BJ2106" s="882"/>
      <c r="BK2106" s="882"/>
      <c r="BL2106" s="882"/>
      <c r="BU2106" s="882"/>
      <c r="BV2106" s="882"/>
      <c r="BW2106" s="882"/>
      <c r="CF2106" s="882"/>
      <c r="CG2106" s="882"/>
      <c r="CH2106" s="882"/>
      <c r="CI2106" s="530"/>
    </row>
    <row r="2107">
      <c r="A2107" s="857"/>
      <c r="B2107" s="865" t="s">
        <v>687</v>
      </c>
      <c r="C2107" s="865" t="s">
        <v>591</v>
      </c>
      <c r="D2107" s="865" t="s">
        <v>669</v>
      </c>
      <c r="E2107" s="866">
        <v>2019.0</v>
      </c>
      <c r="F2107" s="865" t="s">
        <v>593</v>
      </c>
      <c r="G2107" s="865" t="s">
        <v>70</v>
      </c>
      <c r="H2107" s="867">
        <v>378318.683</v>
      </c>
      <c r="I2107" s="867">
        <v>426886.0632</v>
      </c>
      <c r="J2107" s="868">
        <v>334634.5828</v>
      </c>
      <c r="K2107" s="50"/>
      <c r="L2107" s="869" t="s">
        <v>687</v>
      </c>
      <c r="M2107" s="865" t="s">
        <v>591</v>
      </c>
      <c r="N2107" s="865" t="s">
        <v>669</v>
      </c>
      <c r="O2107" s="866">
        <v>2004.0</v>
      </c>
      <c r="P2107" s="865" t="s">
        <v>593</v>
      </c>
      <c r="Q2107" s="865" t="s">
        <v>70</v>
      </c>
      <c r="R2107" s="867">
        <v>272322.5029</v>
      </c>
      <c r="S2107" s="867">
        <v>295399.5733</v>
      </c>
      <c r="T2107" s="868">
        <v>247822.067</v>
      </c>
      <c r="AN2107" s="882"/>
      <c r="AO2107" s="882"/>
      <c r="AP2107" s="882"/>
      <c r="AY2107" s="882"/>
      <c r="AZ2107" s="882"/>
      <c r="BA2107" s="882"/>
      <c r="BJ2107" s="882"/>
      <c r="BK2107" s="882"/>
      <c r="BL2107" s="882"/>
      <c r="BU2107" s="882"/>
      <c r="BV2107" s="882"/>
      <c r="BW2107" s="882"/>
      <c r="CF2107" s="882"/>
      <c r="CG2107" s="882"/>
      <c r="CH2107" s="882"/>
      <c r="CI2107" s="530"/>
    </row>
    <row r="2108">
      <c r="A2108" s="857"/>
      <c r="B2108" s="865" t="s">
        <v>687</v>
      </c>
      <c r="C2108" s="865" t="s">
        <v>591</v>
      </c>
      <c r="D2108" s="865" t="s">
        <v>671</v>
      </c>
      <c r="E2108" s="866">
        <v>2019.0</v>
      </c>
      <c r="F2108" s="865" t="s">
        <v>593</v>
      </c>
      <c r="G2108" s="865" t="s">
        <v>70</v>
      </c>
      <c r="H2108" s="867">
        <v>261664.4274</v>
      </c>
      <c r="I2108" s="867">
        <v>295275.3108</v>
      </c>
      <c r="J2108" s="868">
        <v>231438.0754</v>
      </c>
      <c r="K2108" s="50"/>
      <c r="L2108" s="869" t="s">
        <v>687</v>
      </c>
      <c r="M2108" s="865" t="s">
        <v>591</v>
      </c>
      <c r="N2108" s="865" t="s">
        <v>671</v>
      </c>
      <c r="O2108" s="866">
        <v>2004.0</v>
      </c>
      <c r="P2108" s="865" t="s">
        <v>593</v>
      </c>
      <c r="Q2108" s="865" t="s">
        <v>70</v>
      </c>
      <c r="R2108" s="867">
        <v>164939.4073</v>
      </c>
      <c r="S2108" s="867">
        <v>178916.7151</v>
      </c>
      <c r="T2108" s="868">
        <v>150092.9608</v>
      </c>
      <c r="AN2108" s="882"/>
      <c r="AO2108" s="882"/>
      <c r="AP2108" s="882"/>
      <c r="AY2108" s="882"/>
      <c r="AZ2108" s="882"/>
      <c r="BA2108" s="882"/>
      <c r="BJ2108" s="882"/>
      <c r="BK2108" s="882"/>
      <c r="BL2108" s="882"/>
      <c r="BU2108" s="882"/>
      <c r="BV2108" s="882"/>
      <c r="BW2108" s="882"/>
      <c r="CF2108" s="882"/>
      <c r="CG2108" s="882"/>
      <c r="CH2108" s="882"/>
      <c r="CI2108" s="530"/>
    </row>
    <row r="2109">
      <c r="A2109" s="857"/>
      <c r="B2109" s="865" t="s">
        <v>687</v>
      </c>
      <c r="C2109" s="865" t="s">
        <v>591</v>
      </c>
      <c r="D2109" s="865" t="s">
        <v>673</v>
      </c>
      <c r="E2109" s="866">
        <v>2019.0</v>
      </c>
      <c r="F2109" s="865" t="s">
        <v>593</v>
      </c>
      <c r="G2109" s="865" t="s">
        <v>70</v>
      </c>
      <c r="H2109" s="867">
        <v>188689.7157</v>
      </c>
      <c r="I2109" s="867">
        <v>212913.1167</v>
      </c>
      <c r="J2109" s="868">
        <v>166901.8929</v>
      </c>
      <c r="K2109" s="50"/>
      <c r="L2109" s="869" t="s">
        <v>687</v>
      </c>
      <c r="M2109" s="865" t="s">
        <v>591</v>
      </c>
      <c r="N2109" s="865" t="s">
        <v>673</v>
      </c>
      <c r="O2109" s="866">
        <v>2004.0</v>
      </c>
      <c r="P2109" s="865" t="s">
        <v>593</v>
      </c>
      <c r="Q2109" s="865" t="s">
        <v>70</v>
      </c>
      <c r="R2109" s="867">
        <v>122046.5233</v>
      </c>
      <c r="S2109" s="867">
        <v>132388.9525</v>
      </c>
      <c r="T2109" s="868">
        <v>111066.1856</v>
      </c>
      <c r="AN2109" s="882"/>
      <c r="AO2109" s="882"/>
      <c r="AP2109" s="882"/>
      <c r="AY2109" s="882"/>
      <c r="AZ2109" s="882"/>
      <c r="BA2109" s="882"/>
      <c r="BJ2109" s="882"/>
      <c r="BK2109" s="882"/>
      <c r="BL2109" s="882"/>
      <c r="BU2109" s="882"/>
      <c r="BV2109" s="882"/>
      <c r="BW2109" s="882"/>
      <c r="CF2109" s="882"/>
      <c r="CG2109" s="882"/>
      <c r="CH2109" s="882"/>
      <c r="CI2109" s="530"/>
    </row>
    <row r="2110">
      <c r="A2110" s="857"/>
      <c r="B2110" s="865" t="s">
        <v>687</v>
      </c>
      <c r="C2110" s="865" t="s">
        <v>591</v>
      </c>
      <c r="D2110" s="865" t="s">
        <v>674</v>
      </c>
      <c r="E2110" s="866">
        <v>2019.0</v>
      </c>
      <c r="F2110" s="865" t="s">
        <v>593</v>
      </c>
      <c r="G2110" s="865" t="s">
        <v>70</v>
      </c>
      <c r="H2110" s="867">
        <v>61197.53689</v>
      </c>
      <c r="I2110" s="867">
        <v>69053.88704</v>
      </c>
      <c r="J2110" s="868">
        <v>54131.11524</v>
      </c>
      <c r="K2110" s="50"/>
      <c r="L2110" s="869" t="s">
        <v>687</v>
      </c>
      <c r="M2110" s="865" t="s">
        <v>591</v>
      </c>
      <c r="N2110" s="865" t="s">
        <v>674</v>
      </c>
      <c r="O2110" s="866">
        <v>2004.0</v>
      </c>
      <c r="P2110" s="865" t="s">
        <v>593</v>
      </c>
      <c r="Q2110" s="865" t="s">
        <v>70</v>
      </c>
      <c r="R2110" s="867">
        <v>35325.87064</v>
      </c>
      <c r="S2110" s="867">
        <v>38319.44479</v>
      </c>
      <c r="T2110" s="868">
        <v>32147.6565</v>
      </c>
      <c r="AN2110" s="882"/>
      <c r="AO2110" s="882"/>
      <c r="AP2110" s="882"/>
      <c r="AY2110" s="882"/>
      <c r="AZ2110" s="882"/>
      <c r="BA2110" s="882"/>
      <c r="BJ2110" s="882"/>
      <c r="BK2110" s="882"/>
      <c r="BL2110" s="882"/>
      <c r="BU2110" s="882"/>
      <c r="BV2110" s="882"/>
      <c r="BW2110" s="882"/>
      <c r="CF2110" s="882"/>
      <c r="CG2110" s="882"/>
      <c r="CH2110" s="882"/>
      <c r="CI2110" s="530"/>
    </row>
    <row r="2111">
      <c r="A2111" s="857"/>
      <c r="B2111" s="865" t="s">
        <v>687</v>
      </c>
      <c r="C2111" s="865" t="s">
        <v>591</v>
      </c>
      <c r="D2111" s="865" t="s">
        <v>676</v>
      </c>
      <c r="E2111" s="866">
        <v>2019.0</v>
      </c>
      <c r="F2111" s="865" t="s">
        <v>593</v>
      </c>
      <c r="G2111" s="865" t="s">
        <v>70</v>
      </c>
      <c r="H2111" s="867">
        <v>11775.73066</v>
      </c>
      <c r="I2111" s="867">
        <v>13287.46248</v>
      </c>
      <c r="J2111" s="868">
        <v>10415.99819</v>
      </c>
      <c r="K2111" s="50"/>
      <c r="L2111" s="869" t="s">
        <v>687</v>
      </c>
      <c r="M2111" s="865" t="s">
        <v>591</v>
      </c>
      <c r="N2111" s="865" t="s">
        <v>676</v>
      </c>
      <c r="O2111" s="866">
        <v>2004.0</v>
      </c>
      <c r="P2111" s="865" t="s">
        <v>593</v>
      </c>
      <c r="Q2111" s="865" t="s">
        <v>70</v>
      </c>
      <c r="R2111" s="867">
        <v>7566.633373</v>
      </c>
      <c r="S2111" s="867">
        <v>8207.842708</v>
      </c>
      <c r="T2111" s="868">
        <v>6885.875028</v>
      </c>
      <c r="AN2111" s="882"/>
      <c r="AO2111" s="882"/>
      <c r="AP2111" s="882"/>
      <c r="AY2111" s="882"/>
      <c r="AZ2111" s="882"/>
      <c r="BA2111" s="882"/>
      <c r="BJ2111" s="882"/>
      <c r="BK2111" s="882"/>
      <c r="BL2111" s="882"/>
      <c r="BU2111" s="882"/>
      <c r="BV2111" s="882"/>
      <c r="BW2111" s="882"/>
      <c r="CF2111" s="882"/>
      <c r="CG2111" s="882"/>
      <c r="CH2111" s="882"/>
      <c r="CI2111" s="530"/>
    </row>
    <row r="2112">
      <c r="A2112" s="857"/>
      <c r="B2112" s="865" t="s">
        <v>687</v>
      </c>
      <c r="C2112" s="865" t="s">
        <v>591</v>
      </c>
      <c r="D2112" s="865" t="s">
        <v>678</v>
      </c>
      <c r="E2112" s="866">
        <v>2019.0</v>
      </c>
      <c r="F2112" s="865" t="s">
        <v>593</v>
      </c>
      <c r="G2112" s="865" t="s">
        <v>70</v>
      </c>
      <c r="H2112" s="867">
        <v>5.558842452E7</v>
      </c>
      <c r="I2112" s="867">
        <v>6.27246942E7</v>
      </c>
      <c r="J2112" s="868">
        <v>4.916968177E7</v>
      </c>
      <c r="K2112" s="50"/>
      <c r="L2112" s="869" t="s">
        <v>687</v>
      </c>
      <c r="M2112" s="865" t="s">
        <v>591</v>
      </c>
      <c r="N2112" s="865" t="s">
        <v>678</v>
      </c>
      <c r="O2112" s="866">
        <v>2004.0</v>
      </c>
      <c r="P2112" s="865" t="s">
        <v>593</v>
      </c>
      <c r="Q2112" s="865" t="s">
        <v>70</v>
      </c>
      <c r="R2112" s="867">
        <v>4.799473648E7</v>
      </c>
      <c r="S2112" s="867">
        <v>5.206189178E7</v>
      </c>
      <c r="T2112" s="868">
        <v>4.367672399E7</v>
      </c>
      <c r="AN2112" s="882"/>
      <c r="AO2112" s="882"/>
      <c r="AP2112" s="882"/>
      <c r="AY2112" s="882"/>
      <c r="AZ2112" s="882"/>
      <c r="BA2112" s="882"/>
      <c r="BJ2112" s="882"/>
      <c r="BK2112" s="882"/>
      <c r="BL2112" s="882"/>
      <c r="BU2112" s="882"/>
      <c r="BV2112" s="882"/>
      <c r="BW2112" s="882"/>
      <c r="CF2112" s="882"/>
      <c r="CG2112" s="882"/>
      <c r="CH2112" s="882"/>
      <c r="CI2112" s="530"/>
    </row>
    <row r="2113">
      <c r="A2113" s="857"/>
      <c r="B2113" s="865" t="s">
        <v>687</v>
      </c>
      <c r="C2113" s="865" t="s">
        <v>591</v>
      </c>
      <c r="D2113" s="865" t="s">
        <v>680</v>
      </c>
      <c r="E2113" s="866">
        <v>2019.0</v>
      </c>
      <c r="F2113" s="865" t="s">
        <v>593</v>
      </c>
      <c r="G2113" s="865" t="s">
        <v>70</v>
      </c>
      <c r="H2113" s="867">
        <v>1035023.152</v>
      </c>
      <c r="I2113" s="867">
        <v>1172519.393</v>
      </c>
      <c r="J2113" s="868">
        <v>917660.456</v>
      </c>
      <c r="K2113" s="50"/>
      <c r="L2113" s="869" t="s">
        <v>687</v>
      </c>
      <c r="M2113" s="865" t="s">
        <v>591</v>
      </c>
      <c r="N2113" s="865" t="s">
        <v>680</v>
      </c>
      <c r="O2113" s="866">
        <v>2004.0</v>
      </c>
      <c r="P2113" s="865" t="s">
        <v>593</v>
      </c>
      <c r="Q2113" s="865" t="s">
        <v>70</v>
      </c>
      <c r="R2113" s="867">
        <v>1087533.707</v>
      </c>
      <c r="S2113" s="867">
        <v>1221003.437</v>
      </c>
      <c r="T2113" s="868">
        <v>961583.2333</v>
      </c>
      <c r="AN2113" s="882"/>
      <c r="AO2113" s="882"/>
      <c r="AP2113" s="882"/>
      <c r="AY2113" s="882"/>
      <c r="AZ2113" s="882"/>
      <c r="BA2113" s="882"/>
      <c r="BJ2113" s="882"/>
      <c r="BK2113" s="882"/>
      <c r="BL2113" s="882"/>
      <c r="BU2113" s="882"/>
      <c r="BV2113" s="882"/>
      <c r="BW2113" s="882"/>
      <c r="CF2113" s="882"/>
      <c r="CG2113" s="882"/>
      <c r="CH2113" s="882"/>
      <c r="CI2113" s="530"/>
    </row>
    <row r="2114">
      <c r="A2114" s="857"/>
      <c r="B2114" s="865" t="s">
        <v>687</v>
      </c>
      <c r="C2114" s="865" t="s">
        <v>591</v>
      </c>
      <c r="D2114" s="865" t="s">
        <v>682</v>
      </c>
      <c r="E2114" s="866">
        <v>2019.0</v>
      </c>
      <c r="F2114" s="865" t="s">
        <v>593</v>
      </c>
      <c r="G2114" s="865" t="s">
        <v>70</v>
      </c>
      <c r="H2114" s="867">
        <v>19627.04115</v>
      </c>
      <c r="I2114" s="867">
        <v>22146.69987</v>
      </c>
      <c r="J2114" s="868">
        <v>17360.72529</v>
      </c>
      <c r="K2114" s="50"/>
      <c r="L2114" s="869" t="s">
        <v>687</v>
      </c>
      <c r="M2114" s="865" t="s">
        <v>591</v>
      </c>
      <c r="N2114" s="865" t="s">
        <v>682</v>
      </c>
      <c r="O2114" s="866">
        <v>2004.0</v>
      </c>
      <c r="P2114" s="865" t="s">
        <v>593</v>
      </c>
      <c r="Q2114" s="865" t="s">
        <v>70</v>
      </c>
      <c r="R2114" s="867">
        <v>20503.86797</v>
      </c>
      <c r="S2114" s="867">
        <v>22241.40049</v>
      </c>
      <c r="T2114" s="868">
        <v>18659.16657</v>
      </c>
      <c r="AN2114" s="882"/>
      <c r="AO2114" s="882"/>
      <c r="AP2114" s="882"/>
      <c r="AY2114" s="882"/>
      <c r="AZ2114" s="882"/>
      <c r="BA2114" s="882"/>
      <c r="BJ2114" s="882"/>
      <c r="BK2114" s="882"/>
      <c r="BL2114" s="882"/>
      <c r="BU2114" s="882"/>
      <c r="BV2114" s="882"/>
      <c r="BW2114" s="882"/>
      <c r="CF2114" s="882"/>
      <c r="CG2114" s="882"/>
      <c r="CH2114" s="882"/>
      <c r="CI2114" s="530"/>
    </row>
    <row r="2115">
      <c r="A2115" s="857"/>
      <c r="B2115" s="865" t="s">
        <v>687</v>
      </c>
      <c r="C2115" s="865" t="s">
        <v>591</v>
      </c>
      <c r="D2115" s="865" t="s">
        <v>684</v>
      </c>
      <c r="E2115" s="866">
        <v>2019.0</v>
      </c>
      <c r="F2115" s="865" t="s">
        <v>593</v>
      </c>
      <c r="G2115" s="865" t="s">
        <v>70</v>
      </c>
      <c r="H2115" s="867">
        <v>58280.25563</v>
      </c>
      <c r="I2115" s="867">
        <v>65762.09424</v>
      </c>
      <c r="J2115" s="868">
        <v>51550.68968</v>
      </c>
      <c r="K2115" s="50"/>
      <c r="L2115" s="869" t="s">
        <v>687</v>
      </c>
      <c r="M2115" s="865" t="s">
        <v>591</v>
      </c>
      <c r="N2115" s="865" t="s">
        <v>684</v>
      </c>
      <c r="O2115" s="866">
        <v>2004.0</v>
      </c>
      <c r="P2115" s="865" t="s">
        <v>593</v>
      </c>
      <c r="Q2115" s="865" t="s">
        <v>70</v>
      </c>
      <c r="R2115" s="867">
        <v>60554.6399</v>
      </c>
      <c r="S2115" s="867">
        <v>65686.14271</v>
      </c>
      <c r="T2115" s="868">
        <v>55106.63226</v>
      </c>
      <c r="AN2115" s="882"/>
      <c r="AO2115" s="882"/>
      <c r="AP2115" s="882"/>
      <c r="AY2115" s="882"/>
      <c r="AZ2115" s="882"/>
      <c r="BA2115" s="882"/>
      <c r="BJ2115" s="882"/>
      <c r="BK2115" s="882"/>
      <c r="BL2115" s="882"/>
      <c r="BU2115" s="882"/>
      <c r="BV2115" s="882"/>
      <c r="BW2115" s="882"/>
      <c r="CF2115" s="882"/>
      <c r="CG2115" s="882"/>
      <c r="CH2115" s="882"/>
      <c r="CI2115" s="530"/>
    </row>
    <row r="2116">
      <c r="A2116" s="857"/>
      <c r="B2116" s="865" t="s">
        <v>687</v>
      </c>
      <c r="C2116" s="865" t="s">
        <v>591</v>
      </c>
      <c r="D2116" s="865" t="s">
        <v>686</v>
      </c>
      <c r="E2116" s="866">
        <v>2019.0</v>
      </c>
      <c r="F2116" s="865" t="s">
        <v>593</v>
      </c>
      <c r="G2116" s="865" t="s">
        <v>70</v>
      </c>
      <c r="H2116" s="867">
        <v>77907.29677</v>
      </c>
      <c r="I2116" s="867">
        <v>87908.79411</v>
      </c>
      <c r="J2116" s="868">
        <v>68911.41497</v>
      </c>
      <c r="K2116" s="50"/>
      <c r="L2116" s="869" t="s">
        <v>687</v>
      </c>
      <c r="M2116" s="865" t="s">
        <v>591</v>
      </c>
      <c r="N2116" s="865" t="s">
        <v>686</v>
      </c>
      <c r="O2116" s="866">
        <v>2004.0</v>
      </c>
      <c r="P2116" s="865" t="s">
        <v>593</v>
      </c>
      <c r="Q2116" s="865" t="s">
        <v>70</v>
      </c>
      <c r="R2116" s="867">
        <v>81058.50787</v>
      </c>
      <c r="S2116" s="867">
        <v>87927.5432</v>
      </c>
      <c r="T2116" s="868">
        <v>73765.79883</v>
      </c>
      <c r="AN2116" s="882"/>
      <c r="AO2116" s="882"/>
      <c r="AP2116" s="882"/>
      <c r="AY2116" s="882"/>
      <c r="AZ2116" s="882"/>
      <c r="BA2116" s="882"/>
      <c r="BJ2116" s="882"/>
      <c r="BK2116" s="882"/>
      <c r="BL2116" s="882"/>
      <c r="BU2116" s="882"/>
      <c r="BV2116" s="882"/>
      <c r="BW2116" s="882"/>
      <c r="CF2116" s="882"/>
      <c r="CG2116" s="882"/>
      <c r="CH2116" s="882"/>
      <c r="CI2116" s="530"/>
    </row>
    <row r="2117">
      <c r="A2117" s="857"/>
      <c r="B2117" s="865" t="s">
        <v>687</v>
      </c>
      <c r="C2117" s="865" t="s">
        <v>591</v>
      </c>
      <c r="D2117" s="865" t="s">
        <v>688</v>
      </c>
      <c r="E2117" s="866">
        <v>2019.0</v>
      </c>
      <c r="F2117" s="865" t="s">
        <v>593</v>
      </c>
      <c r="G2117" s="865" t="s">
        <v>70</v>
      </c>
      <c r="H2117" s="867">
        <v>931476.4265</v>
      </c>
      <c r="I2117" s="867">
        <v>1051056.484</v>
      </c>
      <c r="J2117" s="868">
        <v>823919.7254</v>
      </c>
      <c r="K2117" s="50"/>
      <c r="L2117" s="869" t="s">
        <v>687</v>
      </c>
      <c r="M2117" s="865" t="s">
        <v>591</v>
      </c>
      <c r="N2117" s="865" t="s">
        <v>688</v>
      </c>
      <c r="O2117" s="866">
        <v>2004.0</v>
      </c>
      <c r="P2117" s="865" t="s">
        <v>593</v>
      </c>
      <c r="Q2117" s="865" t="s">
        <v>70</v>
      </c>
      <c r="R2117" s="867">
        <v>950371.6461</v>
      </c>
      <c r="S2117" s="867">
        <v>1030907.75</v>
      </c>
      <c r="T2117" s="868">
        <v>864868.1736</v>
      </c>
      <c r="AN2117" s="882"/>
      <c r="AO2117" s="882"/>
      <c r="AP2117" s="882"/>
      <c r="AY2117" s="882"/>
      <c r="AZ2117" s="882"/>
      <c r="BA2117" s="882"/>
      <c r="BJ2117" s="882"/>
      <c r="BK2117" s="882"/>
      <c r="BL2117" s="882"/>
      <c r="BU2117" s="882"/>
      <c r="BV2117" s="882"/>
      <c r="BW2117" s="882"/>
      <c r="CF2117" s="882"/>
      <c r="CG2117" s="882"/>
      <c r="CH2117" s="882"/>
      <c r="CI2117" s="530"/>
    </row>
    <row r="2118">
      <c r="A2118" s="857"/>
      <c r="B2118" s="865" t="s">
        <v>687</v>
      </c>
      <c r="C2118" s="865" t="s">
        <v>591</v>
      </c>
      <c r="D2118" s="865" t="s">
        <v>689</v>
      </c>
      <c r="E2118" s="866">
        <v>2019.0</v>
      </c>
      <c r="F2118" s="865" t="s">
        <v>593</v>
      </c>
      <c r="G2118" s="865" t="s">
        <v>70</v>
      </c>
      <c r="H2118" s="867">
        <v>5094527.156</v>
      </c>
      <c r="I2118" s="867">
        <v>5748546.766</v>
      </c>
      <c r="J2118" s="868">
        <v>4506266.929</v>
      </c>
      <c r="K2118" s="50"/>
      <c r="L2118" s="869" t="s">
        <v>687</v>
      </c>
      <c r="M2118" s="865" t="s">
        <v>591</v>
      </c>
      <c r="N2118" s="865" t="s">
        <v>689</v>
      </c>
      <c r="O2118" s="866">
        <v>2004.0</v>
      </c>
      <c r="P2118" s="865" t="s">
        <v>593</v>
      </c>
      <c r="Q2118" s="865" t="s">
        <v>70</v>
      </c>
      <c r="R2118" s="867">
        <v>4950209.513</v>
      </c>
      <c r="S2118" s="867">
        <v>5369698.656</v>
      </c>
      <c r="T2118" s="868">
        <v>4504846.791</v>
      </c>
      <c r="AN2118" s="882"/>
      <c r="AO2118" s="882"/>
      <c r="AP2118" s="882"/>
      <c r="AY2118" s="882"/>
      <c r="AZ2118" s="882"/>
      <c r="BA2118" s="882"/>
      <c r="BJ2118" s="882"/>
      <c r="BK2118" s="882"/>
      <c r="BL2118" s="882"/>
      <c r="BU2118" s="882"/>
      <c r="BV2118" s="882"/>
      <c r="BW2118" s="882"/>
      <c r="CF2118" s="882"/>
      <c r="CG2118" s="882"/>
      <c r="CH2118" s="882"/>
      <c r="CI2118" s="530"/>
    </row>
    <row r="2119">
      <c r="A2119" s="857"/>
      <c r="B2119" s="865" t="s">
        <v>122</v>
      </c>
      <c r="C2119" s="865" t="s">
        <v>591</v>
      </c>
      <c r="D2119" s="865" t="s">
        <v>592</v>
      </c>
      <c r="E2119" s="866">
        <v>2019.0</v>
      </c>
      <c r="F2119" s="865" t="s">
        <v>593</v>
      </c>
      <c r="G2119" s="865" t="s">
        <v>70</v>
      </c>
      <c r="H2119" s="867">
        <v>339568.9309</v>
      </c>
      <c r="I2119" s="867">
        <v>388238.6919</v>
      </c>
      <c r="J2119" s="868">
        <v>294497.6136</v>
      </c>
      <c r="K2119" s="50"/>
      <c r="L2119" s="869" t="s">
        <v>122</v>
      </c>
      <c r="M2119" s="865" t="s">
        <v>591</v>
      </c>
      <c r="N2119" s="865" t="s">
        <v>592</v>
      </c>
      <c r="O2119" s="866">
        <v>2004.0</v>
      </c>
      <c r="P2119" s="865" t="s">
        <v>593</v>
      </c>
      <c r="Q2119" s="865" t="s">
        <v>70</v>
      </c>
      <c r="R2119" s="867">
        <v>331349.5956</v>
      </c>
      <c r="S2119" s="867">
        <v>361773.9268</v>
      </c>
      <c r="T2119" s="868">
        <v>301555.2132</v>
      </c>
      <c r="AN2119" s="882"/>
      <c r="AO2119" s="882"/>
      <c r="AP2119" s="882"/>
      <c r="AY2119" s="882"/>
      <c r="AZ2119" s="882"/>
      <c r="BA2119" s="882"/>
      <c r="BJ2119" s="882"/>
      <c r="BK2119" s="882"/>
      <c r="BL2119" s="882"/>
      <c r="BU2119" s="882"/>
      <c r="BV2119" s="882"/>
      <c r="BW2119" s="882"/>
      <c r="CF2119" s="882"/>
      <c r="CG2119" s="882"/>
      <c r="CH2119" s="882"/>
      <c r="CI2119" s="530"/>
    </row>
    <row r="2120">
      <c r="A2120" s="857"/>
      <c r="B2120" s="865" t="s">
        <v>122</v>
      </c>
      <c r="C2120" s="865" t="s">
        <v>591</v>
      </c>
      <c r="D2120" s="865" t="s">
        <v>601</v>
      </c>
      <c r="E2120" s="866">
        <v>2019.0</v>
      </c>
      <c r="F2120" s="865" t="s">
        <v>593</v>
      </c>
      <c r="G2120" s="865" t="s">
        <v>70</v>
      </c>
      <c r="H2120" s="867">
        <v>5296099.183</v>
      </c>
      <c r="I2120" s="867">
        <v>6055178.881</v>
      </c>
      <c r="J2120" s="868">
        <v>4593142.743</v>
      </c>
      <c r="K2120" s="50"/>
      <c r="L2120" s="869" t="s">
        <v>122</v>
      </c>
      <c r="M2120" s="865" t="s">
        <v>591</v>
      </c>
      <c r="N2120" s="865" t="s">
        <v>601</v>
      </c>
      <c r="O2120" s="866">
        <v>2004.0</v>
      </c>
      <c r="P2120" s="865" t="s">
        <v>593</v>
      </c>
      <c r="Q2120" s="865" t="s">
        <v>70</v>
      </c>
      <c r="R2120" s="867">
        <v>4516057.898</v>
      </c>
      <c r="S2120" s="867">
        <v>4930719.763</v>
      </c>
      <c r="T2120" s="868">
        <v>4109981.785</v>
      </c>
      <c r="AN2120" s="882"/>
      <c r="AO2120" s="882"/>
      <c r="AP2120" s="882"/>
      <c r="AY2120" s="882"/>
      <c r="AZ2120" s="882"/>
      <c r="BA2120" s="882"/>
      <c r="BJ2120" s="882"/>
      <c r="BK2120" s="882"/>
      <c r="BL2120" s="882"/>
      <c r="BU2120" s="882"/>
      <c r="BV2120" s="882"/>
      <c r="BW2120" s="882"/>
      <c r="CF2120" s="882"/>
      <c r="CG2120" s="882"/>
      <c r="CH2120" s="882"/>
      <c r="CI2120" s="530"/>
    </row>
    <row r="2121">
      <c r="A2121" s="857"/>
      <c r="B2121" s="865" t="s">
        <v>122</v>
      </c>
      <c r="C2121" s="865" t="s">
        <v>591</v>
      </c>
      <c r="D2121" s="865" t="s">
        <v>606</v>
      </c>
      <c r="E2121" s="866">
        <v>2019.0</v>
      </c>
      <c r="F2121" s="865" t="s">
        <v>593</v>
      </c>
      <c r="G2121" s="865" t="s">
        <v>70</v>
      </c>
      <c r="H2121" s="867">
        <v>4168503.039</v>
      </c>
      <c r="I2121" s="867">
        <v>4765966.553</v>
      </c>
      <c r="J2121" s="868">
        <v>3615213.542</v>
      </c>
      <c r="K2121" s="50"/>
      <c r="L2121" s="869" t="s">
        <v>122</v>
      </c>
      <c r="M2121" s="865" t="s">
        <v>591</v>
      </c>
      <c r="N2121" s="865" t="s">
        <v>606</v>
      </c>
      <c r="O2121" s="866">
        <v>2004.0</v>
      </c>
      <c r="P2121" s="865" t="s">
        <v>593</v>
      </c>
      <c r="Q2121" s="865" t="s">
        <v>70</v>
      </c>
      <c r="R2121" s="867">
        <v>3664869.873</v>
      </c>
      <c r="S2121" s="867">
        <v>4001376.139</v>
      </c>
      <c r="T2121" s="868">
        <v>3335331.115</v>
      </c>
      <c r="AN2121" s="882"/>
      <c r="AO2121" s="882"/>
      <c r="AP2121" s="882"/>
      <c r="AY2121" s="882"/>
      <c r="AZ2121" s="882"/>
      <c r="BA2121" s="882"/>
      <c r="BJ2121" s="882"/>
      <c r="BK2121" s="882"/>
      <c r="BL2121" s="882"/>
      <c r="BU2121" s="882"/>
      <c r="BV2121" s="882"/>
      <c r="BW2121" s="882"/>
      <c r="CF2121" s="882"/>
      <c r="CG2121" s="882"/>
      <c r="CH2121" s="882"/>
      <c r="CI2121" s="530"/>
    </row>
    <row r="2122">
      <c r="A2122" s="857"/>
      <c r="B2122" s="865" t="s">
        <v>122</v>
      </c>
      <c r="C2122" s="865" t="s">
        <v>591</v>
      </c>
      <c r="D2122" s="865" t="s">
        <v>608</v>
      </c>
      <c r="E2122" s="866">
        <v>2019.0</v>
      </c>
      <c r="F2122" s="865" t="s">
        <v>593</v>
      </c>
      <c r="G2122" s="865" t="s">
        <v>70</v>
      </c>
      <c r="H2122" s="867">
        <v>1176806.224</v>
      </c>
      <c r="I2122" s="867">
        <v>1345475.595</v>
      </c>
      <c r="J2122" s="868">
        <v>1020607.58</v>
      </c>
      <c r="K2122" s="50"/>
      <c r="L2122" s="869" t="s">
        <v>122</v>
      </c>
      <c r="M2122" s="865" t="s">
        <v>591</v>
      </c>
      <c r="N2122" s="865" t="s">
        <v>608</v>
      </c>
      <c r="O2122" s="866">
        <v>2004.0</v>
      </c>
      <c r="P2122" s="865" t="s">
        <v>593</v>
      </c>
      <c r="Q2122" s="865" t="s">
        <v>70</v>
      </c>
      <c r="R2122" s="867">
        <v>1137413.4</v>
      </c>
      <c r="S2122" s="867">
        <v>1241850.051</v>
      </c>
      <c r="T2122" s="868">
        <v>1035139.155</v>
      </c>
      <c r="AN2122" s="882"/>
      <c r="AO2122" s="882"/>
      <c r="AP2122" s="882"/>
      <c r="AY2122" s="882"/>
      <c r="AZ2122" s="882"/>
      <c r="BA2122" s="882"/>
      <c r="BJ2122" s="882"/>
      <c r="BK2122" s="882"/>
      <c r="BL2122" s="882"/>
      <c r="BU2122" s="882"/>
      <c r="BV2122" s="882"/>
      <c r="BW2122" s="882"/>
      <c r="CF2122" s="882"/>
      <c r="CG2122" s="882"/>
      <c r="CH2122" s="882"/>
      <c r="CI2122" s="530"/>
    </row>
    <row r="2123">
      <c r="A2123" s="857"/>
      <c r="B2123" s="865" t="s">
        <v>122</v>
      </c>
      <c r="C2123" s="865" t="s">
        <v>591</v>
      </c>
      <c r="D2123" s="865" t="s">
        <v>610</v>
      </c>
      <c r="E2123" s="866">
        <v>2019.0</v>
      </c>
      <c r="F2123" s="865" t="s">
        <v>593</v>
      </c>
      <c r="G2123" s="865" t="s">
        <v>70</v>
      </c>
      <c r="H2123" s="867">
        <v>1309739.905</v>
      </c>
      <c r="I2123" s="867">
        <v>1497462.404</v>
      </c>
      <c r="J2123" s="868">
        <v>1135896.843</v>
      </c>
      <c r="K2123" s="50"/>
      <c r="L2123" s="869" t="s">
        <v>122</v>
      </c>
      <c r="M2123" s="865" t="s">
        <v>591</v>
      </c>
      <c r="N2123" s="865" t="s">
        <v>610</v>
      </c>
      <c r="O2123" s="866">
        <v>2004.0</v>
      </c>
      <c r="P2123" s="865" t="s">
        <v>593</v>
      </c>
      <c r="Q2123" s="865" t="s">
        <v>70</v>
      </c>
      <c r="R2123" s="867">
        <v>1006828.695</v>
      </c>
      <c r="S2123" s="867">
        <v>1099275.133</v>
      </c>
      <c r="T2123" s="868">
        <v>916296.401</v>
      </c>
      <c r="AN2123" s="882"/>
      <c r="AO2123" s="882"/>
      <c r="AP2123" s="882"/>
      <c r="AY2123" s="882"/>
      <c r="AZ2123" s="882"/>
      <c r="BA2123" s="882"/>
      <c r="BJ2123" s="882"/>
      <c r="BK2123" s="882"/>
      <c r="BL2123" s="882"/>
      <c r="BU2123" s="882"/>
      <c r="BV2123" s="882"/>
      <c r="BW2123" s="882"/>
      <c r="CF2123" s="882"/>
      <c r="CG2123" s="882"/>
      <c r="CH2123" s="882"/>
      <c r="CI2123" s="530"/>
    </row>
    <row r="2124">
      <c r="A2124" s="857"/>
      <c r="B2124" s="865" t="s">
        <v>122</v>
      </c>
      <c r="C2124" s="865" t="s">
        <v>591</v>
      </c>
      <c r="D2124" s="865" t="s">
        <v>612</v>
      </c>
      <c r="E2124" s="866">
        <v>2019.0</v>
      </c>
      <c r="F2124" s="865" t="s">
        <v>593</v>
      </c>
      <c r="G2124" s="865" t="s">
        <v>70</v>
      </c>
      <c r="H2124" s="867">
        <v>2437336.049</v>
      </c>
      <c r="I2124" s="867">
        <v>2786674.732</v>
      </c>
      <c r="J2124" s="868">
        <v>2113826.045</v>
      </c>
      <c r="K2124" s="50"/>
      <c r="L2124" s="869" t="s">
        <v>122</v>
      </c>
      <c r="M2124" s="865" t="s">
        <v>591</v>
      </c>
      <c r="N2124" s="865" t="s">
        <v>612</v>
      </c>
      <c r="O2124" s="866">
        <v>2004.0</v>
      </c>
      <c r="P2124" s="865" t="s">
        <v>593</v>
      </c>
      <c r="Q2124" s="865" t="s">
        <v>70</v>
      </c>
      <c r="R2124" s="867">
        <v>1858016.72</v>
      </c>
      <c r="S2124" s="867">
        <v>2028618.757</v>
      </c>
      <c r="T2124" s="868">
        <v>1690947.071</v>
      </c>
      <c r="AN2124" s="882"/>
      <c r="AO2124" s="882"/>
      <c r="AP2124" s="882"/>
      <c r="AY2124" s="882"/>
      <c r="AZ2124" s="882"/>
      <c r="BA2124" s="882"/>
      <c r="BJ2124" s="882"/>
      <c r="BK2124" s="882"/>
      <c r="BL2124" s="882"/>
      <c r="BU2124" s="882"/>
      <c r="BV2124" s="882"/>
      <c r="BW2124" s="882"/>
      <c r="CF2124" s="882"/>
      <c r="CG2124" s="882"/>
      <c r="CH2124" s="882"/>
      <c r="CI2124" s="530"/>
    </row>
    <row r="2125">
      <c r="A2125" s="857"/>
      <c r="B2125" s="865" t="s">
        <v>122</v>
      </c>
      <c r="C2125" s="865" t="s">
        <v>591</v>
      </c>
      <c r="D2125" s="865" t="s">
        <v>614</v>
      </c>
      <c r="E2125" s="866">
        <v>2019.0</v>
      </c>
      <c r="F2125" s="865" t="s">
        <v>593</v>
      </c>
      <c r="G2125" s="865" t="s">
        <v>70</v>
      </c>
      <c r="H2125" s="867">
        <v>3233296.39</v>
      </c>
      <c r="I2125" s="867">
        <v>3696718.536</v>
      </c>
      <c r="J2125" s="868">
        <v>2804137.789</v>
      </c>
      <c r="K2125" s="50"/>
      <c r="L2125" s="869" t="s">
        <v>122</v>
      </c>
      <c r="M2125" s="865" t="s">
        <v>591</v>
      </c>
      <c r="N2125" s="865" t="s">
        <v>614</v>
      </c>
      <c r="O2125" s="866">
        <v>2004.0</v>
      </c>
      <c r="P2125" s="865" t="s">
        <v>593</v>
      </c>
      <c r="Q2125" s="865" t="s">
        <v>70</v>
      </c>
      <c r="R2125" s="867">
        <v>2600597.515</v>
      </c>
      <c r="S2125" s="867">
        <v>2839382.899</v>
      </c>
      <c r="T2125" s="868">
        <v>2366756.286</v>
      </c>
      <c r="AN2125" s="882"/>
      <c r="AO2125" s="882"/>
      <c r="AP2125" s="882"/>
      <c r="AY2125" s="882"/>
      <c r="AZ2125" s="882"/>
      <c r="BA2125" s="882"/>
      <c r="BJ2125" s="882"/>
      <c r="BK2125" s="882"/>
      <c r="BL2125" s="882"/>
      <c r="BU2125" s="882"/>
      <c r="BV2125" s="882"/>
      <c r="BW2125" s="882"/>
      <c r="CF2125" s="882"/>
      <c r="CG2125" s="882"/>
      <c r="CH2125" s="882"/>
      <c r="CI2125" s="530"/>
    </row>
    <row r="2126">
      <c r="A2126" s="857"/>
      <c r="B2126" s="865" t="s">
        <v>122</v>
      </c>
      <c r="C2126" s="865" t="s">
        <v>591</v>
      </c>
      <c r="D2126" s="865" t="s">
        <v>616</v>
      </c>
      <c r="E2126" s="866">
        <v>2019.0</v>
      </c>
      <c r="F2126" s="865" t="s">
        <v>593</v>
      </c>
      <c r="G2126" s="865" t="s">
        <v>70</v>
      </c>
      <c r="H2126" s="867">
        <v>1127596.144</v>
      </c>
      <c r="I2126" s="867">
        <v>1289212.328</v>
      </c>
      <c r="J2126" s="868">
        <v>977929.2017</v>
      </c>
      <c r="K2126" s="50"/>
      <c r="L2126" s="869" t="s">
        <v>122</v>
      </c>
      <c r="M2126" s="865" t="s">
        <v>591</v>
      </c>
      <c r="N2126" s="865" t="s">
        <v>616</v>
      </c>
      <c r="O2126" s="866">
        <v>2004.0</v>
      </c>
      <c r="P2126" s="865" t="s">
        <v>593</v>
      </c>
      <c r="Q2126" s="865" t="s">
        <v>70</v>
      </c>
      <c r="R2126" s="867">
        <v>851188.0245</v>
      </c>
      <c r="S2126" s="867">
        <v>929343.6244</v>
      </c>
      <c r="T2126" s="868">
        <v>774650.6699</v>
      </c>
      <c r="AN2126" s="882"/>
      <c r="AO2126" s="882"/>
      <c r="AP2126" s="882"/>
      <c r="AY2126" s="882"/>
      <c r="AZ2126" s="882"/>
      <c r="BA2126" s="882"/>
      <c r="BJ2126" s="882"/>
      <c r="BK2126" s="882"/>
      <c r="BL2126" s="882"/>
      <c r="BU2126" s="882"/>
      <c r="BV2126" s="882"/>
      <c r="BW2126" s="882"/>
      <c r="CF2126" s="882"/>
      <c r="CG2126" s="882"/>
      <c r="CH2126" s="882"/>
      <c r="CI2126" s="530"/>
    </row>
    <row r="2127">
      <c r="A2127" s="857"/>
      <c r="B2127" s="865" t="s">
        <v>122</v>
      </c>
      <c r="C2127" s="865" t="s">
        <v>591</v>
      </c>
      <c r="D2127" s="865" t="s">
        <v>618</v>
      </c>
      <c r="E2127" s="866">
        <v>2019.0</v>
      </c>
      <c r="F2127" s="865" t="s">
        <v>593</v>
      </c>
      <c r="G2127" s="865" t="s">
        <v>70</v>
      </c>
      <c r="H2127" s="867">
        <v>3418576.145</v>
      </c>
      <c r="I2127" s="867">
        <v>3908897.772</v>
      </c>
      <c r="J2127" s="868">
        <v>2964664.675</v>
      </c>
      <c r="K2127" s="50"/>
      <c r="L2127" s="869" t="s">
        <v>122</v>
      </c>
      <c r="M2127" s="865" t="s">
        <v>591</v>
      </c>
      <c r="N2127" s="865" t="s">
        <v>618</v>
      </c>
      <c r="O2127" s="866">
        <v>2004.0</v>
      </c>
      <c r="P2127" s="865" t="s">
        <v>593</v>
      </c>
      <c r="Q2127" s="865" t="s">
        <v>70</v>
      </c>
      <c r="R2127" s="867">
        <v>3178232.22</v>
      </c>
      <c r="S2127" s="867">
        <v>3470318.147</v>
      </c>
      <c r="T2127" s="868">
        <v>2892448.782</v>
      </c>
      <c r="AN2127" s="882"/>
      <c r="AO2127" s="882"/>
      <c r="AP2127" s="882"/>
      <c r="AY2127" s="882"/>
      <c r="AZ2127" s="882"/>
      <c r="BA2127" s="882"/>
      <c r="BJ2127" s="882"/>
      <c r="BK2127" s="882"/>
      <c r="BL2127" s="882"/>
      <c r="BU2127" s="882"/>
      <c r="BV2127" s="882"/>
      <c r="BW2127" s="882"/>
      <c r="CF2127" s="882"/>
      <c r="CG2127" s="882"/>
      <c r="CH2127" s="882"/>
      <c r="CI2127" s="530"/>
    </row>
    <row r="2128">
      <c r="A2128" s="857"/>
      <c r="B2128" s="865" t="s">
        <v>122</v>
      </c>
      <c r="C2128" s="865" t="s">
        <v>591</v>
      </c>
      <c r="D2128" s="865" t="s">
        <v>620</v>
      </c>
      <c r="E2128" s="866">
        <v>2019.0</v>
      </c>
      <c r="F2128" s="865" t="s">
        <v>593</v>
      </c>
      <c r="G2128" s="865" t="s">
        <v>70</v>
      </c>
      <c r="H2128" s="867">
        <v>4216406.167</v>
      </c>
      <c r="I2128" s="867">
        <v>4820735.544</v>
      </c>
      <c r="J2128" s="868">
        <v>3656758.44</v>
      </c>
      <c r="K2128" s="50"/>
      <c r="L2128" s="869" t="s">
        <v>122</v>
      </c>
      <c r="M2128" s="865" t="s">
        <v>591</v>
      </c>
      <c r="N2128" s="865" t="s">
        <v>620</v>
      </c>
      <c r="O2128" s="866">
        <v>2004.0</v>
      </c>
      <c r="P2128" s="865" t="s">
        <v>593</v>
      </c>
      <c r="Q2128" s="865" t="s">
        <v>70</v>
      </c>
      <c r="R2128" s="867">
        <v>3729018.215</v>
      </c>
      <c r="S2128" s="867">
        <v>4071414.545</v>
      </c>
      <c r="T2128" s="868">
        <v>3393711.349</v>
      </c>
      <c r="AN2128" s="882"/>
      <c r="AO2128" s="882"/>
      <c r="AP2128" s="882"/>
      <c r="AY2128" s="882"/>
      <c r="AZ2128" s="882"/>
      <c r="BA2128" s="882"/>
      <c r="BJ2128" s="882"/>
      <c r="BK2128" s="882"/>
      <c r="BL2128" s="882"/>
      <c r="BU2128" s="882"/>
      <c r="BV2128" s="882"/>
      <c r="BW2128" s="882"/>
      <c r="CF2128" s="882"/>
      <c r="CG2128" s="882"/>
      <c r="CH2128" s="882"/>
      <c r="CI2128" s="530"/>
    </row>
    <row r="2129">
      <c r="A2129" s="857"/>
      <c r="B2129" s="865" t="s">
        <v>122</v>
      </c>
      <c r="C2129" s="865" t="s">
        <v>591</v>
      </c>
      <c r="D2129" s="865" t="s">
        <v>622</v>
      </c>
      <c r="E2129" s="866">
        <v>2019.0</v>
      </c>
      <c r="F2129" s="865" t="s">
        <v>593</v>
      </c>
      <c r="G2129" s="865" t="s">
        <v>70</v>
      </c>
      <c r="H2129" s="867">
        <v>3986596.582</v>
      </c>
      <c r="I2129" s="867">
        <v>4558388.59</v>
      </c>
      <c r="J2129" s="868">
        <v>3457264.533</v>
      </c>
      <c r="K2129" s="50"/>
      <c r="L2129" s="869" t="s">
        <v>122</v>
      </c>
      <c r="M2129" s="865" t="s">
        <v>591</v>
      </c>
      <c r="N2129" s="865" t="s">
        <v>622</v>
      </c>
      <c r="O2129" s="866">
        <v>2004.0</v>
      </c>
      <c r="P2129" s="865" t="s">
        <v>593</v>
      </c>
      <c r="Q2129" s="865" t="s">
        <v>70</v>
      </c>
      <c r="R2129" s="867">
        <v>3467890.807</v>
      </c>
      <c r="S2129" s="867">
        <v>3786596.939</v>
      </c>
      <c r="T2129" s="868">
        <v>3156061.561</v>
      </c>
      <c r="AN2129" s="882"/>
      <c r="AO2129" s="882"/>
      <c r="AP2129" s="882"/>
      <c r="AY2129" s="882"/>
      <c r="AZ2129" s="882"/>
      <c r="BA2129" s="882"/>
      <c r="BJ2129" s="882"/>
      <c r="BK2129" s="882"/>
      <c r="BL2129" s="882"/>
      <c r="BU2129" s="882"/>
      <c r="BV2129" s="882"/>
      <c r="BW2129" s="882"/>
      <c r="CF2129" s="882"/>
      <c r="CG2129" s="882"/>
      <c r="CH2129" s="882"/>
      <c r="CI2129" s="530"/>
    </row>
    <row r="2130">
      <c r="A2130" s="857"/>
      <c r="B2130" s="865" t="s">
        <v>122</v>
      </c>
      <c r="C2130" s="865" t="s">
        <v>591</v>
      </c>
      <c r="D2130" s="865" t="s">
        <v>624</v>
      </c>
      <c r="E2130" s="866">
        <v>2019.0</v>
      </c>
      <c r="F2130" s="865" t="s">
        <v>593</v>
      </c>
      <c r="G2130" s="865" t="s">
        <v>70</v>
      </c>
      <c r="H2130" s="867">
        <v>795960.3409</v>
      </c>
      <c r="I2130" s="867">
        <v>910043.8039</v>
      </c>
      <c r="J2130" s="868">
        <v>690311.7441</v>
      </c>
      <c r="K2130" s="50"/>
      <c r="L2130" s="869" t="s">
        <v>122</v>
      </c>
      <c r="M2130" s="865" t="s">
        <v>591</v>
      </c>
      <c r="N2130" s="865" t="s">
        <v>624</v>
      </c>
      <c r="O2130" s="866">
        <v>2004.0</v>
      </c>
      <c r="P2130" s="865" t="s">
        <v>593</v>
      </c>
      <c r="Q2130" s="865" t="s">
        <v>70</v>
      </c>
      <c r="R2130" s="867">
        <v>742580.7952</v>
      </c>
      <c r="S2130" s="867">
        <v>810764.1411</v>
      </c>
      <c r="T2130" s="868">
        <v>675809.2148</v>
      </c>
      <c r="AN2130" s="882"/>
      <c r="AO2130" s="882"/>
      <c r="AP2130" s="882"/>
      <c r="AY2130" s="882"/>
      <c r="AZ2130" s="882"/>
      <c r="BA2130" s="882"/>
      <c r="BJ2130" s="882"/>
      <c r="BK2130" s="882"/>
      <c r="BL2130" s="882"/>
      <c r="BU2130" s="882"/>
      <c r="BV2130" s="882"/>
      <c r="BW2130" s="882"/>
      <c r="CF2130" s="882"/>
      <c r="CG2130" s="882"/>
      <c r="CH2130" s="882"/>
      <c r="CI2130" s="530"/>
    </row>
    <row r="2131">
      <c r="A2131" s="857"/>
      <c r="B2131" s="865" t="s">
        <v>122</v>
      </c>
      <c r="C2131" s="865" t="s">
        <v>591</v>
      </c>
      <c r="D2131" s="865" t="s">
        <v>625</v>
      </c>
      <c r="E2131" s="866">
        <v>2019.0</v>
      </c>
      <c r="F2131" s="865" t="s">
        <v>593</v>
      </c>
      <c r="G2131" s="865" t="s">
        <v>70</v>
      </c>
      <c r="H2131" s="867">
        <v>3190903.523</v>
      </c>
      <c r="I2131" s="867">
        <v>3648249.58</v>
      </c>
      <c r="J2131" s="868">
        <v>2767371.768</v>
      </c>
      <c r="K2131" s="50"/>
      <c r="L2131" s="869" t="s">
        <v>122</v>
      </c>
      <c r="M2131" s="865" t="s">
        <v>591</v>
      </c>
      <c r="N2131" s="865" t="s">
        <v>625</v>
      </c>
      <c r="O2131" s="866">
        <v>2004.0</v>
      </c>
      <c r="P2131" s="865" t="s">
        <v>593</v>
      </c>
      <c r="Q2131" s="865" t="s">
        <v>70</v>
      </c>
      <c r="R2131" s="867">
        <v>2725474.355</v>
      </c>
      <c r="S2131" s="867">
        <v>2975725.858</v>
      </c>
      <c r="T2131" s="868">
        <v>2480404.416</v>
      </c>
      <c r="AN2131" s="882"/>
      <c r="AO2131" s="882"/>
      <c r="AP2131" s="882"/>
      <c r="AY2131" s="882"/>
      <c r="AZ2131" s="882"/>
      <c r="BA2131" s="882"/>
      <c r="BJ2131" s="882"/>
      <c r="BK2131" s="882"/>
      <c r="BL2131" s="882"/>
      <c r="BU2131" s="882"/>
      <c r="BV2131" s="882"/>
      <c r="BW2131" s="882"/>
      <c r="CF2131" s="882"/>
      <c r="CG2131" s="882"/>
      <c r="CH2131" s="882"/>
      <c r="CI2131" s="530"/>
    </row>
    <row r="2132">
      <c r="A2132" s="857"/>
      <c r="B2132" s="865" t="s">
        <v>122</v>
      </c>
      <c r="C2132" s="865" t="s">
        <v>591</v>
      </c>
      <c r="D2132" s="865" t="s">
        <v>627</v>
      </c>
      <c r="E2132" s="866">
        <v>2019.0</v>
      </c>
      <c r="F2132" s="865" t="s">
        <v>593</v>
      </c>
      <c r="G2132" s="865" t="s">
        <v>70</v>
      </c>
      <c r="H2132" s="867">
        <v>499823.3857</v>
      </c>
      <c r="I2132" s="867">
        <v>571462.109</v>
      </c>
      <c r="J2132" s="868">
        <v>433481.3374</v>
      </c>
      <c r="K2132" s="50"/>
      <c r="L2132" s="869" t="s">
        <v>122</v>
      </c>
      <c r="M2132" s="865" t="s">
        <v>591</v>
      </c>
      <c r="N2132" s="865" t="s">
        <v>627</v>
      </c>
      <c r="O2132" s="866">
        <v>2004.0</v>
      </c>
      <c r="P2132" s="865" t="s">
        <v>593</v>
      </c>
      <c r="Q2132" s="865" t="s">
        <v>70</v>
      </c>
      <c r="R2132" s="867">
        <v>637040.4414</v>
      </c>
      <c r="S2132" s="867">
        <v>695533.1321</v>
      </c>
      <c r="T2132" s="868">
        <v>579758.867</v>
      </c>
      <c r="AN2132" s="882"/>
      <c r="AO2132" s="882"/>
      <c r="AP2132" s="882"/>
      <c r="AY2132" s="882"/>
      <c r="AZ2132" s="882"/>
      <c r="BA2132" s="882"/>
      <c r="BJ2132" s="882"/>
      <c r="BK2132" s="882"/>
      <c r="BL2132" s="882"/>
      <c r="BU2132" s="882"/>
      <c r="BV2132" s="882"/>
      <c r="BW2132" s="882"/>
      <c r="CF2132" s="882"/>
      <c r="CG2132" s="882"/>
      <c r="CH2132" s="882"/>
      <c r="CI2132" s="530"/>
    </row>
    <row r="2133">
      <c r="A2133" s="857"/>
      <c r="B2133" s="865" t="s">
        <v>122</v>
      </c>
      <c r="C2133" s="865" t="s">
        <v>591</v>
      </c>
      <c r="D2133" s="865" t="s">
        <v>629</v>
      </c>
      <c r="E2133" s="866">
        <v>2019.0</v>
      </c>
      <c r="F2133" s="865" t="s">
        <v>593</v>
      </c>
      <c r="G2133" s="865" t="s">
        <v>70</v>
      </c>
      <c r="H2133" s="867">
        <v>2292695.968</v>
      </c>
      <c r="I2133" s="867">
        <v>2621534.165</v>
      </c>
      <c r="J2133" s="868">
        <v>1988276.539</v>
      </c>
      <c r="K2133" s="50"/>
      <c r="L2133" s="869" t="s">
        <v>122</v>
      </c>
      <c r="M2133" s="865" t="s">
        <v>591</v>
      </c>
      <c r="N2133" s="865" t="s">
        <v>629</v>
      </c>
      <c r="O2133" s="866">
        <v>2004.0</v>
      </c>
      <c r="P2133" s="865" t="s">
        <v>593</v>
      </c>
      <c r="Q2133" s="865" t="s">
        <v>70</v>
      </c>
      <c r="R2133" s="867">
        <v>2135148.211</v>
      </c>
      <c r="S2133" s="867">
        <v>2331372.622</v>
      </c>
      <c r="T2133" s="868">
        <v>1943157.836</v>
      </c>
      <c r="AN2133" s="882"/>
      <c r="AO2133" s="882"/>
      <c r="AP2133" s="882"/>
      <c r="AY2133" s="882"/>
      <c r="AZ2133" s="882"/>
      <c r="BA2133" s="882"/>
      <c r="BJ2133" s="882"/>
      <c r="BK2133" s="882"/>
      <c r="BL2133" s="882"/>
      <c r="BU2133" s="882"/>
      <c r="BV2133" s="882"/>
      <c r="BW2133" s="882"/>
      <c r="CF2133" s="882"/>
      <c r="CG2133" s="882"/>
      <c r="CH2133" s="882"/>
      <c r="CI2133" s="530"/>
    </row>
    <row r="2134">
      <c r="A2134" s="857"/>
      <c r="B2134" s="865" t="s">
        <v>122</v>
      </c>
      <c r="C2134" s="865" t="s">
        <v>591</v>
      </c>
      <c r="D2134" s="865" t="s">
        <v>631</v>
      </c>
      <c r="E2134" s="866">
        <v>2019.0</v>
      </c>
      <c r="F2134" s="865" t="s">
        <v>593</v>
      </c>
      <c r="G2134" s="865" t="s">
        <v>70</v>
      </c>
      <c r="H2134" s="867">
        <v>504229.4852</v>
      </c>
      <c r="I2134" s="867">
        <v>576499.7264</v>
      </c>
      <c r="J2134" s="868">
        <v>437302.611</v>
      </c>
      <c r="K2134" s="50"/>
      <c r="L2134" s="869" t="s">
        <v>122</v>
      </c>
      <c r="M2134" s="865" t="s">
        <v>591</v>
      </c>
      <c r="N2134" s="865" t="s">
        <v>631</v>
      </c>
      <c r="O2134" s="866">
        <v>2004.0</v>
      </c>
      <c r="P2134" s="865" t="s">
        <v>593</v>
      </c>
      <c r="Q2134" s="865" t="s">
        <v>70</v>
      </c>
      <c r="R2134" s="867">
        <v>525162.2337</v>
      </c>
      <c r="S2134" s="867">
        <v>573382.3311</v>
      </c>
      <c r="T2134" s="868">
        <v>477940.5542</v>
      </c>
      <c r="AN2134" s="882"/>
      <c r="AO2134" s="882"/>
      <c r="AP2134" s="882"/>
      <c r="AY2134" s="882"/>
      <c r="AZ2134" s="882"/>
      <c r="BA2134" s="882"/>
      <c r="BJ2134" s="882"/>
      <c r="BK2134" s="882"/>
      <c r="BL2134" s="882"/>
      <c r="BU2134" s="882"/>
      <c r="BV2134" s="882"/>
      <c r="BW2134" s="882"/>
      <c r="CF2134" s="882"/>
      <c r="CG2134" s="882"/>
      <c r="CH2134" s="882"/>
      <c r="CI2134" s="530"/>
    </row>
    <row r="2135">
      <c r="A2135" s="857"/>
      <c r="B2135" s="865" t="s">
        <v>122</v>
      </c>
      <c r="C2135" s="865" t="s">
        <v>591</v>
      </c>
      <c r="D2135" s="865" t="s">
        <v>633</v>
      </c>
      <c r="E2135" s="866">
        <v>2019.0</v>
      </c>
      <c r="F2135" s="865" t="s">
        <v>593</v>
      </c>
      <c r="G2135" s="865" t="s">
        <v>70</v>
      </c>
      <c r="H2135" s="867">
        <v>491195.9882</v>
      </c>
      <c r="I2135" s="867">
        <v>561598.1633</v>
      </c>
      <c r="J2135" s="868">
        <v>425999.0628</v>
      </c>
      <c r="K2135" s="50"/>
      <c r="L2135" s="869" t="s">
        <v>122</v>
      </c>
      <c r="M2135" s="865" t="s">
        <v>591</v>
      </c>
      <c r="N2135" s="865" t="s">
        <v>633</v>
      </c>
      <c r="O2135" s="866">
        <v>2004.0</v>
      </c>
      <c r="P2135" s="865" t="s">
        <v>593</v>
      </c>
      <c r="Q2135" s="865" t="s">
        <v>70</v>
      </c>
      <c r="R2135" s="867">
        <v>422411.3413</v>
      </c>
      <c r="S2135" s="867">
        <v>461196.9103</v>
      </c>
      <c r="T2135" s="868">
        <v>384428.8443</v>
      </c>
      <c r="AN2135" s="882"/>
      <c r="AO2135" s="882"/>
      <c r="AP2135" s="882"/>
      <c r="AY2135" s="882"/>
      <c r="AZ2135" s="882"/>
      <c r="BA2135" s="882"/>
      <c r="BJ2135" s="882"/>
      <c r="BK2135" s="882"/>
      <c r="BL2135" s="882"/>
      <c r="BU2135" s="882"/>
      <c r="BV2135" s="882"/>
      <c r="BW2135" s="882"/>
      <c r="CF2135" s="882"/>
      <c r="CG2135" s="882"/>
      <c r="CH2135" s="882"/>
      <c r="CI2135" s="530"/>
    </row>
    <row r="2136">
      <c r="A2136" s="857"/>
      <c r="B2136" s="865" t="s">
        <v>122</v>
      </c>
      <c r="C2136" s="865" t="s">
        <v>591</v>
      </c>
      <c r="D2136" s="865" t="s">
        <v>635</v>
      </c>
      <c r="E2136" s="866">
        <v>2019.0</v>
      </c>
      <c r="F2136" s="865" t="s">
        <v>593</v>
      </c>
      <c r="G2136" s="865" t="s">
        <v>70</v>
      </c>
      <c r="H2136" s="867">
        <v>434697.5567</v>
      </c>
      <c r="I2136" s="867">
        <v>497001.9204</v>
      </c>
      <c r="J2136" s="868">
        <v>376999.7236</v>
      </c>
      <c r="K2136" s="50"/>
      <c r="L2136" s="869" t="s">
        <v>122</v>
      </c>
      <c r="M2136" s="865" t="s">
        <v>591</v>
      </c>
      <c r="N2136" s="865" t="s">
        <v>635</v>
      </c>
      <c r="O2136" s="866">
        <v>2004.0</v>
      </c>
      <c r="P2136" s="865" t="s">
        <v>593</v>
      </c>
      <c r="Q2136" s="865" t="s">
        <v>70</v>
      </c>
      <c r="R2136" s="867">
        <v>316766.9916</v>
      </c>
      <c r="S2136" s="867">
        <v>345852.3564</v>
      </c>
      <c r="T2136" s="868">
        <v>288283.8517</v>
      </c>
      <c r="AN2136" s="882"/>
      <c r="AO2136" s="882"/>
      <c r="AP2136" s="882"/>
      <c r="AY2136" s="882"/>
      <c r="AZ2136" s="882"/>
      <c r="BA2136" s="882"/>
      <c r="BJ2136" s="882"/>
      <c r="BK2136" s="882"/>
      <c r="BL2136" s="882"/>
      <c r="BU2136" s="882"/>
      <c r="BV2136" s="882"/>
      <c r="BW2136" s="882"/>
      <c r="CF2136" s="882"/>
      <c r="CG2136" s="882"/>
      <c r="CH2136" s="882"/>
      <c r="CI2136" s="530"/>
    </row>
    <row r="2137">
      <c r="A2137" s="857"/>
      <c r="B2137" s="865" t="s">
        <v>122</v>
      </c>
      <c r="C2137" s="865" t="s">
        <v>591</v>
      </c>
      <c r="D2137" s="865" t="s">
        <v>637</v>
      </c>
      <c r="E2137" s="866">
        <v>2019.0</v>
      </c>
      <c r="F2137" s="865" t="s">
        <v>593</v>
      </c>
      <c r="G2137" s="865" t="s">
        <v>70</v>
      </c>
      <c r="H2137" s="867">
        <v>362903.2664</v>
      </c>
      <c r="I2137" s="867">
        <v>414917.4928</v>
      </c>
      <c r="J2137" s="868">
        <v>314734.7598</v>
      </c>
      <c r="K2137" s="50"/>
      <c r="L2137" s="869" t="s">
        <v>122</v>
      </c>
      <c r="M2137" s="865" t="s">
        <v>591</v>
      </c>
      <c r="N2137" s="865" t="s">
        <v>637</v>
      </c>
      <c r="O2137" s="866">
        <v>2004.0</v>
      </c>
      <c r="P2137" s="865" t="s">
        <v>593</v>
      </c>
      <c r="Q2137" s="865" t="s">
        <v>70</v>
      </c>
      <c r="R2137" s="867">
        <v>233868.3877</v>
      </c>
      <c r="S2137" s="867">
        <v>255342.05</v>
      </c>
      <c r="T2137" s="868">
        <v>212839.3469</v>
      </c>
      <c r="AN2137" s="882"/>
      <c r="AO2137" s="882"/>
      <c r="AP2137" s="882"/>
      <c r="AY2137" s="882"/>
      <c r="AZ2137" s="882"/>
      <c r="BA2137" s="882"/>
      <c r="BJ2137" s="882"/>
      <c r="BK2137" s="882"/>
      <c r="BL2137" s="882"/>
      <c r="BU2137" s="882"/>
      <c r="BV2137" s="882"/>
      <c r="BW2137" s="882"/>
      <c r="CF2137" s="882"/>
      <c r="CG2137" s="882"/>
      <c r="CH2137" s="882"/>
      <c r="CI2137" s="530"/>
    </row>
    <row r="2138">
      <c r="A2138" s="857"/>
      <c r="B2138" s="865" t="s">
        <v>122</v>
      </c>
      <c r="C2138" s="865" t="s">
        <v>591</v>
      </c>
      <c r="D2138" s="865" t="s">
        <v>639</v>
      </c>
      <c r="E2138" s="866">
        <v>2019.0</v>
      </c>
      <c r="F2138" s="865" t="s">
        <v>593</v>
      </c>
      <c r="G2138" s="865" t="s">
        <v>70</v>
      </c>
      <c r="H2138" s="867">
        <v>3779470.633</v>
      </c>
      <c r="I2138" s="867">
        <v>4321554.854</v>
      </c>
      <c r="J2138" s="868">
        <v>3277640.339</v>
      </c>
      <c r="K2138" s="50"/>
      <c r="L2138" s="869" t="s">
        <v>122</v>
      </c>
      <c r="M2138" s="865" t="s">
        <v>591</v>
      </c>
      <c r="N2138" s="865" t="s">
        <v>639</v>
      </c>
      <c r="O2138" s="866">
        <v>2004.0</v>
      </c>
      <c r="P2138" s="865" t="s">
        <v>593</v>
      </c>
      <c r="Q2138" s="865" t="s">
        <v>70</v>
      </c>
      <c r="R2138" s="867">
        <v>3047150.498</v>
      </c>
      <c r="S2138" s="867">
        <v>3327189.751</v>
      </c>
      <c r="T2138" s="868">
        <v>2773153.796</v>
      </c>
      <c r="AN2138" s="882"/>
      <c r="AO2138" s="882"/>
      <c r="AP2138" s="882"/>
      <c r="AY2138" s="882"/>
      <c r="AZ2138" s="882"/>
      <c r="BA2138" s="882"/>
      <c r="BJ2138" s="882"/>
      <c r="BK2138" s="882"/>
      <c r="BL2138" s="882"/>
      <c r="BU2138" s="882"/>
      <c r="BV2138" s="882"/>
      <c r="BW2138" s="882"/>
      <c r="CF2138" s="882"/>
      <c r="CG2138" s="882"/>
      <c r="CH2138" s="882"/>
      <c r="CI2138" s="530"/>
    </row>
    <row r="2139">
      <c r="A2139" s="857"/>
      <c r="B2139" s="865" t="s">
        <v>122</v>
      </c>
      <c r="C2139" s="865" t="s">
        <v>591</v>
      </c>
      <c r="D2139" s="865" t="s">
        <v>641</v>
      </c>
      <c r="E2139" s="866">
        <v>2019.0</v>
      </c>
      <c r="F2139" s="865" t="s">
        <v>593</v>
      </c>
      <c r="G2139" s="865" t="s">
        <v>70</v>
      </c>
      <c r="H2139" s="867">
        <v>1342387.978</v>
      </c>
      <c r="I2139" s="867">
        <v>1534789.862</v>
      </c>
      <c r="J2139" s="868">
        <v>1164211.505</v>
      </c>
      <c r="K2139" s="50"/>
      <c r="L2139" s="869" t="s">
        <v>122</v>
      </c>
      <c r="M2139" s="865" t="s">
        <v>591</v>
      </c>
      <c r="N2139" s="865" t="s">
        <v>641</v>
      </c>
      <c r="O2139" s="866">
        <v>2004.0</v>
      </c>
      <c r="P2139" s="865" t="s">
        <v>593</v>
      </c>
      <c r="Q2139" s="865" t="s">
        <v>70</v>
      </c>
      <c r="R2139" s="867">
        <v>1189278.182</v>
      </c>
      <c r="S2139" s="867">
        <v>1298477.028</v>
      </c>
      <c r="T2139" s="868">
        <v>1082340.345</v>
      </c>
      <c r="AN2139" s="882"/>
      <c r="AO2139" s="882"/>
      <c r="AP2139" s="882"/>
      <c r="AY2139" s="882"/>
      <c r="AZ2139" s="882"/>
      <c r="BA2139" s="882"/>
      <c r="BJ2139" s="882"/>
      <c r="BK2139" s="882"/>
      <c r="BL2139" s="882"/>
      <c r="BU2139" s="882"/>
      <c r="BV2139" s="882"/>
      <c r="BW2139" s="882"/>
      <c r="CF2139" s="882"/>
      <c r="CG2139" s="882"/>
      <c r="CH2139" s="882"/>
      <c r="CI2139" s="530"/>
    </row>
    <row r="2140">
      <c r="A2140" s="857"/>
      <c r="B2140" s="865" t="s">
        <v>122</v>
      </c>
      <c r="C2140" s="865" t="s">
        <v>591</v>
      </c>
      <c r="D2140" s="865" t="s">
        <v>643</v>
      </c>
      <c r="E2140" s="866">
        <v>2019.0</v>
      </c>
      <c r="F2140" s="865" t="s">
        <v>593</v>
      </c>
      <c r="G2140" s="865" t="s">
        <v>70</v>
      </c>
      <c r="H2140" s="867">
        <v>288588.0735</v>
      </c>
      <c r="I2140" s="867">
        <v>329950.8464</v>
      </c>
      <c r="J2140" s="868">
        <v>250283.4954</v>
      </c>
      <c r="K2140" s="50"/>
      <c r="L2140" s="869" t="s">
        <v>122</v>
      </c>
      <c r="M2140" s="865" t="s">
        <v>591</v>
      </c>
      <c r="N2140" s="865" t="s">
        <v>643</v>
      </c>
      <c r="O2140" s="866">
        <v>2004.0</v>
      </c>
      <c r="P2140" s="865" t="s">
        <v>593</v>
      </c>
      <c r="Q2140" s="865" t="s">
        <v>70</v>
      </c>
      <c r="R2140" s="867">
        <v>167076.2447</v>
      </c>
      <c r="S2140" s="867">
        <v>182417.0904</v>
      </c>
      <c r="T2140" s="868">
        <v>152053.0379</v>
      </c>
      <c r="AN2140" s="882"/>
      <c r="AO2140" s="882"/>
      <c r="AP2140" s="882"/>
      <c r="AY2140" s="882"/>
      <c r="AZ2140" s="882"/>
      <c r="BA2140" s="882"/>
      <c r="BJ2140" s="882"/>
      <c r="BK2140" s="882"/>
      <c r="BL2140" s="882"/>
      <c r="BU2140" s="882"/>
      <c r="BV2140" s="882"/>
      <c r="BW2140" s="882"/>
      <c r="CF2140" s="882"/>
      <c r="CG2140" s="882"/>
      <c r="CH2140" s="882"/>
      <c r="CI2140" s="530"/>
    </row>
    <row r="2141">
      <c r="A2141" s="857"/>
      <c r="B2141" s="865" t="s">
        <v>122</v>
      </c>
      <c r="C2141" s="865" t="s">
        <v>591</v>
      </c>
      <c r="D2141" s="865" t="s">
        <v>645</v>
      </c>
      <c r="E2141" s="866">
        <v>2019.0</v>
      </c>
      <c r="F2141" s="865" t="s">
        <v>593</v>
      </c>
      <c r="G2141" s="865" t="s">
        <v>70</v>
      </c>
      <c r="H2141" s="867">
        <v>744253.7638</v>
      </c>
      <c r="I2141" s="867">
        <v>850926.2226</v>
      </c>
      <c r="J2141" s="868">
        <v>645468.2316</v>
      </c>
      <c r="K2141" s="50"/>
      <c r="L2141" s="869" t="s">
        <v>122</v>
      </c>
      <c r="M2141" s="865" t="s">
        <v>591</v>
      </c>
      <c r="N2141" s="865" t="s">
        <v>645</v>
      </c>
      <c r="O2141" s="866">
        <v>2004.0</v>
      </c>
      <c r="P2141" s="865" t="s">
        <v>593</v>
      </c>
      <c r="Q2141" s="865" t="s">
        <v>70</v>
      </c>
      <c r="R2141" s="867">
        <v>468872.4526</v>
      </c>
      <c r="S2141" s="867">
        <v>511924.0543</v>
      </c>
      <c r="T2141" s="868">
        <v>426712.2528</v>
      </c>
      <c r="AN2141" s="882"/>
      <c r="AO2141" s="882"/>
      <c r="AP2141" s="882"/>
      <c r="AY2141" s="882"/>
      <c r="AZ2141" s="882"/>
      <c r="BA2141" s="882"/>
      <c r="BJ2141" s="882"/>
      <c r="BK2141" s="882"/>
      <c r="BL2141" s="882"/>
      <c r="BU2141" s="882"/>
      <c r="BV2141" s="882"/>
      <c r="BW2141" s="882"/>
      <c r="CF2141" s="882"/>
      <c r="CG2141" s="882"/>
      <c r="CH2141" s="882"/>
      <c r="CI2141" s="530"/>
    </row>
    <row r="2142">
      <c r="A2142" s="857"/>
      <c r="B2142" s="865" t="s">
        <v>122</v>
      </c>
      <c r="C2142" s="865" t="s">
        <v>591</v>
      </c>
      <c r="D2142" s="865" t="s">
        <v>604</v>
      </c>
      <c r="E2142" s="866">
        <v>2019.0</v>
      </c>
      <c r="F2142" s="865" t="s">
        <v>593</v>
      </c>
      <c r="G2142" s="865" t="s">
        <v>70</v>
      </c>
      <c r="H2142" s="867">
        <v>2652127.884</v>
      </c>
      <c r="I2142" s="867">
        <v>3032252.266</v>
      </c>
      <c r="J2142" s="868">
        <v>2300108.348</v>
      </c>
      <c r="K2142" s="50"/>
      <c r="L2142" s="869" t="s">
        <v>122</v>
      </c>
      <c r="M2142" s="865" t="s">
        <v>591</v>
      </c>
      <c r="N2142" s="865" t="s">
        <v>604</v>
      </c>
      <c r="O2142" s="866">
        <v>2004.0</v>
      </c>
      <c r="P2142" s="865" t="s">
        <v>593</v>
      </c>
      <c r="Q2142" s="865" t="s">
        <v>70</v>
      </c>
      <c r="R2142" s="867">
        <v>2196106.877</v>
      </c>
      <c r="S2142" s="867">
        <v>2397752.161</v>
      </c>
      <c r="T2142" s="868">
        <v>1998636.746</v>
      </c>
      <c r="AN2142" s="882"/>
      <c r="AO2142" s="882"/>
      <c r="AP2142" s="882"/>
      <c r="AY2142" s="882"/>
      <c r="AZ2142" s="882"/>
      <c r="BA2142" s="882"/>
      <c r="BJ2142" s="882"/>
      <c r="BK2142" s="882"/>
      <c r="BL2142" s="882"/>
      <c r="BU2142" s="882"/>
      <c r="BV2142" s="882"/>
      <c r="BW2142" s="882"/>
      <c r="CF2142" s="882"/>
      <c r="CG2142" s="882"/>
      <c r="CH2142" s="882"/>
      <c r="CI2142" s="530"/>
    </row>
    <row r="2143">
      <c r="A2143" s="857"/>
      <c r="B2143" s="865" t="s">
        <v>122</v>
      </c>
      <c r="C2143" s="865" t="s">
        <v>591</v>
      </c>
      <c r="D2143" s="865" t="s">
        <v>647</v>
      </c>
      <c r="E2143" s="866">
        <v>2019.0</v>
      </c>
      <c r="F2143" s="865" t="s">
        <v>593</v>
      </c>
      <c r="G2143" s="865" t="s">
        <v>70</v>
      </c>
      <c r="H2143" s="867">
        <v>609424.9081</v>
      </c>
      <c r="I2143" s="867">
        <v>696833.8759</v>
      </c>
      <c r="J2143" s="868">
        <v>528506.7293</v>
      </c>
      <c r="K2143" s="50"/>
      <c r="L2143" s="869" t="s">
        <v>122</v>
      </c>
      <c r="M2143" s="865" t="s">
        <v>591</v>
      </c>
      <c r="N2143" s="865" t="s">
        <v>647</v>
      </c>
      <c r="O2143" s="866">
        <v>2004.0</v>
      </c>
      <c r="P2143" s="865" t="s">
        <v>593</v>
      </c>
      <c r="Q2143" s="865" t="s">
        <v>70</v>
      </c>
      <c r="R2143" s="867">
        <v>423128.6621</v>
      </c>
      <c r="S2143" s="867">
        <v>462015.0363</v>
      </c>
      <c r="T2143" s="868">
        <v>385081.3593</v>
      </c>
      <c r="AN2143" s="882"/>
      <c r="AO2143" s="882"/>
      <c r="AP2143" s="882"/>
      <c r="AY2143" s="882"/>
      <c r="AZ2143" s="882"/>
      <c r="BA2143" s="882"/>
      <c r="BJ2143" s="882"/>
      <c r="BK2143" s="882"/>
      <c r="BL2143" s="882"/>
      <c r="BU2143" s="882"/>
      <c r="BV2143" s="882"/>
      <c r="BW2143" s="882"/>
      <c r="CF2143" s="882"/>
      <c r="CG2143" s="882"/>
      <c r="CH2143" s="882"/>
      <c r="CI2143" s="530"/>
    </row>
    <row r="2144">
      <c r="A2144" s="857"/>
      <c r="B2144" s="865" t="s">
        <v>122</v>
      </c>
      <c r="C2144" s="865" t="s">
        <v>591</v>
      </c>
      <c r="D2144" s="865" t="s">
        <v>649</v>
      </c>
      <c r="E2144" s="866">
        <v>2019.0</v>
      </c>
      <c r="F2144" s="865" t="s">
        <v>593</v>
      </c>
      <c r="G2144" s="865" t="s">
        <v>70</v>
      </c>
      <c r="H2144" s="867">
        <v>208125.9657</v>
      </c>
      <c r="I2144" s="867">
        <v>237956.2596</v>
      </c>
      <c r="J2144" s="868">
        <v>180501.2021</v>
      </c>
      <c r="K2144" s="50"/>
      <c r="L2144" s="869" t="s">
        <v>122</v>
      </c>
      <c r="M2144" s="865" t="s">
        <v>591</v>
      </c>
      <c r="N2144" s="865" t="s">
        <v>649</v>
      </c>
      <c r="O2144" s="866">
        <v>2004.0</v>
      </c>
      <c r="P2144" s="865" t="s">
        <v>593</v>
      </c>
      <c r="Q2144" s="865" t="s">
        <v>70</v>
      </c>
      <c r="R2144" s="867">
        <v>132057.2538</v>
      </c>
      <c r="S2144" s="867">
        <v>144182.6757</v>
      </c>
      <c r="T2144" s="868">
        <v>120182.894</v>
      </c>
      <c r="AN2144" s="882"/>
      <c r="AO2144" s="882"/>
      <c r="AP2144" s="882"/>
      <c r="AY2144" s="882"/>
      <c r="AZ2144" s="882"/>
      <c r="BA2144" s="882"/>
      <c r="BJ2144" s="882"/>
      <c r="BK2144" s="882"/>
      <c r="BL2144" s="882"/>
      <c r="BU2144" s="882"/>
      <c r="BV2144" s="882"/>
      <c r="BW2144" s="882"/>
      <c r="CF2144" s="882"/>
      <c r="CG2144" s="882"/>
      <c r="CH2144" s="882"/>
      <c r="CI2144" s="530"/>
    </row>
    <row r="2145">
      <c r="A2145" s="857"/>
      <c r="B2145" s="865" t="s">
        <v>122</v>
      </c>
      <c r="C2145" s="865" t="s">
        <v>591</v>
      </c>
      <c r="D2145" s="865" t="s">
        <v>651</v>
      </c>
      <c r="E2145" s="866">
        <v>2019.0</v>
      </c>
      <c r="F2145" s="865" t="s">
        <v>593</v>
      </c>
      <c r="G2145" s="865" t="s">
        <v>70</v>
      </c>
      <c r="H2145" s="867">
        <v>148306.3458</v>
      </c>
      <c r="I2145" s="867">
        <v>169562.8087</v>
      </c>
      <c r="J2145" s="868">
        <v>128621.499</v>
      </c>
      <c r="K2145" s="50"/>
      <c r="L2145" s="869" t="s">
        <v>122</v>
      </c>
      <c r="M2145" s="865" t="s">
        <v>591</v>
      </c>
      <c r="N2145" s="865" t="s">
        <v>651</v>
      </c>
      <c r="O2145" s="866">
        <v>2004.0</v>
      </c>
      <c r="P2145" s="865" t="s">
        <v>593</v>
      </c>
      <c r="Q2145" s="865" t="s">
        <v>70</v>
      </c>
      <c r="R2145" s="867">
        <v>96939.62912</v>
      </c>
      <c r="S2145" s="867">
        <v>105840.5707</v>
      </c>
      <c r="T2145" s="868">
        <v>88222.98538</v>
      </c>
      <c r="AN2145" s="882"/>
      <c r="AO2145" s="882"/>
      <c r="AP2145" s="882"/>
      <c r="AY2145" s="882"/>
      <c r="AZ2145" s="882"/>
      <c r="BA2145" s="882"/>
      <c r="BJ2145" s="882"/>
      <c r="BK2145" s="882"/>
      <c r="BL2145" s="882"/>
      <c r="BU2145" s="882"/>
      <c r="BV2145" s="882"/>
      <c r="BW2145" s="882"/>
      <c r="CF2145" s="882"/>
      <c r="CG2145" s="882"/>
      <c r="CH2145" s="882"/>
      <c r="CI2145" s="530"/>
    </row>
    <row r="2146">
      <c r="A2146" s="857"/>
      <c r="B2146" s="865" t="s">
        <v>122</v>
      </c>
      <c r="C2146" s="865" t="s">
        <v>591</v>
      </c>
      <c r="D2146" s="865" t="s">
        <v>653</v>
      </c>
      <c r="E2146" s="866">
        <v>2019.0</v>
      </c>
      <c r="F2146" s="865" t="s">
        <v>593</v>
      </c>
      <c r="G2146" s="865" t="s">
        <v>70</v>
      </c>
      <c r="H2146" s="867">
        <v>99233.3788</v>
      </c>
      <c r="I2146" s="867">
        <v>113456.3079</v>
      </c>
      <c r="J2146" s="868">
        <v>86062.03508</v>
      </c>
      <c r="K2146" s="50"/>
      <c r="L2146" s="869" t="s">
        <v>122</v>
      </c>
      <c r="M2146" s="865" t="s">
        <v>591</v>
      </c>
      <c r="N2146" s="865" t="s">
        <v>653</v>
      </c>
      <c r="O2146" s="866">
        <v>2004.0</v>
      </c>
      <c r="P2146" s="865" t="s">
        <v>593</v>
      </c>
      <c r="Q2146" s="865" t="s">
        <v>70</v>
      </c>
      <c r="R2146" s="867">
        <v>72799.32497</v>
      </c>
      <c r="S2146" s="867">
        <v>79483.71756</v>
      </c>
      <c r="T2146" s="868">
        <v>66253.33562</v>
      </c>
      <c r="AN2146" s="882"/>
      <c r="AO2146" s="882"/>
      <c r="AP2146" s="882"/>
      <c r="AY2146" s="882"/>
      <c r="AZ2146" s="882"/>
      <c r="BA2146" s="882"/>
      <c r="BJ2146" s="882"/>
      <c r="BK2146" s="882"/>
      <c r="BL2146" s="882"/>
      <c r="BU2146" s="882"/>
      <c r="BV2146" s="882"/>
      <c r="BW2146" s="882"/>
      <c r="CF2146" s="882"/>
      <c r="CG2146" s="882"/>
      <c r="CH2146" s="882"/>
      <c r="CI2146" s="530"/>
    </row>
    <row r="2147">
      <c r="A2147" s="857"/>
      <c r="B2147" s="865" t="s">
        <v>122</v>
      </c>
      <c r="C2147" s="865" t="s">
        <v>591</v>
      </c>
      <c r="D2147" s="865" t="s">
        <v>655</v>
      </c>
      <c r="E2147" s="866">
        <v>2019.0</v>
      </c>
      <c r="F2147" s="865" t="s">
        <v>593</v>
      </c>
      <c r="G2147" s="865" t="s">
        <v>70</v>
      </c>
      <c r="H2147" s="867">
        <v>169392.8671</v>
      </c>
      <c r="I2147" s="867">
        <v>193688.6506</v>
      </c>
      <c r="J2147" s="868">
        <v>146901.2325</v>
      </c>
      <c r="K2147" s="50"/>
      <c r="L2147" s="869" t="s">
        <v>122</v>
      </c>
      <c r="M2147" s="865" t="s">
        <v>591</v>
      </c>
      <c r="N2147" s="865" t="s">
        <v>655</v>
      </c>
      <c r="O2147" s="866">
        <v>2004.0</v>
      </c>
      <c r="P2147" s="865" t="s">
        <v>593</v>
      </c>
      <c r="Q2147" s="865" t="s">
        <v>70</v>
      </c>
      <c r="R2147" s="867">
        <v>123122.6125</v>
      </c>
      <c r="S2147" s="867">
        <v>134437.828</v>
      </c>
      <c r="T2147" s="868">
        <v>112051.5513</v>
      </c>
      <c r="AN2147" s="882"/>
      <c r="AO2147" s="882"/>
      <c r="AP2147" s="882"/>
      <c r="AY2147" s="882"/>
      <c r="AZ2147" s="882"/>
      <c r="BA2147" s="882"/>
      <c r="BJ2147" s="882"/>
      <c r="BK2147" s="882"/>
      <c r="BL2147" s="882"/>
      <c r="BU2147" s="882"/>
      <c r="BV2147" s="882"/>
      <c r="BW2147" s="882"/>
      <c r="CF2147" s="882"/>
      <c r="CG2147" s="882"/>
      <c r="CH2147" s="882"/>
      <c r="CI2147" s="530"/>
    </row>
    <row r="2148">
      <c r="A2148" s="857"/>
      <c r="B2148" s="865" t="s">
        <v>122</v>
      </c>
      <c r="C2148" s="865" t="s">
        <v>591</v>
      </c>
      <c r="D2148" s="865" t="s">
        <v>657</v>
      </c>
      <c r="E2148" s="866">
        <v>2019.0</v>
      </c>
      <c r="F2148" s="865" t="s">
        <v>593</v>
      </c>
      <c r="G2148" s="865" t="s">
        <v>70</v>
      </c>
      <c r="H2148" s="867">
        <v>70170.84525</v>
      </c>
      <c r="I2148" s="867">
        <v>80228.29737</v>
      </c>
      <c r="J2148" s="868">
        <v>60857.00012</v>
      </c>
      <c r="K2148" s="50"/>
      <c r="L2148" s="869" t="s">
        <v>122</v>
      </c>
      <c r="M2148" s="865" t="s">
        <v>591</v>
      </c>
      <c r="N2148" s="865" t="s">
        <v>657</v>
      </c>
      <c r="O2148" s="866">
        <v>2004.0</v>
      </c>
      <c r="P2148" s="865" t="s">
        <v>593</v>
      </c>
      <c r="Q2148" s="865" t="s">
        <v>70</v>
      </c>
      <c r="R2148" s="867">
        <v>50329.12231</v>
      </c>
      <c r="S2148" s="867">
        <v>54950.31367</v>
      </c>
      <c r="T2148" s="868">
        <v>45803.6147</v>
      </c>
      <c r="AN2148" s="882"/>
      <c r="AO2148" s="882"/>
      <c r="AP2148" s="882"/>
      <c r="AY2148" s="882"/>
      <c r="AZ2148" s="882"/>
      <c r="BA2148" s="882"/>
      <c r="BJ2148" s="882"/>
      <c r="BK2148" s="882"/>
      <c r="BL2148" s="882"/>
      <c r="BU2148" s="882"/>
      <c r="BV2148" s="882"/>
      <c r="BW2148" s="882"/>
      <c r="CF2148" s="882"/>
      <c r="CG2148" s="882"/>
      <c r="CH2148" s="882"/>
      <c r="CI2148" s="530"/>
    </row>
    <row r="2149">
      <c r="A2149" s="857"/>
      <c r="B2149" s="865" t="s">
        <v>122</v>
      </c>
      <c r="C2149" s="865" t="s">
        <v>591</v>
      </c>
      <c r="D2149" s="865" t="s">
        <v>659</v>
      </c>
      <c r="E2149" s="866">
        <v>2019.0</v>
      </c>
      <c r="F2149" s="865" t="s">
        <v>593</v>
      </c>
      <c r="G2149" s="865" t="s">
        <v>70</v>
      </c>
      <c r="H2149" s="867">
        <v>153800.0768</v>
      </c>
      <c r="I2149" s="867">
        <v>175843.9456</v>
      </c>
      <c r="J2149" s="868">
        <v>133386.0417</v>
      </c>
      <c r="K2149" s="50"/>
      <c r="L2149" s="869" t="s">
        <v>122</v>
      </c>
      <c r="M2149" s="865" t="s">
        <v>591</v>
      </c>
      <c r="N2149" s="865" t="s">
        <v>659</v>
      </c>
      <c r="O2149" s="866">
        <v>2004.0</v>
      </c>
      <c r="P2149" s="865" t="s">
        <v>593</v>
      </c>
      <c r="Q2149" s="865" t="s">
        <v>70</v>
      </c>
      <c r="R2149" s="867">
        <v>121352.5063</v>
      </c>
      <c r="S2149" s="867">
        <v>132495.0243</v>
      </c>
      <c r="T2149" s="868">
        <v>110440.6988</v>
      </c>
      <c r="AN2149" s="882"/>
      <c r="AO2149" s="882"/>
      <c r="AP2149" s="882"/>
      <c r="AY2149" s="882"/>
      <c r="AZ2149" s="882"/>
      <c r="BA2149" s="882"/>
      <c r="BJ2149" s="882"/>
      <c r="BK2149" s="882"/>
      <c r="BL2149" s="882"/>
      <c r="BU2149" s="882"/>
      <c r="BV2149" s="882"/>
      <c r="BW2149" s="882"/>
      <c r="CF2149" s="882"/>
      <c r="CG2149" s="882"/>
      <c r="CH2149" s="882"/>
      <c r="CI2149" s="530"/>
    </row>
    <row r="2150">
      <c r="A2150" s="857"/>
      <c r="B2150" s="865" t="s">
        <v>122</v>
      </c>
      <c r="C2150" s="865" t="s">
        <v>591</v>
      </c>
      <c r="D2150" s="865" t="s">
        <v>661</v>
      </c>
      <c r="E2150" s="866">
        <v>2019.0</v>
      </c>
      <c r="F2150" s="865" t="s">
        <v>593</v>
      </c>
      <c r="G2150" s="865" t="s">
        <v>70</v>
      </c>
      <c r="H2150" s="867">
        <v>83623.62498</v>
      </c>
      <c r="I2150" s="867">
        <v>95617.64531</v>
      </c>
      <c r="J2150" s="868">
        <v>72520.25301</v>
      </c>
      <c r="K2150" s="50"/>
      <c r="L2150" s="869" t="s">
        <v>122</v>
      </c>
      <c r="M2150" s="865" t="s">
        <v>591</v>
      </c>
      <c r="N2150" s="865" t="s">
        <v>661</v>
      </c>
      <c r="O2150" s="866">
        <v>2004.0</v>
      </c>
      <c r="P2150" s="865" t="s">
        <v>593</v>
      </c>
      <c r="Q2150" s="865" t="s">
        <v>70</v>
      </c>
      <c r="R2150" s="867">
        <v>71020.01833</v>
      </c>
      <c r="S2150" s="867">
        <v>77546.9007</v>
      </c>
      <c r="T2150" s="868">
        <v>64633.96986</v>
      </c>
      <c r="AN2150" s="882"/>
      <c r="AO2150" s="882"/>
      <c r="AP2150" s="882"/>
      <c r="AY2150" s="882"/>
      <c r="AZ2150" s="882"/>
      <c r="BA2150" s="882"/>
      <c r="BJ2150" s="882"/>
      <c r="BK2150" s="882"/>
      <c r="BL2150" s="882"/>
      <c r="BU2150" s="882"/>
      <c r="BV2150" s="882"/>
      <c r="BW2150" s="882"/>
      <c r="CF2150" s="882"/>
      <c r="CG2150" s="882"/>
      <c r="CH2150" s="882"/>
      <c r="CI2150" s="530"/>
    </row>
    <row r="2151">
      <c r="A2151" s="857"/>
      <c r="B2151" s="865" t="s">
        <v>122</v>
      </c>
      <c r="C2151" s="865" t="s">
        <v>591</v>
      </c>
      <c r="D2151" s="865" t="s">
        <v>663</v>
      </c>
      <c r="E2151" s="866">
        <v>2019.0</v>
      </c>
      <c r="F2151" s="865" t="s">
        <v>593</v>
      </c>
      <c r="G2151" s="865" t="s">
        <v>70</v>
      </c>
      <c r="H2151" s="867">
        <v>43549.2298</v>
      </c>
      <c r="I2151" s="867">
        <v>49791.05705</v>
      </c>
      <c r="J2151" s="868">
        <v>37768.89781</v>
      </c>
      <c r="K2151" s="50"/>
      <c r="L2151" s="869" t="s">
        <v>122</v>
      </c>
      <c r="M2151" s="865" t="s">
        <v>591</v>
      </c>
      <c r="N2151" s="865" t="s">
        <v>663</v>
      </c>
      <c r="O2151" s="866">
        <v>2004.0</v>
      </c>
      <c r="P2151" s="865" t="s">
        <v>593</v>
      </c>
      <c r="Q2151" s="865" t="s">
        <v>70</v>
      </c>
      <c r="R2151" s="867">
        <v>36039.9341</v>
      </c>
      <c r="S2151" s="867">
        <v>39349.10033</v>
      </c>
      <c r="T2151" s="868">
        <v>32799.28558</v>
      </c>
      <c r="AN2151" s="882"/>
      <c r="AO2151" s="882"/>
      <c r="AP2151" s="882"/>
      <c r="AY2151" s="882"/>
      <c r="AZ2151" s="882"/>
      <c r="BA2151" s="882"/>
      <c r="BJ2151" s="882"/>
      <c r="BK2151" s="882"/>
      <c r="BL2151" s="882"/>
      <c r="BU2151" s="882"/>
      <c r="BV2151" s="882"/>
      <c r="BW2151" s="882"/>
      <c r="CF2151" s="882"/>
      <c r="CG2151" s="882"/>
      <c r="CH2151" s="882"/>
      <c r="CI2151" s="530"/>
    </row>
    <row r="2152">
      <c r="A2152" s="857"/>
      <c r="B2152" s="865" t="s">
        <v>122</v>
      </c>
      <c r="C2152" s="865" t="s">
        <v>591</v>
      </c>
      <c r="D2152" s="865" t="s">
        <v>665</v>
      </c>
      <c r="E2152" s="866">
        <v>2019.0</v>
      </c>
      <c r="F2152" s="865" t="s">
        <v>593</v>
      </c>
      <c r="G2152" s="865" t="s">
        <v>70</v>
      </c>
      <c r="H2152" s="867">
        <v>67562.24871</v>
      </c>
      <c r="I2152" s="867">
        <v>77252.60817</v>
      </c>
      <c r="J2152" s="868">
        <v>58591.47307</v>
      </c>
      <c r="K2152" s="50"/>
      <c r="L2152" s="869" t="s">
        <v>122</v>
      </c>
      <c r="M2152" s="865" t="s">
        <v>591</v>
      </c>
      <c r="N2152" s="865" t="s">
        <v>665</v>
      </c>
      <c r="O2152" s="866">
        <v>2004.0</v>
      </c>
      <c r="P2152" s="865" t="s">
        <v>593</v>
      </c>
      <c r="Q2152" s="865" t="s">
        <v>70</v>
      </c>
      <c r="R2152" s="867">
        <v>57453.00604</v>
      </c>
      <c r="S2152" s="867">
        <v>62733.05273</v>
      </c>
      <c r="T2152" s="868">
        <v>52286.88965</v>
      </c>
      <c r="AN2152" s="882"/>
      <c r="AO2152" s="882"/>
      <c r="AP2152" s="882"/>
      <c r="AY2152" s="882"/>
      <c r="AZ2152" s="882"/>
      <c r="BA2152" s="882"/>
      <c r="BJ2152" s="882"/>
      <c r="BK2152" s="882"/>
      <c r="BL2152" s="882"/>
      <c r="BU2152" s="882"/>
      <c r="BV2152" s="882"/>
      <c r="BW2152" s="882"/>
      <c r="CF2152" s="882"/>
      <c r="CG2152" s="882"/>
      <c r="CH2152" s="882"/>
      <c r="CI2152" s="530"/>
    </row>
    <row r="2153">
      <c r="A2153" s="857"/>
      <c r="B2153" s="865" t="s">
        <v>122</v>
      </c>
      <c r="C2153" s="865" t="s">
        <v>591</v>
      </c>
      <c r="D2153" s="865" t="s">
        <v>667</v>
      </c>
      <c r="E2153" s="866">
        <v>2019.0</v>
      </c>
      <c r="F2153" s="865" t="s">
        <v>593</v>
      </c>
      <c r="G2153" s="865" t="s">
        <v>70</v>
      </c>
      <c r="H2153" s="867">
        <v>40080.00172</v>
      </c>
      <c r="I2153" s="867">
        <v>45824.59119</v>
      </c>
      <c r="J2153" s="868">
        <v>34760.14378</v>
      </c>
      <c r="K2153" s="50"/>
      <c r="L2153" s="869" t="s">
        <v>122</v>
      </c>
      <c r="M2153" s="865" t="s">
        <v>591</v>
      </c>
      <c r="N2153" s="865" t="s">
        <v>667</v>
      </c>
      <c r="O2153" s="866">
        <v>2004.0</v>
      </c>
      <c r="P2153" s="865" t="s">
        <v>593</v>
      </c>
      <c r="Q2153" s="865" t="s">
        <v>70</v>
      </c>
      <c r="R2153" s="867">
        <v>34983.44985</v>
      </c>
      <c r="S2153" s="867">
        <v>38195.61031</v>
      </c>
      <c r="T2153" s="868">
        <v>31837.79857</v>
      </c>
      <c r="AN2153" s="882"/>
      <c r="AO2153" s="882"/>
      <c r="AP2153" s="882"/>
      <c r="AY2153" s="882"/>
      <c r="AZ2153" s="882"/>
      <c r="BA2153" s="882"/>
      <c r="BJ2153" s="882"/>
      <c r="BK2153" s="882"/>
      <c r="BL2153" s="882"/>
      <c r="BU2153" s="882"/>
      <c r="BV2153" s="882"/>
      <c r="BW2153" s="882"/>
      <c r="CF2153" s="882"/>
      <c r="CG2153" s="882"/>
      <c r="CH2153" s="882"/>
      <c r="CI2153" s="530"/>
    </row>
    <row r="2154">
      <c r="A2154" s="857"/>
      <c r="B2154" s="865" t="s">
        <v>122</v>
      </c>
      <c r="C2154" s="865" t="s">
        <v>591</v>
      </c>
      <c r="D2154" s="865" t="s">
        <v>669</v>
      </c>
      <c r="E2154" s="866">
        <v>2019.0</v>
      </c>
      <c r="F2154" s="865" t="s">
        <v>593</v>
      </c>
      <c r="G2154" s="865" t="s">
        <v>70</v>
      </c>
      <c r="H2154" s="867">
        <v>24017.54863</v>
      </c>
      <c r="I2154" s="867">
        <v>27459.93762</v>
      </c>
      <c r="J2154" s="868">
        <v>20829.67584</v>
      </c>
      <c r="K2154" s="50"/>
      <c r="L2154" s="869" t="s">
        <v>122</v>
      </c>
      <c r="M2154" s="865" t="s">
        <v>591</v>
      </c>
      <c r="N2154" s="865" t="s">
        <v>669</v>
      </c>
      <c r="O2154" s="866">
        <v>2004.0</v>
      </c>
      <c r="P2154" s="865" t="s">
        <v>593</v>
      </c>
      <c r="Q2154" s="865" t="s">
        <v>70</v>
      </c>
      <c r="R2154" s="867">
        <v>21415.79463</v>
      </c>
      <c r="S2154" s="867">
        <v>23382.18071</v>
      </c>
      <c r="T2154" s="868">
        <v>19490.12343</v>
      </c>
      <c r="AN2154" s="882"/>
      <c r="AO2154" s="882"/>
      <c r="AP2154" s="882"/>
      <c r="AY2154" s="882"/>
      <c r="AZ2154" s="882"/>
      <c r="BA2154" s="882"/>
      <c r="BJ2154" s="882"/>
      <c r="BK2154" s="882"/>
      <c r="BL2154" s="882"/>
      <c r="BU2154" s="882"/>
      <c r="BV2154" s="882"/>
      <c r="BW2154" s="882"/>
      <c r="CF2154" s="882"/>
      <c r="CG2154" s="882"/>
      <c r="CH2154" s="882"/>
      <c r="CI2154" s="530"/>
    </row>
    <row r="2155">
      <c r="A2155" s="857"/>
      <c r="B2155" s="865" t="s">
        <v>122</v>
      </c>
      <c r="C2155" s="865" t="s">
        <v>591</v>
      </c>
      <c r="D2155" s="865" t="s">
        <v>671</v>
      </c>
      <c r="E2155" s="866">
        <v>2019.0</v>
      </c>
      <c r="F2155" s="865" t="s">
        <v>593</v>
      </c>
      <c r="G2155" s="865" t="s">
        <v>70</v>
      </c>
      <c r="H2155" s="867">
        <v>16061.37626</v>
      </c>
      <c r="I2155" s="867">
        <v>18365.03714</v>
      </c>
      <c r="J2155" s="868">
        <v>13928.77994</v>
      </c>
      <c r="K2155" s="50"/>
      <c r="L2155" s="869" t="s">
        <v>122</v>
      </c>
      <c r="M2155" s="865" t="s">
        <v>591</v>
      </c>
      <c r="N2155" s="865" t="s">
        <v>671</v>
      </c>
      <c r="O2155" s="866">
        <v>2004.0</v>
      </c>
      <c r="P2155" s="865" t="s">
        <v>593</v>
      </c>
      <c r="Q2155" s="865" t="s">
        <v>70</v>
      </c>
      <c r="R2155" s="867">
        <v>13567.01228</v>
      </c>
      <c r="S2155" s="867">
        <v>14813.84797</v>
      </c>
      <c r="T2155" s="868">
        <v>12347.08021</v>
      </c>
      <c r="AN2155" s="882"/>
      <c r="AO2155" s="882"/>
      <c r="AP2155" s="882"/>
      <c r="AY2155" s="882"/>
      <c r="AZ2155" s="882"/>
      <c r="BA2155" s="882"/>
      <c r="BJ2155" s="882"/>
      <c r="BK2155" s="882"/>
      <c r="BL2155" s="882"/>
      <c r="BU2155" s="882"/>
      <c r="BV2155" s="882"/>
      <c r="BW2155" s="882"/>
      <c r="CF2155" s="882"/>
      <c r="CG2155" s="882"/>
      <c r="CH2155" s="882"/>
      <c r="CI2155" s="530"/>
    </row>
    <row r="2156">
      <c r="A2156" s="857"/>
      <c r="B2156" s="865" t="s">
        <v>122</v>
      </c>
      <c r="C2156" s="865" t="s">
        <v>591</v>
      </c>
      <c r="D2156" s="865" t="s">
        <v>673</v>
      </c>
      <c r="E2156" s="866">
        <v>2019.0</v>
      </c>
      <c r="F2156" s="865" t="s">
        <v>593</v>
      </c>
      <c r="G2156" s="865" t="s">
        <v>70</v>
      </c>
      <c r="H2156" s="867">
        <v>10592.32564</v>
      </c>
      <c r="I2156" s="867">
        <v>12110.50327</v>
      </c>
      <c r="J2156" s="868">
        <v>9186.395865</v>
      </c>
      <c r="K2156" s="50"/>
      <c r="L2156" s="869" t="s">
        <v>122</v>
      </c>
      <c r="M2156" s="865" t="s">
        <v>591</v>
      </c>
      <c r="N2156" s="865" t="s">
        <v>673</v>
      </c>
      <c r="O2156" s="866">
        <v>2004.0</v>
      </c>
      <c r="P2156" s="865" t="s">
        <v>593</v>
      </c>
      <c r="Q2156" s="865" t="s">
        <v>70</v>
      </c>
      <c r="R2156" s="867">
        <v>9589.211191</v>
      </c>
      <c r="S2156" s="867">
        <v>10469.6871</v>
      </c>
      <c r="T2156" s="868">
        <v>8726.96591</v>
      </c>
      <c r="AN2156" s="882"/>
      <c r="AO2156" s="882"/>
      <c r="AP2156" s="882"/>
      <c r="AY2156" s="882"/>
      <c r="AZ2156" s="882"/>
      <c r="BA2156" s="882"/>
      <c r="BJ2156" s="882"/>
      <c r="BK2156" s="882"/>
      <c r="BL2156" s="882"/>
      <c r="BU2156" s="882"/>
      <c r="BV2156" s="882"/>
      <c r="BW2156" s="882"/>
      <c r="CF2156" s="882"/>
      <c r="CG2156" s="882"/>
      <c r="CH2156" s="882"/>
      <c r="CI2156" s="530"/>
    </row>
    <row r="2157">
      <c r="A2157" s="857"/>
      <c r="B2157" s="865" t="s">
        <v>122</v>
      </c>
      <c r="C2157" s="865" t="s">
        <v>591</v>
      </c>
      <c r="D2157" s="865" t="s">
        <v>674</v>
      </c>
      <c r="E2157" s="866">
        <v>2019.0</v>
      </c>
      <c r="F2157" s="865" t="s">
        <v>593</v>
      </c>
      <c r="G2157" s="865" t="s">
        <v>70</v>
      </c>
      <c r="H2157" s="867">
        <v>4206.245221</v>
      </c>
      <c r="I2157" s="867">
        <v>4809.118249</v>
      </c>
      <c r="J2157" s="868">
        <v>3647.946167</v>
      </c>
      <c r="K2157" s="50"/>
      <c r="L2157" s="869" t="s">
        <v>122</v>
      </c>
      <c r="M2157" s="865" t="s">
        <v>591</v>
      </c>
      <c r="N2157" s="865" t="s">
        <v>674</v>
      </c>
      <c r="O2157" s="866">
        <v>2004.0</v>
      </c>
      <c r="P2157" s="865" t="s">
        <v>593</v>
      </c>
      <c r="Q2157" s="865" t="s">
        <v>70</v>
      </c>
      <c r="R2157" s="867">
        <v>3220.12237</v>
      </c>
      <c r="S2157" s="867">
        <v>3515.792173</v>
      </c>
      <c r="T2157" s="868">
        <v>2930.574538</v>
      </c>
      <c r="AN2157" s="882"/>
      <c r="AO2157" s="882"/>
      <c r="AP2157" s="882"/>
      <c r="AY2157" s="882"/>
      <c r="AZ2157" s="882"/>
      <c r="BA2157" s="882"/>
      <c r="BJ2157" s="882"/>
      <c r="BK2157" s="882"/>
      <c r="BL2157" s="882"/>
      <c r="BU2157" s="882"/>
      <c r="BV2157" s="882"/>
      <c r="BW2157" s="882"/>
      <c r="CF2157" s="882"/>
      <c r="CG2157" s="882"/>
      <c r="CH2157" s="882"/>
      <c r="CI2157" s="530"/>
    </row>
    <row r="2158">
      <c r="A2158" s="857"/>
      <c r="B2158" s="865" t="s">
        <v>122</v>
      </c>
      <c r="C2158" s="865" t="s">
        <v>591</v>
      </c>
      <c r="D2158" s="865" t="s">
        <v>676</v>
      </c>
      <c r="E2158" s="866">
        <v>2019.0</v>
      </c>
      <c r="F2158" s="865" t="s">
        <v>593</v>
      </c>
      <c r="G2158" s="865" t="s">
        <v>70</v>
      </c>
      <c r="H2158" s="867">
        <v>1263.882239</v>
      </c>
      <c r="I2158" s="867">
        <v>1445.032046</v>
      </c>
      <c r="J2158" s="868">
        <v>1096.125909</v>
      </c>
      <c r="K2158" s="50"/>
      <c r="L2158" s="869" t="s">
        <v>122</v>
      </c>
      <c r="M2158" s="865" t="s">
        <v>591</v>
      </c>
      <c r="N2158" s="865" t="s">
        <v>676</v>
      </c>
      <c r="O2158" s="866">
        <v>2004.0</v>
      </c>
      <c r="P2158" s="865" t="s">
        <v>593</v>
      </c>
      <c r="Q2158" s="865" t="s">
        <v>70</v>
      </c>
      <c r="R2158" s="867">
        <v>758.3216582</v>
      </c>
      <c r="S2158" s="867">
        <v>827.9503212</v>
      </c>
      <c r="T2158" s="868">
        <v>690.1346867</v>
      </c>
      <c r="AN2158" s="882"/>
      <c r="AO2158" s="882"/>
      <c r="AP2158" s="882"/>
      <c r="AY2158" s="882"/>
      <c r="AZ2158" s="882"/>
      <c r="BA2158" s="882"/>
      <c r="BJ2158" s="882"/>
      <c r="BK2158" s="882"/>
      <c r="BL2158" s="882"/>
      <c r="BU2158" s="882"/>
      <c r="BV2158" s="882"/>
      <c r="BW2158" s="882"/>
      <c r="CF2158" s="882"/>
      <c r="CG2158" s="882"/>
      <c r="CH2158" s="882"/>
      <c r="CI2158" s="530"/>
    </row>
    <row r="2159">
      <c r="A2159" s="857"/>
      <c r="B2159" s="865" t="s">
        <v>122</v>
      </c>
      <c r="C2159" s="865" t="s">
        <v>591</v>
      </c>
      <c r="D2159" s="865" t="s">
        <v>678</v>
      </c>
      <c r="E2159" s="866">
        <v>2019.0</v>
      </c>
      <c r="F2159" s="865" t="s">
        <v>593</v>
      </c>
      <c r="G2159" s="865" t="s">
        <v>70</v>
      </c>
      <c r="H2159" s="867">
        <v>9282963.047</v>
      </c>
      <c r="I2159" s="867">
        <v>1.061347226E7</v>
      </c>
      <c r="J2159" s="868">
        <v>8050826.255</v>
      </c>
      <c r="K2159" s="50"/>
      <c r="L2159" s="869" t="s">
        <v>122</v>
      </c>
      <c r="M2159" s="865" t="s">
        <v>591</v>
      </c>
      <c r="N2159" s="865" t="s">
        <v>678</v>
      </c>
      <c r="O2159" s="866">
        <v>2004.0</v>
      </c>
      <c r="P2159" s="865" t="s">
        <v>593</v>
      </c>
      <c r="Q2159" s="865" t="s">
        <v>70</v>
      </c>
      <c r="R2159" s="867">
        <v>7984113.047</v>
      </c>
      <c r="S2159" s="867">
        <v>8717209.763</v>
      </c>
      <c r="T2159" s="868">
        <v>7266195.415</v>
      </c>
      <c r="AN2159" s="882"/>
      <c r="AO2159" s="882"/>
      <c r="AP2159" s="882"/>
      <c r="AY2159" s="882"/>
      <c r="AZ2159" s="882"/>
      <c r="BA2159" s="882"/>
      <c r="BJ2159" s="882"/>
      <c r="BK2159" s="882"/>
      <c r="BL2159" s="882"/>
      <c r="BU2159" s="882"/>
      <c r="BV2159" s="882"/>
      <c r="BW2159" s="882"/>
      <c r="CF2159" s="882"/>
      <c r="CG2159" s="882"/>
      <c r="CH2159" s="882"/>
      <c r="CI2159" s="530"/>
    </row>
    <row r="2160">
      <c r="A2160" s="857"/>
      <c r="B2160" s="865" t="s">
        <v>122</v>
      </c>
      <c r="C2160" s="865" t="s">
        <v>591</v>
      </c>
      <c r="D2160" s="865" t="s">
        <v>680</v>
      </c>
      <c r="E2160" s="866">
        <v>2019.0</v>
      </c>
      <c r="F2160" s="865" t="s">
        <v>593</v>
      </c>
      <c r="G2160" s="865" t="s">
        <v>70</v>
      </c>
      <c r="H2160" s="867">
        <v>364136.6407</v>
      </c>
      <c r="I2160" s="867">
        <v>393187.0724</v>
      </c>
      <c r="J2160" s="868">
        <v>339390.4123</v>
      </c>
      <c r="K2160" s="50"/>
      <c r="L2160" s="869" t="s">
        <v>122</v>
      </c>
      <c r="M2160" s="865" t="s">
        <v>591</v>
      </c>
      <c r="N2160" s="865" t="s">
        <v>680</v>
      </c>
      <c r="O2160" s="866">
        <v>2004.0</v>
      </c>
      <c r="P2160" s="865" t="s">
        <v>593</v>
      </c>
      <c r="Q2160" s="865" t="s">
        <v>70</v>
      </c>
      <c r="R2160" s="867">
        <v>358359.979</v>
      </c>
      <c r="S2160" s="867">
        <v>381927.5024</v>
      </c>
      <c r="T2160" s="868">
        <v>332630.644</v>
      </c>
      <c r="AN2160" s="882"/>
      <c r="AO2160" s="882"/>
      <c r="AP2160" s="882"/>
      <c r="AY2160" s="882"/>
      <c r="AZ2160" s="882"/>
      <c r="BA2160" s="882"/>
      <c r="BJ2160" s="882"/>
      <c r="BK2160" s="882"/>
      <c r="BL2160" s="882"/>
      <c r="BU2160" s="882"/>
      <c r="BV2160" s="882"/>
      <c r="BW2160" s="882"/>
      <c r="CF2160" s="882"/>
      <c r="CG2160" s="882"/>
      <c r="CH2160" s="882"/>
      <c r="CI2160" s="530"/>
    </row>
    <row r="2161">
      <c r="A2161" s="857"/>
      <c r="B2161" s="865" t="s">
        <v>122</v>
      </c>
      <c r="C2161" s="865" t="s">
        <v>591</v>
      </c>
      <c r="D2161" s="865" t="s">
        <v>682</v>
      </c>
      <c r="E2161" s="866">
        <v>2019.0</v>
      </c>
      <c r="F2161" s="865" t="s">
        <v>593</v>
      </c>
      <c r="G2161" s="865" t="s">
        <v>70</v>
      </c>
      <c r="H2161" s="867">
        <v>6866.629207</v>
      </c>
      <c r="I2161" s="867">
        <v>7850.809948</v>
      </c>
      <c r="J2161" s="868">
        <v>5955.214776</v>
      </c>
      <c r="K2161" s="50"/>
      <c r="L2161" s="869" t="s">
        <v>122</v>
      </c>
      <c r="M2161" s="865" t="s">
        <v>591</v>
      </c>
      <c r="N2161" s="865" t="s">
        <v>682</v>
      </c>
      <c r="O2161" s="866">
        <v>2004.0</v>
      </c>
      <c r="P2161" s="865" t="s">
        <v>593</v>
      </c>
      <c r="Q2161" s="865" t="s">
        <v>70</v>
      </c>
      <c r="R2161" s="867">
        <v>6755.697753</v>
      </c>
      <c r="S2161" s="867">
        <v>7376.002075</v>
      </c>
      <c r="T2161" s="868">
        <v>6148.237099</v>
      </c>
      <c r="AN2161" s="882"/>
      <c r="AO2161" s="882"/>
      <c r="AP2161" s="882"/>
      <c r="AY2161" s="882"/>
      <c r="AZ2161" s="882"/>
      <c r="BA2161" s="882"/>
      <c r="BJ2161" s="882"/>
      <c r="BK2161" s="882"/>
      <c r="BL2161" s="882"/>
      <c r="BU2161" s="882"/>
      <c r="BV2161" s="882"/>
      <c r="BW2161" s="882"/>
      <c r="CF2161" s="882"/>
      <c r="CG2161" s="882"/>
      <c r="CH2161" s="882"/>
      <c r="CI2161" s="530"/>
    </row>
    <row r="2162">
      <c r="A2162" s="857"/>
      <c r="B2162" s="865" t="s">
        <v>122</v>
      </c>
      <c r="C2162" s="865" t="s">
        <v>591</v>
      </c>
      <c r="D2162" s="865" t="s">
        <v>684</v>
      </c>
      <c r="E2162" s="866">
        <v>2019.0</v>
      </c>
      <c r="F2162" s="865" t="s">
        <v>593</v>
      </c>
      <c r="G2162" s="865" t="s">
        <v>70</v>
      </c>
      <c r="H2162" s="867">
        <v>20228.42666</v>
      </c>
      <c r="I2162" s="867">
        <v>23127.7281</v>
      </c>
      <c r="J2162" s="868">
        <v>17543.48775</v>
      </c>
      <c r="K2162" s="50"/>
      <c r="L2162" s="869" t="s">
        <v>122</v>
      </c>
      <c r="M2162" s="865" t="s">
        <v>591</v>
      </c>
      <c r="N2162" s="865" t="s">
        <v>684</v>
      </c>
      <c r="O2162" s="866">
        <v>2004.0</v>
      </c>
      <c r="P2162" s="865" t="s">
        <v>593</v>
      </c>
      <c r="Q2162" s="865" t="s">
        <v>70</v>
      </c>
      <c r="R2162" s="867">
        <v>19843.81301</v>
      </c>
      <c r="S2162" s="867">
        <v>21665.86062</v>
      </c>
      <c r="T2162" s="868">
        <v>18059.49167</v>
      </c>
      <c r="AN2162" s="882"/>
      <c r="AO2162" s="882"/>
      <c r="AP2162" s="882"/>
      <c r="AY2162" s="882"/>
      <c r="AZ2162" s="882"/>
      <c r="BA2162" s="882"/>
      <c r="BJ2162" s="882"/>
      <c r="BK2162" s="882"/>
      <c r="BL2162" s="882"/>
      <c r="BU2162" s="882"/>
      <c r="BV2162" s="882"/>
      <c r="BW2162" s="882"/>
      <c r="CF2162" s="882"/>
      <c r="CG2162" s="882"/>
      <c r="CH2162" s="882"/>
      <c r="CI2162" s="530"/>
    </row>
    <row r="2163">
      <c r="A2163" s="857"/>
      <c r="B2163" s="865" t="s">
        <v>122</v>
      </c>
      <c r="C2163" s="865" t="s">
        <v>591</v>
      </c>
      <c r="D2163" s="865" t="s">
        <v>686</v>
      </c>
      <c r="E2163" s="866">
        <v>2019.0</v>
      </c>
      <c r="F2163" s="865" t="s">
        <v>593</v>
      </c>
      <c r="G2163" s="865" t="s">
        <v>70</v>
      </c>
      <c r="H2163" s="867">
        <v>27095.05587</v>
      </c>
      <c r="I2163" s="867">
        <v>30978.53805</v>
      </c>
      <c r="J2163" s="868">
        <v>23498.70252</v>
      </c>
      <c r="K2163" s="50"/>
      <c r="L2163" s="869" t="s">
        <v>122</v>
      </c>
      <c r="M2163" s="865" t="s">
        <v>591</v>
      </c>
      <c r="N2163" s="865" t="s">
        <v>686</v>
      </c>
      <c r="O2163" s="866">
        <v>2004.0</v>
      </c>
      <c r="P2163" s="865" t="s">
        <v>593</v>
      </c>
      <c r="Q2163" s="865" t="s">
        <v>70</v>
      </c>
      <c r="R2163" s="867">
        <v>26599.51076</v>
      </c>
      <c r="S2163" s="867">
        <v>29041.8627</v>
      </c>
      <c r="T2163" s="868">
        <v>24207.72877</v>
      </c>
      <c r="AN2163" s="882"/>
      <c r="AO2163" s="882"/>
      <c r="AP2163" s="882"/>
      <c r="AY2163" s="882"/>
      <c r="AZ2163" s="882"/>
      <c r="BA2163" s="882"/>
      <c r="BJ2163" s="882"/>
      <c r="BK2163" s="882"/>
      <c r="BL2163" s="882"/>
      <c r="BU2163" s="882"/>
      <c r="BV2163" s="882"/>
      <c r="BW2163" s="882"/>
      <c r="CF2163" s="882"/>
      <c r="CG2163" s="882"/>
      <c r="CH2163" s="882"/>
      <c r="CI2163" s="530"/>
    </row>
    <row r="2164">
      <c r="A2164" s="857"/>
      <c r="B2164" s="865" t="s">
        <v>122</v>
      </c>
      <c r="C2164" s="865" t="s">
        <v>591</v>
      </c>
      <c r="D2164" s="865" t="s">
        <v>688</v>
      </c>
      <c r="E2164" s="866">
        <v>2019.0</v>
      </c>
      <c r="F2164" s="865" t="s">
        <v>593</v>
      </c>
      <c r="G2164" s="865" t="s">
        <v>70</v>
      </c>
      <c r="H2164" s="867">
        <v>312473.8751</v>
      </c>
      <c r="I2164" s="867">
        <v>357260.1539</v>
      </c>
      <c r="J2164" s="868">
        <v>270998.9111</v>
      </c>
      <c r="K2164" s="50"/>
      <c r="L2164" s="869" t="s">
        <v>122</v>
      </c>
      <c r="M2164" s="865" t="s">
        <v>591</v>
      </c>
      <c r="N2164" s="865" t="s">
        <v>688</v>
      </c>
      <c r="O2164" s="866">
        <v>2004.0</v>
      </c>
      <c r="P2164" s="865" t="s">
        <v>593</v>
      </c>
      <c r="Q2164" s="865" t="s">
        <v>70</v>
      </c>
      <c r="R2164" s="867">
        <v>304750.0848</v>
      </c>
      <c r="S2164" s="867">
        <v>332732.0641</v>
      </c>
      <c r="T2164" s="868">
        <v>277347.4844</v>
      </c>
      <c r="AN2164" s="882"/>
      <c r="AO2164" s="882"/>
      <c r="AP2164" s="882"/>
      <c r="AY2164" s="882"/>
      <c r="AZ2164" s="882"/>
      <c r="BA2164" s="882"/>
      <c r="BJ2164" s="882"/>
      <c r="BK2164" s="882"/>
      <c r="BL2164" s="882"/>
      <c r="BU2164" s="882"/>
      <c r="BV2164" s="882"/>
      <c r="BW2164" s="882"/>
      <c r="CF2164" s="882"/>
      <c r="CG2164" s="882"/>
      <c r="CH2164" s="882"/>
      <c r="CI2164" s="530"/>
    </row>
    <row r="2165">
      <c r="A2165" s="857"/>
      <c r="B2165" s="865" t="s">
        <v>122</v>
      </c>
      <c r="C2165" s="865" t="s">
        <v>591</v>
      </c>
      <c r="D2165" s="865" t="s">
        <v>689</v>
      </c>
      <c r="E2165" s="866">
        <v>2019.0</v>
      </c>
      <c r="F2165" s="865" t="s">
        <v>593</v>
      </c>
      <c r="G2165" s="865" t="s">
        <v>70</v>
      </c>
      <c r="H2165" s="867">
        <v>1516375.155</v>
      </c>
      <c r="I2165" s="867">
        <v>1733714.286</v>
      </c>
      <c r="J2165" s="868">
        <v>1315105.193</v>
      </c>
      <c r="K2165" s="50"/>
      <c r="L2165" s="869" t="s">
        <v>122</v>
      </c>
      <c r="M2165" s="865" t="s">
        <v>591</v>
      </c>
      <c r="N2165" s="865" t="s">
        <v>689</v>
      </c>
      <c r="O2165" s="866">
        <v>2004.0</v>
      </c>
      <c r="P2165" s="865" t="s">
        <v>593</v>
      </c>
      <c r="Q2165" s="865" t="s">
        <v>70</v>
      </c>
      <c r="R2165" s="867">
        <v>1468762.996</v>
      </c>
      <c r="S2165" s="867">
        <v>1603623.978</v>
      </c>
      <c r="T2165" s="868">
        <v>1336694.368</v>
      </c>
      <c r="AN2165" s="882"/>
      <c r="AO2165" s="882"/>
      <c r="AP2165" s="882"/>
      <c r="AY2165" s="882"/>
      <c r="AZ2165" s="882"/>
      <c r="BA2165" s="882"/>
      <c r="BJ2165" s="882"/>
      <c r="BK2165" s="882"/>
      <c r="BL2165" s="882"/>
      <c r="BU2165" s="882"/>
      <c r="BV2165" s="882"/>
      <c r="BW2165" s="882"/>
      <c r="CF2165" s="882"/>
      <c r="CG2165" s="882"/>
      <c r="CH2165" s="882"/>
      <c r="CI2165" s="530"/>
    </row>
    <row r="2166">
      <c r="A2166" s="857"/>
      <c r="B2166" s="865" t="s">
        <v>123</v>
      </c>
      <c r="C2166" s="865" t="s">
        <v>591</v>
      </c>
      <c r="D2166" s="865" t="s">
        <v>592</v>
      </c>
      <c r="E2166" s="866">
        <v>2019.0</v>
      </c>
      <c r="F2166" s="865" t="s">
        <v>593</v>
      </c>
      <c r="G2166" s="865" t="s">
        <v>70</v>
      </c>
      <c r="H2166" s="867">
        <v>227729.7744</v>
      </c>
      <c r="I2166" s="867">
        <v>255797.6731</v>
      </c>
      <c r="J2166" s="868">
        <v>199599.5201</v>
      </c>
      <c r="K2166" s="50"/>
      <c r="L2166" s="869" t="s">
        <v>123</v>
      </c>
      <c r="M2166" s="865" t="s">
        <v>591</v>
      </c>
      <c r="N2166" s="865" t="s">
        <v>592</v>
      </c>
      <c r="O2166" s="866">
        <v>2004.0</v>
      </c>
      <c r="P2166" s="865" t="s">
        <v>593</v>
      </c>
      <c r="Q2166" s="865" t="s">
        <v>70</v>
      </c>
      <c r="R2166" s="867">
        <v>206193.5561</v>
      </c>
      <c r="S2166" s="867">
        <v>228321.2918</v>
      </c>
      <c r="T2166" s="868">
        <v>183920.1851</v>
      </c>
      <c r="AN2166" s="882"/>
      <c r="AO2166" s="882"/>
      <c r="AP2166" s="882"/>
      <c r="AY2166" s="882"/>
      <c r="AZ2166" s="882"/>
      <c r="BA2166" s="882"/>
      <c r="BJ2166" s="882"/>
      <c r="BK2166" s="882"/>
      <c r="BL2166" s="882"/>
      <c r="BU2166" s="882"/>
      <c r="BV2166" s="882"/>
      <c r="BW2166" s="882"/>
      <c r="CF2166" s="882"/>
      <c r="CG2166" s="882"/>
      <c r="CH2166" s="882"/>
      <c r="CI2166" s="530"/>
    </row>
    <row r="2167">
      <c r="A2167" s="857"/>
      <c r="B2167" s="865" t="s">
        <v>123</v>
      </c>
      <c r="C2167" s="865" t="s">
        <v>591</v>
      </c>
      <c r="D2167" s="865" t="s">
        <v>601</v>
      </c>
      <c r="E2167" s="866">
        <v>2019.0</v>
      </c>
      <c r="F2167" s="865" t="s">
        <v>593</v>
      </c>
      <c r="G2167" s="865" t="s">
        <v>70</v>
      </c>
      <c r="H2167" s="867">
        <v>3956442.196</v>
      </c>
      <c r="I2167" s="867">
        <v>4444077.24</v>
      </c>
      <c r="J2167" s="868">
        <v>3467723.821</v>
      </c>
      <c r="K2167" s="50"/>
      <c r="L2167" s="869" t="s">
        <v>123</v>
      </c>
      <c r="M2167" s="865" t="s">
        <v>591</v>
      </c>
      <c r="N2167" s="865" t="s">
        <v>601</v>
      </c>
      <c r="O2167" s="866">
        <v>2004.0</v>
      </c>
      <c r="P2167" s="865" t="s">
        <v>593</v>
      </c>
      <c r="Q2167" s="865" t="s">
        <v>70</v>
      </c>
      <c r="R2167" s="867">
        <v>2958526.223</v>
      </c>
      <c r="S2167" s="867">
        <v>3276021.53</v>
      </c>
      <c r="T2167" s="868">
        <v>2638941.298</v>
      </c>
      <c r="AN2167" s="882"/>
      <c r="AO2167" s="882"/>
      <c r="AP2167" s="882"/>
      <c r="AY2167" s="882"/>
      <c r="AZ2167" s="882"/>
      <c r="BA2167" s="882"/>
      <c r="BJ2167" s="882"/>
      <c r="BK2167" s="882"/>
      <c r="BL2167" s="882"/>
      <c r="BU2167" s="882"/>
      <c r="BV2167" s="882"/>
      <c r="BW2167" s="882"/>
      <c r="CF2167" s="882"/>
      <c r="CG2167" s="882"/>
      <c r="CH2167" s="882"/>
      <c r="CI2167" s="530"/>
    </row>
    <row r="2168">
      <c r="A2168" s="857"/>
      <c r="B2168" s="865" t="s">
        <v>123</v>
      </c>
      <c r="C2168" s="865" t="s">
        <v>591</v>
      </c>
      <c r="D2168" s="865" t="s">
        <v>606</v>
      </c>
      <c r="E2168" s="866">
        <v>2019.0</v>
      </c>
      <c r="F2168" s="865" t="s">
        <v>593</v>
      </c>
      <c r="G2168" s="865" t="s">
        <v>70</v>
      </c>
      <c r="H2168" s="867">
        <v>3147635.995</v>
      </c>
      <c r="I2168" s="867">
        <v>3535584.95</v>
      </c>
      <c r="J2168" s="868">
        <v>2758825.171</v>
      </c>
      <c r="K2168" s="50"/>
      <c r="L2168" s="869" t="s">
        <v>123</v>
      </c>
      <c r="M2168" s="865" t="s">
        <v>591</v>
      </c>
      <c r="N2168" s="865" t="s">
        <v>606</v>
      </c>
      <c r="O2168" s="866">
        <v>2004.0</v>
      </c>
      <c r="P2168" s="865" t="s">
        <v>593</v>
      </c>
      <c r="Q2168" s="865" t="s">
        <v>70</v>
      </c>
      <c r="R2168" s="867">
        <v>2384084.803</v>
      </c>
      <c r="S2168" s="867">
        <v>2639933.722</v>
      </c>
      <c r="T2168" s="868">
        <v>2126551.996</v>
      </c>
      <c r="AN2168" s="882"/>
      <c r="AO2168" s="882"/>
      <c r="AP2168" s="882"/>
      <c r="AY2168" s="882"/>
      <c r="AZ2168" s="882"/>
      <c r="BA2168" s="882"/>
      <c r="BJ2168" s="882"/>
      <c r="BK2168" s="882"/>
      <c r="BL2168" s="882"/>
      <c r="BU2168" s="882"/>
      <c r="BV2168" s="882"/>
      <c r="BW2168" s="882"/>
      <c r="CF2168" s="882"/>
      <c r="CG2168" s="882"/>
      <c r="CH2168" s="882"/>
      <c r="CI2168" s="530"/>
    </row>
    <row r="2169">
      <c r="A2169" s="857"/>
      <c r="B2169" s="865" t="s">
        <v>123</v>
      </c>
      <c r="C2169" s="865" t="s">
        <v>591</v>
      </c>
      <c r="D2169" s="865" t="s">
        <v>608</v>
      </c>
      <c r="E2169" s="866">
        <v>2019.0</v>
      </c>
      <c r="F2169" s="865" t="s">
        <v>593</v>
      </c>
      <c r="G2169" s="865" t="s">
        <v>70</v>
      </c>
      <c r="H2169" s="867">
        <v>887125.4327</v>
      </c>
      <c r="I2169" s="867">
        <v>996464.4367</v>
      </c>
      <c r="J2169" s="868">
        <v>777543.5209</v>
      </c>
      <c r="K2169" s="50"/>
      <c r="L2169" s="869" t="s">
        <v>123</v>
      </c>
      <c r="M2169" s="865" t="s">
        <v>591</v>
      </c>
      <c r="N2169" s="865" t="s">
        <v>608</v>
      </c>
      <c r="O2169" s="866">
        <v>2004.0</v>
      </c>
      <c r="P2169" s="865" t="s">
        <v>593</v>
      </c>
      <c r="Q2169" s="865" t="s">
        <v>70</v>
      </c>
      <c r="R2169" s="867">
        <v>723370.4795</v>
      </c>
      <c r="S2169" s="867">
        <v>800999.2429</v>
      </c>
      <c r="T2169" s="868">
        <v>645230.7966</v>
      </c>
      <c r="AN2169" s="882"/>
      <c r="AO2169" s="882"/>
      <c r="AP2169" s="882"/>
      <c r="AY2169" s="882"/>
      <c r="AZ2169" s="882"/>
      <c r="BA2169" s="882"/>
      <c r="BJ2169" s="882"/>
      <c r="BK2169" s="882"/>
      <c r="BL2169" s="882"/>
      <c r="BU2169" s="882"/>
      <c r="BV2169" s="882"/>
      <c r="BW2169" s="882"/>
      <c r="CF2169" s="882"/>
      <c r="CG2169" s="882"/>
      <c r="CH2169" s="882"/>
      <c r="CI2169" s="530"/>
    </row>
    <row r="2170">
      <c r="A2170" s="857"/>
      <c r="B2170" s="865" t="s">
        <v>123</v>
      </c>
      <c r="C2170" s="865" t="s">
        <v>591</v>
      </c>
      <c r="D2170" s="865" t="s">
        <v>610</v>
      </c>
      <c r="E2170" s="866">
        <v>2019.0</v>
      </c>
      <c r="F2170" s="865" t="s">
        <v>593</v>
      </c>
      <c r="G2170" s="865" t="s">
        <v>70</v>
      </c>
      <c r="H2170" s="867">
        <v>957955.9901</v>
      </c>
      <c r="I2170" s="867">
        <v>1076024.924</v>
      </c>
      <c r="J2170" s="868">
        <v>839624.7543</v>
      </c>
      <c r="K2170" s="50"/>
      <c r="L2170" s="869" t="s">
        <v>123</v>
      </c>
      <c r="M2170" s="865" t="s">
        <v>591</v>
      </c>
      <c r="N2170" s="865" t="s">
        <v>610</v>
      </c>
      <c r="O2170" s="866">
        <v>2004.0</v>
      </c>
      <c r="P2170" s="865" t="s">
        <v>593</v>
      </c>
      <c r="Q2170" s="865" t="s">
        <v>70</v>
      </c>
      <c r="R2170" s="867">
        <v>672786.6664</v>
      </c>
      <c r="S2170" s="867">
        <v>744987.0097</v>
      </c>
      <c r="T2170" s="868">
        <v>600111.1312</v>
      </c>
      <c r="AN2170" s="882"/>
      <c r="AO2170" s="882"/>
      <c r="AP2170" s="882"/>
      <c r="AY2170" s="882"/>
      <c r="AZ2170" s="882"/>
      <c r="BA2170" s="882"/>
      <c r="BJ2170" s="882"/>
      <c r="BK2170" s="882"/>
      <c r="BL2170" s="882"/>
      <c r="BU2170" s="882"/>
      <c r="BV2170" s="882"/>
      <c r="BW2170" s="882"/>
      <c r="CF2170" s="882"/>
      <c r="CG2170" s="882"/>
      <c r="CH2170" s="882"/>
      <c r="CI2170" s="530"/>
    </row>
    <row r="2171">
      <c r="A2171" s="857"/>
      <c r="B2171" s="865" t="s">
        <v>123</v>
      </c>
      <c r="C2171" s="865" t="s">
        <v>591</v>
      </c>
      <c r="D2171" s="865" t="s">
        <v>612</v>
      </c>
      <c r="E2171" s="866">
        <v>2019.0</v>
      </c>
      <c r="F2171" s="865" t="s">
        <v>593</v>
      </c>
      <c r="G2171" s="865" t="s">
        <v>70</v>
      </c>
      <c r="H2171" s="867">
        <v>1766762.191</v>
      </c>
      <c r="I2171" s="867">
        <v>1984517.214</v>
      </c>
      <c r="J2171" s="868">
        <v>1548523.404</v>
      </c>
      <c r="K2171" s="50"/>
      <c r="L2171" s="869" t="s">
        <v>123</v>
      </c>
      <c r="M2171" s="865" t="s">
        <v>591</v>
      </c>
      <c r="N2171" s="865" t="s">
        <v>612</v>
      </c>
      <c r="O2171" s="866">
        <v>2004.0</v>
      </c>
      <c r="P2171" s="865" t="s">
        <v>593</v>
      </c>
      <c r="Q2171" s="865" t="s">
        <v>70</v>
      </c>
      <c r="R2171" s="867">
        <v>1247228.086</v>
      </c>
      <c r="S2171" s="867">
        <v>1381074.817</v>
      </c>
      <c r="T2171" s="868">
        <v>1112500.433</v>
      </c>
      <c r="AN2171" s="882"/>
      <c r="AO2171" s="882"/>
      <c r="AP2171" s="882"/>
      <c r="AY2171" s="882"/>
      <c r="AZ2171" s="882"/>
      <c r="BA2171" s="882"/>
      <c r="BJ2171" s="882"/>
      <c r="BK2171" s="882"/>
      <c r="BL2171" s="882"/>
      <c r="BU2171" s="882"/>
      <c r="BV2171" s="882"/>
      <c r="BW2171" s="882"/>
      <c r="CF2171" s="882"/>
      <c r="CG2171" s="882"/>
      <c r="CH2171" s="882"/>
      <c r="CI2171" s="530"/>
    </row>
    <row r="2172">
      <c r="A2172" s="857"/>
      <c r="B2172" s="865" t="s">
        <v>123</v>
      </c>
      <c r="C2172" s="865" t="s">
        <v>591</v>
      </c>
      <c r="D2172" s="865" t="s">
        <v>614</v>
      </c>
      <c r="E2172" s="866">
        <v>2019.0</v>
      </c>
      <c r="F2172" s="865" t="s">
        <v>593</v>
      </c>
      <c r="G2172" s="865" t="s">
        <v>70</v>
      </c>
      <c r="H2172" s="867">
        <v>2469170.311</v>
      </c>
      <c r="I2172" s="867">
        <v>2773497.763</v>
      </c>
      <c r="J2172" s="868">
        <v>2164166.764</v>
      </c>
      <c r="K2172" s="50"/>
      <c r="L2172" s="869" t="s">
        <v>123</v>
      </c>
      <c r="M2172" s="865" t="s">
        <v>591</v>
      </c>
      <c r="N2172" s="865" t="s">
        <v>614</v>
      </c>
      <c r="O2172" s="866">
        <v>2004.0</v>
      </c>
      <c r="P2172" s="865" t="s">
        <v>593</v>
      </c>
      <c r="Q2172" s="865" t="s">
        <v>70</v>
      </c>
      <c r="R2172" s="867">
        <v>1742843.1</v>
      </c>
      <c r="S2172" s="867">
        <v>1929876.934</v>
      </c>
      <c r="T2172" s="868">
        <v>1554578.288</v>
      </c>
      <c r="AN2172" s="882"/>
      <c r="AO2172" s="882"/>
      <c r="AP2172" s="882"/>
      <c r="AY2172" s="882"/>
      <c r="AZ2172" s="882"/>
      <c r="BA2172" s="882"/>
      <c r="BJ2172" s="882"/>
      <c r="BK2172" s="882"/>
      <c r="BL2172" s="882"/>
      <c r="BU2172" s="882"/>
      <c r="BV2172" s="882"/>
      <c r="BW2172" s="882"/>
      <c r="CF2172" s="882"/>
      <c r="CG2172" s="882"/>
      <c r="CH2172" s="882"/>
      <c r="CI2172" s="530"/>
    </row>
    <row r="2173">
      <c r="A2173" s="857"/>
      <c r="B2173" s="865" t="s">
        <v>123</v>
      </c>
      <c r="C2173" s="865" t="s">
        <v>591</v>
      </c>
      <c r="D2173" s="865" t="s">
        <v>616</v>
      </c>
      <c r="E2173" s="866">
        <v>2019.0</v>
      </c>
      <c r="F2173" s="865" t="s">
        <v>593</v>
      </c>
      <c r="G2173" s="865" t="s">
        <v>70</v>
      </c>
      <c r="H2173" s="867">
        <v>808806.2013</v>
      </c>
      <c r="I2173" s="867">
        <v>908492.2899</v>
      </c>
      <c r="J2173" s="868">
        <v>708898.6499</v>
      </c>
      <c r="K2173" s="50"/>
      <c r="L2173" s="869" t="s">
        <v>123</v>
      </c>
      <c r="M2173" s="865" t="s">
        <v>591</v>
      </c>
      <c r="N2173" s="865" t="s">
        <v>616</v>
      </c>
      <c r="O2173" s="866">
        <v>2004.0</v>
      </c>
      <c r="P2173" s="865" t="s">
        <v>593</v>
      </c>
      <c r="Q2173" s="865" t="s">
        <v>70</v>
      </c>
      <c r="R2173" s="867">
        <v>574441.4197</v>
      </c>
      <c r="S2173" s="867">
        <v>636087.8074</v>
      </c>
      <c r="T2173" s="868">
        <v>512389.3017</v>
      </c>
      <c r="AN2173" s="882"/>
      <c r="AO2173" s="882"/>
      <c r="AP2173" s="882"/>
      <c r="AY2173" s="882"/>
      <c r="AZ2173" s="882"/>
      <c r="BA2173" s="882"/>
      <c r="BJ2173" s="882"/>
      <c r="BK2173" s="882"/>
      <c r="BL2173" s="882"/>
      <c r="BU2173" s="882"/>
      <c r="BV2173" s="882"/>
      <c r="BW2173" s="882"/>
      <c r="CF2173" s="882"/>
      <c r="CG2173" s="882"/>
      <c r="CH2173" s="882"/>
      <c r="CI2173" s="530"/>
    </row>
    <row r="2174">
      <c r="A2174" s="857"/>
      <c r="B2174" s="865" t="s">
        <v>123</v>
      </c>
      <c r="C2174" s="865" t="s">
        <v>591</v>
      </c>
      <c r="D2174" s="865" t="s">
        <v>618</v>
      </c>
      <c r="E2174" s="866">
        <v>2019.0</v>
      </c>
      <c r="F2174" s="865" t="s">
        <v>593</v>
      </c>
      <c r="G2174" s="865" t="s">
        <v>70</v>
      </c>
      <c r="H2174" s="867">
        <v>3187755.962</v>
      </c>
      <c r="I2174" s="867">
        <v>3580699.753</v>
      </c>
      <c r="J2174" s="868">
        <v>2793737.912</v>
      </c>
      <c r="K2174" s="50"/>
      <c r="L2174" s="869" t="s">
        <v>123</v>
      </c>
      <c r="M2174" s="865" t="s">
        <v>591</v>
      </c>
      <c r="N2174" s="865" t="s">
        <v>618</v>
      </c>
      <c r="O2174" s="866">
        <v>2004.0</v>
      </c>
      <c r="P2174" s="865" t="s">
        <v>593</v>
      </c>
      <c r="Q2174" s="865" t="s">
        <v>70</v>
      </c>
      <c r="R2174" s="867">
        <v>2169794.444</v>
      </c>
      <c r="S2174" s="867">
        <v>2402575.784</v>
      </c>
      <c r="T2174" s="868">
        <v>1935291.487</v>
      </c>
      <c r="AN2174" s="882"/>
      <c r="AO2174" s="882"/>
      <c r="AP2174" s="882"/>
      <c r="AY2174" s="882"/>
      <c r="AZ2174" s="882"/>
      <c r="BA2174" s="882"/>
      <c r="BJ2174" s="882"/>
      <c r="BK2174" s="882"/>
      <c r="BL2174" s="882"/>
      <c r="BU2174" s="882"/>
      <c r="BV2174" s="882"/>
      <c r="BW2174" s="882"/>
      <c r="CF2174" s="882"/>
      <c r="CG2174" s="882"/>
      <c r="CH2174" s="882"/>
      <c r="CI2174" s="530"/>
    </row>
    <row r="2175">
      <c r="A2175" s="857"/>
      <c r="B2175" s="865" t="s">
        <v>123</v>
      </c>
      <c r="C2175" s="865" t="s">
        <v>591</v>
      </c>
      <c r="D2175" s="865" t="s">
        <v>620</v>
      </c>
      <c r="E2175" s="866">
        <v>2019.0</v>
      </c>
      <c r="F2175" s="865" t="s">
        <v>593</v>
      </c>
      <c r="G2175" s="865" t="s">
        <v>70</v>
      </c>
      <c r="H2175" s="867">
        <v>3929843.409</v>
      </c>
      <c r="I2175" s="867">
        <v>4414200.128</v>
      </c>
      <c r="J2175" s="868">
        <v>3444410.641</v>
      </c>
      <c r="K2175" s="50"/>
      <c r="L2175" s="869" t="s">
        <v>123</v>
      </c>
      <c r="M2175" s="865" t="s">
        <v>591</v>
      </c>
      <c r="N2175" s="865" t="s">
        <v>620</v>
      </c>
      <c r="O2175" s="866">
        <v>2004.0</v>
      </c>
      <c r="P2175" s="865" t="s">
        <v>593</v>
      </c>
      <c r="Q2175" s="865" t="s">
        <v>70</v>
      </c>
      <c r="R2175" s="867">
        <v>2592243.597</v>
      </c>
      <c r="S2175" s="867">
        <v>2870431.151</v>
      </c>
      <c r="T2175" s="868">
        <v>2312225.13</v>
      </c>
      <c r="AN2175" s="882"/>
      <c r="AO2175" s="882"/>
      <c r="AP2175" s="882"/>
      <c r="AY2175" s="882"/>
      <c r="AZ2175" s="882"/>
      <c r="BA2175" s="882"/>
      <c r="BJ2175" s="882"/>
      <c r="BK2175" s="882"/>
      <c r="BL2175" s="882"/>
      <c r="BU2175" s="882"/>
      <c r="BV2175" s="882"/>
      <c r="BW2175" s="882"/>
      <c r="CF2175" s="882"/>
      <c r="CG2175" s="882"/>
      <c r="CH2175" s="882"/>
      <c r="CI2175" s="530"/>
    </row>
    <row r="2176">
      <c r="A2176" s="857"/>
      <c r="B2176" s="865" t="s">
        <v>123</v>
      </c>
      <c r="C2176" s="865" t="s">
        <v>591</v>
      </c>
      <c r="D2176" s="865" t="s">
        <v>622</v>
      </c>
      <c r="E2176" s="866">
        <v>2019.0</v>
      </c>
      <c r="F2176" s="865" t="s">
        <v>593</v>
      </c>
      <c r="G2176" s="865" t="s">
        <v>70</v>
      </c>
      <c r="H2176" s="867">
        <v>3965230.591</v>
      </c>
      <c r="I2176" s="867">
        <v>4454011.023</v>
      </c>
      <c r="J2176" s="868">
        <v>3475113.892</v>
      </c>
      <c r="K2176" s="50"/>
      <c r="L2176" s="869" t="s">
        <v>123</v>
      </c>
      <c r="M2176" s="865" t="s">
        <v>591</v>
      </c>
      <c r="N2176" s="865" t="s">
        <v>622</v>
      </c>
      <c r="O2176" s="866">
        <v>2004.0</v>
      </c>
      <c r="P2176" s="865" t="s">
        <v>593</v>
      </c>
      <c r="Q2176" s="865" t="s">
        <v>70</v>
      </c>
      <c r="R2176" s="867">
        <v>2472885.527</v>
      </c>
      <c r="S2176" s="867">
        <v>2738183.288</v>
      </c>
      <c r="T2176" s="868">
        <v>2205625.663</v>
      </c>
      <c r="AN2176" s="882"/>
      <c r="AO2176" s="882"/>
      <c r="AP2176" s="882"/>
      <c r="AY2176" s="882"/>
      <c r="AZ2176" s="882"/>
      <c r="BA2176" s="882"/>
      <c r="BJ2176" s="882"/>
      <c r="BK2176" s="882"/>
      <c r="BL2176" s="882"/>
      <c r="BU2176" s="882"/>
      <c r="BV2176" s="882"/>
      <c r="BW2176" s="882"/>
      <c r="CF2176" s="882"/>
      <c r="CG2176" s="882"/>
      <c r="CH2176" s="882"/>
      <c r="CI2176" s="530"/>
    </row>
    <row r="2177">
      <c r="A2177" s="857"/>
      <c r="B2177" s="865" t="s">
        <v>123</v>
      </c>
      <c r="C2177" s="865" t="s">
        <v>591</v>
      </c>
      <c r="D2177" s="865" t="s">
        <v>624</v>
      </c>
      <c r="E2177" s="866">
        <v>2019.0</v>
      </c>
      <c r="F2177" s="865" t="s">
        <v>593</v>
      </c>
      <c r="G2177" s="865" t="s">
        <v>70</v>
      </c>
      <c r="H2177" s="867">
        <v>702408.1195</v>
      </c>
      <c r="I2177" s="867">
        <v>788980.5493</v>
      </c>
      <c r="J2177" s="868">
        <v>615643.3603</v>
      </c>
      <c r="K2177" s="50"/>
      <c r="L2177" s="869" t="s">
        <v>123</v>
      </c>
      <c r="M2177" s="865" t="s">
        <v>591</v>
      </c>
      <c r="N2177" s="865" t="s">
        <v>624</v>
      </c>
      <c r="O2177" s="866">
        <v>2004.0</v>
      </c>
      <c r="P2177" s="865" t="s">
        <v>593</v>
      </c>
      <c r="Q2177" s="865" t="s">
        <v>70</v>
      </c>
      <c r="R2177" s="867">
        <v>495615.0136</v>
      </c>
      <c r="S2177" s="867">
        <v>548802.1171</v>
      </c>
      <c r="T2177" s="868">
        <v>442077.8551</v>
      </c>
      <c r="AN2177" s="882"/>
      <c r="AO2177" s="882"/>
      <c r="AP2177" s="882"/>
      <c r="AY2177" s="882"/>
      <c r="AZ2177" s="882"/>
      <c r="BA2177" s="882"/>
      <c r="BJ2177" s="882"/>
      <c r="BK2177" s="882"/>
      <c r="BL2177" s="882"/>
      <c r="BU2177" s="882"/>
      <c r="BV2177" s="882"/>
      <c r="BW2177" s="882"/>
      <c r="CF2177" s="882"/>
      <c r="CG2177" s="882"/>
      <c r="CH2177" s="882"/>
      <c r="CI2177" s="530"/>
    </row>
    <row r="2178">
      <c r="A2178" s="857"/>
      <c r="B2178" s="865" t="s">
        <v>123</v>
      </c>
      <c r="C2178" s="865" t="s">
        <v>591</v>
      </c>
      <c r="D2178" s="865" t="s">
        <v>625</v>
      </c>
      <c r="E2178" s="866">
        <v>2019.0</v>
      </c>
      <c r="F2178" s="865" t="s">
        <v>593</v>
      </c>
      <c r="G2178" s="865" t="s">
        <v>70</v>
      </c>
      <c r="H2178" s="867">
        <v>3262676.27</v>
      </c>
      <c r="I2178" s="867">
        <v>3664804.042</v>
      </c>
      <c r="J2178" s="868">
        <v>2859655.13</v>
      </c>
      <c r="K2178" s="50"/>
      <c r="L2178" s="869" t="s">
        <v>123</v>
      </c>
      <c r="M2178" s="865" t="s">
        <v>591</v>
      </c>
      <c r="N2178" s="865" t="s">
        <v>625</v>
      </c>
      <c r="O2178" s="866">
        <v>2004.0</v>
      </c>
      <c r="P2178" s="865" t="s">
        <v>593</v>
      </c>
      <c r="Q2178" s="865" t="s">
        <v>70</v>
      </c>
      <c r="R2178" s="867">
        <v>1977197.494</v>
      </c>
      <c r="S2178" s="867">
        <v>2189381.155</v>
      </c>
      <c r="T2178" s="868">
        <v>1763617.331</v>
      </c>
      <c r="AN2178" s="882"/>
      <c r="AO2178" s="882"/>
      <c r="AP2178" s="882"/>
      <c r="AY2178" s="882"/>
      <c r="AZ2178" s="882"/>
      <c r="BA2178" s="882"/>
      <c r="BJ2178" s="882"/>
      <c r="BK2178" s="882"/>
      <c r="BL2178" s="882"/>
      <c r="BU2178" s="882"/>
      <c r="BV2178" s="882"/>
      <c r="BW2178" s="882"/>
      <c r="CF2178" s="882"/>
      <c r="CG2178" s="882"/>
      <c r="CH2178" s="882"/>
      <c r="CI2178" s="530"/>
    </row>
    <row r="2179">
      <c r="A2179" s="857"/>
      <c r="B2179" s="865" t="s">
        <v>123</v>
      </c>
      <c r="C2179" s="865" t="s">
        <v>591</v>
      </c>
      <c r="D2179" s="865" t="s">
        <v>627</v>
      </c>
      <c r="E2179" s="866">
        <v>2019.0</v>
      </c>
      <c r="F2179" s="865" t="s">
        <v>593</v>
      </c>
      <c r="G2179" s="865" t="s">
        <v>70</v>
      </c>
      <c r="H2179" s="867">
        <v>630229.4452</v>
      </c>
      <c r="I2179" s="867">
        <v>707905.7887</v>
      </c>
      <c r="J2179" s="868">
        <v>552380.5358</v>
      </c>
      <c r="K2179" s="50"/>
      <c r="L2179" s="869" t="s">
        <v>123</v>
      </c>
      <c r="M2179" s="865" t="s">
        <v>591</v>
      </c>
      <c r="N2179" s="865" t="s">
        <v>627</v>
      </c>
      <c r="O2179" s="866">
        <v>2004.0</v>
      </c>
      <c r="P2179" s="865" t="s">
        <v>593</v>
      </c>
      <c r="Q2179" s="865" t="s">
        <v>70</v>
      </c>
      <c r="R2179" s="867">
        <v>429282.8647</v>
      </c>
      <c r="S2179" s="867">
        <v>475351.5098</v>
      </c>
      <c r="T2179" s="868">
        <v>382911.0153</v>
      </c>
      <c r="AN2179" s="882"/>
      <c r="AO2179" s="882"/>
      <c r="AP2179" s="882"/>
      <c r="AY2179" s="882"/>
      <c r="AZ2179" s="882"/>
      <c r="BA2179" s="882"/>
      <c r="BJ2179" s="882"/>
      <c r="BK2179" s="882"/>
      <c r="BL2179" s="882"/>
      <c r="BU2179" s="882"/>
      <c r="BV2179" s="882"/>
      <c r="BW2179" s="882"/>
      <c r="CF2179" s="882"/>
      <c r="CG2179" s="882"/>
      <c r="CH2179" s="882"/>
      <c r="CI2179" s="530"/>
    </row>
    <row r="2180">
      <c r="A2180" s="857"/>
      <c r="B2180" s="865" t="s">
        <v>123</v>
      </c>
      <c r="C2180" s="865" t="s">
        <v>591</v>
      </c>
      <c r="D2180" s="865" t="s">
        <v>629</v>
      </c>
      <c r="E2180" s="866">
        <v>2019.0</v>
      </c>
      <c r="F2180" s="865" t="s">
        <v>593</v>
      </c>
      <c r="G2180" s="865" t="s">
        <v>70</v>
      </c>
      <c r="H2180" s="867">
        <v>2418718.268</v>
      </c>
      <c r="I2180" s="867">
        <v>2716865.408</v>
      </c>
      <c r="J2180" s="868">
        <v>2119756.03</v>
      </c>
      <c r="K2180" s="50"/>
      <c r="L2180" s="869" t="s">
        <v>123</v>
      </c>
      <c r="M2180" s="865" t="s">
        <v>591</v>
      </c>
      <c r="N2180" s="865" t="s">
        <v>629</v>
      </c>
      <c r="O2180" s="866">
        <v>2004.0</v>
      </c>
      <c r="P2180" s="865" t="s">
        <v>593</v>
      </c>
      <c r="Q2180" s="865" t="s">
        <v>70</v>
      </c>
      <c r="R2180" s="867">
        <v>1522232.112</v>
      </c>
      <c r="S2180" s="867">
        <v>1685541.236</v>
      </c>
      <c r="T2180" s="868">
        <v>1357715.177</v>
      </c>
      <c r="AN2180" s="882"/>
      <c r="AO2180" s="882"/>
      <c r="AP2180" s="882"/>
      <c r="AY2180" s="882"/>
      <c r="AZ2180" s="882"/>
      <c r="BA2180" s="882"/>
      <c r="BJ2180" s="882"/>
      <c r="BK2180" s="882"/>
      <c r="BL2180" s="882"/>
      <c r="BU2180" s="882"/>
      <c r="BV2180" s="882"/>
      <c r="BW2180" s="882"/>
      <c r="CF2180" s="882"/>
      <c r="CG2180" s="882"/>
      <c r="CH2180" s="882"/>
      <c r="CI2180" s="530"/>
    </row>
    <row r="2181">
      <c r="A2181" s="857"/>
      <c r="B2181" s="865" t="s">
        <v>123</v>
      </c>
      <c r="C2181" s="865" t="s">
        <v>591</v>
      </c>
      <c r="D2181" s="865" t="s">
        <v>631</v>
      </c>
      <c r="E2181" s="866">
        <v>2019.0</v>
      </c>
      <c r="F2181" s="865" t="s">
        <v>593</v>
      </c>
      <c r="G2181" s="865" t="s">
        <v>70</v>
      </c>
      <c r="H2181" s="867">
        <v>562026.2826</v>
      </c>
      <c r="I2181" s="867">
        <v>631296.5253</v>
      </c>
      <c r="J2181" s="868">
        <v>492602.1491</v>
      </c>
      <c r="K2181" s="50"/>
      <c r="L2181" s="869" t="s">
        <v>123</v>
      </c>
      <c r="M2181" s="865" t="s">
        <v>591</v>
      </c>
      <c r="N2181" s="865" t="s">
        <v>631</v>
      </c>
      <c r="O2181" s="866">
        <v>2004.0</v>
      </c>
      <c r="P2181" s="865" t="s">
        <v>593</v>
      </c>
      <c r="Q2181" s="865" t="s">
        <v>70</v>
      </c>
      <c r="R2181" s="867">
        <v>366892.3438</v>
      </c>
      <c r="S2181" s="867">
        <v>406265.5277</v>
      </c>
      <c r="T2181" s="868">
        <v>327260.0223</v>
      </c>
      <c r="AN2181" s="882"/>
      <c r="AO2181" s="882"/>
      <c r="AP2181" s="882"/>
      <c r="AY2181" s="882"/>
      <c r="AZ2181" s="882"/>
      <c r="BA2181" s="882"/>
      <c r="BJ2181" s="882"/>
      <c r="BK2181" s="882"/>
      <c r="BL2181" s="882"/>
      <c r="BU2181" s="882"/>
      <c r="BV2181" s="882"/>
      <c r="BW2181" s="882"/>
      <c r="CF2181" s="882"/>
      <c r="CG2181" s="882"/>
      <c r="CH2181" s="882"/>
      <c r="CI2181" s="530"/>
    </row>
    <row r="2182">
      <c r="A2182" s="857"/>
      <c r="B2182" s="865" t="s">
        <v>123</v>
      </c>
      <c r="C2182" s="865" t="s">
        <v>591</v>
      </c>
      <c r="D2182" s="865" t="s">
        <v>633</v>
      </c>
      <c r="E2182" s="866">
        <v>2019.0</v>
      </c>
      <c r="F2182" s="865" t="s">
        <v>593</v>
      </c>
      <c r="G2182" s="865" t="s">
        <v>70</v>
      </c>
      <c r="H2182" s="867">
        <v>484168.3785</v>
      </c>
      <c r="I2182" s="867">
        <v>543842.5648</v>
      </c>
      <c r="J2182" s="868">
        <v>424361.62</v>
      </c>
      <c r="K2182" s="50"/>
      <c r="L2182" s="869" t="s">
        <v>123</v>
      </c>
      <c r="M2182" s="865" t="s">
        <v>591</v>
      </c>
      <c r="N2182" s="865" t="s">
        <v>633</v>
      </c>
      <c r="O2182" s="866">
        <v>2004.0</v>
      </c>
      <c r="P2182" s="865" t="s">
        <v>593</v>
      </c>
      <c r="Q2182" s="865" t="s">
        <v>70</v>
      </c>
      <c r="R2182" s="867">
        <v>303498.7325</v>
      </c>
      <c r="S2182" s="867">
        <v>336068.8082</v>
      </c>
      <c r="T2182" s="868">
        <v>270714.2944</v>
      </c>
      <c r="AN2182" s="882"/>
      <c r="AO2182" s="882"/>
      <c r="AP2182" s="882"/>
      <c r="AY2182" s="882"/>
      <c r="AZ2182" s="882"/>
      <c r="BA2182" s="882"/>
      <c r="BJ2182" s="882"/>
      <c r="BK2182" s="882"/>
      <c r="BL2182" s="882"/>
      <c r="BU2182" s="882"/>
      <c r="BV2182" s="882"/>
      <c r="BW2182" s="882"/>
      <c r="CF2182" s="882"/>
      <c r="CG2182" s="882"/>
      <c r="CH2182" s="882"/>
      <c r="CI2182" s="530"/>
    </row>
    <row r="2183">
      <c r="A2183" s="857"/>
      <c r="B2183" s="865" t="s">
        <v>123</v>
      </c>
      <c r="C2183" s="865" t="s">
        <v>591</v>
      </c>
      <c r="D2183" s="865" t="s">
        <v>635</v>
      </c>
      <c r="E2183" s="866">
        <v>2019.0</v>
      </c>
      <c r="F2183" s="865" t="s">
        <v>593</v>
      </c>
      <c r="G2183" s="865" t="s">
        <v>70</v>
      </c>
      <c r="H2183" s="867">
        <v>409235.7371</v>
      </c>
      <c r="I2183" s="867">
        <v>459674.4082</v>
      </c>
      <c r="J2183" s="868">
        <v>358685.0114</v>
      </c>
      <c r="K2183" s="50"/>
      <c r="L2183" s="869" t="s">
        <v>123</v>
      </c>
      <c r="M2183" s="865" t="s">
        <v>591</v>
      </c>
      <c r="N2183" s="865" t="s">
        <v>635</v>
      </c>
      <c r="O2183" s="866">
        <v>2004.0</v>
      </c>
      <c r="P2183" s="865" t="s">
        <v>593</v>
      </c>
      <c r="Q2183" s="865" t="s">
        <v>70</v>
      </c>
      <c r="R2183" s="867">
        <v>243548.7397</v>
      </c>
      <c r="S2183" s="867">
        <v>269685.2604</v>
      </c>
      <c r="T2183" s="868">
        <v>217240.1996</v>
      </c>
      <c r="AN2183" s="882"/>
      <c r="AO2183" s="882"/>
      <c r="AP2183" s="882"/>
      <c r="AY2183" s="882"/>
      <c r="AZ2183" s="882"/>
      <c r="BA2183" s="882"/>
      <c r="BJ2183" s="882"/>
      <c r="BK2183" s="882"/>
      <c r="BL2183" s="882"/>
      <c r="BU2183" s="882"/>
      <c r="BV2183" s="882"/>
      <c r="BW2183" s="882"/>
      <c r="CF2183" s="882"/>
      <c r="CG2183" s="882"/>
      <c r="CH2183" s="882"/>
      <c r="CI2183" s="530"/>
    </row>
    <row r="2184">
      <c r="A2184" s="857"/>
      <c r="B2184" s="865" t="s">
        <v>123</v>
      </c>
      <c r="C2184" s="865" t="s">
        <v>591</v>
      </c>
      <c r="D2184" s="865" t="s">
        <v>637</v>
      </c>
      <c r="E2184" s="866">
        <v>2019.0</v>
      </c>
      <c r="F2184" s="865" t="s">
        <v>593</v>
      </c>
      <c r="G2184" s="865" t="s">
        <v>70</v>
      </c>
      <c r="H2184" s="867">
        <v>332969.2443</v>
      </c>
      <c r="I2184" s="867">
        <v>374008.0018</v>
      </c>
      <c r="J2184" s="868">
        <v>291839.315</v>
      </c>
      <c r="K2184" s="50"/>
      <c r="L2184" s="869" t="s">
        <v>123</v>
      </c>
      <c r="M2184" s="865" t="s">
        <v>591</v>
      </c>
      <c r="N2184" s="865" t="s">
        <v>637</v>
      </c>
      <c r="O2184" s="866">
        <v>2004.0</v>
      </c>
      <c r="P2184" s="865" t="s">
        <v>593</v>
      </c>
      <c r="Q2184" s="865" t="s">
        <v>70</v>
      </c>
      <c r="R2184" s="867">
        <v>178964.4827</v>
      </c>
      <c r="S2184" s="867">
        <v>198170.1205</v>
      </c>
      <c r="T2184" s="868">
        <v>159632.4414</v>
      </c>
      <c r="AN2184" s="882"/>
      <c r="AO2184" s="882"/>
      <c r="AP2184" s="882"/>
      <c r="AY2184" s="882"/>
      <c r="AZ2184" s="882"/>
      <c r="BA2184" s="882"/>
      <c r="BJ2184" s="882"/>
      <c r="BK2184" s="882"/>
      <c r="BL2184" s="882"/>
      <c r="BU2184" s="882"/>
      <c r="BV2184" s="882"/>
      <c r="BW2184" s="882"/>
      <c r="CF2184" s="882"/>
      <c r="CG2184" s="882"/>
      <c r="CH2184" s="882"/>
      <c r="CI2184" s="530"/>
    </row>
    <row r="2185">
      <c r="A2185" s="857"/>
      <c r="B2185" s="865" t="s">
        <v>123</v>
      </c>
      <c r="C2185" s="865" t="s">
        <v>591</v>
      </c>
      <c r="D2185" s="865" t="s">
        <v>639</v>
      </c>
      <c r="E2185" s="866">
        <v>2019.0</v>
      </c>
      <c r="F2185" s="865" t="s">
        <v>593</v>
      </c>
      <c r="G2185" s="865" t="s">
        <v>70</v>
      </c>
      <c r="H2185" s="867">
        <v>2841691.764</v>
      </c>
      <c r="I2185" s="867">
        <v>3191977.403</v>
      </c>
      <c r="J2185" s="868">
        <v>2490448.487</v>
      </c>
      <c r="K2185" s="50"/>
      <c r="L2185" s="869" t="s">
        <v>123</v>
      </c>
      <c r="M2185" s="865" t="s">
        <v>591</v>
      </c>
      <c r="N2185" s="865" t="s">
        <v>639</v>
      </c>
      <c r="O2185" s="866">
        <v>2004.0</v>
      </c>
      <c r="P2185" s="865" t="s">
        <v>593</v>
      </c>
      <c r="Q2185" s="865" t="s">
        <v>70</v>
      </c>
      <c r="R2185" s="867">
        <v>2029022.1</v>
      </c>
      <c r="S2185" s="867">
        <v>2246701.008</v>
      </c>
      <c r="T2185" s="868">
        <v>1809733.272</v>
      </c>
      <c r="AN2185" s="882"/>
      <c r="AO2185" s="882"/>
      <c r="AP2185" s="882"/>
      <c r="AY2185" s="882"/>
      <c r="AZ2185" s="882"/>
      <c r="BA2185" s="882"/>
      <c r="BJ2185" s="882"/>
      <c r="BK2185" s="882"/>
      <c r="BL2185" s="882"/>
      <c r="BU2185" s="882"/>
      <c r="BV2185" s="882"/>
      <c r="BW2185" s="882"/>
      <c r="CF2185" s="882"/>
      <c r="CG2185" s="882"/>
      <c r="CH2185" s="882"/>
      <c r="CI2185" s="530"/>
    </row>
    <row r="2186">
      <c r="A2186" s="857"/>
      <c r="B2186" s="865" t="s">
        <v>123</v>
      </c>
      <c r="C2186" s="865" t="s">
        <v>591</v>
      </c>
      <c r="D2186" s="865" t="s">
        <v>641</v>
      </c>
      <c r="E2186" s="866">
        <v>2019.0</v>
      </c>
      <c r="F2186" s="865" t="s">
        <v>593</v>
      </c>
      <c r="G2186" s="865" t="s">
        <v>70</v>
      </c>
      <c r="H2186" s="867">
        <v>1074824.797</v>
      </c>
      <c r="I2186" s="867">
        <v>1207297.916</v>
      </c>
      <c r="J2186" s="868">
        <v>942057.376</v>
      </c>
      <c r="K2186" s="50"/>
      <c r="L2186" s="869" t="s">
        <v>123</v>
      </c>
      <c r="M2186" s="865" t="s">
        <v>591</v>
      </c>
      <c r="N2186" s="865" t="s">
        <v>641</v>
      </c>
      <c r="O2186" s="866">
        <v>2004.0</v>
      </c>
      <c r="P2186" s="865" t="s">
        <v>593</v>
      </c>
      <c r="Q2186" s="865" t="s">
        <v>70</v>
      </c>
      <c r="R2186" s="867">
        <v>781734.1014</v>
      </c>
      <c r="S2186" s="867">
        <v>865626.1779</v>
      </c>
      <c r="T2186" s="868">
        <v>697289.883</v>
      </c>
      <c r="AN2186" s="882"/>
      <c r="AO2186" s="882"/>
      <c r="AP2186" s="882"/>
      <c r="AY2186" s="882"/>
      <c r="AZ2186" s="882"/>
      <c r="BA2186" s="882"/>
      <c r="BJ2186" s="882"/>
      <c r="BK2186" s="882"/>
      <c r="BL2186" s="882"/>
      <c r="BU2186" s="882"/>
      <c r="BV2186" s="882"/>
      <c r="BW2186" s="882"/>
      <c r="CF2186" s="882"/>
      <c r="CG2186" s="882"/>
      <c r="CH2186" s="882"/>
      <c r="CI2186" s="530"/>
    </row>
    <row r="2187">
      <c r="A2187" s="857"/>
      <c r="B2187" s="865" t="s">
        <v>123</v>
      </c>
      <c r="C2187" s="865" t="s">
        <v>591</v>
      </c>
      <c r="D2187" s="865" t="s">
        <v>643</v>
      </c>
      <c r="E2187" s="866">
        <v>2019.0</v>
      </c>
      <c r="F2187" s="865" t="s">
        <v>593</v>
      </c>
      <c r="G2187" s="865" t="s">
        <v>70</v>
      </c>
      <c r="H2187" s="867">
        <v>260017.0181</v>
      </c>
      <c r="I2187" s="867">
        <v>292064.3485</v>
      </c>
      <c r="J2187" s="868">
        <v>227898.4914</v>
      </c>
      <c r="K2187" s="50"/>
      <c r="L2187" s="869" t="s">
        <v>123</v>
      </c>
      <c r="M2187" s="865" t="s">
        <v>591</v>
      </c>
      <c r="N2187" s="865" t="s">
        <v>643</v>
      </c>
      <c r="O2187" s="866">
        <v>2004.0</v>
      </c>
      <c r="P2187" s="865" t="s">
        <v>593</v>
      </c>
      <c r="Q2187" s="865" t="s">
        <v>70</v>
      </c>
      <c r="R2187" s="867">
        <v>140324.4646</v>
      </c>
      <c r="S2187" s="867">
        <v>155383.435</v>
      </c>
      <c r="T2187" s="868">
        <v>125166.3824</v>
      </c>
      <c r="AN2187" s="882"/>
      <c r="AO2187" s="882"/>
      <c r="AP2187" s="882"/>
      <c r="AY2187" s="882"/>
      <c r="AZ2187" s="882"/>
      <c r="BA2187" s="882"/>
      <c r="BJ2187" s="882"/>
      <c r="BK2187" s="882"/>
      <c r="BL2187" s="882"/>
      <c r="BU2187" s="882"/>
      <c r="BV2187" s="882"/>
      <c r="BW2187" s="882"/>
      <c r="CF2187" s="882"/>
      <c r="CG2187" s="882"/>
      <c r="CH2187" s="882"/>
      <c r="CI2187" s="530"/>
    </row>
    <row r="2188">
      <c r="A2188" s="857"/>
      <c r="B2188" s="865" t="s">
        <v>123</v>
      </c>
      <c r="C2188" s="865" t="s">
        <v>591</v>
      </c>
      <c r="D2188" s="865" t="s">
        <v>645</v>
      </c>
      <c r="E2188" s="866">
        <v>2019.0</v>
      </c>
      <c r="F2188" s="865" t="s">
        <v>593</v>
      </c>
      <c r="G2188" s="865" t="s">
        <v>70</v>
      </c>
      <c r="H2188" s="867">
        <v>703481.9346</v>
      </c>
      <c r="I2188" s="867">
        <v>790186.7131</v>
      </c>
      <c r="J2188" s="868">
        <v>616584.5327</v>
      </c>
      <c r="K2188" s="50"/>
      <c r="L2188" s="869" t="s">
        <v>123</v>
      </c>
      <c r="M2188" s="865" t="s">
        <v>591</v>
      </c>
      <c r="N2188" s="865" t="s">
        <v>645</v>
      </c>
      <c r="O2188" s="866">
        <v>2004.0</v>
      </c>
      <c r="P2188" s="865" t="s">
        <v>593</v>
      </c>
      <c r="Q2188" s="865" t="s">
        <v>70</v>
      </c>
      <c r="R2188" s="867">
        <v>378164.2079</v>
      </c>
      <c r="S2188" s="867">
        <v>418747.036</v>
      </c>
      <c r="T2188" s="868">
        <v>337314.2809</v>
      </c>
      <c r="AN2188" s="882"/>
      <c r="AO2188" s="882"/>
      <c r="AP2188" s="882"/>
      <c r="AY2188" s="882"/>
      <c r="AZ2188" s="882"/>
      <c r="BA2188" s="882"/>
      <c r="BJ2188" s="882"/>
      <c r="BK2188" s="882"/>
      <c r="BL2188" s="882"/>
      <c r="BU2188" s="882"/>
      <c r="BV2188" s="882"/>
      <c r="BW2188" s="882"/>
      <c r="CF2188" s="882"/>
      <c r="CG2188" s="882"/>
      <c r="CH2188" s="882"/>
      <c r="CI2188" s="530"/>
    </row>
    <row r="2189">
      <c r="A2189" s="857"/>
      <c r="B2189" s="865" t="s">
        <v>123</v>
      </c>
      <c r="C2189" s="865" t="s">
        <v>591</v>
      </c>
      <c r="D2189" s="865" t="s">
        <v>604</v>
      </c>
      <c r="E2189" s="866">
        <v>2019.0</v>
      </c>
      <c r="F2189" s="865" t="s">
        <v>593</v>
      </c>
      <c r="G2189" s="865" t="s">
        <v>70</v>
      </c>
      <c r="H2189" s="867">
        <v>2032780.787</v>
      </c>
      <c r="I2189" s="867">
        <v>2283322.84</v>
      </c>
      <c r="J2189" s="868">
        <v>1781682.13</v>
      </c>
      <c r="K2189" s="50"/>
      <c r="L2189" s="869" t="s">
        <v>123</v>
      </c>
      <c r="M2189" s="865" t="s">
        <v>591</v>
      </c>
      <c r="N2189" s="865" t="s">
        <v>604</v>
      </c>
      <c r="O2189" s="866">
        <v>2004.0</v>
      </c>
      <c r="P2189" s="865" t="s">
        <v>593</v>
      </c>
      <c r="Q2189" s="865" t="s">
        <v>70</v>
      </c>
      <c r="R2189" s="867">
        <v>1454520.768</v>
      </c>
      <c r="S2189" s="867">
        <v>1610613.188</v>
      </c>
      <c r="T2189" s="868">
        <v>1297401.014</v>
      </c>
      <c r="AN2189" s="882"/>
      <c r="AO2189" s="882"/>
      <c r="AP2189" s="882"/>
      <c r="AY2189" s="882"/>
      <c r="AZ2189" s="882"/>
      <c r="BA2189" s="882"/>
      <c r="BJ2189" s="882"/>
      <c r="BK2189" s="882"/>
      <c r="BL2189" s="882"/>
      <c r="BU2189" s="882"/>
      <c r="BV2189" s="882"/>
      <c r="BW2189" s="882"/>
      <c r="CF2189" s="882"/>
      <c r="CG2189" s="882"/>
      <c r="CH2189" s="882"/>
      <c r="CI2189" s="530"/>
    </row>
    <row r="2190">
      <c r="A2190" s="857"/>
      <c r="B2190" s="865" t="s">
        <v>123</v>
      </c>
      <c r="C2190" s="865" t="s">
        <v>591</v>
      </c>
      <c r="D2190" s="865" t="s">
        <v>647</v>
      </c>
      <c r="E2190" s="866">
        <v>2019.0</v>
      </c>
      <c r="F2190" s="865" t="s">
        <v>593</v>
      </c>
      <c r="G2190" s="865" t="s">
        <v>70</v>
      </c>
      <c r="H2190" s="867">
        <v>584051.6984</v>
      </c>
      <c r="I2190" s="867">
        <v>656045.7565</v>
      </c>
      <c r="J2190" s="868">
        <v>511860.8172</v>
      </c>
      <c r="K2190" s="50"/>
      <c r="L2190" s="869" t="s">
        <v>123</v>
      </c>
      <c r="M2190" s="865" t="s">
        <v>591</v>
      </c>
      <c r="N2190" s="865" t="s">
        <v>647</v>
      </c>
      <c r="O2190" s="866">
        <v>2004.0</v>
      </c>
      <c r="P2190" s="865" t="s">
        <v>593</v>
      </c>
      <c r="Q2190" s="865" t="s">
        <v>70</v>
      </c>
      <c r="R2190" s="867">
        <v>314695.1584</v>
      </c>
      <c r="S2190" s="867">
        <v>348456.4951</v>
      </c>
      <c r="T2190" s="868">
        <v>280684.1278</v>
      </c>
      <c r="AN2190" s="882"/>
      <c r="AO2190" s="882"/>
      <c r="AP2190" s="882"/>
      <c r="AY2190" s="882"/>
      <c r="AZ2190" s="882"/>
      <c r="BA2190" s="882"/>
      <c r="BJ2190" s="882"/>
      <c r="BK2190" s="882"/>
      <c r="BL2190" s="882"/>
      <c r="BU2190" s="882"/>
      <c r="BV2190" s="882"/>
      <c r="BW2190" s="882"/>
      <c r="CF2190" s="882"/>
      <c r="CG2190" s="882"/>
      <c r="CH2190" s="882"/>
      <c r="CI2190" s="530"/>
    </row>
    <row r="2191">
      <c r="A2191" s="857"/>
      <c r="B2191" s="865" t="s">
        <v>123</v>
      </c>
      <c r="C2191" s="865" t="s">
        <v>591</v>
      </c>
      <c r="D2191" s="865" t="s">
        <v>649</v>
      </c>
      <c r="E2191" s="866">
        <v>2019.0</v>
      </c>
      <c r="F2191" s="865" t="s">
        <v>593</v>
      </c>
      <c r="G2191" s="865" t="s">
        <v>70</v>
      </c>
      <c r="H2191" s="867">
        <v>197914.5254</v>
      </c>
      <c r="I2191" s="867">
        <v>222307.6679</v>
      </c>
      <c r="J2191" s="868">
        <v>173467.191</v>
      </c>
      <c r="K2191" s="50"/>
      <c r="L2191" s="869" t="s">
        <v>123</v>
      </c>
      <c r="M2191" s="865" t="s">
        <v>591</v>
      </c>
      <c r="N2191" s="865" t="s">
        <v>649</v>
      </c>
      <c r="O2191" s="866">
        <v>2004.0</v>
      </c>
      <c r="P2191" s="865" t="s">
        <v>593</v>
      </c>
      <c r="Q2191" s="865" t="s">
        <v>70</v>
      </c>
      <c r="R2191" s="867">
        <v>100992.03</v>
      </c>
      <c r="S2191" s="867">
        <v>111830.0261</v>
      </c>
      <c r="T2191" s="868">
        <v>90082.7029</v>
      </c>
      <c r="AN2191" s="882"/>
      <c r="AO2191" s="882"/>
      <c r="AP2191" s="882"/>
      <c r="AY2191" s="882"/>
      <c r="AZ2191" s="882"/>
      <c r="BA2191" s="882"/>
      <c r="BJ2191" s="882"/>
      <c r="BK2191" s="882"/>
      <c r="BL2191" s="882"/>
      <c r="BU2191" s="882"/>
      <c r="BV2191" s="882"/>
      <c r="BW2191" s="882"/>
      <c r="CF2191" s="882"/>
      <c r="CG2191" s="882"/>
      <c r="CH2191" s="882"/>
      <c r="CI2191" s="530"/>
    </row>
    <row r="2192">
      <c r="A2192" s="857"/>
      <c r="B2192" s="865" t="s">
        <v>123</v>
      </c>
      <c r="C2192" s="865" t="s">
        <v>591</v>
      </c>
      <c r="D2192" s="865" t="s">
        <v>651</v>
      </c>
      <c r="E2192" s="866">
        <v>2019.0</v>
      </c>
      <c r="F2192" s="865" t="s">
        <v>593</v>
      </c>
      <c r="G2192" s="865" t="s">
        <v>70</v>
      </c>
      <c r="H2192" s="867">
        <v>140021.2512</v>
      </c>
      <c r="I2192" s="867">
        <v>157278.9958</v>
      </c>
      <c r="J2192" s="868">
        <v>122725.1667</v>
      </c>
      <c r="K2192" s="50"/>
      <c r="L2192" s="869" t="s">
        <v>123</v>
      </c>
      <c r="M2192" s="865" t="s">
        <v>591</v>
      </c>
      <c r="N2192" s="865" t="s">
        <v>651</v>
      </c>
      <c r="O2192" s="866">
        <v>2004.0</v>
      </c>
      <c r="P2192" s="865" t="s">
        <v>593</v>
      </c>
      <c r="Q2192" s="865" t="s">
        <v>70</v>
      </c>
      <c r="R2192" s="867">
        <v>80442.39064</v>
      </c>
      <c r="S2192" s="867">
        <v>89075.09475</v>
      </c>
      <c r="T2192" s="868">
        <v>71752.86975</v>
      </c>
      <c r="AN2192" s="882"/>
      <c r="AO2192" s="882"/>
      <c r="AP2192" s="882"/>
      <c r="AY2192" s="882"/>
      <c r="AZ2192" s="882"/>
      <c r="BA2192" s="882"/>
      <c r="BJ2192" s="882"/>
      <c r="BK2192" s="882"/>
      <c r="BL2192" s="882"/>
      <c r="BU2192" s="882"/>
      <c r="BV2192" s="882"/>
      <c r="BW2192" s="882"/>
      <c r="CF2192" s="882"/>
      <c r="CG2192" s="882"/>
      <c r="CH2192" s="882"/>
      <c r="CI2192" s="530"/>
    </row>
    <row r="2193">
      <c r="A2193" s="857"/>
      <c r="B2193" s="865" t="s">
        <v>123</v>
      </c>
      <c r="C2193" s="865" t="s">
        <v>591</v>
      </c>
      <c r="D2193" s="865" t="s">
        <v>653</v>
      </c>
      <c r="E2193" s="866">
        <v>2019.0</v>
      </c>
      <c r="F2193" s="865" t="s">
        <v>593</v>
      </c>
      <c r="G2193" s="865" t="s">
        <v>70</v>
      </c>
      <c r="H2193" s="867">
        <v>105529.1399</v>
      </c>
      <c r="I2193" s="867">
        <v>118535.701</v>
      </c>
      <c r="J2193" s="868">
        <v>92493.68355</v>
      </c>
      <c r="K2193" s="50"/>
      <c r="L2193" s="869" t="s">
        <v>123</v>
      </c>
      <c r="M2193" s="865" t="s">
        <v>591</v>
      </c>
      <c r="N2193" s="865" t="s">
        <v>653</v>
      </c>
      <c r="O2193" s="866">
        <v>2004.0</v>
      </c>
      <c r="P2193" s="865" t="s">
        <v>593</v>
      </c>
      <c r="Q2193" s="865" t="s">
        <v>70</v>
      </c>
      <c r="R2193" s="867">
        <v>56405.32262</v>
      </c>
      <c r="S2193" s="867">
        <v>62458.48012</v>
      </c>
      <c r="T2193" s="868">
        <v>50312.32581</v>
      </c>
      <c r="AN2193" s="882"/>
      <c r="AO2193" s="882"/>
      <c r="AP2193" s="882"/>
      <c r="AY2193" s="882"/>
      <c r="AZ2193" s="882"/>
      <c r="BA2193" s="882"/>
      <c r="BJ2193" s="882"/>
      <c r="BK2193" s="882"/>
      <c r="BL2193" s="882"/>
      <c r="BU2193" s="882"/>
      <c r="BV2193" s="882"/>
      <c r="BW2193" s="882"/>
      <c r="CF2193" s="882"/>
      <c r="CG2193" s="882"/>
      <c r="CH2193" s="882"/>
      <c r="CI2193" s="530"/>
    </row>
    <row r="2194">
      <c r="A2194" s="857"/>
      <c r="B2194" s="865" t="s">
        <v>123</v>
      </c>
      <c r="C2194" s="865" t="s">
        <v>591</v>
      </c>
      <c r="D2194" s="865" t="s">
        <v>655</v>
      </c>
      <c r="E2194" s="866">
        <v>2019.0</v>
      </c>
      <c r="F2194" s="865" t="s">
        <v>593</v>
      </c>
      <c r="G2194" s="865" t="s">
        <v>70</v>
      </c>
      <c r="H2194" s="867">
        <v>173355.2066</v>
      </c>
      <c r="I2194" s="867">
        <v>194724.1109</v>
      </c>
      <c r="J2194" s="868">
        <v>151927.8824</v>
      </c>
      <c r="K2194" s="50"/>
      <c r="L2194" s="869" t="s">
        <v>123</v>
      </c>
      <c r="M2194" s="865" t="s">
        <v>591</v>
      </c>
      <c r="N2194" s="865" t="s">
        <v>655</v>
      </c>
      <c r="O2194" s="866">
        <v>2004.0</v>
      </c>
      <c r="P2194" s="865" t="s">
        <v>593</v>
      </c>
      <c r="Q2194" s="865" t="s">
        <v>70</v>
      </c>
      <c r="R2194" s="867">
        <v>94873.23682</v>
      </c>
      <c r="S2194" s="867">
        <v>105051.4909</v>
      </c>
      <c r="T2194" s="868">
        <v>84619.70584</v>
      </c>
      <c r="AN2194" s="882"/>
      <c r="AO2194" s="882"/>
      <c r="AP2194" s="882"/>
      <c r="AY2194" s="882"/>
      <c r="AZ2194" s="882"/>
      <c r="BA2194" s="882"/>
      <c r="BJ2194" s="882"/>
      <c r="BK2194" s="882"/>
      <c r="BL2194" s="882"/>
      <c r="BU2194" s="882"/>
      <c r="BV2194" s="882"/>
      <c r="BW2194" s="882"/>
      <c r="CF2194" s="882"/>
      <c r="CG2194" s="882"/>
      <c r="CH2194" s="882"/>
      <c r="CI2194" s="530"/>
    </row>
    <row r="2195">
      <c r="A2195" s="857"/>
      <c r="B2195" s="865" t="s">
        <v>123</v>
      </c>
      <c r="C2195" s="865" t="s">
        <v>591</v>
      </c>
      <c r="D2195" s="865" t="s">
        <v>657</v>
      </c>
      <c r="E2195" s="866">
        <v>2019.0</v>
      </c>
      <c r="F2195" s="865" t="s">
        <v>593</v>
      </c>
      <c r="G2195" s="865" t="s">
        <v>70</v>
      </c>
      <c r="H2195" s="867">
        <v>67819.67491</v>
      </c>
      <c r="I2195" s="867">
        <v>76178.51058</v>
      </c>
      <c r="J2195" s="868">
        <v>59442.26924</v>
      </c>
      <c r="K2195" s="50"/>
      <c r="L2195" s="869" t="s">
        <v>123</v>
      </c>
      <c r="M2195" s="865" t="s">
        <v>591</v>
      </c>
      <c r="N2195" s="865" t="s">
        <v>657</v>
      </c>
      <c r="O2195" s="866">
        <v>2004.0</v>
      </c>
      <c r="P2195" s="865" t="s">
        <v>593</v>
      </c>
      <c r="Q2195" s="865" t="s">
        <v>70</v>
      </c>
      <c r="R2195" s="867">
        <v>38465.11279</v>
      </c>
      <c r="S2195" s="867">
        <v>42593.01022</v>
      </c>
      <c r="T2195" s="868">
        <v>34310.0473</v>
      </c>
      <c r="AN2195" s="882"/>
      <c r="AO2195" s="882"/>
      <c r="AP2195" s="882"/>
      <c r="AY2195" s="882"/>
      <c r="AZ2195" s="882"/>
      <c r="BA2195" s="882"/>
      <c r="BJ2195" s="882"/>
      <c r="BK2195" s="882"/>
      <c r="BL2195" s="882"/>
      <c r="BU2195" s="882"/>
      <c r="BV2195" s="882"/>
      <c r="BW2195" s="882"/>
      <c r="CF2195" s="882"/>
      <c r="CG2195" s="882"/>
      <c r="CH2195" s="882"/>
      <c r="CI2195" s="530"/>
    </row>
    <row r="2196">
      <c r="A2196" s="857"/>
      <c r="B2196" s="865" t="s">
        <v>123</v>
      </c>
      <c r="C2196" s="865" t="s">
        <v>591</v>
      </c>
      <c r="D2196" s="865" t="s">
        <v>659</v>
      </c>
      <c r="E2196" s="866">
        <v>2019.0</v>
      </c>
      <c r="F2196" s="865" t="s">
        <v>593</v>
      </c>
      <c r="G2196" s="865" t="s">
        <v>70</v>
      </c>
      <c r="H2196" s="867">
        <v>140565.2474</v>
      </c>
      <c r="I2196" s="867">
        <v>157890.0401</v>
      </c>
      <c r="J2196" s="868">
        <v>123201.966</v>
      </c>
      <c r="K2196" s="50"/>
      <c r="L2196" s="869" t="s">
        <v>123</v>
      </c>
      <c r="M2196" s="865" t="s">
        <v>591</v>
      </c>
      <c r="N2196" s="865" t="s">
        <v>659</v>
      </c>
      <c r="O2196" s="866">
        <v>2004.0</v>
      </c>
      <c r="P2196" s="865" t="s">
        <v>593</v>
      </c>
      <c r="Q2196" s="865" t="s">
        <v>70</v>
      </c>
      <c r="R2196" s="867">
        <v>76846.1228</v>
      </c>
      <c r="S2196" s="867">
        <v>85092.89213</v>
      </c>
      <c r="T2196" s="868">
        <v>68545.07674</v>
      </c>
      <c r="AN2196" s="882"/>
      <c r="AO2196" s="882"/>
      <c r="AP2196" s="882"/>
      <c r="AY2196" s="882"/>
      <c r="AZ2196" s="882"/>
      <c r="BA2196" s="882"/>
      <c r="BJ2196" s="882"/>
      <c r="BK2196" s="882"/>
      <c r="BL2196" s="882"/>
      <c r="BU2196" s="882"/>
      <c r="BV2196" s="882"/>
      <c r="BW2196" s="882"/>
      <c r="CF2196" s="882"/>
      <c r="CG2196" s="882"/>
      <c r="CH2196" s="882"/>
      <c r="CI2196" s="530"/>
    </row>
    <row r="2197">
      <c r="A2197" s="857"/>
      <c r="B2197" s="865" t="s">
        <v>123</v>
      </c>
      <c r="C2197" s="865" t="s">
        <v>591</v>
      </c>
      <c r="D2197" s="865" t="s">
        <v>661</v>
      </c>
      <c r="E2197" s="866">
        <v>2019.0</v>
      </c>
      <c r="F2197" s="865" t="s">
        <v>593</v>
      </c>
      <c r="G2197" s="865" t="s">
        <v>70</v>
      </c>
      <c r="H2197" s="867">
        <v>72748.25481</v>
      </c>
      <c r="I2197" s="867">
        <v>81715.68371</v>
      </c>
      <c r="J2197" s="868">
        <v>63756.31003</v>
      </c>
      <c r="K2197" s="50"/>
      <c r="L2197" s="869" t="s">
        <v>123</v>
      </c>
      <c r="M2197" s="865" t="s">
        <v>591</v>
      </c>
      <c r="N2197" s="865" t="s">
        <v>661</v>
      </c>
      <c r="O2197" s="866">
        <v>2004.0</v>
      </c>
      <c r="P2197" s="865" t="s">
        <v>593</v>
      </c>
      <c r="Q2197" s="865" t="s">
        <v>70</v>
      </c>
      <c r="R2197" s="867">
        <v>38382.14335</v>
      </c>
      <c r="S2197" s="867">
        <v>42499.88216</v>
      </c>
      <c r="T2197" s="868">
        <v>34233.95036</v>
      </c>
      <c r="AN2197" s="882"/>
      <c r="AO2197" s="882"/>
      <c r="AP2197" s="882"/>
      <c r="AY2197" s="882"/>
      <c r="AZ2197" s="882"/>
      <c r="BA2197" s="882"/>
      <c r="BJ2197" s="882"/>
      <c r="BK2197" s="882"/>
      <c r="BL2197" s="882"/>
      <c r="BU2197" s="882"/>
      <c r="BV2197" s="882"/>
      <c r="BW2197" s="882"/>
      <c r="CF2197" s="882"/>
      <c r="CG2197" s="882"/>
      <c r="CH2197" s="882"/>
      <c r="CI2197" s="530"/>
    </row>
    <row r="2198">
      <c r="A2198" s="857"/>
      <c r="B2198" s="865" t="s">
        <v>123</v>
      </c>
      <c r="C2198" s="865" t="s">
        <v>591</v>
      </c>
      <c r="D2198" s="865" t="s">
        <v>663</v>
      </c>
      <c r="E2198" s="866">
        <v>2019.0</v>
      </c>
      <c r="F2198" s="865" t="s">
        <v>593</v>
      </c>
      <c r="G2198" s="865" t="s">
        <v>70</v>
      </c>
      <c r="H2198" s="867">
        <v>41962.52811</v>
      </c>
      <c r="I2198" s="867">
        <v>47134.44727</v>
      </c>
      <c r="J2198" s="868">
        <v>36779.11899</v>
      </c>
      <c r="K2198" s="50"/>
      <c r="L2198" s="869" t="s">
        <v>123</v>
      </c>
      <c r="M2198" s="865" t="s">
        <v>591</v>
      </c>
      <c r="N2198" s="865" t="s">
        <v>663</v>
      </c>
      <c r="O2198" s="866">
        <v>2004.0</v>
      </c>
      <c r="P2198" s="865" t="s">
        <v>593</v>
      </c>
      <c r="Q2198" s="865" t="s">
        <v>70</v>
      </c>
      <c r="R2198" s="867">
        <v>21291.32858</v>
      </c>
      <c r="S2198" s="867">
        <v>23576.21517</v>
      </c>
      <c r="T2198" s="868">
        <v>18991.40384</v>
      </c>
      <c r="AN2198" s="882"/>
      <c r="AO2198" s="882"/>
      <c r="AP2198" s="882"/>
      <c r="AY2198" s="882"/>
      <c r="AZ2198" s="882"/>
      <c r="BA2198" s="882"/>
      <c r="BJ2198" s="882"/>
      <c r="BK2198" s="882"/>
      <c r="BL2198" s="882"/>
      <c r="BU2198" s="882"/>
      <c r="BV2198" s="882"/>
      <c r="BW2198" s="882"/>
      <c r="CF2198" s="882"/>
      <c r="CG2198" s="882"/>
      <c r="CH2198" s="882"/>
      <c r="CI2198" s="530"/>
    </row>
    <row r="2199">
      <c r="A2199" s="857"/>
      <c r="B2199" s="865" t="s">
        <v>123</v>
      </c>
      <c r="C2199" s="865" t="s">
        <v>591</v>
      </c>
      <c r="D2199" s="865" t="s">
        <v>665</v>
      </c>
      <c r="E2199" s="866">
        <v>2019.0</v>
      </c>
      <c r="F2199" s="865" t="s">
        <v>593</v>
      </c>
      <c r="G2199" s="865" t="s">
        <v>70</v>
      </c>
      <c r="H2199" s="867">
        <v>61645.67768</v>
      </c>
      <c r="I2199" s="867">
        <v>69244.52983</v>
      </c>
      <c r="J2199" s="868">
        <v>54026.0512</v>
      </c>
      <c r="K2199" s="50"/>
      <c r="L2199" s="869" t="s">
        <v>123</v>
      </c>
      <c r="M2199" s="865" t="s">
        <v>591</v>
      </c>
      <c r="N2199" s="865" t="s">
        <v>665</v>
      </c>
      <c r="O2199" s="866">
        <v>2004.0</v>
      </c>
      <c r="P2199" s="865" t="s">
        <v>593</v>
      </c>
      <c r="Q2199" s="865" t="s">
        <v>70</v>
      </c>
      <c r="R2199" s="867">
        <v>32125.08393</v>
      </c>
      <c r="S2199" s="867">
        <v>35571.5487</v>
      </c>
      <c r="T2199" s="868">
        <v>28653.12962</v>
      </c>
      <c r="AN2199" s="882"/>
      <c r="AO2199" s="882"/>
      <c r="AP2199" s="882"/>
      <c r="AY2199" s="882"/>
      <c r="AZ2199" s="882"/>
      <c r="BA2199" s="882"/>
      <c r="BJ2199" s="882"/>
      <c r="BK2199" s="882"/>
      <c r="BL2199" s="882"/>
      <c r="BU2199" s="882"/>
      <c r="BV2199" s="882"/>
      <c r="BW2199" s="882"/>
      <c r="CF2199" s="882"/>
      <c r="CG2199" s="882"/>
      <c r="CH2199" s="882"/>
      <c r="CI2199" s="530"/>
    </row>
    <row r="2200">
      <c r="A2200" s="857"/>
      <c r="B2200" s="865" t="s">
        <v>123</v>
      </c>
      <c r="C2200" s="865" t="s">
        <v>591</v>
      </c>
      <c r="D2200" s="865" t="s">
        <v>667</v>
      </c>
      <c r="E2200" s="866">
        <v>2019.0</v>
      </c>
      <c r="F2200" s="865" t="s">
        <v>593</v>
      </c>
      <c r="G2200" s="865" t="s">
        <v>70</v>
      </c>
      <c r="H2200" s="867">
        <v>30783.04441</v>
      </c>
      <c r="I2200" s="867">
        <v>34577.0822</v>
      </c>
      <c r="J2200" s="868">
        <v>26980.57778</v>
      </c>
      <c r="K2200" s="50"/>
      <c r="L2200" s="869" t="s">
        <v>123</v>
      </c>
      <c r="M2200" s="865" t="s">
        <v>591</v>
      </c>
      <c r="N2200" s="865" t="s">
        <v>667</v>
      </c>
      <c r="O2200" s="866">
        <v>2004.0</v>
      </c>
      <c r="P2200" s="865" t="s">
        <v>593</v>
      </c>
      <c r="Q2200" s="865" t="s">
        <v>70</v>
      </c>
      <c r="R2200" s="867">
        <v>17089.68143</v>
      </c>
      <c r="S2200" s="867">
        <v>18923.66674</v>
      </c>
      <c r="T2200" s="868">
        <v>15243.6256</v>
      </c>
      <c r="AN2200" s="882"/>
      <c r="AO2200" s="882"/>
      <c r="AP2200" s="882"/>
      <c r="AY2200" s="882"/>
      <c r="AZ2200" s="882"/>
      <c r="BA2200" s="882"/>
      <c r="BJ2200" s="882"/>
      <c r="BK2200" s="882"/>
      <c r="BL2200" s="882"/>
      <c r="BU2200" s="882"/>
      <c r="BV2200" s="882"/>
      <c r="BW2200" s="882"/>
      <c r="CF2200" s="882"/>
      <c r="CG2200" s="882"/>
      <c r="CH2200" s="882"/>
      <c r="CI2200" s="530"/>
    </row>
    <row r="2201">
      <c r="A2201" s="857"/>
      <c r="B2201" s="865" t="s">
        <v>123</v>
      </c>
      <c r="C2201" s="865" t="s">
        <v>591</v>
      </c>
      <c r="D2201" s="865" t="s">
        <v>669</v>
      </c>
      <c r="E2201" s="866">
        <v>2019.0</v>
      </c>
      <c r="F2201" s="865" t="s">
        <v>593</v>
      </c>
      <c r="G2201" s="865" t="s">
        <v>70</v>
      </c>
      <c r="H2201" s="867">
        <v>19680.87665</v>
      </c>
      <c r="I2201" s="867">
        <v>22106.56232</v>
      </c>
      <c r="J2201" s="868">
        <v>17249.80207</v>
      </c>
      <c r="K2201" s="50"/>
      <c r="L2201" s="869" t="s">
        <v>123</v>
      </c>
      <c r="M2201" s="865" t="s">
        <v>591</v>
      </c>
      <c r="N2201" s="865" t="s">
        <v>669</v>
      </c>
      <c r="O2201" s="866">
        <v>2004.0</v>
      </c>
      <c r="P2201" s="865" t="s">
        <v>593</v>
      </c>
      <c r="Q2201" s="865" t="s">
        <v>70</v>
      </c>
      <c r="R2201" s="867">
        <v>10832.80677</v>
      </c>
      <c r="S2201" s="867">
        <v>11995.33332</v>
      </c>
      <c r="T2201" s="868">
        <v>9662.628954</v>
      </c>
      <c r="AN2201" s="882"/>
      <c r="AO2201" s="882"/>
      <c r="AP2201" s="882"/>
      <c r="AY2201" s="882"/>
      <c r="AZ2201" s="882"/>
      <c r="BA2201" s="882"/>
      <c r="BJ2201" s="882"/>
      <c r="BK2201" s="882"/>
      <c r="BL2201" s="882"/>
      <c r="BU2201" s="882"/>
      <c r="BV2201" s="882"/>
      <c r="BW2201" s="882"/>
      <c r="CF2201" s="882"/>
      <c r="CG2201" s="882"/>
      <c r="CH2201" s="882"/>
      <c r="CI2201" s="530"/>
    </row>
    <row r="2202">
      <c r="A2202" s="857"/>
      <c r="B2202" s="865" t="s">
        <v>123</v>
      </c>
      <c r="C2202" s="865" t="s">
        <v>591</v>
      </c>
      <c r="D2202" s="865" t="s">
        <v>671</v>
      </c>
      <c r="E2202" s="866">
        <v>2019.0</v>
      </c>
      <c r="F2202" s="865" t="s">
        <v>593</v>
      </c>
      <c r="G2202" s="865" t="s">
        <v>70</v>
      </c>
      <c r="H2202" s="867">
        <v>11102.57712</v>
      </c>
      <c r="I2202" s="867">
        <v>12471.15388</v>
      </c>
      <c r="J2202" s="868">
        <v>9730.258836</v>
      </c>
      <c r="K2202" s="50"/>
      <c r="L2202" s="869" t="s">
        <v>123</v>
      </c>
      <c r="M2202" s="865" t="s">
        <v>591</v>
      </c>
      <c r="N2202" s="865" t="s">
        <v>671</v>
      </c>
      <c r="O2202" s="866">
        <v>2004.0</v>
      </c>
      <c r="P2202" s="865" t="s">
        <v>593</v>
      </c>
      <c r="Q2202" s="865" t="s">
        <v>70</v>
      </c>
      <c r="R2202" s="867">
        <v>6257.059419</v>
      </c>
      <c r="S2202" s="867">
        <v>6928.333457</v>
      </c>
      <c r="T2202" s="868">
        <v>5580.820737</v>
      </c>
      <c r="AN2202" s="882"/>
      <c r="AO2202" s="882"/>
      <c r="AP2202" s="882"/>
      <c r="AY2202" s="882"/>
      <c r="AZ2202" s="882"/>
      <c r="BA2202" s="882"/>
      <c r="BJ2202" s="882"/>
      <c r="BK2202" s="882"/>
      <c r="BL2202" s="882"/>
      <c r="BU2202" s="882"/>
      <c r="BV2202" s="882"/>
      <c r="BW2202" s="882"/>
      <c r="CF2202" s="882"/>
      <c r="CG2202" s="882"/>
      <c r="CH2202" s="882"/>
      <c r="CI2202" s="530"/>
    </row>
    <row r="2203">
      <c r="A2203" s="857"/>
      <c r="B2203" s="865" t="s">
        <v>123</v>
      </c>
      <c r="C2203" s="865" t="s">
        <v>591</v>
      </c>
      <c r="D2203" s="865" t="s">
        <v>673</v>
      </c>
      <c r="E2203" s="866">
        <v>2019.0</v>
      </c>
      <c r="F2203" s="865" t="s">
        <v>593</v>
      </c>
      <c r="G2203" s="865" t="s">
        <v>70</v>
      </c>
      <c r="H2203" s="867">
        <v>8138.855139</v>
      </c>
      <c r="I2203" s="867">
        <v>9141.976324</v>
      </c>
      <c r="J2203" s="868">
        <v>7133.505419</v>
      </c>
      <c r="K2203" s="50"/>
      <c r="L2203" s="869" t="s">
        <v>123</v>
      </c>
      <c r="M2203" s="865" t="s">
        <v>591</v>
      </c>
      <c r="N2203" s="865" t="s">
        <v>673</v>
      </c>
      <c r="O2203" s="866">
        <v>2004.0</v>
      </c>
      <c r="P2203" s="865" t="s">
        <v>593</v>
      </c>
      <c r="Q2203" s="865" t="s">
        <v>70</v>
      </c>
      <c r="R2203" s="867">
        <v>4497.217916</v>
      </c>
      <c r="S2203" s="867">
        <v>4979.838475</v>
      </c>
      <c r="T2203" s="868">
        <v>4011.420953</v>
      </c>
      <c r="AN2203" s="882"/>
      <c r="AO2203" s="882"/>
      <c r="AP2203" s="882"/>
      <c r="AY2203" s="882"/>
      <c r="AZ2203" s="882"/>
      <c r="BA2203" s="882"/>
      <c r="BJ2203" s="882"/>
      <c r="BK2203" s="882"/>
      <c r="BL2203" s="882"/>
      <c r="BU2203" s="882"/>
      <c r="BV2203" s="882"/>
      <c r="BW2203" s="882"/>
      <c r="CF2203" s="882"/>
      <c r="CG2203" s="882"/>
      <c r="CH2203" s="882"/>
      <c r="CI2203" s="530"/>
    </row>
    <row r="2204">
      <c r="A2204" s="857"/>
      <c r="B2204" s="865" t="s">
        <v>123</v>
      </c>
      <c r="C2204" s="865" t="s">
        <v>591</v>
      </c>
      <c r="D2204" s="865" t="s">
        <v>674</v>
      </c>
      <c r="E2204" s="866">
        <v>2019.0</v>
      </c>
      <c r="F2204" s="865" t="s">
        <v>593</v>
      </c>
      <c r="G2204" s="865" t="s">
        <v>70</v>
      </c>
      <c r="H2204" s="867">
        <v>2386.853013</v>
      </c>
      <c r="I2204" s="867">
        <v>2681.034785</v>
      </c>
      <c r="J2204" s="868">
        <v>2092.017687</v>
      </c>
      <c r="K2204" s="50"/>
      <c r="L2204" s="869" t="s">
        <v>123</v>
      </c>
      <c r="M2204" s="865" t="s">
        <v>591</v>
      </c>
      <c r="N2204" s="865" t="s">
        <v>674</v>
      </c>
      <c r="O2204" s="866">
        <v>2004.0</v>
      </c>
      <c r="P2204" s="865" t="s">
        <v>593</v>
      </c>
      <c r="Q2204" s="865" t="s">
        <v>70</v>
      </c>
      <c r="R2204" s="867">
        <v>1440.662637</v>
      </c>
      <c r="S2204" s="867">
        <v>1595.267867</v>
      </c>
      <c r="T2204" s="868">
        <v>1285.039862</v>
      </c>
      <c r="AN2204" s="882"/>
      <c r="AO2204" s="882"/>
      <c r="AP2204" s="882"/>
      <c r="AY2204" s="882"/>
      <c r="AZ2204" s="882"/>
      <c r="BA2204" s="882"/>
      <c r="BJ2204" s="882"/>
      <c r="BK2204" s="882"/>
      <c r="BL2204" s="882"/>
      <c r="BU2204" s="882"/>
      <c r="BV2204" s="882"/>
      <c r="BW2204" s="882"/>
      <c r="CF2204" s="882"/>
      <c r="CG2204" s="882"/>
      <c r="CH2204" s="882"/>
      <c r="CI2204" s="530"/>
    </row>
    <row r="2205">
      <c r="A2205" s="857"/>
      <c r="B2205" s="865" t="s">
        <v>123</v>
      </c>
      <c r="C2205" s="865" t="s">
        <v>591</v>
      </c>
      <c r="D2205" s="865" t="s">
        <v>676</v>
      </c>
      <c r="E2205" s="866">
        <v>2019.0</v>
      </c>
      <c r="F2205" s="865" t="s">
        <v>593</v>
      </c>
      <c r="G2205" s="865" t="s">
        <v>70</v>
      </c>
      <c r="H2205" s="867">
        <v>576.4596068</v>
      </c>
      <c r="I2205" s="867">
        <v>647.5087696</v>
      </c>
      <c r="J2205" s="868">
        <v>505.2526011</v>
      </c>
      <c r="K2205" s="50"/>
      <c r="L2205" s="869" t="s">
        <v>123</v>
      </c>
      <c r="M2205" s="865" t="s">
        <v>591</v>
      </c>
      <c r="N2205" s="865" t="s">
        <v>676</v>
      </c>
      <c r="O2205" s="866">
        <v>2004.0</v>
      </c>
      <c r="P2205" s="865" t="s">
        <v>593</v>
      </c>
      <c r="Q2205" s="865" t="s">
        <v>70</v>
      </c>
      <c r="R2205" s="867">
        <v>318.9941073</v>
      </c>
      <c r="S2205" s="867">
        <v>353.2270748</v>
      </c>
      <c r="T2205" s="868">
        <v>284.535833</v>
      </c>
      <c r="AN2205" s="882"/>
      <c r="AO2205" s="882"/>
      <c r="AP2205" s="882"/>
      <c r="AY2205" s="882"/>
      <c r="AZ2205" s="882"/>
      <c r="BA2205" s="882"/>
      <c r="BJ2205" s="882"/>
      <c r="BK2205" s="882"/>
      <c r="BL2205" s="882"/>
      <c r="BU2205" s="882"/>
      <c r="BV2205" s="882"/>
      <c r="BW2205" s="882"/>
      <c r="CF2205" s="882"/>
      <c r="CG2205" s="882"/>
      <c r="CH2205" s="882"/>
      <c r="CI2205" s="530"/>
    </row>
    <row r="2206">
      <c r="A2206" s="857"/>
      <c r="B2206" s="865" t="s">
        <v>123</v>
      </c>
      <c r="C2206" s="865" t="s">
        <v>591</v>
      </c>
      <c r="D2206" s="865" t="s">
        <v>678</v>
      </c>
      <c r="E2206" s="866">
        <v>2019.0</v>
      </c>
      <c r="F2206" s="865" t="s">
        <v>593</v>
      </c>
      <c r="G2206" s="865" t="s">
        <v>70</v>
      </c>
      <c r="H2206" s="867">
        <v>7921526.585</v>
      </c>
      <c r="I2206" s="867">
        <v>8897861.831</v>
      </c>
      <c r="J2206" s="868">
        <v>6943022.311</v>
      </c>
      <c r="K2206" s="50"/>
      <c r="L2206" s="869" t="s">
        <v>123</v>
      </c>
      <c r="M2206" s="865" t="s">
        <v>591</v>
      </c>
      <c r="N2206" s="865" t="s">
        <v>678</v>
      </c>
      <c r="O2206" s="866">
        <v>2004.0</v>
      </c>
      <c r="P2206" s="865" t="s">
        <v>593</v>
      </c>
      <c r="Q2206" s="865" t="s">
        <v>70</v>
      </c>
      <c r="R2206" s="867">
        <v>5431338.731</v>
      </c>
      <c r="S2206" s="867">
        <v>6014204.802</v>
      </c>
      <c r="T2206" s="868">
        <v>4844636.483</v>
      </c>
      <c r="AN2206" s="882"/>
      <c r="AO2206" s="882"/>
      <c r="AP2206" s="882"/>
      <c r="AY2206" s="882"/>
      <c r="AZ2206" s="882"/>
      <c r="BA2206" s="882"/>
      <c r="BJ2206" s="882"/>
      <c r="BK2206" s="882"/>
      <c r="BL2206" s="882"/>
      <c r="BU2206" s="882"/>
      <c r="BV2206" s="882"/>
      <c r="BW2206" s="882"/>
      <c r="CF2206" s="882"/>
      <c r="CG2206" s="882"/>
      <c r="CH2206" s="882"/>
      <c r="CI2206" s="530"/>
    </row>
    <row r="2207">
      <c r="A2207" s="857"/>
      <c r="B2207" s="865" t="s">
        <v>123</v>
      </c>
      <c r="C2207" s="865" t="s">
        <v>591</v>
      </c>
      <c r="D2207" s="865" t="s">
        <v>680</v>
      </c>
      <c r="E2207" s="866">
        <v>2019.0</v>
      </c>
      <c r="F2207" s="865" t="s">
        <v>593</v>
      </c>
      <c r="G2207" s="865" t="s">
        <v>70</v>
      </c>
      <c r="H2207" s="867">
        <v>237506.8559</v>
      </c>
      <c r="I2207" s="867">
        <v>258949.2362</v>
      </c>
      <c r="J2207" s="868">
        <v>219671.214</v>
      </c>
      <c r="K2207" s="50"/>
      <c r="L2207" s="869" t="s">
        <v>123</v>
      </c>
      <c r="M2207" s="865" t="s">
        <v>591</v>
      </c>
      <c r="N2207" s="865" t="s">
        <v>680</v>
      </c>
      <c r="O2207" s="866">
        <v>2004.0</v>
      </c>
      <c r="P2207" s="865" t="s">
        <v>593</v>
      </c>
      <c r="Q2207" s="865" t="s">
        <v>70</v>
      </c>
      <c r="R2207" s="867">
        <v>219715.4481</v>
      </c>
      <c r="S2207" s="867">
        <v>227496.4024</v>
      </c>
      <c r="T2207" s="868">
        <v>211904.6694</v>
      </c>
      <c r="AN2207" s="882"/>
      <c r="AO2207" s="882"/>
      <c r="AP2207" s="882"/>
      <c r="AY2207" s="882"/>
      <c r="AZ2207" s="882"/>
      <c r="BA2207" s="882"/>
      <c r="BJ2207" s="882"/>
      <c r="BK2207" s="882"/>
      <c r="BL2207" s="882"/>
      <c r="BU2207" s="882"/>
      <c r="BV2207" s="882"/>
      <c r="BW2207" s="882"/>
      <c r="CF2207" s="882"/>
      <c r="CG2207" s="882"/>
      <c r="CH2207" s="882"/>
      <c r="CI2207" s="530"/>
    </row>
    <row r="2208">
      <c r="A2208" s="857"/>
      <c r="B2208" s="865" t="s">
        <v>123</v>
      </c>
      <c r="C2208" s="865" t="s">
        <v>591</v>
      </c>
      <c r="D2208" s="865" t="s">
        <v>682</v>
      </c>
      <c r="E2208" s="866">
        <v>2019.0</v>
      </c>
      <c r="F2208" s="865" t="s">
        <v>593</v>
      </c>
      <c r="G2208" s="865" t="s">
        <v>70</v>
      </c>
      <c r="H2208" s="867">
        <v>4487.618386</v>
      </c>
      <c r="I2208" s="867">
        <v>5040.721371</v>
      </c>
      <c r="J2208" s="868">
        <v>3933.286626</v>
      </c>
      <c r="K2208" s="50"/>
      <c r="L2208" s="869" t="s">
        <v>123</v>
      </c>
      <c r="M2208" s="865" t="s">
        <v>591</v>
      </c>
      <c r="N2208" s="865" t="s">
        <v>682</v>
      </c>
      <c r="O2208" s="866">
        <v>2004.0</v>
      </c>
      <c r="P2208" s="865" t="s">
        <v>593</v>
      </c>
      <c r="Q2208" s="865" t="s">
        <v>70</v>
      </c>
      <c r="R2208" s="867">
        <v>4147.5082</v>
      </c>
      <c r="S2208" s="867">
        <v>4592.599536</v>
      </c>
      <c r="T2208" s="868">
        <v>3699.487463</v>
      </c>
      <c r="AN2208" s="882"/>
      <c r="AO2208" s="882"/>
      <c r="AP2208" s="882"/>
      <c r="AY2208" s="882"/>
      <c r="AZ2208" s="882"/>
      <c r="BA2208" s="882"/>
      <c r="BJ2208" s="882"/>
      <c r="BK2208" s="882"/>
      <c r="BL2208" s="882"/>
      <c r="BU2208" s="882"/>
      <c r="BV2208" s="882"/>
      <c r="BW2208" s="882"/>
      <c r="CF2208" s="882"/>
      <c r="CG2208" s="882"/>
      <c r="CH2208" s="882"/>
      <c r="CI2208" s="530"/>
    </row>
    <row r="2209">
      <c r="A2209" s="857"/>
      <c r="B2209" s="865" t="s">
        <v>123</v>
      </c>
      <c r="C2209" s="865" t="s">
        <v>591</v>
      </c>
      <c r="D2209" s="865" t="s">
        <v>684</v>
      </c>
      <c r="E2209" s="866">
        <v>2019.0</v>
      </c>
      <c r="F2209" s="865" t="s">
        <v>593</v>
      </c>
      <c r="G2209" s="865" t="s">
        <v>70</v>
      </c>
      <c r="H2209" s="867">
        <v>13287.22861</v>
      </c>
      <c r="I2209" s="867">
        <v>14924.89144</v>
      </c>
      <c r="J2209" s="868">
        <v>11645.92755</v>
      </c>
      <c r="K2209" s="50"/>
      <c r="L2209" s="869" t="s">
        <v>123</v>
      </c>
      <c r="M2209" s="865" t="s">
        <v>591</v>
      </c>
      <c r="N2209" s="865" t="s">
        <v>684</v>
      </c>
      <c r="O2209" s="866">
        <v>2004.0</v>
      </c>
      <c r="P2209" s="865" t="s">
        <v>593</v>
      </c>
      <c r="Q2209" s="865" t="s">
        <v>70</v>
      </c>
      <c r="R2209" s="867">
        <v>12213.74243</v>
      </c>
      <c r="S2209" s="867">
        <v>13524.46459</v>
      </c>
      <c r="T2209" s="868">
        <v>10894.39365</v>
      </c>
      <c r="AN2209" s="882"/>
      <c r="AO2209" s="882"/>
      <c r="AP2209" s="882"/>
      <c r="AY2209" s="882"/>
      <c r="AZ2209" s="882"/>
      <c r="BA2209" s="882"/>
      <c r="BJ2209" s="882"/>
      <c r="BK2209" s="882"/>
      <c r="BL2209" s="882"/>
      <c r="BU2209" s="882"/>
      <c r="BV2209" s="882"/>
      <c r="BW2209" s="882"/>
      <c r="CF2209" s="882"/>
      <c r="CG2209" s="882"/>
      <c r="CH2209" s="882"/>
      <c r="CI2209" s="530"/>
    </row>
    <row r="2210">
      <c r="A2210" s="857"/>
      <c r="B2210" s="865" t="s">
        <v>123</v>
      </c>
      <c r="C2210" s="865" t="s">
        <v>591</v>
      </c>
      <c r="D2210" s="865" t="s">
        <v>686</v>
      </c>
      <c r="E2210" s="866">
        <v>2019.0</v>
      </c>
      <c r="F2210" s="865" t="s">
        <v>593</v>
      </c>
      <c r="G2210" s="865" t="s">
        <v>70</v>
      </c>
      <c r="H2210" s="867">
        <v>17774.847</v>
      </c>
      <c r="I2210" s="867">
        <v>19965.61281</v>
      </c>
      <c r="J2210" s="868">
        <v>15579.21418</v>
      </c>
      <c r="K2210" s="50"/>
      <c r="L2210" s="869" t="s">
        <v>123</v>
      </c>
      <c r="M2210" s="865" t="s">
        <v>591</v>
      </c>
      <c r="N2210" s="865" t="s">
        <v>686</v>
      </c>
      <c r="O2210" s="866">
        <v>2004.0</v>
      </c>
      <c r="P2210" s="865" t="s">
        <v>593</v>
      </c>
      <c r="Q2210" s="865" t="s">
        <v>70</v>
      </c>
      <c r="R2210" s="867">
        <v>16361.25063</v>
      </c>
      <c r="S2210" s="867">
        <v>18117.06413</v>
      </c>
      <c r="T2210" s="868">
        <v>14593.88111</v>
      </c>
      <c r="AN2210" s="882"/>
      <c r="AO2210" s="882"/>
      <c r="AP2210" s="882"/>
      <c r="AY2210" s="882"/>
      <c r="AZ2210" s="882"/>
      <c r="BA2210" s="882"/>
      <c r="BJ2210" s="882"/>
      <c r="BK2210" s="882"/>
      <c r="BL2210" s="882"/>
      <c r="BU2210" s="882"/>
      <c r="BV2210" s="882"/>
      <c r="BW2210" s="882"/>
      <c r="CF2210" s="882"/>
      <c r="CG2210" s="882"/>
      <c r="CH2210" s="882"/>
      <c r="CI2210" s="530"/>
    </row>
    <row r="2211">
      <c r="A2211" s="857"/>
      <c r="B2211" s="865" t="s">
        <v>123</v>
      </c>
      <c r="C2211" s="865" t="s">
        <v>591</v>
      </c>
      <c r="D2211" s="865" t="s">
        <v>688</v>
      </c>
      <c r="E2211" s="866">
        <v>2019.0</v>
      </c>
      <c r="F2211" s="865" t="s">
        <v>593</v>
      </c>
      <c r="G2211" s="865" t="s">
        <v>70</v>
      </c>
      <c r="H2211" s="867">
        <v>209954.9274</v>
      </c>
      <c r="I2211" s="867">
        <v>235832.0603</v>
      </c>
      <c r="J2211" s="868">
        <v>184020.3059</v>
      </c>
      <c r="K2211" s="50"/>
      <c r="L2211" s="869" t="s">
        <v>123</v>
      </c>
      <c r="M2211" s="865" t="s">
        <v>591</v>
      </c>
      <c r="N2211" s="865" t="s">
        <v>688</v>
      </c>
      <c r="O2211" s="866">
        <v>2004.0</v>
      </c>
      <c r="P2211" s="865" t="s">
        <v>593</v>
      </c>
      <c r="Q2211" s="865" t="s">
        <v>70</v>
      </c>
      <c r="R2211" s="867">
        <v>189832.3055</v>
      </c>
      <c r="S2211" s="867">
        <v>210204.2277</v>
      </c>
      <c r="T2211" s="868">
        <v>169326.304</v>
      </c>
      <c r="AN2211" s="882"/>
      <c r="AO2211" s="882"/>
      <c r="AP2211" s="882"/>
      <c r="AY2211" s="882"/>
      <c r="AZ2211" s="882"/>
      <c r="BA2211" s="882"/>
      <c r="BJ2211" s="882"/>
      <c r="BK2211" s="882"/>
      <c r="BL2211" s="882"/>
      <c r="BU2211" s="882"/>
      <c r="BV2211" s="882"/>
      <c r="BW2211" s="882"/>
      <c r="CF2211" s="882"/>
      <c r="CG2211" s="882"/>
      <c r="CH2211" s="882"/>
      <c r="CI2211" s="530"/>
    </row>
    <row r="2212">
      <c r="A2212" s="857"/>
      <c r="B2212" s="865" t="s">
        <v>123</v>
      </c>
      <c r="C2212" s="865" t="s">
        <v>591</v>
      </c>
      <c r="D2212" s="865" t="s">
        <v>689</v>
      </c>
      <c r="E2212" s="866">
        <v>2019.0</v>
      </c>
      <c r="F2212" s="865" t="s">
        <v>593</v>
      </c>
      <c r="G2212" s="865" t="s">
        <v>70</v>
      </c>
      <c r="H2212" s="867">
        <v>1114855.207</v>
      </c>
      <c r="I2212" s="867">
        <v>1252262.11</v>
      </c>
      <c r="J2212" s="868">
        <v>977143.041</v>
      </c>
      <c r="K2212" s="50"/>
      <c r="L2212" s="869" t="s">
        <v>123</v>
      </c>
      <c r="M2212" s="865" t="s">
        <v>591</v>
      </c>
      <c r="N2212" s="865" t="s">
        <v>689</v>
      </c>
      <c r="O2212" s="866">
        <v>2004.0</v>
      </c>
      <c r="P2212" s="865" t="s">
        <v>593</v>
      </c>
      <c r="Q2212" s="865" t="s">
        <v>70</v>
      </c>
      <c r="R2212" s="867">
        <v>929564.0356</v>
      </c>
      <c r="S2212" s="867">
        <v>1029320.535</v>
      </c>
      <c r="T2212" s="868">
        <v>829150.9817</v>
      </c>
      <c r="AN2212" s="882"/>
      <c r="AO2212" s="882"/>
      <c r="AP2212" s="882"/>
      <c r="AY2212" s="882"/>
      <c r="AZ2212" s="882"/>
      <c r="BA2212" s="882"/>
      <c r="BJ2212" s="882"/>
      <c r="BK2212" s="882"/>
      <c r="BL2212" s="882"/>
      <c r="BU2212" s="882"/>
      <c r="BV2212" s="882"/>
      <c r="BW2212" s="882"/>
      <c r="CF2212" s="882"/>
      <c r="CG2212" s="882"/>
      <c r="CH2212" s="882"/>
      <c r="CI2212" s="530"/>
    </row>
    <row r="2213">
      <c r="A2213" s="857"/>
      <c r="B2213" s="865" t="s">
        <v>124</v>
      </c>
      <c r="C2213" s="865" t="s">
        <v>591</v>
      </c>
      <c r="D2213" s="865" t="s">
        <v>592</v>
      </c>
      <c r="E2213" s="866">
        <v>2019.0</v>
      </c>
      <c r="F2213" s="865" t="s">
        <v>593</v>
      </c>
      <c r="G2213" s="865" t="s">
        <v>70</v>
      </c>
      <c r="H2213" s="867">
        <v>1508344.57</v>
      </c>
      <c r="I2213" s="867">
        <v>1649122.95</v>
      </c>
      <c r="J2213" s="868">
        <v>1358156.659</v>
      </c>
      <c r="K2213" s="50"/>
      <c r="L2213" s="869" t="s">
        <v>124</v>
      </c>
      <c r="M2213" s="865" t="s">
        <v>591</v>
      </c>
      <c r="N2213" s="865" t="s">
        <v>592</v>
      </c>
      <c r="O2213" s="866">
        <v>2004.0</v>
      </c>
      <c r="P2213" s="865" t="s">
        <v>593</v>
      </c>
      <c r="Q2213" s="865" t="s">
        <v>70</v>
      </c>
      <c r="R2213" s="867">
        <v>1259524.101</v>
      </c>
      <c r="S2213" s="867">
        <v>1364545.866</v>
      </c>
      <c r="T2213" s="868">
        <v>1162950.981</v>
      </c>
      <c r="AN2213" s="882"/>
      <c r="AO2213" s="882"/>
      <c r="AP2213" s="882"/>
      <c r="AY2213" s="882"/>
      <c r="AZ2213" s="882"/>
      <c r="BA2213" s="882"/>
      <c r="BJ2213" s="882"/>
      <c r="BK2213" s="882"/>
      <c r="BL2213" s="882"/>
      <c r="BU2213" s="882"/>
      <c r="BV2213" s="882"/>
      <c r="BW2213" s="882"/>
      <c r="CF2213" s="882"/>
      <c r="CG2213" s="882"/>
      <c r="CH2213" s="882"/>
      <c r="CI2213" s="530"/>
    </row>
    <row r="2214">
      <c r="A2214" s="857"/>
      <c r="B2214" s="865" t="s">
        <v>124</v>
      </c>
      <c r="C2214" s="865" t="s">
        <v>591</v>
      </c>
      <c r="D2214" s="865" t="s">
        <v>601</v>
      </c>
      <c r="E2214" s="866">
        <v>2019.0</v>
      </c>
      <c r="F2214" s="865" t="s">
        <v>593</v>
      </c>
      <c r="G2214" s="865" t="s">
        <v>70</v>
      </c>
      <c r="H2214" s="867">
        <v>2.39179234E7</v>
      </c>
      <c r="I2214" s="867">
        <v>2.615025583E7</v>
      </c>
      <c r="J2214" s="868">
        <v>2.153638337E7</v>
      </c>
      <c r="K2214" s="50"/>
      <c r="L2214" s="869" t="s">
        <v>124</v>
      </c>
      <c r="M2214" s="865" t="s">
        <v>591</v>
      </c>
      <c r="N2214" s="865" t="s">
        <v>601</v>
      </c>
      <c r="O2214" s="866">
        <v>2004.0</v>
      </c>
      <c r="P2214" s="865" t="s">
        <v>593</v>
      </c>
      <c r="Q2214" s="865" t="s">
        <v>70</v>
      </c>
      <c r="R2214" s="867">
        <v>1.698371112E7</v>
      </c>
      <c r="S2214" s="867">
        <v>1.839984863E7</v>
      </c>
      <c r="T2214" s="868">
        <v>1.568149707E7</v>
      </c>
      <c r="AN2214" s="882"/>
      <c r="AO2214" s="882"/>
      <c r="AP2214" s="882"/>
      <c r="AY2214" s="882"/>
      <c r="AZ2214" s="882"/>
      <c r="BA2214" s="882"/>
      <c r="BJ2214" s="882"/>
      <c r="BK2214" s="882"/>
      <c r="BL2214" s="882"/>
      <c r="BU2214" s="882"/>
      <c r="BV2214" s="882"/>
      <c r="BW2214" s="882"/>
      <c r="CF2214" s="882"/>
      <c r="CG2214" s="882"/>
      <c r="CH2214" s="882"/>
      <c r="CI2214" s="530"/>
    </row>
    <row r="2215">
      <c r="A2215" s="857"/>
      <c r="B2215" s="865" t="s">
        <v>124</v>
      </c>
      <c r="C2215" s="865" t="s">
        <v>591</v>
      </c>
      <c r="D2215" s="865" t="s">
        <v>606</v>
      </c>
      <c r="E2215" s="866">
        <v>2019.0</v>
      </c>
      <c r="F2215" s="865" t="s">
        <v>593</v>
      </c>
      <c r="G2215" s="865" t="s">
        <v>70</v>
      </c>
      <c r="H2215" s="867">
        <v>1.907747193E7</v>
      </c>
      <c r="I2215" s="867">
        <v>2.085803032E7</v>
      </c>
      <c r="J2215" s="868">
        <v>1.717790221E7</v>
      </c>
      <c r="K2215" s="50"/>
      <c r="L2215" s="869" t="s">
        <v>124</v>
      </c>
      <c r="M2215" s="865" t="s">
        <v>591</v>
      </c>
      <c r="N2215" s="865" t="s">
        <v>606</v>
      </c>
      <c r="O2215" s="866">
        <v>2004.0</v>
      </c>
      <c r="P2215" s="865" t="s">
        <v>593</v>
      </c>
      <c r="Q2215" s="865" t="s">
        <v>70</v>
      </c>
      <c r="R2215" s="867">
        <v>1.385043958E7</v>
      </c>
      <c r="S2215" s="867">
        <v>1.500531833E7</v>
      </c>
      <c r="T2215" s="868">
        <v>1.278846691E7</v>
      </c>
      <c r="AN2215" s="882"/>
      <c r="AO2215" s="882"/>
      <c r="AP2215" s="882"/>
      <c r="AY2215" s="882"/>
      <c r="AZ2215" s="882"/>
      <c r="BA2215" s="882"/>
      <c r="BJ2215" s="882"/>
      <c r="BK2215" s="882"/>
      <c r="BL2215" s="882"/>
      <c r="BU2215" s="882"/>
      <c r="BV2215" s="882"/>
      <c r="BW2215" s="882"/>
      <c r="CF2215" s="882"/>
      <c r="CG2215" s="882"/>
      <c r="CH2215" s="882"/>
      <c r="CI2215" s="530"/>
    </row>
    <row r="2216">
      <c r="A2216" s="857"/>
      <c r="B2216" s="865" t="s">
        <v>124</v>
      </c>
      <c r="C2216" s="865" t="s">
        <v>591</v>
      </c>
      <c r="D2216" s="865" t="s">
        <v>608</v>
      </c>
      <c r="E2216" s="866">
        <v>2019.0</v>
      </c>
      <c r="F2216" s="865" t="s">
        <v>593</v>
      </c>
      <c r="G2216" s="865" t="s">
        <v>70</v>
      </c>
      <c r="H2216" s="867">
        <v>5581405.246</v>
      </c>
      <c r="I2216" s="867">
        <v>6102334.746</v>
      </c>
      <c r="J2216" s="868">
        <v>5025657.165</v>
      </c>
      <c r="K2216" s="50"/>
      <c r="L2216" s="869" t="s">
        <v>124</v>
      </c>
      <c r="M2216" s="865" t="s">
        <v>591</v>
      </c>
      <c r="N2216" s="865" t="s">
        <v>608</v>
      </c>
      <c r="O2216" s="866">
        <v>2004.0</v>
      </c>
      <c r="P2216" s="865" t="s">
        <v>593</v>
      </c>
      <c r="Q2216" s="865" t="s">
        <v>70</v>
      </c>
      <c r="R2216" s="867">
        <v>4341730.533</v>
      </c>
      <c r="S2216" s="867">
        <v>4703753.147</v>
      </c>
      <c r="T2216" s="868">
        <v>4008831.414</v>
      </c>
      <c r="AN2216" s="882"/>
      <c r="AO2216" s="882"/>
      <c r="AP2216" s="882"/>
      <c r="AY2216" s="882"/>
      <c r="AZ2216" s="882"/>
      <c r="BA2216" s="882"/>
      <c r="BJ2216" s="882"/>
      <c r="BK2216" s="882"/>
      <c r="BL2216" s="882"/>
      <c r="BU2216" s="882"/>
      <c r="BV2216" s="882"/>
      <c r="BW2216" s="882"/>
      <c r="CF2216" s="882"/>
      <c r="CG2216" s="882"/>
      <c r="CH2216" s="882"/>
      <c r="CI2216" s="530"/>
    </row>
    <row r="2217">
      <c r="A2217" s="857"/>
      <c r="B2217" s="865" t="s">
        <v>124</v>
      </c>
      <c r="C2217" s="865" t="s">
        <v>591</v>
      </c>
      <c r="D2217" s="865" t="s">
        <v>610</v>
      </c>
      <c r="E2217" s="866">
        <v>2019.0</v>
      </c>
      <c r="F2217" s="865" t="s">
        <v>593</v>
      </c>
      <c r="G2217" s="865" t="s">
        <v>70</v>
      </c>
      <c r="H2217" s="867">
        <v>5673366.424</v>
      </c>
      <c r="I2217" s="867">
        <v>6202878.94</v>
      </c>
      <c r="J2217" s="868">
        <v>5108461.644</v>
      </c>
      <c r="K2217" s="50"/>
      <c r="L2217" s="869" t="s">
        <v>124</v>
      </c>
      <c r="M2217" s="865" t="s">
        <v>591</v>
      </c>
      <c r="N2217" s="865" t="s">
        <v>610</v>
      </c>
      <c r="O2217" s="866">
        <v>2004.0</v>
      </c>
      <c r="P2217" s="865" t="s">
        <v>593</v>
      </c>
      <c r="Q2217" s="865" t="s">
        <v>70</v>
      </c>
      <c r="R2217" s="867">
        <v>3807401.686</v>
      </c>
      <c r="S2217" s="867">
        <v>4124870.838</v>
      </c>
      <c r="T2217" s="868">
        <v>3515471.853</v>
      </c>
      <c r="AN2217" s="882"/>
      <c r="AO2217" s="882"/>
      <c r="AP2217" s="882"/>
      <c r="AY2217" s="882"/>
      <c r="AZ2217" s="882"/>
      <c r="BA2217" s="882"/>
      <c r="BJ2217" s="882"/>
      <c r="BK2217" s="882"/>
      <c r="BL2217" s="882"/>
      <c r="BU2217" s="882"/>
      <c r="BV2217" s="882"/>
      <c r="BW2217" s="882"/>
      <c r="CF2217" s="882"/>
      <c r="CG2217" s="882"/>
      <c r="CH2217" s="882"/>
      <c r="CI2217" s="530"/>
    </row>
    <row r="2218">
      <c r="A2218" s="857"/>
      <c r="B2218" s="865" t="s">
        <v>124</v>
      </c>
      <c r="C2218" s="865" t="s">
        <v>591</v>
      </c>
      <c r="D2218" s="865" t="s">
        <v>612</v>
      </c>
      <c r="E2218" s="866">
        <v>2019.0</v>
      </c>
      <c r="F2218" s="865" t="s">
        <v>593</v>
      </c>
      <c r="G2218" s="865" t="s">
        <v>70</v>
      </c>
      <c r="H2218" s="867">
        <v>1.051381789E7</v>
      </c>
      <c r="I2218" s="867">
        <v>1.149510445E7</v>
      </c>
      <c r="J2218" s="868">
        <v>9466942.805</v>
      </c>
      <c r="K2218" s="50"/>
      <c r="L2218" s="869" t="s">
        <v>124</v>
      </c>
      <c r="M2218" s="865" t="s">
        <v>591</v>
      </c>
      <c r="N2218" s="865" t="s">
        <v>612</v>
      </c>
      <c r="O2218" s="866">
        <v>2004.0</v>
      </c>
      <c r="P2218" s="865" t="s">
        <v>593</v>
      </c>
      <c r="Q2218" s="865" t="s">
        <v>70</v>
      </c>
      <c r="R2218" s="867">
        <v>6940673.223</v>
      </c>
      <c r="S2218" s="867">
        <v>7519401.138</v>
      </c>
      <c r="T2218" s="868">
        <v>6408502.01</v>
      </c>
      <c r="AN2218" s="882"/>
      <c r="AO2218" s="882"/>
      <c r="AP2218" s="882"/>
      <c r="AY2218" s="882"/>
      <c r="AZ2218" s="882"/>
      <c r="BA2218" s="882"/>
      <c r="BJ2218" s="882"/>
      <c r="BK2218" s="882"/>
      <c r="BL2218" s="882"/>
      <c r="BU2218" s="882"/>
      <c r="BV2218" s="882"/>
      <c r="BW2218" s="882"/>
      <c r="CF2218" s="882"/>
      <c r="CG2218" s="882"/>
      <c r="CH2218" s="882"/>
      <c r="CI2218" s="530"/>
    </row>
    <row r="2219">
      <c r="A2219" s="857"/>
      <c r="B2219" s="865" t="s">
        <v>124</v>
      </c>
      <c r="C2219" s="865" t="s">
        <v>591</v>
      </c>
      <c r="D2219" s="865" t="s">
        <v>614</v>
      </c>
      <c r="E2219" s="866">
        <v>2019.0</v>
      </c>
      <c r="F2219" s="865" t="s">
        <v>593</v>
      </c>
      <c r="G2219" s="865" t="s">
        <v>70</v>
      </c>
      <c r="H2219" s="867">
        <v>1.439913214E7</v>
      </c>
      <c r="I2219" s="867">
        <v>1.574304687E7</v>
      </c>
      <c r="J2219" s="868">
        <v>1.296539105E7</v>
      </c>
      <c r="K2219" s="50"/>
      <c r="L2219" s="869" t="s">
        <v>124</v>
      </c>
      <c r="M2219" s="865" t="s">
        <v>591</v>
      </c>
      <c r="N2219" s="865" t="s">
        <v>614</v>
      </c>
      <c r="O2219" s="866">
        <v>2004.0</v>
      </c>
      <c r="P2219" s="865" t="s">
        <v>593</v>
      </c>
      <c r="Q2219" s="865" t="s">
        <v>70</v>
      </c>
      <c r="R2219" s="867">
        <v>9391507.295</v>
      </c>
      <c r="S2219" s="867">
        <v>1.01745909E7</v>
      </c>
      <c r="T2219" s="868">
        <v>8671420.112</v>
      </c>
      <c r="AN2219" s="882"/>
      <c r="AO2219" s="882"/>
      <c r="AP2219" s="882"/>
      <c r="AY2219" s="882"/>
      <c r="AZ2219" s="882"/>
      <c r="BA2219" s="882"/>
      <c r="BJ2219" s="882"/>
      <c r="BK2219" s="882"/>
      <c r="BL2219" s="882"/>
      <c r="BU2219" s="882"/>
      <c r="BV2219" s="882"/>
      <c r="BW2219" s="882"/>
      <c r="CF2219" s="882"/>
      <c r="CG2219" s="882"/>
      <c r="CH2219" s="882"/>
      <c r="CI2219" s="530"/>
    </row>
    <row r="2220">
      <c r="A2220" s="857"/>
      <c r="B2220" s="865" t="s">
        <v>124</v>
      </c>
      <c r="C2220" s="865" t="s">
        <v>591</v>
      </c>
      <c r="D2220" s="865" t="s">
        <v>616</v>
      </c>
      <c r="E2220" s="866">
        <v>2019.0</v>
      </c>
      <c r="F2220" s="865" t="s">
        <v>593</v>
      </c>
      <c r="G2220" s="865" t="s">
        <v>70</v>
      </c>
      <c r="H2220" s="867">
        <v>4840451.47</v>
      </c>
      <c r="I2220" s="867">
        <v>5292225.505</v>
      </c>
      <c r="J2220" s="868">
        <v>4358481.161</v>
      </c>
      <c r="K2220" s="50"/>
      <c r="L2220" s="869" t="s">
        <v>124</v>
      </c>
      <c r="M2220" s="865" t="s">
        <v>591</v>
      </c>
      <c r="N2220" s="865" t="s">
        <v>616</v>
      </c>
      <c r="O2220" s="866">
        <v>2004.0</v>
      </c>
      <c r="P2220" s="865" t="s">
        <v>593</v>
      </c>
      <c r="Q2220" s="865" t="s">
        <v>70</v>
      </c>
      <c r="R2220" s="867">
        <v>3133271.537</v>
      </c>
      <c r="S2220" s="867">
        <v>3394530.301</v>
      </c>
      <c r="T2220" s="868">
        <v>2893030.157</v>
      </c>
      <c r="AN2220" s="882"/>
      <c r="AO2220" s="882"/>
      <c r="AP2220" s="882"/>
      <c r="AY2220" s="882"/>
      <c r="AZ2220" s="882"/>
      <c r="BA2220" s="882"/>
      <c r="BJ2220" s="882"/>
      <c r="BK2220" s="882"/>
      <c r="BL2220" s="882"/>
      <c r="BU2220" s="882"/>
      <c r="BV2220" s="882"/>
      <c r="BW2220" s="882"/>
      <c r="CF2220" s="882"/>
      <c r="CG2220" s="882"/>
      <c r="CH2220" s="882"/>
      <c r="CI2220" s="530"/>
    </row>
    <row r="2221">
      <c r="A2221" s="857"/>
      <c r="B2221" s="865" t="s">
        <v>124</v>
      </c>
      <c r="C2221" s="865" t="s">
        <v>591</v>
      </c>
      <c r="D2221" s="865" t="s">
        <v>618</v>
      </c>
      <c r="E2221" s="866">
        <v>2019.0</v>
      </c>
      <c r="F2221" s="865" t="s">
        <v>593</v>
      </c>
      <c r="G2221" s="865" t="s">
        <v>70</v>
      </c>
      <c r="H2221" s="867">
        <v>1.615686249E7</v>
      </c>
      <c r="I2221" s="867">
        <v>1.766565428E7</v>
      </c>
      <c r="J2221" s="868">
        <v>1.454819341E7</v>
      </c>
      <c r="K2221" s="50"/>
      <c r="L2221" s="869" t="s">
        <v>124</v>
      </c>
      <c r="M2221" s="865" t="s">
        <v>591</v>
      </c>
      <c r="N2221" s="865" t="s">
        <v>618</v>
      </c>
      <c r="O2221" s="866">
        <v>2004.0</v>
      </c>
      <c r="P2221" s="865" t="s">
        <v>593</v>
      </c>
      <c r="Q2221" s="865" t="s">
        <v>70</v>
      </c>
      <c r="R2221" s="867">
        <v>1.027924516E7</v>
      </c>
      <c r="S2221" s="867">
        <v>1.113682739E7</v>
      </c>
      <c r="T2221" s="868">
        <v>9491117.686</v>
      </c>
      <c r="AN2221" s="882"/>
      <c r="AO2221" s="882"/>
      <c r="AP2221" s="882"/>
      <c r="AY2221" s="882"/>
      <c r="AZ2221" s="882"/>
      <c r="BA2221" s="882"/>
      <c r="BJ2221" s="882"/>
      <c r="BK2221" s="882"/>
      <c r="BL2221" s="882"/>
      <c r="BU2221" s="882"/>
      <c r="BV2221" s="882"/>
      <c r="BW2221" s="882"/>
      <c r="CF2221" s="882"/>
      <c r="CG2221" s="882"/>
      <c r="CH2221" s="882"/>
      <c r="CI2221" s="530"/>
    </row>
    <row r="2222">
      <c r="A2222" s="857"/>
      <c r="B2222" s="865" t="s">
        <v>124</v>
      </c>
      <c r="C2222" s="865" t="s">
        <v>591</v>
      </c>
      <c r="D2222" s="865" t="s">
        <v>620</v>
      </c>
      <c r="E2222" s="866">
        <v>2019.0</v>
      </c>
      <c r="F2222" s="865" t="s">
        <v>593</v>
      </c>
      <c r="G2222" s="865" t="s">
        <v>70</v>
      </c>
      <c r="H2222" s="867">
        <v>1.888075841E7</v>
      </c>
      <c r="I2222" s="867">
        <v>2.064295693E7</v>
      </c>
      <c r="J2222" s="868">
        <v>1.700077572E7</v>
      </c>
      <c r="K2222" s="50"/>
      <c r="L2222" s="869" t="s">
        <v>124</v>
      </c>
      <c r="M2222" s="865" t="s">
        <v>591</v>
      </c>
      <c r="N2222" s="865" t="s">
        <v>620</v>
      </c>
      <c r="O2222" s="866">
        <v>2004.0</v>
      </c>
      <c r="P2222" s="865" t="s">
        <v>593</v>
      </c>
      <c r="Q2222" s="865" t="s">
        <v>70</v>
      </c>
      <c r="R2222" s="867">
        <v>1.182931872E7</v>
      </c>
      <c r="S2222" s="867">
        <v>1.281567216E7</v>
      </c>
      <c r="T2222" s="868">
        <v>1.092231407E7</v>
      </c>
      <c r="AN2222" s="882"/>
      <c r="AO2222" s="882"/>
      <c r="AP2222" s="882"/>
      <c r="AY2222" s="882"/>
      <c r="AZ2222" s="882"/>
      <c r="BA2222" s="882"/>
      <c r="BJ2222" s="882"/>
      <c r="BK2222" s="882"/>
      <c r="BL2222" s="882"/>
      <c r="BU2222" s="882"/>
      <c r="BV2222" s="882"/>
      <c r="BW2222" s="882"/>
      <c r="CF2222" s="882"/>
      <c r="CG2222" s="882"/>
      <c r="CH2222" s="882"/>
      <c r="CI2222" s="530"/>
    </row>
    <row r="2223">
      <c r="A2223" s="857"/>
      <c r="B2223" s="865" t="s">
        <v>124</v>
      </c>
      <c r="C2223" s="865" t="s">
        <v>591</v>
      </c>
      <c r="D2223" s="865" t="s">
        <v>622</v>
      </c>
      <c r="E2223" s="866">
        <v>2019.0</v>
      </c>
      <c r="F2223" s="865" t="s">
        <v>593</v>
      </c>
      <c r="G2223" s="865" t="s">
        <v>70</v>
      </c>
      <c r="H2223" s="867">
        <v>1.719979957E7</v>
      </c>
      <c r="I2223" s="867">
        <v>1.880598496E7</v>
      </c>
      <c r="J2223" s="868">
        <v>1.548728975E7</v>
      </c>
      <c r="K2223" s="50"/>
      <c r="L2223" s="869" t="s">
        <v>124</v>
      </c>
      <c r="M2223" s="865" t="s">
        <v>591</v>
      </c>
      <c r="N2223" s="865" t="s">
        <v>622</v>
      </c>
      <c r="O2223" s="866">
        <v>2004.0</v>
      </c>
      <c r="P2223" s="865" t="s">
        <v>593</v>
      </c>
      <c r="Q2223" s="865" t="s">
        <v>70</v>
      </c>
      <c r="R2223" s="867">
        <v>1.056436527E7</v>
      </c>
      <c r="S2223" s="867">
        <v>1.144573465E7</v>
      </c>
      <c r="T2223" s="868">
        <v>9754377.142</v>
      </c>
      <c r="AN2223" s="882"/>
      <c r="AO2223" s="882"/>
      <c r="AP2223" s="882"/>
      <c r="AY2223" s="882"/>
      <c r="AZ2223" s="882"/>
      <c r="BA2223" s="882"/>
      <c r="BJ2223" s="882"/>
      <c r="BK2223" s="882"/>
      <c r="BL2223" s="882"/>
      <c r="BU2223" s="882"/>
      <c r="BV2223" s="882"/>
      <c r="BW2223" s="882"/>
      <c r="CF2223" s="882"/>
      <c r="CG2223" s="882"/>
      <c r="CH2223" s="882"/>
      <c r="CI2223" s="530"/>
    </row>
    <row r="2224">
      <c r="A2224" s="857"/>
      <c r="B2224" s="865" t="s">
        <v>124</v>
      </c>
      <c r="C2224" s="865" t="s">
        <v>591</v>
      </c>
      <c r="D2224" s="865" t="s">
        <v>624</v>
      </c>
      <c r="E2224" s="866">
        <v>2019.0</v>
      </c>
      <c r="F2224" s="865" t="s">
        <v>593</v>
      </c>
      <c r="G2224" s="865" t="s">
        <v>70</v>
      </c>
      <c r="H2224" s="867">
        <v>3885314.249</v>
      </c>
      <c r="I2224" s="867">
        <v>4247942.426</v>
      </c>
      <c r="J2224" s="868">
        <v>3498448.246</v>
      </c>
      <c r="K2224" s="50"/>
      <c r="L2224" s="869" t="s">
        <v>124</v>
      </c>
      <c r="M2224" s="865" t="s">
        <v>591</v>
      </c>
      <c r="N2224" s="865" t="s">
        <v>624</v>
      </c>
      <c r="O2224" s="866">
        <v>2004.0</v>
      </c>
      <c r="P2224" s="865" t="s">
        <v>593</v>
      </c>
      <c r="Q2224" s="865" t="s">
        <v>70</v>
      </c>
      <c r="R2224" s="867">
        <v>2450834.072</v>
      </c>
      <c r="S2224" s="867">
        <v>2655189.766</v>
      </c>
      <c r="T2224" s="868">
        <v>2262918.102</v>
      </c>
      <c r="AN2224" s="882"/>
      <c r="AO2224" s="882"/>
      <c r="AP2224" s="882"/>
      <c r="AY2224" s="882"/>
      <c r="AZ2224" s="882"/>
      <c r="BA2224" s="882"/>
      <c r="BJ2224" s="882"/>
      <c r="BK2224" s="882"/>
      <c r="BL2224" s="882"/>
      <c r="BU2224" s="882"/>
      <c r="BV2224" s="882"/>
      <c r="BW2224" s="882"/>
      <c r="CF2224" s="882"/>
      <c r="CG2224" s="882"/>
      <c r="CH2224" s="882"/>
      <c r="CI2224" s="530"/>
    </row>
    <row r="2225">
      <c r="A2225" s="857"/>
      <c r="B2225" s="865" t="s">
        <v>124</v>
      </c>
      <c r="C2225" s="865" t="s">
        <v>591</v>
      </c>
      <c r="D2225" s="865" t="s">
        <v>625</v>
      </c>
      <c r="E2225" s="866">
        <v>2019.0</v>
      </c>
      <c r="F2225" s="865" t="s">
        <v>593</v>
      </c>
      <c r="G2225" s="865" t="s">
        <v>70</v>
      </c>
      <c r="H2225" s="867">
        <v>1.331461859E7</v>
      </c>
      <c r="I2225" s="867">
        <v>1.455731238E7</v>
      </c>
      <c r="J2225" s="868">
        <v>1.198886398E7</v>
      </c>
      <c r="K2225" s="50"/>
      <c r="L2225" s="869" t="s">
        <v>124</v>
      </c>
      <c r="M2225" s="865" t="s">
        <v>591</v>
      </c>
      <c r="N2225" s="865" t="s">
        <v>625</v>
      </c>
      <c r="O2225" s="866">
        <v>2004.0</v>
      </c>
      <c r="P2225" s="865" t="s">
        <v>593</v>
      </c>
      <c r="Q2225" s="865" t="s">
        <v>70</v>
      </c>
      <c r="R2225" s="867">
        <v>8113565.424</v>
      </c>
      <c r="S2225" s="867">
        <v>8790091.555</v>
      </c>
      <c r="T2225" s="868">
        <v>7491463.531</v>
      </c>
      <c r="AN2225" s="882"/>
      <c r="AO2225" s="882"/>
      <c r="AP2225" s="882"/>
      <c r="AY2225" s="882"/>
      <c r="AZ2225" s="882"/>
      <c r="BA2225" s="882"/>
      <c r="BJ2225" s="882"/>
      <c r="BK2225" s="882"/>
      <c r="BL2225" s="882"/>
      <c r="BU2225" s="882"/>
      <c r="BV2225" s="882"/>
      <c r="BW2225" s="882"/>
      <c r="CF2225" s="882"/>
      <c r="CG2225" s="882"/>
      <c r="CH2225" s="882"/>
      <c r="CI2225" s="530"/>
    </row>
    <row r="2226">
      <c r="A2226" s="857"/>
      <c r="B2226" s="865" t="s">
        <v>124</v>
      </c>
      <c r="C2226" s="865" t="s">
        <v>591</v>
      </c>
      <c r="D2226" s="865" t="s">
        <v>627</v>
      </c>
      <c r="E2226" s="866">
        <v>2019.0</v>
      </c>
      <c r="F2226" s="865" t="s">
        <v>593</v>
      </c>
      <c r="G2226" s="865" t="s">
        <v>70</v>
      </c>
      <c r="H2226" s="867">
        <v>3090614.061</v>
      </c>
      <c r="I2226" s="867">
        <v>3379070.457</v>
      </c>
      <c r="J2226" s="868">
        <v>2782877.433</v>
      </c>
      <c r="K2226" s="50"/>
      <c r="L2226" s="869" t="s">
        <v>124</v>
      </c>
      <c r="M2226" s="865" t="s">
        <v>591</v>
      </c>
      <c r="N2226" s="865" t="s">
        <v>627</v>
      </c>
      <c r="O2226" s="866">
        <v>2004.0</v>
      </c>
      <c r="P2226" s="865" t="s">
        <v>593</v>
      </c>
      <c r="Q2226" s="865" t="s">
        <v>70</v>
      </c>
      <c r="R2226" s="867">
        <v>1965749.634</v>
      </c>
      <c r="S2226" s="867">
        <v>2129657.969</v>
      </c>
      <c r="T2226" s="868">
        <v>1815027.171</v>
      </c>
      <c r="AN2226" s="882"/>
      <c r="AO2226" s="882"/>
      <c r="AP2226" s="882"/>
      <c r="AY2226" s="882"/>
      <c r="AZ2226" s="882"/>
      <c r="BA2226" s="882"/>
      <c r="BJ2226" s="882"/>
      <c r="BK2226" s="882"/>
      <c r="BL2226" s="882"/>
      <c r="BU2226" s="882"/>
      <c r="BV2226" s="882"/>
      <c r="BW2226" s="882"/>
      <c r="CF2226" s="882"/>
      <c r="CG2226" s="882"/>
      <c r="CH2226" s="882"/>
      <c r="CI2226" s="530"/>
    </row>
    <row r="2227">
      <c r="A2227" s="857"/>
      <c r="B2227" s="865" t="s">
        <v>124</v>
      </c>
      <c r="C2227" s="865" t="s">
        <v>591</v>
      </c>
      <c r="D2227" s="865" t="s">
        <v>629</v>
      </c>
      <c r="E2227" s="866">
        <v>2019.0</v>
      </c>
      <c r="F2227" s="865" t="s">
        <v>593</v>
      </c>
      <c r="G2227" s="865" t="s">
        <v>70</v>
      </c>
      <c r="H2227" s="867">
        <v>1.015491401E7</v>
      </c>
      <c r="I2227" s="867">
        <v>1.110322009E7</v>
      </c>
      <c r="J2227" s="868">
        <v>9143833.044</v>
      </c>
      <c r="K2227" s="50"/>
      <c r="L2227" s="869" t="s">
        <v>124</v>
      </c>
      <c r="M2227" s="865" t="s">
        <v>591</v>
      </c>
      <c r="N2227" s="865" t="s">
        <v>629</v>
      </c>
      <c r="O2227" s="866">
        <v>2004.0</v>
      </c>
      <c r="P2227" s="865" t="s">
        <v>593</v>
      </c>
      <c r="Q2227" s="865" t="s">
        <v>70</v>
      </c>
      <c r="R2227" s="867">
        <v>6245192.874</v>
      </c>
      <c r="S2227" s="867">
        <v>6766220.084</v>
      </c>
      <c r="T2227" s="868">
        <v>5766363.152</v>
      </c>
      <c r="AN2227" s="882"/>
      <c r="AO2227" s="882"/>
      <c r="AP2227" s="882"/>
      <c r="AY2227" s="882"/>
      <c r="AZ2227" s="882"/>
      <c r="BA2227" s="882"/>
      <c r="BJ2227" s="882"/>
      <c r="BK2227" s="882"/>
      <c r="BL2227" s="882"/>
      <c r="BU2227" s="882"/>
      <c r="BV2227" s="882"/>
      <c r="BW2227" s="882"/>
      <c r="CF2227" s="882"/>
      <c r="CG2227" s="882"/>
      <c r="CH2227" s="882"/>
      <c r="CI2227" s="530"/>
    </row>
    <row r="2228">
      <c r="A2228" s="857"/>
      <c r="B2228" s="865" t="s">
        <v>124</v>
      </c>
      <c r="C2228" s="865" t="s">
        <v>591</v>
      </c>
      <c r="D2228" s="865" t="s">
        <v>631</v>
      </c>
      <c r="E2228" s="866">
        <v>2019.0</v>
      </c>
      <c r="F2228" s="865" t="s">
        <v>593</v>
      </c>
      <c r="G2228" s="865" t="s">
        <v>70</v>
      </c>
      <c r="H2228" s="867">
        <v>2441033.111</v>
      </c>
      <c r="I2228" s="867">
        <v>2668862.144</v>
      </c>
      <c r="J2228" s="868">
        <v>2197976.137</v>
      </c>
      <c r="K2228" s="50"/>
      <c r="L2228" s="869" t="s">
        <v>124</v>
      </c>
      <c r="M2228" s="865" t="s">
        <v>591</v>
      </c>
      <c r="N2228" s="865" t="s">
        <v>631</v>
      </c>
      <c r="O2228" s="866">
        <v>2004.0</v>
      </c>
      <c r="P2228" s="865" t="s">
        <v>593</v>
      </c>
      <c r="Q2228" s="865" t="s">
        <v>70</v>
      </c>
      <c r="R2228" s="867">
        <v>1552127.1</v>
      </c>
      <c r="S2228" s="867">
        <v>1681546.718</v>
      </c>
      <c r="T2228" s="868">
        <v>1433118.851</v>
      </c>
      <c r="AN2228" s="882"/>
      <c r="AO2228" s="882"/>
      <c r="AP2228" s="882"/>
      <c r="AY2228" s="882"/>
      <c r="AZ2228" s="882"/>
      <c r="BA2228" s="882"/>
      <c r="BJ2228" s="882"/>
      <c r="BK2228" s="882"/>
      <c r="BL2228" s="882"/>
      <c r="BU2228" s="882"/>
      <c r="BV2228" s="882"/>
      <c r="BW2228" s="882"/>
      <c r="CF2228" s="882"/>
      <c r="CG2228" s="882"/>
      <c r="CH2228" s="882"/>
      <c r="CI2228" s="530"/>
    </row>
    <row r="2229">
      <c r="A2229" s="857"/>
      <c r="B2229" s="865" t="s">
        <v>124</v>
      </c>
      <c r="C2229" s="865" t="s">
        <v>591</v>
      </c>
      <c r="D2229" s="865" t="s">
        <v>633</v>
      </c>
      <c r="E2229" s="866">
        <v>2019.0</v>
      </c>
      <c r="F2229" s="865" t="s">
        <v>593</v>
      </c>
      <c r="G2229" s="865" t="s">
        <v>70</v>
      </c>
      <c r="H2229" s="867">
        <v>1899574.787</v>
      </c>
      <c r="I2229" s="867">
        <v>2076867.87</v>
      </c>
      <c r="J2229" s="868">
        <v>1710431.553</v>
      </c>
      <c r="K2229" s="50"/>
      <c r="L2229" s="869" t="s">
        <v>124</v>
      </c>
      <c r="M2229" s="865" t="s">
        <v>591</v>
      </c>
      <c r="N2229" s="865" t="s">
        <v>633</v>
      </c>
      <c r="O2229" s="866">
        <v>2004.0</v>
      </c>
      <c r="P2229" s="865" t="s">
        <v>593</v>
      </c>
      <c r="Q2229" s="865" t="s">
        <v>70</v>
      </c>
      <c r="R2229" s="867">
        <v>1177296.123</v>
      </c>
      <c r="S2229" s="867">
        <v>1275461.547</v>
      </c>
      <c r="T2229" s="868">
        <v>1087027.775</v>
      </c>
      <c r="AN2229" s="882"/>
      <c r="AO2229" s="882"/>
      <c r="AP2229" s="882"/>
      <c r="AY2229" s="882"/>
      <c r="AZ2229" s="882"/>
      <c r="BA2229" s="882"/>
      <c r="BJ2229" s="882"/>
      <c r="BK2229" s="882"/>
      <c r="BL2229" s="882"/>
      <c r="BU2229" s="882"/>
      <c r="BV2229" s="882"/>
      <c r="BW2229" s="882"/>
      <c r="CF2229" s="882"/>
      <c r="CG2229" s="882"/>
      <c r="CH2229" s="882"/>
      <c r="CI2229" s="530"/>
    </row>
    <row r="2230">
      <c r="A2230" s="857"/>
      <c r="B2230" s="865" t="s">
        <v>124</v>
      </c>
      <c r="C2230" s="865" t="s">
        <v>591</v>
      </c>
      <c r="D2230" s="865" t="s">
        <v>635</v>
      </c>
      <c r="E2230" s="866">
        <v>2019.0</v>
      </c>
      <c r="F2230" s="865" t="s">
        <v>593</v>
      </c>
      <c r="G2230" s="865" t="s">
        <v>70</v>
      </c>
      <c r="H2230" s="867">
        <v>1516102.654</v>
      </c>
      <c r="I2230" s="867">
        <v>1657605.119</v>
      </c>
      <c r="J2230" s="868">
        <v>1365142.259</v>
      </c>
      <c r="K2230" s="50"/>
      <c r="L2230" s="869" t="s">
        <v>124</v>
      </c>
      <c r="M2230" s="865" t="s">
        <v>591</v>
      </c>
      <c r="N2230" s="865" t="s">
        <v>635</v>
      </c>
      <c r="O2230" s="866">
        <v>2004.0</v>
      </c>
      <c r="P2230" s="865" t="s">
        <v>593</v>
      </c>
      <c r="Q2230" s="865" t="s">
        <v>70</v>
      </c>
      <c r="R2230" s="867">
        <v>899440.3553</v>
      </c>
      <c r="S2230" s="867">
        <v>974437.5818</v>
      </c>
      <c r="T2230" s="868">
        <v>830476.4019</v>
      </c>
      <c r="AN2230" s="882"/>
      <c r="AO2230" s="882"/>
      <c r="AP2230" s="882"/>
      <c r="AY2230" s="882"/>
      <c r="AZ2230" s="882"/>
      <c r="BA2230" s="882"/>
      <c r="BJ2230" s="882"/>
      <c r="BK2230" s="882"/>
      <c r="BL2230" s="882"/>
      <c r="BU2230" s="882"/>
      <c r="BV2230" s="882"/>
      <c r="BW2230" s="882"/>
      <c r="CF2230" s="882"/>
      <c r="CG2230" s="882"/>
      <c r="CH2230" s="882"/>
      <c r="CI2230" s="530"/>
    </row>
    <row r="2231">
      <c r="A2231" s="857"/>
      <c r="B2231" s="865" t="s">
        <v>124</v>
      </c>
      <c r="C2231" s="865" t="s">
        <v>591</v>
      </c>
      <c r="D2231" s="865" t="s">
        <v>637</v>
      </c>
      <c r="E2231" s="866">
        <v>2019.0</v>
      </c>
      <c r="F2231" s="865" t="s">
        <v>593</v>
      </c>
      <c r="G2231" s="865" t="s">
        <v>70</v>
      </c>
      <c r="H2231" s="867">
        <v>1207668.08</v>
      </c>
      <c r="I2231" s="867">
        <v>1320383.409</v>
      </c>
      <c r="J2231" s="868">
        <v>1087418.933</v>
      </c>
      <c r="K2231" s="50"/>
      <c r="L2231" s="869" t="s">
        <v>124</v>
      </c>
      <c r="M2231" s="865" t="s">
        <v>591</v>
      </c>
      <c r="N2231" s="865" t="s">
        <v>637</v>
      </c>
      <c r="O2231" s="866">
        <v>2004.0</v>
      </c>
      <c r="P2231" s="865" t="s">
        <v>593</v>
      </c>
      <c r="Q2231" s="865" t="s">
        <v>70</v>
      </c>
      <c r="R2231" s="867">
        <v>650599.8952</v>
      </c>
      <c r="S2231" s="867">
        <v>704848.2813</v>
      </c>
      <c r="T2231" s="868">
        <v>600715.6081</v>
      </c>
      <c r="AN2231" s="882"/>
      <c r="AO2231" s="882"/>
      <c r="AP2231" s="882"/>
      <c r="AY2231" s="882"/>
      <c r="AZ2231" s="882"/>
      <c r="BA2231" s="882"/>
      <c r="BJ2231" s="882"/>
      <c r="BK2231" s="882"/>
      <c r="BL2231" s="882"/>
      <c r="BU2231" s="882"/>
      <c r="BV2231" s="882"/>
      <c r="BW2231" s="882"/>
      <c r="CF2231" s="882"/>
      <c r="CG2231" s="882"/>
      <c r="CH2231" s="882"/>
      <c r="CI2231" s="530"/>
    </row>
    <row r="2232">
      <c r="A2232" s="857"/>
      <c r="B2232" s="865" t="s">
        <v>124</v>
      </c>
      <c r="C2232" s="865" t="s">
        <v>591</v>
      </c>
      <c r="D2232" s="865" t="s">
        <v>639</v>
      </c>
      <c r="E2232" s="866">
        <v>2019.0</v>
      </c>
      <c r="F2232" s="865" t="s">
        <v>593</v>
      </c>
      <c r="G2232" s="865" t="s">
        <v>70</v>
      </c>
      <c r="H2232" s="867">
        <v>1.682804319E7</v>
      </c>
      <c r="I2232" s="867">
        <v>1.83995125E7</v>
      </c>
      <c r="J2232" s="868">
        <v>1.515254756E7</v>
      </c>
      <c r="K2232" s="50"/>
      <c r="L2232" s="869" t="s">
        <v>124</v>
      </c>
      <c r="M2232" s="865" t="s">
        <v>591</v>
      </c>
      <c r="N2232" s="865" t="s">
        <v>639</v>
      </c>
      <c r="O2232" s="866">
        <v>2004.0</v>
      </c>
      <c r="P2232" s="865" t="s">
        <v>593</v>
      </c>
      <c r="Q2232" s="865" t="s">
        <v>70</v>
      </c>
      <c r="R2232" s="867">
        <v>1.138241961E7</v>
      </c>
      <c r="S2232" s="867">
        <v>1.233203805E7</v>
      </c>
      <c r="T2232" s="868">
        <v>1.050970984E7</v>
      </c>
      <c r="AN2232" s="882"/>
      <c r="AO2232" s="882"/>
      <c r="AP2232" s="882"/>
      <c r="AY2232" s="882"/>
      <c r="AZ2232" s="882"/>
      <c r="BA2232" s="882"/>
      <c r="BJ2232" s="882"/>
      <c r="BK2232" s="882"/>
      <c r="BL2232" s="882"/>
      <c r="BU2232" s="882"/>
      <c r="BV2232" s="882"/>
      <c r="BW2232" s="882"/>
      <c r="CF2232" s="882"/>
      <c r="CG2232" s="882"/>
      <c r="CH2232" s="882"/>
      <c r="CI2232" s="530"/>
    </row>
    <row r="2233">
      <c r="A2233" s="857"/>
      <c r="B2233" s="865" t="s">
        <v>124</v>
      </c>
      <c r="C2233" s="865" t="s">
        <v>591</v>
      </c>
      <c r="D2233" s="865" t="s">
        <v>641</v>
      </c>
      <c r="E2233" s="866">
        <v>2019.0</v>
      </c>
      <c r="F2233" s="865" t="s">
        <v>593</v>
      </c>
      <c r="G2233" s="865" t="s">
        <v>70</v>
      </c>
      <c r="H2233" s="867">
        <v>6314355.693</v>
      </c>
      <c r="I2233" s="867">
        <v>6903693.684</v>
      </c>
      <c r="J2233" s="868">
        <v>5685626.743</v>
      </c>
      <c r="K2233" s="50"/>
      <c r="L2233" s="869" t="s">
        <v>124</v>
      </c>
      <c r="M2233" s="865" t="s">
        <v>591</v>
      </c>
      <c r="N2233" s="865" t="s">
        <v>641</v>
      </c>
      <c r="O2233" s="866">
        <v>2004.0</v>
      </c>
      <c r="P2233" s="865" t="s">
        <v>593</v>
      </c>
      <c r="Q2233" s="865" t="s">
        <v>70</v>
      </c>
      <c r="R2233" s="867">
        <v>4441783.259</v>
      </c>
      <c r="S2233" s="867">
        <v>4812148.479</v>
      </c>
      <c r="T2233" s="868">
        <v>4101212.668</v>
      </c>
      <c r="AN2233" s="882"/>
      <c r="AO2233" s="882"/>
      <c r="AP2233" s="882"/>
      <c r="AY2233" s="882"/>
      <c r="AZ2233" s="882"/>
      <c r="BA2233" s="882"/>
      <c r="BJ2233" s="882"/>
      <c r="BK2233" s="882"/>
      <c r="BL2233" s="882"/>
      <c r="BU2233" s="882"/>
      <c r="BV2233" s="882"/>
      <c r="BW2233" s="882"/>
      <c r="CF2233" s="882"/>
      <c r="CG2233" s="882"/>
      <c r="CH2233" s="882"/>
      <c r="CI2233" s="530"/>
    </row>
    <row r="2234">
      <c r="A2234" s="857"/>
      <c r="B2234" s="865" t="s">
        <v>124</v>
      </c>
      <c r="C2234" s="865" t="s">
        <v>591</v>
      </c>
      <c r="D2234" s="865" t="s">
        <v>643</v>
      </c>
      <c r="E2234" s="866">
        <v>2019.0</v>
      </c>
      <c r="F2234" s="865" t="s">
        <v>593</v>
      </c>
      <c r="G2234" s="865" t="s">
        <v>70</v>
      </c>
      <c r="H2234" s="867">
        <v>936044.8525</v>
      </c>
      <c r="I2234" s="867">
        <v>1023408.761</v>
      </c>
      <c r="J2234" s="868">
        <v>842841.5986</v>
      </c>
      <c r="K2234" s="50"/>
      <c r="L2234" s="869" t="s">
        <v>124</v>
      </c>
      <c r="M2234" s="865" t="s">
        <v>591</v>
      </c>
      <c r="N2234" s="865" t="s">
        <v>643</v>
      </c>
      <c r="O2234" s="866">
        <v>2004.0</v>
      </c>
      <c r="P2234" s="865" t="s">
        <v>593</v>
      </c>
      <c r="Q2234" s="865" t="s">
        <v>70</v>
      </c>
      <c r="R2234" s="867">
        <v>488831.6732</v>
      </c>
      <c r="S2234" s="867">
        <v>529591.4851</v>
      </c>
      <c r="T2234" s="868">
        <v>451350.8502</v>
      </c>
      <c r="AN2234" s="882"/>
      <c r="AO2234" s="882"/>
      <c r="AP2234" s="882"/>
      <c r="AY2234" s="882"/>
      <c r="AZ2234" s="882"/>
      <c r="BA2234" s="882"/>
      <c r="BJ2234" s="882"/>
      <c r="BK2234" s="882"/>
      <c r="BL2234" s="882"/>
      <c r="BU2234" s="882"/>
      <c r="BV2234" s="882"/>
      <c r="BW2234" s="882"/>
      <c r="CF2234" s="882"/>
      <c r="CG2234" s="882"/>
      <c r="CH2234" s="882"/>
      <c r="CI2234" s="530"/>
    </row>
    <row r="2235">
      <c r="A2235" s="857"/>
      <c r="B2235" s="865" t="s">
        <v>124</v>
      </c>
      <c r="C2235" s="865" t="s">
        <v>591</v>
      </c>
      <c r="D2235" s="865" t="s">
        <v>645</v>
      </c>
      <c r="E2235" s="866">
        <v>2019.0</v>
      </c>
      <c r="F2235" s="865" t="s">
        <v>593</v>
      </c>
      <c r="G2235" s="865" t="s">
        <v>70</v>
      </c>
      <c r="H2235" s="867">
        <v>2563429.106</v>
      </c>
      <c r="I2235" s="867">
        <v>2802681.729</v>
      </c>
      <c r="J2235" s="868">
        <v>2308184.998</v>
      </c>
      <c r="K2235" s="50"/>
      <c r="L2235" s="869" t="s">
        <v>124</v>
      </c>
      <c r="M2235" s="865" t="s">
        <v>591</v>
      </c>
      <c r="N2235" s="865" t="s">
        <v>645</v>
      </c>
      <c r="O2235" s="866">
        <v>2004.0</v>
      </c>
      <c r="P2235" s="865" t="s">
        <v>593</v>
      </c>
      <c r="Q2235" s="865" t="s">
        <v>70</v>
      </c>
      <c r="R2235" s="867">
        <v>1497810.207</v>
      </c>
      <c r="S2235" s="867">
        <v>1622700.769</v>
      </c>
      <c r="T2235" s="868">
        <v>1382966.668</v>
      </c>
      <c r="AN2235" s="882"/>
      <c r="AO2235" s="882"/>
      <c r="AP2235" s="882"/>
      <c r="AY2235" s="882"/>
      <c r="AZ2235" s="882"/>
      <c r="BA2235" s="882"/>
      <c r="BJ2235" s="882"/>
      <c r="BK2235" s="882"/>
      <c r="BL2235" s="882"/>
      <c r="BU2235" s="882"/>
      <c r="BV2235" s="882"/>
      <c r="BW2235" s="882"/>
      <c r="CF2235" s="882"/>
      <c r="CG2235" s="882"/>
      <c r="CH2235" s="882"/>
      <c r="CI2235" s="530"/>
    </row>
    <row r="2236">
      <c r="A2236" s="857"/>
      <c r="B2236" s="865" t="s">
        <v>124</v>
      </c>
      <c r="C2236" s="865" t="s">
        <v>591</v>
      </c>
      <c r="D2236" s="865" t="s">
        <v>604</v>
      </c>
      <c r="E2236" s="866">
        <v>2019.0</v>
      </c>
      <c r="F2236" s="865" t="s">
        <v>593</v>
      </c>
      <c r="G2236" s="865" t="s">
        <v>70</v>
      </c>
      <c r="H2236" s="867">
        <v>1.198772212E7</v>
      </c>
      <c r="I2236" s="867">
        <v>1.310657262E7</v>
      </c>
      <c r="J2236" s="868">
        <v>1.079408839E7</v>
      </c>
      <c r="K2236" s="50"/>
      <c r="L2236" s="869" t="s">
        <v>124</v>
      </c>
      <c r="M2236" s="865" t="s">
        <v>591</v>
      </c>
      <c r="N2236" s="865" t="s">
        <v>604</v>
      </c>
      <c r="O2236" s="866">
        <v>2004.0</v>
      </c>
      <c r="P2236" s="865" t="s">
        <v>593</v>
      </c>
      <c r="Q2236" s="865" t="s">
        <v>70</v>
      </c>
      <c r="R2236" s="867">
        <v>8249184.945</v>
      </c>
      <c r="S2236" s="867">
        <v>8937019.317</v>
      </c>
      <c r="T2236" s="868">
        <v>7616684.521</v>
      </c>
      <c r="AN2236" s="882"/>
      <c r="AO2236" s="882"/>
      <c r="AP2236" s="882"/>
      <c r="AY2236" s="882"/>
      <c r="AZ2236" s="882"/>
      <c r="BA2236" s="882"/>
      <c r="BJ2236" s="882"/>
      <c r="BK2236" s="882"/>
      <c r="BL2236" s="882"/>
      <c r="BU2236" s="882"/>
      <c r="BV2236" s="882"/>
      <c r="BW2236" s="882"/>
      <c r="CF2236" s="882"/>
      <c r="CG2236" s="882"/>
      <c r="CH2236" s="882"/>
      <c r="CI2236" s="530"/>
    </row>
    <row r="2237">
      <c r="A2237" s="857"/>
      <c r="B2237" s="865" t="s">
        <v>124</v>
      </c>
      <c r="C2237" s="865" t="s">
        <v>591</v>
      </c>
      <c r="D2237" s="865" t="s">
        <v>647</v>
      </c>
      <c r="E2237" s="866">
        <v>2019.0</v>
      </c>
      <c r="F2237" s="865" t="s">
        <v>593</v>
      </c>
      <c r="G2237" s="865" t="s">
        <v>70</v>
      </c>
      <c r="H2237" s="867">
        <v>2223563.816</v>
      </c>
      <c r="I2237" s="867">
        <v>2431209.01</v>
      </c>
      <c r="J2237" s="868">
        <v>2002173.163</v>
      </c>
      <c r="K2237" s="50"/>
      <c r="L2237" s="869" t="s">
        <v>124</v>
      </c>
      <c r="M2237" s="865" t="s">
        <v>591</v>
      </c>
      <c r="N2237" s="865" t="s">
        <v>647</v>
      </c>
      <c r="O2237" s="866">
        <v>2004.0</v>
      </c>
      <c r="P2237" s="865" t="s">
        <v>593</v>
      </c>
      <c r="Q2237" s="865" t="s">
        <v>70</v>
      </c>
      <c r="R2237" s="867">
        <v>1379516.175</v>
      </c>
      <c r="S2237" s="867">
        <v>1494607.17</v>
      </c>
      <c r="T2237" s="868">
        <v>1273746.287</v>
      </c>
      <c r="AN2237" s="882"/>
      <c r="AO2237" s="882"/>
      <c r="AP2237" s="882"/>
      <c r="AY2237" s="882"/>
      <c r="AZ2237" s="882"/>
      <c r="BA2237" s="882"/>
      <c r="BJ2237" s="882"/>
      <c r="BK2237" s="882"/>
      <c r="BL2237" s="882"/>
      <c r="BU2237" s="882"/>
      <c r="BV2237" s="882"/>
      <c r="BW2237" s="882"/>
      <c r="CF2237" s="882"/>
      <c r="CG2237" s="882"/>
      <c r="CH2237" s="882"/>
      <c r="CI2237" s="530"/>
    </row>
    <row r="2238">
      <c r="A2238" s="857"/>
      <c r="B2238" s="865" t="s">
        <v>124</v>
      </c>
      <c r="C2238" s="865" t="s">
        <v>591</v>
      </c>
      <c r="D2238" s="865" t="s">
        <v>649</v>
      </c>
      <c r="E2238" s="866">
        <v>2019.0</v>
      </c>
      <c r="F2238" s="865" t="s">
        <v>593</v>
      </c>
      <c r="G2238" s="865" t="s">
        <v>70</v>
      </c>
      <c r="H2238" s="867">
        <v>725135.7494</v>
      </c>
      <c r="I2238" s="867">
        <v>792814.8709</v>
      </c>
      <c r="J2238" s="868">
        <v>652933.0006</v>
      </c>
      <c r="K2238" s="50"/>
      <c r="L2238" s="869" t="s">
        <v>124</v>
      </c>
      <c r="M2238" s="865" t="s">
        <v>591</v>
      </c>
      <c r="N2238" s="865" t="s">
        <v>649</v>
      </c>
      <c r="O2238" s="866">
        <v>2004.0</v>
      </c>
      <c r="P2238" s="865" t="s">
        <v>593</v>
      </c>
      <c r="Q2238" s="865" t="s">
        <v>70</v>
      </c>
      <c r="R2238" s="867">
        <v>405334.5201</v>
      </c>
      <c r="S2238" s="867">
        <v>439132.164</v>
      </c>
      <c r="T2238" s="868">
        <v>374255.7823</v>
      </c>
      <c r="AN2238" s="882"/>
      <c r="AO2238" s="882"/>
      <c r="AP2238" s="882"/>
      <c r="AY2238" s="882"/>
      <c r="AZ2238" s="882"/>
      <c r="BA2238" s="882"/>
      <c r="BJ2238" s="882"/>
      <c r="BK2238" s="882"/>
      <c r="BL2238" s="882"/>
      <c r="BU2238" s="882"/>
      <c r="BV2238" s="882"/>
      <c r="BW2238" s="882"/>
      <c r="CF2238" s="882"/>
      <c r="CG2238" s="882"/>
      <c r="CH2238" s="882"/>
      <c r="CI2238" s="530"/>
    </row>
    <row r="2239">
      <c r="A2239" s="857"/>
      <c r="B2239" s="865" t="s">
        <v>124</v>
      </c>
      <c r="C2239" s="865" t="s">
        <v>591</v>
      </c>
      <c r="D2239" s="865" t="s">
        <v>651</v>
      </c>
      <c r="E2239" s="866">
        <v>2019.0</v>
      </c>
      <c r="F2239" s="865" t="s">
        <v>593</v>
      </c>
      <c r="G2239" s="865" t="s">
        <v>70</v>
      </c>
      <c r="H2239" s="867">
        <v>525665.56</v>
      </c>
      <c r="I2239" s="867">
        <v>574727.5231</v>
      </c>
      <c r="J2239" s="868">
        <v>473324.3282</v>
      </c>
      <c r="K2239" s="50"/>
      <c r="L2239" s="869" t="s">
        <v>124</v>
      </c>
      <c r="M2239" s="865" t="s">
        <v>591</v>
      </c>
      <c r="N2239" s="865" t="s">
        <v>651</v>
      </c>
      <c r="O2239" s="866">
        <v>2004.0</v>
      </c>
      <c r="P2239" s="865" t="s">
        <v>593</v>
      </c>
      <c r="Q2239" s="865" t="s">
        <v>70</v>
      </c>
      <c r="R2239" s="867">
        <v>333144.5378</v>
      </c>
      <c r="S2239" s="867">
        <v>360922.8293</v>
      </c>
      <c r="T2239" s="868">
        <v>307600.9159</v>
      </c>
      <c r="AN2239" s="882"/>
      <c r="AO2239" s="882"/>
      <c r="AP2239" s="882"/>
      <c r="AY2239" s="882"/>
      <c r="AZ2239" s="882"/>
      <c r="BA2239" s="882"/>
      <c r="BJ2239" s="882"/>
      <c r="BK2239" s="882"/>
      <c r="BL2239" s="882"/>
      <c r="BU2239" s="882"/>
      <c r="BV2239" s="882"/>
      <c r="BW2239" s="882"/>
      <c r="CF2239" s="882"/>
      <c r="CG2239" s="882"/>
      <c r="CH2239" s="882"/>
      <c r="CI2239" s="530"/>
    </row>
    <row r="2240">
      <c r="A2240" s="857"/>
      <c r="B2240" s="865" t="s">
        <v>124</v>
      </c>
      <c r="C2240" s="865" t="s">
        <v>591</v>
      </c>
      <c r="D2240" s="865" t="s">
        <v>653</v>
      </c>
      <c r="E2240" s="866">
        <v>2019.0</v>
      </c>
      <c r="F2240" s="865" t="s">
        <v>593</v>
      </c>
      <c r="G2240" s="865" t="s">
        <v>70</v>
      </c>
      <c r="H2240" s="867">
        <v>376582.9443</v>
      </c>
      <c r="I2240" s="867">
        <v>411730.5741</v>
      </c>
      <c r="J2240" s="868">
        <v>339086.0705</v>
      </c>
      <c r="K2240" s="50"/>
      <c r="L2240" s="869" t="s">
        <v>124</v>
      </c>
      <c r="M2240" s="865" t="s">
        <v>591</v>
      </c>
      <c r="N2240" s="865" t="s">
        <v>653</v>
      </c>
      <c r="O2240" s="866">
        <v>2004.0</v>
      </c>
      <c r="P2240" s="865" t="s">
        <v>593</v>
      </c>
      <c r="Q2240" s="865" t="s">
        <v>70</v>
      </c>
      <c r="R2240" s="867">
        <v>270499.4757</v>
      </c>
      <c r="S2240" s="867">
        <v>293054.2903</v>
      </c>
      <c r="T2240" s="868">
        <v>249759.1196</v>
      </c>
      <c r="AN2240" s="882"/>
      <c r="AO2240" s="882"/>
      <c r="AP2240" s="882"/>
      <c r="AY2240" s="882"/>
      <c r="AZ2240" s="882"/>
      <c r="BA2240" s="882"/>
      <c r="BJ2240" s="882"/>
      <c r="BK2240" s="882"/>
      <c r="BL2240" s="882"/>
      <c r="BU2240" s="882"/>
      <c r="BV2240" s="882"/>
      <c r="BW2240" s="882"/>
      <c r="CF2240" s="882"/>
      <c r="CG2240" s="882"/>
      <c r="CH2240" s="882"/>
      <c r="CI2240" s="530"/>
    </row>
    <row r="2241">
      <c r="A2241" s="857"/>
      <c r="B2241" s="865" t="s">
        <v>124</v>
      </c>
      <c r="C2241" s="865" t="s">
        <v>591</v>
      </c>
      <c r="D2241" s="865" t="s">
        <v>655</v>
      </c>
      <c r="E2241" s="866">
        <v>2019.0</v>
      </c>
      <c r="F2241" s="865" t="s">
        <v>593</v>
      </c>
      <c r="G2241" s="865" t="s">
        <v>70</v>
      </c>
      <c r="H2241" s="867">
        <v>648701.6597</v>
      </c>
      <c r="I2241" s="867">
        <v>709279.9893</v>
      </c>
      <c r="J2241" s="868">
        <v>584113.2349</v>
      </c>
      <c r="K2241" s="50"/>
      <c r="L2241" s="869" t="s">
        <v>124</v>
      </c>
      <c r="M2241" s="865" t="s">
        <v>591</v>
      </c>
      <c r="N2241" s="865" t="s">
        <v>655</v>
      </c>
      <c r="O2241" s="866">
        <v>2004.0</v>
      </c>
      <c r="P2241" s="865" t="s">
        <v>593</v>
      </c>
      <c r="Q2241" s="865" t="s">
        <v>70</v>
      </c>
      <c r="R2241" s="867">
        <v>448289.1465</v>
      </c>
      <c r="S2241" s="867">
        <v>485689.2474</v>
      </c>
      <c r="T2241" s="868">
        <v>413918.0435</v>
      </c>
      <c r="AN2241" s="882"/>
      <c r="AO2241" s="882"/>
      <c r="AP2241" s="882"/>
      <c r="AY2241" s="882"/>
      <c r="AZ2241" s="882"/>
      <c r="BA2241" s="882"/>
      <c r="BJ2241" s="882"/>
      <c r="BK2241" s="882"/>
      <c r="BL2241" s="882"/>
      <c r="BU2241" s="882"/>
      <c r="BV2241" s="882"/>
      <c r="BW2241" s="882"/>
      <c r="CF2241" s="882"/>
      <c r="CG2241" s="882"/>
      <c r="CH2241" s="882"/>
      <c r="CI2241" s="530"/>
    </row>
    <row r="2242">
      <c r="A2242" s="857"/>
      <c r="B2242" s="865" t="s">
        <v>124</v>
      </c>
      <c r="C2242" s="865" t="s">
        <v>591</v>
      </c>
      <c r="D2242" s="865" t="s">
        <v>657</v>
      </c>
      <c r="E2242" s="866">
        <v>2019.0</v>
      </c>
      <c r="F2242" s="865" t="s">
        <v>593</v>
      </c>
      <c r="G2242" s="865" t="s">
        <v>70</v>
      </c>
      <c r="H2242" s="867">
        <v>272123.7418</v>
      </c>
      <c r="I2242" s="867">
        <v>297521.877</v>
      </c>
      <c r="J2242" s="868">
        <v>245028.0122</v>
      </c>
      <c r="K2242" s="50"/>
      <c r="L2242" s="869" t="s">
        <v>124</v>
      </c>
      <c r="M2242" s="865" t="s">
        <v>591</v>
      </c>
      <c r="N2242" s="865" t="s">
        <v>657</v>
      </c>
      <c r="O2242" s="866">
        <v>2004.0</v>
      </c>
      <c r="P2242" s="865" t="s">
        <v>593</v>
      </c>
      <c r="Q2242" s="865" t="s">
        <v>70</v>
      </c>
      <c r="R2242" s="867">
        <v>177791.1232</v>
      </c>
      <c r="S2242" s="867">
        <v>192615.7205</v>
      </c>
      <c r="T2242" s="868">
        <v>164159.1145</v>
      </c>
      <c r="AN2242" s="882"/>
      <c r="AO2242" s="882"/>
      <c r="AP2242" s="882"/>
      <c r="AY2242" s="882"/>
      <c r="AZ2242" s="882"/>
      <c r="BA2242" s="882"/>
      <c r="BJ2242" s="882"/>
      <c r="BK2242" s="882"/>
      <c r="BL2242" s="882"/>
      <c r="BU2242" s="882"/>
      <c r="BV2242" s="882"/>
      <c r="BW2242" s="882"/>
      <c r="CF2242" s="882"/>
      <c r="CG2242" s="882"/>
      <c r="CH2242" s="882"/>
      <c r="CI2242" s="530"/>
    </row>
    <row r="2243">
      <c r="A2243" s="857"/>
      <c r="B2243" s="865" t="s">
        <v>124</v>
      </c>
      <c r="C2243" s="865" t="s">
        <v>591</v>
      </c>
      <c r="D2243" s="865" t="s">
        <v>659</v>
      </c>
      <c r="E2243" s="866">
        <v>2019.0</v>
      </c>
      <c r="F2243" s="865" t="s">
        <v>593</v>
      </c>
      <c r="G2243" s="865" t="s">
        <v>70</v>
      </c>
      <c r="H2243" s="867">
        <v>596196.7918</v>
      </c>
      <c r="I2243" s="867">
        <v>651841.6488</v>
      </c>
      <c r="J2243" s="868">
        <v>536832.6697</v>
      </c>
      <c r="K2243" s="50"/>
      <c r="L2243" s="869" t="s">
        <v>124</v>
      </c>
      <c r="M2243" s="865" t="s">
        <v>591</v>
      </c>
      <c r="N2243" s="865" t="s">
        <v>659</v>
      </c>
      <c r="O2243" s="866">
        <v>2004.0</v>
      </c>
      <c r="P2243" s="865" t="s">
        <v>593</v>
      </c>
      <c r="Q2243" s="865" t="s">
        <v>70</v>
      </c>
      <c r="R2243" s="867">
        <v>370542.1103</v>
      </c>
      <c r="S2243" s="867">
        <v>401438.6899</v>
      </c>
      <c r="T2243" s="868">
        <v>342131.0559</v>
      </c>
      <c r="AN2243" s="882"/>
      <c r="AO2243" s="882"/>
      <c r="AP2243" s="882"/>
      <c r="AY2243" s="882"/>
      <c r="AZ2243" s="882"/>
      <c r="BA2243" s="882"/>
      <c r="BJ2243" s="882"/>
      <c r="BK2243" s="882"/>
      <c r="BL2243" s="882"/>
      <c r="BU2243" s="882"/>
      <c r="BV2243" s="882"/>
      <c r="BW2243" s="882"/>
      <c r="CF2243" s="882"/>
      <c r="CG2243" s="882"/>
      <c r="CH2243" s="882"/>
      <c r="CI2243" s="530"/>
    </row>
    <row r="2244">
      <c r="A2244" s="857"/>
      <c r="B2244" s="865" t="s">
        <v>124</v>
      </c>
      <c r="C2244" s="865" t="s">
        <v>591</v>
      </c>
      <c r="D2244" s="865" t="s">
        <v>661</v>
      </c>
      <c r="E2244" s="866">
        <v>2019.0</v>
      </c>
      <c r="F2244" s="865" t="s">
        <v>593</v>
      </c>
      <c r="G2244" s="865" t="s">
        <v>70</v>
      </c>
      <c r="H2244" s="867">
        <v>324070.5389</v>
      </c>
      <c r="I2244" s="867">
        <v>354333.5291</v>
      </c>
      <c r="J2244" s="868">
        <v>291804.2339</v>
      </c>
      <c r="K2244" s="50"/>
      <c r="L2244" s="869" t="s">
        <v>124</v>
      </c>
      <c r="M2244" s="865" t="s">
        <v>591</v>
      </c>
      <c r="N2244" s="865" t="s">
        <v>661</v>
      </c>
      <c r="O2244" s="866">
        <v>2004.0</v>
      </c>
      <c r="P2244" s="865" t="s">
        <v>593</v>
      </c>
      <c r="Q2244" s="865" t="s">
        <v>70</v>
      </c>
      <c r="R2244" s="867">
        <v>192750.3627</v>
      </c>
      <c r="S2244" s="867">
        <v>208831.2405</v>
      </c>
      <c r="T2244" s="868">
        <v>177971.8595</v>
      </c>
      <c r="AN2244" s="882"/>
      <c r="AO2244" s="882"/>
      <c r="AP2244" s="882"/>
      <c r="AY2244" s="882"/>
      <c r="AZ2244" s="882"/>
      <c r="BA2244" s="882"/>
      <c r="BJ2244" s="882"/>
      <c r="BK2244" s="882"/>
      <c r="BL2244" s="882"/>
      <c r="BU2244" s="882"/>
      <c r="BV2244" s="882"/>
      <c r="BW2244" s="882"/>
      <c r="CF2244" s="882"/>
      <c r="CG2244" s="882"/>
      <c r="CH2244" s="882"/>
      <c r="CI2244" s="530"/>
    </row>
    <row r="2245">
      <c r="A2245" s="857"/>
      <c r="B2245" s="865" t="s">
        <v>124</v>
      </c>
      <c r="C2245" s="865" t="s">
        <v>591</v>
      </c>
      <c r="D2245" s="865" t="s">
        <v>663</v>
      </c>
      <c r="E2245" s="866">
        <v>2019.0</v>
      </c>
      <c r="F2245" s="865" t="s">
        <v>593</v>
      </c>
      <c r="G2245" s="865" t="s">
        <v>70</v>
      </c>
      <c r="H2245" s="867">
        <v>172869.6995</v>
      </c>
      <c r="I2245" s="867">
        <v>189004.1535</v>
      </c>
      <c r="J2245" s="868">
        <v>155656.8294</v>
      </c>
      <c r="K2245" s="50"/>
      <c r="L2245" s="869" t="s">
        <v>124</v>
      </c>
      <c r="M2245" s="865" t="s">
        <v>591</v>
      </c>
      <c r="N2245" s="865" t="s">
        <v>663</v>
      </c>
      <c r="O2245" s="866">
        <v>2004.0</v>
      </c>
      <c r="P2245" s="865" t="s">
        <v>593</v>
      </c>
      <c r="Q2245" s="865" t="s">
        <v>70</v>
      </c>
      <c r="R2245" s="867">
        <v>104736.1129</v>
      </c>
      <c r="S2245" s="867">
        <v>113469.23</v>
      </c>
      <c r="T2245" s="868">
        <v>96705.54544</v>
      </c>
      <c r="AN2245" s="882"/>
      <c r="AO2245" s="882"/>
      <c r="AP2245" s="882"/>
      <c r="AY2245" s="882"/>
      <c r="AZ2245" s="882"/>
      <c r="BA2245" s="882"/>
      <c r="BJ2245" s="882"/>
      <c r="BK2245" s="882"/>
      <c r="BL2245" s="882"/>
      <c r="BU2245" s="882"/>
      <c r="BV2245" s="882"/>
      <c r="BW2245" s="882"/>
      <c r="CF2245" s="882"/>
      <c r="CG2245" s="882"/>
      <c r="CH2245" s="882"/>
      <c r="CI2245" s="530"/>
    </row>
    <row r="2246">
      <c r="A2246" s="857"/>
      <c r="B2246" s="865" t="s">
        <v>124</v>
      </c>
      <c r="C2246" s="865" t="s">
        <v>591</v>
      </c>
      <c r="D2246" s="865" t="s">
        <v>665</v>
      </c>
      <c r="E2246" s="866">
        <v>2019.0</v>
      </c>
      <c r="F2246" s="865" t="s">
        <v>593</v>
      </c>
      <c r="G2246" s="865" t="s">
        <v>70</v>
      </c>
      <c r="H2246" s="867">
        <v>268147.4055</v>
      </c>
      <c r="I2246" s="867">
        <v>293188.072</v>
      </c>
      <c r="J2246" s="868">
        <v>241449.1255</v>
      </c>
      <c r="K2246" s="50"/>
      <c r="L2246" s="869" t="s">
        <v>124</v>
      </c>
      <c r="M2246" s="865" t="s">
        <v>591</v>
      </c>
      <c r="N2246" s="865" t="s">
        <v>665</v>
      </c>
      <c r="O2246" s="866">
        <v>2004.0</v>
      </c>
      <c r="P2246" s="865" t="s">
        <v>593</v>
      </c>
      <c r="Q2246" s="865" t="s">
        <v>70</v>
      </c>
      <c r="R2246" s="867">
        <v>159084.9998</v>
      </c>
      <c r="S2246" s="867">
        <v>172357.2262</v>
      </c>
      <c r="T2246" s="868">
        <v>146887.6782</v>
      </c>
      <c r="AN2246" s="882"/>
      <c r="AO2246" s="882"/>
      <c r="AP2246" s="882"/>
      <c r="AY2246" s="882"/>
      <c r="AZ2246" s="882"/>
      <c r="BA2246" s="882"/>
      <c r="BJ2246" s="882"/>
      <c r="BK2246" s="882"/>
      <c r="BL2246" s="882"/>
      <c r="BU2246" s="882"/>
      <c r="BV2246" s="882"/>
      <c r="BW2246" s="882"/>
      <c r="CF2246" s="882"/>
      <c r="CG2246" s="882"/>
      <c r="CH2246" s="882"/>
      <c r="CI2246" s="530"/>
    </row>
    <row r="2247">
      <c r="A2247" s="857"/>
      <c r="B2247" s="865" t="s">
        <v>124</v>
      </c>
      <c r="C2247" s="865" t="s">
        <v>591</v>
      </c>
      <c r="D2247" s="865" t="s">
        <v>667</v>
      </c>
      <c r="E2247" s="866">
        <v>2019.0</v>
      </c>
      <c r="F2247" s="865" t="s">
        <v>593</v>
      </c>
      <c r="G2247" s="865" t="s">
        <v>70</v>
      </c>
      <c r="H2247" s="867">
        <v>151203.3504</v>
      </c>
      <c r="I2247" s="867">
        <v>165315.6183</v>
      </c>
      <c r="J2247" s="868">
        <v>136147.828</v>
      </c>
      <c r="K2247" s="50"/>
      <c r="L2247" s="869" t="s">
        <v>124</v>
      </c>
      <c r="M2247" s="865" t="s">
        <v>591</v>
      </c>
      <c r="N2247" s="865" t="s">
        <v>667</v>
      </c>
      <c r="O2247" s="866">
        <v>2004.0</v>
      </c>
      <c r="P2247" s="865" t="s">
        <v>593</v>
      </c>
      <c r="Q2247" s="865" t="s">
        <v>70</v>
      </c>
      <c r="R2247" s="867">
        <v>88014.87426</v>
      </c>
      <c r="S2247" s="867">
        <v>95353.73939</v>
      </c>
      <c r="T2247" s="868">
        <v>81266.39599</v>
      </c>
      <c r="AN2247" s="882"/>
      <c r="AO2247" s="882"/>
      <c r="AP2247" s="882"/>
      <c r="AY2247" s="882"/>
      <c r="AZ2247" s="882"/>
      <c r="BA2247" s="882"/>
      <c r="BJ2247" s="882"/>
      <c r="BK2247" s="882"/>
      <c r="BL2247" s="882"/>
      <c r="BU2247" s="882"/>
      <c r="BV2247" s="882"/>
      <c r="BW2247" s="882"/>
      <c r="CF2247" s="882"/>
      <c r="CG2247" s="882"/>
      <c r="CH2247" s="882"/>
      <c r="CI2247" s="530"/>
    </row>
    <row r="2248">
      <c r="A2248" s="857"/>
      <c r="B2248" s="865" t="s">
        <v>124</v>
      </c>
      <c r="C2248" s="865" t="s">
        <v>591</v>
      </c>
      <c r="D2248" s="865" t="s">
        <v>669</v>
      </c>
      <c r="E2248" s="866">
        <v>2019.0</v>
      </c>
      <c r="F2248" s="865" t="s">
        <v>593</v>
      </c>
      <c r="G2248" s="865" t="s">
        <v>70</v>
      </c>
      <c r="H2248" s="867">
        <v>95279.78368</v>
      </c>
      <c r="I2248" s="867">
        <v>104172.5352</v>
      </c>
      <c r="J2248" s="868">
        <v>85792.64656</v>
      </c>
      <c r="K2248" s="50"/>
      <c r="L2248" s="869" t="s">
        <v>124</v>
      </c>
      <c r="M2248" s="865" t="s">
        <v>591</v>
      </c>
      <c r="N2248" s="865" t="s">
        <v>669</v>
      </c>
      <c r="O2248" s="866">
        <v>2004.0</v>
      </c>
      <c r="P2248" s="865" t="s">
        <v>593</v>
      </c>
      <c r="Q2248" s="865" t="s">
        <v>70</v>
      </c>
      <c r="R2248" s="867">
        <v>54349.40238</v>
      </c>
      <c r="S2248" s="867">
        <v>58881.16973</v>
      </c>
      <c r="T2248" s="868">
        <v>50182.20037</v>
      </c>
      <c r="AN2248" s="882"/>
      <c r="AO2248" s="882"/>
      <c r="AP2248" s="882"/>
      <c r="AY2248" s="882"/>
      <c r="AZ2248" s="882"/>
      <c r="BA2248" s="882"/>
      <c r="BJ2248" s="882"/>
      <c r="BK2248" s="882"/>
      <c r="BL2248" s="882"/>
      <c r="BU2248" s="882"/>
      <c r="BV2248" s="882"/>
      <c r="BW2248" s="882"/>
      <c r="CF2248" s="882"/>
      <c r="CG2248" s="882"/>
      <c r="CH2248" s="882"/>
      <c r="CI2248" s="530"/>
    </row>
    <row r="2249">
      <c r="A2249" s="857"/>
      <c r="B2249" s="865" t="s">
        <v>124</v>
      </c>
      <c r="C2249" s="865" t="s">
        <v>591</v>
      </c>
      <c r="D2249" s="865" t="s">
        <v>671</v>
      </c>
      <c r="E2249" s="866">
        <v>2019.0</v>
      </c>
      <c r="F2249" s="865" t="s">
        <v>593</v>
      </c>
      <c r="G2249" s="865" t="s">
        <v>70</v>
      </c>
      <c r="H2249" s="867">
        <v>55923.13345</v>
      </c>
      <c r="I2249" s="867">
        <v>61145.45709</v>
      </c>
      <c r="J2249" s="868">
        <v>50355.10839</v>
      </c>
      <c r="K2249" s="50"/>
      <c r="L2249" s="869" t="s">
        <v>124</v>
      </c>
      <c r="M2249" s="865" t="s">
        <v>591</v>
      </c>
      <c r="N2249" s="865" t="s">
        <v>671</v>
      </c>
      <c r="O2249" s="866">
        <v>2004.0</v>
      </c>
      <c r="P2249" s="865" t="s">
        <v>593</v>
      </c>
      <c r="Q2249" s="865" t="s">
        <v>70</v>
      </c>
      <c r="R2249" s="867">
        <v>33665.36282</v>
      </c>
      <c r="S2249" s="867">
        <v>36474.01428</v>
      </c>
      <c r="T2249" s="868">
        <v>31084.18132</v>
      </c>
      <c r="AN2249" s="882"/>
      <c r="AO2249" s="882"/>
      <c r="AP2249" s="882"/>
      <c r="AY2249" s="882"/>
      <c r="AZ2249" s="882"/>
      <c r="BA2249" s="882"/>
      <c r="BJ2249" s="882"/>
      <c r="BK2249" s="882"/>
      <c r="BL2249" s="882"/>
      <c r="BU2249" s="882"/>
      <c r="BV2249" s="882"/>
      <c r="BW2249" s="882"/>
      <c r="CF2249" s="882"/>
      <c r="CG2249" s="882"/>
      <c r="CH2249" s="882"/>
      <c r="CI2249" s="530"/>
    </row>
    <row r="2250">
      <c r="A2250" s="857"/>
      <c r="B2250" s="865" t="s">
        <v>124</v>
      </c>
      <c r="C2250" s="865" t="s">
        <v>591</v>
      </c>
      <c r="D2250" s="865" t="s">
        <v>673</v>
      </c>
      <c r="E2250" s="866">
        <v>2019.0</v>
      </c>
      <c r="F2250" s="865" t="s">
        <v>593</v>
      </c>
      <c r="G2250" s="865" t="s">
        <v>70</v>
      </c>
      <c r="H2250" s="867">
        <v>39257.95611</v>
      </c>
      <c r="I2250" s="867">
        <v>42922.02037</v>
      </c>
      <c r="J2250" s="868">
        <v>35348.98825</v>
      </c>
      <c r="K2250" s="50"/>
      <c r="L2250" s="869" t="s">
        <v>124</v>
      </c>
      <c r="M2250" s="865" t="s">
        <v>591</v>
      </c>
      <c r="N2250" s="865" t="s">
        <v>673</v>
      </c>
      <c r="O2250" s="866">
        <v>2004.0</v>
      </c>
      <c r="P2250" s="865" t="s">
        <v>593</v>
      </c>
      <c r="Q2250" s="865" t="s">
        <v>70</v>
      </c>
      <c r="R2250" s="867">
        <v>23996.93626</v>
      </c>
      <c r="S2250" s="867">
        <v>25997.85122</v>
      </c>
      <c r="T2250" s="868">
        <v>22156.98813</v>
      </c>
      <c r="AN2250" s="882"/>
      <c r="AO2250" s="882"/>
      <c r="AP2250" s="882"/>
      <c r="AY2250" s="882"/>
      <c r="AZ2250" s="882"/>
      <c r="BA2250" s="882"/>
      <c r="BJ2250" s="882"/>
      <c r="BK2250" s="882"/>
      <c r="BL2250" s="882"/>
      <c r="BU2250" s="882"/>
      <c r="BV2250" s="882"/>
      <c r="BW2250" s="882"/>
      <c r="CF2250" s="882"/>
      <c r="CG2250" s="882"/>
      <c r="CH2250" s="882"/>
      <c r="CI2250" s="530"/>
    </row>
    <row r="2251">
      <c r="A2251" s="857"/>
      <c r="B2251" s="865" t="s">
        <v>124</v>
      </c>
      <c r="C2251" s="865" t="s">
        <v>591</v>
      </c>
      <c r="D2251" s="865" t="s">
        <v>674</v>
      </c>
      <c r="E2251" s="866">
        <v>2019.0</v>
      </c>
      <c r="F2251" s="865" t="s">
        <v>593</v>
      </c>
      <c r="G2251" s="865" t="s">
        <v>70</v>
      </c>
      <c r="H2251" s="867">
        <v>13164.85147</v>
      </c>
      <c r="I2251" s="867">
        <v>14393.56703</v>
      </c>
      <c r="J2251" s="868">
        <v>11854.00937</v>
      </c>
      <c r="K2251" s="50"/>
      <c r="L2251" s="869" t="s">
        <v>124</v>
      </c>
      <c r="M2251" s="865" t="s">
        <v>591</v>
      </c>
      <c r="N2251" s="865" t="s">
        <v>674</v>
      </c>
      <c r="O2251" s="866">
        <v>2004.0</v>
      </c>
      <c r="P2251" s="865" t="s">
        <v>593</v>
      </c>
      <c r="Q2251" s="865" t="s">
        <v>70</v>
      </c>
      <c r="R2251" s="867">
        <v>7876.205635</v>
      </c>
      <c r="S2251" s="867">
        <v>8532.940208</v>
      </c>
      <c r="T2251" s="868">
        <v>7272.303135</v>
      </c>
      <c r="AN2251" s="882"/>
      <c r="AO2251" s="882"/>
      <c r="AP2251" s="882"/>
      <c r="AY2251" s="882"/>
      <c r="AZ2251" s="882"/>
      <c r="BA2251" s="882"/>
      <c r="BJ2251" s="882"/>
      <c r="BK2251" s="882"/>
      <c r="BL2251" s="882"/>
      <c r="BU2251" s="882"/>
      <c r="BV2251" s="882"/>
      <c r="BW2251" s="882"/>
      <c r="CF2251" s="882"/>
      <c r="CG2251" s="882"/>
      <c r="CH2251" s="882"/>
      <c r="CI2251" s="530"/>
    </row>
    <row r="2252">
      <c r="A2252" s="857"/>
      <c r="B2252" s="865" t="s">
        <v>124</v>
      </c>
      <c r="C2252" s="865" t="s">
        <v>591</v>
      </c>
      <c r="D2252" s="865" t="s">
        <v>676</v>
      </c>
      <c r="E2252" s="866">
        <v>2019.0</v>
      </c>
      <c r="F2252" s="865" t="s">
        <v>593</v>
      </c>
      <c r="G2252" s="865" t="s">
        <v>70</v>
      </c>
      <c r="H2252" s="867">
        <v>3500.759187</v>
      </c>
      <c r="I2252" s="867">
        <v>3827.495673</v>
      </c>
      <c r="J2252" s="868">
        <v>3152.183853</v>
      </c>
      <c r="K2252" s="50"/>
      <c r="L2252" s="869" t="s">
        <v>124</v>
      </c>
      <c r="M2252" s="865" t="s">
        <v>591</v>
      </c>
      <c r="N2252" s="865" t="s">
        <v>676</v>
      </c>
      <c r="O2252" s="866">
        <v>2004.0</v>
      </c>
      <c r="P2252" s="865" t="s">
        <v>593</v>
      </c>
      <c r="Q2252" s="865" t="s">
        <v>70</v>
      </c>
      <c r="R2252" s="867">
        <v>1792.329996</v>
      </c>
      <c r="S2252" s="867">
        <v>1941.778236</v>
      </c>
      <c r="T2252" s="868">
        <v>1654.90436</v>
      </c>
      <c r="AN2252" s="882"/>
      <c r="AO2252" s="882"/>
      <c r="AP2252" s="882"/>
      <c r="AY2252" s="882"/>
      <c r="AZ2252" s="882"/>
      <c r="BA2252" s="882"/>
      <c r="BJ2252" s="882"/>
      <c r="BK2252" s="882"/>
      <c r="BL2252" s="882"/>
      <c r="BU2252" s="882"/>
      <c r="BV2252" s="882"/>
      <c r="BW2252" s="882"/>
      <c r="CF2252" s="882"/>
      <c r="CG2252" s="882"/>
      <c r="CH2252" s="882"/>
      <c r="CI2252" s="530"/>
    </row>
    <row r="2253">
      <c r="A2253" s="857"/>
      <c r="B2253" s="865" t="s">
        <v>124</v>
      </c>
      <c r="C2253" s="865" t="s">
        <v>591</v>
      </c>
      <c r="D2253" s="865" t="s">
        <v>678</v>
      </c>
      <c r="E2253" s="866">
        <v>2019.0</v>
      </c>
      <c r="F2253" s="865" t="s">
        <v>593</v>
      </c>
      <c r="G2253" s="865" t="s">
        <v>70</v>
      </c>
      <c r="H2253" s="867">
        <v>4.111785624E7</v>
      </c>
      <c r="I2253" s="867">
        <v>4.495551063E7</v>
      </c>
      <c r="J2253" s="868">
        <v>3.70236956E7</v>
      </c>
      <c r="K2253" s="50"/>
      <c r="L2253" s="869" t="s">
        <v>124</v>
      </c>
      <c r="M2253" s="865" t="s">
        <v>591</v>
      </c>
      <c r="N2253" s="865" t="s">
        <v>678</v>
      </c>
      <c r="O2253" s="866">
        <v>2004.0</v>
      </c>
      <c r="P2253" s="865" t="s">
        <v>593</v>
      </c>
      <c r="Q2253" s="865" t="s">
        <v>70</v>
      </c>
      <c r="R2253" s="867">
        <v>2.754811061E7</v>
      </c>
      <c r="S2253" s="867">
        <v>2.984512995E7</v>
      </c>
      <c r="T2253" s="868">
        <v>2.54358787E7</v>
      </c>
      <c r="AN2253" s="882"/>
      <c r="AO2253" s="882"/>
      <c r="AP2253" s="882"/>
      <c r="AY2253" s="882"/>
      <c r="AZ2253" s="882"/>
      <c r="BA2253" s="882"/>
      <c r="BJ2253" s="882"/>
      <c r="BK2253" s="882"/>
      <c r="BL2253" s="882"/>
      <c r="BU2253" s="882"/>
      <c r="BV2253" s="882"/>
      <c r="BW2253" s="882"/>
      <c r="CF2253" s="882"/>
      <c r="CG2253" s="882"/>
      <c r="CH2253" s="882"/>
      <c r="CI2253" s="530"/>
    </row>
    <row r="2254">
      <c r="A2254" s="857"/>
      <c r="B2254" s="865" t="s">
        <v>124</v>
      </c>
      <c r="C2254" s="865" t="s">
        <v>591</v>
      </c>
      <c r="D2254" s="865" t="s">
        <v>680</v>
      </c>
      <c r="E2254" s="866">
        <v>2019.0</v>
      </c>
      <c r="F2254" s="865" t="s">
        <v>593</v>
      </c>
      <c r="G2254" s="865" t="s">
        <v>70</v>
      </c>
      <c r="H2254" s="867">
        <v>1593731.386</v>
      </c>
      <c r="I2254" s="867">
        <v>1695336.122</v>
      </c>
      <c r="J2254" s="868">
        <v>1505161.966</v>
      </c>
      <c r="K2254" s="50"/>
      <c r="L2254" s="869" t="s">
        <v>124</v>
      </c>
      <c r="M2254" s="865" t="s">
        <v>591</v>
      </c>
      <c r="N2254" s="865" t="s">
        <v>680</v>
      </c>
      <c r="O2254" s="866">
        <v>2004.0</v>
      </c>
      <c r="P2254" s="865" t="s">
        <v>593</v>
      </c>
      <c r="Q2254" s="865" t="s">
        <v>70</v>
      </c>
      <c r="R2254" s="867">
        <v>1360584.182</v>
      </c>
      <c r="S2254" s="867">
        <v>1390490.872</v>
      </c>
      <c r="T2254" s="868">
        <v>1327511.708</v>
      </c>
      <c r="AN2254" s="882"/>
      <c r="AO2254" s="882"/>
      <c r="AP2254" s="882"/>
      <c r="AY2254" s="882"/>
      <c r="AZ2254" s="882"/>
      <c r="BA2254" s="882"/>
      <c r="BJ2254" s="882"/>
      <c r="BK2254" s="882"/>
      <c r="BL2254" s="882"/>
      <c r="BU2254" s="882"/>
      <c r="BV2254" s="882"/>
      <c r="BW2254" s="882"/>
      <c r="CF2254" s="882"/>
      <c r="CG2254" s="882"/>
      <c r="CH2254" s="882"/>
      <c r="CI2254" s="530"/>
    </row>
    <row r="2255">
      <c r="A2255" s="857"/>
      <c r="B2255" s="865" t="s">
        <v>124</v>
      </c>
      <c r="C2255" s="865" t="s">
        <v>591</v>
      </c>
      <c r="D2255" s="865" t="s">
        <v>682</v>
      </c>
      <c r="E2255" s="866">
        <v>2019.0</v>
      </c>
      <c r="F2255" s="865" t="s">
        <v>593</v>
      </c>
      <c r="G2255" s="865" t="s">
        <v>70</v>
      </c>
      <c r="H2255" s="867">
        <v>29967.21218</v>
      </c>
      <c r="I2255" s="867">
        <v>32764.1431</v>
      </c>
      <c r="J2255" s="868">
        <v>26983.33628</v>
      </c>
      <c r="K2255" s="50"/>
      <c r="L2255" s="869" t="s">
        <v>124</v>
      </c>
      <c r="M2255" s="865" t="s">
        <v>591</v>
      </c>
      <c r="N2255" s="865" t="s">
        <v>682</v>
      </c>
      <c r="O2255" s="866">
        <v>2004.0</v>
      </c>
      <c r="P2255" s="865" t="s">
        <v>593</v>
      </c>
      <c r="Q2255" s="865" t="s">
        <v>70</v>
      </c>
      <c r="R2255" s="867">
        <v>25337.97881</v>
      </c>
      <c r="S2255" s="867">
        <v>27450.71272</v>
      </c>
      <c r="T2255" s="868">
        <v>23395.2072</v>
      </c>
      <c r="AN2255" s="882"/>
      <c r="AO2255" s="882"/>
      <c r="AP2255" s="882"/>
      <c r="AY2255" s="882"/>
      <c r="AZ2255" s="882"/>
      <c r="BA2255" s="882"/>
      <c r="BJ2255" s="882"/>
      <c r="BK2255" s="882"/>
      <c r="BL2255" s="882"/>
      <c r="BU2255" s="882"/>
      <c r="BV2255" s="882"/>
      <c r="BW2255" s="882"/>
      <c r="CF2255" s="882"/>
      <c r="CG2255" s="882"/>
      <c r="CH2255" s="882"/>
      <c r="CI2255" s="530"/>
    </row>
    <row r="2256">
      <c r="A2256" s="857"/>
      <c r="B2256" s="865" t="s">
        <v>124</v>
      </c>
      <c r="C2256" s="865" t="s">
        <v>591</v>
      </c>
      <c r="D2256" s="865" t="s">
        <v>684</v>
      </c>
      <c r="E2256" s="866">
        <v>2019.0</v>
      </c>
      <c r="F2256" s="865" t="s">
        <v>593</v>
      </c>
      <c r="G2256" s="865" t="s">
        <v>70</v>
      </c>
      <c r="H2256" s="867">
        <v>88650.53876</v>
      </c>
      <c r="I2256" s="867">
        <v>96924.56275</v>
      </c>
      <c r="J2256" s="868">
        <v>79823.48454</v>
      </c>
      <c r="K2256" s="50"/>
      <c r="L2256" s="869" t="s">
        <v>124</v>
      </c>
      <c r="M2256" s="865" t="s">
        <v>591</v>
      </c>
      <c r="N2256" s="865" t="s">
        <v>684</v>
      </c>
      <c r="O2256" s="866">
        <v>2004.0</v>
      </c>
      <c r="P2256" s="865" t="s">
        <v>593</v>
      </c>
      <c r="Q2256" s="865" t="s">
        <v>70</v>
      </c>
      <c r="R2256" s="867">
        <v>74741.60457</v>
      </c>
      <c r="S2256" s="867">
        <v>80973.71658</v>
      </c>
      <c r="T2256" s="868">
        <v>69010.84487</v>
      </c>
      <c r="AN2256" s="882"/>
      <c r="AO2256" s="882"/>
      <c r="AP2256" s="882"/>
      <c r="AY2256" s="882"/>
      <c r="AZ2256" s="882"/>
      <c r="BA2256" s="882"/>
      <c r="BJ2256" s="882"/>
      <c r="BK2256" s="882"/>
      <c r="BL2256" s="882"/>
      <c r="BU2256" s="882"/>
      <c r="BV2256" s="882"/>
      <c r="BW2256" s="882"/>
      <c r="CF2256" s="882"/>
      <c r="CG2256" s="882"/>
      <c r="CH2256" s="882"/>
      <c r="CI2256" s="530"/>
    </row>
    <row r="2257">
      <c r="A2257" s="857"/>
      <c r="B2257" s="865" t="s">
        <v>124</v>
      </c>
      <c r="C2257" s="865" t="s">
        <v>591</v>
      </c>
      <c r="D2257" s="865" t="s">
        <v>686</v>
      </c>
      <c r="E2257" s="866">
        <v>2019.0</v>
      </c>
      <c r="F2257" s="865" t="s">
        <v>593</v>
      </c>
      <c r="G2257" s="865" t="s">
        <v>70</v>
      </c>
      <c r="H2257" s="867">
        <v>118617.7509</v>
      </c>
      <c r="I2257" s="867">
        <v>129688.7059</v>
      </c>
      <c r="J2257" s="868">
        <v>106806.8208</v>
      </c>
      <c r="K2257" s="50"/>
      <c r="L2257" s="869" t="s">
        <v>124</v>
      </c>
      <c r="M2257" s="865" t="s">
        <v>591</v>
      </c>
      <c r="N2257" s="865" t="s">
        <v>686</v>
      </c>
      <c r="O2257" s="866">
        <v>2004.0</v>
      </c>
      <c r="P2257" s="865" t="s">
        <v>593</v>
      </c>
      <c r="Q2257" s="865" t="s">
        <v>70</v>
      </c>
      <c r="R2257" s="867">
        <v>100079.5834</v>
      </c>
      <c r="S2257" s="867">
        <v>108424.4293</v>
      </c>
      <c r="T2257" s="868">
        <v>92406.05207</v>
      </c>
      <c r="AN2257" s="882"/>
      <c r="AO2257" s="882"/>
      <c r="AP2257" s="882"/>
      <c r="AY2257" s="882"/>
      <c r="AZ2257" s="882"/>
      <c r="BA2257" s="882"/>
      <c r="BJ2257" s="882"/>
      <c r="BK2257" s="882"/>
      <c r="BL2257" s="882"/>
      <c r="BU2257" s="882"/>
      <c r="BV2257" s="882"/>
      <c r="BW2257" s="882"/>
      <c r="CF2257" s="882"/>
      <c r="CG2257" s="882"/>
      <c r="CH2257" s="882"/>
      <c r="CI2257" s="530"/>
    </row>
    <row r="2258">
      <c r="A2258" s="857"/>
      <c r="B2258" s="865" t="s">
        <v>124</v>
      </c>
      <c r="C2258" s="865" t="s">
        <v>591</v>
      </c>
      <c r="D2258" s="865" t="s">
        <v>688</v>
      </c>
      <c r="E2258" s="866">
        <v>2019.0</v>
      </c>
      <c r="F2258" s="865" t="s">
        <v>593</v>
      </c>
      <c r="G2258" s="865" t="s">
        <v>70</v>
      </c>
      <c r="H2258" s="867">
        <v>1389726.819</v>
      </c>
      <c r="I2258" s="867">
        <v>1519434.244</v>
      </c>
      <c r="J2258" s="868">
        <v>1251349.838</v>
      </c>
      <c r="K2258" s="50"/>
      <c r="L2258" s="869" t="s">
        <v>124</v>
      </c>
      <c r="M2258" s="865" t="s">
        <v>591</v>
      </c>
      <c r="N2258" s="865" t="s">
        <v>688</v>
      </c>
      <c r="O2258" s="866">
        <v>2004.0</v>
      </c>
      <c r="P2258" s="865" t="s">
        <v>593</v>
      </c>
      <c r="Q2258" s="865" t="s">
        <v>70</v>
      </c>
      <c r="R2258" s="867">
        <v>1159444.517</v>
      </c>
      <c r="S2258" s="867">
        <v>1256121.437</v>
      </c>
      <c r="T2258" s="868">
        <v>1070544.928</v>
      </c>
      <c r="AN2258" s="882"/>
      <c r="AO2258" s="882"/>
      <c r="AP2258" s="882"/>
      <c r="AY2258" s="882"/>
      <c r="AZ2258" s="882"/>
      <c r="BA2258" s="882"/>
      <c r="BJ2258" s="882"/>
      <c r="BK2258" s="882"/>
      <c r="BL2258" s="882"/>
      <c r="BU2258" s="882"/>
      <c r="BV2258" s="882"/>
      <c r="BW2258" s="882"/>
      <c r="CF2258" s="882"/>
      <c r="CG2258" s="882"/>
      <c r="CH2258" s="882"/>
      <c r="CI2258" s="530"/>
    </row>
    <row r="2259">
      <c r="A2259" s="857"/>
      <c r="B2259" s="865" t="s">
        <v>124</v>
      </c>
      <c r="C2259" s="865" t="s">
        <v>591</v>
      </c>
      <c r="D2259" s="865" t="s">
        <v>689</v>
      </c>
      <c r="E2259" s="866">
        <v>2019.0</v>
      </c>
      <c r="F2259" s="865" t="s">
        <v>593</v>
      </c>
      <c r="G2259" s="865" t="s">
        <v>70</v>
      </c>
      <c r="H2259" s="867">
        <v>7089749.816</v>
      </c>
      <c r="I2259" s="867">
        <v>7751457.696</v>
      </c>
      <c r="J2259" s="868">
        <v>6383813.824</v>
      </c>
      <c r="K2259" s="50"/>
      <c r="L2259" s="869" t="s">
        <v>124</v>
      </c>
      <c r="M2259" s="865" t="s">
        <v>591</v>
      </c>
      <c r="N2259" s="865" t="s">
        <v>689</v>
      </c>
      <c r="O2259" s="866">
        <v>2004.0</v>
      </c>
      <c r="P2259" s="865" t="s">
        <v>593</v>
      </c>
      <c r="Q2259" s="865" t="s">
        <v>70</v>
      </c>
      <c r="R2259" s="867">
        <v>5601254.634</v>
      </c>
      <c r="S2259" s="867">
        <v>6068299.013</v>
      </c>
      <c r="T2259" s="868">
        <v>5171782.394</v>
      </c>
      <c r="AN2259" s="882"/>
      <c r="AO2259" s="882"/>
      <c r="AP2259" s="882"/>
      <c r="AY2259" s="882"/>
      <c r="AZ2259" s="882"/>
      <c r="BA2259" s="882"/>
      <c r="BJ2259" s="882"/>
      <c r="BK2259" s="882"/>
      <c r="BL2259" s="882"/>
      <c r="BU2259" s="882"/>
      <c r="BV2259" s="882"/>
      <c r="BW2259" s="882"/>
      <c r="CF2259" s="882"/>
      <c r="CG2259" s="882"/>
      <c r="CH2259" s="882"/>
      <c r="CI2259" s="530"/>
    </row>
    <row r="2260">
      <c r="A2260" s="857"/>
      <c r="B2260" s="871" t="s">
        <v>690</v>
      </c>
      <c r="C2260" s="865" t="s">
        <v>591</v>
      </c>
      <c r="D2260" s="865" t="s">
        <v>592</v>
      </c>
      <c r="E2260" s="866">
        <v>2019.0</v>
      </c>
      <c r="F2260" s="865" t="s">
        <v>593</v>
      </c>
      <c r="G2260" s="865" t="s">
        <v>70</v>
      </c>
      <c r="H2260" s="867">
        <v>1977970.443</v>
      </c>
      <c r="I2260" s="867">
        <v>2204379.78</v>
      </c>
      <c r="J2260" s="868">
        <v>1760405.594</v>
      </c>
      <c r="K2260" s="50"/>
      <c r="L2260" s="870" t="s">
        <v>690</v>
      </c>
      <c r="M2260" s="865" t="s">
        <v>591</v>
      </c>
      <c r="N2260" s="865" t="s">
        <v>592</v>
      </c>
      <c r="O2260" s="866">
        <v>2004.0</v>
      </c>
      <c r="P2260" s="865" t="s">
        <v>593</v>
      </c>
      <c r="Q2260" s="865" t="s">
        <v>70</v>
      </c>
      <c r="R2260" s="867">
        <v>1573788.421</v>
      </c>
      <c r="S2260" s="867">
        <v>1698458.808</v>
      </c>
      <c r="T2260" s="868">
        <v>1443812.2</v>
      </c>
      <c r="AN2260" s="882"/>
      <c r="AO2260" s="882"/>
      <c r="AP2260" s="882"/>
      <c r="AY2260" s="882"/>
      <c r="AZ2260" s="882"/>
      <c r="BA2260" s="882"/>
      <c r="BJ2260" s="882"/>
      <c r="BK2260" s="882"/>
      <c r="BL2260" s="882"/>
      <c r="BU2260" s="882"/>
      <c r="BV2260" s="882"/>
      <c r="BW2260" s="882"/>
      <c r="CF2260" s="882"/>
      <c r="CG2260" s="882"/>
      <c r="CH2260" s="882"/>
      <c r="CI2260" s="530"/>
    </row>
    <row r="2261">
      <c r="A2261" s="857"/>
      <c r="B2261" s="871" t="s">
        <v>690</v>
      </c>
      <c r="C2261" s="865" t="s">
        <v>591</v>
      </c>
      <c r="D2261" s="865" t="s">
        <v>601</v>
      </c>
      <c r="E2261" s="866">
        <v>2019.0</v>
      </c>
      <c r="F2261" s="865" t="s">
        <v>593</v>
      </c>
      <c r="G2261" s="865" t="s">
        <v>70</v>
      </c>
      <c r="H2261" s="867">
        <v>3.069814262E7</v>
      </c>
      <c r="I2261" s="867">
        <v>3.421202027E7</v>
      </c>
      <c r="J2261" s="868">
        <v>2.732153161E7</v>
      </c>
      <c r="K2261" s="50"/>
      <c r="L2261" s="870" t="s">
        <v>690</v>
      </c>
      <c r="M2261" s="865" t="s">
        <v>591</v>
      </c>
      <c r="N2261" s="865" t="s">
        <v>601</v>
      </c>
      <c r="O2261" s="866">
        <v>2004.0</v>
      </c>
      <c r="P2261" s="865" t="s">
        <v>593</v>
      </c>
      <c r="Q2261" s="865" t="s">
        <v>70</v>
      </c>
      <c r="R2261" s="867">
        <v>2.136609665E7</v>
      </c>
      <c r="S2261" s="867">
        <v>2.305864914E7</v>
      </c>
      <c r="T2261" s="868">
        <v>1.960151097E7</v>
      </c>
      <c r="AN2261" s="882"/>
      <c r="AO2261" s="882"/>
      <c r="AP2261" s="882"/>
      <c r="AY2261" s="882"/>
      <c r="AZ2261" s="882"/>
      <c r="BA2261" s="882"/>
      <c r="BJ2261" s="882"/>
      <c r="BK2261" s="882"/>
      <c r="BL2261" s="882"/>
      <c r="BU2261" s="882"/>
      <c r="BV2261" s="882"/>
      <c r="BW2261" s="882"/>
      <c r="CF2261" s="882"/>
      <c r="CG2261" s="882"/>
      <c r="CH2261" s="882"/>
      <c r="CI2261" s="530"/>
    </row>
    <row r="2262">
      <c r="A2262" s="857"/>
      <c r="B2262" s="871" t="s">
        <v>690</v>
      </c>
      <c r="C2262" s="865" t="s">
        <v>591</v>
      </c>
      <c r="D2262" s="865" t="s">
        <v>606</v>
      </c>
      <c r="E2262" s="866">
        <v>2019.0</v>
      </c>
      <c r="F2262" s="865" t="s">
        <v>593</v>
      </c>
      <c r="G2262" s="865" t="s">
        <v>70</v>
      </c>
      <c r="H2262" s="867">
        <v>2.457437031E7</v>
      </c>
      <c r="I2262" s="867">
        <v>2.738728742E7</v>
      </c>
      <c r="J2262" s="868">
        <v>2.187133742E7</v>
      </c>
      <c r="K2262" s="50"/>
      <c r="L2262" s="870" t="s">
        <v>690</v>
      </c>
      <c r="M2262" s="865" t="s">
        <v>591</v>
      </c>
      <c r="N2262" s="865" t="s">
        <v>606</v>
      </c>
      <c r="O2262" s="866">
        <v>2004.0</v>
      </c>
      <c r="P2262" s="865" t="s">
        <v>593</v>
      </c>
      <c r="Q2262" s="865" t="s">
        <v>70</v>
      </c>
      <c r="R2262" s="867">
        <v>1.73070705E7</v>
      </c>
      <c r="S2262" s="867">
        <v>1.867808019E7</v>
      </c>
      <c r="T2262" s="868">
        <v>1.587771215E7</v>
      </c>
      <c r="AN2262" s="882"/>
      <c r="AO2262" s="882"/>
      <c r="AP2262" s="882"/>
      <c r="AY2262" s="882"/>
      <c r="AZ2262" s="882"/>
      <c r="BA2262" s="882"/>
      <c r="BJ2262" s="882"/>
      <c r="BK2262" s="882"/>
      <c r="BL2262" s="882"/>
      <c r="BU2262" s="882"/>
      <c r="BV2262" s="882"/>
      <c r="BW2262" s="882"/>
      <c r="CF2262" s="882"/>
      <c r="CG2262" s="882"/>
      <c r="CH2262" s="882"/>
      <c r="CI2262" s="530"/>
    </row>
    <row r="2263">
      <c r="A2263" s="857"/>
      <c r="B2263" s="871" t="s">
        <v>690</v>
      </c>
      <c r="C2263" s="865" t="s">
        <v>591</v>
      </c>
      <c r="D2263" s="865" t="s">
        <v>608</v>
      </c>
      <c r="E2263" s="866">
        <v>2019.0</v>
      </c>
      <c r="F2263" s="865" t="s">
        <v>593</v>
      </c>
      <c r="G2263" s="865" t="s">
        <v>70</v>
      </c>
      <c r="H2263" s="867">
        <v>7329306.521</v>
      </c>
      <c r="I2263" s="867">
        <v>8168259.114</v>
      </c>
      <c r="J2263" s="868">
        <v>6523126.896</v>
      </c>
      <c r="K2263" s="50"/>
      <c r="L2263" s="870" t="s">
        <v>690</v>
      </c>
      <c r="M2263" s="865" t="s">
        <v>591</v>
      </c>
      <c r="N2263" s="865" t="s">
        <v>608</v>
      </c>
      <c r="O2263" s="866">
        <v>2004.0</v>
      </c>
      <c r="P2263" s="865" t="s">
        <v>593</v>
      </c>
      <c r="Q2263" s="865" t="s">
        <v>70</v>
      </c>
      <c r="R2263" s="867">
        <v>5447258.477</v>
      </c>
      <c r="S2263" s="867">
        <v>5878772.529</v>
      </c>
      <c r="T2263" s="868">
        <v>4997379.659</v>
      </c>
      <c r="AN2263" s="882"/>
      <c r="AO2263" s="882"/>
      <c r="AP2263" s="882"/>
      <c r="AY2263" s="882"/>
      <c r="AZ2263" s="882"/>
      <c r="BA2263" s="882"/>
      <c r="BJ2263" s="882"/>
      <c r="BK2263" s="882"/>
      <c r="BL2263" s="882"/>
      <c r="BU2263" s="882"/>
      <c r="BV2263" s="882"/>
      <c r="BW2263" s="882"/>
      <c r="CF2263" s="882"/>
      <c r="CG2263" s="882"/>
      <c r="CH2263" s="882"/>
      <c r="CI2263" s="530"/>
    </row>
    <row r="2264">
      <c r="A2264" s="857"/>
      <c r="B2264" s="871" t="s">
        <v>690</v>
      </c>
      <c r="C2264" s="865" t="s">
        <v>591</v>
      </c>
      <c r="D2264" s="865" t="s">
        <v>610</v>
      </c>
      <c r="E2264" s="866">
        <v>2019.0</v>
      </c>
      <c r="F2264" s="865" t="s">
        <v>593</v>
      </c>
      <c r="G2264" s="865" t="s">
        <v>70</v>
      </c>
      <c r="H2264" s="867">
        <v>7116237.345</v>
      </c>
      <c r="I2264" s="867">
        <v>7930800.872</v>
      </c>
      <c r="J2264" s="868">
        <v>6333494.048</v>
      </c>
      <c r="K2264" s="50"/>
      <c r="L2264" s="870" t="s">
        <v>690</v>
      </c>
      <c r="M2264" s="865" t="s">
        <v>591</v>
      </c>
      <c r="N2264" s="865" t="s">
        <v>610</v>
      </c>
      <c r="O2264" s="866">
        <v>2004.0</v>
      </c>
      <c r="P2264" s="865" t="s">
        <v>593</v>
      </c>
      <c r="Q2264" s="865" t="s">
        <v>70</v>
      </c>
      <c r="R2264" s="867">
        <v>4723390.463</v>
      </c>
      <c r="S2264" s="867">
        <v>5097562.051</v>
      </c>
      <c r="T2264" s="868">
        <v>4333294.54</v>
      </c>
      <c r="AN2264" s="882"/>
      <c r="AO2264" s="882"/>
      <c r="AP2264" s="882"/>
      <c r="AY2264" s="882"/>
      <c r="AZ2264" s="882"/>
      <c r="BA2264" s="882"/>
      <c r="BJ2264" s="882"/>
      <c r="BK2264" s="882"/>
      <c r="BL2264" s="882"/>
      <c r="BU2264" s="882"/>
      <c r="BV2264" s="882"/>
      <c r="BW2264" s="882"/>
      <c r="CF2264" s="882"/>
      <c r="CG2264" s="882"/>
      <c r="CH2264" s="882"/>
      <c r="CI2264" s="530"/>
    </row>
    <row r="2265">
      <c r="A2265" s="857"/>
      <c r="B2265" s="871" t="s">
        <v>690</v>
      </c>
      <c r="C2265" s="865" t="s">
        <v>591</v>
      </c>
      <c r="D2265" s="865" t="s">
        <v>612</v>
      </c>
      <c r="E2265" s="866">
        <v>2019.0</v>
      </c>
      <c r="F2265" s="865" t="s">
        <v>593</v>
      </c>
      <c r="G2265" s="865" t="s">
        <v>70</v>
      </c>
      <c r="H2265" s="867">
        <v>1.324000965E7</v>
      </c>
      <c r="I2265" s="867">
        <v>1.475553372E7</v>
      </c>
      <c r="J2265" s="868">
        <v>1.178368824E7</v>
      </c>
      <c r="K2265" s="50"/>
      <c r="L2265" s="870" t="s">
        <v>690</v>
      </c>
      <c r="M2265" s="865" t="s">
        <v>591</v>
      </c>
      <c r="N2265" s="865" t="s">
        <v>612</v>
      </c>
      <c r="O2265" s="866">
        <v>2004.0</v>
      </c>
      <c r="P2265" s="865" t="s">
        <v>593</v>
      </c>
      <c r="Q2265" s="865" t="s">
        <v>70</v>
      </c>
      <c r="R2265" s="867">
        <v>8782416.607</v>
      </c>
      <c r="S2265" s="867">
        <v>9478131.009</v>
      </c>
      <c r="T2265" s="868">
        <v>8057093.36</v>
      </c>
      <c r="AN2265" s="882"/>
      <c r="AO2265" s="882"/>
      <c r="AP2265" s="882"/>
      <c r="AY2265" s="882"/>
      <c r="AZ2265" s="882"/>
      <c r="BA2265" s="882"/>
      <c r="BJ2265" s="882"/>
      <c r="BK2265" s="882"/>
      <c r="BL2265" s="882"/>
      <c r="BU2265" s="882"/>
      <c r="BV2265" s="882"/>
      <c r="BW2265" s="882"/>
      <c r="CF2265" s="882"/>
      <c r="CG2265" s="882"/>
      <c r="CH2265" s="882"/>
      <c r="CI2265" s="530"/>
    </row>
    <row r="2266">
      <c r="A2266" s="857"/>
      <c r="B2266" s="871" t="s">
        <v>690</v>
      </c>
      <c r="C2266" s="865" t="s">
        <v>591</v>
      </c>
      <c r="D2266" s="865" t="s">
        <v>614</v>
      </c>
      <c r="E2266" s="866">
        <v>2019.0</v>
      </c>
      <c r="F2266" s="865" t="s">
        <v>593</v>
      </c>
      <c r="G2266" s="865" t="s">
        <v>70</v>
      </c>
      <c r="H2266" s="867">
        <v>1.83456182E7</v>
      </c>
      <c r="I2266" s="867">
        <v>2.04455582E7</v>
      </c>
      <c r="J2266" s="868">
        <v>1.632771056E7</v>
      </c>
      <c r="K2266" s="50"/>
      <c r="L2266" s="870" t="s">
        <v>690</v>
      </c>
      <c r="M2266" s="865" t="s">
        <v>591</v>
      </c>
      <c r="N2266" s="865" t="s">
        <v>614</v>
      </c>
      <c r="O2266" s="866">
        <v>2004.0</v>
      </c>
      <c r="P2266" s="865" t="s">
        <v>593</v>
      </c>
      <c r="Q2266" s="865" t="s">
        <v>70</v>
      </c>
      <c r="R2266" s="867">
        <v>1.228735159E7</v>
      </c>
      <c r="S2266" s="867">
        <v>1.326071551E7</v>
      </c>
      <c r="T2266" s="868">
        <v>1.127256237E7</v>
      </c>
      <c r="AN2266" s="882"/>
      <c r="AO2266" s="882"/>
      <c r="AP2266" s="882"/>
      <c r="AY2266" s="882"/>
      <c r="AZ2266" s="882"/>
      <c r="BA2266" s="882"/>
      <c r="BJ2266" s="882"/>
      <c r="BK2266" s="882"/>
      <c r="BL2266" s="882"/>
      <c r="BU2266" s="882"/>
      <c r="BV2266" s="882"/>
      <c r="BW2266" s="882"/>
      <c r="CF2266" s="882"/>
      <c r="CG2266" s="882"/>
      <c r="CH2266" s="882"/>
      <c r="CI2266" s="530"/>
    </row>
    <row r="2267">
      <c r="A2267" s="857"/>
      <c r="B2267" s="871" t="s">
        <v>690</v>
      </c>
      <c r="C2267" s="865" t="s">
        <v>591</v>
      </c>
      <c r="D2267" s="865" t="s">
        <v>616</v>
      </c>
      <c r="E2267" s="866">
        <v>2019.0</v>
      </c>
      <c r="F2267" s="865" t="s">
        <v>593</v>
      </c>
      <c r="G2267" s="865" t="s">
        <v>70</v>
      </c>
      <c r="H2267" s="867">
        <v>6123772.306</v>
      </c>
      <c r="I2267" s="867">
        <v>6824732.846</v>
      </c>
      <c r="J2267" s="868">
        <v>5450194.193</v>
      </c>
      <c r="K2267" s="50"/>
      <c r="L2267" s="870" t="s">
        <v>690</v>
      </c>
      <c r="M2267" s="865" t="s">
        <v>591</v>
      </c>
      <c r="N2267" s="865" t="s">
        <v>616</v>
      </c>
      <c r="O2267" s="866">
        <v>2004.0</v>
      </c>
      <c r="P2267" s="865" t="s">
        <v>593</v>
      </c>
      <c r="Q2267" s="865" t="s">
        <v>70</v>
      </c>
      <c r="R2267" s="867">
        <v>4059026.145</v>
      </c>
      <c r="S2267" s="867">
        <v>4380568.958</v>
      </c>
      <c r="T2267" s="868">
        <v>3723798.82</v>
      </c>
      <c r="AN2267" s="882"/>
      <c r="AO2267" s="882"/>
      <c r="AP2267" s="882"/>
      <c r="AY2267" s="882"/>
      <c r="AZ2267" s="882"/>
      <c r="BA2267" s="882"/>
      <c r="BJ2267" s="882"/>
      <c r="BK2267" s="882"/>
      <c r="BL2267" s="882"/>
      <c r="BU2267" s="882"/>
      <c r="BV2267" s="882"/>
      <c r="BW2267" s="882"/>
      <c r="CF2267" s="882"/>
      <c r="CG2267" s="882"/>
      <c r="CH2267" s="882"/>
      <c r="CI2267" s="530"/>
    </row>
    <row r="2268">
      <c r="A2268" s="857"/>
      <c r="B2268" s="871" t="s">
        <v>690</v>
      </c>
      <c r="C2268" s="865" t="s">
        <v>591</v>
      </c>
      <c r="D2268" s="865" t="s">
        <v>618</v>
      </c>
      <c r="E2268" s="866">
        <v>2019.0</v>
      </c>
      <c r="F2268" s="865" t="s">
        <v>593</v>
      </c>
      <c r="G2268" s="865" t="s">
        <v>70</v>
      </c>
      <c r="H2268" s="867">
        <v>2.208470417E7</v>
      </c>
      <c r="I2268" s="867">
        <v>2.460883365E7</v>
      </c>
      <c r="J2268" s="868">
        <v>1.966326217E7</v>
      </c>
      <c r="K2268" s="50"/>
      <c r="L2268" s="870" t="s">
        <v>690</v>
      </c>
      <c r="M2268" s="865" t="s">
        <v>591</v>
      </c>
      <c r="N2268" s="865" t="s">
        <v>618</v>
      </c>
      <c r="O2268" s="866">
        <v>2004.0</v>
      </c>
      <c r="P2268" s="865" t="s">
        <v>593</v>
      </c>
      <c r="Q2268" s="865" t="s">
        <v>70</v>
      </c>
      <c r="R2268" s="867">
        <v>1.487390894E7</v>
      </c>
      <c r="S2268" s="867">
        <v>1.605058474E7</v>
      </c>
      <c r="T2268" s="868">
        <v>1.364457596E7</v>
      </c>
      <c r="AN2268" s="882"/>
      <c r="AO2268" s="882"/>
      <c r="AP2268" s="882"/>
      <c r="AY2268" s="882"/>
      <c r="AZ2268" s="882"/>
      <c r="BA2268" s="882"/>
      <c r="BJ2268" s="882"/>
      <c r="BK2268" s="882"/>
      <c r="BL2268" s="882"/>
      <c r="BU2268" s="882"/>
      <c r="BV2268" s="882"/>
      <c r="BW2268" s="882"/>
      <c r="CF2268" s="882"/>
      <c r="CG2268" s="882"/>
      <c r="CH2268" s="882"/>
      <c r="CI2268" s="530"/>
    </row>
    <row r="2269">
      <c r="A2269" s="857"/>
      <c r="B2269" s="871" t="s">
        <v>690</v>
      </c>
      <c r="C2269" s="865" t="s">
        <v>591</v>
      </c>
      <c r="D2269" s="865" t="s">
        <v>620</v>
      </c>
      <c r="E2269" s="866">
        <v>2019.0</v>
      </c>
      <c r="F2269" s="865" t="s">
        <v>593</v>
      </c>
      <c r="G2269" s="865" t="s">
        <v>70</v>
      </c>
      <c r="H2269" s="867">
        <v>2.666310819E7</v>
      </c>
      <c r="I2269" s="867">
        <v>2.971511368E7</v>
      </c>
      <c r="J2269" s="868">
        <v>2.37303267E7</v>
      </c>
      <c r="K2269" s="50"/>
      <c r="L2269" s="870" t="s">
        <v>690</v>
      </c>
      <c r="M2269" s="865" t="s">
        <v>591</v>
      </c>
      <c r="N2269" s="865" t="s">
        <v>620</v>
      </c>
      <c r="O2269" s="866">
        <v>2004.0</v>
      </c>
      <c r="P2269" s="865" t="s">
        <v>593</v>
      </c>
      <c r="Q2269" s="865" t="s">
        <v>70</v>
      </c>
      <c r="R2269" s="867">
        <v>1.746373274E7</v>
      </c>
      <c r="S2269" s="867">
        <v>1.88471527E7</v>
      </c>
      <c r="T2269" s="868">
        <v>1.602143594E7</v>
      </c>
      <c r="AN2269" s="882"/>
      <c r="AO2269" s="882"/>
      <c r="AP2269" s="882"/>
      <c r="AY2269" s="882"/>
      <c r="AZ2269" s="882"/>
      <c r="BA2269" s="882"/>
      <c r="BJ2269" s="882"/>
      <c r="BK2269" s="882"/>
      <c r="BL2269" s="882"/>
      <c r="BU2269" s="882"/>
      <c r="BV2269" s="882"/>
      <c r="BW2269" s="882"/>
      <c r="CF2269" s="882"/>
      <c r="CG2269" s="882"/>
      <c r="CH2269" s="882"/>
      <c r="CI2269" s="530"/>
    </row>
    <row r="2270">
      <c r="A2270" s="857"/>
      <c r="B2270" s="871" t="s">
        <v>690</v>
      </c>
      <c r="C2270" s="865" t="s">
        <v>591</v>
      </c>
      <c r="D2270" s="865" t="s">
        <v>622</v>
      </c>
      <c r="E2270" s="866">
        <v>2019.0</v>
      </c>
      <c r="F2270" s="865" t="s">
        <v>593</v>
      </c>
      <c r="G2270" s="865" t="s">
        <v>70</v>
      </c>
      <c r="H2270" s="867">
        <v>2.604220092E7</v>
      </c>
      <c r="I2270" s="867">
        <v>2.9018645E7</v>
      </c>
      <c r="J2270" s="868">
        <v>2.318684553E7</v>
      </c>
      <c r="K2270" s="50"/>
      <c r="L2270" s="870" t="s">
        <v>690</v>
      </c>
      <c r="M2270" s="865" t="s">
        <v>591</v>
      </c>
      <c r="N2270" s="865" t="s">
        <v>622</v>
      </c>
      <c r="O2270" s="866">
        <v>2004.0</v>
      </c>
      <c r="P2270" s="865" t="s">
        <v>593</v>
      </c>
      <c r="Q2270" s="865" t="s">
        <v>70</v>
      </c>
      <c r="R2270" s="867">
        <v>1.683681736E7</v>
      </c>
      <c r="S2270" s="867">
        <v>1.816877896E7</v>
      </c>
      <c r="T2270" s="868">
        <v>1.544524942E7</v>
      </c>
      <c r="AN2270" s="882"/>
      <c r="AO2270" s="882"/>
      <c r="AP2270" s="882"/>
      <c r="AY2270" s="882"/>
      <c r="AZ2270" s="882"/>
      <c r="BA2270" s="882"/>
      <c r="BJ2270" s="882"/>
      <c r="BK2270" s="882"/>
      <c r="BL2270" s="882"/>
      <c r="BU2270" s="882"/>
      <c r="BV2270" s="882"/>
      <c r="BW2270" s="882"/>
      <c r="CF2270" s="882"/>
      <c r="CG2270" s="882"/>
      <c r="CH2270" s="882"/>
      <c r="CI2270" s="530"/>
    </row>
    <row r="2271">
      <c r="A2271" s="857"/>
      <c r="B2271" s="871" t="s">
        <v>690</v>
      </c>
      <c r="C2271" s="865" t="s">
        <v>591</v>
      </c>
      <c r="D2271" s="865" t="s">
        <v>624</v>
      </c>
      <c r="E2271" s="866">
        <v>2019.0</v>
      </c>
      <c r="F2271" s="865" t="s">
        <v>593</v>
      </c>
      <c r="G2271" s="865" t="s">
        <v>70</v>
      </c>
      <c r="H2271" s="867">
        <v>5105608.548</v>
      </c>
      <c r="I2271" s="867">
        <v>5690024.484</v>
      </c>
      <c r="J2271" s="868">
        <v>4544022.323</v>
      </c>
      <c r="K2271" s="50"/>
      <c r="L2271" s="870" t="s">
        <v>690</v>
      </c>
      <c r="M2271" s="865" t="s">
        <v>591</v>
      </c>
      <c r="N2271" s="865" t="s">
        <v>624</v>
      </c>
      <c r="O2271" s="866">
        <v>2004.0</v>
      </c>
      <c r="P2271" s="865" t="s">
        <v>593</v>
      </c>
      <c r="Q2271" s="865" t="s">
        <v>70</v>
      </c>
      <c r="R2271" s="867">
        <v>3504934.984</v>
      </c>
      <c r="S2271" s="867">
        <v>3782584.503</v>
      </c>
      <c r="T2271" s="868">
        <v>3215469.005</v>
      </c>
      <c r="AN2271" s="882"/>
      <c r="AO2271" s="882"/>
      <c r="AP2271" s="882"/>
      <c r="AY2271" s="882"/>
      <c r="AZ2271" s="882"/>
      <c r="BA2271" s="882"/>
      <c r="BJ2271" s="882"/>
      <c r="BK2271" s="882"/>
      <c r="BL2271" s="882"/>
      <c r="BU2271" s="882"/>
      <c r="BV2271" s="882"/>
      <c r="BW2271" s="882"/>
      <c r="CF2271" s="882"/>
      <c r="CG2271" s="882"/>
      <c r="CH2271" s="882"/>
      <c r="CI2271" s="530"/>
    </row>
    <row r="2272">
      <c r="A2272" s="857"/>
      <c r="B2272" s="871" t="s">
        <v>690</v>
      </c>
      <c r="C2272" s="865" t="s">
        <v>591</v>
      </c>
      <c r="D2272" s="865" t="s">
        <v>625</v>
      </c>
      <c r="E2272" s="866">
        <v>2019.0</v>
      </c>
      <c r="F2272" s="865" t="s">
        <v>593</v>
      </c>
      <c r="G2272" s="865" t="s">
        <v>70</v>
      </c>
      <c r="H2272" s="867">
        <v>2.0932365E7</v>
      </c>
      <c r="I2272" s="867">
        <v>2.332839822E7</v>
      </c>
      <c r="J2272" s="868">
        <v>1.862993078E7</v>
      </c>
      <c r="K2272" s="50"/>
      <c r="L2272" s="870" t="s">
        <v>690</v>
      </c>
      <c r="M2272" s="865" t="s">
        <v>591</v>
      </c>
      <c r="N2272" s="865" t="s">
        <v>625</v>
      </c>
      <c r="O2272" s="866">
        <v>2004.0</v>
      </c>
      <c r="P2272" s="865" t="s">
        <v>593</v>
      </c>
      <c r="Q2272" s="865" t="s">
        <v>70</v>
      </c>
      <c r="R2272" s="867">
        <v>1.332995536E7</v>
      </c>
      <c r="S2272" s="867">
        <v>1.438591095E7</v>
      </c>
      <c r="T2272" s="868">
        <v>1.222905945E7</v>
      </c>
      <c r="AN2272" s="882"/>
      <c r="AO2272" s="882"/>
      <c r="AP2272" s="882"/>
      <c r="AY2272" s="882"/>
      <c r="AZ2272" s="882"/>
      <c r="BA2272" s="882"/>
      <c r="BJ2272" s="882"/>
      <c r="BK2272" s="882"/>
      <c r="BL2272" s="882"/>
      <c r="BU2272" s="882"/>
      <c r="BV2272" s="882"/>
      <c r="BW2272" s="882"/>
      <c r="CF2272" s="882"/>
      <c r="CG2272" s="882"/>
      <c r="CH2272" s="882"/>
      <c r="CI2272" s="530"/>
    </row>
    <row r="2273">
      <c r="A2273" s="857"/>
      <c r="B2273" s="871" t="s">
        <v>690</v>
      </c>
      <c r="C2273" s="865" t="s">
        <v>591</v>
      </c>
      <c r="D2273" s="865" t="s">
        <v>627</v>
      </c>
      <c r="E2273" s="866">
        <v>2019.0</v>
      </c>
      <c r="F2273" s="865" t="s">
        <v>593</v>
      </c>
      <c r="G2273" s="865" t="s">
        <v>70</v>
      </c>
      <c r="H2273" s="867">
        <v>4238105.978</v>
      </c>
      <c r="I2273" s="867">
        <v>4723222.816</v>
      </c>
      <c r="J2273" s="868">
        <v>3771939.817</v>
      </c>
      <c r="K2273" s="50"/>
      <c r="L2273" s="870" t="s">
        <v>690</v>
      </c>
      <c r="M2273" s="865" t="s">
        <v>591</v>
      </c>
      <c r="N2273" s="865" t="s">
        <v>627</v>
      </c>
      <c r="O2273" s="866">
        <v>2004.0</v>
      </c>
      <c r="P2273" s="865" t="s">
        <v>593</v>
      </c>
      <c r="Q2273" s="865" t="s">
        <v>70</v>
      </c>
      <c r="R2273" s="867">
        <v>2988939.622</v>
      </c>
      <c r="S2273" s="867">
        <v>3225713.672</v>
      </c>
      <c r="T2273" s="868">
        <v>2742088.728</v>
      </c>
      <c r="AN2273" s="882"/>
      <c r="AO2273" s="882"/>
      <c r="AP2273" s="882"/>
      <c r="AY2273" s="882"/>
      <c r="AZ2273" s="882"/>
      <c r="BA2273" s="882"/>
      <c r="BJ2273" s="882"/>
      <c r="BK2273" s="882"/>
      <c r="BL2273" s="882"/>
      <c r="BU2273" s="882"/>
      <c r="BV2273" s="882"/>
      <c r="BW2273" s="882"/>
      <c r="CF2273" s="882"/>
      <c r="CG2273" s="882"/>
      <c r="CH2273" s="882"/>
      <c r="CI2273" s="530"/>
    </row>
    <row r="2274">
      <c r="A2274" s="857"/>
      <c r="B2274" s="871" t="s">
        <v>690</v>
      </c>
      <c r="C2274" s="865" t="s">
        <v>591</v>
      </c>
      <c r="D2274" s="865" t="s">
        <v>629</v>
      </c>
      <c r="E2274" s="866">
        <v>2019.0</v>
      </c>
      <c r="F2274" s="865" t="s">
        <v>593</v>
      </c>
      <c r="G2274" s="865" t="s">
        <v>70</v>
      </c>
      <c r="H2274" s="867">
        <v>1.543623307E7</v>
      </c>
      <c r="I2274" s="867">
        <v>1.720048812E7</v>
      </c>
      <c r="J2274" s="868">
        <v>1.374375203E7</v>
      </c>
      <c r="K2274" s="50"/>
      <c r="L2274" s="870" t="s">
        <v>690</v>
      </c>
      <c r="M2274" s="865" t="s">
        <v>591</v>
      </c>
      <c r="N2274" s="865" t="s">
        <v>629</v>
      </c>
      <c r="O2274" s="866">
        <v>2004.0</v>
      </c>
      <c r="P2274" s="865" t="s">
        <v>593</v>
      </c>
      <c r="Q2274" s="865" t="s">
        <v>70</v>
      </c>
      <c r="R2274" s="867">
        <v>9900904.794</v>
      </c>
      <c r="S2274" s="867">
        <v>1.068416595E7</v>
      </c>
      <c r="T2274" s="868">
        <v>9082592.08</v>
      </c>
      <c r="AN2274" s="882"/>
      <c r="AO2274" s="882"/>
      <c r="AP2274" s="882"/>
      <c r="AY2274" s="882"/>
      <c r="AZ2274" s="882"/>
      <c r="BA2274" s="882"/>
      <c r="BJ2274" s="882"/>
      <c r="BK2274" s="882"/>
      <c r="BL2274" s="882"/>
      <c r="BU2274" s="882"/>
      <c r="BV2274" s="882"/>
      <c r="BW2274" s="882"/>
      <c r="CF2274" s="882"/>
      <c r="CG2274" s="882"/>
      <c r="CH2274" s="882"/>
      <c r="CI2274" s="530"/>
    </row>
    <row r="2275">
      <c r="A2275" s="857"/>
      <c r="B2275" s="871" t="s">
        <v>690</v>
      </c>
      <c r="C2275" s="865" t="s">
        <v>591</v>
      </c>
      <c r="D2275" s="865" t="s">
        <v>631</v>
      </c>
      <c r="E2275" s="866">
        <v>2019.0</v>
      </c>
      <c r="F2275" s="865" t="s">
        <v>593</v>
      </c>
      <c r="G2275" s="865" t="s">
        <v>70</v>
      </c>
      <c r="H2275" s="867">
        <v>3567144.518</v>
      </c>
      <c r="I2275" s="867">
        <v>3975459.43</v>
      </c>
      <c r="J2275" s="868">
        <v>3174780.081</v>
      </c>
      <c r="K2275" s="50"/>
      <c r="L2275" s="870" t="s">
        <v>690</v>
      </c>
      <c r="M2275" s="865" t="s">
        <v>591</v>
      </c>
      <c r="N2275" s="865" t="s">
        <v>631</v>
      </c>
      <c r="O2275" s="866">
        <v>2004.0</v>
      </c>
      <c r="P2275" s="865" t="s">
        <v>593</v>
      </c>
      <c r="Q2275" s="865" t="s">
        <v>70</v>
      </c>
      <c r="R2275" s="867">
        <v>2402836.041</v>
      </c>
      <c r="S2275" s="867">
        <v>2593180.876</v>
      </c>
      <c r="T2275" s="868">
        <v>2204390.338</v>
      </c>
      <c r="AN2275" s="882"/>
      <c r="AO2275" s="882"/>
      <c r="AP2275" s="882"/>
      <c r="AY2275" s="882"/>
      <c r="AZ2275" s="882"/>
      <c r="BA2275" s="882"/>
      <c r="BJ2275" s="882"/>
      <c r="BK2275" s="882"/>
      <c r="BL2275" s="882"/>
      <c r="BU2275" s="882"/>
      <c r="BV2275" s="882"/>
      <c r="BW2275" s="882"/>
      <c r="CF2275" s="882"/>
      <c r="CG2275" s="882"/>
      <c r="CH2275" s="882"/>
      <c r="CI2275" s="530"/>
    </row>
    <row r="2276">
      <c r="A2276" s="857"/>
      <c r="B2276" s="871" t="s">
        <v>690</v>
      </c>
      <c r="C2276" s="865" t="s">
        <v>591</v>
      </c>
      <c r="D2276" s="865" t="s">
        <v>633</v>
      </c>
      <c r="E2276" s="866">
        <v>2019.0</v>
      </c>
      <c r="F2276" s="865" t="s">
        <v>593</v>
      </c>
      <c r="G2276" s="865" t="s">
        <v>70</v>
      </c>
      <c r="H2276" s="867">
        <v>3046487.861</v>
      </c>
      <c r="I2276" s="867">
        <v>3395205.558</v>
      </c>
      <c r="J2276" s="868">
        <v>2711392.524</v>
      </c>
      <c r="K2276" s="50"/>
      <c r="L2276" s="870" t="s">
        <v>690</v>
      </c>
      <c r="M2276" s="865" t="s">
        <v>591</v>
      </c>
      <c r="N2276" s="865" t="s">
        <v>633</v>
      </c>
      <c r="O2276" s="866">
        <v>2004.0</v>
      </c>
      <c r="P2276" s="865" t="s">
        <v>593</v>
      </c>
      <c r="Q2276" s="865" t="s">
        <v>70</v>
      </c>
      <c r="R2276" s="867">
        <v>1916469.792</v>
      </c>
      <c r="S2276" s="867">
        <v>2068286.279</v>
      </c>
      <c r="T2276" s="868">
        <v>1758192.162</v>
      </c>
      <c r="AN2276" s="882"/>
      <c r="AO2276" s="882"/>
      <c r="AP2276" s="882"/>
      <c r="AY2276" s="882"/>
      <c r="AZ2276" s="882"/>
      <c r="BA2276" s="882"/>
      <c r="BJ2276" s="882"/>
      <c r="BK2276" s="882"/>
      <c r="BL2276" s="882"/>
      <c r="BU2276" s="882"/>
      <c r="BV2276" s="882"/>
      <c r="BW2276" s="882"/>
      <c r="CF2276" s="882"/>
      <c r="CG2276" s="882"/>
      <c r="CH2276" s="882"/>
      <c r="CI2276" s="530"/>
    </row>
    <row r="2277">
      <c r="A2277" s="857"/>
      <c r="B2277" s="871" t="s">
        <v>690</v>
      </c>
      <c r="C2277" s="865" t="s">
        <v>591</v>
      </c>
      <c r="D2277" s="865" t="s">
        <v>635</v>
      </c>
      <c r="E2277" s="866">
        <v>2019.0</v>
      </c>
      <c r="F2277" s="865" t="s">
        <v>593</v>
      </c>
      <c r="G2277" s="865" t="s">
        <v>70</v>
      </c>
      <c r="H2277" s="867">
        <v>2539501.889</v>
      </c>
      <c r="I2277" s="867">
        <v>2830187.193</v>
      </c>
      <c r="J2277" s="868">
        <v>2260171.959</v>
      </c>
      <c r="K2277" s="50"/>
      <c r="L2277" s="870" t="s">
        <v>690</v>
      </c>
      <c r="M2277" s="865" t="s">
        <v>591</v>
      </c>
      <c r="N2277" s="865" t="s">
        <v>635</v>
      </c>
      <c r="O2277" s="866">
        <v>2004.0</v>
      </c>
      <c r="P2277" s="865" t="s">
        <v>593</v>
      </c>
      <c r="Q2277" s="865" t="s">
        <v>70</v>
      </c>
      <c r="R2277" s="867">
        <v>1465171.826</v>
      </c>
      <c r="S2277" s="867">
        <v>1581237.96</v>
      </c>
      <c r="T2277" s="868">
        <v>1344166.045</v>
      </c>
      <c r="AN2277" s="882"/>
      <c r="AO2277" s="882"/>
      <c r="AP2277" s="882"/>
      <c r="AY2277" s="882"/>
      <c r="AZ2277" s="882"/>
      <c r="BA2277" s="882"/>
      <c r="BJ2277" s="882"/>
      <c r="BK2277" s="882"/>
      <c r="BL2277" s="882"/>
      <c r="BU2277" s="882"/>
      <c r="BV2277" s="882"/>
      <c r="BW2277" s="882"/>
      <c r="CF2277" s="882"/>
      <c r="CG2277" s="882"/>
      <c r="CH2277" s="882"/>
      <c r="CI2277" s="530"/>
    </row>
    <row r="2278">
      <c r="A2278" s="857"/>
      <c r="B2278" s="871" t="s">
        <v>690</v>
      </c>
      <c r="C2278" s="865" t="s">
        <v>591</v>
      </c>
      <c r="D2278" s="865" t="s">
        <v>637</v>
      </c>
      <c r="E2278" s="866">
        <v>2019.0</v>
      </c>
      <c r="F2278" s="865" t="s">
        <v>593</v>
      </c>
      <c r="G2278" s="865" t="s">
        <v>70</v>
      </c>
      <c r="H2278" s="867">
        <v>2042487.091</v>
      </c>
      <c r="I2278" s="867">
        <v>2276281.357</v>
      </c>
      <c r="J2278" s="868">
        <v>1817825.798</v>
      </c>
      <c r="K2278" s="50"/>
      <c r="L2278" s="870" t="s">
        <v>690</v>
      </c>
      <c r="M2278" s="865" t="s">
        <v>591</v>
      </c>
      <c r="N2278" s="865" t="s">
        <v>637</v>
      </c>
      <c r="O2278" s="866">
        <v>2004.0</v>
      </c>
      <c r="P2278" s="865" t="s">
        <v>593</v>
      </c>
      <c r="Q2278" s="865" t="s">
        <v>70</v>
      </c>
      <c r="R2278" s="867">
        <v>1126354.33</v>
      </c>
      <c r="S2278" s="867">
        <v>1215580.446</v>
      </c>
      <c r="T2278" s="868">
        <v>1033330.847</v>
      </c>
      <c r="AN2278" s="882"/>
      <c r="AO2278" s="882"/>
      <c r="AP2278" s="882"/>
      <c r="AY2278" s="882"/>
      <c r="AZ2278" s="882"/>
      <c r="BA2278" s="882"/>
      <c r="BJ2278" s="882"/>
      <c r="BK2278" s="882"/>
      <c r="BL2278" s="882"/>
      <c r="BU2278" s="882"/>
      <c r="BV2278" s="882"/>
      <c r="BW2278" s="882"/>
      <c r="CF2278" s="882"/>
      <c r="CG2278" s="882"/>
      <c r="CH2278" s="882"/>
      <c r="CI2278" s="530"/>
    </row>
    <row r="2279">
      <c r="A2279" s="857"/>
      <c r="B2279" s="871" t="s">
        <v>690</v>
      </c>
      <c r="C2279" s="865" t="s">
        <v>591</v>
      </c>
      <c r="D2279" s="865" t="s">
        <v>639</v>
      </c>
      <c r="E2279" s="866">
        <v>2019.0</v>
      </c>
      <c r="F2279" s="865" t="s">
        <v>593</v>
      </c>
      <c r="G2279" s="865" t="s">
        <v>70</v>
      </c>
      <c r="H2279" s="867">
        <v>2.139433855E7</v>
      </c>
      <c r="I2279" s="867">
        <v>2.383956399E7</v>
      </c>
      <c r="J2279" s="868">
        <v>1.904859058E7</v>
      </c>
      <c r="K2279" s="50"/>
      <c r="L2279" s="870" t="s">
        <v>690</v>
      </c>
      <c r="M2279" s="865" t="s">
        <v>591</v>
      </c>
      <c r="N2279" s="865" t="s">
        <v>639</v>
      </c>
      <c r="O2279" s="866">
        <v>2004.0</v>
      </c>
      <c r="P2279" s="865" t="s">
        <v>593</v>
      </c>
      <c r="Q2279" s="865" t="s">
        <v>70</v>
      </c>
      <c r="R2279" s="867">
        <v>1.434669176E7</v>
      </c>
      <c r="S2279" s="867">
        <v>1.548165938E7</v>
      </c>
      <c r="T2279" s="868">
        <v>1.316093344E7</v>
      </c>
      <c r="AN2279" s="882"/>
      <c r="AO2279" s="882"/>
      <c r="AP2279" s="882"/>
      <c r="AY2279" s="882"/>
      <c r="AZ2279" s="882"/>
      <c r="BA2279" s="882"/>
      <c r="BJ2279" s="882"/>
      <c r="BK2279" s="882"/>
      <c r="BL2279" s="882"/>
      <c r="BU2279" s="882"/>
      <c r="BV2279" s="882"/>
      <c r="BW2279" s="882"/>
      <c r="CF2279" s="882"/>
      <c r="CG2279" s="882"/>
      <c r="CH2279" s="882"/>
      <c r="CI2279" s="530"/>
    </row>
    <row r="2280">
      <c r="A2280" s="857"/>
      <c r="B2280" s="871" t="s">
        <v>690</v>
      </c>
      <c r="C2280" s="865" t="s">
        <v>591</v>
      </c>
      <c r="D2280" s="865" t="s">
        <v>641</v>
      </c>
      <c r="E2280" s="866">
        <v>2019.0</v>
      </c>
      <c r="F2280" s="865" t="s">
        <v>593</v>
      </c>
      <c r="G2280" s="865" t="s">
        <v>70</v>
      </c>
      <c r="H2280" s="867">
        <v>8150856.004</v>
      </c>
      <c r="I2280" s="867">
        <v>9083847.653</v>
      </c>
      <c r="J2280" s="868">
        <v>7254310.879</v>
      </c>
      <c r="K2280" s="50"/>
      <c r="L2280" s="870" t="s">
        <v>690</v>
      </c>
      <c r="M2280" s="865" t="s">
        <v>591</v>
      </c>
      <c r="N2280" s="865" t="s">
        <v>641</v>
      </c>
      <c r="O2280" s="866">
        <v>2004.0</v>
      </c>
      <c r="P2280" s="865" t="s">
        <v>593</v>
      </c>
      <c r="Q2280" s="865" t="s">
        <v>70</v>
      </c>
      <c r="R2280" s="867">
        <v>5562633.142</v>
      </c>
      <c r="S2280" s="867">
        <v>6003286.798</v>
      </c>
      <c r="T2280" s="868">
        <v>5103225.747</v>
      </c>
      <c r="AN2280" s="882"/>
      <c r="AO2280" s="882"/>
      <c r="AP2280" s="882"/>
      <c r="AY2280" s="882"/>
      <c r="AZ2280" s="882"/>
      <c r="BA2280" s="882"/>
      <c r="BJ2280" s="882"/>
      <c r="BK2280" s="882"/>
      <c r="BL2280" s="882"/>
      <c r="BU2280" s="882"/>
      <c r="BV2280" s="882"/>
      <c r="BW2280" s="882"/>
      <c r="CF2280" s="882"/>
      <c r="CG2280" s="882"/>
      <c r="CH2280" s="882"/>
      <c r="CI2280" s="530"/>
    </row>
    <row r="2281">
      <c r="A2281" s="857"/>
      <c r="B2281" s="871" t="s">
        <v>690</v>
      </c>
      <c r="C2281" s="865" t="s">
        <v>591</v>
      </c>
      <c r="D2281" s="865" t="s">
        <v>643</v>
      </c>
      <c r="E2281" s="866">
        <v>2019.0</v>
      </c>
      <c r="F2281" s="865" t="s">
        <v>593</v>
      </c>
      <c r="G2281" s="865" t="s">
        <v>70</v>
      </c>
      <c r="H2281" s="867">
        <v>1599131.357</v>
      </c>
      <c r="I2281" s="867">
        <v>1782176.697</v>
      </c>
      <c r="J2281" s="868">
        <v>1423236.528</v>
      </c>
      <c r="K2281" s="50"/>
      <c r="L2281" s="870" t="s">
        <v>690</v>
      </c>
      <c r="M2281" s="865" t="s">
        <v>591</v>
      </c>
      <c r="N2281" s="865" t="s">
        <v>643</v>
      </c>
      <c r="O2281" s="866">
        <v>2004.0</v>
      </c>
      <c r="P2281" s="865" t="s">
        <v>593</v>
      </c>
      <c r="Q2281" s="865" t="s">
        <v>70</v>
      </c>
      <c r="R2281" s="867">
        <v>913008.3205</v>
      </c>
      <c r="S2281" s="867">
        <v>985333.8621</v>
      </c>
      <c r="T2281" s="868">
        <v>837604.6828</v>
      </c>
      <c r="AN2281" s="882"/>
      <c r="AO2281" s="882"/>
      <c r="AP2281" s="882"/>
      <c r="AY2281" s="882"/>
      <c r="AZ2281" s="882"/>
      <c r="BA2281" s="882"/>
      <c r="BJ2281" s="882"/>
      <c r="BK2281" s="882"/>
      <c r="BL2281" s="882"/>
      <c r="BU2281" s="882"/>
      <c r="BV2281" s="882"/>
      <c r="BW2281" s="882"/>
      <c r="CF2281" s="882"/>
      <c r="CG2281" s="882"/>
      <c r="CH2281" s="882"/>
      <c r="CI2281" s="530"/>
    </row>
    <row r="2282">
      <c r="A2282" s="857"/>
      <c r="B2282" s="871" t="s">
        <v>690</v>
      </c>
      <c r="C2282" s="865" t="s">
        <v>591</v>
      </c>
      <c r="D2282" s="865" t="s">
        <v>645</v>
      </c>
      <c r="E2282" s="866">
        <v>2019.0</v>
      </c>
      <c r="F2282" s="865" t="s">
        <v>593</v>
      </c>
      <c r="G2282" s="865" t="s">
        <v>70</v>
      </c>
      <c r="H2282" s="867">
        <v>4403295.591</v>
      </c>
      <c r="I2282" s="867">
        <v>4907320.937</v>
      </c>
      <c r="J2282" s="868">
        <v>3918959.566</v>
      </c>
      <c r="K2282" s="50"/>
      <c r="L2282" s="870" t="s">
        <v>690</v>
      </c>
      <c r="M2282" s="865" t="s">
        <v>591</v>
      </c>
      <c r="N2282" s="865" t="s">
        <v>645</v>
      </c>
      <c r="O2282" s="866">
        <v>2004.0</v>
      </c>
      <c r="P2282" s="865" t="s">
        <v>593</v>
      </c>
      <c r="Q2282" s="865" t="s">
        <v>70</v>
      </c>
      <c r="R2282" s="867">
        <v>2704938.911</v>
      </c>
      <c r="S2282" s="867">
        <v>2919215.35</v>
      </c>
      <c r="T2282" s="868">
        <v>2481543.101</v>
      </c>
      <c r="AN2282" s="882"/>
      <c r="AO2282" s="882"/>
      <c r="AP2282" s="882"/>
      <c r="AY2282" s="882"/>
      <c r="AZ2282" s="882"/>
      <c r="BA2282" s="882"/>
      <c r="BJ2282" s="882"/>
      <c r="BK2282" s="882"/>
      <c r="BL2282" s="882"/>
      <c r="BU2282" s="882"/>
      <c r="BV2282" s="882"/>
      <c r="BW2282" s="882"/>
      <c r="CF2282" s="882"/>
      <c r="CG2282" s="882"/>
      <c r="CH2282" s="882"/>
      <c r="CI2282" s="530"/>
    </row>
    <row r="2283">
      <c r="A2283" s="857"/>
      <c r="B2283" s="871" t="s">
        <v>690</v>
      </c>
      <c r="C2283" s="865" t="s">
        <v>591</v>
      </c>
      <c r="D2283" s="865" t="s">
        <v>604</v>
      </c>
      <c r="E2283" s="866">
        <v>2019.0</v>
      </c>
      <c r="F2283" s="865" t="s">
        <v>593</v>
      </c>
      <c r="G2283" s="865" t="s">
        <v>70</v>
      </c>
      <c r="H2283" s="867">
        <v>1.526709335E7</v>
      </c>
      <c r="I2283" s="867">
        <v>1.701464853E7</v>
      </c>
      <c r="J2283" s="868">
        <v>1.358780493E7</v>
      </c>
      <c r="K2283" s="50"/>
      <c r="L2283" s="870" t="s">
        <v>690</v>
      </c>
      <c r="M2283" s="865" t="s">
        <v>591</v>
      </c>
      <c r="N2283" s="865" t="s">
        <v>604</v>
      </c>
      <c r="O2283" s="866">
        <v>2004.0</v>
      </c>
      <c r="P2283" s="865" t="s">
        <v>593</v>
      </c>
      <c r="Q2283" s="865" t="s">
        <v>70</v>
      </c>
      <c r="R2283" s="867">
        <v>1.02860236E7</v>
      </c>
      <c r="S2283" s="867">
        <v>1.110084885E7</v>
      </c>
      <c r="T2283" s="868">
        <v>9436520.287</v>
      </c>
      <c r="AN2283" s="882"/>
      <c r="AO2283" s="882"/>
      <c r="AP2283" s="882"/>
      <c r="AY2283" s="882"/>
      <c r="AZ2283" s="882"/>
      <c r="BA2283" s="882"/>
      <c r="BJ2283" s="882"/>
      <c r="BK2283" s="882"/>
      <c r="BL2283" s="882"/>
      <c r="BU2283" s="882"/>
      <c r="BV2283" s="882"/>
      <c r="BW2283" s="882"/>
      <c r="CF2283" s="882"/>
      <c r="CG2283" s="882"/>
      <c r="CH2283" s="882"/>
      <c r="CI2283" s="530"/>
    </row>
    <row r="2284">
      <c r="A2284" s="857"/>
      <c r="B2284" s="871" t="s">
        <v>690</v>
      </c>
      <c r="C2284" s="865" t="s">
        <v>591</v>
      </c>
      <c r="D2284" s="865" t="s">
        <v>647</v>
      </c>
      <c r="E2284" s="866">
        <v>2019.0</v>
      </c>
      <c r="F2284" s="865" t="s">
        <v>593</v>
      </c>
      <c r="G2284" s="865" t="s">
        <v>70</v>
      </c>
      <c r="H2284" s="867">
        <v>3900139.407</v>
      </c>
      <c r="I2284" s="867">
        <v>4345898.461</v>
      </c>
      <c r="J2284" s="868">
        <v>3472514.871</v>
      </c>
      <c r="K2284" s="50"/>
      <c r="L2284" s="870" t="s">
        <v>690</v>
      </c>
      <c r="M2284" s="865" t="s">
        <v>591</v>
      </c>
      <c r="N2284" s="865" t="s">
        <v>647</v>
      </c>
      <c r="O2284" s="866">
        <v>2004.0</v>
      </c>
      <c r="P2284" s="865" t="s">
        <v>593</v>
      </c>
      <c r="Q2284" s="865" t="s">
        <v>70</v>
      </c>
      <c r="R2284" s="867">
        <v>2517463.56</v>
      </c>
      <c r="S2284" s="867">
        <v>2716620.249</v>
      </c>
      <c r="T2284" s="868">
        <v>2309394.451</v>
      </c>
      <c r="AN2284" s="882"/>
      <c r="AO2284" s="882"/>
      <c r="AP2284" s="882"/>
      <c r="AY2284" s="882"/>
      <c r="AZ2284" s="882"/>
      <c r="BA2284" s="882"/>
      <c r="BJ2284" s="882"/>
      <c r="BK2284" s="882"/>
      <c r="BL2284" s="882"/>
      <c r="BU2284" s="882"/>
      <c r="BV2284" s="882"/>
      <c r="BW2284" s="882"/>
      <c r="CF2284" s="882"/>
      <c r="CG2284" s="882"/>
      <c r="CH2284" s="882"/>
      <c r="CI2284" s="530"/>
    </row>
    <row r="2285">
      <c r="A2285" s="857"/>
      <c r="B2285" s="871" t="s">
        <v>690</v>
      </c>
      <c r="C2285" s="865" t="s">
        <v>591</v>
      </c>
      <c r="D2285" s="865" t="s">
        <v>649</v>
      </c>
      <c r="E2285" s="866">
        <v>2019.0</v>
      </c>
      <c r="F2285" s="865" t="s">
        <v>593</v>
      </c>
      <c r="G2285" s="865" t="s">
        <v>70</v>
      </c>
      <c r="H2285" s="867">
        <v>1209972.597</v>
      </c>
      <c r="I2285" s="867">
        <v>1348472.692</v>
      </c>
      <c r="J2285" s="868">
        <v>1076882.89</v>
      </c>
      <c r="K2285" s="50"/>
      <c r="L2285" s="870" t="s">
        <v>690</v>
      </c>
      <c r="M2285" s="865" t="s">
        <v>591</v>
      </c>
      <c r="N2285" s="865" t="s">
        <v>649</v>
      </c>
      <c r="O2285" s="866">
        <v>2004.0</v>
      </c>
      <c r="P2285" s="865" t="s">
        <v>593</v>
      </c>
      <c r="Q2285" s="865" t="s">
        <v>70</v>
      </c>
      <c r="R2285" s="867">
        <v>698485.9212</v>
      </c>
      <c r="S2285" s="867">
        <v>753817.6979</v>
      </c>
      <c r="T2285" s="868">
        <v>640799.2845</v>
      </c>
      <c r="AN2285" s="882"/>
      <c r="AO2285" s="882"/>
      <c r="AP2285" s="882"/>
      <c r="AY2285" s="882"/>
      <c r="AZ2285" s="882"/>
      <c r="BA2285" s="882"/>
      <c r="BJ2285" s="882"/>
      <c r="BK2285" s="882"/>
      <c r="BL2285" s="882"/>
      <c r="BU2285" s="882"/>
      <c r="BV2285" s="882"/>
      <c r="BW2285" s="882"/>
      <c r="CF2285" s="882"/>
      <c r="CG2285" s="882"/>
      <c r="CH2285" s="882"/>
      <c r="CI2285" s="530"/>
    </row>
    <row r="2286">
      <c r="A2286" s="857"/>
      <c r="B2286" s="871" t="s">
        <v>690</v>
      </c>
      <c r="C2286" s="865" t="s">
        <v>591</v>
      </c>
      <c r="D2286" s="865" t="s">
        <v>651</v>
      </c>
      <c r="E2286" s="866">
        <v>2019.0</v>
      </c>
      <c r="F2286" s="865" t="s">
        <v>593</v>
      </c>
      <c r="G2286" s="865" t="s">
        <v>70</v>
      </c>
      <c r="H2286" s="867">
        <v>901609.6445</v>
      </c>
      <c r="I2286" s="867">
        <v>1004812.826</v>
      </c>
      <c r="J2286" s="868">
        <v>802438.0077</v>
      </c>
      <c r="K2286" s="50"/>
      <c r="L2286" s="870" t="s">
        <v>690</v>
      </c>
      <c r="M2286" s="865" t="s">
        <v>591</v>
      </c>
      <c r="N2286" s="865" t="s">
        <v>651</v>
      </c>
      <c r="O2286" s="866">
        <v>2004.0</v>
      </c>
      <c r="P2286" s="865" t="s">
        <v>593</v>
      </c>
      <c r="Q2286" s="865" t="s">
        <v>70</v>
      </c>
      <c r="R2286" s="867">
        <v>597115.5158</v>
      </c>
      <c r="S2286" s="867">
        <v>644417.0596</v>
      </c>
      <c r="T2286" s="868">
        <v>547800.8699</v>
      </c>
      <c r="AN2286" s="882"/>
      <c r="AO2286" s="882"/>
      <c r="AP2286" s="882"/>
      <c r="AY2286" s="882"/>
      <c r="AZ2286" s="882"/>
      <c r="BA2286" s="882"/>
      <c r="BJ2286" s="882"/>
      <c r="BK2286" s="882"/>
      <c r="BL2286" s="882"/>
      <c r="BU2286" s="882"/>
      <c r="BV2286" s="882"/>
      <c r="BW2286" s="882"/>
      <c r="CF2286" s="882"/>
      <c r="CG2286" s="882"/>
      <c r="CH2286" s="882"/>
      <c r="CI2286" s="530"/>
    </row>
    <row r="2287">
      <c r="A2287" s="857"/>
      <c r="B2287" s="871" t="s">
        <v>690</v>
      </c>
      <c r="C2287" s="865" t="s">
        <v>591</v>
      </c>
      <c r="D2287" s="865" t="s">
        <v>653</v>
      </c>
      <c r="E2287" s="866">
        <v>2019.0</v>
      </c>
      <c r="F2287" s="865" t="s">
        <v>593</v>
      </c>
      <c r="G2287" s="865" t="s">
        <v>70</v>
      </c>
      <c r="H2287" s="867">
        <v>692581.9926</v>
      </c>
      <c r="I2287" s="867">
        <v>771858.7232</v>
      </c>
      <c r="J2287" s="868">
        <v>616402.14</v>
      </c>
      <c r="K2287" s="50"/>
      <c r="L2287" s="870" t="s">
        <v>690</v>
      </c>
      <c r="M2287" s="865" t="s">
        <v>591</v>
      </c>
      <c r="N2287" s="865" t="s">
        <v>653</v>
      </c>
      <c r="O2287" s="866">
        <v>2004.0</v>
      </c>
      <c r="P2287" s="865" t="s">
        <v>593</v>
      </c>
      <c r="Q2287" s="865" t="s">
        <v>70</v>
      </c>
      <c r="R2287" s="867">
        <v>496329.1537</v>
      </c>
      <c r="S2287" s="867">
        <v>535646.7306</v>
      </c>
      <c r="T2287" s="868">
        <v>455338.2637</v>
      </c>
      <c r="AN2287" s="882"/>
      <c r="AO2287" s="882"/>
      <c r="AP2287" s="882"/>
      <c r="AY2287" s="882"/>
      <c r="AZ2287" s="882"/>
      <c r="BA2287" s="882"/>
      <c r="BJ2287" s="882"/>
      <c r="BK2287" s="882"/>
      <c r="BL2287" s="882"/>
      <c r="BU2287" s="882"/>
      <c r="BV2287" s="882"/>
      <c r="BW2287" s="882"/>
      <c r="CF2287" s="882"/>
      <c r="CG2287" s="882"/>
      <c r="CH2287" s="882"/>
      <c r="CI2287" s="530"/>
    </row>
    <row r="2288">
      <c r="A2288" s="857"/>
      <c r="B2288" s="871" t="s">
        <v>690</v>
      </c>
      <c r="C2288" s="865" t="s">
        <v>591</v>
      </c>
      <c r="D2288" s="865" t="s">
        <v>655</v>
      </c>
      <c r="E2288" s="866">
        <v>2019.0</v>
      </c>
      <c r="F2288" s="865" t="s">
        <v>593</v>
      </c>
      <c r="G2288" s="865" t="s">
        <v>70</v>
      </c>
      <c r="H2288" s="867">
        <v>1166147.559</v>
      </c>
      <c r="I2288" s="867">
        <v>1299430.188</v>
      </c>
      <c r="J2288" s="868">
        <v>1038287.178</v>
      </c>
      <c r="K2288" s="50"/>
      <c r="L2288" s="870" t="s">
        <v>690</v>
      </c>
      <c r="M2288" s="865" t="s">
        <v>591</v>
      </c>
      <c r="N2288" s="865" t="s">
        <v>655</v>
      </c>
      <c r="O2288" s="866">
        <v>2004.0</v>
      </c>
      <c r="P2288" s="865" t="s">
        <v>593</v>
      </c>
      <c r="Q2288" s="865" t="s">
        <v>70</v>
      </c>
      <c r="R2288" s="867">
        <v>842764.6921</v>
      </c>
      <c r="S2288" s="867">
        <v>909435.8561</v>
      </c>
      <c r="T2288" s="868">
        <v>773109.9407</v>
      </c>
      <c r="AN2288" s="882"/>
      <c r="AO2288" s="882"/>
      <c r="AP2288" s="882"/>
      <c r="AY2288" s="882"/>
      <c r="AZ2288" s="882"/>
      <c r="BA2288" s="882"/>
      <c r="BJ2288" s="882"/>
      <c r="BK2288" s="882"/>
      <c r="BL2288" s="882"/>
      <c r="BU2288" s="882"/>
      <c r="BV2288" s="882"/>
      <c r="BW2288" s="882"/>
      <c r="CF2288" s="882"/>
      <c r="CG2288" s="882"/>
      <c r="CH2288" s="882"/>
      <c r="CI2288" s="530"/>
    </row>
    <row r="2289">
      <c r="A2289" s="857"/>
      <c r="B2289" s="871" t="s">
        <v>690</v>
      </c>
      <c r="C2289" s="865" t="s">
        <v>591</v>
      </c>
      <c r="D2289" s="865" t="s">
        <v>657</v>
      </c>
      <c r="E2289" s="866">
        <v>2019.0</v>
      </c>
      <c r="F2289" s="865" t="s">
        <v>593</v>
      </c>
      <c r="G2289" s="865" t="s">
        <v>70</v>
      </c>
      <c r="H2289" s="867">
        <v>473376.2682</v>
      </c>
      <c r="I2289" s="867">
        <v>527561.5103</v>
      </c>
      <c r="J2289" s="868">
        <v>421307.7266</v>
      </c>
      <c r="K2289" s="50"/>
      <c r="L2289" s="870" t="s">
        <v>690</v>
      </c>
      <c r="M2289" s="865" t="s">
        <v>591</v>
      </c>
      <c r="N2289" s="865" t="s">
        <v>657</v>
      </c>
      <c r="O2289" s="866">
        <v>2004.0</v>
      </c>
      <c r="P2289" s="865" t="s">
        <v>593</v>
      </c>
      <c r="Q2289" s="865" t="s">
        <v>70</v>
      </c>
      <c r="R2289" s="867">
        <v>346339.082</v>
      </c>
      <c r="S2289" s="867">
        <v>373774.9346</v>
      </c>
      <c r="T2289" s="868">
        <v>317735.5895</v>
      </c>
      <c r="AN2289" s="882"/>
      <c r="AO2289" s="882"/>
      <c r="AP2289" s="882"/>
      <c r="AY2289" s="882"/>
      <c r="AZ2289" s="882"/>
      <c r="BA2289" s="882"/>
      <c r="BJ2289" s="882"/>
      <c r="BK2289" s="882"/>
      <c r="BL2289" s="882"/>
      <c r="BU2289" s="882"/>
      <c r="BV2289" s="882"/>
      <c r="BW2289" s="882"/>
      <c r="CF2289" s="882"/>
      <c r="CG2289" s="882"/>
      <c r="CH2289" s="882"/>
      <c r="CI2289" s="530"/>
    </row>
    <row r="2290">
      <c r="A2290" s="857"/>
      <c r="B2290" s="871" t="s">
        <v>690</v>
      </c>
      <c r="C2290" s="865" t="s">
        <v>591</v>
      </c>
      <c r="D2290" s="865" t="s">
        <v>659</v>
      </c>
      <c r="E2290" s="866">
        <v>2019.0</v>
      </c>
      <c r="F2290" s="865" t="s">
        <v>593</v>
      </c>
      <c r="G2290" s="865" t="s">
        <v>70</v>
      </c>
      <c r="H2290" s="867">
        <v>1095342.072</v>
      </c>
      <c r="I2290" s="867">
        <v>1220720.928</v>
      </c>
      <c r="J2290" s="868">
        <v>974861.0334</v>
      </c>
      <c r="K2290" s="50"/>
      <c r="L2290" s="870" t="s">
        <v>690</v>
      </c>
      <c r="M2290" s="865" t="s">
        <v>591</v>
      </c>
      <c r="N2290" s="865" t="s">
        <v>659</v>
      </c>
      <c r="O2290" s="866">
        <v>2004.0</v>
      </c>
      <c r="P2290" s="865" t="s">
        <v>593</v>
      </c>
      <c r="Q2290" s="865" t="s">
        <v>70</v>
      </c>
      <c r="R2290" s="867">
        <v>725244.8393</v>
      </c>
      <c r="S2290" s="867">
        <v>782696.3702</v>
      </c>
      <c r="T2290" s="868">
        <v>665348.2339</v>
      </c>
      <c r="AN2290" s="882"/>
      <c r="AO2290" s="882"/>
      <c r="AP2290" s="882"/>
      <c r="AY2290" s="882"/>
      <c r="AZ2290" s="882"/>
      <c r="BA2290" s="882"/>
      <c r="BJ2290" s="882"/>
      <c r="BK2290" s="882"/>
      <c r="BL2290" s="882"/>
      <c r="BU2290" s="882"/>
      <c r="BV2290" s="882"/>
      <c r="BW2290" s="882"/>
      <c r="CF2290" s="882"/>
      <c r="CG2290" s="882"/>
      <c r="CH2290" s="882"/>
      <c r="CI2290" s="530"/>
    </row>
    <row r="2291">
      <c r="A2291" s="857"/>
      <c r="B2291" s="871" t="s">
        <v>690</v>
      </c>
      <c r="C2291" s="865" t="s">
        <v>591</v>
      </c>
      <c r="D2291" s="865" t="s">
        <v>661</v>
      </c>
      <c r="E2291" s="866">
        <v>2019.0</v>
      </c>
      <c r="F2291" s="865" t="s">
        <v>593</v>
      </c>
      <c r="G2291" s="865" t="s">
        <v>70</v>
      </c>
      <c r="H2291" s="867">
        <v>622066.7823</v>
      </c>
      <c r="I2291" s="867">
        <v>693164.7281</v>
      </c>
      <c r="J2291" s="868">
        <v>553861.2667</v>
      </c>
      <c r="K2291" s="50"/>
      <c r="L2291" s="870" t="s">
        <v>690</v>
      </c>
      <c r="M2291" s="865" t="s">
        <v>591</v>
      </c>
      <c r="N2291" s="865" t="s">
        <v>661</v>
      </c>
      <c r="O2291" s="866">
        <v>2004.0</v>
      </c>
      <c r="P2291" s="865" t="s">
        <v>593</v>
      </c>
      <c r="Q2291" s="865" t="s">
        <v>70</v>
      </c>
      <c r="R2291" s="867">
        <v>378949.1288</v>
      </c>
      <c r="S2291" s="867">
        <v>408927.8165</v>
      </c>
      <c r="T2291" s="868">
        <v>347628.8711</v>
      </c>
      <c r="AN2291" s="882"/>
      <c r="AO2291" s="882"/>
      <c r="AP2291" s="882"/>
      <c r="AY2291" s="882"/>
      <c r="AZ2291" s="882"/>
      <c r="BA2291" s="882"/>
      <c r="BJ2291" s="882"/>
      <c r="BK2291" s="882"/>
      <c r="BL2291" s="882"/>
      <c r="BU2291" s="882"/>
      <c r="BV2291" s="882"/>
      <c r="BW2291" s="882"/>
      <c r="CF2291" s="882"/>
      <c r="CG2291" s="882"/>
      <c r="CH2291" s="882"/>
      <c r="CI2291" s="530"/>
    </row>
    <row r="2292">
      <c r="A2292" s="857"/>
      <c r="B2292" s="871" t="s">
        <v>690</v>
      </c>
      <c r="C2292" s="865" t="s">
        <v>591</v>
      </c>
      <c r="D2292" s="865" t="s">
        <v>663</v>
      </c>
      <c r="E2292" s="866">
        <v>2019.0</v>
      </c>
      <c r="F2292" s="865" t="s">
        <v>593</v>
      </c>
      <c r="G2292" s="865" t="s">
        <v>70</v>
      </c>
      <c r="H2292" s="867">
        <v>319566.525</v>
      </c>
      <c r="I2292" s="867">
        <v>356145.8608</v>
      </c>
      <c r="J2292" s="868">
        <v>284416.1297</v>
      </c>
      <c r="K2292" s="50"/>
      <c r="L2292" s="870" t="s">
        <v>690</v>
      </c>
      <c r="M2292" s="865" t="s">
        <v>591</v>
      </c>
      <c r="N2292" s="865" t="s">
        <v>663</v>
      </c>
      <c r="O2292" s="866">
        <v>2004.0</v>
      </c>
      <c r="P2292" s="865" t="s">
        <v>593</v>
      </c>
      <c r="Q2292" s="865" t="s">
        <v>70</v>
      </c>
      <c r="R2292" s="867">
        <v>205147.3897</v>
      </c>
      <c r="S2292" s="867">
        <v>221398.4969</v>
      </c>
      <c r="T2292" s="868">
        <v>188204.6531</v>
      </c>
      <c r="AN2292" s="882"/>
      <c r="AO2292" s="882"/>
      <c r="AP2292" s="882"/>
      <c r="AY2292" s="882"/>
      <c r="AZ2292" s="882"/>
      <c r="BA2292" s="882"/>
      <c r="BJ2292" s="882"/>
      <c r="BK2292" s="882"/>
      <c r="BL2292" s="882"/>
      <c r="BU2292" s="882"/>
      <c r="BV2292" s="882"/>
      <c r="BW2292" s="882"/>
      <c r="CF2292" s="882"/>
      <c r="CG2292" s="882"/>
      <c r="CH2292" s="882"/>
      <c r="CI2292" s="530"/>
    </row>
    <row r="2293">
      <c r="A2293" s="857"/>
      <c r="B2293" s="871" t="s">
        <v>690</v>
      </c>
      <c r="C2293" s="865" t="s">
        <v>591</v>
      </c>
      <c r="D2293" s="865" t="s">
        <v>665</v>
      </c>
      <c r="E2293" s="866">
        <v>2019.0</v>
      </c>
      <c r="F2293" s="865" t="s">
        <v>593</v>
      </c>
      <c r="G2293" s="865" t="s">
        <v>70</v>
      </c>
      <c r="H2293" s="867">
        <v>507406.9832</v>
      </c>
      <c r="I2293" s="867">
        <v>565400.1042</v>
      </c>
      <c r="J2293" s="868">
        <v>451773.1575</v>
      </c>
      <c r="K2293" s="50"/>
      <c r="L2293" s="870" t="s">
        <v>690</v>
      </c>
      <c r="M2293" s="865" t="s">
        <v>591</v>
      </c>
      <c r="N2293" s="865" t="s">
        <v>665</v>
      </c>
      <c r="O2293" s="866">
        <v>2004.0</v>
      </c>
      <c r="P2293" s="865" t="s">
        <v>593</v>
      </c>
      <c r="Q2293" s="865" t="s">
        <v>70</v>
      </c>
      <c r="R2293" s="867">
        <v>313130.8647</v>
      </c>
      <c r="S2293" s="867">
        <v>337902.6657</v>
      </c>
      <c r="T2293" s="868">
        <v>287250.506</v>
      </c>
      <c r="AN2293" s="882"/>
      <c r="AO2293" s="882"/>
      <c r="AP2293" s="882"/>
      <c r="AY2293" s="882"/>
      <c r="AZ2293" s="882"/>
      <c r="BA2293" s="882"/>
      <c r="BJ2293" s="882"/>
      <c r="BK2293" s="882"/>
      <c r="BL2293" s="882"/>
      <c r="BU2293" s="882"/>
      <c r="BV2293" s="882"/>
      <c r="BW2293" s="882"/>
      <c r="CF2293" s="882"/>
      <c r="CG2293" s="882"/>
      <c r="CH2293" s="882"/>
      <c r="CI2293" s="530"/>
    </row>
    <row r="2294">
      <c r="A2294" s="857"/>
      <c r="B2294" s="871" t="s">
        <v>690</v>
      </c>
      <c r="C2294" s="865" t="s">
        <v>591</v>
      </c>
      <c r="D2294" s="865" t="s">
        <v>667</v>
      </c>
      <c r="E2294" s="866">
        <v>2019.0</v>
      </c>
      <c r="F2294" s="865" t="s">
        <v>593</v>
      </c>
      <c r="G2294" s="865" t="s">
        <v>70</v>
      </c>
      <c r="H2294" s="867">
        <v>302399.2786</v>
      </c>
      <c r="I2294" s="867">
        <v>337013.5573</v>
      </c>
      <c r="J2294" s="868">
        <v>269137.1772</v>
      </c>
      <c r="K2294" s="50"/>
      <c r="L2294" s="870" t="s">
        <v>690</v>
      </c>
      <c r="M2294" s="865" t="s">
        <v>591</v>
      </c>
      <c r="N2294" s="865" t="s">
        <v>667</v>
      </c>
      <c r="O2294" s="866">
        <v>2004.0</v>
      </c>
      <c r="P2294" s="865" t="s">
        <v>593</v>
      </c>
      <c r="Q2294" s="865" t="s">
        <v>70</v>
      </c>
      <c r="R2294" s="867">
        <v>173758.3675</v>
      </c>
      <c r="S2294" s="867">
        <v>187522.9387</v>
      </c>
      <c r="T2294" s="868">
        <v>159407.9912</v>
      </c>
      <c r="AN2294" s="882"/>
      <c r="AO2294" s="882"/>
      <c r="AP2294" s="882"/>
      <c r="AY2294" s="882"/>
      <c r="AZ2294" s="882"/>
      <c r="BA2294" s="882"/>
      <c r="BJ2294" s="882"/>
      <c r="BK2294" s="882"/>
      <c r="BL2294" s="882"/>
      <c r="BU2294" s="882"/>
      <c r="BV2294" s="882"/>
      <c r="BW2294" s="882"/>
      <c r="CF2294" s="882"/>
      <c r="CG2294" s="882"/>
      <c r="CH2294" s="882"/>
      <c r="CI2294" s="530"/>
    </row>
    <row r="2295">
      <c r="A2295" s="857"/>
      <c r="B2295" s="871" t="s">
        <v>690</v>
      </c>
      <c r="C2295" s="865" t="s">
        <v>591</v>
      </c>
      <c r="D2295" s="865" t="s">
        <v>669</v>
      </c>
      <c r="E2295" s="866">
        <v>2019.0</v>
      </c>
      <c r="F2295" s="865" t="s">
        <v>593</v>
      </c>
      <c r="G2295" s="865" t="s">
        <v>70</v>
      </c>
      <c r="H2295" s="867">
        <v>187758.0919</v>
      </c>
      <c r="I2295" s="867">
        <v>209249.9122</v>
      </c>
      <c r="J2295" s="868">
        <v>167105.8314</v>
      </c>
      <c r="K2295" s="50"/>
      <c r="L2295" s="870" t="s">
        <v>690</v>
      </c>
      <c r="M2295" s="865" t="s">
        <v>591</v>
      </c>
      <c r="N2295" s="865" t="s">
        <v>669</v>
      </c>
      <c r="O2295" s="866">
        <v>2004.0</v>
      </c>
      <c r="P2295" s="865" t="s">
        <v>593</v>
      </c>
      <c r="Q2295" s="865" t="s">
        <v>70</v>
      </c>
      <c r="R2295" s="867">
        <v>107947.6365</v>
      </c>
      <c r="S2295" s="867">
        <v>116498.8962</v>
      </c>
      <c r="T2295" s="868">
        <v>99032.44447</v>
      </c>
      <c r="AN2295" s="882"/>
      <c r="AO2295" s="882"/>
      <c r="AP2295" s="882"/>
      <c r="AY2295" s="882"/>
      <c r="AZ2295" s="882"/>
      <c r="BA2295" s="882"/>
      <c r="BJ2295" s="882"/>
      <c r="BK2295" s="882"/>
      <c r="BL2295" s="882"/>
      <c r="BU2295" s="882"/>
      <c r="BV2295" s="882"/>
      <c r="BW2295" s="882"/>
      <c r="CF2295" s="882"/>
      <c r="CG2295" s="882"/>
      <c r="CH2295" s="882"/>
      <c r="CI2295" s="530"/>
    </row>
    <row r="2296">
      <c r="A2296" s="857"/>
      <c r="B2296" s="871" t="s">
        <v>690</v>
      </c>
      <c r="C2296" s="865" t="s">
        <v>591</v>
      </c>
      <c r="D2296" s="865" t="s">
        <v>671</v>
      </c>
      <c r="E2296" s="866">
        <v>2019.0</v>
      </c>
      <c r="F2296" s="865" t="s">
        <v>593</v>
      </c>
      <c r="G2296" s="865" t="s">
        <v>70</v>
      </c>
      <c r="H2296" s="867">
        <v>114659.7991</v>
      </c>
      <c r="I2296" s="867">
        <v>127764.6239</v>
      </c>
      <c r="J2296" s="868">
        <v>102088.1092</v>
      </c>
      <c r="K2296" s="50"/>
      <c r="L2296" s="870" t="s">
        <v>690</v>
      </c>
      <c r="M2296" s="865" t="s">
        <v>591</v>
      </c>
      <c r="N2296" s="865" t="s">
        <v>671</v>
      </c>
      <c r="O2296" s="866">
        <v>2004.0</v>
      </c>
      <c r="P2296" s="865" t="s">
        <v>593</v>
      </c>
      <c r="Q2296" s="865" t="s">
        <v>70</v>
      </c>
      <c r="R2296" s="867">
        <v>65818.26412</v>
      </c>
      <c r="S2296" s="867">
        <v>71025.15083</v>
      </c>
      <c r="T2296" s="868">
        <v>60378.36509</v>
      </c>
      <c r="AN2296" s="882"/>
      <c r="AO2296" s="882"/>
      <c r="AP2296" s="882"/>
      <c r="AY2296" s="882"/>
      <c r="AZ2296" s="882"/>
      <c r="BA2296" s="882"/>
      <c r="BJ2296" s="882"/>
      <c r="BK2296" s="882"/>
      <c r="BL2296" s="882"/>
      <c r="BU2296" s="882"/>
      <c r="BV2296" s="882"/>
      <c r="BW2296" s="882"/>
      <c r="CF2296" s="882"/>
      <c r="CG2296" s="882"/>
      <c r="CH2296" s="882"/>
      <c r="CI2296" s="530"/>
    </row>
    <row r="2297">
      <c r="A2297" s="857"/>
      <c r="B2297" s="871" t="s">
        <v>690</v>
      </c>
      <c r="C2297" s="865" t="s">
        <v>591</v>
      </c>
      <c r="D2297" s="865" t="s">
        <v>673</v>
      </c>
      <c r="E2297" s="866">
        <v>2019.0</v>
      </c>
      <c r="F2297" s="865" t="s">
        <v>593</v>
      </c>
      <c r="G2297" s="865" t="s">
        <v>70</v>
      </c>
      <c r="H2297" s="867">
        <v>81563.88759</v>
      </c>
      <c r="I2297" s="867">
        <v>90900.13718</v>
      </c>
      <c r="J2297" s="868">
        <v>72592.35064</v>
      </c>
      <c r="K2297" s="50"/>
      <c r="L2297" s="870" t="s">
        <v>690</v>
      </c>
      <c r="M2297" s="865" t="s">
        <v>591</v>
      </c>
      <c r="N2297" s="865" t="s">
        <v>673</v>
      </c>
      <c r="O2297" s="866">
        <v>2004.0</v>
      </c>
      <c r="P2297" s="865" t="s">
        <v>593</v>
      </c>
      <c r="Q2297" s="865" t="s">
        <v>70</v>
      </c>
      <c r="R2297" s="867">
        <v>47262.21297</v>
      </c>
      <c r="S2297" s="867">
        <v>51006.17134</v>
      </c>
      <c r="T2297" s="868">
        <v>43358.91581</v>
      </c>
      <c r="AN2297" s="882"/>
      <c r="AO2297" s="882"/>
      <c r="AP2297" s="882"/>
      <c r="AY2297" s="882"/>
      <c r="AZ2297" s="882"/>
      <c r="BA2297" s="882"/>
      <c r="BJ2297" s="882"/>
      <c r="BK2297" s="882"/>
      <c r="BL2297" s="882"/>
      <c r="BU2297" s="882"/>
      <c r="BV2297" s="882"/>
      <c r="BW2297" s="882"/>
      <c r="CF2297" s="882"/>
      <c r="CG2297" s="882"/>
      <c r="CH2297" s="882"/>
      <c r="CI2297" s="530"/>
    </row>
    <row r="2298">
      <c r="A2298" s="857"/>
      <c r="B2298" s="871" t="s">
        <v>690</v>
      </c>
      <c r="C2298" s="865" t="s">
        <v>591</v>
      </c>
      <c r="D2298" s="865" t="s">
        <v>674</v>
      </c>
      <c r="E2298" s="866">
        <v>2019.0</v>
      </c>
      <c r="F2298" s="865" t="s">
        <v>593</v>
      </c>
      <c r="G2298" s="865" t="s">
        <v>70</v>
      </c>
      <c r="H2298" s="867">
        <v>26280.18484</v>
      </c>
      <c r="I2298" s="867">
        <v>29288.35883</v>
      </c>
      <c r="J2298" s="868">
        <v>23389.52261</v>
      </c>
      <c r="K2298" s="50"/>
      <c r="L2298" s="870" t="s">
        <v>690</v>
      </c>
      <c r="M2298" s="865" t="s">
        <v>591</v>
      </c>
      <c r="N2298" s="865" t="s">
        <v>674</v>
      </c>
      <c r="O2298" s="866">
        <v>2004.0</v>
      </c>
      <c r="P2298" s="865" t="s">
        <v>593</v>
      </c>
      <c r="Q2298" s="865" t="s">
        <v>70</v>
      </c>
      <c r="R2298" s="867">
        <v>15578.83081</v>
      </c>
      <c r="S2298" s="867">
        <v>16812.93498</v>
      </c>
      <c r="T2298" s="868">
        <v>14292.20451</v>
      </c>
      <c r="AN2298" s="882"/>
      <c r="AO2298" s="882"/>
      <c r="AP2298" s="882"/>
      <c r="AY2298" s="882"/>
      <c r="AZ2298" s="882"/>
      <c r="BA2298" s="882"/>
      <c r="BJ2298" s="882"/>
      <c r="BK2298" s="882"/>
      <c r="BL2298" s="882"/>
      <c r="BU2298" s="882"/>
      <c r="BV2298" s="882"/>
      <c r="BW2298" s="882"/>
      <c r="CF2298" s="882"/>
      <c r="CG2298" s="882"/>
      <c r="CH2298" s="882"/>
      <c r="CI2298" s="530"/>
    </row>
    <row r="2299">
      <c r="A2299" s="857"/>
      <c r="B2299" s="871" t="s">
        <v>690</v>
      </c>
      <c r="C2299" s="865" t="s">
        <v>591</v>
      </c>
      <c r="D2299" s="865" t="s">
        <v>676</v>
      </c>
      <c r="E2299" s="866">
        <v>2019.0</v>
      </c>
      <c r="F2299" s="865" t="s">
        <v>593</v>
      </c>
      <c r="G2299" s="865" t="s">
        <v>70</v>
      </c>
      <c r="H2299" s="867">
        <v>6797.114208</v>
      </c>
      <c r="I2299" s="867">
        <v>7575.149153</v>
      </c>
      <c r="J2299" s="868">
        <v>6049.472537</v>
      </c>
      <c r="K2299" s="50"/>
      <c r="L2299" s="870" t="s">
        <v>690</v>
      </c>
      <c r="M2299" s="865" t="s">
        <v>591</v>
      </c>
      <c r="N2299" s="865" t="s">
        <v>676</v>
      </c>
      <c r="O2299" s="866">
        <v>2004.0</v>
      </c>
      <c r="P2299" s="865" t="s">
        <v>593</v>
      </c>
      <c r="Q2299" s="865" t="s">
        <v>70</v>
      </c>
      <c r="R2299" s="867">
        <v>2969.68729</v>
      </c>
      <c r="S2299" s="867">
        <v>3204.936232</v>
      </c>
      <c r="T2299" s="868">
        <v>2724.42641</v>
      </c>
      <c r="AN2299" s="882"/>
      <c r="AO2299" s="882"/>
      <c r="AP2299" s="882"/>
      <c r="AY2299" s="882"/>
      <c r="AZ2299" s="882"/>
      <c r="BA2299" s="882"/>
      <c r="BJ2299" s="882"/>
      <c r="BK2299" s="882"/>
      <c r="BL2299" s="882"/>
      <c r="BU2299" s="882"/>
      <c r="BV2299" s="882"/>
      <c r="BW2299" s="882"/>
      <c r="CF2299" s="882"/>
      <c r="CG2299" s="882"/>
      <c r="CH2299" s="882"/>
      <c r="CI2299" s="530"/>
    </row>
    <row r="2300">
      <c r="A2300" s="857"/>
      <c r="B2300" s="871" t="s">
        <v>690</v>
      </c>
      <c r="C2300" s="865" t="s">
        <v>591</v>
      </c>
      <c r="D2300" s="865" t="s">
        <v>678</v>
      </c>
      <c r="E2300" s="866">
        <v>2019.0</v>
      </c>
      <c r="F2300" s="865" t="s">
        <v>593</v>
      </c>
      <c r="G2300" s="865" t="s">
        <v>70</v>
      </c>
      <c r="H2300" s="867">
        <v>5.673611617E7</v>
      </c>
      <c r="I2300" s="867">
        <v>6.323044297E7</v>
      </c>
      <c r="J2300" s="868">
        <v>5.049548471E7</v>
      </c>
      <c r="K2300" s="50"/>
      <c r="L2300" s="870" t="s">
        <v>690</v>
      </c>
      <c r="M2300" s="865" t="s">
        <v>591</v>
      </c>
      <c r="N2300" s="865" t="s">
        <v>678</v>
      </c>
      <c r="O2300" s="866">
        <v>2004.0</v>
      </c>
      <c r="P2300" s="865" t="s">
        <v>593</v>
      </c>
      <c r="Q2300" s="865" t="s">
        <v>70</v>
      </c>
      <c r="R2300" s="867">
        <v>3.8200987E7</v>
      </c>
      <c r="S2300" s="867">
        <v>4.12271446E7</v>
      </c>
      <c r="T2300" s="868">
        <v>3.504603943E7</v>
      </c>
      <c r="AN2300" s="882"/>
      <c r="AO2300" s="882"/>
      <c r="AP2300" s="882"/>
      <c r="AY2300" s="882"/>
      <c r="AZ2300" s="882"/>
      <c r="BA2300" s="882"/>
      <c r="BJ2300" s="882"/>
      <c r="BK2300" s="882"/>
      <c r="BL2300" s="882"/>
      <c r="BU2300" s="882"/>
      <c r="BV2300" s="882"/>
      <c r="BW2300" s="882"/>
      <c r="CF2300" s="882"/>
      <c r="CG2300" s="882"/>
      <c r="CH2300" s="882"/>
      <c r="CI2300" s="530"/>
    </row>
    <row r="2301">
      <c r="A2301" s="857"/>
      <c r="B2301" s="871" t="s">
        <v>690</v>
      </c>
      <c r="C2301" s="865" t="s">
        <v>591</v>
      </c>
      <c r="D2301" s="865" t="s">
        <v>680</v>
      </c>
      <c r="E2301" s="866">
        <v>2019.0</v>
      </c>
      <c r="F2301" s="865" t="s">
        <v>593</v>
      </c>
      <c r="G2301" s="865" t="s">
        <v>70</v>
      </c>
      <c r="H2301" s="867">
        <v>2087508.302</v>
      </c>
      <c r="I2301" s="867">
        <v>2265974.838</v>
      </c>
      <c r="J2301" s="868">
        <v>1926219.041</v>
      </c>
      <c r="K2301" s="50"/>
      <c r="L2301" s="870" t="s">
        <v>690</v>
      </c>
      <c r="M2301" s="865" t="s">
        <v>591</v>
      </c>
      <c r="N2301" s="865" t="s">
        <v>680</v>
      </c>
      <c r="O2301" s="866">
        <v>2004.0</v>
      </c>
      <c r="P2301" s="865" t="s">
        <v>593</v>
      </c>
      <c r="Q2301" s="865" t="s">
        <v>70</v>
      </c>
      <c r="R2301" s="867">
        <v>1701684.908</v>
      </c>
      <c r="S2301" s="867">
        <v>1781435.567</v>
      </c>
      <c r="T2301" s="868">
        <v>1615385.622</v>
      </c>
      <c r="AN2301" s="882"/>
      <c r="AO2301" s="882"/>
      <c r="AP2301" s="882"/>
      <c r="AY2301" s="882"/>
      <c r="AZ2301" s="882"/>
      <c r="BA2301" s="882"/>
      <c r="BJ2301" s="882"/>
      <c r="BK2301" s="882"/>
      <c r="BL2301" s="882"/>
      <c r="BU2301" s="882"/>
      <c r="BV2301" s="882"/>
      <c r="BW2301" s="882"/>
      <c r="CF2301" s="882"/>
      <c r="CG2301" s="882"/>
      <c r="CH2301" s="882"/>
      <c r="CI2301" s="530"/>
    </row>
    <row r="2302">
      <c r="A2302" s="857"/>
      <c r="B2302" s="871" t="s">
        <v>690</v>
      </c>
      <c r="C2302" s="865" t="s">
        <v>591</v>
      </c>
      <c r="D2302" s="865" t="s">
        <v>682</v>
      </c>
      <c r="E2302" s="866">
        <v>2019.0</v>
      </c>
      <c r="F2302" s="865" t="s">
        <v>593</v>
      </c>
      <c r="G2302" s="865" t="s">
        <v>70</v>
      </c>
      <c r="H2302" s="867">
        <v>39186.94635</v>
      </c>
      <c r="I2302" s="867">
        <v>43672.49899</v>
      </c>
      <c r="J2302" s="868">
        <v>34876.618</v>
      </c>
      <c r="K2302" s="50"/>
      <c r="L2302" s="870" t="s">
        <v>690</v>
      </c>
      <c r="M2302" s="865" t="s">
        <v>591</v>
      </c>
      <c r="N2302" s="865" t="s">
        <v>682</v>
      </c>
      <c r="O2302" s="866">
        <v>2004.0</v>
      </c>
      <c r="P2302" s="865" t="s">
        <v>593</v>
      </c>
      <c r="Q2302" s="865" t="s">
        <v>70</v>
      </c>
      <c r="R2302" s="867">
        <v>31641.85728</v>
      </c>
      <c r="S2302" s="867">
        <v>34148.42202</v>
      </c>
      <c r="T2302" s="868">
        <v>29028.61588</v>
      </c>
      <c r="AN2302" s="882"/>
      <c r="AO2302" s="882"/>
      <c r="AP2302" s="882"/>
      <c r="AY2302" s="882"/>
      <c r="AZ2302" s="882"/>
      <c r="BA2302" s="882"/>
      <c r="BJ2302" s="882"/>
      <c r="BK2302" s="882"/>
      <c r="BL2302" s="882"/>
      <c r="BU2302" s="882"/>
      <c r="BV2302" s="882"/>
      <c r="BW2302" s="882"/>
      <c r="CF2302" s="882"/>
      <c r="CG2302" s="882"/>
      <c r="CH2302" s="882"/>
      <c r="CI2302" s="530"/>
    </row>
    <row r="2303">
      <c r="A2303" s="857"/>
      <c r="B2303" s="871" t="s">
        <v>690</v>
      </c>
      <c r="C2303" s="865" t="s">
        <v>591</v>
      </c>
      <c r="D2303" s="865" t="s">
        <v>684</v>
      </c>
      <c r="E2303" s="866">
        <v>2019.0</v>
      </c>
      <c r="F2303" s="865" t="s">
        <v>593</v>
      </c>
      <c r="G2303" s="865" t="s">
        <v>70</v>
      </c>
      <c r="H2303" s="867">
        <v>116042.406</v>
      </c>
      <c r="I2303" s="867">
        <v>129325.2557</v>
      </c>
      <c r="J2303" s="868">
        <v>103278.4394</v>
      </c>
      <c r="K2303" s="50"/>
      <c r="L2303" s="870" t="s">
        <v>690</v>
      </c>
      <c r="M2303" s="865" t="s">
        <v>591</v>
      </c>
      <c r="N2303" s="865" t="s">
        <v>684</v>
      </c>
      <c r="O2303" s="866">
        <v>2004.0</v>
      </c>
      <c r="P2303" s="865" t="s">
        <v>593</v>
      </c>
      <c r="Q2303" s="865" t="s">
        <v>70</v>
      </c>
      <c r="R2303" s="867">
        <v>93380.31352</v>
      </c>
      <c r="S2303" s="867">
        <v>100777.5974</v>
      </c>
      <c r="T2303" s="868">
        <v>85668.2093</v>
      </c>
      <c r="AN2303" s="882"/>
      <c r="AO2303" s="882"/>
      <c r="AP2303" s="882"/>
      <c r="AY2303" s="882"/>
      <c r="AZ2303" s="882"/>
      <c r="BA2303" s="882"/>
      <c r="BJ2303" s="882"/>
      <c r="BK2303" s="882"/>
      <c r="BL2303" s="882"/>
      <c r="BU2303" s="882"/>
      <c r="BV2303" s="882"/>
      <c r="BW2303" s="882"/>
      <c r="CF2303" s="882"/>
      <c r="CG2303" s="882"/>
      <c r="CH2303" s="882"/>
      <c r="CI2303" s="530"/>
    </row>
    <row r="2304">
      <c r="A2304" s="857"/>
      <c r="B2304" s="871" t="s">
        <v>690</v>
      </c>
      <c r="C2304" s="865" t="s">
        <v>591</v>
      </c>
      <c r="D2304" s="865" t="s">
        <v>686</v>
      </c>
      <c r="E2304" s="866">
        <v>2019.0</v>
      </c>
      <c r="F2304" s="865" t="s">
        <v>593</v>
      </c>
      <c r="G2304" s="865" t="s">
        <v>70</v>
      </c>
      <c r="H2304" s="867">
        <v>155229.3523</v>
      </c>
      <c r="I2304" s="867">
        <v>172997.7547</v>
      </c>
      <c r="J2304" s="868">
        <v>138155.0574</v>
      </c>
      <c r="K2304" s="50"/>
      <c r="L2304" s="870" t="s">
        <v>690</v>
      </c>
      <c r="M2304" s="865" t="s">
        <v>591</v>
      </c>
      <c r="N2304" s="865" t="s">
        <v>686</v>
      </c>
      <c r="O2304" s="866">
        <v>2004.0</v>
      </c>
      <c r="P2304" s="865" t="s">
        <v>593</v>
      </c>
      <c r="Q2304" s="865" t="s">
        <v>70</v>
      </c>
      <c r="R2304" s="867">
        <v>125022.1708</v>
      </c>
      <c r="S2304" s="867">
        <v>134926.0194</v>
      </c>
      <c r="T2304" s="868">
        <v>114696.8252</v>
      </c>
      <c r="AN2304" s="882"/>
      <c r="AO2304" s="882"/>
      <c r="AP2304" s="882"/>
      <c r="AY2304" s="882"/>
      <c r="AZ2304" s="882"/>
      <c r="BA2304" s="882"/>
      <c r="BJ2304" s="882"/>
      <c r="BK2304" s="882"/>
      <c r="BL2304" s="882"/>
      <c r="BU2304" s="882"/>
      <c r="BV2304" s="882"/>
      <c r="BW2304" s="882"/>
      <c r="CF2304" s="882"/>
      <c r="CG2304" s="882"/>
      <c r="CH2304" s="882"/>
      <c r="CI2304" s="530"/>
    </row>
    <row r="2305">
      <c r="A2305" s="857"/>
      <c r="B2305" s="871" t="s">
        <v>690</v>
      </c>
      <c r="C2305" s="865" t="s">
        <v>591</v>
      </c>
      <c r="D2305" s="865" t="s">
        <v>688</v>
      </c>
      <c r="E2305" s="866">
        <v>2019.0</v>
      </c>
      <c r="F2305" s="865" t="s">
        <v>593</v>
      </c>
      <c r="G2305" s="865" t="s">
        <v>70</v>
      </c>
      <c r="H2305" s="867">
        <v>1822741.091</v>
      </c>
      <c r="I2305" s="867">
        <v>2031382.026</v>
      </c>
      <c r="J2305" s="868">
        <v>1622250.536</v>
      </c>
      <c r="K2305" s="50"/>
      <c r="L2305" s="870" t="s">
        <v>690</v>
      </c>
      <c r="M2305" s="865" t="s">
        <v>591</v>
      </c>
      <c r="N2305" s="865" t="s">
        <v>688</v>
      </c>
      <c r="O2305" s="866">
        <v>2004.0</v>
      </c>
      <c r="P2305" s="865" t="s">
        <v>593</v>
      </c>
      <c r="Q2305" s="865" t="s">
        <v>70</v>
      </c>
      <c r="R2305" s="867">
        <v>1448766.251</v>
      </c>
      <c r="S2305" s="867">
        <v>1563532.788</v>
      </c>
      <c r="T2305" s="868">
        <v>1329115.375</v>
      </c>
      <c r="AN2305" s="882"/>
      <c r="AO2305" s="882"/>
      <c r="AP2305" s="882"/>
      <c r="AY2305" s="882"/>
      <c r="AZ2305" s="882"/>
      <c r="BA2305" s="882"/>
      <c r="BJ2305" s="882"/>
      <c r="BK2305" s="882"/>
      <c r="BL2305" s="882"/>
      <c r="BU2305" s="882"/>
      <c r="BV2305" s="882"/>
      <c r="BW2305" s="882"/>
      <c r="CF2305" s="882"/>
      <c r="CG2305" s="882"/>
      <c r="CH2305" s="882"/>
      <c r="CI2305" s="530"/>
    </row>
    <row r="2306">
      <c r="A2306" s="857"/>
      <c r="B2306" s="871" t="s">
        <v>690</v>
      </c>
      <c r="C2306" s="865" t="s">
        <v>591</v>
      </c>
      <c r="D2306" s="865" t="s">
        <v>689</v>
      </c>
      <c r="E2306" s="866">
        <v>2019.0</v>
      </c>
      <c r="F2306" s="865" t="s">
        <v>593</v>
      </c>
      <c r="G2306" s="865" t="s">
        <v>70</v>
      </c>
      <c r="H2306" s="867">
        <v>9307276.964</v>
      </c>
      <c r="I2306" s="867">
        <v>1.037263889E7</v>
      </c>
      <c r="J2306" s="868">
        <v>8283532.49</v>
      </c>
      <c r="K2306" s="50"/>
      <c r="L2306" s="870" t="s">
        <v>690</v>
      </c>
      <c r="M2306" s="865" t="s">
        <v>591</v>
      </c>
      <c r="N2306" s="865" t="s">
        <v>689</v>
      </c>
      <c r="O2306" s="866">
        <v>2004.0</v>
      </c>
      <c r="P2306" s="865" t="s">
        <v>593</v>
      </c>
      <c r="Q2306" s="865" t="s">
        <v>70</v>
      </c>
      <c r="R2306" s="867">
        <v>7021046.899</v>
      </c>
      <c r="S2306" s="867">
        <v>7577231.337</v>
      </c>
      <c r="T2306" s="868">
        <v>6441191.859</v>
      </c>
      <c r="AN2306" s="882"/>
      <c r="AO2306" s="882"/>
      <c r="AP2306" s="882"/>
      <c r="AY2306" s="882"/>
      <c r="AZ2306" s="882"/>
      <c r="BA2306" s="882"/>
      <c r="BJ2306" s="882"/>
      <c r="BK2306" s="882"/>
      <c r="BL2306" s="882"/>
      <c r="BU2306" s="882"/>
      <c r="BV2306" s="882"/>
      <c r="BW2306" s="882"/>
      <c r="CF2306" s="882"/>
      <c r="CG2306" s="882"/>
      <c r="CH2306" s="882"/>
      <c r="CI2306" s="530"/>
    </row>
    <row r="2307">
      <c r="A2307" s="857"/>
      <c r="B2307" s="865" t="s">
        <v>691</v>
      </c>
      <c r="C2307" s="865" t="s">
        <v>591</v>
      </c>
      <c r="D2307" s="865" t="s">
        <v>592</v>
      </c>
      <c r="E2307" s="866">
        <v>2019.0</v>
      </c>
      <c r="F2307" s="865" t="s">
        <v>593</v>
      </c>
      <c r="G2307" s="865" t="s">
        <v>70</v>
      </c>
      <c r="H2307" s="867">
        <v>588598.319</v>
      </c>
      <c r="I2307" s="867">
        <v>660749.3657</v>
      </c>
      <c r="J2307" s="868">
        <v>512696.0395</v>
      </c>
      <c r="K2307" s="50"/>
      <c r="L2307" s="869" t="s">
        <v>691</v>
      </c>
      <c r="M2307" s="865" t="s">
        <v>591</v>
      </c>
      <c r="N2307" s="865" t="s">
        <v>592</v>
      </c>
      <c r="O2307" s="866">
        <v>2004.0</v>
      </c>
      <c r="P2307" s="865" t="s">
        <v>593</v>
      </c>
      <c r="Q2307" s="865" t="s">
        <v>70</v>
      </c>
      <c r="R2307" s="867">
        <v>459913.0098</v>
      </c>
      <c r="S2307" s="867">
        <v>506097.5632</v>
      </c>
      <c r="T2307" s="868">
        <v>418423.5877</v>
      </c>
      <c r="AN2307" s="882"/>
      <c r="AO2307" s="882"/>
      <c r="AP2307" s="882"/>
      <c r="AY2307" s="882"/>
      <c r="AZ2307" s="882"/>
      <c r="BA2307" s="882"/>
      <c r="BJ2307" s="882"/>
      <c r="BK2307" s="882"/>
      <c r="BL2307" s="882"/>
      <c r="BU2307" s="882"/>
      <c r="BV2307" s="882"/>
      <c r="BW2307" s="882"/>
      <c r="CF2307" s="882"/>
      <c r="CG2307" s="882"/>
      <c r="CH2307" s="882"/>
      <c r="CI2307" s="530"/>
    </row>
    <row r="2308">
      <c r="A2308" s="857"/>
      <c r="B2308" s="865" t="s">
        <v>691</v>
      </c>
      <c r="C2308" s="865" t="s">
        <v>591</v>
      </c>
      <c r="D2308" s="865" t="s">
        <v>601</v>
      </c>
      <c r="E2308" s="866">
        <v>2019.0</v>
      </c>
      <c r="F2308" s="865" t="s">
        <v>593</v>
      </c>
      <c r="G2308" s="865" t="s">
        <v>70</v>
      </c>
      <c r="H2308" s="867">
        <v>9787830.3</v>
      </c>
      <c r="I2308" s="867">
        <v>1.098763359E7</v>
      </c>
      <c r="J2308" s="868">
        <v>8525647.572</v>
      </c>
      <c r="K2308" s="50"/>
      <c r="L2308" s="869" t="s">
        <v>691</v>
      </c>
      <c r="M2308" s="865" t="s">
        <v>591</v>
      </c>
      <c r="N2308" s="865" t="s">
        <v>601</v>
      </c>
      <c r="O2308" s="866">
        <v>2004.0</v>
      </c>
      <c r="P2308" s="865" t="s">
        <v>593</v>
      </c>
      <c r="Q2308" s="865" t="s">
        <v>70</v>
      </c>
      <c r="R2308" s="867">
        <v>6514584.498</v>
      </c>
      <c r="S2308" s="867">
        <v>7168780.334</v>
      </c>
      <c r="T2308" s="868">
        <v>5926894.348</v>
      </c>
      <c r="AN2308" s="882"/>
      <c r="AO2308" s="882"/>
      <c r="AP2308" s="882"/>
      <c r="AY2308" s="882"/>
      <c r="AZ2308" s="882"/>
      <c r="BA2308" s="882"/>
      <c r="BJ2308" s="882"/>
      <c r="BK2308" s="882"/>
      <c r="BL2308" s="882"/>
      <c r="BU2308" s="882"/>
      <c r="BV2308" s="882"/>
      <c r="BW2308" s="882"/>
      <c r="CF2308" s="882"/>
      <c r="CG2308" s="882"/>
      <c r="CH2308" s="882"/>
      <c r="CI2308" s="530"/>
    </row>
    <row r="2309">
      <c r="A2309" s="857"/>
      <c r="B2309" s="865" t="s">
        <v>691</v>
      </c>
      <c r="C2309" s="865" t="s">
        <v>591</v>
      </c>
      <c r="D2309" s="865" t="s">
        <v>606</v>
      </c>
      <c r="E2309" s="866">
        <v>2019.0</v>
      </c>
      <c r="F2309" s="865" t="s">
        <v>593</v>
      </c>
      <c r="G2309" s="865" t="s">
        <v>70</v>
      </c>
      <c r="H2309" s="867">
        <v>7733629.209</v>
      </c>
      <c r="I2309" s="867">
        <v>8681626.212</v>
      </c>
      <c r="J2309" s="868">
        <v>6736344.529</v>
      </c>
      <c r="K2309" s="50"/>
      <c r="L2309" s="869" t="s">
        <v>691</v>
      </c>
      <c r="M2309" s="865" t="s">
        <v>591</v>
      </c>
      <c r="N2309" s="865" t="s">
        <v>606</v>
      </c>
      <c r="O2309" s="866">
        <v>2004.0</v>
      </c>
      <c r="P2309" s="865" t="s">
        <v>593</v>
      </c>
      <c r="Q2309" s="865" t="s">
        <v>70</v>
      </c>
      <c r="R2309" s="867">
        <v>5270661.282</v>
      </c>
      <c r="S2309" s="867">
        <v>5799942.108</v>
      </c>
      <c r="T2309" s="868">
        <v>4795187.256</v>
      </c>
      <c r="AN2309" s="882"/>
      <c r="AO2309" s="882"/>
      <c r="AP2309" s="882"/>
      <c r="AY2309" s="882"/>
      <c r="AZ2309" s="882"/>
      <c r="BA2309" s="882"/>
      <c r="BJ2309" s="882"/>
      <c r="BK2309" s="882"/>
      <c r="BL2309" s="882"/>
      <c r="BU2309" s="882"/>
      <c r="BV2309" s="882"/>
      <c r="BW2309" s="882"/>
      <c r="CF2309" s="882"/>
      <c r="CG2309" s="882"/>
      <c r="CH2309" s="882"/>
      <c r="CI2309" s="530"/>
    </row>
    <row r="2310">
      <c r="A2310" s="857"/>
      <c r="B2310" s="865" t="s">
        <v>691</v>
      </c>
      <c r="C2310" s="865" t="s">
        <v>591</v>
      </c>
      <c r="D2310" s="865" t="s">
        <v>608</v>
      </c>
      <c r="E2310" s="866">
        <v>2019.0</v>
      </c>
      <c r="F2310" s="865" t="s">
        <v>593</v>
      </c>
      <c r="G2310" s="865" t="s">
        <v>70</v>
      </c>
      <c r="H2310" s="867">
        <v>2230754.047</v>
      </c>
      <c r="I2310" s="867">
        <v>2504202.398</v>
      </c>
      <c r="J2310" s="868">
        <v>1943088.738</v>
      </c>
      <c r="K2310" s="50"/>
      <c r="L2310" s="869" t="s">
        <v>691</v>
      </c>
      <c r="M2310" s="865" t="s">
        <v>591</v>
      </c>
      <c r="N2310" s="865" t="s">
        <v>608</v>
      </c>
      <c r="O2310" s="866">
        <v>2004.0</v>
      </c>
      <c r="P2310" s="865" t="s">
        <v>593</v>
      </c>
      <c r="Q2310" s="865" t="s">
        <v>70</v>
      </c>
      <c r="R2310" s="867">
        <v>1625015.396</v>
      </c>
      <c r="S2310" s="867">
        <v>1788199.757</v>
      </c>
      <c r="T2310" s="868">
        <v>1478420.392</v>
      </c>
      <c r="AN2310" s="882"/>
      <c r="AO2310" s="882"/>
      <c r="AP2310" s="882"/>
      <c r="AY2310" s="882"/>
      <c r="AZ2310" s="882"/>
      <c r="BA2310" s="882"/>
      <c r="BJ2310" s="882"/>
      <c r="BK2310" s="882"/>
      <c r="BL2310" s="882"/>
      <c r="BU2310" s="882"/>
      <c r="BV2310" s="882"/>
      <c r="BW2310" s="882"/>
      <c r="CF2310" s="882"/>
      <c r="CG2310" s="882"/>
      <c r="CH2310" s="882"/>
      <c r="CI2310" s="530"/>
    </row>
    <row r="2311">
      <c r="A2311" s="857"/>
      <c r="B2311" s="865" t="s">
        <v>691</v>
      </c>
      <c r="C2311" s="865" t="s">
        <v>591</v>
      </c>
      <c r="D2311" s="865" t="s">
        <v>610</v>
      </c>
      <c r="E2311" s="866">
        <v>2019.0</v>
      </c>
      <c r="F2311" s="865" t="s">
        <v>593</v>
      </c>
      <c r="G2311" s="865" t="s">
        <v>70</v>
      </c>
      <c r="H2311" s="867">
        <v>2325135.189</v>
      </c>
      <c r="I2311" s="867">
        <v>2610152.887</v>
      </c>
      <c r="J2311" s="868">
        <v>2025299.027</v>
      </c>
      <c r="K2311" s="50"/>
      <c r="L2311" s="869" t="s">
        <v>691</v>
      </c>
      <c r="M2311" s="865" t="s">
        <v>591</v>
      </c>
      <c r="N2311" s="865" t="s">
        <v>610</v>
      </c>
      <c r="O2311" s="866">
        <v>2004.0</v>
      </c>
      <c r="P2311" s="865" t="s">
        <v>593</v>
      </c>
      <c r="Q2311" s="865" t="s">
        <v>70</v>
      </c>
      <c r="R2311" s="867">
        <v>1466643.767</v>
      </c>
      <c r="S2311" s="867">
        <v>1613924.418</v>
      </c>
      <c r="T2311" s="868">
        <v>1334335.698</v>
      </c>
      <c r="AN2311" s="882"/>
      <c r="AO2311" s="882"/>
      <c r="AP2311" s="882"/>
      <c r="AY2311" s="882"/>
      <c r="AZ2311" s="882"/>
      <c r="BA2311" s="882"/>
      <c r="BJ2311" s="882"/>
      <c r="BK2311" s="882"/>
      <c r="BL2311" s="882"/>
      <c r="BU2311" s="882"/>
      <c r="BV2311" s="882"/>
      <c r="BW2311" s="882"/>
      <c r="CF2311" s="882"/>
      <c r="CG2311" s="882"/>
      <c r="CH2311" s="882"/>
      <c r="CI2311" s="530"/>
    </row>
    <row r="2312">
      <c r="A2312" s="857"/>
      <c r="B2312" s="865" t="s">
        <v>691</v>
      </c>
      <c r="C2312" s="865" t="s">
        <v>591</v>
      </c>
      <c r="D2312" s="865" t="s">
        <v>612</v>
      </c>
      <c r="E2312" s="866">
        <v>2019.0</v>
      </c>
      <c r="F2312" s="865" t="s">
        <v>593</v>
      </c>
      <c r="G2312" s="865" t="s">
        <v>70</v>
      </c>
      <c r="H2312" s="867">
        <v>4379336.28</v>
      </c>
      <c r="I2312" s="867">
        <v>4916160.267</v>
      </c>
      <c r="J2312" s="868">
        <v>3814602.07</v>
      </c>
      <c r="K2312" s="50"/>
      <c r="L2312" s="869" t="s">
        <v>691</v>
      </c>
      <c r="M2312" s="865" t="s">
        <v>591</v>
      </c>
      <c r="N2312" s="865" t="s">
        <v>612</v>
      </c>
      <c r="O2312" s="866">
        <v>2004.0</v>
      </c>
      <c r="P2312" s="865" t="s">
        <v>593</v>
      </c>
      <c r="Q2312" s="865" t="s">
        <v>70</v>
      </c>
      <c r="R2312" s="867">
        <v>2710566.983</v>
      </c>
      <c r="S2312" s="867">
        <v>2982762.644</v>
      </c>
      <c r="T2312" s="868">
        <v>2466042.79</v>
      </c>
      <c r="AN2312" s="882"/>
      <c r="AO2312" s="882"/>
      <c r="AP2312" s="882"/>
      <c r="AY2312" s="882"/>
      <c r="AZ2312" s="882"/>
      <c r="BA2312" s="882"/>
      <c r="BJ2312" s="882"/>
      <c r="BK2312" s="882"/>
      <c r="BL2312" s="882"/>
      <c r="BU2312" s="882"/>
      <c r="BV2312" s="882"/>
      <c r="BW2312" s="882"/>
      <c r="CF2312" s="882"/>
      <c r="CG2312" s="882"/>
      <c r="CH2312" s="882"/>
      <c r="CI2312" s="530"/>
    </row>
    <row r="2313">
      <c r="A2313" s="857"/>
      <c r="B2313" s="865" t="s">
        <v>691</v>
      </c>
      <c r="C2313" s="865" t="s">
        <v>591</v>
      </c>
      <c r="D2313" s="865" t="s">
        <v>614</v>
      </c>
      <c r="E2313" s="866">
        <v>2019.0</v>
      </c>
      <c r="F2313" s="865" t="s">
        <v>593</v>
      </c>
      <c r="G2313" s="865" t="s">
        <v>70</v>
      </c>
      <c r="H2313" s="867">
        <v>6156787.311</v>
      </c>
      <c r="I2313" s="867">
        <v>6911493.254</v>
      </c>
      <c r="J2313" s="868">
        <v>5362843.162</v>
      </c>
      <c r="K2313" s="50"/>
      <c r="L2313" s="869" t="s">
        <v>691</v>
      </c>
      <c r="M2313" s="865" t="s">
        <v>591</v>
      </c>
      <c r="N2313" s="865" t="s">
        <v>614</v>
      </c>
      <c r="O2313" s="866">
        <v>2004.0</v>
      </c>
      <c r="P2313" s="865" t="s">
        <v>593</v>
      </c>
      <c r="Q2313" s="865" t="s">
        <v>70</v>
      </c>
      <c r="R2313" s="867">
        <v>3758911.854</v>
      </c>
      <c r="S2313" s="867">
        <v>4136382.51</v>
      </c>
      <c r="T2313" s="868">
        <v>3419814.944</v>
      </c>
      <c r="AN2313" s="882"/>
      <c r="AO2313" s="882"/>
      <c r="AP2313" s="882"/>
      <c r="AY2313" s="882"/>
      <c r="AZ2313" s="882"/>
      <c r="BA2313" s="882"/>
      <c r="BJ2313" s="882"/>
      <c r="BK2313" s="882"/>
      <c r="BL2313" s="882"/>
      <c r="BU2313" s="882"/>
      <c r="BV2313" s="882"/>
      <c r="BW2313" s="882"/>
      <c r="CF2313" s="882"/>
      <c r="CG2313" s="882"/>
      <c r="CH2313" s="882"/>
      <c r="CI2313" s="530"/>
    </row>
    <row r="2314">
      <c r="A2314" s="857"/>
      <c r="B2314" s="865" t="s">
        <v>691</v>
      </c>
      <c r="C2314" s="865" t="s">
        <v>591</v>
      </c>
      <c r="D2314" s="865" t="s">
        <v>616</v>
      </c>
      <c r="E2314" s="866">
        <v>2019.0</v>
      </c>
      <c r="F2314" s="865" t="s">
        <v>593</v>
      </c>
      <c r="G2314" s="865" t="s">
        <v>70</v>
      </c>
      <c r="H2314" s="867">
        <v>2054201.091</v>
      </c>
      <c r="I2314" s="867">
        <v>2306007.381</v>
      </c>
      <c r="J2314" s="868">
        <v>1789303.043</v>
      </c>
      <c r="K2314" s="50"/>
      <c r="L2314" s="869" t="s">
        <v>691</v>
      </c>
      <c r="M2314" s="865" t="s">
        <v>591</v>
      </c>
      <c r="N2314" s="865" t="s">
        <v>616</v>
      </c>
      <c r="O2314" s="866">
        <v>2004.0</v>
      </c>
      <c r="P2314" s="865" t="s">
        <v>593</v>
      </c>
      <c r="Q2314" s="865" t="s">
        <v>70</v>
      </c>
      <c r="R2314" s="867">
        <v>1243923.216</v>
      </c>
      <c r="S2314" s="867">
        <v>1368838.226</v>
      </c>
      <c r="T2314" s="868">
        <v>1131707.092</v>
      </c>
      <c r="AN2314" s="882"/>
      <c r="AO2314" s="882"/>
      <c r="AP2314" s="882"/>
      <c r="AY2314" s="882"/>
      <c r="AZ2314" s="882"/>
      <c r="BA2314" s="882"/>
      <c r="BJ2314" s="882"/>
      <c r="BK2314" s="882"/>
      <c r="BL2314" s="882"/>
      <c r="BU2314" s="882"/>
      <c r="BV2314" s="882"/>
      <c r="BW2314" s="882"/>
      <c r="CF2314" s="882"/>
      <c r="CG2314" s="882"/>
      <c r="CH2314" s="882"/>
      <c r="CI2314" s="530"/>
    </row>
    <row r="2315">
      <c r="A2315" s="857"/>
      <c r="B2315" s="865" t="s">
        <v>691</v>
      </c>
      <c r="C2315" s="865" t="s">
        <v>591</v>
      </c>
      <c r="D2315" s="865" t="s">
        <v>618</v>
      </c>
      <c r="E2315" s="866">
        <v>2019.0</v>
      </c>
      <c r="F2315" s="865" t="s">
        <v>593</v>
      </c>
      <c r="G2315" s="865" t="s">
        <v>70</v>
      </c>
      <c r="H2315" s="867">
        <v>7587756.553</v>
      </c>
      <c r="I2315" s="867">
        <v>8517998.307</v>
      </c>
      <c r="J2315" s="868">
        <v>6609335.994</v>
      </c>
      <c r="K2315" s="50"/>
      <c r="L2315" s="869" t="s">
        <v>691</v>
      </c>
      <c r="M2315" s="865" t="s">
        <v>591</v>
      </c>
      <c r="N2315" s="865" t="s">
        <v>618</v>
      </c>
      <c r="O2315" s="866">
        <v>2004.0</v>
      </c>
      <c r="P2315" s="865" t="s">
        <v>593</v>
      </c>
      <c r="Q2315" s="865" t="s">
        <v>70</v>
      </c>
      <c r="R2315" s="867">
        <v>4350684.571</v>
      </c>
      <c r="S2315" s="867">
        <v>4787631.564</v>
      </c>
      <c r="T2315" s="868">
        <v>3958186.291</v>
      </c>
      <c r="AN2315" s="882"/>
      <c r="AO2315" s="882"/>
      <c r="AP2315" s="882"/>
      <c r="AY2315" s="882"/>
      <c r="AZ2315" s="882"/>
      <c r="BA2315" s="882"/>
      <c r="BJ2315" s="882"/>
      <c r="BK2315" s="882"/>
      <c r="BL2315" s="882"/>
      <c r="BU2315" s="882"/>
      <c r="BV2315" s="882"/>
      <c r="BW2315" s="882"/>
      <c r="CF2315" s="882"/>
      <c r="CG2315" s="882"/>
      <c r="CH2315" s="882"/>
      <c r="CI2315" s="530"/>
    </row>
    <row r="2316">
      <c r="A2316" s="857"/>
      <c r="B2316" s="865" t="s">
        <v>691</v>
      </c>
      <c r="C2316" s="865" t="s">
        <v>591</v>
      </c>
      <c r="D2316" s="865" t="s">
        <v>620</v>
      </c>
      <c r="E2316" s="866">
        <v>2019.0</v>
      </c>
      <c r="F2316" s="865" t="s">
        <v>593</v>
      </c>
      <c r="G2316" s="865" t="s">
        <v>70</v>
      </c>
      <c r="H2316" s="867">
        <v>9027598.789</v>
      </c>
      <c r="I2316" s="867">
        <v>1.013421205E7</v>
      </c>
      <c r="J2316" s="868">
        <v>7863451.178</v>
      </c>
      <c r="K2316" s="50"/>
      <c r="L2316" s="869" t="s">
        <v>691</v>
      </c>
      <c r="M2316" s="865" t="s">
        <v>591</v>
      </c>
      <c r="N2316" s="865" t="s">
        <v>620</v>
      </c>
      <c r="O2316" s="866">
        <v>2004.0</v>
      </c>
      <c r="P2316" s="865" t="s">
        <v>593</v>
      </c>
      <c r="Q2316" s="865" t="s">
        <v>70</v>
      </c>
      <c r="R2316" s="867">
        <v>5028684.963</v>
      </c>
      <c r="S2316" s="867">
        <v>5533666.481</v>
      </c>
      <c r="T2316" s="868">
        <v>4575039.973</v>
      </c>
      <c r="AN2316" s="882"/>
      <c r="AO2316" s="882"/>
      <c r="AP2316" s="882"/>
      <c r="AY2316" s="882"/>
      <c r="AZ2316" s="882"/>
      <c r="BA2316" s="882"/>
      <c r="BJ2316" s="882"/>
      <c r="BK2316" s="882"/>
      <c r="BL2316" s="882"/>
      <c r="BU2316" s="882"/>
      <c r="BV2316" s="882"/>
      <c r="BW2316" s="882"/>
      <c r="CF2316" s="882"/>
      <c r="CG2316" s="882"/>
      <c r="CH2316" s="882"/>
      <c r="CI2316" s="530"/>
    </row>
    <row r="2317">
      <c r="A2317" s="857"/>
      <c r="B2317" s="865" t="s">
        <v>691</v>
      </c>
      <c r="C2317" s="865" t="s">
        <v>591</v>
      </c>
      <c r="D2317" s="865" t="s">
        <v>622</v>
      </c>
      <c r="E2317" s="866">
        <v>2019.0</v>
      </c>
      <c r="F2317" s="865" t="s">
        <v>593</v>
      </c>
      <c r="G2317" s="865" t="s">
        <v>70</v>
      </c>
      <c r="H2317" s="867">
        <v>8449767.796</v>
      </c>
      <c r="I2317" s="867">
        <v>9485690.175</v>
      </c>
      <c r="J2317" s="868">
        <v>7360193.234</v>
      </c>
      <c r="K2317" s="50"/>
      <c r="L2317" s="869" t="s">
        <v>691</v>
      </c>
      <c r="M2317" s="865" t="s">
        <v>591</v>
      </c>
      <c r="N2317" s="865" t="s">
        <v>622</v>
      </c>
      <c r="O2317" s="866">
        <v>2004.0</v>
      </c>
      <c r="P2317" s="865" t="s">
        <v>593</v>
      </c>
      <c r="Q2317" s="865" t="s">
        <v>70</v>
      </c>
      <c r="R2317" s="867">
        <v>4586830.883</v>
      </c>
      <c r="S2317" s="867">
        <v>5047494.47</v>
      </c>
      <c r="T2317" s="868">
        <v>4173028.594</v>
      </c>
      <c r="AN2317" s="882"/>
      <c r="AO2317" s="882"/>
      <c r="AP2317" s="882"/>
      <c r="AY2317" s="882"/>
      <c r="AZ2317" s="882"/>
      <c r="BA2317" s="882"/>
      <c r="BJ2317" s="882"/>
      <c r="BK2317" s="882"/>
      <c r="BL2317" s="882"/>
      <c r="BU2317" s="882"/>
      <c r="BV2317" s="882"/>
      <c r="BW2317" s="882"/>
      <c r="CF2317" s="882"/>
      <c r="CG2317" s="882"/>
      <c r="CH2317" s="882"/>
      <c r="CI2317" s="530"/>
    </row>
    <row r="2318">
      <c r="A2318" s="857"/>
      <c r="B2318" s="865" t="s">
        <v>691</v>
      </c>
      <c r="C2318" s="865" t="s">
        <v>591</v>
      </c>
      <c r="D2318" s="865" t="s">
        <v>624</v>
      </c>
      <c r="E2318" s="866">
        <v>2019.0</v>
      </c>
      <c r="F2318" s="865" t="s">
        <v>593</v>
      </c>
      <c r="G2318" s="865" t="s">
        <v>70</v>
      </c>
      <c r="H2318" s="867">
        <v>1777451.031</v>
      </c>
      <c r="I2318" s="867">
        <v>1995332.986</v>
      </c>
      <c r="J2318" s="868">
        <v>1548241.092</v>
      </c>
      <c r="K2318" s="50"/>
      <c r="L2318" s="869" t="s">
        <v>691</v>
      </c>
      <c r="M2318" s="865" t="s">
        <v>591</v>
      </c>
      <c r="N2318" s="865" t="s">
        <v>624</v>
      </c>
      <c r="O2318" s="866">
        <v>2004.0</v>
      </c>
      <c r="P2318" s="865" t="s">
        <v>593</v>
      </c>
      <c r="Q2318" s="865" t="s">
        <v>70</v>
      </c>
      <c r="R2318" s="867">
        <v>1048344.871</v>
      </c>
      <c r="S2318" s="867">
        <v>1153619.866</v>
      </c>
      <c r="T2318" s="868">
        <v>953772.154</v>
      </c>
      <c r="AN2318" s="882"/>
      <c r="AO2318" s="882"/>
      <c r="AP2318" s="882"/>
      <c r="AY2318" s="882"/>
      <c r="AZ2318" s="882"/>
      <c r="BA2318" s="882"/>
      <c r="BJ2318" s="882"/>
      <c r="BK2318" s="882"/>
      <c r="BL2318" s="882"/>
      <c r="BU2318" s="882"/>
      <c r="BV2318" s="882"/>
      <c r="BW2318" s="882"/>
      <c r="CF2318" s="882"/>
      <c r="CG2318" s="882"/>
      <c r="CH2318" s="882"/>
      <c r="CI2318" s="530"/>
    </row>
    <row r="2319">
      <c r="A2319" s="857"/>
      <c r="B2319" s="865" t="s">
        <v>691</v>
      </c>
      <c r="C2319" s="865" t="s">
        <v>591</v>
      </c>
      <c r="D2319" s="865" t="s">
        <v>625</v>
      </c>
      <c r="E2319" s="866">
        <v>2019.0</v>
      </c>
      <c r="F2319" s="865" t="s">
        <v>593</v>
      </c>
      <c r="G2319" s="865" t="s">
        <v>70</v>
      </c>
      <c r="H2319" s="867">
        <v>6672401.338</v>
      </c>
      <c r="I2319" s="867">
        <v>7490311.83</v>
      </c>
      <c r="J2319" s="868">
        <v>5811966.547</v>
      </c>
      <c r="K2319" s="50"/>
      <c r="L2319" s="869" t="s">
        <v>691</v>
      </c>
      <c r="M2319" s="865" t="s">
        <v>591</v>
      </c>
      <c r="N2319" s="865" t="s">
        <v>625</v>
      </c>
      <c r="O2319" s="866">
        <v>2004.0</v>
      </c>
      <c r="P2319" s="865" t="s">
        <v>593</v>
      </c>
      <c r="Q2319" s="865" t="s">
        <v>70</v>
      </c>
      <c r="R2319" s="867">
        <v>3538519.241</v>
      </c>
      <c r="S2319" s="867">
        <v>3893858.028</v>
      </c>
      <c r="T2319" s="868">
        <v>3219304.27</v>
      </c>
      <c r="AN2319" s="882"/>
      <c r="AO2319" s="882"/>
      <c r="AP2319" s="882"/>
      <c r="AY2319" s="882"/>
      <c r="AZ2319" s="882"/>
      <c r="BA2319" s="882"/>
      <c r="BJ2319" s="882"/>
      <c r="BK2319" s="882"/>
      <c r="BL2319" s="882"/>
      <c r="BU2319" s="882"/>
      <c r="BV2319" s="882"/>
      <c r="BW2319" s="882"/>
      <c r="CF2319" s="882"/>
      <c r="CG2319" s="882"/>
      <c r="CH2319" s="882"/>
      <c r="CI2319" s="530"/>
    </row>
    <row r="2320">
      <c r="A2320" s="857"/>
      <c r="B2320" s="865" t="s">
        <v>691</v>
      </c>
      <c r="C2320" s="865" t="s">
        <v>591</v>
      </c>
      <c r="D2320" s="865" t="s">
        <v>627</v>
      </c>
      <c r="E2320" s="866">
        <v>2019.0</v>
      </c>
      <c r="F2320" s="865" t="s">
        <v>593</v>
      </c>
      <c r="G2320" s="865" t="s">
        <v>70</v>
      </c>
      <c r="H2320" s="867">
        <v>1501952.176</v>
      </c>
      <c r="I2320" s="867">
        <v>1686063.17</v>
      </c>
      <c r="J2320" s="868">
        <v>1308268.996</v>
      </c>
      <c r="K2320" s="50"/>
      <c r="L2320" s="869" t="s">
        <v>691</v>
      </c>
      <c r="M2320" s="865" t="s">
        <v>591</v>
      </c>
      <c r="N2320" s="865" t="s">
        <v>627</v>
      </c>
      <c r="O2320" s="866">
        <v>2004.0</v>
      </c>
      <c r="P2320" s="865" t="s">
        <v>593</v>
      </c>
      <c r="Q2320" s="865" t="s">
        <v>70</v>
      </c>
      <c r="R2320" s="867">
        <v>870803.6226</v>
      </c>
      <c r="S2320" s="867">
        <v>958249.8909</v>
      </c>
      <c r="T2320" s="868">
        <v>792247.1603</v>
      </c>
      <c r="AN2320" s="882"/>
      <c r="AO2320" s="882"/>
      <c r="AP2320" s="882"/>
      <c r="AY2320" s="882"/>
      <c r="AZ2320" s="882"/>
      <c r="BA2320" s="882"/>
      <c r="BJ2320" s="882"/>
      <c r="BK2320" s="882"/>
      <c r="BL2320" s="882"/>
      <c r="BU2320" s="882"/>
      <c r="BV2320" s="882"/>
      <c r="BW2320" s="882"/>
      <c r="CF2320" s="882"/>
      <c r="CG2320" s="882"/>
      <c r="CH2320" s="882"/>
      <c r="CI2320" s="530"/>
    </row>
    <row r="2321">
      <c r="A2321" s="857"/>
      <c r="B2321" s="865" t="s">
        <v>691</v>
      </c>
      <c r="C2321" s="865" t="s">
        <v>591</v>
      </c>
      <c r="D2321" s="865" t="s">
        <v>629</v>
      </c>
      <c r="E2321" s="866">
        <v>2019.0</v>
      </c>
      <c r="F2321" s="865" t="s">
        <v>593</v>
      </c>
      <c r="G2321" s="865" t="s">
        <v>70</v>
      </c>
      <c r="H2321" s="867">
        <v>5195894.662</v>
      </c>
      <c r="I2321" s="867">
        <v>5832899.57</v>
      </c>
      <c r="J2321" s="868">
        <v>4525898.185</v>
      </c>
      <c r="K2321" s="50"/>
      <c r="L2321" s="869" t="s">
        <v>691</v>
      </c>
      <c r="M2321" s="865" t="s">
        <v>591</v>
      </c>
      <c r="N2321" s="865" t="s">
        <v>629</v>
      </c>
      <c r="O2321" s="866">
        <v>2004.0</v>
      </c>
      <c r="P2321" s="865" t="s">
        <v>593</v>
      </c>
      <c r="Q2321" s="865" t="s">
        <v>70</v>
      </c>
      <c r="R2321" s="867">
        <v>2736397.053</v>
      </c>
      <c r="S2321" s="867">
        <v>3011218.278</v>
      </c>
      <c r="T2321" s="868">
        <v>2489532.193</v>
      </c>
      <c r="AN2321" s="882"/>
      <c r="AO2321" s="882"/>
      <c r="AP2321" s="882"/>
      <c r="AY2321" s="882"/>
      <c r="AZ2321" s="882"/>
      <c r="BA2321" s="882"/>
      <c r="BJ2321" s="882"/>
      <c r="BK2321" s="882"/>
      <c r="BL2321" s="882"/>
      <c r="BU2321" s="882"/>
      <c r="BV2321" s="882"/>
      <c r="BW2321" s="882"/>
      <c r="CF2321" s="882"/>
      <c r="CG2321" s="882"/>
      <c r="CH2321" s="882"/>
      <c r="CI2321" s="530"/>
    </row>
    <row r="2322">
      <c r="A2322" s="857"/>
      <c r="B2322" s="865" t="s">
        <v>691</v>
      </c>
      <c r="C2322" s="865" t="s">
        <v>591</v>
      </c>
      <c r="D2322" s="865" t="s">
        <v>631</v>
      </c>
      <c r="E2322" s="866">
        <v>2019.0</v>
      </c>
      <c r="F2322" s="865" t="s">
        <v>593</v>
      </c>
      <c r="G2322" s="865" t="s">
        <v>70</v>
      </c>
      <c r="H2322" s="867">
        <v>1237461.702</v>
      </c>
      <c r="I2322" s="867">
        <v>1389151.155</v>
      </c>
      <c r="J2322" s="868">
        <v>1077885.704</v>
      </c>
      <c r="K2322" s="50"/>
      <c r="L2322" s="869" t="s">
        <v>691</v>
      </c>
      <c r="M2322" s="865" t="s">
        <v>591</v>
      </c>
      <c r="N2322" s="865" t="s">
        <v>631</v>
      </c>
      <c r="O2322" s="866">
        <v>2004.0</v>
      </c>
      <c r="P2322" s="865" t="s">
        <v>593</v>
      </c>
      <c r="Q2322" s="865" t="s">
        <v>70</v>
      </c>
      <c r="R2322" s="867">
        <v>679454.8134</v>
      </c>
      <c r="S2322" s="867">
        <v>747685.7973</v>
      </c>
      <c r="T2322" s="868">
        <v>618160.2057</v>
      </c>
      <c r="AN2322" s="882"/>
      <c r="AO2322" s="882"/>
      <c r="AP2322" s="882"/>
      <c r="AY2322" s="882"/>
      <c r="AZ2322" s="882"/>
      <c r="BA2322" s="882"/>
      <c r="BJ2322" s="882"/>
      <c r="BK2322" s="882"/>
      <c r="BL2322" s="882"/>
      <c r="BU2322" s="882"/>
      <c r="BV2322" s="882"/>
      <c r="BW2322" s="882"/>
      <c r="CF2322" s="882"/>
      <c r="CG2322" s="882"/>
      <c r="CH2322" s="882"/>
      <c r="CI2322" s="530"/>
    </row>
    <row r="2323">
      <c r="A2323" s="857"/>
      <c r="B2323" s="865" t="s">
        <v>691</v>
      </c>
      <c r="C2323" s="865" t="s">
        <v>591</v>
      </c>
      <c r="D2323" s="865" t="s">
        <v>633</v>
      </c>
      <c r="E2323" s="866">
        <v>2019.0</v>
      </c>
      <c r="F2323" s="865" t="s">
        <v>593</v>
      </c>
      <c r="G2323" s="865" t="s">
        <v>70</v>
      </c>
      <c r="H2323" s="867">
        <v>1016766.498</v>
      </c>
      <c r="I2323" s="867">
        <v>1141402.884</v>
      </c>
      <c r="J2323" s="868">
        <v>885650.094</v>
      </c>
      <c r="K2323" s="50"/>
      <c r="L2323" s="869" t="s">
        <v>691</v>
      </c>
      <c r="M2323" s="865" t="s">
        <v>591</v>
      </c>
      <c r="N2323" s="865" t="s">
        <v>633</v>
      </c>
      <c r="O2323" s="866">
        <v>2004.0</v>
      </c>
      <c r="P2323" s="865" t="s">
        <v>593</v>
      </c>
      <c r="Q2323" s="865" t="s">
        <v>70</v>
      </c>
      <c r="R2323" s="867">
        <v>508189.5669</v>
      </c>
      <c r="S2323" s="867">
        <v>559222.0616</v>
      </c>
      <c r="T2323" s="868">
        <v>462345.0464</v>
      </c>
      <c r="AN2323" s="882"/>
      <c r="AO2323" s="882"/>
      <c r="AP2323" s="882"/>
      <c r="AY2323" s="882"/>
      <c r="AZ2323" s="882"/>
      <c r="BA2323" s="882"/>
      <c r="BJ2323" s="882"/>
      <c r="BK2323" s="882"/>
      <c r="BL2323" s="882"/>
      <c r="BU2323" s="882"/>
      <c r="BV2323" s="882"/>
      <c r="BW2323" s="882"/>
      <c r="CF2323" s="882"/>
      <c r="CG2323" s="882"/>
      <c r="CH2323" s="882"/>
      <c r="CI2323" s="530"/>
    </row>
    <row r="2324">
      <c r="A2324" s="857"/>
      <c r="B2324" s="865" t="s">
        <v>691</v>
      </c>
      <c r="C2324" s="865" t="s">
        <v>591</v>
      </c>
      <c r="D2324" s="865" t="s">
        <v>635</v>
      </c>
      <c r="E2324" s="866">
        <v>2019.0</v>
      </c>
      <c r="F2324" s="865" t="s">
        <v>593</v>
      </c>
      <c r="G2324" s="865" t="s">
        <v>70</v>
      </c>
      <c r="H2324" s="867">
        <v>818073.4592</v>
      </c>
      <c r="I2324" s="867">
        <v>918353.8278</v>
      </c>
      <c r="J2324" s="868">
        <v>712579.3754</v>
      </c>
      <c r="K2324" s="50"/>
      <c r="L2324" s="869" t="s">
        <v>691</v>
      </c>
      <c r="M2324" s="865" t="s">
        <v>591</v>
      </c>
      <c r="N2324" s="865" t="s">
        <v>635</v>
      </c>
      <c r="O2324" s="866">
        <v>2004.0</v>
      </c>
      <c r="P2324" s="865" t="s">
        <v>593</v>
      </c>
      <c r="Q2324" s="865" t="s">
        <v>70</v>
      </c>
      <c r="R2324" s="867">
        <v>384509.6545</v>
      </c>
      <c r="S2324" s="867">
        <v>423122.1884</v>
      </c>
      <c r="T2324" s="868">
        <v>349822.4789</v>
      </c>
      <c r="AN2324" s="882"/>
      <c r="AO2324" s="882"/>
      <c r="AP2324" s="882"/>
      <c r="AY2324" s="882"/>
      <c r="AZ2324" s="882"/>
      <c r="BA2324" s="882"/>
      <c r="BJ2324" s="882"/>
      <c r="BK2324" s="882"/>
      <c r="BL2324" s="882"/>
      <c r="BU2324" s="882"/>
      <c r="BV2324" s="882"/>
      <c r="BW2324" s="882"/>
      <c r="CF2324" s="882"/>
      <c r="CG2324" s="882"/>
      <c r="CH2324" s="882"/>
      <c r="CI2324" s="530"/>
    </row>
    <row r="2325">
      <c r="A2325" s="857"/>
      <c r="B2325" s="865" t="s">
        <v>691</v>
      </c>
      <c r="C2325" s="865" t="s">
        <v>591</v>
      </c>
      <c r="D2325" s="865" t="s">
        <v>637</v>
      </c>
      <c r="E2325" s="866">
        <v>2019.0</v>
      </c>
      <c r="F2325" s="865" t="s">
        <v>593</v>
      </c>
      <c r="G2325" s="865" t="s">
        <v>70</v>
      </c>
      <c r="H2325" s="867">
        <v>621692.8323</v>
      </c>
      <c r="I2325" s="867">
        <v>697900.6419</v>
      </c>
      <c r="J2325" s="868">
        <v>541522.8732</v>
      </c>
      <c r="K2325" s="50"/>
      <c r="L2325" s="869" t="s">
        <v>691</v>
      </c>
      <c r="M2325" s="865" t="s">
        <v>591</v>
      </c>
      <c r="N2325" s="865" t="s">
        <v>637</v>
      </c>
      <c r="O2325" s="866">
        <v>2004.0</v>
      </c>
      <c r="P2325" s="865" t="s">
        <v>593</v>
      </c>
      <c r="Q2325" s="865" t="s">
        <v>70</v>
      </c>
      <c r="R2325" s="867">
        <v>293459.2194</v>
      </c>
      <c r="S2325" s="867">
        <v>322928.451</v>
      </c>
      <c r="T2325" s="868">
        <v>266985.8361</v>
      </c>
      <c r="AN2325" s="882"/>
      <c r="AO2325" s="882"/>
      <c r="AP2325" s="882"/>
      <c r="AY2325" s="882"/>
      <c r="AZ2325" s="882"/>
      <c r="BA2325" s="882"/>
      <c r="BJ2325" s="882"/>
      <c r="BK2325" s="882"/>
      <c r="BL2325" s="882"/>
      <c r="BU2325" s="882"/>
      <c r="BV2325" s="882"/>
      <c r="BW2325" s="882"/>
      <c r="CF2325" s="882"/>
      <c r="CG2325" s="882"/>
      <c r="CH2325" s="882"/>
      <c r="CI2325" s="530"/>
    </row>
    <row r="2326">
      <c r="A2326" s="857"/>
      <c r="B2326" s="865" t="s">
        <v>691</v>
      </c>
      <c r="C2326" s="865" t="s">
        <v>591</v>
      </c>
      <c r="D2326" s="865" t="s">
        <v>639</v>
      </c>
      <c r="E2326" s="866">
        <v>2019.0</v>
      </c>
      <c r="F2326" s="865" t="s">
        <v>593</v>
      </c>
      <c r="G2326" s="865" t="s">
        <v>70</v>
      </c>
      <c r="H2326" s="867">
        <v>6968408.188</v>
      </c>
      <c r="I2326" s="867">
        <v>7822719.236</v>
      </c>
      <c r="J2326" s="868">
        <v>6069850.915</v>
      </c>
      <c r="K2326" s="50"/>
      <c r="L2326" s="869" t="s">
        <v>691</v>
      </c>
      <c r="M2326" s="865" t="s">
        <v>591</v>
      </c>
      <c r="N2326" s="865" t="s">
        <v>639</v>
      </c>
      <c r="O2326" s="866">
        <v>2004.0</v>
      </c>
      <c r="P2326" s="865" t="s">
        <v>593</v>
      </c>
      <c r="Q2326" s="865" t="s">
        <v>70</v>
      </c>
      <c r="R2326" s="867">
        <v>4429624.001</v>
      </c>
      <c r="S2326" s="867">
        <v>4874499.022</v>
      </c>
      <c r="T2326" s="868">
        <v>4030004.177</v>
      </c>
      <c r="AN2326" s="882"/>
      <c r="AO2326" s="882"/>
      <c r="AP2326" s="882"/>
      <c r="AY2326" s="882"/>
      <c r="AZ2326" s="882"/>
      <c r="BA2326" s="882"/>
      <c r="BJ2326" s="882"/>
      <c r="BK2326" s="882"/>
      <c r="BL2326" s="882"/>
      <c r="BU2326" s="882"/>
      <c r="BV2326" s="882"/>
      <c r="BW2326" s="882"/>
      <c r="CF2326" s="882"/>
      <c r="CG2326" s="882"/>
      <c r="CH2326" s="882"/>
      <c r="CI2326" s="530"/>
    </row>
    <row r="2327">
      <c r="A2327" s="857"/>
      <c r="B2327" s="865" t="s">
        <v>691</v>
      </c>
      <c r="C2327" s="865" t="s">
        <v>591</v>
      </c>
      <c r="D2327" s="865" t="s">
        <v>641</v>
      </c>
      <c r="E2327" s="866">
        <v>2019.0</v>
      </c>
      <c r="F2327" s="865" t="s">
        <v>593</v>
      </c>
      <c r="G2327" s="865" t="s">
        <v>70</v>
      </c>
      <c r="H2327" s="867">
        <v>2589141.653</v>
      </c>
      <c r="I2327" s="867">
        <v>2906521.562</v>
      </c>
      <c r="J2327" s="868">
        <v>2255260.724</v>
      </c>
      <c r="K2327" s="50"/>
      <c r="L2327" s="869" t="s">
        <v>691</v>
      </c>
      <c r="M2327" s="865" t="s">
        <v>591</v>
      </c>
      <c r="N2327" s="865" t="s">
        <v>641</v>
      </c>
      <c r="O2327" s="866">
        <v>2004.0</v>
      </c>
      <c r="P2327" s="865" t="s">
        <v>593</v>
      </c>
      <c r="Q2327" s="865" t="s">
        <v>70</v>
      </c>
      <c r="R2327" s="867">
        <v>1719089.109</v>
      </c>
      <c r="S2327" s="867">
        <v>1891720.37</v>
      </c>
      <c r="T2327" s="868">
        <v>1564007.578</v>
      </c>
      <c r="AN2327" s="882"/>
      <c r="AO2327" s="882"/>
      <c r="AP2327" s="882"/>
      <c r="AY2327" s="882"/>
      <c r="AZ2327" s="882"/>
      <c r="BA2327" s="882"/>
      <c r="BJ2327" s="882"/>
      <c r="BK2327" s="882"/>
      <c r="BL2327" s="882"/>
      <c r="BU2327" s="882"/>
      <c r="BV2327" s="882"/>
      <c r="BW2327" s="882"/>
      <c r="CF2327" s="882"/>
      <c r="CG2327" s="882"/>
      <c r="CH2327" s="882"/>
      <c r="CI2327" s="530"/>
    </row>
    <row r="2328">
      <c r="A2328" s="857"/>
      <c r="B2328" s="865" t="s">
        <v>691</v>
      </c>
      <c r="C2328" s="865" t="s">
        <v>591</v>
      </c>
      <c r="D2328" s="865" t="s">
        <v>643</v>
      </c>
      <c r="E2328" s="866">
        <v>2019.0</v>
      </c>
      <c r="F2328" s="865" t="s">
        <v>593</v>
      </c>
      <c r="G2328" s="865" t="s">
        <v>70</v>
      </c>
      <c r="H2328" s="867">
        <v>454354.9406</v>
      </c>
      <c r="I2328" s="867">
        <v>510050.2824</v>
      </c>
      <c r="J2328" s="868">
        <v>395763.9209</v>
      </c>
      <c r="K2328" s="50"/>
      <c r="L2328" s="869" t="s">
        <v>691</v>
      </c>
      <c r="M2328" s="865" t="s">
        <v>591</v>
      </c>
      <c r="N2328" s="865" t="s">
        <v>643</v>
      </c>
      <c r="O2328" s="866">
        <v>2004.0</v>
      </c>
      <c r="P2328" s="865" t="s">
        <v>593</v>
      </c>
      <c r="Q2328" s="865" t="s">
        <v>70</v>
      </c>
      <c r="R2328" s="867">
        <v>216871.8411</v>
      </c>
      <c r="S2328" s="867">
        <v>238650.1534</v>
      </c>
      <c r="T2328" s="868">
        <v>197307.5167</v>
      </c>
      <c r="AN2328" s="882"/>
      <c r="AO2328" s="882"/>
      <c r="AP2328" s="882"/>
      <c r="AY2328" s="882"/>
      <c r="AZ2328" s="882"/>
      <c r="BA2328" s="882"/>
      <c r="BJ2328" s="882"/>
      <c r="BK2328" s="882"/>
      <c r="BL2328" s="882"/>
      <c r="BU2328" s="882"/>
      <c r="BV2328" s="882"/>
      <c r="BW2328" s="882"/>
      <c r="CF2328" s="882"/>
      <c r="CG2328" s="882"/>
      <c r="CH2328" s="882"/>
      <c r="CI2328" s="530"/>
    </row>
    <row r="2329">
      <c r="A2329" s="857"/>
      <c r="B2329" s="865" t="s">
        <v>691</v>
      </c>
      <c r="C2329" s="865" t="s">
        <v>591</v>
      </c>
      <c r="D2329" s="865" t="s">
        <v>645</v>
      </c>
      <c r="E2329" s="866">
        <v>2019.0</v>
      </c>
      <c r="F2329" s="865" t="s">
        <v>593</v>
      </c>
      <c r="G2329" s="865" t="s">
        <v>70</v>
      </c>
      <c r="H2329" s="867">
        <v>1201431.052</v>
      </c>
      <c r="I2329" s="867">
        <v>1348703.827</v>
      </c>
      <c r="J2329" s="868">
        <v>1046501.361</v>
      </c>
      <c r="K2329" s="50"/>
      <c r="L2329" s="869" t="s">
        <v>691</v>
      </c>
      <c r="M2329" s="865" t="s">
        <v>591</v>
      </c>
      <c r="N2329" s="865" t="s">
        <v>645</v>
      </c>
      <c r="O2329" s="866">
        <v>2004.0</v>
      </c>
      <c r="P2329" s="865" t="s">
        <v>593</v>
      </c>
      <c r="Q2329" s="865" t="s">
        <v>70</v>
      </c>
      <c r="R2329" s="867">
        <v>637733.2198</v>
      </c>
      <c r="S2329" s="867">
        <v>701774.5132</v>
      </c>
      <c r="T2329" s="868">
        <v>580202.3778</v>
      </c>
      <c r="AN2329" s="882"/>
      <c r="AO2329" s="882"/>
      <c r="AP2329" s="882"/>
      <c r="AY2329" s="882"/>
      <c r="AZ2329" s="882"/>
      <c r="BA2329" s="882"/>
      <c r="BJ2329" s="882"/>
      <c r="BK2329" s="882"/>
      <c r="BL2329" s="882"/>
      <c r="BU2329" s="882"/>
      <c r="BV2329" s="882"/>
      <c r="BW2329" s="882"/>
      <c r="CF2329" s="882"/>
      <c r="CG2329" s="882"/>
      <c r="CH2329" s="882"/>
      <c r="CI2329" s="530"/>
    </row>
    <row r="2330">
      <c r="A2330" s="857"/>
      <c r="B2330" s="865" t="s">
        <v>691</v>
      </c>
      <c r="C2330" s="865" t="s">
        <v>591</v>
      </c>
      <c r="D2330" s="865" t="s">
        <v>604</v>
      </c>
      <c r="E2330" s="866">
        <v>2019.0</v>
      </c>
      <c r="F2330" s="865" t="s">
        <v>593</v>
      </c>
      <c r="G2330" s="865" t="s">
        <v>70</v>
      </c>
      <c r="H2330" s="867">
        <v>4914276.843</v>
      </c>
      <c r="I2330" s="867">
        <v>5516674.448</v>
      </c>
      <c r="J2330" s="868">
        <v>4280559.751</v>
      </c>
      <c r="K2330" s="50"/>
      <c r="L2330" s="869" t="s">
        <v>691</v>
      </c>
      <c r="M2330" s="865" t="s">
        <v>591</v>
      </c>
      <c r="N2330" s="865" t="s">
        <v>604</v>
      </c>
      <c r="O2330" s="866">
        <v>2004.0</v>
      </c>
      <c r="P2330" s="865" t="s">
        <v>593</v>
      </c>
      <c r="Q2330" s="865" t="s">
        <v>70</v>
      </c>
      <c r="R2330" s="867">
        <v>3185732.876</v>
      </c>
      <c r="S2330" s="867">
        <v>3505644.788</v>
      </c>
      <c r="T2330" s="868">
        <v>2898343.276</v>
      </c>
      <c r="AN2330" s="882"/>
      <c r="AO2330" s="882"/>
      <c r="AP2330" s="882"/>
      <c r="AY2330" s="882"/>
      <c r="AZ2330" s="882"/>
      <c r="BA2330" s="882"/>
      <c r="BJ2330" s="882"/>
      <c r="BK2330" s="882"/>
      <c r="BL2330" s="882"/>
      <c r="BU2330" s="882"/>
      <c r="BV2330" s="882"/>
      <c r="BW2330" s="882"/>
      <c r="CF2330" s="882"/>
      <c r="CG2330" s="882"/>
      <c r="CH2330" s="882"/>
      <c r="CI2330" s="530"/>
    </row>
    <row r="2331">
      <c r="A2331" s="857"/>
      <c r="B2331" s="865" t="s">
        <v>691</v>
      </c>
      <c r="C2331" s="865" t="s">
        <v>591</v>
      </c>
      <c r="D2331" s="865" t="s">
        <v>647</v>
      </c>
      <c r="E2331" s="866">
        <v>2019.0</v>
      </c>
      <c r="F2331" s="865" t="s">
        <v>593</v>
      </c>
      <c r="G2331" s="865" t="s">
        <v>70</v>
      </c>
      <c r="H2331" s="867">
        <v>1022089.5</v>
      </c>
      <c r="I2331" s="867">
        <v>1147395.356</v>
      </c>
      <c r="J2331" s="868">
        <v>890293.8403</v>
      </c>
      <c r="K2331" s="50"/>
      <c r="L2331" s="869" t="s">
        <v>691</v>
      </c>
      <c r="M2331" s="865" t="s">
        <v>591</v>
      </c>
      <c r="N2331" s="865" t="s">
        <v>647</v>
      </c>
      <c r="O2331" s="866">
        <v>2004.0</v>
      </c>
      <c r="P2331" s="865" t="s">
        <v>593</v>
      </c>
      <c r="Q2331" s="865" t="s">
        <v>70</v>
      </c>
      <c r="R2331" s="867">
        <v>585226.2836</v>
      </c>
      <c r="S2331" s="867">
        <v>644001.6006</v>
      </c>
      <c r="T2331" s="868">
        <v>532429.9234</v>
      </c>
      <c r="AN2331" s="882"/>
      <c r="AO2331" s="882"/>
      <c r="AP2331" s="882"/>
      <c r="AY2331" s="882"/>
      <c r="AZ2331" s="882"/>
      <c r="BA2331" s="882"/>
      <c r="BJ2331" s="882"/>
      <c r="BK2331" s="882"/>
      <c r="BL2331" s="882"/>
      <c r="BU2331" s="882"/>
      <c r="BV2331" s="882"/>
      <c r="BW2331" s="882"/>
      <c r="CF2331" s="882"/>
      <c r="CG2331" s="882"/>
      <c r="CH2331" s="882"/>
      <c r="CI2331" s="530"/>
    </row>
    <row r="2332">
      <c r="A2332" s="857"/>
      <c r="B2332" s="865" t="s">
        <v>691</v>
      </c>
      <c r="C2332" s="865" t="s">
        <v>591</v>
      </c>
      <c r="D2332" s="865" t="s">
        <v>649</v>
      </c>
      <c r="E2332" s="866">
        <v>2019.0</v>
      </c>
      <c r="F2332" s="865" t="s">
        <v>593</v>
      </c>
      <c r="G2332" s="865" t="s">
        <v>70</v>
      </c>
      <c r="H2332" s="867">
        <v>330469.2953</v>
      </c>
      <c r="I2332" s="867">
        <v>370978.5947</v>
      </c>
      <c r="J2332" s="868">
        <v>287853.8612</v>
      </c>
      <c r="K2332" s="50"/>
      <c r="L2332" s="869" t="s">
        <v>691</v>
      </c>
      <c r="M2332" s="865" t="s">
        <v>591</v>
      </c>
      <c r="N2332" s="865" t="s">
        <v>649</v>
      </c>
      <c r="O2332" s="866">
        <v>2004.0</v>
      </c>
      <c r="P2332" s="865" t="s">
        <v>593</v>
      </c>
      <c r="Q2332" s="865" t="s">
        <v>70</v>
      </c>
      <c r="R2332" s="867">
        <v>175165.1118</v>
      </c>
      <c r="S2332" s="867">
        <v>192755.2263</v>
      </c>
      <c r="T2332" s="868">
        <v>159363.2121</v>
      </c>
      <c r="AN2332" s="882"/>
      <c r="AO2332" s="882"/>
      <c r="AP2332" s="882"/>
      <c r="AY2332" s="882"/>
      <c r="AZ2332" s="882"/>
      <c r="BA2332" s="882"/>
      <c r="BJ2332" s="882"/>
      <c r="BK2332" s="882"/>
      <c r="BL2332" s="882"/>
      <c r="BU2332" s="882"/>
      <c r="BV2332" s="882"/>
      <c r="BW2332" s="882"/>
      <c r="CF2332" s="882"/>
      <c r="CG2332" s="882"/>
      <c r="CH2332" s="882"/>
      <c r="CI2332" s="530"/>
    </row>
    <row r="2333">
      <c r="A2333" s="857"/>
      <c r="B2333" s="865" t="s">
        <v>691</v>
      </c>
      <c r="C2333" s="865" t="s">
        <v>591</v>
      </c>
      <c r="D2333" s="865" t="s">
        <v>651</v>
      </c>
      <c r="E2333" s="866">
        <v>2019.0</v>
      </c>
      <c r="F2333" s="865" t="s">
        <v>593</v>
      </c>
      <c r="G2333" s="865" t="s">
        <v>70</v>
      </c>
      <c r="H2333" s="867">
        <v>244676.1423</v>
      </c>
      <c r="I2333" s="867">
        <v>274668.8202</v>
      </c>
      <c r="J2333" s="868">
        <v>213124.1036</v>
      </c>
      <c r="K2333" s="50"/>
      <c r="L2333" s="869" t="s">
        <v>691</v>
      </c>
      <c r="M2333" s="865" t="s">
        <v>591</v>
      </c>
      <c r="N2333" s="865" t="s">
        <v>651</v>
      </c>
      <c r="O2333" s="866">
        <v>2004.0</v>
      </c>
      <c r="P2333" s="865" t="s">
        <v>593</v>
      </c>
      <c r="Q2333" s="865" t="s">
        <v>70</v>
      </c>
      <c r="R2333" s="867">
        <v>138176.1313</v>
      </c>
      <c r="S2333" s="867">
        <v>152051.8052</v>
      </c>
      <c r="T2333" s="868">
        <v>125711.0614</v>
      </c>
      <c r="AN2333" s="882"/>
      <c r="AO2333" s="882"/>
      <c r="AP2333" s="882"/>
      <c r="AY2333" s="882"/>
      <c r="AZ2333" s="882"/>
      <c r="BA2333" s="882"/>
      <c r="BJ2333" s="882"/>
      <c r="BK2333" s="882"/>
      <c r="BL2333" s="882"/>
      <c r="BU2333" s="882"/>
      <c r="BV2333" s="882"/>
      <c r="BW2333" s="882"/>
      <c r="CF2333" s="882"/>
      <c r="CG2333" s="882"/>
      <c r="CH2333" s="882"/>
      <c r="CI2333" s="530"/>
    </row>
    <row r="2334">
      <c r="A2334" s="857"/>
      <c r="B2334" s="865" t="s">
        <v>691</v>
      </c>
      <c r="C2334" s="865" t="s">
        <v>591</v>
      </c>
      <c r="D2334" s="865" t="s">
        <v>653</v>
      </c>
      <c r="E2334" s="866">
        <v>2019.0</v>
      </c>
      <c r="F2334" s="865" t="s">
        <v>593</v>
      </c>
      <c r="G2334" s="865" t="s">
        <v>70</v>
      </c>
      <c r="H2334" s="867">
        <v>171930.6736</v>
      </c>
      <c r="I2334" s="867">
        <v>193006.1298</v>
      </c>
      <c r="J2334" s="868">
        <v>149759.4753</v>
      </c>
      <c r="K2334" s="50"/>
      <c r="L2334" s="869" t="s">
        <v>691</v>
      </c>
      <c r="M2334" s="865" t="s">
        <v>591</v>
      </c>
      <c r="N2334" s="865" t="s">
        <v>653</v>
      </c>
      <c r="O2334" s="866">
        <v>2004.0</v>
      </c>
      <c r="P2334" s="865" t="s">
        <v>593</v>
      </c>
      <c r="Q2334" s="865" t="s">
        <v>70</v>
      </c>
      <c r="R2334" s="867">
        <v>107520.1355</v>
      </c>
      <c r="S2334" s="867">
        <v>118317.3283</v>
      </c>
      <c r="T2334" s="868">
        <v>97820.58758</v>
      </c>
      <c r="AN2334" s="882"/>
      <c r="AO2334" s="882"/>
      <c r="AP2334" s="882"/>
      <c r="AY2334" s="882"/>
      <c r="AZ2334" s="882"/>
      <c r="BA2334" s="882"/>
      <c r="BJ2334" s="882"/>
      <c r="BK2334" s="882"/>
      <c r="BL2334" s="882"/>
      <c r="BU2334" s="882"/>
      <c r="BV2334" s="882"/>
      <c r="BW2334" s="882"/>
      <c r="CF2334" s="882"/>
      <c r="CG2334" s="882"/>
      <c r="CH2334" s="882"/>
      <c r="CI2334" s="530"/>
    </row>
    <row r="2335">
      <c r="A2335" s="857"/>
      <c r="B2335" s="865" t="s">
        <v>691</v>
      </c>
      <c r="C2335" s="865" t="s">
        <v>591</v>
      </c>
      <c r="D2335" s="865" t="s">
        <v>655</v>
      </c>
      <c r="E2335" s="866">
        <v>2019.0</v>
      </c>
      <c r="F2335" s="865" t="s">
        <v>593</v>
      </c>
      <c r="G2335" s="865" t="s">
        <v>70</v>
      </c>
      <c r="H2335" s="867">
        <v>299763.5104</v>
      </c>
      <c r="I2335" s="867">
        <v>336513.8373</v>
      </c>
      <c r="J2335" s="868">
        <v>261109.8215</v>
      </c>
      <c r="K2335" s="50"/>
      <c r="L2335" s="869" t="s">
        <v>691</v>
      </c>
      <c r="M2335" s="865" t="s">
        <v>591</v>
      </c>
      <c r="N2335" s="865" t="s">
        <v>655</v>
      </c>
      <c r="O2335" s="866">
        <v>2004.0</v>
      </c>
      <c r="P2335" s="865" t="s">
        <v>593</v>
      </c>
      <c r="Q2335" s="865" t="s">
        <v>70</v>
      </c>
      <c r="R2335" s="867">
        <v>187193.7786</v>
      </c>
      <c r="S2335" s="867">
        <v>205993.9829</v>
      </c>
      <c r="T2335" s="868">
        <v>170306.0372</v>
      </c>
      <c r="AN2335" s="882"/>
      <c r="AO2335" s="882"/>
      <c r="AP2335" s="882"/>
      <c r="AY2335" s="882"/>
      <c r="AZ2335" s="882"/>
      <c r="BA2335" s="882"/>
      <c r="BJ2335" s="882"/>
      <c r="BK2335" s="882"/>
      <c r="BL2335" s="882"/>
      <c r="BU2335" s="882"/>
      <c r="BV2335" s="882"/>
      <c r="BW2335" s="882"/>
      <c r="CF2335" s="882"/>
      <c r="CG2335" s="882"/>
      <c r="CH2335" s="882"/>
      <c r="CI2335" s="530"/>
    </row>
    <row r="2336">
      <c r="A2336" s="857"/>
      <c r="B2336" s="865" t="s">
        <v>691</v>
      </c>
      <c r="C2336" s="865" t="s">
        <v>591</v>
      </c>
      <c r="D2336" s="865" t="s">
        <v>657</v>
      </c>
      <c r="E2336" s="866">
        <v>2019.0</v>
      </c>
      <c r="F2336" s="865" t="s">
        <v>593</v>
      </c>
      <c r="G2336" s="865" t="s">
        <v>70</v>
      </c>
      <c r="H2336" s="867">
        <v>127835.8371</v>
      </c>
      <c r="I2336" s="867">
        <v>143506.0984</v>
      </c>
      <c r="J2336" s="868">
        <v>111350.8572</v>
      </c>
      <c r="K2336" s="50"/>
      <c r="L2336" s="869" t="s">
        <v>691</v>
      </c>
      <c r="M2336" s="865" t="s">
        <v>591</v>
      </c>
      <c r="N2336" s="865" t="s">
        <v>657</v>
      </c>
      <c r="O2336" s="866">
        <v>2004.0</v>
      </c>
      <c r="P2336" s="865" t="s">
        <v>593</v>
      </c>
      <c r="Q2336" s="865" t="s">
        <v>70</v>
      </c>
      <c r="R2336" s="867">
        <v>79674.99925</v>
      </c>
      <c r="S2336" s="867">
        <v>87675.9781</v>
      </c>
      <c r="T2336" s="868">
        <v>72487.40159</v>
      </c>
      <c r="AN2336" s="882"/>
      <c r="AO2336" s="882"/>
      <c r="AP2336" s="882"/>
      <c r="AY2336" s="882"/>
      <c r="AZ2336" s="882"/>
      <c r="BA2336" s="882"/>
      <c r="BJ2336" s="882"/>
      <c r="BK2336" s="882"/>
      <c r="BL2336" s="882"/>
      <c r="BU2336" s="882"/>
      <c r="BV2336" s="882"/>
      <c r="BW2336" s="882"/>
      <c r="CF2336" s="882"/>
      <c r="CG2336" s="882"/>
      <c r="CH2336" s="882"/>
      <c r="CI2336" s="530"/>
    </row>
    <row r="2337">
      <c r="A2337" s="857"/>
      <c r="B2337" s="865" t="s">
        <v>691</v>
      </c>
      <c r="C2337" s="865" t="s">
        <v>591</v>
      </c>
      <c r="D2337" s="865" t="s">
        <v>659</v>
      </c>
      <c r="E2337" s="866">
        <v>2019.0</v>
      </c>
      <c r="F2337" s="865" t="s">
        <v>593</v>
      </c>
      <c r="G2337" s="865" t="s">
        <v>70</v>
      </c>
      <c r="H2337" s="867">
        <v>275023.6186</v>
      </c>
      <c r="I2337" s="867">
        <v>308736.3244</v>
      </c>
      <c r="J2337" s="868">
        <v>239558.1426</v>
      </c>
      <c r="K2337" s="50"/>
      <c r="L2337" s="869" t="s">
        <v>691</v>
      </c>
      <c r="M2337" s="865" t="s">
        <v>591</v>
      </c>
      <c r="N2337" s="865" t="s">
        <v>659</v>
      </c>
      <c r="O2337" s="866">
        <v>2004.0</v>
      </c>
      <c r="P2337" s="865" t="s">
        <v>593</v>
      </c>
      <c r="Q2337" s="865" t="s">
        <v>70</v>
      </c>
      <c r="R2337" s="867">
        <v>164369.1446</v>
      </c>
      <c r="S2337" s="867">
        <v>180875.1259</v>
      </c>
      <c r="T2337" s="868">
        <v>149541.1648</v>
      </c>
      <c r="AN2337" s="882"/>
      <c r="AO2337" s="882"/>
      <c r="AP2337" s="882"/>
      <c r="AY2337" s="882"/>
      <c r="AZ2337" s="882"/>
      <c r="BA2337" s="882"/>
      <c r="BJ2337" s="882"/>
      <c r="BK2337" s="882"/>
      <c r="BL2337" s="882"/>
      <c r="BU2337" s="882"/>
      <c r="BV2337" s="882"/>
      <c r="BW2337" s="882"/>
      <c r="CF2337" s="882"/>
      <c r="CG2337" s="882"/>
      <c r="CH2337" s="882"/>
      <c r="CI2337" s="530"/>
    </row>
    <row r="2338">
      <c r="A2338" s="857"/>
      <c r="B2338" s="865" t="s">
        <v>691</v>
      </c>
      <c r="C2338" s="865" t="s">
        <v>591</v>
      </c>
      <c r="D2338" s="865" t="s">
        <v>661</v>
      </c>
      <c r="E2338" s="866">
        <v>2019.0</v>
      </c>
      <c r="F2338" s="865" t="s">
        <v>593</v>
      </c>
      <c r="G2338" s="865" t="s">
        <v>70</v>
      </c>
      <c r="H2338" s="867">
        <v>147186.3084</v>
      </c>
      <c r="I2338" s="867">
        <v>165231.0162</v>
      </c>
      <c r="J2338" s="868">
        <v>128207.0345</v>
      </c>
      <c r="K2338" s="50"/>
      <c r="L2338" s="869" t="s">
        <v>691</v>
      </c>
      <c r="M2338" s="865" t="s">
        <v>591</v>
      </c>
      <c r="N2338" s="865" t="s">
        <v>661</v>
      </c>
      <c r="O2338" s="866">
        <v>2004.0</v>
      </c>
      <c r="P2338" s="865" t="s">
        <v>593</v>
      </c>
      <c r="Q2338" s="865" t="s">
        <v>70</v>
      </c>
      <c r="R2338" s="867">
        <v>84693.53176</v>
      </c>
      <c r="S2338" s="867">
        <v>93199.45387</v>
      </c>
      <c r="T2338" s="868">
        <v>77052.88004</v>
      </c>
      <c r="AN2338" s="882"/>
      <c r="AO2338" s="882"/>
      <c r="AP2338" s="882"/>
      <c r="AY2338" s="882"/>
      <c r="AZ2338" s="882"/>
      <c r="BA2338" s="882"/>
      <c r="BJ2338" s="882"/>
      <c r="BK2338" s="882"/>
      <c r="BL2338" s="882"/>
      <c r="BU2338" s="882"/>
      <c r="BV2338" s="882"/>
      <c r="BW2338" s="882"/>
      <c r="CF2338" s="882"/>
      <c r="CG2338" s="882"/>
      <c r="CH2338" s="882"/>
      <c r="CI2338" s="530"/>
    </row>
    <row r="2339">
      <c r="A2339" s="857"/>
      <c r="B2339" s="865" t="s">
        <v>691</v>
      </c>
      <c r="C2339" s="865" t="s">
        <v>591</v>
      </c>
      <c r="D2339" s="865" t="s">
        <v>663</v>
      </c>
      <c r="E2339" s="866">
        <v>2019.0</v>
      </c>
      <c r="F2339" s="865" t="s">
        <v>593</v>
      </c>
      <c r="G2339" s="865" t="s">
        <v>70</v>
      </c>
      <c r="H2339" s="867">
        <v>82182.08589</v>
      </c>
      <c r="I2339" s="867">
        <v>92256.0588</v>
      </c>
      <c r="J2339" s="868">
        <v>71584.35318</v>
      </c>
      <c r="K2339" s="50"/>
      <c r="L2339" s="869" t="s">
        <v>691</v>
      </c>
      <c r="M2339" s="865" t="s">
        <v>591</v>
      </c>
      <c r="N2339" s="865" t="s">
        <v>663</v>
      </c>
      <c r="O2339" s="866">
        <v>2004.0</v>
      </c>
      <c r="P2339" s="865" t="s">
        <v>593</v>
      </c>
      <c r="Q2339" s="865" t="s">
        <v>70</v>
      </c>
      <c r="R2339" s="867">
        <v>49780.34547</v>
      </c>
      <c r="S2339" s="867">
        <v>54779.29739</v>
      </c>
      <c r="T2339" s="868">
        <v>45289.58804</v>
      </c>
      <c r="AN2339" s="882"/>
      <c r="AO2339" s="882"/>
      <c r="AP2339" s="882"/>
      <c r="AY2339" s="882"/>
      <c r="AZ2339" s="882"/>
      <c r="BA2339" s="882"/>
      <c r="BJ2339" s="882"/>
      <c r="BK2339" s="882"/>
      <c r="BL2339" s="882"/>
      <c r="BU2339" s="882"/>
      <c r="BV2339" s="882"/>
      <c r="BW2339" s="882"/>
      <c r="CF2339" s="882"/>
      <c r="CG2339" s="882"/>
      <c r="CH2339" s="882"/>
      <c r="CI2339" s="530"/>
    </row>
    <row r="2340">
      <c r="A2340" s="857"/>
      <c r="B2340" s="865" t="s">
        <v>691</v>
      </c>
      <c r="C2340" s="865" t="s">
        <v>591</v>
      </c>
      <c r="D2340" s="865" t="s">
        <v>665</v>
      </c>
      <c r="E2340" s="866">
        <v>2019.0</v>
      </c>
      <c r="F2340" s="865" t="s">
        <v>593</v>
      </c>
      <c r="G2340" s="865" t="s">
        <v>70</v>
      </c>
      <c r="H2340" s="867">
        <v>124891.9838</v>
      </c>
      <c r="I2340" s="867">
        <v>140203.458</v>
      </c>
      <c r="J2340" s="868">
        <v>108787.5024</v>
      </c>
      <c r="K2340" s="50"/>
      <c r="L2340" s="869" t="s">
        <v>691</v>
      </c>
      <c r="M2340" s="865" t="s">
        <v>591</v>
      </c>
      <c r="N2340" s="865" t="s">
        <v>665</v>
      </c>
      <c r="O2340" s="866">
        <v>2004.0</v>
      </c>
      <c r="P2340" s="865" t="s">
        <v>593</v>
      </c>
      <c r="Q2340" s="865" t="s">
        <v>70</v>
      </c>
      <c r="R2340" s="867">
        <v>73737.90491</v>
      </c>
      <c r="S2340" s="867">
        <v>81143.53392</v>
      </c>
      <c r="T2340" s="868">
        <v>67085.61827</v>
      </c>
      <c r="AN2340" s="882"/>
      <c r="AO2340" s="882"/>
      <c r="AP2340" s="882"/>
      <c r="AY2340" s="882"/>
      <c r="AZ2340" s="882"/>
      <c r="BA2340" s="882"/>
      <c r="BJ2340" s="882"/>
      <c r="BK2340" s="882"/>
      <c r="BL2340" s="882"/>
      <c r="BU2340" s="882"/>
      <c r="BV2340" s="882"/>
      <c r="BW2340" s="882"/>
      <c r="CF2340" s="882"/>
      <c r="CG2340" s="882"/>
      <c r="CH2340" s="882"/>
      <c r="CI2340" s="530"/>
    </row>
    <row r="2341">
      <c r="A2341" s="857"/>
      <c r="B2341" s="865" t="s">
        <v>691</v>
      </c>
      <c r="C2341" s="865" t="s">
        <v>591</v>
      </c>
      <c r="D2341" s="865" t="s">
        <v>667</v>
      </c>
      <c r="E2341" s="866">
        <v>2019.0</v>
      </c>
      <c r="F2341" s="865" t="s">
        <v>593</v>
      </c>
      <c r="G2341" s="865" t="s">
        <v>70</v>
      </c>
      <c r="H2341" s="867">
        <v>65005.69567</v>
      </c>
      <c r="I2341" s="867">
        <v>72974.16726</v>
      </c>
      <c r="J2341" s="868">
        <v>56622.9322</v>
      </c>
      <c r="K2341" s="50"/>
      <c r="L2341" s="869" t="s">
        <v>691</v>
      </c>
      <c r="M2341" s="865" t="s">
        <v>591</v>
      </c>
      <c r="N2341" s="865" t="s">
        <v>667</v>
      </c>
      <c r="O2341" s="866">
        <v>2004.0</v>
      </c>
      <c r="P2341" s="865" t="s">
        <v>593</v>
      </c>
      <c r="Q2341" s="865" t="s">
        <v>70</v>
      </c>
      <c r="R2341" s="867">
        <v>34913.79986</v>
      </c>
      <c r="S2341" s="867">
        <v>38419.8504</v>
      </c>
      <c r="T2341" s="868">
        <v>31764.17515</v>
      </c>
      <c r="AN2341" s="882"/>
      <c r="AO2341" s="882"/>
      <c r="AP2341" s="882"/>
      <c r="AY2341" s="882"/>
      <c r="AZ2341" s="882"/>
      <c r="BA2341" s="882"/>
      <c r="BJ2341" s="882"/>
      <c r="BK2341" s="882"/>
      <c r="BL2341" s="882"/>
      <c r="BU2341" s="882"/>
      <c r="BV2341" s="882"/>
      <c r="BW2341" s="882"/>
      <c r="CF2341" s="882"/>
      <c r="CG2341" s="882"/>
      <c r="CH2341" s="882"/>
      <c r="CI2341" s="530"/>
    </row>
    <row r="2342">
      <c r="A2342" s="857"/>
      <c r="B2342" s="865" t="s">
        <v>691</v>
      </c>
      <c r="C2342" s="865" t="s">
        <v>591</v>
      </c>
      <c r="D2342" s="865" t="s">
        <v>669</v>
      </c>
      <c r="E2342" s="866">
        <v>2019.0</v>
      </c>
      <c r="F2342" s="865" t="s">
        <v>593</v>
      </c>
      <c r="G2342" s="865" t="s">
        <v>70</v>
      </c>
      <c r="H2342" s="867">
        <v>42711.14799</v>
      </c>
      <c r="I2342" s="867">
        <v>47946.72875</v>
      </c>
      <c r="J2342" s="868">
        <v>37203.36214</v>
      </c>
      <c r="K2342" s="50"/>
      <c r="L2342" s="869" t="s">
        <v>691</v>
      </c>
      <c r="M2342" s="865" t="s">
        <v>591</v>
      </c>
      <c r="N2342" s="865" t="s">
        <v>669</v>
      </c>
      <c r="O2342" s="866">
        <v>2004.0</v>
      </c>
      <c r="P2342" s="865" t="s">
        <v>593</v>
      </c>
      <c r="Q2342" s="865" t="s">
        <v>70</v>
      </c>
      <c r="R2342" s="867">
        <v>23958.09364</v>
      </c>
      <c r="S2342" s="867">
        <v>26363.97004</v>
      </c>
      <c r="T2342" s="868">
        <v>21796.79914</v>
      </c>
      <c r="AN2342" s="882"/>
      <c r="AO2342" s="882"/>
      <c r="AP2342" s="882"/>
      <c r="AY2342" s="882"/>
      <c r="AZ2342" s="882"/>
      <c r="BA2342" s="882"/>
      <c r="BJ2342" s="882"/>
      <c r="BK2342" s="882"/>
      <c r="BL2342" s="882"/>
      <c r="BU2342" s="882"/>
      <c r="BV2342" s="882"/>
      <c r="BW2342" s="882"/>
      <c r="CF2342" s="882"/>
      <c r="CG2342" s="882"/>
      <c r="CH2342" s="882"/>
      <c r="CI2342" s="530"/>
    </row>
    <row r="2343">
      <c r="A2343" s="857"/>
      <c r="B2343" s="865" t="s">
        <v>691</v>
      </c>
      <c r="C2343" s="865" t="s">
        <v>591</v>
      </c>
      <c r="D2343" s="865" t="s">
        <v>671</v>
      </c>
      <c r="E2343" s="866">
        <v>2019.0</v>
      </c>
      <c r="F2343" s="865" t="s">
        <v>593</v>
      </c>
      <c r="G2343" s="865" t="s">
        <v>70</v>
      </c>
      <c r="H2343" s="867">
        <v>22294.32454</v>
      </c>
      <c r="I2343" s="867">
        <v>25027.55819</v>
      </c>
      <c r="J2343" s="868">
        <v>19419.53206</v>
      </c>
      <c r="K2343" s="50"/>
      <c r="L2343" s="869" t="s">
        <v>691</v>
      </c>
      <c r="M2343" s="865" t="s">
        <v>591</v>
      </c>
      <c r="N2343" s="865" t="s">
        <v>671</v>
      </c>
      <c r="O2343" s="866">
        <v>2004.0</v>
      </c>
      <c r="P2343" s="865" t="s">
        <v>593</v>
      </c>
      <c r="Q2343" s="865" t="s">
        <v>70</v>
      </c>
      <c r="R2343" s="867">
        <v>10955.62685</v>
      </c>
      <c r="S2343" s="867">
        <v>12055.91995</v>
      </c>
      <c r="T2343" s="868">
        <v>9967.261774</v>
      </c>
      <c r="AN2343" s="882"/>
      <c r="AO2343" s="882"/>
      <c r="AP2343" s="882"/>
      <c r="AY2343" s="882"/>
      <c r="AZ2343" s="882"/>
      <c r="BA2343" s="882"/>
      <c r="BJ2343" s="882"/>
      <c r="BK2343" s="882"/>
      <c r="BL2343" s="882"/>
      <c r="BU2343" s="882"/>
      <c r="BV2343" s="882"/>
      <c r="BW2343" s="882"/>
      <c r="CF2343" s="882"/>
      <c r="CG2343" s="882"/>
      <c r="CH2343" s="882"/>
      <c r="CI2343" s="530"/>
    </row>
    <row r="2344">
      <c r="A2344" s="857"/>
      <c r="B2344" s="865" t="s">
        <v>691</v>
      </c>
      <c r="C2344" s="865" t="s">
        <v>591</v>
      </c>
      <c r="D2344" s="865" t="s">
        <v>673</v>
      </c>
      <c r="E2344" s="866">
        <v>2019.0</v>
      </c>
      <c r="F2344" s="865" t="s">
        <v>593</v>
      </c>
      <c r="G2344" s="865" t="s">
        <v>70</v>
      </c>
      <c r="H2344" s="867">
        <v>16941.15492</v>
      </c>
      <c r="I2344" s="867">
        <v>19017.82083</v>
      </c>
      <c r="J2344" s="868">
        <v>14756.52028</v>
      </c>
      <c r="K2344" s="50"/>
      <c r="L2344" s="869" t="s">
        <v>691</v>
      </c>
      <c r="M2344" s="865" t="s">
        <v>591</v>
      </c>
      <c r="N2344" s="865" t="s">
        <v>673</v>
      </c>
      <c r="O2344" s="866">
        <v>2004.0</v>
      </c>
      <c r="P2344" s="865" t="s">
        <v>593</v>
      </c>
      <c r="Q2344" s="865" t="s">
        <v>70</v>
      </c>
      <c r="R2344" s="867">
        <v>8178.146312</v>
      </c>
      <c r="S2344" s="867">
        <v>8999.397348</v>
      </c>
      <c r="T2344" s="868">
        <v>7440.383829</v>
      </c>
      <c r="AN2344" s="882"/>
      <c r="AO2344" s="882"/>
      <c r="AP2344" s="882"/>
      <c r="AY2344" s="882"/>
      <c r="AZ2344" s="882"/>
      <c r="BA2344" s="882"/>
      <c r="BJ2344" s="882"/>
      <c r="BK2344" s="882"/>
      <c r="BL2344" s="882"/>
      <c r="BU2344" s="882"/>
      <c r="BV2344" s="882"/>
      <c r="BW2344" s="882"/>
      <c r="CF2344" s="882"/>
      <c r="CG2344" s="882"/>
      <c r="CH2344" s="882"/>
      <c r="CI2344" s="530"/>
    </row>
    <row r="2345">
      <c r="A2345" s="857"/>
      <c r="B2345" s="865" t="s">
        <v>691</v>
      </c>
      <c r="C2345" s="865" t="s">
        <v>591</v>
      </c>
      <c r="D2345" s="865" t="s">
        <v>674</v>
      </c>
      <c r="E2345" s="866">
        <v>2019.0</v>
      </c>
      <c r="F2345" s="865" t="s">
        <v>593</v>
      </c>
      <c r="G2345" s="865" t="s">
        <v>70</v>
      </c>
      <c r="H2345" s="867">
        <v>4442.069492</v>
      </c>
      <c r="I2345" s="867">
        <v>4986.583388</v>
      </c>
      <c r="J2345" s="868">
        <v>3869.245565</v>
      </c>
      <c r="K2345" s="50"/>
      <c r="L2345" s="869" t="s">
        <v>691</v>
      </c>
      <c r="M2345" s="865" t="s">
        <v>591</v>
      </c>
      <c r="N2345" s="865" t="s">
        <v>674</v>
      </c>
      <c r="O2345" s="866">
        <v>2004.0</v>
      </c>
      <c r="P2345" s="865" t="s">
        <v>593</v>
      </c>
      <c r="Q2345" s="865" t="s">
        <v>70</v>
      </c>
      <c r="R2345" s="867">
        <v>2279.330525</v>
      </c>
      <c r="S2345" s="867">
        <v>2508.221338</v>
      </c>
      <c r="T2345" s="868">
        <v>2073.708801</v>
      </c>
      <c r="AN2345" s="882"/>
      <c r="AO2345" s="882"/>
      <c r="AP2345" s="882"/>
      <c r="AY2345" s="882"/>
      <c r="AZ2345" s="882"/>
      <c r="BA2345" s="882"/>
      <c r="BJ2345" s="882"/>
      <c r="BK2345" s="882"/>
      <c r="BL2345" s="882"/>
      <c r="BU2345" s="882"/>
      <c r="BV2345" s="882"/>
      <c r="BW2345" s="882"/>
      <c r="CF2345" s="882"/>
      <c r="CG2345" s="882"/>
      <c r="CH2345" s="882"/>
      <c r="CI2345" s="530"/>
    </row>
    <row r="2346">
      <c r="A2346" s="857"/>
      <c r="B2346" s="865" t="s">
        <v>691</v>
      </c>
      <c r="C2346" s="865" t="s">
        <v>591</v>
      </c>
      <c r="D2346" s="865" t="s">
        <v>676</v>
      </c>
      <c r="E2346" s="866">
        <v>2019.0</v>
      </c>
      <c r="F2346" s="865" t="s">
        <v>593</v>
      </c>
      <c r="G2346" s="865" t="s">
        <v>70</v>
      </c>
      <c r="H2346" s="867">
        <v>911.3232639</v>
      </c>
      <c r="I2346" s="867">
        <v>1023.034299</v>
      </c>
      <c r="J2346" s="868">
        <v>793.8042176</v>
      </c>
      <c r="K2346" s="50"/>
      <c r="L2346" s="869" t="s">
        <v>691</v>
      </c>
      <c r="M2346" s="865" t="s">
        <v>591</v>
      </c>
      <c r="N2346" s="865" t="s">
        <v>676</v>
      </c>
      <c r="O2346" s="866">
        <v>2004.0</v>
      </c>
      <c r="P2346" s="865" t="s">
        <v>593</v>
      </c>
      <c r="Q2346" s="865" t="s">
        <v>70</v>
      </c>
      <c r="R2346" s="867">
        <v>498.2293827</v>
      </c>
      <c r="S2346" s="867">
        <v>548.2616738</v>
      </c>
      <c r="T2346" s="868">
        <v>453.2833849</v>
      </c>
      <c r="AN2346" s="882"/>
      <c r="AO2346" s="882"/>
      <c r="AP2346" s="882"/>
      <c r="AY2346" s="882"/>
      <c r="AZ2346" s="882"/>
      <c r="BA2346" s="882"/>
      <c r="BJ2346" s="882"/>
      <c r="BK2346" s="882"/>
      <c r="BL2346" s="882"/>
      <c r="BU2346" s="882"/>
      <c r="BV2346" s="882"/>
      <c r="BW2346" s="882"/>
      <c r="CF2346" s="882"/>
      <c r="CG2346" s="882"/>
      <c r="CH2346" s="882"/>
      <c r="CI2346" s="530"/>
    </row>
    <row r="2347">
      <c r="A2347" s="857"/>
      <c r="B2347" s="865" t="s">
        <v>691</v>
      </c>
      <c r="C2347" s="865" t="s">
        <v>591</v>
      </c>
      <c r="D2347" s="865" t="s">
        <v>678</v>
      </c>
      <c r="E2347" s="866">
        <v>2019.0</v>
      </c>
      <c r="F2347" s="865" t="s">
        <v>593</v>
      </c>
      <c r="G2347" s="865" t="s">
        <v>70</v>
      </c>
      <c r="H2347" s="867">
        <v>1.823768267E7</v>
      </c>
      <c r="I2347" s="867">
        <v>2.047327841E7</v>
      </c>
      <c r="J2347" s="868">
        <v>1.588585521E7</v>
      </c>
      <c r="K2347" s="50"/>
      <c r="L2347" s="869" t="s">
        <v>691</v>
      </c>
      <c r="M2347" s="865" t="s">
        <v>591</v>
      </c>
      <c r="N2347" s="865" t="s">
        <v>678</v>
      </c>
      <c r="O2347" s="866">
        <v>2004.0</v>
      </c>
      <c r="P2347" s="865" t="s">
        <v>593</v>
      </c>
      <c r="Q2347" s="865" t="s">
        <v>70</v>
      </c>
      <c r="R2347" s="867">
        <v>1.110144861E7</v>
      </c>
      <c r="S2347" s="867">
        <v>1.221625823E7</v>
      </c>
      <c r="T2347" s="868">
        <v>1.009997077E7</v>
      </c>
      <c r="AN2347" s="882"/>
      <c r="AO2347" s="882"/>
      <c r="AP2347" s="882"/>
      <c r="AY2347" s="882"/>
      <c r="AZ2347" s="882"/>
      <c r="BA2347" s="882"/>
      <c r="BJ2347" s="882"/>
      <c r="BK2347" s="882"/>
      <c r="BL2347" s="882"/>
      <c r="BU2347" s="882"/>
      <c r="BV2347" s="882"/>
      <c r="BW2347" s="882"/>
      <c r="CF2347" s="882"/>
      <c r="CG2347" s="882"/>
      <c r="CH2347" s="882"/>
      <c r="CI2347" s="530"/>
    </row>
    <row r="2348">
      <c r="A2348" s="857"/>
      <c r="B2348" s="865" t="s">
        <v>691</v>
      </c>
      <c r="C2348" s="865" t="s">
        <v>591</v>
      </c>
      <c r="D2348" s="865" t="s">
        <v>680</v>
      </c>
      <c r="E2348" s="866">
        <v>2019.0</v>
      </c>
      <c r="F2348" s="865" t="s">
        <v>593</v>
      </c>
      <c r="G2348" s="865" t="s">
        <v>70</v>
      </c>
      <c r="H2348" s="867">
        <v>615943.6792</v>
      </c>
      <c r="I2348" s="867">
        <v>684134.8359</v>
      </c>
      <c r="J2348" s="868">
        <v>556267.481</v>
      </c>
      <c r="K2348" s="50"/>
      <c r="L2348" s="869" t="s">
        <v>691</v>
      </c>
      <c r="M2348" s="865" t="s">
        <v>591</v>
      </c>
      <c r="N2348" s="865" t="s">
        <v>680</v>
      </c>
      <c r="O2348" s="866">
        <v>2004.0</v>
      </c>
      <c r="P2348" s="865" t="s">
        <v>593</v>
      </c>
      <c r="Q2348" s="865" t="s">
        <v>70</v>
      </c>
      <c r="R2348" s="867">
        <v>491981.968</v>
      </c>
      <c r="S2348" s="867">
        <v>515663.7666</v>
      </c>
      <c r="T2348" s="868">
        <v>467233.6845</v>
      </c>
      <c r="AN2348" s="882"/>
      <c r="AO2348" s="882"/>
      <c r="AP2348" s="882"/>
      <c r="AY2348" s="882"/>
      <c r="AZ2348" s="882"/>
      <c r="BA2348" s="882"/>
      <c r="BJ2348" s="882"/>
      <c r="BK2348" s="882"/>
      <c r="BL2348" s="882"/>
      <c r="BU2348" s="882"/>
      <c r="BV2348" s="882"/>
      <c r="BW2348" s="882"/>
      <c r="CF2348" s="882"/>
      <c r="CG2348" s="882"/>
      <c r="CH2348" s="882"/>
      <c r="CI2348" s="530"/>
    </row>
    <row r="2349">
      <c r="A2349" s="857"/>
      <c r="B2349" s="865" t="s">
        <v>691</v>
      </c>
      <c r="C2349" s="865" t="s">
        <v>591</v>
      </c>
      <c r="D2349" s="865" t="s">
        <v>682</v>
      </c>
      <c r="E2349" s="866">
        <v>2019.0</v>
      </c>
      <c r="F2349" s="865" t="s">
        <v>593</v>
      </c>
      <c r="G2349" s="865" t="s">
        <v>70</v>
      </c>
      <c r="H2349" s="867">
        <v>11661.52884</v>
      </c>
      <c r="I2349" s="867">
        <v>13091.01222</v>
      </c>
      <c r="J2349" s="868">
        <v>10157.72465</v>
      </c>
      <c r="K2349" s="50"/>
      <c r="L2349" s="869" t="s">
        <v>691</v>
      </c>
      <c r="M2349" s="865" t="s">
        <v>591</v>
      </c>
      <c r="N2349" s="865" t="s">
        <v>682</v>
      </c>
      <c r="O2349" s="866">
        <v>2004.0</v>
      </c>
      <c r="P2349" s="865" t="s">
        <v>593</v>
      </c>
      <c r="Q2349" s="865" t="s">
        <v>70</v>
      </c>
      <c r="R2349" s="867">
        <v>9272.315551</v>
      </c>
      <c r="S2349" s="867">
        <v>10203.44327</v>
      </c>
      <c r="T2349" s="868">
        <v>8435.846469</v>
      </c>
      <c r="AN2349" s="882"/>
      <c r="AO2349" s="882"/>
      <c r="AP2349" s="882"/>
      <c r="AY2349" s="882"/>
      <c r="AZ2349" s="882"/>
      <c r="BA2349" s="882"/>
      <c r="BJ2349" s="882"/>
      <c r="BK2349" s="882"/>
      <c r="BL2349" s="882"/>
      <c r="BU2349" s="882"/>
      <c r="BV2349" s="882"/>
      <c r="BW2349" s="882"/>
      <c r="CF2349" s="882"/>
      <c r="CG2349" s="882"/>
      <c r="CH2349" s="882"/>
      <c r="CI2349" s="530"/>
    </row>
    <row r="2350">
      <c r="A2350" s="857"/>
      <c r="B2350" s="865" t="s">
        <v>691</v>
      </c>
      <c r="C2350" s="865" t="s">
        <v>591</v>
      </c>
      <c r="D2350" s="865" t="s">
        <v>684</v>
      </c>
      <c r="E2350" s="866">
        <v>2019.0</v>
      </c>
      <c r="F2350" s="865" t="s">
        <v>593</v>
      </c>
      <c r="G2350" s="865" t="s">
        <v>70</v>
      </c>
      <c r="H2350" s="867">
        <v>34575.9056</v>
      </c>
      <c r="I2350" s="867">
        <v>38814.25917</v>
      </c>
      <c r="J2350" s="868">
        <v>30117.19417</v>
      </c>
      <c r="K2350" s="50"/>
      <c r="L2350" s="869" t="s">
        <v>691</v>
      </c>
      <c r="M2350" s="865" t="s">
        <v>591</v>
      </c>
      <c r="N2350" s="865" t="s">
        <v>684</v>
      </c>
      <c r="O2350" s="866">
        <v>2004.0</v>
      </c>
      <c r="P2350" s="865" t="s">
        <v>593</v>
      </c>
      <c r="Q2350" s="865" t="s">
        <v>70</v>
      </c>
      <c r="R2350" s="867">
        <v>27359.35756</v>
      </c>
      <c r="S2350" s="867">
        <v>30106.78955</v>
      </c>
      <c r="T2350" s="868">
        <v>24891.23009</v>
      </c>
      <c r="AN2350" s="882"/>
      <c r="AO2350" s="882"/>
      <c r="AP2350" s="882"/>
      <c r="AY2350" s="882"/>
      <c r="AZ2350" s="882"/>
      <c r="BA2350" s="882"/>
      <c r="BJ2350" s="882"/>
      <c r="BK2350" s="882"/>
      <c r="BL2350" s="882"/>
      <c r="BU2350" s="882"/>
      <c r="BV2350" s="882"/>
      <c r="BW2350" s="882"/>
      <c r="BY2350" s="888"/>
      <c r="BZ2350" s="888"/>
      <c r="CA2350" s="888"/>
      <c r="CB2350" s="888"/>
      <c r="CC2350" s="888"/>
      <c r="CD2350" s="888"/>
      <c r="CE2350" s="888"/>
      <c r="CF2350" s="889"/>
      <c r="CG2350" s="889"/>
      <c r="CH2350" s="889"/>
      <c r="CI2350" s="530"/>
    </row>
    <row r="2351">
      <c r="A2351" s="857"/>
      <c r="B2351" s="865" t="s">
        <v>691</v>
      </c>
      <c r="C2351" s="865" t="s">
        <v>591</v>
      </c>
      <c r="D2351" s="865" t="s">
        <v>686</v>
      </c>
      <c r="E2351" s="866">
        <v>2019.0</v>
      </c>
      <c r="F2351" s="865" t="s">
        <v>593</v>
      </c>
      <c r="G2351" s="865" t="s">
        <v>70</v>
      </c>
      <c r="H2351" s="867">
        <v>46237.43445</v>
      </c>
      <c r="I2351" s="867">
        <v>51905.27138</v>
      </c>
      <c r="J2351" s="868">
        <v>40274.91882</v>
      </c>
      <c r="K2351" s="50"/>
      <c r="L2351" s="869" t="s">
        <v>691</v>
      </c>
      <c r="M2351" s="865" t="s">
        <v>591</v>
      </c>
      <c r="N2351" s="865" t="s">
        <v>686</v>
      </c>
      <c r="O2351" s="866">
        <v>2004.0</v>
      </c>
      <c r="P2351" s="865" t="s">
        <v>593</v>
      </c>
      <c r="Q2351" s="865" t="s">
        <v>70</v>
      </c>
      <c r="R2351" s="867">
        <v>36631.67312</v>
      </c>
      <c r="S2351" s="867">
        <v>40310.23282</v>
      </c>
      <c r="T2351" s="868">
        <v>33327.07656</v>
      </c>
      <c r="AN2351" s="882"/>
      <c r="AO2351" s="882"/>
      <c r="AP2351" s="882"/>
      <c r="AY2351" s="882"/>
      <c r="AZ2351" s="882"/>
      <c r="BA2351" s="882"/>
      <c r="BJ2351" s="882"/>
      <c r="BK2351" s="882"/>
      <c r="BL2351" s="882"/>
      <c r="BU2351" s="882"/>
      <c r="BV2351" s="882"/>
      <c r="BW2351" s="882"/>
      <c r="CI2351" s="530"/>
    </row>
    <row r="2352">
      <c r="A2352" s="857"/>
      <c r="B2352" s="865" t="s">
        <v>691</v>
      </c>
      <c r="C2352" s="865" t="s">
        <v>591</v>
      </c>
      <c r="D2352" s="865" t="s">
        <v>688</v>
      </c>
      <c r="E2352" s="866">
        <v>2019.0</v>
      </c>
      <c r="F2352" s="865" t="s">
        <v>593</v>
      </c>
      <c r="G2352" s="865" t="s">
        <v>70</v>
      </c>
      <c r="H2352" s="867">
        <v>542360.8846</v>
      </c>
      <c r="I2352" s="867">
        <v>608844.0944</v>
      </c>
      <c r="J2352" s="868">
        <v>472421.1206</v>
      </c>
      <c r="K2352" s="50"/>
      <c r="L2352" s="869" t="s">
        <v>691</v>
      </c>
      <c r="M2352" s="865" t="s">
        <v>591</v>
      </c>
      <c r="N2352" s="865" t="s">
        <v>688</v>
      </c>
      <c r="O2352" s="866">
        <v>2004.0</v>
      </c>
      <c r="P2352" s="865" t="s">
        <v>593</v>
      </c>
      <c r="Q2352" s="865" t="s">
        <v>70</v>
      </c>
      <c r="R2352" s="867">
        <v>423281.3366</v>
      </c>
      <c r="S2352" s="867">
        <v>465787.3304</v>
      </c>
      <c r="T2352" s="868">
        <v>385096.5111</v>
      </c>
      <c r="AN2352" s="882"/>
      <c r="AO2352" s="882"/>
      <c r="AP2352" s="882"/>
      <c r="AY2352" s="882"/>
      <c r="AZ2352" s="882"/>
      <c r="BA2352" s="882"/>
      <c r="BJ2352" s="882"/>
      <c r="BK2352" s="882"/>
      <c r="BL2352" s="882"/>
      <c r="BU2352" s="882"/>
      <c r="BV2352" s="882"/>
      <c r="BW2352" s="882"/>
      <c r="CI2352" s="530"/>
    </row>
    <row r="2353">
      <c r="A2353" s="857"/>
      <c r="B2353" s="865" t="s">
        <v>691</v>
      </c>
      <c r="C2353" s="865" t="s">
        <v>591</v>
      </c>
      <c r="D2353" s="865" t="s">
        <v>689</v>
      </c>
      <c r="E2353" s="866">
        <v>2019.0</v>
      </c>
      <c r="F2353" s="865" t="s">
        <v>593</v>
      </c>
      <c r="G2353" s="865" t="s">
        <v>70</v>
      </c>
      <c r="H2353" s="867">
        <v>2819352.366</v>
      </c>
      <c r="I2353" s="867">
        <v>3164951.763</v>
      </c>
      <c r="J2353" s="868">
        <v>2455784.778</v>
      </c>
      <c r="K2353" s="50"/>
      <c r="L2353" s="869" t="s">
        <v>691</v>
      </c>
      <c r="M2353" s="865" t="s">
        <v>591</v>
      </c>
      <c r="N2353" s="865" t="s">
        <v>689</v>
      </c>
      <c r="O2353" s="866">
        <v>2004.0</v>
      </c>
      <c r="P2353" s="865" t="s">
        <v>593</v>
      </c>
      <c r="Q2353" s="865" t="s">
        <v>70</v>
      </c>
      <c r="R2353" s="867">
        <v>2084928.406</v>
      </c>
      <c r="S2353" s="867">
        <v>2294297.32</v>
      </c>
      <c r="T2353" s="868">
        <v>1896843.98</v>
      </c>
      <c r="AN2353" s="882"/>
      <c r="AO2353" s="882"/>
      <c r="AP2353" s="882"/>
      <c r="AY2353" s="882"/>
      <c r="AZ2353" s="882"/>
      <c r="BA2353" s="882"/>
      <c r="BJ2353" s="882"/>
      <c r="BK2353" s="882"/>
      <c r="BL2353" s="882"/>
      <c r="BU2353" s="882"/>
      <c r="BV2353" s="882"/>
      <c r="BW2353" s="882"/>
      <c r="CI2353" s="530"/>
    </row>
    <row r="2354">
      <c r="A2354" s="857"/>
      <c r="B2354" s="865" t="s">
        <v>692</v>
      </c>
      <c r="C2354" s="865" t="s">
        <v>591</v>
      </c>
      <c r="D2354" s="865" t="s">
        <v>592</v>
      </c>
      <c r="E2354" s="866">
        <v>2019.0</v>
      </c>
      <c r="F2354" s="865" t="s">
        <v>593</v>
      </c>
      <c r="G2354" s="865" t="s">
        <v>70</v>
      </c>
      <c r="H2354" s="867">
        <v>429467.7262</v>
      </c>
      <c r="I2354" s="867">
        <v>476384.814</v>
      </c>
      <c r="J2354" s="868">
        <v>381011.6481</v>
      </c>
      <c r="K2354" s="50"/>
      <c r="L2354" s="869" t="s">
        <v>692</v>
      </c>
      <c r="M2354" s="865" t="s">
        <v>591</v>
      </c>
      <c r="N2354" s="865" t="s">
        <v>592</v>
      </c>
      <c r="O2354" s="866">
        <v>2004.0</v>
      </c>
      <c r="P2354" s="865" t="s">
        <v>593</v>
      </c>
      <c r="Q2354" s="865" t="s">
        <v>70</v>
      </c>
      <c r="R2354" s="867">
        <v>400464.3957</v>
      </c>
      <c r="S2354" s="867">
        <v>432147.4808</v>
      </c>
      <c r="T2354" s="868">
        <v>366037.9656</v>
      </c>
      <c r="AN2354" s="882"/>
      <c r="AO2354" s="882"/>
      <c r="AP2354" s="882"/>
      <c r="AY2354" s="882"/>
      <c r="AZ2354" s="882"/>
      <c r="BA2354" s="882"/>
      <c r="BJ2354" s="882"/>
      <c r="BK2354" s="882"/>
      <c r="BL2354" s="882"/>
      <c r="BU2354" s="882"/>
      <c r="BV2354" s="882"/>
      <c r="BW2354" s="882"/>
      <c r="CI2354" s="530"/>
    </row>
    <row r="2355">
      <c r="A2355" s="857"/>
      <c r="B2355" s="865" t="s">
        <v>692</v>
      </c>
      <c r="C2355" s="865" t="s">
        <v>591</v>
      </c>
      <c r="D2355" s="865" t="s">
        <v>601</v>
      </c>
      <c r="E2355" s="866">
        <v>2019.0</v>
      </c>
      <c r="F2355" s="865" t="s">
        <v>593</v>
      </c>
      <c r="G2355" s="865" t="s">
        <v>70</v>
      </c>
      <c r="H2355" s="867">
        <v>7620990.679</v>
      </c>
      <c r="I2355" s="867">
        <v>8453543.784</v>
      </c>
      <c r="J2355" s="868">
        <v>6761127.885</v>
      </c>
      <c r="K2355" s="50"/>
      <c r="L2355" s="869" t="s">
        <v>692</v>
      </c>
      <c r="M2355" s="865" t="s">
        <v>591</v>
      </c>
      <c r="N2355" s="865" t="s">
        <v>601</v>
      </c>
      <c r="O2355" s="866">
        <v>2004.0</v>
      </c>
      <c r="P2355" s="865" t="s">
        <v>593</v>
      </c>
      <c r="Q2355" s="865" t="s">
        <v>70</v>
      </c>
      <c r="R2355" s="867">
        <v>6587950.769</v>
      </c>
      <c r="S2355" s="867">
        <v>7109162.16</v>
      </c>
      <c r="T2355" s="868">
        <v>6021609.219</v>
      </c>
      <c r="AN2355" s="882"/>
      <c r="AO2355" s="882"/>
      <c r="AP2355" s="882"/>
      <c r="AY2355" s="882"/>
      <c r="AZ2355" s="882"/>
      <c r="BA2355" s="882"/>
      <c r="BJ2355" s="882"/>
      <c r="BK2355" s="882"/>
      <c r="BL2355" s="882"/>
      <c r="BU2355" s="882"/>
      <c r="BV2355" s="882"/>
      <c r="BW2355" s="882"/>
      <c r="CI2355" s="530"/>
    </row>
    <row r="2356">
      <c r="A2356" s="857"/>
      <c r="B2356" s="865" t="s">
        <v>692</v>
      </c>
      <c r="C2356" s="865" t="s">
        <v>591</v>
      </c>
      <c r="D2356" s="865" t="s">
        <v>606</v>
      </c>
      <c r="E2356" s="866">
        <v>2019.0</v>
      </c>
      <c r="F2356" s="865" t="s">
        <v>593</v>
      </c>
      <c r="G2356" s="865" t="s">
        <v>70</v>
      </c>
      <c r="H2356" s="867">
        <v>5966096.496</v>
      </c>
      <c r="I2356" s="867">
        <v>6617861.125</v>
      </c>
      <c r="J2356" s="868">
        <v>5292952.462</v>
      </c>
      <c r="K2356" s="50"/>
      <c r="L2356" s="869" t="s">
        <v>692</v>
      </c>
      <c r="M2356" s="865" t="s">
        <v>591</v>
      </c>
      <c r="N2356" s="865" t="s">
        <v>606</v>
      </c>
      <c r="O2356" s="866">
        <v>2004.0</v>
      </c>
      <c r="P2356" s="865" t="s">
        <v>593</v>
      </c>
      <c r="Q2356" s="865" t="s">
        <v>70</v>
      </c>
      <c r="R2356" s="867">
        <v>5106520.857</v>
      </c>
      <c r="S2356" s="867">
        <v>5510527.646</v>
      </c>
      <c r="T2356" s="868">
        <v>4667532.31</v>
      </c>
      <c r="AN2356" s="882"/>
      <c r="AO2356" s="882"/>
      <c r="AP2356" s="882"/>
      <c r="AY2356" s="882"/>
      <c r="AZ2356" s="882"/>
      <c r="BA2356" s="882"/>
      <c r="BJ2356" s="882"/>
      <c r="BK2356" s="882"/>
      <c r="BL2356" s="882"/>
      <c r="BU2356" s="882"/>
      <c r="BV2356" s="882"/>
      <c r="BW2356" s="882"/>
      <c r="CI2356" s="530"/>
    </row>
    <row r="2357">
      <c r="A2357" s="857"/>
      <c r="B2357" s="865" t="s">
        <v>692</v>
      </c>
      <c r="C2357" s="865" t="s">
        <v>591</v>
      </c>
      <c r="D2357" s="865" t="s">
        <v>608</v>
      </c>
      <c r="E2357" s="866">
        <v>2019.0</v>
      </c>
      <c r="F2357" s="865" t="s">
        <v>593</v>
      </c>
      <c r="G2357" s="865" t="s">
        <v>70</v>
      </c>
      <c r="H2357" s="867">
        <v>1680084.972</v>
      </c>
      <c r="I2357" s="867">
        <v>1863625.409</v>
      </c>
      <c r="J2357" s="868">
        <v>1490523.979</v>
      </c>
      <c r="K2357" s="50"/>
      <c r="L2357" s="869" t="s">
        <v>692</v>
      </c>
      <c r="M2357" s="865" t="s">
        <v>591</v>
      </c>
      <c r="N2357" s="865" t="s">
        <v>608</v>
      </c>
      <c r="O2357" s="866">
        <v>2004.0</v>
      </c>
      <c r="P2357" s="865" t="s">
        <v>593</v>
      </c>
      <c r="Q2357" s="865" t="s">
        <v>70</v>
      </c>
      <c r="R2357" s="867">
        <v>1484452.554</v>
      </c>
      <c r="S2357" s="867">
        <v>1601896.294</v>
      </c>
      <c r="T2357" s="868">
        <v>1356839.706</v>
      </c>
      <c r="AN2357" s="882"/>
      <c r="AO2357" s="882"/>
      <c r="AP2357" s="882"/>
      <c r="AY2357" s="882"/>
      <c r="AZ2357" s="882"/>
      <c r="BA2357" s="882"/>
      <c r="BJ2357" s="882"/>
      <c r="BK2357" s="882"/>
      <c r="BL2357" s="882"/>
      <c r="BU2357" s="882"/>
      <c r="BV2357" s="882"/>
      <c r="BW2357" s="882"/>
      <c r="CI2357" s="530"/>
    </row>
    <row r="2358">
      <c r="A2358" s="857"/>
      <c r="B2358" s="865" t="s">
        <v>692</v>
      </c>
      <c r="C2358" s="865" t="s">
        <v>591</v>
      </c>
      <c r="D2358" s="865" t="s">
        <v>610</v>
      </c>
      <c r="E2358" s="866">
        <v>2019.0</v>
      </c>
      <c r="F2358" s="865" t="s">
        <v>593</v>
      </c>
      <c r="G2358" s="865" t="s">
        <v>70</v>
      </c>
      <c r="H2358" s="867">
        <v>1844475.107</v>
      </c>
      <c r="I2358" s="867">
        <v>2045974.3</v>
      </c>
      <c r="J2358" s="868">
        <v>1636366.268</v>
      </c>
      <c r="K2358" s="50"/>
      <c r="L2358" s="869" t="s">
        <v>692</v>
      </c>
      <c r="M2358" s="865" t="s">
        <v>591</v>
      </c>
      <c r="N2358" s="865" t="s">
        <v>610</v>
      </c>
      <c r="O2358" s="866">
        <v>2004.0</v>
      </c>
      <c r="P2358" s="865" t="s">
        <v>593</v>
      </c>
      <c r="Q2358" s="865" t="s">
        <v>70</v>
      </c>
      <c r="R2358" s="867">
        <v>1560328.753</v>
      </c>
      <c r="S2358" s="867">
        <v>1683775.504</v>
      </c>
      <c r="T2358" s="868">
        <v>1426193.111</v>
      </c>
      <c r="AN2358" s="882"/>
      <c r="AO2358" s="882"/>
      <c r="AP2358" s="882"/>
      <c r="AY2358" s="882"/>
      <c r="AZ2358" s="882"/>
      <c r="BA2358" s="882"/>
      <c r="BJ2358" s="882"/>
      <c r="BK2358" s="882"/>
      <c r="BL2358" s="882"/>
      <c r="BU2358" s="882"/>
      <c r="BV2358" s="882"/>
      <c r="BW2358" s="882"/>
      <c r="CI2358" s="530"/>
    </row>
    <row r="2359">
      <c r="A2359" s="857"/>
      <c r="B2359" s="865" t="s">
        <v>692</v>
      </c>
      <c r="C2359" s="865" t="s">
        <v>591</v>
      </c>
      <c r="D2359" s="865" t="s">
        <v>612</v>
      </c>
      <c r="E2359" s="866">
        <v>2019.0</v>
      </c>
      <c r="F2359" s="865" t="s">
        <v>593</v>
      </c>
      <c r="G2359" s="865" t="s">
        <v>70</v>
      </c>
      <c r="H2359" s="867">
        <v>3499369.29</v>
      </c>
      <c r="I2359" s="867">
        <v>3881656.96</v>
      </c>
      <c r="J2359" s="868">
        <v>3104541.69</v>
      </c>
      <c r="K2359" s="50"/>
      <c r="L2359" s="869" t="s">
        <v>692</v>
      </c>
      <c r="M2359" s="865" t="s">
        <v>591</v>
      </c>
      <c r="N2359" s="865" t="s">
        <v>612</v>
      </c>
      <c r="O2359" s="866">
        <v>2004.0</v>
      </c>
      <c r="P2359" s="865" t="s">
        <v>593</v>
      </c>
      <c r="Q2359" s="865" t="s">
        <v>70</v>
      </c>
      <c r="R2359" s="867">
        <v>3041758.665</v>
      </c>
      <c r="S2359" s="867">
        <v>3282410.018</v>
      </c>
      <c r="T2359" s="868">
        <v>2780270.021</v>
      </c>
      <c r="AN2359" s="882"/>
      <c r="AO2359" s="882"/>
      <c r="AP2359" s="882"/>
      <c r="AY2359" s="882"/>
      <c r="AZ2359" s="882"/>
      <c r="BA2359" s="882"/>
      <c r="BJ2359" s="882"/>
      <c r="BK2359" s="882"/>
      <c r="BL2359" s="882"/>
      <c r="BU2359" s="882"/>
      <c r="BV2359" s="882"/>
      <c r="BW2359" s="882"/>
      <c r="CI2359" s="530"/>
    </row>
    <row r="2360">
      <c r="A2360" s="857"/>
      <c r="B2360" s="865" t="s">
        <v>692</v>
      </c>
      <c r="C2360" s="865" t="s">
        <v>591</v>
      </c>
      <c r="D2360" s="865" t="s">
        <v>614</v>
      </c>
      <c r="E2360" s="866">
        <v>2019.0</v>
      </c>
      <c r="F2360" s="865" t="s">
        <v>593</v>
      </c>
      <c r="G2360" s="865" t="s">
        <v>70</v>
      </c>
      <c r="H2360" s="867">
        <v>4898223.421</v>
      </c>
      <c r="I2360" s="867">
        <v>5433328.539</v>
      </c>
      <c r="J2360" s="868">
        <v>4345565.603</v>
      </c>
      <c r="K2360" s="50"/>
      <c r="L2360" s="869" t="s">
        <v>692</v>
      </c>
      <c r="M2360" s="865" t="s">
        <v>591</v>
      </c>
      <c r="N2360" s="865" t="s">
        <v>614</v>
      </c>
      <c r="O2360" s="866">
        <v>2004.0</v>
      </c>
      <c r="P2360" s="865" t="s">
        <v>593</v>
      </c>
      <c r="Q2360" s="865" t="s">
        <v>70</v>
      </c>
      <c r="R2360" s="867">
        <v>4350756.312</v>
      </c>
      <c r="S2360" s="867">
        <v>4694970.14</v>
      </c>
      <c r="T2360" s="868">
        <v>3976738.023</v>
      </c>
      <c r="AN2360" s="882"/>
      <c r="AO2360" s="882"/>
      <c r="AP2360" s="882"/>
      <c r="AY2360" s="882"/>
      <c r="AZ2360" s="882"/>
      <c r="BA2360" s="882"/>
      <c r="BJ2360" s="882"/>
      <c r="BK2360" s="882"/>
      <c r="BL2360" s="882"/>
      <c r="BU2360" s="882"/>
      <c r="BV2360" s="882"/>
      <c r="BW2360" s="882"/>
      <c r="CI2360" s="530"/>
    </row>
    <row r="2361">
      <c r="A2361" s="857"/>
      <c r="B2361" s="865" t="s">
        <v>692</v>
      </c>
      <c r="C2361" s="865" t="s">
        <v>591</v>
      </c>
      <c r="D2361" s="865" t="s">
        <v>616</v>
      </c>
      <c r="E2361" s="866">
        <v>2019.0</v>
      </c>
      <c r="F2361" s="865" t="s">
        <v>593</v>
      </c>
      <c r="G2361" s="865" t="s">
        <v>70</v>
      </c>
      <c r="H2361" s="867">
        <v>1654894.183</v>
      </c>
      <c r="I2361" s="867">
        <v>1835682.659</v>
      </c>
      <c r="J2361" s="868">
        <v>1468175.422</v>
      </c>
      <c r="K2361" s="50"/>
      <c r="L2361" s="869" t="s">
        <v>692</v>
      </c>
      <c r="M2361" s="865" t="s">
        <v>591</v>
      </c>
      <c r="N2361" s="865" t="s">
        <v>616</v>
      </c>
      <c r="O2361" s="866">
        <v>2004.0</v>
      </c>
      <c r="P2361" s="865" t="s">
        <v>593</v>
      </c>
      <c r="Q2361" s="865" t="s">
        <v>70</v>
      </c>
      <c r="R2361" s="867">
        <v>1481429.912</v>
      </c>
      <c r="S2361" s="867">
        <v>1598634.514</v>
      </c>
      <c r="T2361" s="868">
        <v>1354076.91</v>
      </c>
      <c r="AN2361" s="882"/>
      <c r="AO2361" s="882"/>
      <c r="AP2361" s="882"/>
      <c r="AY2361" s="882"/>
      <c r="AZ2361" s="882"/>
      <c r="BA2361" s="882"/>
      <c r="BJ2361" s="882"/>
      <c r="BK2361" s="882"/>
      <c r="BL2361" s="882"/>
      <c r="BU2361" s="882"/>
      <c r="BV2361" s="882"/>
      <c r="BW2361" s="882"/>
      <c r="CI2361" s="530"/>
    </row>
    <row r="2362">
      <c r="A2362" s="857"/>
      <c r="B2362" s="865" t="s">
        <v>692</v>
      </c>
      <c r="C2362" s="865" t="s">
        <v>591</v>
      </c>
      <c r="D2362" s="865" t="s">
        <v>618</v>
      </c>
      <c r="E2362" s="866">
        <v>2019.0</v>
      </c>
      <c r="F2362" s="865" t="s">
        <v>593</v>
      </c>
      <c r="G2362" s="865" t="s">
        <v>70</v>
      </c>
      <c r="H2362" s="867">
        <v>6201975.186</v>
      </c>
      <c r="I2362" s="867">
        <v>6879633.512</v>
      </c>
      <c r="J2362" s="868">
        <v>5501662.914</v>
      </c>
      <c r="K2362" s="50"/>
      <c r="L2362" s="869" t="s">
        <v>692</v>
      </c>
      <c r="M2362" s="865" t="s">
        <v>591</v>
      </c>
      <c r="N2362" s="865" t="s">
        <v>618</v>
      </c>
      <c r="O2362" s="866">
        <v>2004.0</v>
      </c>
      <c r="P2362" s="865" t="s">
        <v>593</v>
      </c>
      <c r="Q2362" s="865" t="s">
        <v>70</v>
      </c>
      <c r="R2362" s="867">
        <v>5217376.697</v>
      </c>
      <c r="S2362" s="867">
        <v>5630108.453</v>
      </c>
      <c r="T2362" s="868">
        <v>4768813.113</v>
      </c>
      <c r="AN2362" s="882"/>
      <c r="AO2362" s="882"/>
      <c r="AP2362" s="882"/>
      <c r="AY2362" s="882"/>
      <c r="AZ2362" s="882"/>
      <c r="BA2362" s="882"/>
      <c r="BJ2362" s="882"/>
      <c r="BK2362" s="882"/>
      <c r="BL2362" s="882"/>
      <c r="BU2362" s="882"/>
      <c r="BV2362" s="882"/>
      <c r="BW2362" s="882"/>
      <c r="CI2362" s="530"/>
    </row>
    <row r="2363">
      <c r="A2363" s="857"/>
      <c r="B2363" s="865" t="s">
        <v>692</v>
      </c>
      <c r="C2363" s="865" t="s">
        <v>591</v>
      </c>
      <c r="D2363" s="865" t="s">
        <v>620</v>
      </c>
      <c r="E2363" s="866">
        <v>2019.0</v>
      </c>
      <c r="F2363" s="865" t="s">
        <v>593</v>
      </c>
      <c r="G2363" s="865" t="s">
        <v>70</v>
      </c>
      <c r="H2363" s="867">
        <v>7522057.711</v>
      </c>
      <c r="I2363" s="867">
        <v>8343802.91</v>
      </c>
      <c r="J2363" s="868">
        <v>6673357.347</v>
      </c>
      <c r="K2363" s="50"/>
      <c r="L2363" s="869" t="s">
        <v>692</v>
      </c>
      <c r="M2363" s="865" t="s">
        <v>591</v>
      </c>
      <c r="N2363" s="865" t="s">
        <v>620</v>
      </c>
      <c r="O2363" s="866">
        <v>2004.0</v>
      </c>
      <c r="P2363" s="865" t="s">
        <v>593</v>
      </c>
      <c r="Q2363" s="865" t="s">
        <v>70</v>
      </c>
      <c r="R2363" s="867">
        <v>6035641.235</v>
      </c>
      <c r="S2363" s="867">
        <v>6513156.183</v>
      </c>
      <c r="T2363" s="868">
        <v>5516779.675</v>
      </c>
      <c r="AN2363" s="882"/>
      <c r="AO2363" s="882"/>
      <c r="AP2363" s="882"/>
      <c r="AY2363" s="882"/>
      <c r="AZ2363" s="882"/>
      <c r="BA2363" s="882"/>
      <c r="BJ2363" s="882"/>
      <c r="BK2363" s="882"/>
      <c r="BL2363" s="882"/>
      <c r="BU2363" s="882"/>
      <c r="BV2363" s="882"/>
      <c r="BW2363" s="882"/>
      <c r="CI2363" s="530"/>
    </row>
    <row r="2364">
      <c r="A2364" s="857"/>
      <c r="B2364" s="865" t="s">
        <v>692</v>
      </c>
      <c r="C2364" s="865" t="s">
        <v>591</v>
      </c>
      <c r="D2364" s="865" t="s">
        <v>622</v>
      </c>
      <c r="E2364" s="866">
        <v>2019.0</v>
      </c>
      <c r="F2364" s="865" t="s">
        <v>593</v>
      </c>
      <c r="G2364" s="865" t="s">
        <v>70</v>
      </c>
      <c r="H2364" s="867">
        <v>7389950.063</v>
      </c>
      <c r="I2364" s="867">
        <v>8197412.368</v>
      </c>
      <c r="J2364" s="868">
        <v>6555494.496</v>
      </c>
      <c r="K2364" s="50"/>
      <c r="L2364" s="869" t="s">
        <v>692</v>
      </c>
      <c r="M2364" s="865" t="s">
        <v>591</v>
      </c>
      <c r="N2364" s="865" t="s">
        <v>622</v>
      </c>
      <c r="O2364" s="866">
        <v>2004.0</v>
      </c>
      <c r="P2364" s="865" t="s">
        <v>593</v>
      </c>
      <c r="Q2364" s="865" t="s">
        <v>70</v>
      </c>
      <c r="R2364" s="867">
        <v>5696606.842</v>
      </c>
      <c r="S2364" s="867">
        <v>6147249.125</v>
      </c>
      <c r="T2364" s="868">
        <v>5206841.481</v>
      </c>
      <c r="AN2364" s="882"/>
      <c r="AO2364" s="882"/>
      <c r="AP2364" s="882"/>
      <c r="AY2364" s="882"/>
      <c r="AZ2364" s="882"/>
      <c r="BA2364" s="882"/>
      <c r="BJ2364" s="882"/>
      <c r="BK2364" s="882"/>
      <c r="BL2364" s="882"/>
      <c r="BU2364" s="882"/>
      <c r="BV2364" s="882"/>
      <c r="BW2364" s="882"/>
      <c r="CI2364" s="530"/>
    </row>
    <row r="2365">
      <c r="A2365" s="857"/>
      <c r="B2365" s="865" t="s">
        <v>692</v>
      </c>
      <c r="C2365" s="865" t="s">
        <v>591</v>
      </c>
      <c r="D2365" s="865" t="s">
        <v>624</v>
      </c>
      <c r="E2365" s="866">
        <v>2019.0</v>
      </c>
      <c r="F2365" s="865" t="s">
        <v>593</v>
      </c>
      <c r="G2365" s="865" t="s">
        <v>70</v>
      </c>
      <c r="H2365" s="867">
        <v>1398854.131</v>
      </c>
      <c r="I2365" s="867">
        <v>1551671.579</v>
      </c>
      <c r="J2365" s="868">
        <v>1241023.913</v>
      </c>
      <c r="K2365" s="50"/>
      <c r="L2365" s="869" t="s">
        <v>692</v>
      </c>
      <c r="M2365" s="865" t="s">
        <v>591</v>
      </c>
      <c r="N2365" s="865" t="s">
        <v>624</v>
      </c>
      <c r="O2365" s="866">
        <v>2004.0</v>
      </c>
      <c r="P2365" s="865" t="s">
        <v>593</v>
      </c>
      <c r="Q2365" s="865" t="s">
        <v>70</v>
      </c>
      <c r="R2365" s="867">
        <v>1308997.647</v>
      </c>
      <c r="S2365" s="867">
        <v>1412560.122</v>
      </c>
      <c r="T2365" s="868">
        <v>1196468.003</v>
      </c>
      <c r="AN2365" s="882"/>
      <c r="AO2365" s="882"/>
      <c r="AP2365" s="882"/>
      <c r="AY2365" s="882"/>
      <c r="AZ2365" s="882"/>
      <c r="BA2365" s="882"/>
      <c r="BJ2365" s="882"/>
      <c r="BK2365" s="882"/>
      <c r="BL2365" s="882"/>
      <c r="BU2365" s="882"/>
      <c r="BV2365" s="882"/>
      <c r="BW2365" s="882"/>
      <c r="CI2365" s="530"/>
    </row>
    <row r="2366">
      <c r="A2366" s="857"/>
      <c r="B2366" s="865" t="s">
        <v>692</v>
      </c>
      <c r="C2366" s="865" t="s">
        <v>591</v>
      </c>
      <c r="D2366" s="865" t="s">
        <v>625</v>
      </c>
      <c r="E2366" s="866">
        <v>2019.0</v>
      </c>
      <c r="F2366" s="865" t="s">
        <v>593</v>
      </c>
      <c r="G2366" s="865" t="s">
        <v>70</v>
      </c>
      <c r="H2366" s="867">
        <v>5991007.247</v>
      </c>
      <c r="I2366" s="867">
        <v>6645493.245</v>
      </c>
      <c r="J2366" s="868">
        <v>5315052.578</v>
      </c>
      <c r="K2366" s="50"/>
      <c r="L2366" s="869" t="s">
        <v>692</v>
      </c>
      <c r="M2366" s="865" t="s">
        <v>591</v>
      </c>
      <c r="N2366" s="865" t="s">
        <v>625</v>
      </c>
      <c r="O2366" s="866">
        <v>2004.0</v>
      </c>
      <c r="P2366" s="865" t="s">
        <v>593</v>
      </c>
      <c r="Q2366" s="865" t="s">
        <v>70</v>
      </c>
      <c r="R2366" s="867">
        <v>4387555.859</v>
      </c>
      <c r="S2366" s="867">
        <v>4734681.115</v>
      </c>
      <c r="T2366" s="868">
        <v>4010374.051</v>
      </c>
      <c r="AN2366" s="882"/>
      <c r="AO2366" s="882"/>
      <c r="AP2366" s="882"/>
      <c r="AY2366" s="882"/>
      <c r="AZ2366" s="882"/>
      <c r="BA2366" s="882"/>
      <c r="BJ2366" s="882"/>
      <c r="BK2366" s="882"/>
      <c r="BL2366" s="882"/>
      <c r="BU2366" s="882"/>
      <c r="BV2366" s="882"/>
      <c r="BW2366" s="882"/>
      <c r="CI2366" s="530"/>
    </row>
    <row r="2367">
      <c r="A2367" s="857"/>
      <c r="B2367" s="865" t="s">
        <v>692</v>
      </c>
      <c r="C2367" s="865" t="s">
        <v>591</v>
      </c>
      <c r="D2367" s="865" t="s">
        <v>627</v>
      </c>
      <c r="E2367" s="866">
        <v>2019.0</v>
      </c>
      <c r="F2367" s="865" t="s">
        <v>593</v>
      </c>
      <c r="G2367" s="865" t="s">
        <v>70</v>
      </c>
      <c r="H2367" s="867">
        <v>1166894.069</v>
      </c>
      <c r="I2367" s="867">
        <v>1294371.102</v>
      </c>
      <c r="J2367" s="868">
        <v>1035235.491</v>
      </c>
      <c r="K2367" s="50"/>
      <c r="L2367" s="869" t="s">
        <v>692</v>
      </c>
      <c r="M2367" s="865" t="s">
        <v>591</v>
      </c>
      <c r="N2367" s="865" t="s">
        <v>627</v>
      </c>
      <c r="O2367" s="866">
        <v>2004.0</v>
      </c>
      <c r="P2367" s="865" t="s">
        <v>593</v>
      </c>
      <c r="Q2367" s="865" t="s">
        <v>70</v>
      </c>
      <c r="R2367" s="867">
        <v>1052002.712</v>
      </c>
      <c r="S2367" s="867">
        <v>1135232.811</v>
      </c>
      <c r="T2367" s="868">
        <v>961565.9636</v>
      </c>
      <c r="AN2367" s="882"/>
      <c r="AO2367" s="882"/>
      <c r="AP2367" s="882"/>
      <c r="AY2367" s="882"/>
      <c r="AZ2367" s="882"/>
      <c r="BA2367" s="882"/>
      <c r="BJ2367" s="882"/>
      <c r="BK2367" s="882"/>
      <c r="BL2367" s="882"/>
      <c r="BU2367" s="882"/>
      <c r="BV2367" s="882"/>
      <c r="BW2367" s="882"/>
      <c r="CI2367" s="530"/>
    </row>
    <row r="2368">
      <c r="A2368" s="857"/>
      <c r="B2368" s="865" t="s">
        <v>692</v>
      </c>
      <c r="C2368" s="865" t="s">
        <v>591</v>
      </c>
      <c r="D2368" s="865" t="s">
        <v>629</v>
      </c>
      <c r="E2368" s="866">
        <v>2019.0</v>
      </c>
      <c r="F2368" s="865" t="s">
        <v>593</v>
      </c>
      <c r="G2368" s="865" t="s">
        <v>70</v>
      </c>
      <c r="H2368" s="867">
        <v>4468363.021</v>
      </c>
      <c r="I2368" s="867">
        <v>4956598.351</v>
      </c>
      <c r="J2368" s="868">
        <v>3963806.107</v>
      </c>
      <c r="K2368" s="50"/>
      <c r="L2368" s="869" t="s">
        <v>692</v>
      </c>
      <c r="M2368" s="865" t="s">
        <v>591</v>
      </c>
      <c r="N2368" s="865" t="s">
        <v>629</v>
      </c>
      <c r="O2368" s="866">
        <v>2004.0</v>
      </c>
      <c r="P2368" s="865" t="s">
        <v>593</v>
      </c>
      <c r="Q2368" s="865" t="s">
        <v>70</v>
      </c>
      <c r="R2368" s="867">
        <v>3245244.06</v>
      </c>
      <c r="S2368" s="867">
        <v>3501966.041</v>
      </c>
      <c r="T2368" s="868">
        <v>2966234.437</v>
      </c>
      <c r="AN2368" s="882"/>
      <c r="AO2368" s="882"/>
      <c r="AP2368" s="882"/>
      <c r="AY2368" s="882"/>
      <c r="AZ2368" s="882"/>
      <c r="BA2368" s="882"/>
      <c r="BJ2368" s="882"/>
      <c r="BK2368" s="882"/>
      <c r="BL2368" s="882"/>
      <c r="BU2368" s="882"/>
      <c r="BV2368" s="882"/>
      <c r="BW2368" s="882"/>
      <c r="CI2368" s="530"/>
    </row>
    <row r="2369">
      <c r="A2369" s="857"/>
      <c r="B2369" s="865" t="s">
        <v>692</v>
      </c>
      <c r="C2369" s="865" t="s">
        <v>591</v>
      </c>
      <c r="D2369" s="865" t="s">
        <v>631</v>
      </c>
      <c r="E2369" s="866">
        <v>2019.0</v>
      </c>
      <c r="F2369" s="865" t="s">
        <v>593</v>
      </c>
      <c r="G2369" s="865" t="s">
        <v>70</v>
      </c>
      <c r="H2369" s="867">
        <v>1045717.678</v>
      </c>
      <c r="I2369" s="867">
        <v>1159956.829</v>
      </c>
      <c r="J2369" s="868">
        <v>927731.2166</v>
      </c>
      <c r="K2369" s="50"/>
      <c r="L2369" s="869" t="s">
        <v>692</v>
      </c>
      <c r="M2369" s="865" t="s">
        <v>591</v>
      </c>
      <c r="N2369" s="865" t="s">
        <v>631</v>
      </c>
      <c r="O2369" s="866">
        <v>2004.0</v>
      </c>
      <c r="P2369" s="865" t="s">
        <v>593</v>
      </c>
      <c r="Q2369" s="865" t="s">
        <v>70</v>
      </c>
      <c r="R2369" s="867">
        <v>798577.3528</v>
      </c>
      <c r="S2369" s="867">
        <v>861757.4869</v>
      </c>
      <c r="T2369" s="868">
        <v>729926.6371</v>
      </c>
      <c r="AN2369" s="882"/>
      <c r="AO2369" s="882"/>
      <c r="AP2369" s="882"/>
      <c r="AY2369" s="882"/>
      <c r="AZ2369" s="882"/>
      <c r="BA2369" s="882"/>
      <c r="BJ2369" s="882"/>
      <c r="BK2369" s="882"/>
      <c r="BL2369" s="882"/>
      <c r="BU2369" s="882"/>
      <c r="BV2369" s="882"/>
      <c r="BW2369" s="882"/>
      <c r="CI2369" s="530"/>
    </row>
    <row r="2370">
      <c r="A2370" s="857"/>
      <c r="B2370" s="865" t="s">
        <v>692</v>
      </c>
      <c r="C2370" s="865" t="s">
        <v>591</v>
      </c>
      <c r="D2370" s="865" t="s">
        <v>633</v>
      </c>
      <c r="E2370" s="866">
        <v>2019.0</v>
      </c>
      <c r="F2370" s="865" t="s">
        <v>593</v>
      </c>
      <c r="G2370" s="865" t="s">
        <v>70</v>
      </c>
      <c r="H2370" s="867">
        <v>935540.6967</v>
      </c>
      <c r="I2370" s="867">
        <v>1037743.592</v>
      </c>
      <c r="J2370" s="868">
        <v>829985.3074</v>
      </c>
      <c r="K2370" s="50"/>
      <c r="L2370" s="869" t="s">
        <v>692</v>
      </c>
      <c r="M2370" s="865" t="s">
        <v>591</v>
      </c>
      <c r="N2370" s="865" t="s">
        <v>633</v>
      </c>
      <c r="O2370" s="866">
        <v>2004.0</v>
      </c>
      <c r="P2370" s="865" t="s">
        <v>593</v>
      </c>
      <c r="Q2370" s="865" t="s">
        <v>70</v>
      </c>
      <c r="R2370" s="867">
        <v>576320.224</v>
      </c>
      <c r="S2370" s="867">
        <v>621916.2942</v>
      </c>
      <c r="T2370" s="868">
        <v>526776.1244</v>
      </c>
      <c r="AN2370" s="882"/>
      <c r="AO2370" s="882"/>
      <c r="AP2370" s="882"/>
      <c r="AY2370" s="882"/>
      <c r="AZ2370" s="882"/>
      <c r="BA2370" s="882"/>
      <c r="BJ2370" s="882"/>
      <c r="BK2370" s="882"/>
      <c r="BL2370" s="882"/>
      <c r="BU2370" s="882"/>
      <c r="BV2370" s="882"/>
      <c r="BW2370" s="882"/>
      <c r="CI2370" s="530"/>
    </row>
    <row r="2371">
      <c r="A2371" s="857"/>
      <c r="B2371" s="865" t="s">
        <v>692</v>
      </c>
      <c r="C2371" s="865" t="s">
        <v>591</v>
      </c>
      <c r="D2371" s="865" t="s">
        <v>635</v>
      </c>
      <c r="E2371" s="866">
        <v>2019.0</v>
      </c>
      <c r="F2371" s="865" t="s">
        <v>593</v>
      </c>
      <c r="G2371" s="865" t="s">
        <v>70</v>
      </c>
      <c r="H2371" s="867">
        <v>754909.4957</v>
      </c>
      <c r="I2371" s="867">
        <v>837379.3833</v>
      </c>
      <c r="J2371" s="868">
        <v>669734.4028</v>
      </c>
      <c r="K2371" s="50"/>
      <c r="L2371" s="869" t="s">
        <v>692</v>
      </c>
      <c r="M2371" s="865" t="s">
        <v>591</v>
      </c>
      <c r="N2371" s="865" t="s">
        <v>635</v>
      </c>
      <c r="O2371" s="866">
        <v>2004.0</v>
      </c>
      <c r="P2371" s="865" t="s">
        <v>593</v>
      </c>
      <c r="Q2371" s="865" t="s">
        <v>70</v>
      </c>
      <c r="R2371" s="867">
        <v>444872.978</v>
      </c>
      <c r="S2371" s="867">
        <v>480069.4863</v>
      </c>
      <c r="T2371" s="868">
        <v>406628.9078</v>
      </c>
      <c r="AN2371" s="882"/>
      <c r="AO2371" s="882"/>
      <c r="AP2371" s="882"/>
      <c r="AY2371" s="882"/>
      <c r="AZ2371" s="882"/>
      <c r="BA2371" s="882"/>
      <c r="BJ2371" s="882"/>
      <c r="BK2371" s="882"/>
      <c r="BL2371" s="882"/>
      <c r="BU2371" s="882"/>
      <c r="BV2371" s="882"/>
      <c r="BW2371" s="882"/>
      <c r="CI2371" s="530"/>
    </row>
    <row r="2372">
      <c r="A2372" s="857"/>
      <c r="B2372" s="865" t="s">
        <v>692</v>
      </c>
      <c r="C2372" s="865" t="s">
        <v>591</v>
      </c>
      <c r="D2372" s="865" t="s">
        <v>637</v>
      </c>
      <c r="E2372" s="866">
        <v>2019.0</v>
      </c>
      <c r="F2372" s="865" t="s">
        <v>593</v>
      </c>
      <c r="G2372" s="865" t="s">
        <v>70</v>
      </c>
      <c r="H2372" s="867">
        <v>565247.4571</v>
      </c>
      <c r="I2372" s="867">
        <v>626997.7656</v>
      </c>
      <c r="J2372" s="868">
        <v>501471.594</v>
      </c>
      <c r="K2372" s="50"/>
      <c r="L2372" s="869" t="s">
        <v>692</v>
      </c>
      <c r="M2372" s="865" t="s">
        <v>591</v>
      </c>
      <c r="N2372" s="865" t="s">
        <v>637</v>
      </c>
      <c r="O2372" s="866">
        <v>2004.0</v>
      </c>
      <c r="P2372" s="865" t="s">
        <v>593</v>
      </c>
      <c r="Q2372" s="865" t="s">
        <v>70</v>
      </c>
      <c r="R2372" s="867">
        <v>373440.4092</v>
      </c>
      <c r="S2372" s="867">
        <v>402985.4683</v>
      </c>
      <c r="T2372" s="868">
        <v>341337.1304</v>
      </c>
      <c r="AN2372" s="882"/>
      <c r="AO2372" s="882"/>
      <c r="AP2372" s="882"/>
      <c r="AY2372" s="882"/>
      <c r="AZ2372" s="882"/>
      <c r="BA2372" s="882"/>
      <c r="BJ2372" s="882"/>
      <c r="BK2372" s="882"/>
      <c r="BL2372" s="882"/>
      <c r="BU2372" s="882"/>
      <c r="BV2372" s="882"/>
      <c r="BW2372" s="882"/>
      <c r="CI2372" s="530"/>
    </row>
    <row r="2373">
      <c r="A2373" s="857"/>
      <c r="B2373" s="865" t="s">
        <v>692</v>
      </c>
      <c r="C2373" s="865" t="s">
        <v>591</v>
      </c>
      <c r="D2373" s="865" t="s">
        <v>639</v>
      </c>
      <c r="E2373" s="866">
        <v>2019.0</v>
      </c>
      <c r="F2373" s="865" t="s">
        <v>593</v>
      </c>
      <c r="G2373" s="865" t="s">
        <v>70</v>
      </c>
      <c r="H2373" s="867">
        <v>5511504.123</v>
      </c>
      <c r="I2373" s="867">
        <v>6113718.183</v>
      </c>
      <c r="J2373" s="868">
        <v>4889158.199</v>
      </c>
      <c r="K2373" s="50"/>
      <c r="L2373" s="869" t="s">
        <v>692</v>
      </c>
      <c r="M2373" s="865" t="s">
        <v>591</v>
      </c>
      <c r="N2373" s="865" t="s">
        <v>639</v>
      </c>
      <c r="O2373" s="866">
        <v>2004.0</v>
      </c>
      <c r="P2373" s="865" t="s">
        <v>593</v>
      </c>
      <c r="Q2373" s="865" t="s">
        <v>70</v>
      </c>
      <c r="R2373" s="867">
        <v>4703077.853</v>
      </c>
      <c r="S2373" s="867">
        <v>5075124.898</v>
      </c>
      <c r="T2373" s="868">
        <v>4298731.075</v>
      </c>
      <c r="AN2373" s="882"/>
      <c r="AO2373" s="882"/>
      <c r="AP2373" s="882"/>
      <c r="AY2373" s="882"/>
      <c r="AZ2373" s="882"/>
      <c r="BA2373" s="882"/>
      <c r="BJ2373" s="882"/>
      <c r="BK2373" s="882"/>
      <c r="BL2373" s="882"/>
      <c r="BU2373" s="882"/>
      <c r="BV2373" s="882"/>
      <c r="BW2373" s="882"/>
      <c r="CI2373" s="530"/>
    </row>
    <row r="2374">
      <c r="A2374" s="857"/>
      <c r="B2374" s="865" t="s">
        <v>692</v>
      </c>
      <c r="C2374" s="865" t="s">
        <v>591</v>
      </c>
      <c r="D2374" s="865" t="s">
        <v>641</v>
      </c>
      <c r="E2374" s="866">
        <v>2019.0</v>
      </c>
      <c r="F2374" s="865" t="s">
        <v>593</v>
      </c>
      <c r="G2374" s="865" t="s">
        <v>70</v>
      </c>
      <c r="H2374" s="867">
        <v>2012068.691</v>
      </c>
      <c r="I2374" s="867">
        <v>2231876.602</v>
      </c>
      <c r="J2374" s="868">
        <v>1785050.567</v>
      </c>
      <c r="K2374" s="50"/>
      <c r="L2374" s="869" t="s">
        <v>692</v>
      </c>
      <c r="M2374" s="865" t="s">
        <v>591</v>
      </c>
      <c r="N2374" s="865" t="s">
        <v>641</v>
      </c>
      <c r="O2374" s="866">
        <v>2004.0</v>
      </c>
      <c r="P2374" s="865" t="s">
        <v>593</v>
      </c>
      <c r="Q2374" s="865" t="s">
        <v>70</v>
      </c>
      <c r="R2374" s="867">
        <v>1661275.154</v>
      </c>
      <c r="S2374" s="867">
        <v>1792708.367</v>
      </c>
      <c r="T2374" s="868">
        <v>1518461.527</v>
      </c>
      <c r="AN2374" s="882"/>
      <c r="AO2374" s="882"/>
      <c r="AP2374" s="882"/>
      <c r="AY2374" s="882"/>
      <c r="AZ2374" s="882"/>
      <c r="BA2374" s="882"/>
      <c r="BJ2374" s="882"/>
      <c r="BK2374" s="882"/>
      <c r="BL2374" s="882"/>
      <c r="BU2374" s="882"/>
      <c r="BV2374" s="882"/>
      <c r="BW2374" s="882"/>
      <c r="CI2374" s="530"/>
    </row>
    <row r="2375">
      <c r="A2375" s="857"/>
      <c r="B2375" s="865" t="s">
        <v>692</v>
      </c>
      <c r="C2375" s="865" t="s">
        <v>591</v>
      </c>
      <c r="D2375" s="865" t="s">
        <v>643</v>
      </c>
      <c r="E2375" s="866">
        <v>2019.0</v>
      </c>
      <c r="F2375" s="865" t="s">
        <v>593</v>
      </c>
      <c r="G2375" s="865" t="s">
        <v>70</v>
      </c>
      <c r="H2375" s="867">
        <v>408631.9917</v>
      </c>
      <c r="I2375" s="867">
        <v>453272.8852</v>
      </c>
      <c r="J2375" s="868">
        <v>362526.7724</v>
      </c>
      <c r="K2375" s="50"/>
      <c r="L2375" s="869" t="s">
        <v>692</v>
      </c>
      <c r="M2375" s="865" t="s">
        <v>591</v>
      </c>
      <c r="N2375" s="865" t="s">
        <v>643</v>
      </c>
      <c r="O2375" s="866">
        <v>2004.0</v>
      </c>
      <c r="P2375" s="865" t="s">
        <v>593</v>
      </c>
      <c r="Q2375" s="865" t="s">
        <v>70</v>
      </c>
      <c r="R2375" s="867">
        <v>317909.5675</v>
      </c>
      <c r="S2375" s="867">
        <v>343061.2564</v>
      </c>
      <c r="T2375" s="868">
        <v>290580.068</v>
      </c>
      <c r="AN2375" s="882"/>
      <c r="AO2375" s="882"/>
      <c r="AP2375" s="882"/>
      <c r="AY2375" s="882"/>
      <c r="AZ2375" s="882"/>
      <c r="BA2375" s="882"/>
      <c r="BJ2375" s="882"/>
      <c r="BK2375" s="882"/>
      <c r="BL2375" s="882"/>
      <c r="BU2375" s="882"/>
      <c r="BV2375" s="882"/>
      <c r="BW2375" s="882"/>
      <c r="CI2375" s="530"/>
    </row>
    <row r="2376">
      <c r="A2376" s="857"/>
      <c r="B2376" s="865" t="s">
        <v>692</v>
      </c>
      <c r="C2376" s="865" t="s">
        <v>591</v>
      </c>
      <c r="D2376" s="865" t="s">
        <v>645</v>
      </c>
      <c r="E2376" s="866">
        <v>2019.0</v>
      </c>
      <c r="F2376" s="865" t="s">
        <v>593</v>
      </c>
      <c r="G2376" s="865" t="s">
        <v>70</v>
      </c>
      <c r="H2376" s="867">
        <v>1233254.183</v>
      </c>
      <c r="I2376" s="867">
        <v>1367980.709</v>
      </c>
      <c r="J2376" s="868">
        <v>1094108.311</v>
      </c>
      <c r="K2376" s="50"/>
      <c r="L2376" s="869" t="s">
        <v>692</v>
      </c>
      <c r="M2376" s="865" t="s">
        <v>591</v>
      </c>
      <c r="N2376" s="865" t="s">
        <v>645</v>
      </c>
      <c r="O2376" s="866">
        <v>2004.0</v>
      </c>
      <c r="P2376" s="865" t="s">
        <v>593</v>
      </c>
      <c r="Q2376" s="865" t="s">
        <v>70</v>
      </c>
      <c r="R2376" s="867">
        <v>895230.7917</v>
      </c>
      <c r="S2376" s="867">
        <v>966057.7458</v>
      </c>
      <c r="T2376" s="868">
        <v>818271.1404</v>
      </c>
      <c r="AN2376" s="882"/>
      <c r="AO2376" s="882"/>
      <c r="AP2376" s="882"/>
      <c r="AY2376" s="882"/>
      <c r="AZ2376" s="882"/>
      <c r="BA2376" s="882"/>
      <c r="BJ2376" s="882"/>
      <c r="BK2376" s="882"/>
      <c r="BL2376" s="882"/>
      <c r="BU2376" s="882"/>
      <c r="BV2376" s="882"/>
      <c r="BW2376" s="882"/>
      <c r="CI2376" s="530"/>
    </row>
    <row r="2377">
      <c r="A2377" s="857"/>
      <c r="B2377" s="865" t="s">
        <v>692</v>
      </c>
      <c r="C2377" s="865" t="s">
        <v>591</v>
      </c>
      <c r="D2377" s="865" t="s">
        <v>604</v>
      </c>
      <c r="E2377" s="866">
        <v>2019.0</v>
      </c>
      <c r="F2377" s="865" t="s">
        <v>593</v>
      </c>
      <c r="G2377" s="865" t="s">
        <v>70</v>
      </c>
      <c r="H2377" s="867">
        <v>3856543.798</v>
      </c>
      <c r="I2377" s="867">
        <v>4277850.902</v>
      </c>
      <c r="J2377" s="868">
        <v>3421416.835</v>
      </c>
      <c r="K2377" s="50"/>
      <c r="L2377" s="869" t="s">
        <v>692</v>
      </c>
      <c r="M2377" s="865" t="s">
        <v>591</v>
      </c>
      <c r="N2377" s="865" t="s">
        <v>604</v>
      </c>
      <c r="O2377" s="866">
        <v>2004.0</v>
      </c>
      <c r="P2377" s="865" t="s">
        <v>593</v>
      </c>
      <c r="Q2377" s="865" t="s">
        <v>70</v>
      </c>
      <c r="R2377" s="867">
        <v>3221603.907</v>
      </c>
      <c r="S2377" s="867">
        <v>3476483.871</v>
      </c>
      <c r="T2377" s="868">
        <v>2944654.638</v>
      </c>
      <c r="AN2377" s="882"/>
      <c r="AO2377" s="882"/>
      <c r="AP2377" s="882"/>
      <c r="AY2377" s="882"/>
      <c r="AZ2377" s="882"/>
      <c r="BA2377" s="882"/>
      <c r="BJ2377" s="882"/>
      <c r="BK2377" s="882"/>
      <c r="BL2377" s="882"/>
      <c r="BU2377" s="882"/>
      <c r="BV2377" s="882"/>
      <c r="BW2377" s="882"/>
      <c r="CI2377" s="530"/>
    </row>
    <row r="2378">
      <c r="A2378" s="857"/>
      <c r="B2378" s="865" t="s">
        <v>692</v>
      </c>
      <c r="C2378" s="865" t="s">
        <v>591</v>
      </c>
      <c r="D2378" s="865" t="s">
        <v>647</v>
      </c>
      <c r="E2378" s="866">
        <v>2019.0</v>
      </c>
      <c r="F2378" s="865" t="s">
        <v>593</v>
      </c>
      <c r="G2378" s="865" t="s">
        <v>70</v>
      </c>
      <c r="H2378" s="867">
        <v>1114079.228</v>
      </c>
      <c r="I2378" s="867">
        <v>1235809.006</v>
      </c>
      <c r="J2378" s="868">
        <v>988280.0541</v>
      </c>
      <c r="K2378" s="50"/>
      <c r="L2378" s="869" t="s">
        <v>692</v>
      </c>
      <c r="M2378" s="865" t="s">
        <v>591</v>
      </c>
      <c r="N2378" s="865" t="s">
        <v>647</v>
      </c>
      <c r="O2378" s="866">
        <v>2004.0</v>
      </c>
      <c r="P2378" s="865" t="s">
        <v>593</v>
      </c>
      <c r="Q2378" s="865" t="s">
        <v>70</v>
      </c>
      <c r="R2378" s="867">
        <v>824440.3349</v>
      </c>
      <c r="S2378" s="867">
        <v>889659.453</v>
      </c>
      <c r="T2378" s="868">
        <v>753559.1368</v>
      </c>
      <c r="AN2378" s="882"/>
      <c r="AO2378" s="882"/>
      <c r="AP2378" s="882"/>
      <c r="AY2378" s="882"/>
      <c r="AZ2378" s="882"/>
      <c r="BA2378" s="882"/>
      <c r="BJ2378" s="882"/>
      <c r="BK2378" s="882"/>
      <c r="BL2378" s="882"/>
      <c r="BU2378" s="882"/>
      <c r="BV2378" s="882"/>
      <c r="BW2378" s="882"/>
      <c r="CI2378" s="530"/>
    </row>
    <row r="2379">
      <c r="A2379" s="857"/>
      <c r="B2379" s="865" t="s">
        <v>692</v>
      </c>
      <c r="C2379" s="865" t="s">
        <v>591</v>
      </c>
      <c r="D2379" s="865" t="s">
        <v>649</v>
      </c>
      <c r="E2379" s="866">
        <v>2019.0</v>
      </c>
      <c r="F2379" s="865" t="s">
        <v>593</v>
      </c>
      <c r="G2379" s="865" t="s">
        <v>70</v>
      </c>
      <c r="H2379" s="867">
        <v>324932.3684</v>
      </c>
      <c r="I2379" s="867">
        <v>360429.5188</v>
      </c>
      <c r="J2379" s="868">
        <v>288270.8284</v>
      </c>
      <c r="K2379" s="50"/>
      <c r="L2379" s="869" t="s">
        <v>692</v>
      </c>
      <c r="M2379" s="865" t="s">
        <v>591</v>
      </c>
      <c r="N2379" s="865" t="s">
        <v>649</v>
      </c>
      <c r="O2379" s="866">
        <v>2004.0</v>
      </c>
      <c r="P2379" s="865" t="s">
        <v>593</v>
      </c>
      <c r="Q2379" s="865" t="s">
        <v>70</v>
      </c>
      <c r="R2379" s="867">
        <v>240258.6385</v>
      </c>
      <c r="S2379" s="867">
        <v>259266.9073</v>
      </c>
      <c r="T2379" s="868">
        <v>219604.4997</v>
      </c>
      <c r="AN2379" s="882"/>
      <c r="AO2379" s="882"/>
      <c r="AP2379" s="882"/>
      <c r="AY2379" s="882"/>
      <c r="AZ2379" s="882"/>
      <c r="BA2379" s="882"/>
      <c r="BJ2379" s="882"/>
      <c r="BK2379" s="882"/>
      <c r="BL2379" s="882"/>
      <c r="BU2379" s="882"/>
      <c r="BV2379" s="882"/>
      <c r="BW2379" s="882"/>
      <c r="CI2379" s="530"/>
    </row>
    <row r="2380">
      <c r="A2380" s="857"/>
      <c r="B2380" s="865" t="s">
        <v>692</v>
      </c>
      <c r="C2380" s="865" t="s">
        <v>591</v>
      </c>
      <c r="D2380" s="865" t="s">
        <v>651</v>
      </c>
      <c r="E2380" s="866">
        <v>2019.0</v>
      </c>
      <c r="F2380" s="865" t="s">
        <v>593</v>
      </c>
      <c r="G2380" s="865" t="s">
        <v>70</v>
      </c>
      <c r="H2380" s="867">
        <v>277130.5515</v>
      </c>
      <c r="I2380" s="867">
        <v>307405.6051</v>
      </c>
      <c r="J2380" s="868">
        <v>245862.4054</v>
      </c>
      <c r="K2380" s="50"/>
      <c r="L2380" s="869" t="s">
        <v>692</v>
      </c>
      <c r="M2380" s="865" t="s">
        <v>591</v>
      </c>
      <c r="N2380" s="865" t="s">
        <v>651</v>
      </c>
      <c r="O2380" s="866">
        <v>2004.0</v>
      </c>
      <c r="P2380" s="865" t="s">
        <v>593</v>
      </c>
      <c r="Q2380" s="865" t="s">
        <v>70</v>
      </c>
      <c r="R2380" s="867">
        <v>186334.9524</v>
      </c>
      <c r="S2380" s="867">
        <v>201077.0024</v>
      </c>
      <c r="T2380" s="868">
        <v>170316.4317</v>
      </c>
      <c r="AN2380" s="882"/>
      <c r="AO2380" s="882"/>
      <c r="AP2380" s="882"/>
      <c r="AY2380" s="882"/>
      <c r="AZ2380" s="882"/>
      <c r="BA2380" s="882"/>
      <c r="BJ2380" s="882"/>
      <c r="BK2380" s="882"/>
      <c r="BL2380" s="882"/>
      <c r="BU2380" s="882"/>
      <c r="BV2380" s="882"/>
      <c r="BW2380" s="882"/>
      <c r="CI2380" s="530"/>
    </row>
    <row r="2381">
      <c r="A2381" s="857"/>
      <c r="B2381" s="865" t="s">
        <v>692</v>
      </c>
      <c r="C2381" s="865" t="s">
        <v>591</v>
      </c>
      <c r="D2381" s="865" t="s">
        <v>653</v>
      </c>
      <c r="E2381" s="866">
        <v>2019.0</v>
      </c>
      <c r="F2381" s="865" t="s">
        <v>593</v>
      </c>
      <c r="G2381" s="865" t="s">
        <v>70</v>
      </c>
      <c r="H2381" s="867">
        <v>222559.271</v>
      </c>
      <c r="I2381" s="867">
        <v>246872.6995</v>
      </c>
      <c r="J2381" s="868">
        <v>197448.3051</v>
      </c>
      <c r="K2381" s="50"/>
      <c r="L2381" s="869" t="s">
        <v>692</v>
      </c>
      <c r="M2381" s="865" t="s">
        <v>591</v>
      </c>
      <c r="N2381" s="865" t="s">
        <v>653</v>
      </c>
      <c r="O2381" s="866">
        <v>2004.0</v>
      </c>
      <c r="P2381" s="865" t="s">
        <v>593</v>
      </c>
      <c r="Q2381" s="865" t="s">
        <v>70</v>
      </c>
      <c r="R2381" s="867">
        <v>150727.6333</v>
      </c>
      <c r="S2381" s="867">
        <v>162652.5797</v>
      </c>
      <c r="T2381" s="868">
        <v>137770.141</v>
      </c>
      <c r="AN2381" s="882"/>
      <c r="AO2381" s="882"/>
      <c r="AP2381" s="882"/>
      <c r="AY2381" s="882"/>
      <c r="AZ2381" s="882"/>
      <c r="BA2381" s="882"/>
      <c r="BJ2381" s="882"/>
      <c r="BK2381" s="882"/>
      <c r="BL2381" s="882"/>
      <c r="BU2381" s="882"/>
      <c r="BV2381" s="882"/>
      <c r="BW2381" s="882"/>
      <c r="CI2381" s="530"/>
    </row>
    <row r="2382">
      <c r="A2382" s="857"/>
      <c r="B2382" s="865" t="s">
        <v>692</v>
      </c>
      <c r="C2382" s="865" t="s">
        <v>591</v>
      </c>
      <c r="D2382" s="865" t="s">
        <v>655</v>
      </c>
      <c r="E2382" s="866">
        <v>2019.0</v>
      </c>
      <c r="F2382" s="865" t="s">
        <v>593</v>
      </c>
      <c r="G2382" s="865" t="s">
        <v>70</v>
      </c>
      <c r="H2382" s="867">
        <v>364956.8206</v>
      </c>
      <c r="I2382" s="867">
        <v>404833.7986</v>
      </c>
      <c r="J2382" s="868">
        <v>323746.7653</v>
      </c>
      <c r="K2382" s="50"/>
      <c r="L2382" s="869" t="s">
        <v>692</v>
      </c>
      <c r="M2382" s="865" t="s">
        <v>591</v>
      </c>
      <c r="N2382" s="865" t="s">
        <v>655</v>
      </c>
      <c r="O2382" s="866">
        <v>2004.0</v>
      </c>
      <c r="P2382" s="865" t="s">
        <v>593</v>
      </c>
      <c r="Q2382" s="865" t="s">
        <v>70</v>
      </c>
      <c r="R2382" s="867">
        <v>257933.0857</v>
      </c>
      <c r="S2382" s="867">
        <v>278337.4348</v>
      </c>
      <c r="T2382" s="868">
        <v>235757.3073</v>
      </c>
      <c r="AN2382" s="882"/>
      <c r="AO2382" s="882"/>
      <c r="AP2382" s="882"/>
      <c r="AY2382" s="882"/>
      <c r="AZ2382" s="882"/>
      <c r="BA2382" s="882"/>
      <c r="BJ2382" s="882"/>
      <c r="BK2382" s="882"/>
      <c r="BL2382" s="882"/>
      <c r="BU2382" s="882"/>
      <c r="BV2382" s="882"/>
      <c r="BW2382" s="882"/>
      <c r="CI2382" s="530"/>
    </row>
    <row r="2383">
      <c r="A2383" s="857"/>
      <c r="B2383" s="865" t="s">
        <v>692</v>
      </c>
      <c r="C2383" s="865" t="s">
        <v>591</v>
      </c>
      <c r="D2383" s="865" t="s">
        <v>657</v>
      </c>
      <c r="E2383" s="866">
        <v>2019.0</v>
      </c>
      <c r="F2383" s="865" t="s">
        <v>593</v>
      </c>
      <c r="G2383" s="865" t="s">
        <v>70</v>
      </c>
      <c r="H2383" s="867">
        <v>142393.1699</v>
      </c>
      <c r="I2383" s="867">
        <v>157948.874</v>
      </c>
      <c r="J2383" s="868">
        <v>126327.2024</v>
      </c>
      <c r="K2383" s="50"/>
      <c r="L2383" s="869" t="s">
        <v>692</v>
      </c>
      <c r="M2383" s="865" t="s">
        <v>591</v>
      </c>
      <c r="N2383" s="865" t="s">
        <v>657</v>
      </c>
      <c r="O2383" s="866">
        <v>2004.0</v>
      </c>
      <c r="P2383" s="865" t="s">
        <v>593</v>
      </c>
      <c r="Q2383" s="865" t="s">
        <v>70</v>
      </c>
      <c r="R2383" s="867">
        <v>107203.0374</v>
      </c>
      <c r="S2383" s="867">
        <v>115684.4979</v>
      </c>
      <c r="T2383" s="868">
        <v>97987.19219</v>
      </c>
      <c r="AN2383" s="882"/>
      <c r="AO2383" s="882"/>
      <c r="AP2383" s="882"/>
      <c r="AY2383" s="882"/>
      <c r="AZ2383" s="882"/>
      <c r="BA2383" s="882"/>
      <c r="BJ2383" s="882"/>
      <c r="BK2383" s="882"/>
      <c r="BL2383" s="882"/>
      <c r="BU2383" s="882"/>
      <c r="BV2383" s="882"/>
      <c r="BW2383" s="882"/>
      <c r="CI2383" s="530"/>
    </row>
    <row r="2384">
      <c r="A2384" s="857"/>
      <c r="B2384" s="865" t="s">
        <v>692</v>
      </c>
      <c r="C2384" s="865" t="s">
        <v>591</v>
      </c>
      <c r="D2384" s="865" t="s">
        <v>659</v>
      </c>
      <c r="E2384" s="866">
        <v>2019.0</v>
      </c>
      <c r="F2384" s="865" t="s">
        <v>593</v>
      </c>
      <c r="G2384" s="865" t="s">
        <v>70</v>
      </c>
      <c r="H2384" s="867">
        <v>289443.6675</v>
      </c>
      <c r="I2384" s="867">
        <v>321063.8641</v>
      </c>
      <c r="J2384" s="868">
        <v>256786.2544</v>
      </c>
      <c r="K2384" s="50"/>
      <c r="L2384" s="869" t="s">
        <v>692</v>
      </c>
      <c r="M2384" s="865" t="s">
        <v>591</v>
      </c>
      <c r="N2384" s="865" t="s">
        <v>659</v>
      </c>
      <c r="O2384" s="866">
        <v>2004.0</v>
      </c>
      <c r="P2384" s="865" t="s">
        <v>593</v>
      </c>
      <c r="Q2384" s="865" t="s">
        <v>70</v>
      </c>
      <c r="R2384" s="867">
        <v>247111.3916</v>
      </c>
      <c r="S2384" s="867">
        <v>266661.8219</v>
      </c>
      <c r="T2384" s="868">
        <v>225868.1472</v>
      </c>
      <c r="AN2384" s="882"/>
      <c r="AO2384" s="882"/>
      <c r="AP2384" s="882"/>
      <c r="AY2384" s="882"/>
      <c r="AZ2384" s="882"/>
      <c r="BA2384" s="882"/>
      <c r="BJ2384" s="882"/>
      <c r="BK2384" s="882"/>
      <c r="BL2384" s="882"/>
      <c r="BU2384" s="882"/>
      <c r="BV2384" s="882"/>
      <c r="BW2384" s="882"/>
      <c r="CI2384" s="530"/>
    </row>
    <row r="2385">
      <c r="A2385" s="857"/>
      <c r="B2385" s="865" t="s">
        <v>692</v>
      </c>
      <c r="C2385" s="865" t="s">
        <v>591</v>
      </c>
      <c r="D2385" s="865" t="s">
        <v>661</v>
      </c>
      <c r="E2385" s="866">
        <v>2019.0</v>
      </c>
      <c r="F2385" s="865" t="s">
        <v>593</v>
      </c>
      <c r="G2385" s="865" t="s">
        <v>70</v>
      </c>
      <c r="H2385" s="867">
        <v>147052.2623</v>
      </c>
      <c r="I2385" s="867">
        <v>163119.916</v>
      </c>
      <c r="J2385" s="868">
        <v>130447.4709</v>
      </c>
      <c r="K2385" s="50"/>
      <c r="L2385" s="869" t="s">
        <v>692</v>
      </c>
      <c r="M2385" s="865" t="s">
        <v>591</v>
      </c>
      <c r="N2385" s="865" t="s">
        <v>661</v>
      </c>
      <c r="O2385" s="866">
        <v>2004.0</v>
      </c>
      <c r="P2385" s="865" t="s">
        <v>593</v>
      </c>
      <c r="Q2385" s="865" t="s">
        <v>70</v>
      </c>
      <c r="R2385" s="867">
        <v>139909.6642</v>
      </c>
      <c r="S2385" s="867">
        <v>150977.5178</v>
      </c>
      <c r="T2385" s="868">
        <v>127880.9409</v>
      </c>
      <c r="AN2385" s="882"/>
      <c r="AO2385" s="882"/>
      <c r="AP2385" s="882"/>
      <c r="AY2385" s="882"/>
      <c r="AZ2385" s="882"/>
      <c r="BA2385" s="882"/>
      <c r="BJ2385" s="882"/>
      <c r="BK2385" s="882"/>
      <c r="BL2385" s="882"/>
      <c r="BU2385" s="882"/>
      <c r="BV2385" s="882"/>
      <c r="BW2385" s="882"/>
      <c r="CI2385" s="530"/>
    </row>
    <row r="2386">
      <c r="A2386" s="857"/>
      <c r="B2386" s="865" t="s">
        <v>692</v>
      </c>
      <c r="C2386" s="865" t="s">
        <v>591</v>
      </c>
      <c r="D2386" s="865" t="s">
        <v>663</v>
      </c>
      <c r="E2386" s="866">
        <v>2019.0</v>
      </c>
      <c r="F2386" s="865" t="s">
        <v>593</v>
      </c>
      <c r="G2386" s="865" t="s">
        <v>70</v>
      </c>
      <c r="H2386" s="867">
        <v>81301.3774</v>
      </c>
      <c r="I2386" s="867">
        <v>90183.1248</v>
      </c>
      <c r="J2386" s="868">
        <v>72128.2879</v>
      </c>
      <c r="K2386" s="50"/>
      <c r="L2386" s="869" t="s">
        <v>692</v>
      </c>
      <c r="M2386" s="865" t="s">
        <v>591</v>
      </c>
      <c r="N2386" s="865" t="s">
        <v>663</v>
      </c>
      <c r="O2386" s="866">
        <v>2004.0</v>
      </c>
      <c r="P2386" s="865" t="s">
        <v>593</v>
      </c>
      <c r="Q2386" s="865" t="s">
        <v>70</v>
      </c>
      <c r="R2386" s="867">
        <v>76739.75634</v>
      </c>
      <c r="S2386" s="867">
        <v>82811.08817</v>
      </c>
      <c r="T2386" s="868">
        <v>70142.72578</v>
      </c>
      <c r="AN2386" s="882"/>
      <c r="AO2386" s="882"/>
      <c r="AP2386" s="882"/>
      <c r="AY2386" s="882"/>
      <c r="AZ2386" s="882"/>
      <c r="BA2386" s="882"/>
      <c r="BJ2386" s="882"/>
      <c r="BK2386" s="882"/>
      <c r="BL2386" s="882"/>
      <c r="BU2386" s="882"/>
      <c r="BV2386" s="882"/>
      <c r="BW2386" s="882"/>
      <c r="CI2386" s="530"/>
    </row>
    <row r="2387">
      <c r="A2387" s="857"/>
      <c r="B2387" s="865" t="s">
        <v>692</v>
      </c>
      <c r="C2387" s="865" t="s">
        <v>591</v>
      </c>
      <c r="D2387" s="865" t="s">
        <v>665</v>
      </c>
      <c r="E2387" s="866">
        <v>2019.0</v>
      </c>
      <c r="F2387" s="865" t="s">
        <v>593</v>
      </c>
      <c r="G2387" s="865" t="s">
        <v>70</v>
      </c>
      <c r="H2387" s="867">
        <v>123399.8798</v>
      </c>
      <c r="I2387" s="867">
        <v>136883.1579</v>
      </c>
      <c r="J2387" s="868">
        <v>109465.8592</v>
      </c>
      <c r="K2387" s="50"/>
      <c r="L2387" s="869" t="s">
        <v>692</v>
      </c>
      <c r="M2387" s="865" t="s">
        <v>591</v>
      </c>
      <c r="N2387" s="865" t="s">
        <v>665</v>
      </c>
      <c r="O2387" s="866">
        <v>2004.0</v>
      </c>
      <c r="P2387" s="865" t="s">
        <v>593</v>
      </c>
      <c r="Q2387" s="865" t="s">
        <v>70</v>
      </c>
      <c r="R2387" s="867">
        <v>117648.0244</v>
      </c>
      <c r="S2387" s="867">
        <v>126954.8233</v>
      </c>
      <c r="T2387" s="868">
        <v>107533.244</v>
      </c>
      <c r="AN2387" s="882"/>
      <c r="AO2387" s="882"/>
      <c r="AP2387" s="882"/>
      <c r="AY2387" s="882"/>
      <c r="AZ2387" s="882"/>
      <c r="BA2387" s="882"/>
      <c r="BJ2387" s="882"/>
      <c r="BK2387" s="882"/>
      <c r="BL2387" s="882"/>
      <c r="BU2387" s="882"/>
      <c r="BV2387" s="882"/>
      <c r="BW2387" s="882"/>
      <c r="CI2387" s="530"/>
    </row>
    <row r="2388">
      <c r="A2388" s="857"/>
      <c r="B2388" s="865" t="s">
        <v>692</v>
      </c>
      <c r="C2388" s="865" t="s">
        <v>591</v>
      </c>
      <c r="D2388" s="865" t="s">
        <v>667</v>
      </c>
      <c r="E2388" s="866">
        <v>2019.0</v>
      </c>
      <c r="F2388" s="865" t="s">
        <v>593</v>
      </c>
      <c r="G2388" s="865" t="s">
        <v>70</v>
      </c>
      <c r="H2388" s="867">
        <v>65749.12016</v>
      </c>
      <c r="I2388" s="867">
        <v>72931.86535</v>
      </c>
      <c r="J2388" s="868">
        <v>58330.76412</v>
      </c>
      <c r="K2388" s="50"/>
      <c r="L2388" s="869" t="s">
        <v>692</v>
      </c>
      <c r="M2388" s="865" t="s">
        <v>591</v>
      </c>
      <c r="N2388" s="865" t="s">
        <v>667</v>
      </c>
      <c r="O2388" s="866">
        <v>2004.0</v>
      </c>
      <c r="P2388" s="865" t="s">
        <v>593</v>
      </c>
      <c r="Q2388" s="865" t="s">
        <v>70</v>
      </c>
      <c r="R2388" s="867">
        <v>63168.59791</v>
      </c>
      <c r="S2388" s="867">
        <v>68166.23586</v>
      </c>
      <c r="T2388" s="868">
        <v>57738.22921</v>
      </c>
      <c r="AN2388" s="882"/>
      <c r="AO2388" s="882"/>
      <c r="AP2388" s="882"/>
      <c r="AY2388" s="882"/>
      <c r="AZ2388" s="882"/>
      <c r="BA2388" s="882"/>
      <c r="BJ2388" s="882"/>
      <c r="BK2388" s="882"/>
      <c r="BL2388" s="882"/>
      <c r="BU2388" s="882"/>
      <c r="BV2388" s="882"/>
      <c r="BW2388" s="882"/>
      <c r="CI2388" s="530"/>
    </row>
    <row r="2389">
      <c r="A2389" s="857"/>
      <c r="B2389" s="865" t="s">
        <v>692</v>
      </c>
      <c r="C2389" s="865" t="s">
        <v>591</v>
      </c>
      <c r="D2389" s="865" t="s">
        <v>669</v>
      </c>
      <c r="E2389" s="866">
        <v>2019.0</v>
      </c>
      <c r="F2389" s="865" t="s">
        <v>593</v>
      </c>
      <c r="G2389" s="865" t="s">
        <v>70</v>
      </c>
      <c r="H2389" s="867">
        <v>42097.02156</v>
      </c>
      <c r="I2389" s="867">
        <v>46695.89952</v>
      </c>
      <c r="J2389" s="868">
        <v>37347.28965</v>
      </c>
      <c r="K2389" s="50"/>
      <c r="L2389" s="869" t="s">
        <v>692</v>
      </c>
      <c r="M2389" s="865" t="s">
        <v>591</v>
      </c>
      <c r="N2389" s="865" t="s">
        <v>669</v>
      </c>
      <c r="O2389" s="866">
        <v>2004.0</v>
      </c>
      <c r="P2389" s="865" t="s">
        <v>593</v>
      </c>
      <c r="Q2389" s="865" t="s">
        <v>70</v>
      </c>
      <c r="R2389" s="867">
        <v>40907.16656</v>
      </c>
      <c r="S2389" s="867">
        <v>44143.57223</v>
      </c>
      <c r="T2389" s="868">
        <v>37390.53007</v>
      </c>
      <c r="AN2389" s="882"/>
      <c r="AO2389" s="882"/>
      <c r="AP2389" s="882"/>
      <c r="AY2389" s="882"/>
      <c r="AZ2389" s="882"/>
      <c r="BA2389" s="882"/>
      <c r="BJ2389" s="882"/>
      <c r="BK2389" s="882"/>
      <c r="BL2389" s="882"/>
      <c r="BU2389" s="882"/>
      <c r="BV2389" s="882"/>
      <c r="BW2389" s="882"/>
      <c r="CI2389" s="530"/>
    </row>
    <row r="2390">
      <c r="A2390" s="857"/>
      <c r="B2390" s="865" t="s">
        <v>692</v>
      </c>
      <c r="C2390" s="865" t="s">
        <v>591</v>
      </c>
      <c r="D2390" s="865" t="s">
        <v>671</v>
      </c>
      <c r="E2390" s="866">
        <v>2019.0</v>
      </c>
      <c r="F2390" s="865" t="s">
        <v>593</v>
      </c>
      <c r="G2390" s="865" t="s">
        <v>70</v>
      </c>
      <c r="H2390" s="867">
        <v>23652.38244</v>
      </c>
      <c r="I2390" s="867">
        <v>26236.75813</v>
      </c>
      <c r="J2390" s="868">
        <v>20981.61173</v>
      </c>
      <c r="K2390" s="50"/>
      <c r="L2390" s="869" t="s">
        <v>692</v>
      </c>
      <c r="M2390" s="865" t="s">
        <v>591</v>
      </c>
      <c r="N2390" s="865" t="s">
        <v>671</v>
      </c>
      <c r="O2390" s="866">
        <v>2004.0</v>
      </c>
      <c r="P2390" s="865" t="s">
        <v>593</v>
      </c>
      <c r="Q2390" s="865" t="s">
        <v>70</v>
      </c>
      <c r="R2390" s="867">
        <v>22261.63978</v>
      </c>
      <c r="S2390" s="867">
        <v>24022.69446</v>
      </c>
      <c r="T2390" s="868">
        <v>20347.69691</v>
      </c>
      <c r="AN2390" s="882"/>
      <c r="AO2390" s="882"/>
      <c r="AP2390" s="882"/>
      <c r="AY2390" s="882"/>
      <c r="AZ2390" s="882"/>
      <c r="BA2390" s="882"/>
      <c r="BJ2390" s="882"/>
      <c r="BK2390" s="882"/>
      <c r="BL2390" s="882"/>
      <c r="BU2390" s="882"/>
      <c r="BV2390" s="882"/>
      <c r="BW2390" s="882"/>
      <c r="CI2390" s="530"/>
    </row>
    <row r="2391">
      <c r="A2391" s="857"/>
      <c r="B2391" s="865" t="s">
        <v>692</v>
      </c>
      <c r="C2391" s="865" t="s">
        <v>591</v>
      </c>
      <c r="D2391" s="865" t="s">
        <v>673</v>
      </c>
      <c r="E2391" s="866">
        <v>2019.0</v>
      </c>
      <c r="F2391" s="865" t="s">
        <v>593</v>
      </c>
      <c r="G2391" s="865" t="s">
        <v>70</v>
      </c>
      <c r="H2391" s="867">
        <v>16893.27894</v>
      </c>
      <c r="I2391" s="867">
        <v>18738.78072</v>
      </c>
      <c r="J2391" s="868">
        <v>14987.24039</v>
      </c>
      <c r="K2391" s="50"/>
      <c r="L2391" s="869" t="s">
        <v>692</v>
      </c>
      <c r="M2391" s="865" t="s">
        <v>591</v>
      </c>
      <c r="N2391" s="865" t="s">
        <v>673</v>
      </c>
      <c r="O2391" s="866">
        <v>2004.0</v>
      </c>
      <c r="P2391" s="865" t="s">
        <v>593</v>
      </c>
      <c r="Q2391" s="865" t="s">
        <v>70</v>
      </c>
      <c r="R2391" s="867">
        <v>16714.51006</v>
      </c>
      <c r="S2391" s="867">
        <v>18036.89289</v>
      </c>
      <c r="T2391" s="868">
        <v>15277.62598</v>
      </c>
      <c r="AN2391" s="882"/>
      <c r="AO2391" s="882"/>
      <c r="AP2391" s="882"/>
      <c r="AY2391" s="882"/>
      <c r="AZ2391" s="882"/>
      <c r="BA2391" s="882"/>
      <c r="BJ2391" s="882"/>
      <c r="BK2391" s="882"/>
      <c r="BL2391" s="882"/>
      <c r="BU2391" s="882"/>
      <c r="BV2391" s="882"/>
      <c r="BW2391" s="882"/>
      <c r="CI2391" s="530"/>
    </row>
    <row r="2392">
      <c r="A2392" s="857"/>
      <c r="B2392" s="865" t="s">
        <v>692</v>
      </c>
      <c r="C2392" s="865" t="s">
        <v>591</v>
      </c>
      <c r="D2392" s="865" t="s">
        <v>674</v>
      </c>
      <c r="E2392" s="866">
        <v>2019.0</v>
      </c>
      <c r="F2392" s="865" t="s">
        <v>593</v>
      </c>
      <c r="G2392" s="865" t="s">
        <v>70</v>
      </c>
      <c r="H2392" s="867">
        <v>5546.867869</v>
      </c>
      <c r="I2392" s="867">
        <v>6152.833978</v>
      </c>
      <c r="J2392" s="868">
        <v>4921.024654</v>
      </c>
      <c r="K2392" s="50"/>
      <c r="L2392" s="869" t="s">
        <v>692</v>
      </c>
      <c r="M2392" s="865" t="s">
        <v>591</v>
      </c>
      <c r="N2392" s="865" t="s">
        <v>674</v>
      </c>
      <c r="O2392" s="866">
        <v>2004.0</v>
      </c>
      <c r="P2392" s="865" t="s">
        <v>593</v>
      </c>
      <c r="Q2392" s="865" t="s">
        <v>70</v>
      </c>
      <c r="R2392" s="867">
        <v>4453.210509</v>
      </c>
      <c r="S2392" s="867">
        <v>4805.530088</v>
      </c>
      <c r="T2392" s="868">
        <v>4070.384615</v>
      </c>
      <c r="AN2392" s="882"/>
      <c r="AO2392" s="882"/>
      <c r="AP2392" s="882"/>
      <c r="AY2392" s="882"/>
      <c r="AZ2392" s="882"/>
      <c r="BA2392" s="882"/>
      <c r="BJ2392" s="882"/>
      <c r="BK2392" s="882"/>
      <c r="BL2392" s="882"/>
      <c r="BU2392" s="882"/>
      <c r="BV2392" s="882"/>
      <c r="BW2392" s="882"/>
      <c r="CI2392" s="530"/>
    </row>
    <row r="2393">
      <c r="A2393" s="857"/>
      <c r="B2393" s="865" t="s">
        <v>692</v>
      </c>
      <c r="C2393" s="865" t="s">
        <v>591</v>
      </c>
      <c r="D2393" s="865" t="s">
        <v>676</v>
      </c>
      <c r="E2393" s="866">
        <v>2019.0</v>
      </c>
      <c r="F2393" s="865" t="s">
        <v>593</v>
      </c>
      <c r="G2393" s="865" t="s">
        <v>70</v>
      </c>
      <c r="H2393" s="867">
        <v>1211.951783</v>
      </c>
      <c r="I2393" s="867">
        <v>1344.351134</v>
      </c>
      <c r="J2393" s="868">
        <v>1075.209424</v>
      </c>
      <c r="K2393" s="50"/>
      <c r="L2393" s="869" t="s">
        <v>692</v>
      </c>
      <c r="M2393" s="865" t="s">
        <v>591</v>
      </c>
      <c r="N2393" s="865" t="s">
        <v>676</v>
      </c>
      <c r="O2393" s="866">
        <v>2004.0</v>
      </c>
      <c r="P2393" s="865" t="s">
        <v>593</v>
      </c>
      <c r="Q2393" s="865" t="s">
        <v>70</v>
      </c>
      <c r="R2393" s="867">
        <v>1093.710782</v>
      </c>
      <c r="S2393" s="867">
        <v>1180.240651</v>
      </c>
      <c r="T2393" s="868">
        <v>999.6885467</v>
      </c>
      <c r="AN2393" s="882"/>
      <c r="AO2393" s="882"/>
      <c r="AP2393" s="882"/>
      <c r="AY2393" s="882"/>
      <c r="AZ2393" s="882"/>
      <c r="BA2393" s="882"/>
      <c r="BJ2393" s="882"/>
      <c r="BK2393" s="882"/>
      <c r="BL2393" s="882"/>
      <c r="BU2393" s="882"/>
      <c r="BV2393" s="882"/>
      <c r="BW2393" s="882"/>
      <c r="CI2393" s="530"/>
    </row>
    <row r="2394">
      <c r="A2394" s="857"/>
      <c r="B2394" s="865" t="s">
        <v>692</v>
      </c>
      <c r="C2394" s="865" t="s">
        <v>591</v>
      </c>
      <c r="D2394" s="865" t="s">
        <v>678</v>
      </c>
      <c r="E2394" s="866">
        <v>2019.0</v>
      </c>
      <c r="F2394" s="865" t="s">
        <v>593</v>
      </c>
      <c r="G2394" s="865" t="s">
        <v>70</v>
      </c>
      <c r="H2394" s="867">
        <v>1.501085206E7</v>
      </c>
      <c r="I2394" s="867">
        <v>1.665070861E7</v>
      </c>
      <c r="J2394" s="868">
        <v>1.331720438E7</v>
      </c>
      <c r="K2394" s="50"/>
      <c r="L2394" s="869" t="s">
        <v>692</v>
      </c>
      <c r="M2394" s="865" t="s">
        <v>591</v>
      </c>
      <c r="N2394" s="865" t="s">
        <v>678</v>
      </c>
      <c r="O2394" s="866">
        <v>2004.0</v>
      </c>
      <c r="P2394" s="865" t="s">
        <v>593</v>
      </c>
      <c r="Q2394" s="865" t="s">
        <v>70</v>
      </c>
      <c r="R2394" s="867">
        <v>1.228450428E7</v>
      </c>
      <c r="S2394" s="867">
        <v>1.32564034E7</v>
      </c>
      <c r="T2394" s="868">
        <v>1.122845127E7</v>
      </c>
      <c r="AN2394" s="882"/>
      <c r="AO2394" s="882"/>
      <c r="AP2394" s="882"/>
      <c r="AY2394" s="882"/>
      <c r="AZ2394" s="882"/>
      <c r="BA2394" s="882"/>
      <c r="BJ2394" s="882"/>
      <c r="BK2394" s="882"/>
      <c r="BL2394" s="882"/>
      <c r="BU2394" s="882"/>
      <c r="BV2394" s="882"/>
      <c r="BW2394" s="882"/>
      <c r="CI2394" s="530"/>
    </row>
    <row r="2395">
      <c r="A2395" s="857"/>
      <c r="B2395" s="865" t="s">
        <v>692</v>
      </c>
      <c r="C2395" s="865" t="s">
        <v>591</v>
      </c>
      <c r="D2395" s="865" t="s">
        <v>680</v>
      </c>
      <c r="E2395" s="866">
        <v>2019.0</v>
      </c>
      <c r="F2395" s="865" t="s">
        <v>593</v>
      </c>
      <c r="G2395" s="865" t="s">
        <v>70</v>
      </c>
      <c r="H2395" s="867">
        <v>448004.4096</v>
      </c>
      <c r="I2395" s="867">
        <v>489545.857</v>
      </c>
      <c r="J2395" s="868">
        <v>413148.3623</v>
      </c>
      <c r="K2395" s="50"/>
      <c r="L2395" s="869" t="s">
        <v>692</v>
      </c>
      <c r="M2395" s="865" t="s">
        <v>591</v>
      </c>
      <c r="N2395" s="865" t="s">
        <v>680</v>
      </c>
      <c r="O2395" s="866">
        <v>2004.0</v>
      </c>
      <c r="P2395" s="865" t="s">
        <v>593</v>
      </c>
      <c r="Q2395" s="865" t="s">
        <v>70</v>
      </c>
      <c r="R2395" s="867">
        <v>426234.7372</v>
      </c>
      <c r="S2395" s="867">
        <v>438828.5192</v>
      </c>
      <c r="T2395" s="868">
        <v>414236.7379</v>
      </c>
      <c r="AN2395" s="882"/>
      <c r="AO2395" s="882"/>
      <c r="AP2395" s="882"/>
      <c r="AY2395" s="882"/>
      <c r="AZ2395" s="882"/>
      <c r="BA2395" s="882"/>
      <c r="BJ2395" s="882"/>
      <c r="BK2395" s="882"/>
      <c r="BL2395" s="882"/>
      <c r="BU2395" s="882"/>
      <c r="BV2395" s="882"/>
      <c r="BW2395" s="882"/>
      <c r="CI2395" s="530"/>
    </row>
    <row r="2396">
      <c r="A2396" s="857"/>
      <c r="B2396" s="865" t="s">
        <v>692</v>
      </c>
      <c r="C2396" s="865" t="s">
        <v>591</v>
      </c>
      <c r="D2396" s="865" t="s">
        <v>682</v>
      </c>
      <c r="E2396" s="866">
        <v>2019.0</v>
      </c>
      <c r="F2396" s="865" t="s">
        <v>593</v>
      </c>
      <c r="G2396" s="865" t="s">
        <v>70</v>
      </c>
      <c r="H2396" s="867">
        <v>8440.538402</v>
      </c>
      <c r="I2396" s="867">
        <v>9362.622781</v>
      </c>
      <c r="J2396" s="868">
        <v>7488.207499</v>
      </c>
      <c r="K2396" s="50"/>
      <c r="L2396" s="869" t="s">
        <v>692</v>
      </c>
      <c r="M2396" s="865" t="s">
        <v>591</v>
      </c>
      <c r="N2396" s="865" t="s">
        <v>682</v>
      </c>
      <c r="O2396" s="866">
        <v>2004.0</v>
      </c>
      <c r="P2396" s="865" t="s">
        <v>593</v>
      </c>
      <c r="Q2396" s="865" t="s">
        <v>70</v>
      </c>
      <c r="R2396" s="867">
        <v>7944.565299</v>
      </c>
      <c r="S2396" s="867">
        <v>8573.106415</v>
      </c>
      <c r="T2396" s="868">
        <v>7261.600658</v>
      </c>
      <c r="AN2396" s="882"/>
      <c r="AO2396" s="882"/>
      <c r="AP2396" s="882"/>
      <c r="AY2396" s="882"/>
      <c r="AZ2396" s="882"/>
      <c r="BA2396" s="882"/>
      <c r="BJ2396" s="882"/>
      <c r="BK2396" s="882"/>
      <c r="BL2396" s="882"/>
      <c r="BU2396" s="882"/>
      <c r="BV2396" s="882"/>
      <c r="BW2396" s="882"/>
      <c r="CI2396" s="530"/>
    </row>
    <row r="2397">
      <c r="A2397" s="857"/>
      <c r="B2397" s="865" t="s">
        <v>692</v>
      </c>
      <c r="C2397" s="865" t="s">
        <v>591</v>
      </c>
      <c r="D2397" s="865" t="s">
        <v>684</v>
      </c>
      <c r="E2397" s="866">
        <v>2019.0</v>
      </c>
      <c r="F2397" s="865" t="s">
        <v>593</v>
      </c>
      <c r="G2397" s="865" t="s">
        <v>70</v>
      </c>
      <c r="H2397" s="867">
        <v>25016.44777</v>
      </c>
      <c r="I2397" s="867">
        <v>27749.36297</v>
      </c>
      <c r="J2397" s="868">
        <v>22193.88656</v>
      </c>
      <c r="K2397" s="50"/>
      <c r="L2397" s="869" t="s">
        <v>692</v>
      </c>
      <c r="M2397" s="865" t="s">
        <v>591</v>
      </c>
      <c r="N2397" s="865" t="s">
        <v>684</v>
      </c>
      <c r="O2397" s="866">
        <v>2004.0</v>
      </c>
      <c r="P2397" s="865" t="s">
        <v>593</v>
      </c>
      <c r="Q2397" s="865" t="s">
        <v>70</v>
      </c>
      <c r="R2397" s="867">
        <v>23528.57779</v>
      </c>
      <c r="S2397" s="867">
        <v>25390.06145</v>
      </c>
      <c r="T2397" s="868">
        <v>21505.91373</v>
      </c>
      <c r="AN2397" s="882"/>
      <c r="AO2397" s="882"/>
      <c r="AP2397" s="882"/>
      <c r="AY2397" s="882"/>
      <c r="AZ2397" s="882"/>
      <c r="BA2397" s="882"/>
      <c r="BJ2397" s="882"/>
      <c r="BK2397" s="882"/>
      <c r="BL2397" s="882"/>
      <c r="BU2397" s="882"/>
      <c r="BV2397" s="882"/>
      <c r="BW2397" s="882"/>
      <c r="CI2397" s="530"/>
    </row>
    <row r="2398">
      <c r="A2398" s="857"/>
      <c r="B2398" s="865" t="s">
        <v>692</v>
      </c>
      <c r="C2398" s="865" t="s">
        <v>591</v>
      </c>
      <c r="D2398" s="865" t="s">
        <v>686</v>
      </c>
      <c r="E2398" s="866">
        <v>2019.0</v>
      </c>
      <c r="F2398" s="865" t="s">
        <v>593</v>
      </c>
      <c r="G2398" s="865" t="s">
        <v>70</v>
      </c>
      <c r="H2398" s="867">
        <v>33456.98617</v>
      </c>
      <c r="I2398" s="867">
        <v>37111.98575</v>
      </c>
      <c r="J2398" s="868">
        <v>29682.09405</v>
      </c>
      <c r="K2398" s="50"/>
      <c r="L2398" s="869" t="s">
        <v>692</v>
      </c>
      <c r="M2398" s="865" t="s">
        <v>591</v>
      </c>
      <c r="N2398" s="865" t="s">
        <v>686</v>
      </c>
      <c r="O2398" s="866">
        <v>2004.0</v>
      </c>
      <c r="P2398" s="865" t="s">
        <v>593</v>
      </c>
      <c r="Q2398" s="865" t="s">
        <v>70</v>
      </c>
      <c r="R2398" s="867">
        <v>31473.14308</v>
      </c>
      <c r="S2398" s="867">
        <v>33963.16787</v>
      </c>
      <c r="T2398" s="868">
        <v>28767.51439</v>
      </c>
      <c r="AN2398" s="882"/>
      <c r="AO2398" s="882"/>
      <c r="AP2398" s="882"/>
      <c r="AY2398" s="882"/>
      <c r="AZ2398" s="882"/>
      <c r="BA2398" s="882"/>
      <c r="BJ2398" s="882"/>
      <c r="BK2398" s="882"/>
      <c r="BL2398" s="882"/>
      <c r="BU2398" s="882"/>
      <c r="BV2398" s="882"/>
      <c r="BW2398" s="882"/>
      <c r="CI2398" s="530"/>
    </row>
    <row r="2399">
      <c r="A2399" s="857"/>
      <c r="B2399" s="865" t="s">
        <v>692</v>
      </c>
      <c r="C2399" s="865" t="s">
        <v>591</v>
      </c>
      <c r="D2399" s="865" t="s">
        <v>688</v>
      </c>
      <c r="E2399" s="866">
        <v>2019.0</v>
      </c>
      <c r="F2399" s="865" t="s">
        <v>593</v>
      </c>
      <c r="G2399" s="865" t="s">
        <v>70</v>
      </c>
      <c r="H2399" s="867">
        <v>396010.74</v>
      </c>
      <c r="I2399" s="867">
        <v>439272.8282</v>
      </c>
      <c r="J2399" s="868">
        <v>351329.5541</v>
      </c>
      <c r="K2399" s="50"/>
      <c r="L2399" s="869" t="s">
        <v>692</v>
      </c>
      <c r="M2399" s="865" t="s">
        <v>591</v>
      </c>
      <c r="N2399" s="865" t="s">
        <v>688</v>
      </c>
      <c r="O2399" s="866">
        <v>2004.0</v>
      </c>
      <c r="P2399" s="865" t="s">
        <v>593</v>
      </c>
      <c r="Q2399" s="865" t="s">
        <v>70</v>
      </c>
      <c r="R2399" s="867">
        <v>368991.2526</v>
      </c>
      <c r="S2399" s="867">
        <v>398184.3129</v>
      </c>
      <c r="T2399" s="868">
        <v>337270.4512</v>
      </c>
      <c r="AN2399" s="882"/>
      <c r="AO2399" s="882"/>
      <c r="AP2399" s="882"/>
      <c r="AY2399" s="882"/>
      <c r="AZ2399" s="882"/>
      <c r="BA2399" s="882"/>
      <c r="BJ2399" s="882"/>
      <c r="BK2399" s="882"/>
      <c r="BL2399" s="882"/>
      <c r="BU2399" s="882"/>
      <c r="BV2399" s="882"/>
      <c r="BW2399" s="882"/>
      <c r="CI2399" s="530"/>
    </row>
    <row r="2400">
      <c r="A2400" s="857"/>
      <c r="B2400" s="884" t="s">
        <v>692</v>
      </c>
      <c r="C2400" s="884" t="s">
        <v>591</v>
      </c>
      <c r="D2400" s="884" t="s">
        <v>689</v>
      </c>
      <c r="E2400" s="885">
        <v>2019.0</v>
      </c>
      <c r="F2400" s="884" t="s">
        <v>593</v>
      </c>
      <c r="G2400" s="884" t="s">
        <v>70</v>
      </c>
      <c r="H2400" s="886">
        <v>2109552.698</v>
      </c>
      <c r="I2400" s="886">
        <v>2340010.223</v>
      </c>
      <c r="J2400" s="887">
        <v>1871535.627</v>
      </c>
      <c r="K2400" s="50"/>
      <c r="L2400" s="883" t="s">
        <v>692</v>
      </c>
      <c r="M2400" s="884" t="s">
        <v>591</v>
      </c>
      <c r="N2400" s="884" t="s">
        <v>689</v>
      </c>
      <c r="O2400" s="885">
        <v>2004.0</v>
      </c>
      <c r="P2400" s="884" t="s">
        <v>593</v>
      </c>
      <c r="Q2400" s="884" t="s">
        <v>70</v>
      </c>
      <c r="R2400" s="886">
        <v>1884916.95</v>
      </c>
      <c r="S2400" s="886">
        <v>2034043.775</v>
      </c>
      <c r="T2400" s="887">
        <v>1722877.672</v>
      </c>
      <c r="AN2400" s="882"/>
      <c r="AO2400" s="882"/>
      <c r="AP2400" s="882"/>
      <c r="AY2400" s="882"/>
      <c r="AZ2400" s="882"/>
      <c r="BA2400" s="882"/>
      <c r="BJ2400" s="882"/>
      <c r="BK2400" s="882"/>
      <c r="BL2400" s="882"/>
      <c r="BU2400" s="882"/>
      <c r="BV2400" s="882"/>
      <c r="BW2400" s="882"/>
      <c r="CI2400" s="530"/>
    </row>
    <row r="2401">
      <c r="A2401" s="890"/>
      <c r="B2401" s="891"/>
      <c r="C2401" s="891"/>
      <c r="D2401" s="891"/>
      <c r="E2401" s="891"/>
      <c r="F2401" s="891"/>
      <c r="G2401" s="891"/>
      <c r="H2401" s="892"/>
      <c r="I2401" s="892"/>
      <c r="J2401" s="892"/>
      <c r="K2401" s="891"/>
      <c r="L2401" s="891"/>
      <c r="M2401" s="891"/>
      <c r="N2401" s="891"/>
      <c r="O2401" s="891"/>
      <c r="P2401" s="891"/>
      <c r="Q2401" s="891"/>
      <c r="R2401" s="892"/>
      <c r="S2401" s="892"/>
      <c r="T2401" s="892"/>
      <c r="U2401" s="888"/>
      <c r="V2401" s="888"/>
      <c r="W2401" s="888"/>
      <c r="X2401" s="888"/>
      <c r="Y2401" s="888"/>
      <c r="Z2401" s="888"/>
      <c r="AA2401" s="888"/>
      <c r="AB2401" s="888"/>
      <c r="AC2401" s="888"/>
      <c r="AD2401" s="888"/>
      <c r="AE2401" s="888"/>
      <c r="AF2401" s="888"/>
      <c r="AG2401" s="888"/>
      <c r="AH2401" s="888"/>
      <c r="AI2401" s="888"/>
      <c r="AJ2401" s="888"/>
      <c r="AK2401" s="888"/>
      <c r="AL2401" s="888"/>
      <c r="AM2401" s="888"/>
      <c r="AN2401" s="889"/>
      <c r="AO2401" s="889"/>
      <c r="AP2401" s="889"/>
      <c r="AQ2401" s="888"/>
      <c r="AR2401" s="888"/>
      <c r="AS2401" s="888"/>
      <c r="AT2401" s="888"/>
      <c r="AU2401" s="888"/>
      <c r="AV2401" s="888"/>
      <c r="AW2401" s="888"/>
      <c r="AX2401" s="888"/>
      <c r="AY2401" s="889"/>
      <c r="AZ2401" s="889"/>
      <c r="BA2401" s="889"/>
      <c r="BB2401" s="888"/>
      <c r="BC2401" s="888"/>
      <c r="BD2401" s="888"/>
      <c r="BE2401" s="888"/>
      <c r="BF2401" s="888"/>
      <c r="BG2401" s="888"/>
      <c r="BH2401" s="888"/>
      <c r="BI2401" s="888"/>
      <c r="BJ2401" s="889"/>
      <c r="BK2401" s="889"/>
      <c r="BL2401" s="889"/>
      <c r="BM2401" s="888"/>
      <c r="BN2401" s="888"/>
      <c r="BO2401" s="888"/>
      <c r="BP2401" s="888"/>
      <c r="BQ2401" s="888"/>
      <c r="BR2401" s="888"/>
      <c r="BS2401" s="888"/>
      <c r="BT2401" s="888"/>
      <c r="BU2401" s="889"/>
      <c r="BV2401" s="889"/>
      <c r="BW2401" s="889"/>
      <c r="BX2401" s="888"/>
      <c r="BY2401" s="888"/>
      <c r="BZ2401" s="888"/>
      <c r="CA2401" s="888"/>
      <c r="CB2401" s="888"/>
      <c r="CC2401" s="888"/>
      <c r="CD2401" s="888"/>
      <c r="CE2401" s="888"/>
      <c r="CF2401" s="888"/>
      <c r="CG2401" s="888"/>
      <c r="CH2401" s="888"/>
      <c r="CI2401" s="893"/>
    </row>
  </sheetData>
  <mergeCells count="8">
    <mergeCell ref="B2:J2"/>
    <mergeCell ref="L2:T2"/>
    <mergeCell ref="V2:AE2"/>
    <mergeCell ref="AG2:AP2"/>
    <mergeCell ref="AR2:BA2"/>
    <mergeCell ref="BC2:BL2"/>
    <mergeCell ref="BN2:BW2"/>
    <mergeCell ref="BY2:CH2"/>
  </mergeCells>
  <hyperlinks>
    <hyperlink r:id="rId2" ref="B2"/>
    <hyperlink r:id="rId3" ref="L2"/>
    <hyperlink r:id="rId4" ref="V2"/>
    <hyperlink r:id="rId5" ref="AG2"/>
    <hyperlink r:id="rId6" ref="AR2"/>
    <hyperlink r:id="rId7" ref="BC2"/>
    <hyperlink r:id="rId8" ref="BN2"/>
    <hyperlink r:id="rId9" ref="BY2"/>
  </hyperlinks>
  <drawing r:id="rId10"/>
  <legacyDrawing r:id="rId11"/>
  <tableParts count="8">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4" width="1.88"/>
    <col customWidth="1" min="5" max="5" width="50.0"/>
    <col customWidth="1" min="6" max="7" width="7.25"/>
    <col customWidth="1" min="8" max="16" width="12.13"/>
    <col customWidth="1" min="17" max="17" width="3.63"/>
  </cols>
  <sheetData>
    <row r="1">
      <c r="A1" s="87"/>
      <c r="B1" s="88"/>
      <c r="C1" s="88"/>
      <c r="D1" s="88"/>
      <c r="E1" s="537"/>
      <c r="F1" s="90"/>
      <c r="G1" s="91"/>
      <c r="H1" s="894"/>
      <c r="I1" s="895" t="s">
        <v>117</v>
      </c>
      <c r="J1" s="6"/>
      <c r="K1" s="6"/>
      <c r="L1" s="6"/>
      <c r="M1" s="6"/>
      <c r="N1" s="6"/>
      <c r="O1" s="6"/>
      <c r="P1" s="6"/>
      <c r="Q1" s="896"/>
    </row>
    <row r="2">
      <c r="A2" s="95"/>
      <c r="B2" s="96"/>
      <c r="C2" s="96"/>
      <c r="D2" s="96"/>
      <c r="E2" s="541"/>
      <c r="F2" s="98"/>
      <c r="G2" s="99"/>
      <c r="H2" s="100"/>
      <c r="I2" s="101" t="s">
        <v>118</v>
      </c>
      <c r="J2" s="101" t="s">
        <v>119</v>
      </c>
      <c r="K2" s="101" t="s">
        <v>120</v>
      </c>
      <c r="L2" s="101" t="s">
        <v>121</v>
      </c>
      <c r="M2" s="101" t="s">
        <v>121</v>
      </c>
      <c r="N2" s="101" t="s">
        <v>122</v>
      </c>
      <c r="O2" s="101" t="s">
        <v>123</v>
      </c>
      <c r="P2" s="102" t="s">
        <v>124</v>
      </c>
      <c r="Q2" s="897"/>
    </row>
    <row r="3">
      <c r="A3" s="104"/>
      <c r="B3" s="54"/>
      <c r="C3" s="54"/>
      <c r="D3" s="54"/>
      <c r="E3" s="54"/>
      <c r="F3" s="105" t="s">
        <v>126</v>
      </c>
      <c r="G3" s="106" t="s">
        <v>127</v>
      </c>
      <c r="H3" s="107" t="s">
        <v>128</v>
      </c>
      <c r="I3" s="108"/>
      <c r="J3" s="108"/>
      <c r="K3" s="108"/>
      <c r="L3" s="108" t="s">
        <v>129</v>
      </c>
      <c r="M3" s="108" t="s">
        <v>130</v>
      </c>
      <c r="N3" s="108"/>
      <c r="O3" s="108"/>
      <c r="P3" s="109"/>
      <c r="Q3" s="898"/>
    </row>
    <row r="4">
      <c r="A4" s="118" t="s">
        <v>18</v>
      </c>
      <c r="B4" s="6"/>
      <c r="C4" s="6"/>
      <c r="D4" s="6"/>
      <c r="E4" s="6"/>
      <c r="F4" s="6"/>
      <c r="G4" s="6"/>
      <c r="H4" s="119"/>
      <c r="I4" s="899"/>
      <c r="J4" s="899"/>
      <c r="K4" s="899"/>
      <c r="L4" s="900"/>
      <c r="M4" s="899"/>
      <c r="N4" s="899"/>
      <c r="O4" s="899"/>
      <c r="P4" s="899"/>
      <c r="Q4" s="901"/>
    </row>
    <row r="5">
      <c r="A5" s="122"/>
      <c r="B5" s="123"/>
      <c r="C5" s="123"/>
      <c r="D5" s="123"/>
      <c r="E5" s="558"/>
      <c r="F5" s="125"/>
      <c r="G5" s="126"/>
      <c r="H5" s="127"/>
      <c r="I5" s="902"/>
      <c r="J5" s="902"/>
      <c r="K5" s="902"/>
      <c r="L5" s="902"/>
      <c r="M5" s="902"/>
      <c r="N5" s="902"/>
      <c r="O5" s="902"/>
      <c r="P5" s="902"/>
      <c r="Q5" s="903"/>
    </row>
    <row r="6">
      <c r="A6" s="122"/>
      <c r="B6" s="123"/>
      <c r="C6" s="130" t="s">
        <v>693</v>
      </c>
      <c r="F6" s="125"/>
      <c r="G6" s="131"/>
      <c r="H6" s="127"/>
      <c r="I6" s="902"/>
      <c r="J6" s="902"/>
      <c r="K6" s="902"/>
      <c r="L6" s="902"/>
      <c r="M6" s="902"/>
      <c r="N6" s="902"/>
      <c r="O6" s="902"/>
      <c r="P6" s="902"/>
      <c r="Q6" s="903"/>
    </row>
    <row r="7">
      <c r="A7" s="122"/>
      <c r="B7" s="123"/>
      <c r="C7" s="123"/>
      <c r="D7" s="123"/>
      <c r="E7" s="592" t="s">
        <v>135</v>
      </c>
      <c r="F7" s="134" t="s">
        <v>75</v>
      </c>
      <c r="G7" s="192" t="s">
        <v>136</v>
      </c>
      <c r="H7" s="136" t="s">
        <v>144</v>
      </c>
      <c r="I7" s="137">
        <v>1000000.0</v>
      </c>
      <c r="J7" s="137">
        <v>1000000.0</v>
      </c>
      <c r="K7" s="137">
        <v>1000000.0</v>
      </c>
      <c r="L7" s="137">
        <v>1000000.0</v>
      </c>
      <c r="M7" s="137">
        <v>1000000.0</v>
      </c>
      <c r="N7" s="137">
        <v>1000000.0</v>
      </c>
      <c r="O7" s="137">
        <v>1000000.0</v>
      </c>
      <c r="P7" s="137">
        <v>1000000.0</v>
      </c>
      <c r="Q7" s="904"/>
    </row>
    <row r="8">
      <c r="A8" s="122"/>
      <c r="B8" s="123"/>
      <c r="C8" s="162"/>
      <c r="D8" s="123"/>
      <c r="E8" s="49"/>
      <c r="F8" s="140"/>
      <c r="G8" s="163"/>
      <c r="H8" s="330"/>
      <c r="I8" s="514"/>
      <c r="J8" s="514"/>
      <c r="K8" s="514"/>
      <c r="L8" s="514"/>
      <c r="M8" s="514"/>
      <c r="N8" s="514"/>
      <c r="O8" s="514"/>
      <c r="P8" s="514"/>
      <c r="Q8" s="903"/>
    </row>
    <row r="9">
      <c r="A9" s="122"/>
      <c r="B9" s="123"/>
      <c r="C9" s="162" t="s">
        <v>694</v>
      </c>
      <c r="F9" s="140"/>
      <c r="G9" s="163"/>
      <c r="H9" s="330"/>
      <c r="I9" s="514"/>
      <c r="J9" s="514"/>
      <c r="K9" s="514"/>
      <c r="L9" s="514"/>
      <c r="M9" s="514"/>
      <c r="N9" s="514"/>
      <c r="O9" s="514"/>
      <c r="P9" s="514"/>
      <c r="Q9" s="903"/>
    </row>
    <row r="10">
      <c r="A10" s="122"/>
      <c r="B10" s="123"/>
      <c r="C10" s="162"/>
      <c r="D10" s="123"/>
      <c r="E10" s="602" t="s">
        <v>695</v>
      </c>
      <c r="F10" s="188" t="s">
        <v>75</v>
      </c>
      <c r="G10" s="199" t="s">
        <v>136</v>
      </c>
      <c r="H10" s="172" t="s">
        <v>144</v>
      </c>
      <c r="I10" s="200">
        <f>'Main CEA'!I$29/'Main CEA'!$H$37/'Main CEA'!I$41/'Main CEA'!I$50</f>
        <v>15.18872526</v>
      </c>
      <c r="J10" s="200">
        <f>'Main CEA'!J$29/'Main CEA'!$H$37/'Main CEA'!J$41/'Main CEA'!J$50</f>
        <v>26.23829482</v>
      </c>
      <c r="K10" s="200">
        <f>'Main CEA'!K$29/'Main CEA'!$H$37/'Main CEA'!K$41/'Main CEA'!K$50</f>
        <v>17.70918353</v>
      </c>
      <c r="L10" s="200">
        <f>'Main CEA'!L$29/'Main CEA'!$H$37/'Main CEA'!L$41/'Main CEA'!L$50</f>
        <v>21.92266447</v>
      </c>
      <c r="M10" s="200">
        <f>'Main CEA'!M$29/'Main CEA'!$H$37/'Main CEA'!M$41/'Main CEA'!M$50</f>
        <v>21.92266447</v>
      </c>
      <c r="N10" s="200">
        <f>'Main CEA'!N$29/'Main CEA'!$H$37/'Main CEA'!N$41/'Main CEA'!N$50</f>
        <v>25.0474119</v>
      </c>
      <c r="O10" s="200">
        <f>'Main CEA'!O$29/'Main CEA'!$H$37/'Main CEA'!O$41/'Main CEA'!O$50</f>
        <v>23.04674709</v>
      </c>
      <c r="P10" s="200">
        <f>'Main CEA'!P$29/'Main CEA'!$H$37/'Main CEA'!P$41/'Main CEA'!P$50</f>
        <v>22.14787358</v>
      </c>
      <c r="Q10" s="905"/>
    </row>
    <row r="11">
      <c r="A11" s="122"/>
      <c r="B11" s="123"/>
      <c r="C11" s="162"/>
      <c r="D11" s="123"/>
      <c r="E11" s="635" t="s">
        <v>696</v>
      </c>
      <c r="F11" s="217" t="s">
        <v>69</v>
      </c>
      <c r="G11" s="218" t="s">
        <v>143</v>
      </c>
      <c r="H11" s="178" t="s">
        <v>144</v>
      </c>
      <c r="I11" s="259">
        <f t="shared" ref="I11:P11" si="1">I7/I10</f>
        <v>65838.30986</v>
      </c>
      <c r="J11" s="259">
        <f t="shared" si="1"/>
        <v>38112.23279</v>
      </c>
      <c r="K11" s="259">
        <f t="shared" si="1"/>
        <v>56467.87714</v>
      </c>
      <c r="L11" s="259">
        <f t="shared" si="1"/>
        <v>45614.89327</v>
      </c>
      <c r="M11" s="259">
        <f t="shared" si="1"/>
        <v>45614.89327</v>
      </c>
      <c r="N11" s="259">
        <f t="shared" si="1"/>
        <v>39924.28456</v>
      </c>
      <c r="O11" s="259">
        <f t="shared" si="1"/>
        <v>43390.07132</v>
      </c>
      <c r="P11" s="259">
        <f t="shared" si="1"/>
        <v>45151.0614</v>
      </c>
      <c r="Q11" s="906"/>
    </row>
    <row r="12">
      <c r="A12" s="122"/>
      <c r="B12" s="123"/>
      <c r="C12" s="162"/>
      <c r="D12" s="123"/>
      <c r="E12" s="635" t="s">
        <v>697</v>
      </c>
      <c r="F12" s="217" t="s">
        <v>69</v>
      </c>
      <c r="G12" s="218" t="s">
        <v>136</v>
      </c>
      <c r="H12" s="230" t="str">
        <f>'Main CEA'!H43</f>
        <v>-</v>
      </c>
      <c r="I12" s="907">
        <f>'Main CEA'!I43</f>
        <v>1.965608617</v>
      </c>
      <c r="J12" s="907">
        <f>'Main CEA'!J43</f>
        <v>1.192516657</v>
      </c>
      <c r="K12" s="907">
        <f>'Main CEA'!K43</f>
        <v>1.965608617</v>
      </c>
      <c r="L12" s="907">
        <f>'Main CEA'!L43</f>
        <v>1.965608617</v>
      </c>
      <c r="M12" s="907">
        <f>'Main CEA'!M43</f>
        <v>1.31712103</v>
      </c>
      <c r="N12" s="907">
        <f>'Main CEA'!N43</f>
        <v>1.26901599</v>
      </c>
      <c r="O12" s="907">
        <f>'Main CEA'!O43</f>
        <v>1.965608617</v>
      </c>
      <c r="P12" s="907">
        <f>'Main CEA'!P43</f>
        <v>1.965608617</v>
      </c>
      <c r="Q12" s="906"/>
    </row>
    <row r="13">
      <c r="A13" s="122"/>
      <c r="B13" s="123"/>
      <c r="C13" s="162"/>
      <c r="D13" s="123"/>
      <c r="E13" s="635" t="s">
        <v>698</v>
      </c>
      <c r="F13" s="217" t="s">
        <v>79</v>
      </c>
      <c r="G13" s="218" t="s">
        <v>136</v>
      </c>
      <c r="H13" s="178" t="str">
        <f>'Main CEA'!H$76</f>
        <v>-</v>
      </c>
      <c r="I13" s="255">
        <f>'Main CEA'!I$76</f>
        <v>0.001508254121</v>
      </c>
      <c r="J13" s="255">
        <f>'Main CEA'!J$76</f>
        <v>0.007982855406</v>
      </c>
      <c r="K13" s="255">
        <f>'Main CEA'!K$76</f>
        <v>0.008802499665</v>
      </c>
      <c r="L13" s="255">
        <f>'Main CEA'!L$76</f>
        <v>0.005508102085</v>
      </c>
      <c r="M13" s="255">
        <f>'Main CEA'!M$76</f>
        <v>0.004797231947</v>
      </c>
      <c r="N13" s="255">
        <f>'Main CEA'!N$76</f>
        <v>0.004952000966</v>
      </c>
      <c r="O13" s="255">
        <f>'Main CEA'!O$76</f>
        <v>0.003125463445</v>
      </c>
      <c r="P13" s="255">
        <f>'Main CEA'!P$76</f>
        <v>0.006442007678</v>
      </c>
      <c r="Q13" s="906"/>
    </row>
    <row r="14">
      <c r="A14" s="122"/>
      <c r="B14" s="123"/>
      <c r="C14" s="162"/>
      <c r="D14" s="123"/>
      <c r="E14" s="635" t="s">
        <v>699</v>
      </c>
      <c r="F14" s="217" t="s">
        <v>79</v>
      </c>
      <c r="G14" s="218" t="s">
        <v>136</v>
      </c>
      <c r="H14" s="178" t="str">
        <f>'Main CEA'!H$69</f>
        <v>-</v>
      </c>
      <c r="I14" s="154">
        <f>'Main CEA'!I$69</f>
        <v>0.2402078397</v>
      </c>
      <c r="J14" s="154">
        <f>'Main CEA'!J$69</f>
        <v>0.558318464</v>
      </c>
      <c r="K14" s="154">
        <f>'Main CEA'!K$69</f>
        <v>0.4600684292</v>
      </c>
      <c r="L14" s="154">
        <f>'Main CEA'!L$69</f>
        <v>0.5016739686</v>
      </c>
      <c r="M14" s="154">
        <f>'Main CEA'!M$69</f>
        <v>0.5016739686</v>
      </c>
      <c r="N14" s="154">
        <f>'Main CEA'!N$69</f>
        <v>0.4018858601</v>
      </c>
      <c r="O14" s="154">
        <f>'Main CEA'!O$69</f>
        <v>0.3892651892</v>
      </c>
      <c r="P14" s="154">
        <f>'Main CEA'!P$69</f>
        <v>0.513467417</v>
      </c>
      <c r="Q14" s="906"/>
    </row>
    <row r="15">
      <c r="A15" s="122"/>
      <c r="B15" s="123"/>
      <c r="C15" s="162"/>
      <c r="D15" s="123"/>
      <c r="E15" s="607" t="s">
        <v>700</v>
      </c>
      <c r="F15" s="221" t="s">
        <v>69</v>
      </c>
      <c r="G15" s="222" t="s">
        <v>143</v>
      </c>
      <c r="H15" s="184" t="s">
        <v>144</v>
      </c>
      <c r="I15" s="275">
        <f t="shared" ref="I15:P15" si="2">I11*I12*I13*I14</f>
        <v>46.8853777</v>
      </c>
      <c r="J15" s="275">
        <f t="shared" si="2"/>
        <v>202.5671883</v>
      </c>
      <c r="K15" s="275">
        <f t="shared" si="2"/>
        <v>449.4971659</v>
      </c>
      <c r="L15" s="275">
        <f t="shared" si="2"/>
        <v>247.7577553</v>
      </c>
      <c r="M15" s="275">
        <f t="shared" si="2"/>
        <v>144.5921218</v>
      </c>
      <c r="N15" s="275">
        <f t="shared" si="2"/>
        <v>100.8295162</v>
      </c>
      <c r="O15" s="275">
        <f t="shared" si="2"/>
        <v>103.7641668</v>
      </c>
      <c r="P15" s="275">
        <f t="shared" si="2"/>
        <v>293.5615279</v>
      </c>
      <c r="Q15" s="908"/>
    </row>
    <row r="16">
      <c r="A16" s="122"/>
      <c r="B16" s="123"/>
      <c r="C16" s="162"/>
      <c r="D16" s="123"/>
      <c r="E16" s="49"/>
      <c r="F16" s="140"/>
      <c r="G16" s="163"/>
      <c r="H16" s="330"/>
      <c r="I16" s="132"/>
      <c r="J16" s="132"/>
      <c r="K16" s="132"/>
      <c r="L16" s="132"/>
      <c r="M16" s="132"/>
      <c r="N16" s="132"/>
      <c r="O16" s="132"/>
      <c r="P16" s="132"/>
      <c r="Q16" s="903"/>
    </row>
    <row r="17">
      <c r="A17" s="122"/>
      <c r="B17" s="123"/>
      <c r="C17" s="162" t="s">
        <v>701</v>
      </c>
      <c r="F17" s="140"/>
      <c r="G17" s="163"/>
      <c r="H17" s="330"/>
      <c r="I17" s="132"/>
      <c r="J17" s="132"/>
      <c r="K17" s="132"/>
      <c r="L17" s="132"/>
      <c r="M17" s="132"/>
      <c r="N17" s="132"/>
      <c r="O17" s="132"/>
      <c r="P17" s="132"/>
      <c r="Q17" s="903"/>
    </row>
    <row r="18">
      <c r="A18" s="122"/>
      <c r="B18" s="123"/>
      <c r="C18" s="162"/>
      <c r="D18" s="123"/>
      <c r="E18" s="602" t="s">
        <v>702</v>
      </c>
      <c r="F18" s="188" t="s">
        <v>75</v>
      </c>
      <c r="G18" s="199" t="s">
        <v>143</v>
      </c>
      <c r="H18" s="172" t="s">
        <v>144</v>
      </c>
      <c r="I18" s="190">
        <f t="shared" ref="I18:P18" si="3">I7/I15</f>
        <v>21328.61137</v>
      </c>
      <c r="J18" s="190">
        <f t="shared" si="3"/>
        <v>4936.633659</v>
      </c>
      <c r="K18" s="190">
        <f t="shared" si="3"/>
        <v>2224.708132</v>
      </c>
      <c r="L18" s="190">
        <f t="shared" si="3"/>
        <v>4036.200598</v>
      </c>
      <c r="M18" s="190">
        <f t="shared" si="3"/>
        <v>6916.006123</v>
      </c>
      <c r="N18" s="190">
        <f t="shared" si="3"/>
        <v>9917.730812</v>
      </c>
      <c r="O18" s="190">
        <f t="shared" si="3"/>
        <v>9637.238279</v>
      </c>
      <c r="P18" s="190">
        <f t="shared" si="3"/>
        <v>3406.440916</v>
      </c>
      <c r="Q18" s="905"/>
    </row>
    <row r="19">
      <c r="A19" s="122"/>
      <c r="B19" s="123"/>
      <c r="C19" s="162"/>
      <c r="D19" s="123"/>
      <c r="E19" s="635" t="s">
        <v>703</v>
      </c>
      <c r="F19" s="217" t="s">
        <v>83</v>
      </c>
      <c r="G19" s="218" t="s">
        <v>136</v>
      </c>
      <c r="H19" s="452">
        <f>'Main CEA'!H$112</f>
        <v>116.25262</v>
      </c>
      <c r="I19" s="154" t="str">
        <f>'Main CEA'!I$112</f>
        <v>-</v>
      </c>
      <c r="J19" s="154" t="str">
        <f>'Main CEA'!J$112</f>
        <v>-</v>
      </c>
      <c r="K19" s="154" t="str">
        <f>'Main CEA'!K$112</f>
        <v>-</v>
      </c>
      <c r="L19" s="154" t="str">
        <f>'Main CEA'!L$112</f>
        <v>-</v>
      </c>
      <c r="M19" s="154" t="str">
        <f>'Main CEA'!M$112</f>
        <v>-</v>
      </c>
      <c r="N19" s="154" t="str">
        <f>'Main CEA'!N$112</f>
        <v>-</v>
      </c>
      <c r="O19" s="154" t="str">
        <f>'Main CEA'!O$112</f>
        <v>-</v>
      </c>
      <c r="P19" s="154" t="str">
        <f>'Main CEA'!P$112</f>
        <v>-</v>
      </c>
      <c r="Q19" s="906"/>
    </row>
    <row r="20">
      <c r="A20" s="122"/>
      <c r="B20" s="123"/>
      <c r="C20" s="162"/>
      <c r="D20" s="123"/>
      <c r="E20" s="909" t="s">
        <v>704</v>
      </c>
      <c r="F20" s="341" t="s">
        <v>85</v>
      </c>
      <c r="G20" s="342" t="s">
        <v>143</v>
      </c>
      <c r="H20" s="910" t="s">
        <v>144</v>
      </c>
      <c r="I20" s="344">
        <f>((I15*$H19)/I7)/'Main CEA'!$H$144</f>
        <v>1.6368012</v>
      </c>
      <c r="J20" s="344">
        <f>((J15*$H19)/J7)/'Main CEA'!$H$144</f>
        <v>7.071761672</v>
      </c>
      <c r="K20" s="344">
        <f>((K15*$H19)/K7)/'Main CEA'!$H$144</f>
        <v>15.69225922</v>
      </c>
      <c r="L20" s="344">
        <f>((L15*$H19)/L7)/'Main CEA'!$H$144</f>
        <v>8.649395848</v>
      </c>
      <c r="M20" s="344">
        <f>((M15*$H19)/M7)/'Main CEA'!$H$144</f>
        <v>5.04781171</v>
      </c>
      <c r="N20" s="344">
        <f>((N15*$H19)/N7)/'Main CEA'!$H$144</f>
        <v>3.52002866</v>
      </c>
      <c r="O20" s="344">
        <f>((O15*$H19)/O7)/'Main CEA'!$H$144</f>
        <v>3.622479354</v>
      </c>
      <c r="P20" s="344">
        <f>((P15*$H19)/P7)/'Main CEA'!$H$144</f>
        <v>10.24843746</v>
      </c>
      <c r="Q20" s="908"/>
    </row>
    <row r="21">
      <c r="A21" s="122"/>
      <c r="B21" s="123"/>
      <c r="C21" s="162"/>
      <c r="D21" s="123"/>
      <c r="E21" s="49"/>
      <c r="F21" s="140"/>
      <c r="G21" s="163"/>
      <c r="H21" s="127"/>
      <c r="I21" s="902"/>
      <c r="J21" s="902"/>
      <c r="K21" s="902"/>
      <c r="L21" s="902"/>
      <c r="M21" s="902"/>
      <c r="N21" s="902"/>
      <c r="O21" s="902"/>
      <c r="P21" s="911"/>
      <c r="Q21" s="903"/>
    </row>
    <row r="22" hidden="1">
      <c r="A22" s="122"/>
      <c r="B22" s="123"/>
      <c r="C22" s="162" t="s">
        <v>705</v>
      </c>
      <c r="F22" s="140"/>
      <c r="G22" s="163"/>
      <c r="H22" s="127"/>
      <c r="P22" s="912"/>
      <c r="Q22" s="903"/>
    </row>
    <row r="23" hidden="1">
      <c r="A23" s="122"/>
      <c r="B23" s="123"/>
      <c r="C23" s="162"/>
      <c r="D23" s="162"/>
      <c r="E23" s="425" t="s">
        <v>706</v>
      </c>
      <c r="F23" s="913" t="s">
        <v>79</v>
      </c>
      <c r="G23" s="199" t="s">
        <v>136</v>
      </c>
      <c r="H23" s="172" t="s">
        <v>144</v>
      </c>
      <c r="I23" s="458">
        <f>'Main CEA'!I137/'Main CEA'!I136</f>
        <v>0.2969752467</v>
      </c>
      <c r="J23" s="458">
        <f>'Main CEA'!J137/'Main CEA'!J136</f>
        <v>0.1494882031</v>
      </c>
      <c r="K23" s="458">
        <f>'Main CEA'!K137/'Main CEA'!K136</f>
        <v>0.1942628175</v>
      </c>
      <c r="L23" s="458">
        <f>'Main CEA'!L137/'Main CEA'!L136</f>
        <v>0.3669750311</v>
      </c>
      <c r="M23" s="458">
        <f>'Main CEA'!M137/'Main CEA'!M136</f>
        <v>0.4319031483</v>
      </c>
      <c r="N23" s="458">
        <f>'Main CEA'!N137/'Main CEA'!N136</f>
        <v>0.1380293717</v>
      </c>
      <c r="O23" s="458">
        <f>'Main CEA'!O137/'Main CEA'!O136</f>
        <v>0.9524234675</v>
      </c>
      <c r="P23" s="458">
        <f>'Main CEA'!P137/'Main CEA'!P136</f>
        <v>0.1506696907</v>
      </c>
      <c r="Q23" s="905"/>
    </row>
    <row r="24" hidden="1">
      <c r="A24" s="122"/>
      <c r="B24" s="123"/>
      <c r="C24" s="162"/>
      <c r="D24" s="162"/>
      <c r="E24" s="429" t="s">
        <v>707</v>
      </c>
      <c r="F24" s="914" t="s">
        <v>79</v>
      </c>
      <c r="G24" s="222" t="s">
        <v>136</v>
      </c>
      <c r="H24" s="184" t="s">
        <v>144</v>
      </c>
      <c r="I24" s="915">
        <f>'Main CEA'!I138/SUM('Main CEA'!I136:I137)</f>
        <v>0.6089414816</v>
      </c>
      <c r="J24" s="915">
        <f>'Main CEA'!J138/SUM('Main CEA'!J136:J137)</f>
        <v>0.4916448888</v>
      </c>
      <c r="K24" s="915">
        <f>'Main CEA'!K138/SUM('Main CEA'!K136:K137)</f>
        <v>0.3155709332</v>
      </c>
      <c r="L24" s="915">
        <f>'Main CEA'!L138/SUM('Main CEA'!L136:L137)</f>
        <v>0.3926438401</v>
      </c>
      <c r="M24" s="915">
        <f>'Main CEA'!M138/SUM('Main CEA'!M136:M137)</f>
        <v>0.5069783506</v>
      </c>
      <c r="N24" s="915">
        <f>'Main CEA'!N138/SUM('Main CEA'!N136:N137)</f>
        <v>0.4541608686</v>
      </c>
      <c r="O24" s="915">
        <f>'Main CEA'!O138/SUM('Main CEA'!O136:O137)</f>
        <v>0.6156760124</v>
      </c>
      <c r="P24" s="915">
        <f>'Main CEA'!P138/SUM('Main CEA'!P136:P137)</f>
        <v>0.4724033031</v>
      </c>
      <c r="Q24" s="908"/>
    </row>
    <row r="25" hidden="1">
      <c r="A25" s="122"/>
      <c r="B25" s="123"/>
      <c r="C25" s="162"/>
      <c r="D25" s="162"/>
      <c r="E25" s="162"/>
      <c r="F25" s="140"/>
      <c r="G25" s="163"/>
      <c r="H25" s="127"/>
      <c r="P25" s="912"/>
      <c r="Q25" s="903"/>
    </row>
    <row r="26">
      <c r="A26" s="122"/>
      <c r="B26" s="123"/>
      <c r="C26" s="162" t="s">
        <v>708</v>
      </c>
      <c r="F26" s="140"/>
      <c r="G26" s="163"/>
      <c r="H26" s="127"/>
      <c r="P26" s="912"/>
      <c r="Q26" s="903"/>
    </row>
    <row r="27">
      <c r="A27" s="122"/>
      <c r="B27" s="123"/>
      <c r="C27" s="162"/>
      <c r="D27" s="123"/>
      <c r="E27" s="602" t="s">
        <v>709</v>
      </c>
      <c r="F27" s="188" t="s">
        <v>79</v>
      </c>
      <c r="G27" s="199" t="s">
        <v>143</v>
      </c>
      <c r="H27" s="172" t="s">
        <v>144</v>
      </c>
      <c r="I27" s="148">
        <f t="shared" ref="I27:P27" si="4">1-SUM(I28:I29)</f>
        <v>0.4792124182</v>
      </c>
      <c r="J27" s="148">
        <f t="shared" si="4"/>
        <v>0.5832168153</v>
      </c>
      <c r="K27" s="148">
        <f t="shared" si="4"/>
        <v>0.6364815506</v>
      </c>
      <c r="L27" s="148">
        <f t="shared" si="4"/>
        <v>0.525290269</v>
      </c>
      <c r="M27" s="148">
        <f t="shared" si="4"/>
        <v>0.4634248764</v>
      </c>
      <c r="N27" s="148">
        <f t="shared" si="4"/>
        <v>0.6042742324</v>
      </c>
      <c r="O27" s="148">
        <f t="shared" si="4"/>
        <v>0.3170090815</v>
      </c>
      <c r="P27" s="148">
        <f t="shared" si="4"/>
        <v>0.590231717</v>
      </c>
      <c r="Q27" s="905"/>
    </row>
    <row r="28">
      <c r="A28" s="122"/>
      <c r="B28" s="123"/>
      <c r="C28" s="162"/>
      <c r="D28" s="123"/>
      <c r="E28" s="635" t="s">
        <v>710</v>
      </c>
      <c r="F28" s="217" t="s">
        <v>79</v>
      </c>
      <c r="G28" s="218" t="s">
        <v>143</v>
      </c>
      <c r="H28" s="178" t="s">
        <v>144</v>
      </c>
      <c r="I28" s="154">
        <f t="shared" ref="I28:P28" si="5">I23/((1+I23)*(1+I24))</f>
        <v>0.1423142261</v>
      </c>
      <c r="J28" s="154">
        <f t="shared" si="5"/>
        <v>0.08718403374</v>
      </c>
      <c r="K28" s="154">
        <f t="shared" si="5"/>
        <v>0.1236446993</v>
      </c>
      <c r="L28" s="154">
        <f t="shared" si="5"/>
        <v>0.1927684128</v>
      </c>
      <c r="M28" s="154">
        <f t="shared" si="5"/>
        <v>0.2001546631</v>
      </c>
      <c r="N28" s="154">
        <f t="shared" si="5"/>
        <v>0.08340759261</v>
      </c>
      <c r="O28" s="154">
        <f t="shared" si="5"/>
        <v>0.3019268886</v>
      </c>
      <c r="P28" s="154">
        <f t="shared" si="5"/>
        <v>0.08893003025</v>
      </c>
      <c r="Q28" s="906"/>
    </row>
    <row r="29">
      <c r="A29" s="122"/>
      <c r="B29" s="123"/>
      <c r="C29" s="162"/>
      <c r="D29" s="123"/>
      <c r="E29" s="607" t="s">
        <v>711</v>
      </c>
      <c r="F29" s="221" t="s">
        <v>79</v>
      </c>
      <c r="G29" s="222" t="s">
        <v>143</v>
      </c>
      <c r="H29" s="184" t="s">
        <v>144</v>
      </c>
      <c r="I29" s="160">
        <f t="shared" ref="I29:P29" si="6">I24/(1+I24)</f>
        <v>0.3784733557</v>
      </c>
      <c r="J29" s="160">
        <f t="shared" si="6"/>
        <v>0.3295991509</v>
      </c>
      <c r="K29" s="160">
        <f t="shared" si="6"/>
        <v>0.2398737501</v>
      </c>
      <c r="L29" s="160">
        <f t="shared" si="6"/>
        <v>0.2819413182</v>
      </c>
      <c r="M29" s="160">
        <f t="shared" si="6"/>
        <v>0.3364204605</v>
      </c>
      <c r="N29" s="160">
        <f t="shared" si="6"/>
        <v>0.312318175</v>
      </c>
      <c r="O29" s="160">
        <f t="shared" si="6"/>
        <v>0.3810640299</v>
      </c>
      <c r="P29" s="160">
        <f t="shared" si="6"/>
        <v>0.3208382528</v>
      </c>
      <c r="Q29" s="908"/>
    </row>
    <row r="30">
      <c r="A30" s="122"/>
      <c r="B30" s="123"/>
      <c r="C30" s="162"/>
      <c r="D30" s="123"/>
      <c r="E30" s="49"/>
      <c r="F30" s="140"/>
      <c r="G30" s="163"/>
      <c r="H30" s="127"/>
      <c r="I30" s="132"/>
      <c r="J30" s="132"/>
      <c r="K30" s="132"/>
      <c r="L30" s="132"/>
      <c r="M30" s="132"/>
      <c r="N30" s="132"/>
      <c r="O30" s="132"/>
      <c r="P30" s="132"/>
      <c r="Q30" s="903"/>
    </row>
    <row r="31">
      <c r="A31" s="122"/>
      <c r="B31" s="123"/>
      <c r="C31" s="162" t="s">
        <v>712</v>
      </c>
      <c r="F31" s="140"/>
      <c r="G31" s="163"/>
      <c r="H31" s="127"/>
      <c r="I31" s="902"/>
      <c r="J31" s="902"/>
      <c r="K31" s="902"/>
      <c r="L31" s="902"/>
      <c r="M31" s="902"/>
      <c r="N31" s="902"/>
      <c r="O31" s="902"/>
      <c r="P31" s="902"/>
      <c r="Q31" s="903"/>
    </row>
    <row r="32">
      <c r="A32" s="122"/>
      <c r="B32" s="123"/>
      <c r="C32" s="162"/>
      <c r="D32" s="123"/>
      <c r="E32" s="602" t="s">
        <v>713</v>
      </c>
      <c r="F32" s="188" t="s">
        <v>79</v>
      </c>
      <c r="G32" s="199" t="s">
        <v>136</v>
      </c>
      <c r="H32" s="172" t="s">
        <v>144</v>
      </c>
      <c r="I32" s="148">
        <f>'Main CEA'!I189</f>
        <v>0.529</v>
      </c>
      <c r="J32" s="148">
        <f>'Main CEA'!J189</f>
        <v>0.479</v>
      </c>
      <c r="K32" s="148">
        <f>'Main CEA'!K189</f>
        <v>0.379</v>
      </c>
      <c r="L32" s="148">
        <f>'Main CEA'!L189</f>
        <v>0.479</v>
      </c>
      <c r="M32" s="148">
        <f>'Main CEA'!M189</f>
        <v>0.479</v>
      </c>
      <c r="N32" s="148">
        <f>'Main CEA'!N189</f>
        <v>0.379</v>
      </c>
      <c r="O32" s="148">
        <f>'Main CEA'!O189</f>
        <v>0.379</v>
      </c>
      <c r="P32" s="148">
        <f>'Main CEA'!P189</f>
        <v>0.379</v>
      </c>
      <c r="Q32" s="905"/>
    </row>
    <row r="33">
      <c r="A33" s="122"/>
      <c r="B33" s="123"/>
      <c r="C33" s="162"/>
      <c r="D33" s="123"/>
      <c r="E33" s="602" t="s">
        <v>714</v>
      </c>
      <c r="F33" s="188" t="s">
        <v>79</v>
      </c>
      <c r="G33" s="199" t="s">
        <v>136</v>
      </c>
      <c r="H33" s="172" t="s">
        <v>144</v>
      </c>
      <c r="I33" s="148">
        <f>'Main CEA'!$H172</f>
        <v>-0.04</v>
      </c>
      <c r="J33" s="148">
        <f>'Main CEA'!$H172</f>
        <v>-0.04</v>
      </c>
      <c r="K33" s="148">
        <f>'Main CEA'!$H172</f>
        <v>-0.04</v>
      </c>
      <c r="L33" s="148">
        <f>'Main CEA'!$H172</f>
        <v>-0.04</v>
      </c>
      <c r="M33" s="148">
        <f>'Main CEA'!$H172</f>
        <v>-0.04</v>
      </c>
      <c r="N33" s="148">
        <f>'Main CEA'!$H172</f>
        <v>-0.04</v>
      </c>
      <c r="O33" s="148">
        <f>'Main CEA'!$H172</f>
        <v>-0.04</v>
      </c>
      <c r="P33" s="148">
        <f>'Main CEA'!$H172</f>
        <v>-0.04</v>
      </c>
      <c r="Q33" s="905"/>
    </row>
    <row r="34">
      <c r="A34" s="122"/>
      <c r="B34" s="123"/>
      <c r="C34" s="162"/>
      <c r="D34" s="123"/>
      <c r="E34" s="602" t="s">
        <v>715</v>
      </c>
      <c r="F34" s="188" t="s">
        <v>79</v>
      </c>
      <c r="G34" s="199" t="s">
        <v>136</v>
      </c>
      <c r="H34" s="172" t="s">
        <v>144</v>
      </c>
      <c r="I34" s="148">
        <f>LeverageFunging!I111</f>
        <v>-0.008308060237</v>
      </c>
      <c r="J34" s="148">
        <f>LeverageFunging!J111</f>
        <v>-0.004114250426</v>
      </c>
      <c r="K34" s="148">
        <f>LeverageFunging!K111</f>
        <v>-0.001382525591</v>
      </c>
      <c r="L34" s="148">
        <f>LeverageFunging!L111</f>
        <v>-0.001698012775</v>
      </c>
      <c r="M34" s="148">
        <f>LeverageFunging!M111</f>
        <v>-0.003159222382</v>
      </c>
      <c r="N34" s="148">
        <f>LeverageFunging!N111</f>
        <v>-0.01129290244</v>
      </c>
      <c r="O34" s="148">
        <f>LeverageFunging!O111</f>
        <v>-0.001691670199</v>
      </c>
      <c r="P34" s="148">
        <f>LeverageFunging!P111</f>
        <v>-0.001853405826</v>
      </c>
      <c r="Q34" s="905"/>
    </row>
    <row r="35">
      <c r="A35" s="122"/>
      <c r="B35" s="123"/>
      <c r="C35" s="162"/>
      <c r="D35" s="123"/>
      <c r="E35" s="592" t="s">
        <v>716</v>
      </c>
      <c r="F35" s="134" t="s">
        <v>79</v>
      </c>
      <c r="G35" s="165" t="s">
        <v>136</v>
      </c>
      <c r="H35" s="389" t="str">
        <f>'Main CEA'!H$195</f>
        <v>-</v>
      </c>
      <c r="I35" s="331">
        <f>LeverageFunging!I112</f>
        <v>-0.0302403437</v>
      </c>
      <c r="J35" s="331">
        <f>LeverageFunging!J112</f>
        <v>-0.1461607338</v>
      </c>
      <c r="K35" s="331">
        <f>LeverageFunging!K112</f>
        <v>-0.3003019883</v>
      </c>
      <c r="L35" s="331">
        <f>LeverageFunging!L112</f>
        <v>-0.280617756</v>
      </c>
      <c r="M35" s="331">
        <f>LeverageFunging!M112</f>
        <v>-0.1400660492</v>
      </c>
      <c r="N35" s="331">
        <f>LeverageFunging!N112</f>
        <v>-0.05985331551</v>
      </c>
      <c r="O35" s="331">
        <f>LeverageFunging!O112</f>
        <v>-0.4161821599</v>
      </c>
      <c r="P35" s="331">
        <f>LeverageFunging!P112</f>
        <v>-0.319351647</v>
      </c>
      <c r="Q35" s="904"/>
    </row>
    <row r="36">
      <c r="A36" s="122"/>
      <c r="B36" s="123"/>
      <c r="C36" s="162"/>
      <c r="D36" s="123"/>
      <c r="E36" s="49"/>
      <c r="F36" s="140"/>
      <c r="G36" s="163"/>
      <c r="H36" s="127"/>
      <c r="I36" s="132"/>
      <c r="J36" s="132"/>
      <c r="K36" s="132"/>
      <c r="L36" s="132"/>
      <c r="M36" s="132"/>
      <c r="N36" s="132"/>
      <c r="O36" s="132"/>
      <c r="P36" s="132"/>
      <c r="Q36" s="903"/>
    </row>
    <row r="37">
      <c r="A37" s="122"/>
      <c r="B37" s="123"/>
      <c r="C37" s="162" t="s">
        <v>717</v>
      </c>
      <c r="F37" s="346"/>
      <c r="G37" s="347"/>
      <c r="H37" s="916"/>
      <c r="I37" s="917"/>
      <c r="J37" s="917"/>
      <c r="K37" s="917"/>
      <c r="L37" s="917"/>
      <c r="M37" s="917"/>
      <c r="N37" s="917"/>
      <c r="O37" s="917"/>
      <c r="P37" s="917"/>
      <c r="Q37" s="903"/>
    </row>
    <row r="38">
      <c r="A38" s="122"/>
      <c r="B38" s="123"/>
      <c r="C38" s="162"/>
      <c r="D38" s="123"/>
      <c r="E38" s="918" t="s">
        <v>718</v>
      </c>
      <c r="F38" s="919" t="s">
        <v>85</v>
      </c>
      <c r="G38" s="920" t="s">
        <v>143</v>
      </c>
      <c r="H38" s="921" t="s">
        <v>144</v>
      </c>
      <c r="I38" s="922">
        <f t="shared" ref="I38:P38" si="7">I20/I27*(1+I32)*(1+I33)*(1+SUM(I34:I35))</f>
        <v>4.820299402</v>
      </c>
      <c r="J38" s="922">
        <f t="shared" si="7"/>
        <v>14.62902526</v>
      </c>
      <c r="K38" s="922">
        <f t="shared" si="7"/>
        <v>22.79223041</v>
      </c>
      <c r="L38" s="922">
        <f t="shared" si="7"/>
        <v>16.77873555</v>
      </c>
      <c r="M38" s="922">
        <f t="shared" si="7"/>
        <v>13.25042655</v>
      </c>
      <c r="N38" s="922">
        <f t="shared" si="7"/>
        <v>7.163000428</v>
      </c>
      <c r="O38" s="922">
        <f t="shared" si="7"/>
        <v>8.806165397</v>
      </c>
      <c r="P38" s="922">
        <f t="shared" si="7"/>
        <v>15.60303965</v>
      </c>
      <c r="Q38" s="905"/>
    </row>
    <row r="39">
      <c r="A39" s="122"/>
      <c r="B39" s="123"/>
      <c r="C39" s="162"/>
      <c r="D39" s="123"/>
      <c r="E39" s="592" t="s">
        <v>719</v>
      </c>
      <c r="F39" s="134" t="s">
        <v>75</v>
      </c>
      <c r="G39" s="165" t="s">
        <v>143</v>
      </c>
      <c r="H39" s="166" t="s">
        <v>144</v>
      </c>
      <c r="I39" s="167">
        <f>I18*('Main CEA'!I77/SUM('Main CEA'!I77,'Main CEA'!I85))/(1+'Main CEA'!I216)</f>
        <v>15638.66725</v>
      </c>
      <c r="J39" s="167">
        <f>J18*('Main CEA'!J77/SUM('Main CEA'!J77,'Main CEA'!J85))/(1+'Main CEA'!J216)</f>
        <v>5100.994521</v>
      </c>
      <c r="K39" s="167">
        <f>K18*('Main CEA'!K77/SUM('Main CEA'!K77,'Main CEA'!K85))/(1+'Main CEA'!K216)</f>
        <v>2940.580429</v>
      </c>
      <c r="L39" s="167">
        <f>L18*('Main CEA'!L77/SUM('Main CEA'!L77,'Main CEA'!L85))/(1+'Main CEA'!L216)</f>
        <v>3846.913247</v>
      </c>
      <c r="M39" s="167">
        <f>M18*('Main CEA'!M77/SUM('Main CEA'!M77,'Main CEA'!M85))/(1+'Main CEA'!M216)</f>
        <v>5191.904725</v>
      </c>
      <c r="N39" s="167">
        <f>N18*('Main CEA'!N77/SUM('Main CEA'!N77,'Main CEA'!N85))/(1+'Main CEA'!N216)</f>
        <v>10710.11937</v>
      </c>
      <c r="O39" s="167">
        <f>O18*('Main CEA'!O77/SUM('Main CEA'!O77,'Main CEA'!O85))/(1+'Main CEA'!O216)</f>
        <v>7966.478396</v>
      </c>
      <c r="P39" s="167">
        <f>P18*('Main CEA'!P77/SUM('Main CEA'!P77,'Main CEA'!P85))/(1+'Main CEA'!P216)</f>
        <v>4897.784622</v>
      </c>
      <c r="Q39" s="904"/>
    </row>
    <row r="40">
      <c r="A40" s="352"/>
      <c r="B40" s="353"/>
      <c r="C40" s="923"/>
      <c r="D40" s="353"/>
      <c r="E40" s="924"/>
      <c r="F40" s="134"/>
      <c r="G40" s="165"/>
      <c r="H40" s="333"/>
      <c r="I40" s="925"/>
      <c r="J40" s="925"/>
      <c r="K40" s="925"/>
      <c r="L40" s="925"/>
      <c r="M40" s="925"/>
      <c r="N40" s="925"/>
      <c r="O40" s="925"/>
      <c r="P40" s="925"/>
      <c r="Q40" s="904"/>
    </row>
  </sheetData>
  <mergeCells count="10">
    <mergeCell ref="C26:E26"/>
    <mergeCell ref="C31:E31"/>
    <mergeCell ref="C37:E37"/>
    <mergeCell ref="I1:P1"/>
    <mergeCell ref="A3:E3"/>
    <mergeCell ref="A4:G4"/>
    <mergeCell ref="C6:E6"/>
    <mergeCell ref="C9:E9"/>
    <mergeCell ref="C17:E17"/>
    <mergeCell ref="C22:E22"/>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29" width="7.63"/>
    <col customWidth="1" min="30" max="30" width="3.63"/>
  </cols>
  <sheetData>
    <row r="1">
      <c r="A1" s="87"/>
      <c r="B1" s="88"/>
      <c r="C1" s="88"/>
      <c r="D1" s="88"/>
      <c r="E1" s="537"/>
      <c r="F1" s="926" t="s">
        <v>117</v>
      </c>
      <c r="G1" s="2"/>
      <c r="H1" s="2"/>
      <c r="I1" s="2"/>
      <c r="J1" s="2"/>
      <c r="K1" s="2"/>
      <c r="L1" s="2"/>
      <c r="M1" s="2"/>
      <c r="N1" s="2"/>
      <c r="O1" s="2"/>
      <c r="P1" s="2"/>
      <c r="Q1" s="2"/>
      <c r="R1" s="2"/>
      <c r="S1" s="2"/>
      <c r="T1" s="2"/>
      <c r="U1" s="2"/>
      <c r="V1" s="2"/>
      <c r="W1" s="2"/>
      <c r="X1" s="2"/>
      <c r="Y1" s="2"/>
      <c r="Z1" s="2"/>
      <c r="AA1" s="2"/>
      <c r="AB1" s="2"/>
      <c r="AC1" s="927"/>
      <c r="AD1" s="896"/>
    </row>
    <row r="2">
      <c r="A2" s="95"/>
      <c r="B2" s="96"/>
      <c r="C2" s="96"/>
      <c r="D2" s="96"/>
      <c r="E2" s="541"/>
      <c r="F2" s="926" t="s">
        <v>118</v>
      </c>
      <c r="G2" s="2"/>
      <c r="H2" s="927"/>
      <c r="I2" s="928" t="s">
        <v>119</v>
      </c>
      <c r="J2" s="2"/>
      <c r="K2" s="927"/>
      <c r="L2" s="928" t="s">
        <v>120</v>
      </c>
      <c r="M2" s="2"/>
      <c r="N2" s="927"/>
      <c r="O2" s="928" t="s">
        <v>121</v>
      </c>
      <c r="P2" s="2"/>
      <c r="Q2" s="927"/>
      <c r="R2" s="928" t="s">
        <v>121</v>
      </c>
      <c r="S2" s="2"/>
      <c r="T2" s="927"/>
      <c r="U2" s="928" t="s">
        <v>122</v>
      </c>
      <c r="V2" s="2"/>
      <c r="W2" s="927"/>
      <c r="X2" s="928" t="s">
        <v>123</v>
      </c>
      <c r="Y2" s="2"/>
      <c r="Z2" s="927"/>
      <c r="AA2" s="928" t="s">
        <v>124</v>
      </c>
      <c r="AB2" s="2"/>
      <c r="AC2" s="927"/>
      <c r="AD2" s="929"/>
    </row>
    <row r="3">
      <c r="A3" s="95" t="s">
        <v>18</v>
      </c>
      <c r="F3" s="930"/>
      <c r="G3" s="931"/>
      <c r="H3" s="932"/>
      <c r="I3" s="933"/>
      <c r="J3" s="101"/>
      <c r="K3" s="102"/>
      <c r="L3" s="933"/>
      <c r="M3" s="101"/>
      <c r="N3" s="102"/>
      <c r="O3" s="933" t="s">
        <v>129</v>
      </c>
      <c r="Q3" s="934"/>
      <c r="R3" s="933" t="s">
        <v>130</v>
      </c>
      <c r="T3" s="934"/>
      <c r="U3" s="933"/>
      <c r="W3" s="934"/>
      <c r="X3" s="933"/>
      <c r="Z3" s="934"/>
      <c r="AA3" s="933"/>
      <c r="AB3" s="101"/>
      <c r="AC3" s="102"/>
      <c r="AD3" s="929"/>
    </row>
    <row r="4">
      <c r="A4" s="95"/>
      <c r="B4" s="935"/>
      <c r="C4" s="935"/>
      <c r="D4" s="935"/>
      <c r="E4" s="935"/>
      <c r="F4" s="936" t="s">
        <v>720</v>
      </c>
      <c r="G4" s="108" t="s">
        <v>721</v>
      </c>
      <c r="H4" s="937" t="s">
        <v>722</v>
      </c>
      <c r="I4" s="938" t="s">
        <v>720</v>
      </c>
      <c r="J4" s="108" t="s">
        <v>721</v>
      </c>
      <c r="K4" s="109" t="s">
        <v>722</v>
      </c>
      <c r="L4" s="938" t="s">
        <v>720</v>
      </c>
      <c r="M4" s="108" t="s">
        <v>721</v>
      </c>
      <c r="N4" s="109" t="s">
        <v>722</v>
      </c>
      <c r="O4" s="938" t="s">
        <v>720</v>
      </c>
      <c r="P4" s="108" t="s">
        <v>721</v>
      </c>
      <c r="Q4" s="109" t="s">
        <v>722</v>
      </c>
      <c r="R4" s="938" t="s">
        <v>720</v>
      </c>
      <c r="S4" s="108" t="s">
        <v>721</v>
      </c>
      <c r="T4" s="109" t="s">
        <v>722</v>
      </c>
      <c r="U4" s="938" t="s">
        <v>720</v>
      </c>
      <c r="V4" s="108" t="s">
        <v>721</v>
      </c>
      <c r="W4" s="109" t="s">
        <v>722</v>
      </c>
      <c r="X4" s="938" t="s">
        <v>720</v>
      </c>
      <c r="Y4" s="108" t="s">
        <v>721</v>
      </c>
      <c r="Z4" s="109" t="s">
        <v>722</v>
      </c>
      <c r="AA4" s="938" t="s">
        <v>720</v>
      </c>
      <c r="AB4" s="108" t="s">
        <v>721</v>
      </c>
      <c r="AC4" s="109" t="s">
        <v>722</v>
      </c>
      <c r="AD4" s="939"/>
    </row>
    <row r="5">
      <c r="A5" s="940" t="s">
        <v>723</v>
      </c>
      <c r="B5" s="2"/>
      <c r="C5" s="2"/>
      <c r="D5" s="2"/>
      <c r="E5" s="2"/>
      <c r="F5" s="941">
        <f>'Main CEA'!I203</f>
        <v>4.820299402</v>
      </c>
      <c r="G5" s="54"/>
      <c r="H5" s="942"/>
      <c r="I5" s="941">
        <f>'Main CEA'!J203</f>
        <v>14.62902526</v>
      </c>
      <c r="J5" s="54"/>
      <c r="K5" s="942"/>
      <c r="L5" s="941">
        <f>'Main CEA'!K203</f>
        <v>22.79223041</v>
      </c>
      <c r="M5" s="54"/>
      <c r="N5" s="942"/>
      <c r="O5" s="941">
        <f>'Main CEA'!L203</f>
        <v>16.77873555</v>
      </c>
      <c r="P5" s="54"/>
      <c r="Q5" s="942"/>
      <c r="R5" s="941">
        <f>'Main CEA'!M203</f>
        <v>13.25042655</v>
      </c>
      <c r="S5" s="54"/>
      <c r="T5" s="942"/>
      <c r="U5" s="941">
        <f>'Main CEA'!N203</f>
        <v>7.163000428</v>
      </c>
      <c r="V5" s="54"/>
      <c r="W5" s="942"/>
      <c r="X5" s="941">
        <f>'Main CEA'!O203</f>
        <v>8.806165397</v>
      </c>
      <c r="Y5" s="54"/>
      <c r="Z5" s="942"/>
      <c r="AA5" s="941">
        <f>'Main CEA'!P203</f>
        <v>15.60303965</v>
      </c>
      <c r="AB5" s="54"/>
      <c r="AC5" s="942"/>
      <c r="AD5" s="943"/>
    </row>
    <row r="6">
      <c r="A6" s="118" t="s">
        <v>724</v>
      </c>
      <c r="B6" s="6"/>
      <c r="C6" s="6"/>
      <c r="D6" s="6"/>
      <c r="E6" s="6"/>
      <c r="F6" s="944"/>
      <c r="G6" s="945"/>
      <c r="H6" s="946"/>
      <c r="I6" s="944"/>
      <c r="J6" s="947"/>
      <c r="K6" s="946"/>
      <c r="L6" s="944"/>
      <c r="M6" s="947"/>
      <c r="N6" s="946"/>
      <c r="O6" s="944"/>
      <c r="P6" s="947"/>
      <c r="Q6" s="946"/>
      <c r="R6" s="944"/>
      <c r="S6" s="947"/>
      <c r="T6" s="946"/>
      <c r="U6" s="944"/>
      <c r="V6" s="947"/>
      <c r="W6" s="946"/>
      <c r="X6" s="944"/>
      <c r="Y6" s="947"/>
      <c r="Z6" s="946"/>
      <c r="AA6" s="944"/>
      <c r="AB6" s="947"/>
      <c r="AC6" s="946"/>
      <c r="AD6" s="948"/>
    </row>
    <row r="7">
      <c r="A7" s="122"/>
      <c r="B7" s="123"/>
      <c r="C7" s="123"/>
      <c r="D7" s="123"/>
      <c r="E7" s="558"/>
      <c r="F7" s="949"/>
      <c r="G7" s="950"/>
      <c r="H7" s="951"/>
      <c r="I7" s="952"/>
      <c r="J7" s="953"/>
      <c r="K7" s="954"/>
      <c r="L7" s="952"/>
      <c r="M7" s="953"/>
      <c r="N7" s="954"/>
      <c r="O7" s="952"/>
      <c r="P7" s="953"/>
      <c r="Q7" s="954"/>
      <c r="R7" s="952"/>
      <c r="S7" s="953"/>
      <c r="T7" s="954"/>
      <c r="U7" s="952"/>
      <c r="V7" s="953"/>
      <c r="W7" s="954"/>
      <c r="X7" s="952"/>
      <c r="Y7" s="953"/>
      <c r="Z7" s="954"/>
      <c r="AA7" s="952"/>
      <c r="AB7" s="953"/>
      <c r="AC7" s="954"/>
      <c r="AD7" s="903"/>
    </row>
    <row r="8">
      <c r="A8" s="122"/>
      <c r="B8" s="123"/>
      <c r="C8" s="162" t="s">
        <v>694</v>
      </c>
      <c r="F8" s="955"/>
      <c r="G8" s="956"/>
      <c r="H8" s="957"/>
      <c r="I8" s="955"/>
      <c r="J8" s="958"/>
      <c r="K8" s="957"/>
      <c r="L8" s="955"/>
      <c r="M8" s="958"/>
      <c r="N8" s="957"/>
      <c r="O8" s="955"/>
      <c r="P8" s="958"/>
      <c r="Q8" s="957"/>
      <c r="R8" s="955"/>
      <c r="S8" s="958"/>
      <c r="T8" s="957"/>
      <c r="U8" s="955"/>
      <c r="V8" s="958"/>
      <c r="W8" s="957"/>
      <c r="X8" s="955"/>
      <c r="Y8" s="958"/>
      <c r="Z8" s="957"/>
      <c r="AA8" s="955"/>
      <c r="AB8" s="958"/>
      <c r="AC8" s="957"/>
      <c r="AD8" s="903"/>
    </row>
    <row r="9">
      <c r="A9" s="122"/>
      <c r="B9" s="123"/>
      <c r="C9" s="162"/>
      <c r="D9" s="123"/>
      <c r="E9" s="602" t="s">
        <v>695</v>
      </c>
      <c r="F9" s="959">
        <v>12.99</v>
      </c>
      <c r="G9" s="960">
        <f t="array" ref="G9">IF(F$3="",INDEX('Simple CEA'!$H$7:$Q$39,MATCH($E9,'Simple CEA'!$E$7:$E$39,0),MATCH(F$2,'Simple CEA'!$H$2:$Q$2,0)),INDEX('Simple CEA'!$H$7:$Q$39,MATCH($E9,'Simple CEA'!$E$7:$E$39,0),MATCH(F$3,'Simple CEA'!$H$3:$Q$3,0)))</f>
        <v>15.18872526</v>
      </c>
      <c r="H9" s="961">
        <v>20.66</v>
      </c>
      <c r="I9" s="959">
        <v>20.55</v>
      </c>
      <c r="J9" s="960">
        <f t="array" ref="J9">IF(I$3="",INDEX('Simple CEA'!$H$7:$Q$39,MATCH($E9,'Simple CEA'!$E$7:$E$39,0),MATCH(I$2,'Simple CEA'!$H$2:$Q$2,0)),INDEX('Simple CEA'!$H$7:$Q$39,MATCH($E9,'Simple CEA'!$E$7:$E$39,0),MATCH(I$3,'Simple CEA'!$H$3:$Q$3,0)))</f>
        <v>26.23829482</v>
      </c>
      <c r="K9" s="961">
        <v>36.32</v>
      </c>
      <c r="L9" s="959">
        <v>14.8</v>
      </c>
      <c r="M9" s="960">
        <f t="array" ref="M9">IF(L$3="",INDEX('Simple CEA'!$H$7:$Q$39,MATCH($E9,'Simple CEA'!$E$7:$E$39,0),MATCH(L$2,'Simple CEA'!$H$2:$Q$2,0)),INDEX('Simple CEA'!$H$7:$Q$39,MATCH($E9,'Simple CEA'!$E$7:$E$39,0),MATCH(L$3,'Simple CEA'!$H$3:$Q$3,0)))</f>
        <v>17.70918353</v>
      </c>
      <c r="N9" s="961">
        <v>24.06</v>
      </c>
      <c r="O9" s="959">
        <v>17.88</v>
      </c>
      <c r="P9" s="960">
        <f t="array" ref="P9">IF(O$3="",INDEX('Simple CEA'!$H$7:$Q$39,MATCH($E9,'Simple CEA'!$E$7:$E$39,0),MATCH(O$2,'Simple CEA'!$H$2:$Q$2,0)),INDEX('Simple CEA'!$H$7:$Q$39,MATCH($E9,'Simple CEA'!$E$7:$E$39,0),MATCH(O$3,'Simple CEA'!$H$3:$Q$3,0)))</f>
        <v>21.92266447</v>
      </c>
      <c r="Q9" s="961">
        <v>29.86</v>
      </c>
      <c r="R9" s="959">
        <v>17.77</v>
      </c>
      <c r="S9" s="960">
        <f t="array" ref="S9">IF(R$3="",INDEX('Simple CEA'!$H$7:$Q$39,MATCH($E9,'Simple CEA'!$E$7:$E$39,0),MATCH(R$2,'Simple CEA'!$H$2:$Q$2,0)),INDEX('Simple CEA'!$H$7:$Q$39,MATCH($E9,'Simple CEA'!$E$7:$E$39,0),MATCH(R$3,'Simple CEA'!$H$3:$Q$3,0)))</f>
        <v>21.92266447</v>
      </c>
      <c r="T9" s="961">
        <v>28.46</v>
      </c>
      <c r="U9" s="959">
        <v>21.2</v>
      </c>
      <c r="V9" s="960">
        <f t="array" ref="V9">IF(U$3="",INDEX('Simple CEA'!$H$7:$Q$39,MATCH($E9,'Simple CEA'!$E$7:$E$39,0),MATCH(U$2,'Simple CEA'!$H$2:$Q$2,0)),INDEX('Simple CEA'!$H$7:$Q$39,MATCH($E9,'Simple CEA'!$E$7:$E$39,0),MATCH(U$3,'Simple CEA'!$H$3:$Q$3,0)))</f>
        <v>25.0474119</v>
      </c>
      <c r="W9" s="961">
        <v>35.52</v>
      </c>
      <c r="X9" s="959">
        <v>19.57</v>
      </c>
      <c r="Y9" s="960">
        <f t="array" ref="Y9">IF(X$3="",INDEX('Simple CEA'!$H$7:$Q$39,MATCH($E9,'Simple CEA'!$E$7:$E$39,0),MATCH(X$2,'Simple CEA'!$H$2:$Q$2,0)),INDEX('Simple CEA'!$H$7:$Q$39,MATCH($E9,'Simple CEA'!$E$7:$E$39,0),MATCH(X$3,'Simple CEA'!$H$3:$Q$3,0)))</f>
        <v>23.04674709</v>
      </c>
      <c r="Z9" s="961">
        <v>31.82</v>
      </c>
      <c r="AA9" s="959">
        <v>18.59</v>
      </c>
      <c r="AB9" s="960">
        <f t="array" ref="AB9">IF(AA$3="",INDEX('Simple CEA'!$H$7:$Q$39,MATCH($E9,'Simple CEA'!$E$7:$E$39,0),MATCH(AA$2,'Simple CEA'!$H$2:$Q$2,0)),INDEX('Simple CEA'!$H$7:$Q$39,MATCH($E9,'Simple CEA'!$E$7:$E$39,0),MATCH(AA$3,'Simple CEA'!$H$3:$Q$3,0)))</f>
        <v>22.14787358</v>
      </c>
      <c r="AC9" s="961">
        <v>30.43</v>
      </c>
      <c r="AD9" s="905"/>
    </row>
    <row r="10">
      <c r="A10" s="122"/>
      <c r="B10" s="123"/>
      <c r="C10" s="162"/>
      <c r="D10" s="123"/>
      <c r="E10" s="635" t="s">
        <v>697</v>
      </c>
      <c r="F10" s="962">
        <v>1.5</v>
      </c>
      <c r="G10" s="963">
        <f t="array" ref="G10">IF(F$3="",INDEX('Simple CEA'!$H$7:$Q$39,MATCH($E10,'Simple CEA'!$E$7:$E$39,0),MATCH(F$2,'Simple CEA'!$H$2:$Q$2,0)),INDEX('Simple CEA'!$H$7:$Q$39,MATCH($E10,'Simple CEA'!$E$7:$E$39,0),MATCH(F$3,'Simple CEA'!$H$3:$Q$3,0)))</f>
        <v>1.965608617</v>
      </c>
      <c r="H10" s="964">
        <v>2.3</v>
      </c>
      <c r="I10" s="962">
        <v>0.9</v>
      </c>
      <c r="J10" s="963">
        <f t="array" ref="J10">IF(I$3="",INDEX('Simple CEA'!$H$7:$Q$39,MATCH($E10,'Simple CEA'!$E$7:$E$39,0),MATCH(I$2,'Simple CEA'!$H$2:$Q$2,0)),INDEX('Simple CEA'!$H$7:$Q$39,MATCH($E10,'Simple CEA'!$E$7:$E$39,0),MATCH(I$3,'Simple CEA'!$H$3:$Q$3,0)))</f>
        <v>1.192516657</v>
      </c>
      <c r="K10" s="964">
        <v>1.6</v>
      </c>
      <c r="L10" s="962">
        <v>1.5</v>
      </c>
      <c r="M10" s="963">
        <f t="array" ref="M10">IF(L$3="",INDEX('Simple CEA'!$H$7:$Q$39,MATCH($E10,'Simple CEA'!$E$7:$E$39,0),MATCH(L$2,'Simple CEA'!$H$2:$Q$2,0)),INDEX('Simple CEA'!$H$7:$Q$39,MATCH($E10,'Simple CEA'!$E$7:$E$39,0),MATCH(L$3,'Simple CEA'!$H$3:$Q$3,0)))</f>
        <v>1.965608617</v>
      </c>
      <c r="N10" s="964">
        <v>2.3</v>
      </c>
      <c r="O10" s="962">
        <v>1.5</v>
      </c>
      <c r="P10" s="963">
        <f t="array" ref="P10">IF(O$3="",INDEX('Simple CEA'!$H$7:$Q$39,MATCH($E10,'Simple CEA'!$E$7:$E$39,0),MATCH(O$2,'Simple CEA'!$H$2:$Q$2,0)),INDEX('Simple CEA'!$H$7:$Q$39,MATCH($E10,'Simple CEA'!$E$7:$E$39,0),MATCH(O$3,'Simple CEA'!$H$3:$Q$3,0)))</f>
        <v>1.965608617</v>
      </c>
      <c r="Q10" s="964">
        <v>2.3</v>
      </c>
      <c r="R10" s="962">
        <v>1.0</v>
      </c>
      <c r="S10" s="963">
        <f t="array" ref="S10">IF(R$3="",INDEX('Simple CEA'!$H$7:$Q$39,MATCH($E10,'Simple CEA'!$E$7:$E$39,0),MATCH(R$2,'Simple CEA'!$H$2:$Q$2,0)),INDEX('Simple CEA'!$H$7:$Q$39,MATCH($E10,'Simple CEA'!$E$7:$E$39,0),MATCH(R$3,'Simple CEA'!$H$3:$Q$3,0)))</f>
        <v>1.31712103</v>
      </c>
      <c r="T10" s="964">
        <v>1.8</v>
      </c>
      <c r="U10" s="962">
        <v>0.9</v>
      </c>
      <c r="V10" s="963">
        <f t="array" ref="V10">IF(U$3="",INDEX('Simple CEA'!$H$7:$Q$39,MATCH($E10,'Simple CEA'!$E$7:$E$39,0),MATCH(U$2,'Simple CEA'!$H$2:$Q$2,0)),INDEX('Simple CEA'!$H$7:$Q$39,MATCH($E10,'Simple CEA'!$E$7:$E$39,0),MATCH(U$3,'Simple CEA'!$H$3:$Q$3,0)))</f>
        <v>1.26901599</v>
      </c>
      <c r="W10" s="964">
        <v>1.8</v>
      </c>
      <c r="X10" s="962">
        <v>1.5</v>
      </c>
      <c r="Y10" s="963">
        <f t="array" ref="Y10">IF(X$3="",INDEX('Simple CEA'!$H$7:$Q$39,MATCH($E10,'Simple CEA'!$E$7:$E$39,0),MATCH(X$2,'Simple CEA'!$H$2:$Q$2,0)),INDEX('Simple CEA'!$H$7:$Q$39,MATCH($E10,'Simple CEA'!$E$7:$E$39,0),MATCH(X$3,'Simple CEA'!$H$3:$Q$3,0)))</f>
        <v>1.965608617</v>
      </c>
      <c r="Z10" s="964">
        <v>2.3</v>
      </c>
      <c r="AA10" s="962">
        <v>1.5</v>
      </c>
      <c r="AB10" s="963">
        <f t="array" ref="AB10">IF(AA$3="",INDEX('Simple CEA'!$H$7:$Q$39,MATCH($E10,'Simple CEA'!$E$7:$E$39,0),MATCH(AA$2,'Simple CEA'!$H$2:$Q$2,0)),INDEX('Simple CEA'!$H$7:$Q$39,MATCH($E10,'Simple CEA'!$E$7:$E$39,0),MATCH(AA$3,'Simple CEA'!$H$3:$Q$3,0)))</f>
        <v>1.965608617</v>
      </c>
      <c r="AC10" s="964">
        <v>2.3</v>
      </c>
      <c r="AD10" s="906"/>
    </row>
    <row r="11">
      <c r="A11" s="122"/>
      <c r="B11" s="123"/>
      <c r="C11" s="162"/>
      <c r="D11" s="123"/>
      <c r="E11" s="635" t="s">
        <v>698</v>
      </c>
      <c r="F11" s="965">
        <v>4.0E-4</v>
      </c>
      <c r="G11" s="966">
        <f t="array" ref="G11">IF(F$3="",INDEX('Simple CEA'!$H$7:$Q$39,MATCH($E11,'Simple CEA'!$E$7:$E$39,0),MATCH(F$2,'Simple CEA'!$H$2:$Q$2,0)),INDEX('Simple CEA'!$H$7:$Q$39,MATCH($E11,'Simple CEA'!$E$7:$E$39,0),MATCH(F$3,'Simple CEA'!$H$3:$Q$3,0)))</f>
        <v>0.001508254121</v>
      </c>
      <c r="H11" s="967">
        <v>0.0027</v>
      </c>
      <c r="I11" s="965">
        <v>0.0046</v>
      </c>
      <c r="J11" s="966">
        <f t="array" ref="J11">IF(I$3="",INDEX('Simple CEA'!$H$7:$Q$39,MATCH($E11,'Simple CEA'!$E$7:$E$39,0),MATCH(I$2,'Simple CEA'!$H$2:$Q$2,0)),INDEX('Simple CEA'!$H$7:$Q$39,MATCH($E11,'Simple CEA'!$E$7:$E$39,0),MATCH(I$3,'Simple CEA'!$H$3:$Q$3,0)))</f>
        <v>0.007982855406</v>
      </c>
      <c r="K11" s="967">
        <v>0.0113</v>
      </c>
      <c r="L11" s="965">
        <v>0.0052</v>
      </c>
      <c r="M11" s="966">
        <f t="array" ref="M11">IF(L$3="",INDEX('Simple CEA'!$H$7:$Q$39,MATCH($E11,'Simple CEA'!$E$7:$E$39,0),MATCH(L$2,'Simple CEA'!$H$2:$Q$2,0)),INDEX('Simple CEA'!$H$7:$Q$39,MATCH($E11,'Simple CEA'!$E$7:$E$39,0),MATCH(L$3,'Simple CEA'!$H$3:$Q$3,0)))</f>
        <v>0.008802499665</v>
      </c>
      <c r="N11" s="967">
        <v>0.0121</v>
      </c>
      <c r="O11" s="965">
        <v>0.0028</v>
      </c>
      <c r="P11" s="966">
        <f t="array" ref="P11">IF(O$3="",INDEX('Simple CEA'!$H$7:$Q$39,MATCH($E11,'Simple CEA'!$E$7:$E$39,0),MATCH(O$2,'Simple CEA'!$H$2:$Q$2,0)),INDEX('Simple CEA'!$H$7:$Q$39,MATCH($E11,'Simple CEA'!$E$7:$E$39,0),MATCH(O$3,'Simple CEA'!$H$3:$Q$3,0)))</f>
        <v>0.005508102085</v>
      </c>
      <c r="Q11" s="967">
        <v>0.0081</v>
      </c>
      <c r="R11" s="965">
        <v>0.0021</v>
      </c>
      <c r="S11" s="966">
        <f t="array" ref="S11">IF(R$3="",INDEX('Simple CEA'!$H$7:$Q$39,MATCH($E11,'Simple CEA'!$E$7:$E$39,0),MATCH(R$2,'Simple CEA'!$H$2:$Q$2,0)),INDEX('Simple CEA'!$H$7:$Q$39,MATCH($E11,'Simple CEA'!$E$7:$E$39,0),MATCH(R$3,'Simple CEA'!$H$3:$Q$3,0)))</f>
        <v>0.004797231947</v>
      </c>
      <c r="T11" s="967">
        <v>0.0076</v>
      </c>
      <c r="U11" s="965">
        <v>0.0024</v>
      </c>
      <c r="V11" s="966">
        <f t="array" ref="V11">IF(U$3="",INDEX('Simple CEA'!$H$7:$Q$39,MATCH($E11,'Simple CEA'!$E$7:$E$39,0),MATCH(U$2,'Simple CEA'!$H$2:$Q$2,0)),INDEX('Simple CEA'!$H$7:$Q$39,MATCH($E11,'Simple CEA'!$E$7:$E$39,0),MATCH(U$3,'Simple CEA'!$H$3:$Q$3,0)))</f>
        <v>0.004952000966</v>
      </c>
      <c r="W11" s="967">
        <v>0.0074</v>
      </c>
      <c r="X11" s="965">
        <v>0.0011</v>
      </c>
      <c r="Y11" s="966">
        <f t="array" ref="Y11">IF(X$3="",INDEX('Simple CEA'!$H$7:$Q$39,MATCH($E11,'Simple CEA'!$E$7:$E$39,0),MATCH(X$2,'Simple CEA'!$H$2:$Q$2,0)),INDEX('Simple CEA'!$H$7:$Q$39,MATCH($E11,'Simple CEA'!$E$7:$E$39,0),MATCH(X$3,'Simple CEA'!$H$3:$Q$3,0)))</f>
        <v>0.003125463445</v>
      </c>
      <c r="Z11" s="967">
        <v>0.0049</v>
      </c>
      <c r="AA11" s="965">
        <v>0.0032</v>
      </c>
      <c r="AB11" s="966">
        <f t="array" ref="AB11">IF(AA$3="",INDEX('Simple CEA'!$H$7:$Q$39,MATCH($E11,'Simple CEA'!$E$7:$E$39,0),MATCH(AA$2,'Simple CEA'!$H$2:$Q$2,0)),INDEX('Simple CEA'!$H$7:$Q$39,MATCH($E11,'Simple CEA'!$E$7:$E$39,0),MATCH(AA$3,'Simple CEA'!$H$3:$Q$3,0)))</f>
        <v>0.006442007678</v>
      </c>
      <c r="AC11" s="967">
        <v>0.0089</v>
      </c>
      <c r="AD11" s="906"/>
    </row>
    <row r="12">
      <c r="A12" s="122"/>
      <c r="B12" s="123"/>
      <c r="C12" s="162"/>
      <c r="D12" s="123"/>
      <c r="E12" s="607" t="s">
        <v>699</v>
      </c>
      <c r="F12" s="968">
        <v>0.18</v>
      </c>
      <c r="G12" s="969">
        <f t="array" ref="G12">IF(F$3="",INDEX('Simple CEA'!$H$7:$Q$39,MATCH($E12,'Simple CEA'!$E$7:$E$39,0),MATCH(F$2,'Simple CEA'!$H$2:$Q$2,0)),INDEX('Simple CEA'!$H$7:$Q$39,MATCH($E12,'Simple CEA'!$E$7:$E$39,0),MATCH(F$3,'Simple CEA'!$H$3:$Q$3,0)))</f>
        <v>0.2402078397</v>
      </c>
      <c r="H12" s="970">
        <v>0.3</v>
      </c>
      <c r="I12" s="971">
        <v>0.5</v>
      </c>
      <c r="J12" s="969">
        <f t="array" ref="J12">IF(I$3="",INDEX('Simple CEA'!$H$7:$Q$39,MATCH($E12,'Simple CEA'!$E$7:$E$39,0),MATCH(I$2,'Simple CEA'!$H$2:$Q$2,0)),INDEX('Simple CEA'!$H$7:$Q$39,MATCH($E12,'Simple CEA'!$E$7:$E$39,0),MATCH(I$3,'Simple CEA'!$H$3:$Q$3,0)))</f>
        <v>0.558318464</v>
      </c>
      <c r="K12" s="972">
        <v>0.62</v>
      </c>
      <c r="L12" s="971">
        <v>0.38</v>
      </c>
      <c r="M12" s="969">
        <f t="array" ref="M12">IF(L$3="",INDEX('Simple CEA'!$H$7:$Q$39,MATCH($E12,'Simple CEA'!$E$7:$E$39,0),MATCH(L$2,'Simple CEA'!$H$2:$Q$2,0)),INDEX('Simple CEA'!$H$7:$Q$39,MATCH($E12,'Simple CEA'!$E$7:$E$39,0),MATCH(L$3,'Simple CEA'!$H$3:$Q$3,0)))</f>
        <v>0.4600684292</v>
      </c>
      <c r="N12" s="972">
        <v>0.53</v>
      </c>
      <c r="O12" s="971">
        <v>0.43</v>
      </c>
      <c r="P12" s="969">
        <f t="array" ref="P12">IF(O$3="",INDEX('Simple CEA'!$H$7:$Q$39,MATCH($E12,'Simple CEA'!$E$7:$E$39,0),MATCH(O$2,'Simple CEA'!$H$2:$Q$2,0)),INDEX('Simple CEA'!$H$7:$Q$39,MATCH($E12,'Simple CEA'!$E$7:$E$39,0),MATCH(O$3,'Simple CEA'!$H$3:$Q$3,0)))</f>
        <v>0.5016739686</v>
      </c>
      <c r="Q12" s="972">
        <v>0.56</v>
      </c>
      <c r="R12" s="971">
        <v>0.44</v>
      </c>
      <c r="S12" s="969">
        <f t="array" ref="S12">IF(R$3="",INDEX('Simple CEA'!$H$7:$Q$39,MATCH($E12,'Simple CEA'!$E$7:$E$39,0),MATCH(R$2,'Simple CEA'!$H$2:$Q$2,0)),INDEX('Simple CEA'!$H$7:$Q$39,MATCH($E12,'Simple CEA'!$E$7:$E$39,0),MATCH(R$3,'Simple CEA'!$H$3:$Q$3,0)))</f>
        <v>0.5016739686</v>
      </c>
      <c r="T12" s="972">
        <v>0.57</v>
      </c>
      <c r="U12" s="971">
        <v>0.28</v>
      </c>
      <c r="V12" s="969">
        <f t="array" ref="V12">IF(U$3="",INDEX('Simple CEA'!$H$7:$Q$39,MATCH($E12,'Simple CEA'!$E$7:$E$39,0),MATCH(U$2,'Simple CEA'!$H$2:$Q$2,0)),INDEX('Simple CEA'!$H$7:$Q$39,MATCH($E12,'Simple CEA'!$E$7:$E$39,0),MATCH(U$3,'Simple CEA'!$H$3:$Q$3,0)))</f>
        <v>0.4018858601</v>
      </c>
      <c r="W12" s="972">
        <v>0.53</v>
      </c>
      <c r="X12" s="971">
        <v>0.29</v>
      </c>
      <c r="Y12" s="969">
        <f t="array" ref="Y12">IF(X$3="",INDEX('Simple CEA'!$H$7:$Q$39,MATCH($E12,'Simple CEA'!$E$7:$E$39,0),MATCH(X$2,'Simple CEA'!$H$2:$Q$2,0)),INDEX('Simple CEA'!$H$7:$Q$39,MATCH($E12,'Simple CEA'!$E$7:$E$39,0),MATCH(X$3,'Simple CEA'!$H$3:$Q$3,0)))</f>
        <v>0.3892651892</v>
      </c>
      <c r="Z12" s="972">
        <v>0.48</v>
      </c>
      <c r="AA12" s="971">
        <v>0.45</v>
      </c>
      <c r="AB12" s="969">
        <f t="array" ref="AB12">IF(AA$3="",INDEX('Simple CEA'!$H$7:$Q$39,MATCH($E12,'Simple CEA'!$E$7:$E$39,0),MATCH(AA$2,'Simple CEA'!$H$2:$Q$2,0)),INDEX('Simple CEA'!$H$7:$Q$39,MATCH($E12,'Simple CEA'!$E$7:$E$39,0),MATCH(AA$3,'Simple CEA'!$H$3:$Q$3,0)))</f>
        <v>0.513467417</v>
      </c>
      <c r="AC12" s="972">
        <v>0.58</v>
      </c>
      <c r="AD12" s="908"/>
    </row>
    <row r="13">
      <c r="A13" s="122"/>
      <c r="B13" s="123"/>
      <c r="C13" s="162"/>
      <c r="D13" s="123"/>
      <c r="E13" s="49"/>
      <c r="F13" s="949"/>
      <c r="G13" s="950"/>
      <c r="H13" s="951"/>
      <c r="I13" s="949"/>
      <c r="J13" s="950"/>
      <c r="K13" s="951"/>
      <c r="L13" s="949"/>
      <c r="M13" s="950"/>
      <c r="N13" s="951"/>
      <c r="O13" s="949"/>
      <c r="P13" s="950"/>
      <c r="Q13" s="951"/>
      <c r="R13" s="949"/>
      <c r="S13" s="950"/>
      <c r="T13" s="951"/>
      <c r="U13" s="949"/>
      <c r="V13" s="950"/>
      <c r="W13" s="951"/>
      <c r="X13" s="949"/>
      <c r="Y13" s="950"/>
      <c r="Z13" s="951"/>
      <c r="AA13" s="949"/>
      <c r="AB13" s="950"/>
      <c r="AC13" s="951"/>
      <c r="AD13" s="903"/>
    </row>
    <row r="14">
      <c r="A14" s="122"/>
      <c r="B14" s="123"/>
      <c r="C14" s="162" t="s">
        <v>705</v>
      </c>
      <c r="F14" s="973"/>
      <c r="G14" s="974"/>
      <c r="H14" s="975"/>
      <c r="I14" s="973"/>
      <c r="J14" s="974"/>
      <c r="K14" s="975"/>
      <c r="L14" s="973"/>
      <c r="M14" s="974"/>
      <c r="N14" s="975"/>
      <c r="O14" s="973"/>
      <c r="P14" s="974"/>
      <c r="Q14" s="975"/>
      <c r="R14" s="973"/>
      <c r="S14" s="974"/>
      <c r="T14" s="975"/>
      <c r="U14" s="973"/>
      <c r="V14" s="974"/>
      <c r="W14" s="975"/>
      <c r="X14" s="973"/>
      <c r="Y14" s="974"/>
      <c r="Z14" s="975"/>
      <c r="AA14" s="973"/>
      <c r="AB14" s="974"/>
      <c r="AC14" s="975"/>
      <c r="AD14" s="903"/>
    </row>
    <row r="15">
      <c r="A15" s="122"/>
      <c r="B15" s="123"/>
      <c r="C15" s="162"/>
      <c r="D15" s="162"/>
      <c r="E15" s="425" t="s">
        <v>706</v>
      </c>
      <c r="F15" s="976">
        <v>0.15</v>
      </c>
      <c r="G15" s="977">
        <f t="array" ref="G15">IF(F$3="",INDEX('Simple CEA'!$H$7:$Q$39,MATCH($E15,'Simple CEA'!$E$7:$E$39,0),MATCH(F$2,'Simple CEA'!$H$2:$Q$2,0)),INDEX('Simple CEA'!$H$7:$Q$39,MATCH($E15,'Simple CEA'!$E$7:$E$39,0),MATCH(F$3,'Simple CEA'!$H$3:$Q$3,0)))</f>
        <v>0.2969752467</v>
      </c>
      <c r="H15" s="978">
        <v>0.46</v>
      </c>
      <c r="I15" s="976">
        <v>0.1</v>
      </c>
      <c r="J15" s="977">
        <f t="array" ref="J15">IF(I$3="",INDEX('Simple CEA'!$H$7:$Q$39,MATCH($E15,'Simple CEA'!$E$7:$E$39,0),MATCH(I$2,'Simple CEA'!$H$2:$Q$2,0)),INDEX('Simple CEA'!$H$7:$Q$39,MATCH($E15,'Simple CEA'!$E$7:$E$39,0),MATCH(I$3,'Simple CEA'!$H$3:$Q$3,0)))</f>
        <v>0.1494882031</v>
      </c>
      <c r="K15" s="978">
        <v>0.25</v>
      </c>
      <c r="L15" s="976">
        <v>0.13</v>
      </c>
      <c r="M15" s="977">
        <f t="array" ref="M15">IF(L$3="",INDEX('Simple CEA'!$H$7:$Q$39,MATCH($E15,'Simple CEA'!$E$7:$E$39,0),MATCH(L$2,'Simple CEA'!$H$2:$Q$2,0)),INDEX('Simple CEA'!$H$7:$Q$39,MATCH($E15,'Simple CEA'!$E$7:$E$39,0),MATCH(L$3,'Simple CEA'!$H$3:$Q$3,0)))</f>
        <v>0.1942628175</v>
      </c>
      <c r="N15" s="978">
        <v>0.31</v>
      </c>
      <c r="O15" s="976">
        <v>0.17</v>
      </c>
      <c r="P15" s="977">
        <f t="array" ref="P15">IF(O$3="",INDEX('Simple CEA'!$H$7:$Q$39,MATCH($E15,'Simple CEA'!$E$7:$E$39,0),MATCH(O$2,'Simple CEA'!$H$2:$Q$2,0)),INDEX('Simple CEA'!$H$7:$Q$39,MATCH($E15,'Simple CEA'!$E$7:$E$39,0),MATCH(O$3,'Simple CEA'!$H$3:$Q$3,0)))</f>
        <v>0.3669750311</v>
      </c>
      <c r="Q15" s="978">
        <v>0.5</v>
      </c>
      <c r="R15" s="976">
        <v>0.17</v>
      </c>
      <c r="S15" s="977">
        <f t="array" ref="S15">IF(R$3="",INDEX('Simple CEA'!$H$7:$Q$39,MATCH($E15,'Simple CEA'!$E$7:$E$39,0),MATCH(R$2,'Simple CEA'!$H$2:$Q$2,0)),INDEX('Simple CEA'!$H$7:$Q$39,MATCH($E15,'Simple CEA'!$E$7:$E$39,0),MATCH(R$3,'Simple CEA'!$H$3:$Q$3,0)))</f>
        <v>0.4319031483</v>
      </c>
      <c r="T15" s="978">
        <v>0.55</v>
      </c>
      <c r="U15" s="976">
        <v>0.09</v>
      </c>
      <c r="V15" s="977">
        <f t="array" ref="V15">IF(U$3="",INDEX('Simple CEA'!$H$7:$Q$39,MATCH($E15,'Simple CEA'!$E$7:$E$39,0),MATCH(U$2,'Simple CEA'!$H$2:$Q$2,0)),INDEX('Simple CEA'!$H$7:$Q$39,MATCH($E15,'Simple CEA'!$E$7:$E$39,0),MATCH(U$3,'Simple CEA'!$H$3:$Q$3,0)))</f>
        <v>0.1380293717</v>
      </c>
      <c r="W15" s="978">
        <v>0.24</v>
      </c>
      <c r="X15" s="976">
        <v>0.2</v>
      </c>
      <c r="Y15" s="977">
        <f t="array" ref="Y15">IF(X$3="",INDEX('Simple CEA'!$H$7:$Q$39,MATCH($E15,'Simple CEA'!$E$7:$E$39,0),MATCH(X$2,'Simple CEA'!$H$2:$Q$2,0)),INDEX('Simple CEA'!$H$7:$Q$39,MATCH($E15,'Simple CEA'!$E$7:$E$39,0),MATCH(X$3,'Simple CEA'!$H$3:$Q$3,0)))</f>
        <v>0.9524234675</v>
      </c>
      <c r="Z15" s="978">
        <v>0.96</v>
      </c>
      <c r="AA15" s="976">
        <v>0.1</v>
      </c>
      <c r="AB15" s="977">
        <f t="array" ref="AB15">IF(AA$3="",INDEX('Simple CEA'!$H$7:$Q$39,MATCH($E15,'Simple CEA'!$E$7:$E$39,0),MATCH(AA$2,'Simple CEA'!$H$2:$Q$2,0)),INDEX('Simple CEA'!$H$7:$Q$39,MATCH($E15,'Simple CEA'!$E$7:$E$39,0),MATCH(AA$3,'Simple CEA'!$H$3:$Q$3,0)))</f>
        <v>0.1506696907</v>
      </c>
      <c r="AC15" s="978">
        <v>0.25</v>
      </c>
      <c r="AD15" s="905"/>
    </row>
    <row r="16">
      <c r="A16" s="122"/>
      <c r="B16" s="123"/>
      <c r="C16" s="162"/>
      <c r="D16" s="162"/>
      <c r="E16" s="429" t="s">
        <v>707</v>
      </c>
      <c r="F16" s="968">
        <v>0.33</v>
      </c>
      <c r="G16" s="969">
        <f t="array" ref="G16">IF(F$3="",INDEX('Simple CEA'!$H$7:$Q$39,MATCH($E16,'Simple CEA'!$E$7:$E$39,0),MATCH(F$2,'Simple CEA'!$H$2:$Q$2,0)),INDEX('Simple CEA'!$H$7:$Q$39,MATCH($E16,'Simple CEA'!$E$7:$E$39,0),MATCH(F$3,'Simple CEA'!$H$3:$Q$3,0)))</f>
        <v>0.6089414816</v>
      </c>
      <c r="H16" s="970">
        <v>0.92</v>
      </c>
      <c r="I16" s="968">
        <v>0.25</v>
      </c>
      <c r="J16" s="969">
        <f t="array" ref="J16">IF(I$3="",INDEX('Simple CEA'!$H$7:$Q$39,MATCH($E16,'Simple CEA'!$E$7:$E$39,0),MATCH(I$2,'Simple CEA'!$H$2:$Q$2,0)),INDEX('Simple CEA'!$H$7:$Q$39,MATCH($E16,'Simple CEA'!$E$7:$E$39,0),MATCH(I$3,'Simple CEA'!$H$3:$Q$3,0)))</f>
        <v>0.4916448888</v>
      </c>
      <c r="K16" s="970">
        <v>0.76</v>
      </c>
      <c r="L16" s="968">
        <v>0.15</v>
      </c>
      <c r="M16" s="969">
        <f t="array" ref="M16">IF(L$3="",INDEX('Simple CEA'!$H$7:$Q$39,MATCH($E16,'Simple CEA'!$E$7:$E$39,0),MATCH(L$2,'Simple CEA'!$H$2:$Q$2,0)),INDEX('Simple CEA'!$H$7:$Q$39,MATCH($E16,'Simple CEA'!$E$7:$E$39,0),MATCH(L$3,'Simple CEA'!$H$3:$Q$3,0)))</f>
        <v>0.3155709332</v>
      </c>
      <c r="N16" s="970">
        <v>0.51</v>
      </c>
      <c r="O16" s="968">
        <v>0.19</v>
      </c>
      <c r="P16" s="969">
        <f t="array" ref="P16">IF(O$3="",INDEX('Simple CEA'!$H$7:$Q$39,MATCH($E16,'Simple CEA'!$E$7:$E$39,0),MATCH(O$2,'Simple CEA'!$H$2:$Q$2,0)),INDEX('Simple CEA'!$H$7:$Q$39,MATCH($E16,'Simple CEA'!$E$7:$E$39,0),MATCH(O$3,'Simple CEA'!$H$3:$Q$3,0)))</f>
        <v>0.3926438401</v>
      </c>
      <c r="Q16" s="979">
        <v>0.6156760123501602</v>
      </c>
      <c r="R16" s="968">
        <v>0.27</v>
      </c>
      <c r="S16" s="969">
        <f t="array" ref="S16">IF(R$3="",INDEX('Simple CEA'!$H$7:$Q$39,MATCH($E16,'Simple CEA'!$E$7:$E$39,0),MATCH(R$2,'Simple CEA'!$H$2:$Q$2,0)),INDEX('Simple CEA'!$H$7:$Q$39,MATCH($E16,'Simple CEA'!$E$7:$E$39,0),MATCH(R$3,'Simple CEA'!$H$3:$Q$3,0)))</f>
        <v>0.5069783506</v>
      </c>
      <c r="T16" s="970">
        <v>0.79</v>
      </c>
      <c r="U16" s="968">
        <v>0.23</v>
      </c>
      <c r="V16" s="969">
        <f t="array" ref="V16">IF(U$3="",INDEX('Simple CEA'!$H$7:$Q$39,MATCH($E16,'Simple CEA'!$E$7:$E$39,0),MATCH(U$2,'Simple CEA'!$H$2:$Q$2,0)),INDEX('Simple CEA'!$H$7:$Q$39,MATCH($E16,'Simple CEA'!$E$7:$E$39,0),MATCH(U$3,'Simple CEA'!$H$3:$Q$3,0)))</f>
        <v>0.4541608686</v>
      </c>
      <c r="W16" s="970">
        <v>0.7</v>
      </c>
      <c r="X16" s="968">
        <v>0.34</v>
      </c>
      <c r="Y16" s="969">
        <f t="array" ref="Y16">IF(X$3="",INDEX('Simple CEA'!$H$7:$Q$39,MATCH($E16,'Simple CEA'!$E$7:$E$39,0),MATCH(X$2,'Simple CEA'!$H$2:$Q$2,0)),INDEX('Simple CEA'!$H$7:$Q$39,MATCH($E16,'Simple CEA'!$E$7:$E$39,0),MATCH(X$3,'Simple CEA'!$H$3:$Q$3,0)))</f>
        <v>0.6156760124</v>
      </c>
      <c r="Z16" s="970">
        <v>0.94</v>
      </c>
      <c r="AA16" s="968">
        <v>0.24</v>
      </c>
      <c r="AB16" s="969">
        <f t="array" ref="AB16">IF(AA$3="",INDEX('Simple CEA'!$H$7:$Q$39,MATCH($E16,'Simple CEA'!$E$7:$E$39,0),MATCH(AA$2,'Simple CEA'!$H$2:$Q$2,0)),INDEX('Simple CEA'!$H$7:$Q$39,MATCH($E16,'Simple CEA'!$E$7:$E$39,0),MATCH(AA$3,'Simple CEA'!$H$3:$Q$3,0)))</f>
        <v>0.4724033031</v>
      </c>
      <c r="AC16" s="970">
        <v>0.73</v>
      </c>
      <c r="AD16" s="908"/>
    </row>
    <row r="17">
      <c r="A17" s="122"/>
      <c r="B17" s="123"/>
      <c r="C17" s="162"/>
      <c r="D17" s="123"/>
      <c r="E17" s="49"/>
      <c r="F17" s="949"/>
      <c r="G17" s="950"/>
      <c r="H17" s="951"/>
      <c r="I17" s="949"/>
      <c r="J17" s="950"/>
      <c r="K17" s="951"/>
      <c r="L17" s="949"/>
      <c r="M17" s="950"/>
      <c r="N17" s="951"/>
      <c r="O17" s="949"/>
      <c r="P17" s="950"/>
      <c r="Q17" s="951"/>
      <c r="R17" s="949"/>
      <c r="S17" s="950"/>
      <c r="T17" s="951"/>
      <c r="U17" s="949"/>
      <c r="V17" s="950"/>
      <c r="W17" s="951"/>
      <c r="X17" s="949"/>
      <c r="Y17" s="950"/>
      <c r="Z17" s="951"/>
      <c r="AA17" s="949"/>
      <c r="AB17" s="950"/>
      <c r="AC17" s="951"/>
      <c r="AD17" s="903"/>
    </row>
    <row r="18">
      <c r="A18" s="122"/>
      <c r="B18" s="123"/>
      <c r="C18" s="162" t="s">
        <v>712</v>
      </c>
      <c r="F18" s="949"/>
      <c r="G18" s="950"/>
      <c r="H18" s="951"/>
      <c r="I18" s="952"/>
      <c r="J18" s="950"/>
      <c r="K18" s="954"/>
      <c r="L18" s="952"/>
      <c r="M18" s="950"/>
      <c r="N18" s="954"/>
      <c r="O18" s="952"/>
      <c r="P18" s="950"/>
      <c r="Q18" s="954"/>
      <c r="R18" s="952"/>
      <c r="S18" s="950"/>
      <c r="T18" s="954"/>
      <c r="U18" s="952"/>
      <c r="V18" s="950"/>
      <c r="W18" s="954"/>
      <c r="X18" s="952"/>
      <c r="Y18" s="950"/>
      <c r="Z18" s="954"/>
      <c r="AA18" s="952"/>
      <c r="AB18" s="950"/>
      <c r="AC18" s="954"/>
      <c r="AD18" s="903"/>
    </row>
    <row r="19">
      <c r="A19" s="122"/>
      <c r="B19" s="123"/>
      <c r="C19" s="162"/>
      <c r="D19" s="123"/>
      <c r="E19" s="602" t="s">
        <v>713</v>
      </c>
      <c r="F19" s="976">
        <v>0.43</v>
      </c>
      <c r="G19" s="977">
        <f t="array" ref="G19">IF(F$3="",INDEX('Simple CEA'!$H$7:$Q$39,MATCH($E19,'Simple CEA'!$E$7:$E$39,0),MATCH(F$2,'Simple CEA'!$H$2:$Q$2,0)),INDEX('Simple CEA'!$H$7:$Q$39,MATCH($E19,'Simple CEA'!$E$7:$E$39,0),MATCH(F$3,'Simple CEA'!$H$3:$Q$3,0)))</f>
        <v>0.529</v>
      </c>
      <c r="H19" s="978">
        <v>0.65</v>
      </c>
      <c r="I19" s="976">
        <v>0.37</v>
      </c>
      <c r="J19" s="977">
        <f t="array" ref="J19">IF(I$3="",INDEX('Simple CEA'!$H$7:$Q$39,MATCH($E19,'Simple CEA'!$E$7:$E$39,0),MATCH(I$2,'Simple CEA'!$H$2:$Q$2,0)),INDEX('Simple CEA'!$H$7:$Q$39,MATCH($E19,'Simple CEA'!$E$7:$E$39,0),MATCH(I$3,'Simple CEA'!$H$3:$Q$3,0)))</f>
        <v>0.479</v>
      </c>
      <c r="K19" s="978">
        <v>0.61</v>
      </c>
      <c r="L19" s="976">
        <v>0.27</v>
      </c>
      <c r="M19" s="977">
        <f t="array" ref="M19">IF(L$3="",INDEX('Simple CEA'!$H$7:$Q$39,MATCH($E19,'Simple CEA'!$E$7:$E$39,0),MATCH(L$2,'Simple CEA'!$H$2:$Q$2,0)),INDEX('Simple CEA'!$H$7:$Q$39,MATCH($E19,'Simple CEA'!$E$7:$E$39,0),MATCH(L$3,'Simple CEA'!$H$3:$Q$3,0)))</f>
        <v>0.379</v>
      </c>
      <c r="N19" s="978">
        <v>0.53</v>
      </c>
      <c r="O19" s="976">
        <v>0.37</v>
      </c>
      <c r="P19" s="977">
        <f t="array" ref="P19">IF(O$3="",INDEX('Simple CEA'!$H$7:$Q$39,MATCH($E19,'Simple CEA'!$E$7:$E$39,0),MATCH(O$2,'Simple CEA'!$H$2:$Q$2,0)),INDEX('Simple CEA'!$H$7:$Q$39,MATCH($E19,'Simple CEA'!$E$7:$E$39,0),MATCH(O$3,'Simple CEA'!$H$3:$Q$3,0)))</f>
        <v>0.479</v>
      </c>
      <c r="Q19" s="978">
        <v>0.61</v>
      </c>
      <c r="R19" s="976">
        <v>0.36</v>
      </c>
      <c r="S19" s="977">
        <f t="array" ref="S19">IF(R$3="",INDEX('Simple CEA'!$H$7:$Q$39,MATCH($E19,'Simple CEA'!$E$7:$E$39,0),MATCH(R$2,'Simple CEA'!$H$2:$Q$2,0)),INDEX('Simple CEA'!$H$7:$Q$39,MATCH($E19,'Simple CEA'!$E$7:$E$39,0),MATCH(R$3,'Simple CEA'!$H$3:$Q$3,0)))</f>
        <v>0.479</v>
      </c>
      <c r="T19" s="978">
        <v>0.61</v>
      </c>
      <c r="U19" s="976">
        <v>0.27</v>
      </c>
      <c r="V19" s="977">
        <f t="array" ref="V19">IF(U$3="",INDEX('Simple CEA'!$H$7:$Q$39,MATCH($E19,'Simple CEA'!$E$7:$E$39,0),MATCH(U$2,'Simple CEA'!$H$2:$Q$2,0)),INDEX('Simple CEA'!$H$7:$Q$39,MATCH($E19,'Simple CEA'!$E$7:$E$39,0),MATCH(U$3,'Simple CEA'!$H$3:$Q$3,0)))</f>
        <v>0.379</v>
      </c>
      <c r="W19" s="978">
        <v>0.51</v>
      </c>
      <c r="X19" s="976">
        <v>0.27</v>
      </c>
      <c r="Y19" s="977">
        <f t="array" ref="Y19">IF(X$3="",INDEX('Simple CEA'!$H$7:$Q$39,MATCH($E19,'Simple CEA'!$E$7:$E$39,0),MATCH(X$2,'Simple CEA'!$H$2:$Q$2,0)),INDEX('Simple CEA'!$H$7:$Q$39,MATCH($E19,'Simple CEA'!$E$7:$E$39,0),MATCH(X$3,'Simple CEA'!$H$3:$Q$3,0)))</f>
        <v>0.379</v>
      </c>
      <c r="Z19" s="978">
        <v>0.52</v>
      </c>
      <c r="AA19" s="976">
        <v>0.26</v>
      </c>
      <c r="AB19" s="977">
        <f t="array" ref="AB19">IF(AA$3="",INDEX('Simple CEA'!$H$7:$Q$39,MATCH($E19,'Simple CEA'!$E$7:$E$39,0),MATCH(AA$2,'Simple CEA'!$H$2:$Q$2,0)),INDEX('Simple CEA'!$H$7:$Q$39,MATCH($E19,'Simple CEA'!$E$7:$E$39,0),MATCH(AA$3,'Simple CEA'!$H$3:$Q$3,0)))</f>
        <v>0.379</v>
      </c>
      <c r="AC19" s="978">
        <v>0.51</v>
      </c>
      <c r="AD19" s="905"/>
    </row>
    <row r="20">
      <c r="A20" s="122"/>
      <c r="B20" s="123"/>
      <c r="C20" s="162"/>
      <c r="D20" s="123"/>
      <c r="E20" s="602" t="s">
        <v>714</v>
      </c>
      <c r="F20" s="980">
        <v>-0.2</v>
      </c>
      <c r="G20" s="981">
        <f t="array" ref="G20">IF(F$3="",INDEX('Simple CEA'!$H$7:$Q$39,MATCH($E20,'Simple CEA'!$E$7:$E$39,0),MATCH(F$2,'Simple CEA'!$H$2:$Q$2,0)),INDEX('Simple CEA'!$H$7:$Q$39,MATCH($E20,'Simple CEA'!$E$7:$E$39,0),MATCH(F$3,'Simple CEA'!$H$3:$Q$3,0)))</f>
        <v>-0.04</v>
      </c>
      <c r="H20" s="982">
        <v>-0.02</v>
      </c>
      <c r="I20" s="983">
        <v>-0.2</v>
      </c>
      <c r="J20" s="981">
        <f t="array" ref="J20">IF(I$3="",INDEX('Simple CEA'!$H$7:$Q$39,MATCH($E20,'Simple CEA'!$E$7:$E$39,0),MATCH(I$2,'Simple CEA'!$H$2:$Q$2,0)),INDEX('Simple CEA'!$H$7:$Q$39,MATCH($E20,'Simple CEA'!$E$7:$E$39,0),MATCH(I$3,'Simple CEA'!$H$3:$Q$3,0)))</f>
        <v>-0.04</v>
      </c>
      <c r="K20" s="984">
        <v>-0.02</v>
      </c>
      <c r="L20" s="983">
        <v>-0.2</v>
      </c>
      <c r="M20" s="981">
        <f t="array" ref="M20">IF(L$3="",INDEX('Simple CEA'!$H$7:$Q$39,MATCH($E20,'Simple CEA'!$E$7:$E$39,0),MATCH(L$2,'Simple CEA'!$H$2:$Q$2,0)),INDEX('Simple CEA'!$H$7:$Q$39,MATCH($E20,'Simple CEA'!$E$7:$E$39,0),MATCH(L$3,'Simple CEA'!$H$3:$Q$3,0)))</f>
        <v>-0.04</v>
      </c>
      <c r="N20" s="984">
        <v>-0.02</v>
      </c>
      <c r="O20" s="983">
        <v>-0.2</v>
      </c>
      <c r="P20" s="981">
        <f t="array" ref="P20">IF(O$3="",INDEX('Simple CEA'!$H$7:$Q$39,MATCH($E20,'Simple CEA'!$E$7:$E$39,0),MATCH(O$2,'Simple CEA'!$H$2:$Q$2,0)),INDEX('Simple CEA'!$H$7:$Q$39,MATCH($E20,'Simple CEA'!$E$7:$E$39,0),MATCH(O$3,'Simple CEA'!$H$3:$Q$3,0)))</f>
        <v>-0.04</v>
      </c>
      <c r="Q20" s="984">
        <v>-0.02</v>
      </c>
      <c r="R20" s="983">
        <v>-0.2</v>
      </c>
      <c r="S20" s="981">
        <f t="array" ref="S20">IF(R$3="",INDEX('Simple CEA'!$H$7:$Q$39,MATCH($E20,'Simple CEA'!$E$7:$E$39,0),MATCH(R$2,'Simple CEA'!$H$2:$Q$2,0)),INDEX('Simple CEA'!$H$7:$Q$39,MATCH($E20,'Simple CEA'!$E$7:$E$39,0),MATCH(R$3,'Simple CEA'!$H$3:$Q$3,0)))</f>
        <v>-0.04</v>
      </c>
      <c r="T20" s="984">
        <v>-0.02</v>
      </c>
      <c r="U20" s="983">
        <v>-0.2</v>
      </c>
      <c r="V20" s="981">
        <f t="array" ref="V20">IF(U$3="",INDEX('Simple CEA'!$H$7:$Q$39,MATCH($E20,'Simple CEA'!$E$7:$E$39,0),MATCH(U$2,'Simple CEA'!$H$2:$Q$2,0)),INDEX('Simple CEA'!$H$7:$Q$39,MATCH($E20,'Simple CEA'!$E$7:$E$39,0),MATCH(U$3,'Simple CEA'!$H$3:$Q$3,0)))</f>
        <v>-0.04</v>
      </c>
      <c r="W20" s="984">
        <v>-0.02</v>
      </c>
      <c r="X20" s="983">
        <v>-0.2</v>
      </c>
      <c r="Y20" s="981">
        <f t="array" ref="Y20">IF(X$3="",INDEX('Simple CEA'!$H$7:$Q$39,MATCH($E20,'Simple CEA'!$E$7:$E$39,0),MATCH(X$2,'Simple CEA'!$H$2:$Q$2,0)),INDEX('Simple CEA'!$H$7:$Q$39,MATCH($E20,'Simple CEA'!$E$7:$E$39,0),MATCH(X$3,'Simple CEA'!$H$3:$Q$3,0)))</f>
        <v>-0.04</v>
      </c>
      <c r="Z20" s="984">
        <v>-0.02</v>
      </c>
      <c r="AA20" s="983">
        <v>-0.2</v>
      </c>
      <c r="AB20" s="981">
        <f t="array" ref="AB20">IF(AA$3="",INDEX('Simple CEA'!$H$7:$Q$39,MATCH($E20,'Simple CEA'!$E$7:$E$39,0),MATCH(AA$2,'Simple CEA'!$H$2:$Q$2,0)),INDEX('Simple CEA'!$H$7:$Q$39,MATCH($E20,'Simple CEA'!$E$7:$E$39,0),MATCH(AA$3,'Simple CEA'!$H$3:$Q$3,0)))</f>
        <v>-0.04</v>
      </c>
      <c r="AC20" s="984">
        <v>-0.02</v>
      </c>
      <c r="AD20" s="906"/>
    </row>
    <row r="21">
      <c r="A21" s="122"/>
      <c r="B21" s="123"/>
      <c r="C21" s="162"/>
      <c r="D21" s="123"/>
      <c r="E21" s="602" t="s">
        <v>715</v>
      </c>
      <c r="F21" s="963" t="s">
        <v>144</v>
      </c>
      <c r="G21" s="981">
        <f>'Simple CEA'!I34</f>
        <v>-0.008308060237</v>
      </c>
      <c r="H21" s="963" t="s">
        <v>144</v>
      </c>
      <c r="I21" s="983" t="s">
        <v>144</v>
      </c>
      <c r="J21" s="981">
        <f>'Simple CEA'!J34</f>
        <v>-0.004114250426</v>
      </c>
      <c r="K21" s="984" t="s">
        <v>144</v>
      </c>
      <c r="L21" s="983" t="s">
        <v>144</v>
      </c>
      <c r="M21" s="981">
        <f>'Simple CEA'!K34</f>
        <v>-0.001382525591</v>
      </c>
      <c r="N21" s="984" t="s">
        <v>144</v>
      </c>
      <c r="O21" s="983" t="s">
        <v>144</v>
      </c>
      <c r="P21" s="981">
        <f>'Simple CEA'!L34</f>
        <v>-0.001698012775</v>
      </c>
      <c r="Q21" s="984" t="s">
        <v>144</v>
      </c>
      <c r="R21" s="983" t="s">
        <v>144</v>
      </c>
      <c r="S21" s="981">
        <f>'Simple CEA'!M34</f>
        <v>-0.003159222382</v>
      </c>
      <c r="T21" s="984" t="s">
        <v>144</v>
      </c>
      <c r="U21" s="983" t="s">
        <v>144</v>
      </c>
      <c r="V21" s="981">
        <f>'Simple CEA'!N34</f>
        <v>-0.01129290244</v>
      </c>
      <c r="W21" s="984" t="s">
        <v>144</v>
      </c>
      <c r="X21" s="983" t="s">
        <v>144</v>
      </c>
      <c r="Y21" s="981">
        <f>'Simple CEA'!O34</f>
        <v>-0.001691670199</v>
      </c>
      <c r="Z21" s="984" t="s">
        <v>144</v>
      </c>
      <c r="AA21" s="983" t="s">
        <v>144</v>
      </c>
      <c r="AB21" s="981">
        <f>'Simple CEA'!P34</f>
        <v>-0.001853405826</v>
      </c>
      <c r="AC21" s="984" t="s">
        <v>144</v>
      </c>
      <c r="AD21" s="906"/>
    </row>
    <row r="22">
      <c r="A22" s="122"/>
      <c r="B22" s="123"/>
      <c r="C22" s="162"/>
      <c r="D22" s="123"/>
      <c r="E22" s="592" t="s">
        <v>716</v>
      </c>
      <c r="F22" s="968">
        <v>-0.08</v>
      </c>
      <c r="G22" s="969">
        <f t="array" ref="G22">IF(F$3="",INDEX('Simple CEA'!$H$7:$Q$39,MATCH($E22,'Simple CEA'!$E$7:$E$39,0),MATCH(F$2,'Simple CEA'!$H$2:$Q$2,0)),INDEX('Simple CEA'!$H$7:$Q$39,MATCH($E22,'Simple CEA'!$E$7:$E$39,0),MATCH(F$3,'Simple CEA'!$H$3:$Q$3,0)))</f>
        <v>-0.0302403437</v>
      </c>
      <c r="H22" s="970">
        <v>0.01</v>
      </c>
      <c r="I22" s="971">
        <v>-0.29</v>
      </c>
      <c r="J22" s="969">
        <f t="array" ref="J22">IF(I$3="",INDEX('Simple CEA'!$H$7:$Q$39,MATCH($E22,'Simple CEA'!$E$7:$E$39,0),MATCH(I$2,'Simple CEA'!$H$2:$Q$2,0)),INDEX('Simple CEA'!$H$7:$Q$39,MATCH($E22,'Simple CEA'!$E$7:$E$39,0),MATCH(I$3,'Simple CEA'!$H$3:$Q$3,0)))</f>
        <v>-0.1461607338</v>
      </c>
      <c r="K22" s="972">
        <v>-0.05</v>
      </c>
      <c r="L22" s="971">
        <v>-0.54</v>
      </c>
      <c r="M22" s="969">
        <f t="array" ref="M22">IF(L$3="",INDEX('Simple CEA'!$H$7:$Q$39,MATCH($E22,'Simple CEA'!$E$7:$E$39,0),MATCH(L$2,'Simple CEA'!$H$2:$Q$2,0)),INDEX('Simple CEA'!$H$7:$Q$39,MATCH($E22,'Simple CEA'!$E$7:$E$39,0),MATCH(L$3,'Simple CEA'!$H$3:$Q$3,0)))</f>
        <v>-0.3003019883</v>
      </c>
      <c r="N22" s="972">
        <v>-0.12</v>
      </c>
      <c r="O22" s="971">
        <v>-0.5</v>
      </c>
      <c r="P22" s="969">
        <f t="array" ref="P22">IF(O$3="",INDEX('Simple CEA'!$H$7:$Q$39,MATCH($E22,'Simple CEA'!$E$7:$E$39,0),MATCH(O$2,'Simple CEA'!$H$2:$Q$2,0)),INDEX('Simple CEA'!$H$7:$Q$39,MATCH($E22,'Simple CEA'!$E$7:$E$39,0),MATCH(O$3,'Simple CEA'!$H$3:$Q$3,0)))</f>
        <v>-0.280617756</v>
      </c>
      <c r="Q22" s="972">
        <v>-0.11</v>
      </c>
      <c r="R22" s="971">
        <v>-0.27</v>
      </c>
      <c r="S22" s="969">
        <f t="array" ref="S22">IF(R$3="",INDEX('Simple CEA'!$H$7:$Q$39,MATCH($E22,'Simple CEA'!$E$7:$E$39,0),MATCH(R$2,'Simple CEA'!$H$2:$Q$2,0)),INDEX('Simple CEA'!$H$7:$Q$39,MATCH($E22,'Simple CEA'!$E$7:$E$39,0),MATCH(R$3,'Simple CEA'!$H$3:$Q$3,0)))</f>
        <v>-0.1400660492</v>
      </c>
      <c r="T22" s="972">
        <v>-0.04</v>
      </c>
      <c r="U22" s="971">
        <v>-0.13</v>
      </c>
      <c r="V22" s="969">
        <f t="array" ref="V22">IF(U$3="",INDEX('Simple CEA'!$H$7:$Q$39,MATCH($E22,'Simple CEA'!$E$7:$E$39,0),MATCH(U$2,'Simple CEA'!$H$2:$Q$2,0)),INDEX('Simple CEA'!$H$7:$Q$39,MATCH($E22,'Simple CEA'!$E$7:$E$39,0),MATCH(U$3,'Simple CEA'!$H$3:$Q$3,0)))</f>
        <v>-0.05985331551</v>
      </c>
      <c r="W22" s="972">
        <v>-0.01</v>
      </c>
      <c r="X22" s="971">
        <v>-0.72</v>
      </c>
      <c r="Y22" s="969">
        <f t="array" ref="Y22">IF(X$3="",INDEX('Simple CEA'!$H$7:$Q$39,MATCH($E22,'Simple CEA'!$E$7:$E$39,0),MATCH(X$2,'Simple CEA'!$H$2:$Q$2,0)),INDEX('Simple CEA'!$H$7:$Q$39,MATCH($E22,'Simple CEA'!$E$7:$E$39,0),MATCH(X$3,'Simple CEA'!$H$3:$Q$3,0)))</f>
        <v>-0.4161821599</v>
      </c>
      <c r="Z22" s="972">
        <v>-0.19</v>
      </c>
      <c r="AA22" s="971">
        <v>-0.58</v>
      </c>
      <c r="AB22" s="969">
        <f t="array" ref="AB22">IF(AA$3="",INDEX('Simple CEA'!$H$7:$Q$39,MATCH($E22,'Simple CEA'!$E$7:$E$39,0),MATCH(AA$2,'Simple CEA'!$H$2:$Q$2,0)),INDEX('Simple CEA'!$H$7:$Q$39,MATCH($E22,'Simple CEA'!$E$7:$E$39,0),MATCH(AA$3,'Simple CEA'!$H$3:$Q$3,0)))</f>
        <v>-0.319351647</v>
      </c>
      <c r="AC22" s="972">
        <v>-0.14</v>
      </c>
      <c r="AD22" s="908"/>
    </row>
    <row r="23">
      <c r="A23" s="483"/>
      <c r="B23" s="431"/>
      <c r="C23" s="431"/>
      <c r="D23" s="431"/>
      <c r="E23" s="431"/>
      <c r="F23" s="985"/>
      <c r="G23" s="986"/>
      <c r="H23" s="987"/>
      <c r="I23" s="985"/>
      <c r="J23" s="988"/>
      <c r="K23" s="987"/>
      <c r="L23" s="985"/>
      <c r="M23" s="988"/>
      <c r="N23" s="987"/>
      <c r="O23" s="985"/>
      <c r="P23" s="988"/>
      <c r="Q23" s="987"/>
      <c r="R23" s="985"/>
      <c r="S23" s="988"/>
      <c r="T23" s="987"/>
      <c r="U23" s="985"/>
      <c r="V23" s="988"/>
      <c r="W23" s="987"/>
      <c r="X23" s="985"/>
      <c r="Y23" s="988"/>
      <c r="Z23" s="987"/>
      <c r="AA23" s="985"/>
      <c r="AB23" s="988"/>
      <c r="AC23" s="987"/>
      <c r="AD23" s="989"/>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C14:E14"/>
    <mergeCell ref="C18:E18"/>
    <mergeCell ref="A3:E3"/>
    <mergeCell ref="A5:E5"/>
    <mergeCell ref="F5:H5"/>
    <mergeCell ref="I5:K5"/>
    <mergeCell ref="L5:N5"/>
    <mergeCell ref="A6:E6"/>
    <mergeCell ref="C8:E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15" width="7.63"/>
    <col customWidth="1" min="16" max="16" width="9.38"/>
    <col customWidth="1" min="17" max="18" width="7.63"/>
    <col customWidth="1" min="19" max="19" width="9.38"/>
    <col customWidth="1" min="20" max="21" width="7.63"/>
    <col customWidth="1" min="22" max="22" width="9.38"/>
    <col customWidth="1" min="23" max="24" width="7.63"/>
    <col customWidth="1" min="25" max="25" width="9.38"/>
    <col customWidth="1" min="26" max="27" width="7.63"/>
    <col customWidth="1" min="28" max="28" width="9.38"/>
    <col customWidth="1" min="29" max="29" width="7.63"/>
    <col customWidth="1" min="30" max="30" width="5.25"/>
  </cols>
  <sheetData>
    <row r="1">
      <c r="A1" s="87"/>
      <c r="B1" s="88"/>
      <c r="C1" s="88"/>
      <c r="D1" s="88"/>
      <c r="E1" s="537"/>
      <c r="F1" s="926" t="s">
        <v>117</v>
      </c>
      <c r="G1" s="2"/>
      <c r="H1" s="2"/>
      <c r="I1" s="2"/>
      <c r="J1" s="2"/>
      <c r="K1" s="2"/>
      <c r="L1" s="2"/>
      <c r="M1" s="2"/>
      <c r="N1" s="2"/>
      <c r="O1" s="2"/>
      <c r="P1" s="2"/>
      <c r="Q1" s="2"/>
      <c r="R1" s="2"/>
      <c r="S1" s="2"/>
      <c r="T1" s="2"/>
      <c r="U1" s="2"/>
      <c r="V1" s="2"/>
      <c r="W1" s="2"/>
      <c r="X1" s="2"/>
      <c r="Y1" s="2"/>
      <c r="Z1" s="2"/>
      <c r="AA1" s="2"/>
      <c r="AB1" s="2"/>
      <c r="AC1" s="927"/>
      <c r="AD1" s="896"/>
    </row>
    <row r="2">
      <c r="A2" s="95"/>
      <c r="B2" s="96"/>
      <c r="C2" s="96"/>
      <c r="D2" s="96"/>
      <c r="E2" s="541"/>
      <c r="F2" s="926" t="s">
        <v>118</v>
      </c>
      <c r="G2" s="2"/>
      <c r="H2" s="927"/>
      <c r="I2" s="928" t="s">
        <v>119</v>
      </c>
      <c r="J2" s="2"/>
      <c r="K2" s="927"/>
      <c r="L2" s="928" t="s">
        <v>120</v>
      </c>
      <c r="M2" s="2"/>
      <c r="N2" s="927"/>
      <c r="O2" s="928" t="s">
        <v>121</v>
      </c>
      <c r="P2" s="2"/>
      <c r="Q2" s="927"/>
      <c r="R2" s="928" t="s">
        <v>121</v>
      </c>
      <c r="S2" s="2"/>
      <c r="T2" s="927"/>
      <c r="U2" s="928" t="s">
        <v>122</v>
      </c>
      <c r="V2" s="2"/>
      <c r="W2" s="927"/>
      <c r="X2" s="928" t="s">
        <v>123</v>
      </c>
      <c r="Y2" s="2"/>
      <c r="Z2" s="927"/>
      <c r="AA2" s="928" t="s">
        <v>124</v>
      </c>
      <c r="AB2" s="2"/>
      <c r="AC2" s="927"/>
      <c r="AD2" s="929"/>
    </row>
    <row r="3">
      <c r="A3" s="95" t="s">
        <v>18</v>
      </c>
      <c r="F3" s="930"/>
      <c r="G3" s="931"/>
      <c r="H3" s="932"/>
      <c r="I3" s="933"/>
      <c r="J3" s="101"/>
      <c r="K3" s="102"/>
      <c r="L3" s="933"/>
      <c r="M3" s="101"/>
      <c r="N3" s="102"/>
      <c r="O3" s="933" t="s">
        <v>129</v>
      </c>
      <c r="Q3" s="934"/>
      <c r="R3" s="933" t="s">
        <v>130</v>
      </c>
      <c r="T3" s="934"/>
      <c r="U3" s="933"/>
      <c r="W3" s="934"/>
      <c r="X3" s="933"/>
      <c r="Z3" s="934"/>
      <c r="AA3" s="933"/>
      <c r="AB3" s="101"/>
      <c r="AC3" s="102"/>
      <c r="AD3" s="929"/>
    </row>
    <row r="4">
      <c r="A4" s="95"/>
      <c r="B4" s="935"/>
      <c r="C4" s="935"/>
      <c r="D4" s="935"/>
      <c r="E4" s="935"/>
      <c r="F4" s="936" t="s">
        <v>720</v>
      </c>
      <c r="G4" s="108" t="s">
        <v>721</v>
      </c>
      <c r="H4" s="937" t="s">
        <v>722</v>
      </c>
      <c r="I4" s="938" t="s">
        <v>720</v>
      </c>
      <c r="J4" s="108" t="s">
        <v>721</v>
      </c>
      <c r="K4" s="109" t="s">
        <v>722</v>
      </c>
      <c r="L4" s="938" t="s">
        <v>720</v>
      </c>
      <c r="M4" s="108" t="s">
        <v>721</v>
      </c>
      <c r="N4" s="109" t="s">
        <v>722</v>
      </c>
      <c r="O4" s="938" t="s">
        <v>720</v>
      </c>
      <c r="P4" s="108" t="s">
        <v>721</v>
      </c>
      <c r="Q4" s="109" t="s">
        <v>722</v>
      </c>
      <c r="R4" s="938" t="s">
        <v>720</v>
      </c>
      <c r="S4" s="108" t="s">
        <v>721</v>
      </c>
      <c r="T4" s="109" t="s">
        <v>722</v>
      </c>
      <c r="U4" s="938" t="s">
        <v>720</v>
      </c>
      <c r="V4" s="108" t="s">
        <v>721</v>
      </c>
      <c r="W4" s="109" t="s">
        <v>722</v>
      </c>
      <c r="X4" s="938" t="s">
        <v>720</v>
      </c>
      <c r="Y4" s="108" t="s">
        <v>721</v>
      </c>
      <c r="Z4" s="109" t="s">
        <v>722</v>
      </c>
      <c r="AA4" s="938" t="s">
        <v>720</v>
      </c>
      <c r="AB4" s="108" t="s">
        <v>721</v>
      </c>
      <c r="AC4" s="109" t="s">
        <v>722</v>
      </c>
      <c r="AD4" s="939"/>
    </row>
    <row r="5">
      <c r="A5" s="940" t="s">
        <v>723</v>
      </c>
      <c r="B5" s="2"/>
      <c r="C5" s="2"/>
      <c r="D5" s="2"/>
      <c r="E5" s="2"/>
      <c r="F5" s="941">
        <f>'Main CEA'!I203</f>
        <v>4.820299402</v>
      </c>
      <c r="G5" s="54"/>
      <c r="H5" s="942"/>
      <c r="I5" s="941">
        <f>'Main CEA'!J203</f>
        <v>14.62902526</v>
      </c>
      <c r="J5" s="54"/>
      <c r="K5" s="942"/>
      <c r="L5" s="941">
        <f>'Main CEA'!K203</f>
        <v>22.79223041</v>
      </c>
      <c r="M5" s="54"/>
      <c r="N5" s="942"/>
      <c r="O5" s="941">
        <f>'Main CEA'!L203</f>
        <v>16.77873555</v>
      </c>
      <c r="P5" s="54"/>
      <c r="Q5" s="942"/>
      <c r="R5" s="941">
        <f>'Main CEA'!M203</f>
        <v>13.25042655</v>
      </c>
      <c r="S5" s="54"/>
      <c r="T5" s="942"/>
      <c r="U5" s="941">
        <f>'Main CEA'!N203</f>
        <v>7.163000428</v>
      </c>
      <c r="V5" s="54"/>
      <c r="W5" s="942"/>
      <c r="X5" s="941">
        <f>'Main CEA'!O203</f>
        <v>8.806165397</v>
      </c>
      <c r="Y5" s="54"/>
      <c r="Z5" s="942"/>
      <c r="AA5" s="941">
        <f>'Main CEA'!P203</f>
        <v>15.60303965</v>
      </c>
      <c r="AB5" s="54"/>
      <c r="AC5" s="942"/>
      <c r="AD5" s="943"/>
    </row>
    <row r="6">
      <c r="A6" s="990" t="s">
        <v>725</v>
      </c>
      <c r="B6" s="6"/>
      <c r="C6" s="6"/>
      <c r="D6" s="6"/>
      <c r="E6" s="6"/>
      <c r="F6" s="991"/>
      <c r="G6" s="992"/>
      <c r="H6" s="993"/>
      <c r="I6" s="991"/>
      <c r="J6" s="992"/>
      <c r="K6" s="993"/>
      <c r="L6" s="991"/>
      <c r="M6" s="992"/>
      <c r="N6" s="993"/>
      <c r="O6" s="994"/>
      <c r="P6" s="995"/>
      <c r="Q6" s="996"/>
      <c r="R6" s="994"/>
      <c r="S6" s="995"/>
      <c r="T6" s="996"/>
      <c r="U6" s="994"/>
      <c r="V6" s="995"/>
      <c r="W6" s="996"/>
      <c r="X6" s="994"/>
      <c r="Y6" s="995"/>
      <c r="Z6" s="996"/>
      <c r="AA6" s="991"/>
      <c r="AB6" s="992"/>
      <c r="AC6" s="993"/>
      <c r="AD6" s="991"/>
    </row>
    <row r="7">
      <c r="A7" s="990" t="s">
        <v>726</v>
      </c>
      <c r="B7" s="6"/>
      <c r="C7" s="6"/>
      <c r="D7" s="6"/>
      <c r="E7" s="6"/>
      <c r="F7" s="997"/>
      <c r="G7" s="998"/>
      <c r="H7" s="999"/>
      <c r="I7" s="997"/>
      <c r="J7" s="998"/>
      <c r="K7" s="999"/>
      <c r="L7" s="997"/>
      <c r="M7" s="998"/>
      <c r="N7" s="999"/>
      <c r="O7" s="997"/>
      <c r="P7" s="995"/>
      <c r="Q7" s="999"/>
      <c r="R7" s="997"/>
      <c r="S7" s="995"/>
      <c r="T7" s="999"/>
      <c r="U7" s="997"/>
      <c r="V7" s="995"/>
      <c r="W7" s="999"/>
      <c r="X7" s="997"/>
      <c r="Y7" s="995"/>
      <c r="Z7" s="999"/>
      <c r="AA7" s="997"/>
      <c r="AB7" s="998"/>
      <c r="AC7" s="999"/>
      <c r="AD7" s="997"/>
    </row>
    <row r="8" hidden="1">
      <c r="A8" s="50"/>
      <c r="B8" s="50"/>
      <c r="C8" s="22"/>
      <c r="D8" s="22"/>
      <c r="E8" s="1000" t="s">
        <v>727</v>
      </c>
      <c r="F8" s="1001" t="s">
        <v>728</v>
      </c>
      <c r="G8" s="1002"/>
      <c r="H8" s="1003"/>
      <c r="I8" s="1004"/>
      <c r="J8" s="1002"/>
      <c r="K8" s="1003"/>
      <c r="L8" s="1004"/>
      <c r="M8" s="1002"/>
      <c r="N8" s="1003"/>
      <c r="O8" s="1003"/>
      <c r="P8" s="1002"/>
      <c r="Q8" s="1003"/>
      <c r="R8" s="1003"/>
      <c r="S8" s="1002"/>
      <c r="T8" s="1003"/>
      <c r="U8" s="1003"/>
      <c r="V8" s="1002"/>
      <c r="W8" s="1003"/>
      <c r="X8" s="1003"/>
      <c r="Y8" s="1002"/>
      <c r="Z8" s="1003"/>
      <c r="AA8" s="1004"/>
      <c r="AB8" s="1002"/>
      <c r="AC8" s="1003"/>
      <c r="AD8" s="1004"/>
    </row>
    <row r="9">
      <c r="A9" s="81"/>
      <c r="B9" s="50"/>
      <c r="C9" s="22"/>
      <c r="D9" s="50"/>
      <c r="E9" s="1005" t="str">
        <f t="shared" ref="E9:E20" si="1">E27</f>
        <v>Grant size</v>
      </c>
      <c r="F9" s="1006"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1007" t="s">
        <v>144</v>
      </c>
      <c r="H9" s="1008"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006"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009" t="s">
        <v>144</v>
      </c>
      <c r="K9" s="1008"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006"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009" t="s">
        <v>144</v>
      </c>
      <c r="N9" s="1008"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010" t="str">
        <f>IFERROR(__xludf.DUMMYFUNCTION("IFERROR(FILTER(IMPORTRANGE($F$8,""'Sensitivity [""&amp;if(O$3="""",O$2,O$2&amp;"", ""&amp;O$3)&amp;""]'!B1:B20""), IMPORTRANGE($F$8,""'Sensitivity [""&amp;if(O$3="""",O$2,O$2&amp;"", ""&amp;O$3)&amp;""]'!A1:A20"")=$E9), ""-"")"),"-")</f>
        <v>-</v>
      </c>
      <c r="P9" s="1009" t="s">
        <v>144</v>
      </c>
      <c r="Q9" s="1011" t="str">
        <f>IFERROR(__xludf.DUMMYFUNCTION("IFERROR(FILTER(IMPORTRANGE($F$8,""'Sensitivity [""&amp;if(O$3="""",O$2,O$2&amp;"", ""&amp;O$3)&amp;""]'!C1:C20""), IMPORTRANGE($F$8,""'Sensitivity [""&amp;if(O$3="""",O$2,O$2&amp;"", ""&amp;O$3)&amp;""]'!A1:A20"")=$E9), ""-"")"),"-")</f>
        <v>-</v>
      </c>
      <c r="R9" s="1010" t="str">
        <f>IFERROR(__xludf.DUMMYFUNCTION("IFERROR(FILTER(IMPORTRANGE($F$8,""'Sensitivity [""&amp;if(R$3="""",R$2,R$2&amp;"", ""&amp;R$3)&amp;""]'!B1:B20""), IMPORTRANGE($F$8,""'Sensitivity [""&amp;if(R$3="""",R$2,R$2&amp;"", ""&amp;R$3)&amp;""]'!A1:A20"")=$E9), ""-"")"),"-")</f>
        <v>-</v>
      </c>
      <c r="S9" s="1009" t="s">
        <v>144</v>
      </c>
      <c r="T9" s="1011" t="str">
        <f>IFERROR(__xludf.DUMMYFUNCTION("IFERROR(FILTER(IMPORTRANGE($F$8,""'Sensitivity [""&amp;if(R$3="""",R$2,R$2&amp;"", ""&amp;R$3)&amp;""]'!C1:C20""), IMPORTRANGE($F$8,""'Sensitivity [""&amp;if(R$3="""",R$2,R$2&amp;"", ""&amp;R$3)&amp;""]'!A1:A20"")=$E9), ""-"")"),"-")</f>
        <v>-</v>
      </c>
      <c r="U9" s="1010" t="str">
        <f>IFERROR(__xludf.DUMMYFUNCTION("IFERROR(FILTER(IMPORTRANGE($F$8,""'Sensitivity [""&amp;if(U$3="""",U$2,U$2&amp;"", ""&amp;U$3)&amp;""]'!B1:B20""), IMPORTRANGE($F$8,""'Sensitivity [""&amp;if(U$3="""",U$2,U$2&amp;"", ""&amp;U$3)&amp;""]'!A1:A20"")=$E9), ""-"")"),"-")</f>
        <v>-</v>
      </c>
      <c r="V9" s="1009" t="s">
        <v>144</v>
      </c>
      <c r="W9" s="1011" t="str">
        <f>IFERROR(__xludf.DUMMYFUNCTION("IFERROR(FILTER(IMPORTRANGE($F$8,""'Sensitivity [""&amp;if(U$3="""",U$2,U$2&amp;"", ""&amp;U$3)&amp;""]'!C1:C20""), IMPORTRANGE($F$8,""'Sensitivity [""&amp;if(U$3="""",U$2,U$2&amp;"", ""&amp;U$3)&amp;""]'!A1:A20"")=$E9), ""-"")"),"-")</f>
        <v>-</v>
      </c>
      <c r="X9" s="1010" t="str">
        <f>IFERROR(__xludf.DUMMYFUNCTION("IFERROR(FILTER(IMPORTRANGE($F$8,""'Sensitivity [""&amp;if(X$3="""",X$2,X$2&amp;"", ""&amp;X$3)&amp;""]'!B1:B20""), IMPORTRANGE($F$8,""'Sensitivity [""&amp;if(X$3="""",X$2,X$2&amp;"", ""&amp;X$3)&amp;""]'!A1:A20"")=$E9), ""-"")"),"-")</f>
        <v>-</v>
      </c>
      <c r="Y9" s="1009" t="s">
        <v>144</v>
      </c>
      <c r="Z9" s="1011" t="str">
        <f>IFERROR(__xludf.DUMMYFUNCTION("IFERROR(FILTER(IMPORTRANGE($F$8,""'Sensitivity [""&amp;if(X$3="""",X$2,X$2&amp;"", ""&amp;X$3)&amp;""]'!C1:C20""), IMPORTRANGE($F$8,""'Sensitivity [""&amp;if(X$3="""",X$2,X$2&amp;"", ""&amp;X$3)&amp;""]'!A1:A20"")=$E9), ""-"")"),"-")</f>
        <v>-</v>
      </c>
      <c r="AA9" s="1006"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009" t="s">
        <v>144</v>
      </c>
      <c r="AC9" s="1008"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006"/>
    </row>
    <row r="10">
      <c r="A10" s="81"/>
      <c r="B10" s="50"/>
      <c r="C10" s="22"/>
      <c r="D10" s="50"/>
      <c r="E10" s="1012" t="str">
        <f t="shared" si="1"/>
        <v>Cost per person under age five reached</v>
      </c>
      <c r="F10" s="1006">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"),5.427305068523934)</f>
        <v>5.427305069</v>
      </c>
      <c r="G10" s="1007" t="s">
        <v>144</v>
      </c>
      <c r="H10" s="1008">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"),3.4124246292413427)</f>
        <v>3.412424629</v>
      </c>
      <c r="I10" s="1006">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"),17.513392733335643)</f>
        <v>17.51339273</v>
      </c>
      <c r="J10" s="1007" t="s">
        <v>144</v>
      </c>
      <c r="K10" s="1008">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"),9.909147044880195)</f>
        <v>9.909147045</v>
      </c>
      <c r="L10" s="1006">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"),26.140322779230228)</f>
        <v>26.14032278</v>
      </c>
      <c r="M10" s="1007" t="s">
        <v>144</v>
      </c>
      <c r="N10" s="1008">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"),16.079666547489857)</f>
        <v>16.07966655</v>
      </c>
      <c r="O10" s="1006">
        <f>IFERROR(__xludf.DUMMYFUNCTION("IFERROR(FILTER(IMPORTRANGE($F$8,""'Sensitivity [""&amp;if(O$3="""",O$2,O$2&amp;"", ""&amp;O$3)&amp;""]'!B1:B20""), IMPORTRANGE($F$8,""'Sensitivity [""&amp;if(O$3="""",O$2,O$2&amp;"", ""&amp;O$3)&amp;""]'!A1:A20"")=$E10), ""-"")"),19.956683481218736)</f>
        <v>19.95668348</v>
      </c>
      <c r="P10" s="1007" t="s">
        <v>144</v>
      </c>
      <c r="Q10" s="1008">
        <f>IFERROR(__xludf.DUMMYFUNCTION("IFERROR(FILTER(IMPORTRANGE($F$8,""'Sensitivity [""&amp;if(O$3="""",O$2,O$2&amp;"", ""&amp;O$3)&amp;""]'!C1:C20""), IMPORTRANGE($F$8,""'Sensitivity [""&amp;if(O$3="""",O$2,O$2&amp;"", ""&amp;O$3)&amp;""]'!A1:A20"")=$E10), ""-"")"),11.949949787146378)</f>
        <v>11.94994979</v>
      </c>
      <c r="R10" s="1006">
        <f>IFERROR(__xludf.DUMMYFUNCTION("IFERROR(FILTER(IMPORTRANGE($F$8,""'Sensitivity [""&amp;if(R$3="""",R$2,R$2&amp;"", ""&amp;R$3)&amp;""]'!B1:B20""), IMPORTRANGE($F$8,""'Sensitivity [""&amp;if(R$3="""",R$2,R$2&amp;"", ""&amp;R$3)&amp;""]'!A1:A20"")=$E10), ""-"")"),15.985850698747338)</f>
        <v>15.9858507</v>
      </c>
      <c r="S10" s="1007" t="s">
        <v>144</v>
      </c>
      <c r="T10" s="1008">
        <f>IFERROR(__xludf.DUMMYFUNCTION("IFERROR(FILTER(IMPORTRANGE($F$8,""'Sensitivity [""&amp;if(R$3="""",R$2,R$2&amp;"", ""&amp;R$3)&amp;""]'!C1:C20""), IMPORTRANGE($F$8,""'Sensitivity [""&amp;if(R$3="""",R$2,R$2&amp;"", ""&amp;R$3)&amp;""]'!A1:A20"")=$E10), ""-"")"),9.981327017453976)</f>
        <v>9.981327017</v>
      </c>
      <c r="U10" s="1006">
        <f>IFERROR(__xludf.DUMMYFUNCTION("IFERROR(FILTER(IMPORTRANGE($F$8,""'Sensitivity [""&amp;if(U$3="""",U$2,U$2&amp;"", ""&amp;U$3)&amp;""]'!B1:B20""), IMPORTRANGE($F$8,""'Sensitivity [""&amp;if(U$3="""",U$2,U$2&amp;"", ""&amp;U$3)&amp;""]'!A1:A20"")=$E10), ""-"")"),8.243676843351158)</f>
        <v>8.243676843</v>
      </c>
      <c r="V10" s="1007" t="s">
        <v>144</v>
      </c>
      <c r="W10" s="1008">
        <f>IFERROR(__xludf.DUMMYFUNCTION("IFERROR(FILTER(IMPORTRANGE($F$8,""'Sensitivity [""&amp;if(U$3="""",U$2,U$2&amp;"", ""&amp;U$3)&amp;""]'!C1:C20""), IMPORTRANGE($F$8,""'Sensitivity [""&amp;if(U$3="""",U$2,U$2&amp;"", ""&amp;U$3)&amp;""]'!A1:A20"")=$E10), ""-"")"),4.920212530378506)</f>
        <v>4.92021253</v>
      </c>
      <c r="X10" s="1006">
        <f>IFERROR(__xludf.DUMMYFUNCTION("IFERROR(FILTER(IMPORTRANGE($F$8,""'Sensitivity [""&amp;if(X$3="""",X$2,X$2&amp;"", ""&amp;X$3)&amp;""]'!B1:B20""), IMPORTRANGE($F$8,""'Sensitivity [""&amp;if(X$3="""",X$2,X$2&amp;"", ""&amp;X$3)&amp;""]'!A1:A20"")=$E10), ""-"")"),9.864395562244082)</f>
        <v>9.864395562</v>
      </c>
      <c r="Y10" s="1007" t="s">
        <v>144</v>
      </c>
      <c r="Z10" s="1008">
        <f>IFERROR(__xludf.DUMMYFUNCTION("IFERROR(FILTER(IMPORTRANGE($F$8,""'Sensitivity [""&amp;if(X$3="""",X$2,X$2&amp;"", ""&amp;X$3)&amp;""]'!C1:C20""), IMPORTRANGE($F$8,""'Sensitivity [""&amp;if(X$3="""",X$2,X$2&amp;"", ""&amp;X$3)&amp;""]'!A1:A20"")=$E10), ""-"")"),6.066820275082223)</f>
        <v>6.066820275</v>
      </c>
      <c r="AA10" s="1013">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"),17.892505058819538)</f>
        <v>17.89250506</v>
      </c>
      <c r="AB10" s="1014" t="s">
        <v>144</v>
      </c>
      <c r="AC10" s="1015">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"),10.930715380987664)</f>
        <v>10.93071538</v>
      </c>
      <c r="AD10" s="1006"/>
    </row>
    <row r="11">
      <c r="A11" s="81"/>
      <c r="B11" s="50"/>
      <c r="C11" s="22"/>
      <c r="D11" s="50"/>
      <c r="E11" s="1016" t="str">
        <f t="shared" si="1"/>
        <v>Years of effective coverage provided by nets</v>
      </c>
      <c r="F11" s="1006">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"),3.6990582405029597)</f>
        <v>3.699058241</v>
      </c>
      <c r="G11" s="1007" t="s">
        <v>144</v>
      </c>
      <c r="H11" s="1008">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"),5.671889302104529)</f>
        <v>5.671889302</v>
      </c>
      <c r="I11" s="1006">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"),10.977834791849496)</f>
        <v>10.97783479</v>
      </c>
      <c r="J11" s="1007" t="s">
        <v>144</v>
      </c>
      <c r="K11" s="1008">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"),19.516150741065815)</f>
        <v>19.51615074</v>
      </c>
      <c r="L11" s="1006">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"),17.509434833016677)</f>
        <v>17.50943483</v>
      </c>
      <c r="M11" s="1007" t="s">
        <v>144</v>
      </c>
      <c r="N11" s="1008">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"),26.847800077292227)</f>
        <v>26.84780008</v>
      </c>
      <c r="O11" s="1006">
        <f>IFERROR(__xludf.DUMMYFUNCTION("IFERROR(FILTER(IMPORTRANGE($F$8,""'Sensitivity [""&amp;if(O$3="""",O$2,O$2&amp;"", ""&amp;O$3)&amp;""]'!B1:B20""), IMPORTRANGE($F$8,""'Sensitivity [""&amp;if(O$3="""",O$2,O$2&amp;"", ""&amp;O$3)&amp;""]'!A1:A20"")=$E11), ""-"")"),13.121280499170279)</f>
        <v>13.1212805</v>
      </c>
      <c r="P11" s="1007" t="s">
        <v>144</v>
      </c>
      <c r="Q11" s="1008">
        <f>IFERROR(__xludf.DUMMYFUNCTION("IFERROR(FILTER(IMPORTRANGE($F$8,""'Sensitivity [""&amp;if(O$3="""",O$2,O$2&amp;"", ""&amp;O$3)&amp;""]'!C1:C20""), IMPORTRANGE($F$8,""'Sensitivity [""&amp;if(O$3="""",O$2,O$2&amp;"", ""&amp;O$3)&amp;""]'!A1:A20"")=$E11), ""-"")"),20.119296765394456)</f>
        <v>20.11929677</v>
      </c>
      <c r="R11" s="1006">
        <f>IFERROR(__xludf.DUMMYFUNCTION("IFERROR(FILTER(IMPORTRANGE($F$8,""'Sensitivity [""&amp;if(R$3="""",R$2,R$2&amp;"", ""&amp;R$3)&amp;""]'!B1:B20""), IMPORTRANGE($F$8,""'Sensitivity [""&amp;if(R$3="""",R$2,R$2&amp;"", ""&amp;R$3)&amp;""]'!A1:A20"")=$E11), ""-"")"),10.60043168738973)</f>
        <v>10.60043169</v>
      </c>
      <c r="S11" s="1007" t="s">
        <v>144</v>
      </c>
      <c r="T11" s="1008">
        <f>IFERROR(__xludf.DUMMYFUNCTION("IFERROR(FILTER(IMPORTRANGE($F$8,""'Sensitivity [""&amp;if(R$3="""",R$2,R$2&amp;"", ""&amp;R$3)&amp;""]'!C1:C20""), IMPORTRANGE($F$8,""'Sensitivity [""&amp;if(R$3="""",R$2,R$2&amp;"", ""&amp;R$3)&amp;""]'!A1:A20"")=$E11), ""-"")"),19.0807770373016)</f>
        <v>19.08077704</v>
      </c>
      <c r="U11" s="1006">
        <f>IFERROR(__xludf.DUMMYFUNCTION("IFERROR(FILTER(IMPORTRANGE($F$8,""'Sensitivity [""&amp;if(U$3="""",U$2,U$2&amp;"", ""&amp;U$3)&amp;""]'!B1:B20""), IMPORTRANGE($F$8,""'Sensitivity [""&amp;if(U$3="""",U$2,U$2&amp;"", ""&amp;U$3)&amp;""]'!A1:A20"")=$E11), ""-"")"),5.150210679352439)</f>
        <v>5.150210679</v>
      </c>
      <c r="V11" s="1007" t="s">
        <v>144</v>
      </c>
      <c r="W11" s="1008">
        <f>IFERROR(__xludf.DUMMYFUNCTION("IFERROR(FILTER(IMPORTRANGE($F$8,""'Sensitivity [""&amp;if(U$3="""",U$2,U$2&amp;"", ""&amp;U$3)&amp;""]'!C1:C20""), IMPORTRANGE($F$8,""'Sensitivity [""&amp;if(U$3="""",U$2,U$2&amp;"", ""&amp;U$3)&amp;""]'!A1:A20"")=$E11), ""-"")"),10.300421358704877)</f>
        <v>10.30042136</v>
      </c>
      <c r="X11" s="1006">
        <f>IFERROR(__xludf.DUMMYFUNCTION("IFERROR(FILTER(IMPORTRANGE($F$8,""'Sensitivity [""&amp;if(X$3="""",X$2,X$2&amp;"", ""&amp;X$3)&amp;""]'!B1:B20""), IMPORTRANGE($F$8,""'Sensitivity [""&amp;if(X$3="""",X$2,X$2&amp;"", ""&amp;X$3)&amp;""]'!A1:A20"")=$E11), ""-"")"),6.668213516762782)</f>
        <v>6.668213517</v>
      </c>
      <c r="Y11" s="1007" t="s">
        <v>144</v>
      </c>
      <c r="Z11" s="1008">
        <f>IFERROR(__xludf.DUMMYFUNCTION("IFERROR(FILTER(IMPORTRANGE($F$8,""'Sensitivity [""&amp;if(X$3="""",X$2,X$2&amp;"", ""&amp;X$3)&amp;""]'!C1:C20""), IMPORTRANGE($F$8,""'Sensitivity [""&amp;if(X$3="""",X$2,X$2&amp;"", ""&amp;X$3)&amp;""]'!A1:A20"")=$E11), ""-"")"),10.22459405903629)</f>
        <v>10.22459406</v>
      </c>
      <c r="AA11" s="1013">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"),11.9264171483257)</f>
        <v>11.92641715</v>
      </c>
      <c r="AB11" s="1014" t="s">
        <v>144</v>
      </c>
      <c r="AC11" s="1015">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"),18.287172960766075)</f>
        <v>18.28717296</v>
      </c>
      <c r="AD11" s="1006"/>
    </row>
    <row r="12">
      <c r="A12" s="81"/>
      <c r="B12" s="50"/>
      <c r="C12" s="22"/>
      <c r="D12" s="22"/>
      <c r="E12" s="1017" t="str">
        <f t="shared" si="1"/>
        <v>Malaria-attributable mortality rate among people under age five</v>
      </c>
      <c r="F12" s="1006">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"),1.2793045168206134)</f>
        <v>1.279304517</v>
      </c>
      <c r="G12" s="1007" t="s">
        <v>144</v>
      </c>
      <c r="H12" s="1008">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"),8.635305488539151)</f>
        <v>8.635305489</v>
      </c>
      <c r="I12" s="1006">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"),8.452456931464944)</f>
        <v>8.452456931</v>
      </c>
      <c r="J12" s="1007" t="s">
        <v>144</v>
      </c>
      <c r="K12" s="1008">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"),20.763644201207498)</f>
        <v>20.7636442</v>
      </c>
      <c r="L12" s="1006">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"),13.32383249040366)</f>
        <v>13.32383249</v>
      </c>
      <c r="M12" s="1007" t="s">
        <v>144</v>
      </c>
      <c r="N12" s="1008">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"),31.003533294977732)</f>
        <v>31.00353329</v>
      </c>
      <c r="O12" s="1006">
        <f>IFERROR(__xludf.DUMMYFUNCTION("IFERROR(FILTER(IMPORTRANGE($F$8,""'Sensitivity [""&amp;if(O$3="""",O$2,O$2&amp;"", ""&amp;O$3)&amp;""]'!B1:B20""), IMPORTRANGE($F$8,""'Sensitivity [""&amp;if(O$3="""",O$2,O$2&amp;"", ""&amp;O$3)&amp;""]'!A1:A20"")=$E12), ""-"")"),8.835972303303247)</f>
        <v>8.835972303</v>
      </c>
      <c r="P12" s="1007" t="s">
        <v>144</v>
      </c>
      <c r="Q12" s="1008">
        <f>IFERROR(__xludf.DUMMYFUNCTION("IFERROR(FILTER(IMPORTRANGE($F$8,""'Sensitivity [""&amp;if(O$3="""",O$2,O$2&amp;"", ""&amp;O$3)&amp;""]'!C1:C20""), IMPORTRANGE($F$8,""'Sensitivity [""&amp;if(O$3="""",O$2,O$2&amp;"", ""&amp;O$3)&amp;""]'!A1:A20"")=$E12), ""-"")"),25.561205591698705)</f>
        <v>25.56120559</v>
      </c>
      <c r="R12" s="1006">
        <f>IFERROR(__xludf.DUMMYFUNCTION("IFERROR(FILTER(IMPORTRANGE($F$8,""'Sensitivity [""&amp;if(R$3="""",R$2,R$2&amp;"", ""&amp;R$3)&amp;""]'!B1:B20""), IMPORTRANGE($F$8,""'Sensitivity [""&amp;if(R$3="""",R$2,R$2&amp;"", ""&amp;R$3)&amp;""]'!A1:A20"")=$E12), ""-"")"),6.029357735205674)</f>
        <v>6.029357735</v>
      </c>
      <c r="S12" s="1007" t="s">
        <v>144</v>
      </c>
      <c r="T12" s="1008">
        <f>IFERROR(__xludf.DUMMYFUNCTION("IFERROR(FILTER(IMPORTRANGE($F$8,""'Sensitivity [""&amp;if(R$3="""",R$2,R$2&amp;"", ""&amp;R$3)&amp;""]'!C1:C20""), IMPORTRANGE($F$8,""'Sensitivity [""&amp;if(R$3="""",R$2,R$2&amp;"", ""&amp;R$3)&amp;""]'!A1:A20"")=$E12), ""-"")"),21.8205327559824)</f>
        <v>21.82053276</v>
      </c>
      <c r="U12" s="1006">
        <f>IFERROR(__xludf.DUMMYFUNCTION("IFERROR(FILTER(IMPORTRANGE($F$8,""'Sensitivity [""&amp;if(U$3="""",U$2,U$2&amp;"", ""&amp;U$3)&amp;""]'!B1:B20""), IMPORTRANGE($F$8,""'Sensitivity [""&amp;if(U$3="""",U$2,U$2&amp;"", ""&amp;U$3)&amp;""]'!A1:A20"")=$E12), ""-"")"),3.490537347021763)</f>
        <v>3.490537347</v>
      </c>
      <c r="V12" s="1007" t="s">
        <v>144</v>
      </c>
      <c r="W12" s="1008">
        <f>IFERROR(__xludf.DUMMYFUNCTION("IFERROR(FILTER(IMPORTRANGE($F$8,""'Sensitivity [""&amp;if(U$3="""",U$2,U$2&amp;"", ""&amp;U$3)&amp;""]'!C1:C20""), IMPORTRANGE($F$8,""'Sensitivity [""&amp;if(U$3="""",U$2,U$2&amp;"", ""&amp;U$3)&amp;""]'!A1:A20"")=$E12), ""-"")"),10.7624901533171)</f>
        <v>10.76249015</v>
      </c>
      <c r="X12" s="1006">
        <f>IFERROR(__xludf.DUMMYFUNCTION("IFERROR(FILTER(IMPORTRANGE($F$8,""'Sensitivity [""&amp;if(X$3="""",X$2,X$2&amp;"", ""&amp;X$3)&amp;""]'!B1:B20""), IMPORTRANGE($F$8,""'Sensitivity [""&amp;if(X$3="""",X$2,X$2&amp;"", ""&amp;X$3)&amp;""]'!A1:A20"")=$E12), ""-"")"),3.091381812417336)</f>
        <v>3.091381812</v>
      </c>
      <c r="Y12" s="1007" t="s">
        <v>144</v>
      </c>
      <c r="Z12" s="1008">
        <f>IFERROR(__xludf.DUMMYFUNCTION("IFERROR(FILTER(IMPORTRANGE($F$8,""'Sensitivity [""&amp;if(X$3="""",X$2,X$2&amp;"", ""&amp;X$3)&amp;""]'!C1:C20""), IMPORTRANGE($F$8,""'Sensitivity [""&amp;if(X$3="""",X$2,X$2&amp;"", ""&amp;X$3)&amp;""]'!A1:A20"")=$E12), ""-"")"),13.770700800768147)</f>
        <v>13.7707008</v>
      </c>
      <c r="AA12" s="1013">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"),7.646809162690044)</f>
        <v>7.646809163</v>
      </c>
      <c r="AB12" s="1014" t="s">
        <v>144</v>
      </c>
      <c r="AC12" s="1015">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"),21.26768798373158)</f>
        <v>21.26768798</v>
      </c>
      <c r="AD12" s="1006"/>
    </row>
    <row r="13">
      <c r="A13" s="81"/>
      <c r="B13" s="50"/>
      <c r="C13" s="22"/>
      <c r="D13" s="50"/>
      <c r="E13" s="1018" t="str">
        <f t="shared" si="1"/>
        <v>Effect of ITN distributions on deaths related to malaria</v>
      </c>
      <c r="F13" s="1006">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"),3.5911642438759848)</f>
        <v>3.591164244</v>
      </c>
      <c r="G13" s="1007" t="s">
        <v>144</v>
      </c>
      <c r="H13" s="1008">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"),5.985273739793325)</f>
        <v>5.98527374</v>
      </c>
      <c r="I13" s="1006">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"),13.09596890799082)</f>
        <v>13.09596891</v>
      </c>
      <c r="J13" s="1007" t="s">
        <v>144</v>
      </c>
      <c r="K13" s="1008">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"),16.23900144590858)</f>
        <v>16.23900145</v>
      </c>
      <c r="L13" s="1006">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"),18.820805112908626)</f>
        <v>18.82080511</v>
      </c>
      <c r="M13" s="1007" t="s">
        <v>144</v>
      </c>
      <c r="N13" s="1008">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"),26.250070289056733)</f>
        <v>26.25007029</v>
      </c>
      <c r="O13" s="1006">
        <f>IFERROR(__xludf.DUMMYFUNCTION("IFERROR(FILTER(IMPORTRANGE($F$8,""'Sensitivity [""&amp;if(O$3="""",O$2,O$2&amp;"", ""&amp;O$3)&amp;""]'!B1:B20""), IMPORTRANGE($F$8,""'Sensitivity [""&amp;if(O$3="""",O$2,O$2&amp;"", ""&amp;O$3)&amp;""]'!A1:A20"")=$E13), ""-"")"),14.773030970376709)</f>
        <v>14.77303097</v>
      </c>
      <c r="P13" s="1007" t="s">
        <v>144</v>
      </c>
      <c r="Q13" s="1008">
        <f>IFERROR(__xludf.DUMMYFUNCTION("IFERROR(FILTER(IMPORTRANGE($F$8,""'Sensitivity [""&amp;if(O$3="""",O$2,O$2&amp;"", ""&amp;O$3)&amp;""]'!C1:C20""), IMPORTRANGE($F$8,""'Sensitivity [""&amp;if(O$3="""",O$2,O$2&amp;"", ""&amp;O$3)&amp;""]'!A1:A20"")=$E13), ""-"")"),19.239296147467375)</f>
        <v>19.23929615</v>
      </c>
      <c r="R13" s="1006">
        <f>IFERROR(__xludf.DUMMYFUNCTION("IFERROR(FILTER(IMPORTRANGE($F$8,""'Sensitivity [""&amp;if(R$3="""",R$2,R$2&amp;"", ""&amp;R$3)&amp;""]'!B1:B20""), IMPORTRANGE($F$8,""'Sensitivity [""&amp;if(R$3="""",R$2,R$2&amp;"", ""&amp;R$3)&amp;""]'!A1:A20"")=$E13), ""-"")"),12.11449463137863)</f>
        <v>12.11449463</v>
      </c>
      <c r="S13" s="1007" t="s">
        <v>144</v>
      </c>
      <c r="T13" s="1008">
        <f>IFERROR(__xludf.DUMMYFUNCTION("IFERROR(FILTER(IMPORTRANGE($F$8,""'Sensitivity [""&amp;if(R$3="""",R$2,R$2&amp;"", ""&amp;R$3)&amp;""]'!C1:C20""), IMPORTRANGE($F$8,""'Sensitivity [""&amp;if(R$3="""",R$2,R$2&amp;"", ""&amp;R$3)&amp;""]'!A1:A20"")=$E13), ""-"")"),15.693777136104112)</f>
        <v>15.69377714</v>
      </c>
      <c r="U13" s="1006">
        <f>IFERROR(__xludf.DUMMYFUNCTION("IFERROR(FILTER(IMPORTRANGE($F$8,""'Sensitivity [""&amp;if(U$3="""",U$2,U$2&amp;"", ""&amp;U$3)&amp;""]'!B1:B20""), IMPORTRANGE($F$8,""'Sensitivity [""&amp;if(U$3="""",U$2,U$2&amp;"", ""&amp;U$3)&amp;""]'!A1:A20"")=$E13), ""-"")"),4.916325153770719)</f>
        <v>4.916325154</v>
      </c>
      <c r="V13" s="1007" t="s">
        <v>144</v>
      </c>
      <c r="W13" s="1008">
        <f>IFERROR(__xludf.DUMMYFUNCTION("IFERROR(FILTER(IMPORTRANGE($F$8,""'Sensitivity [""&amp;if(U$3="""",U$2,U$2&amp;"", ""&amp;U$3)&amp;""]'!C1:C20""), IMPORTRANGE($F$8,""'Sensitivity [""&amp;if(U$3="""",U$2,U$2&amp;"", ""&amp;U$3)&amp;""]'!A1:A20"")=$E13), ""-"")"),9.305901183923146)</f>
        <v>9.305901184</v>
      </c>
      <c r="X13" s="1006">
        <f>IFERROR(__xludf.DUMMYFUNCTION("IFERROR(FILTER(IMPORTRANGE($F$8,""'Sensitivity [""&amp;if(X$3="""",X$2,X$2&amp;"", ""&amp;X$3)&amp;""]'!B1:B20""), IMPORTRANGE($F$8,""'Sensitivity [""&amp;if(X$3="""",X$2,X$2&amp;"", ""&amp;X$3)&amp;""]'!A1:A20"")=$E13), ""-"")"),6.422854829267495)</f>
        <v>6.422854829</v>
      </c>
      <c r="Y13" s="1007" t="s">
        <v>144</v>
      </c>
      <c r="Z13" s="1008">
        <f>IFERROR(__xludf.DUMMYFUNCTION("IFERROR(FILTER(IMPORTRANGE($F$8,""'Sensitivity [""&amp;if(X$3="""",X$2,X$2&amp;"", ""&amp;X$3)&amp;""]'!C1:C20""), IMPORTRANGE($F$8,""'Sensitivity [""&amp;if(X$3="""",X$2,X$2&amp;"", ""&amp;X$3)&amp;""]'!A1:A20"")=$E13), ""-"")"),10.630932131201384)</f>
        <v>10.63093213</v>
      </c>
      <c r="AA13" s="1013">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"),13.643984819041728)</f>
        <v>13.64398482</v>
      </c>
      <c r="AB13" s="1014" t="s">
        <v>144</v>
      </c>
      <c r="AC13" s="1015">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"),17.585580433431534)</f>
        <v>17.58558043</v>
      </c>
      <c r="AD13" s="1006"/>
    </row>
    <row r="14">
      <c r="A14" s="81"/>
      <c r="B14" s="50"/>
      <c r="C14" s="22"/>
      <c r="D14" s="50"/>
      <c r="E14" s="1005" t="str">
        <f t="shared" si="1"/>
        <v>Adjustment to account for mortalities averted among people age 5 and older</v>
      </c>
      <c r="F14" s="1006">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"),4.147064407207299)</f>
        <v>4.147064407</v>
      </c>
      <c r="G14" s="1007" t="s">
        <v>144</v>
      </c>
      <c r="H14" s="1008">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"),5.2649687256718956)</f>
        <v>5.264968726</v>
      </c>
      <c r="I14" s="1006">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"),13.962637645248826)</f>
        <v>13.96263765</v>
      </c>
      <c r="J14" s="1007" t="s">
        <v>144</v>
      </c>
      <c r="K14" s="1008">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"),15.86663368778276)</f>
        <v>15.86663369</v>
      </c>
      <c r="L14" s="1006">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"),21.484200640891096)</f>
        <v>21.48420064</v>
      </c>
      <c r="M14" s="1007" t="s">
        <v>144</v>
      </c>
      <c r="N14" s="1008">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"),24.906462689882517)</f>
        <v>24.90646269</v>
      </c>
      <c r="O14" s="1006">
        <f>IFERROR(__xludf.DUMMYFUNCTION("IFERROR(FILTER(IMPORTRANGE($F$8,""'Sensitivity [""&amp;if(O$3="""",O$2,O$2&amp;"", ""&amp;O$3)&amp;""]'!B1:B20""), IMPORTRANGE($F$8,""'Sensitivity [""&amp;if(O$3="""",O$2,O$2&amp;"", ""&amp;O$3)&amp;""]'!A1:A20"")=$E14), ""-"")"),14.278118240911724)</f>
        <v>14.27811824</v>
      </c>
      <c r="P14" s="1007" t="s">
        <v>144</v>
      </c>
      <c r="Q14" s="1008">
        <f>IFERROR(__xludf.DUMMYFUNCTION("IFERROR(FILTER(IMPORTRANGE($F$8,""'Sensitivity [""&amp;if(O$3="""",O$2,O$2&amp;"", ""&amp;O$3)&amp;""]'!C1:C20""), IMPORTRANGE($F$8,""'Sensitivity [""&amp;if(O$3="""",O$2,O$2&amp;"", ""&amp;O$3)&amp;""]'!A1:A20"")=$E14), ""-"")"),18.30527979604065)</f>
        <v>18.3052798</v>
      </c>
      <c r="R14" s="1006">
        <f>IFERROR(__xludf.DUMMYFUNCTION("IFERROR(FILTER(IMPORTRANGE($F$8,""'Sensitivity [""&amp;if(R$3="""",R$2,R$2&amp;"", ""&amp;R$3)&amp;""]'!B1:B20""), IMPORTRANGE($F$8,""'Sensitivity [""&amp;if(R$3="""",R$2,R$2&amp;"", ""&amp;R$3)&amp;""]'!A1:A20"")=$E14), ""-"")"),10.992271413202667)</f>
        <v>10.99227141</v>
      </c>
      <c r="S14" s="1007" t="s">
        <v>144</v>
      </c>
      <c r="T14" s="1008">
        <f>IFERROR(__xludf.DUMMYFUNCTION("IFERROR(FILTER(IMPORTRANGE($F$8,""'Sensitivity [""&amp;if(R$3="""",R$2,R$2&amp;"", ""&amp;R$3)&amp;""]'!C1:C20""), IMPORTRANGE($F$8,""'Sensitivity [""&amp;if(R$3="""",R$2,R$2&amp;"", ""&amp;R$3)&amp;""]'!A1:A20"")=$E14), ""-"")"),14.562410846550454)</f>
        <v>14.56241085</v>
      </c>
      <c r="U14" s="1006">
        <f>IFERROR(__xludf.DUMMYFUNCTION("IFERROR(FILTER(IMPORTRANGE($F$8,""'Sensitivity [""&amp;if(U$3="""",U$2,U$2&amp;"", ""&amp;U$3)&amp;""]'!B1:B20""), IMPORTRANGE($F$8,""'Sensitivity [""&amp;if(U$3="""",U$2,U$2&amp;"", ""&amp;U$3)&amp;""]'!A1:A20"")=$E14), ""-"")"),6.890815788498017)</f>
        <v>6.890815788</v>
      </c>
      <c r="V14" s="1007" t="s">
        <v>144</v>
      </c>
      <c r="W14" s="1008">
        <f>IFERROR(__xludf.DUMMYFUNCTION("IFERROR(FILTER(IMPORTRANGE($F$8,""'Sensitivity [""&amp;if(U$3="""",U$2,U$2&amp;"", ""&amp;U$3)&amp;""]'!C1:C20""), IMPORTRANGE($F$8,""'Sensitivity [""&amp;if(U$3="""",U$2,U$2&amp;"", ""&amp;U$3)&amp;""]'!A1:A20"")=$E14), ""-"")"),7.839093190584927)</f>
        <v>7.839093191</v>
      </c>
      <c r="X14" s="1006">
        <f>IFERROR(__xludf.DUMMYFUNCTION("IFERROR(FILTER(IMPORTRANGE($F$8,""'Sensitivity [""&amp;if(X$3="""",X$2,X$2&amp;"", ""&amp;X$3)&amp;""]'!B1:B20""), IMPORTRANGE($F$8,""'Sensitivity [""&amp;if(X$3="""",X$2,X$2&amp;"", ""&amp;X$3)&amp;""]'!A1:A20"")=$E14), ""-"")"),5.31205924421977)</f>
        <v>5.312059244</v>
      </c>
      <c r="Y14" s="1007" t="s">
        <v>144</v>
      </c>
      <c r="Z14" s="1008">
        <f>IFERROR(__xludf.DUMMYFUNCTION("IFERROR(FILTER(IMPORTRANGE($F$8,""'Sensitivity [""&amp;if(X$3="""",X$2,X$2&amp;"", ""&amp;X$3)&amp;""]'!C1:C20""), IMPORTRANGE($F$8,""'Sensitivity [""&amp;if(X$3="""",X$2,X$2&amp;"", ""&amp;X$3)&amp;""]'!A1:A20"")=$E14), ""-"")"),8.676363432225628)</f>
        <v>8.676363432</v>
      </c>
      <c r="AA14" s="1013">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"),14.903633237041557)</f>
        <v>14.90363324</v>
      </c>
      <c r="AB14" s="1014" t="s">
        <v>144</v>
      </c>
      <c r="AC14" s="1015">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"),16.93594686027448)</f>
        <v>16.93594686</v>
      </c>
      <c r="AD14" s="1006"/>
    </row>
    <row r="15">
      <c r="A15" s="81"/>
      <c r="B15" s="50"/>
      <c r="C15" s="22"/>
      <c r="D15" s="50"/>
      <c r="E15" s="1012" t="str">
        <f t="shared" si="1"/>
        <v>Adjustment to account for developmental benefits (long-term income increases)</v>
      </c>
      <c r="F15" s="1006">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"),3.9983791752626234)</f>
        <v>3.998379175</v>
      </c>
      <c r="G15" s="1007" t="s">
        <v>144</v>
      </c>
      <c r="H15" s="1008">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"),5.772096253010679)</f>
        <v>5.772096253</v>
      </c>
      <c r="I15" s="1006">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"),12.277569033318203)</f>
        <v>12.27756903</v>
      </c>
      <c r="J15" s="1007" t="s">
        <v>144</v>
      </c>
      <c r="K15" s="1008">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"),17.28681719891201)</f>
        <v>17.2868172</v>
      </c>
      <c r="L15" s="1006">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"),19.91713195331604)</f>
        <v>19.91713195</v>
      </c>
      <c r="M15" s="1007" t="s">
        <v>144</v>
      </c>
      <c r="N15" s="1008">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"),26.15206021696272)</f>
        <v>26.15206022</v>
      </c>
      <c r="O15" s="1006">
        <f>IFERROR(__xludf.DUMMYFUNCTION("IFERROR(FILTER(IMPORTRANGE($F$8,""'Sensitivity [""&amp;if(O$3="""",O$2,O$2&amp;"", ""&amp;O$3)&amp;""]'!B1:B20""), IMPORTRANGE($F$8,""'Sensitivity [""&amp;if(O$3="""",O$2,O$2&amp;"", ""&amp;O$3)&amp;""]'!A1:A20"")=$E15), ""-"")"),14.747229302244179)</f>
        <v>14.7472293</v>
      </c>
      <c r="P15" s="1007" t="s">
        <v>144</v>
      </c>
      <c r="Q15" s="1008">
        <f>IFERROR(__xludf.DUMMYFUNCTION("IFERROR(FILTER(IMPORTRANGE($F$8,""'Sensitivity [""&amp;if(O$3="""",O$2,O$2&amp;"", ""&amp;O$3)&amp;""]'!C1:C20""), IMPORTRANGE($F$8,""'Sensitivity [""&amp;if(O$3="""",O$2,O$2&amp;"", ""&amp;O$3)&amp;""]'!A1:A20"")=$E15), ""-"")"),20.02247448089352)</f>
        <v>20.02247448</v>
      </c>
      <c r="R15" s="1006">
        <f>IFERROR(__xludf.DUMMYFUNCTION("IFERROR(FILTER(IMPORTRANGE($F$8,""'Sensitivity [""&amp;if(R$3="""",R$2,R$2&amp;"", ""&amp;R$3)&amp;""]'!B1:B20""), IMPORTRANGE($F$8,""'Sensitivity [""&amp;if(R$3="""",R$2,R$2&amp;"", ""&amp;R$3)&amp;""]'!A1:A20"")=$E15), ""-"")"),11.676607233599313)</f>
        <v>11.67660723</v>
      </c>
      <c r="S15" s="1007" t="s">
        <v>144</v>
      </c>
      <c r="T15" s="1008">
        <f>IFERROR(__xludf.DUMMYFUNCTION("IFERROR(FILTER(IMPORTRANGE($F$8,""'Sensitivity [""&amp;if(R$3="""",R$2,R$2&amp;"", ""&amp;R$3)&amp;""]'!C1:C20""), IMPORTRANGE($F$8,""'Sensitivity [""&amp;if(R$3="""",R$2,R$2&amp;"", ""&amp;R$3)&amp;""]'!A1:A20"")=$E15), ""-"")"),16.457580274128127)</f>
        <v>16.45758027</v>
      </c>
      <c r="U15" s="1006">
        <f>IFERROR(__xludf.DUMMYFUNCTION("IFERROR(FILTER(IMPORTRANGE($F$8,""'Sensitivity [""&amp;if(U$3="""",U$2,U$2&amp;"", ""&amp;U$3)&amp;""]'!B1:B20""), IMPORTRANGE($F$8,""'Sensitivity [""&amp;if(U$3="""",U$2,U$2&amp;"", ""&amp;U$3)&amp;""]'!A1:A20"")=$E15), ""-"")"),6.079943799592827)</f>
        <v>6.0799438</v>
      </c>
      <c r="V15" s="1007" t="s">
        <v>144</v>
      </c>
      <c r="W15" s="1008">
        <f>IFERROR(__xludf.DUMMYFUNCTION("IFERROR(FILTER(IMPORTRANGE($F$8,""'Sensitivity [""&amp;if(U$3="""",U$2,U$2&amp;"", ""&amp;U$3)&amp;""]'!C1:C20""), IMPORTRANGE($F$8,""'Sensitivity [""&amp;if(U$3="""",U$2,U$2&amp;"", ""&amp;U$3)&amp;""]'!A1:A20"")=$E15), ""-"")"),8.403174357160827)</f>
        <v>8.403174357</v>
      </c>
      <c r="X15" s="1006">
        <f>IFERROR(__xludf.DUMMYFUNCTION("IFERROR(FILTER(IMPORTRANGE($F$8,""'Sensitivity [""&amp;if(X$3="""",X$2,X$2&amp;"", ""&amp;X$3)&amp;""]'!B1:B20""), IMPORTRANGE($F$8,""'Sensitivity [""&amp;if(X$3="""",X$2,X$2&amp;"", ""&amp;X$3)&amp;""]'!A1:A20"")=$E15), ""-"")"),7.236880738514264)</f>
        <v>7.236880739</v>
      </c>
      <c r="Y15" s="1007" t="s">
        <v>144</v>
      </c>
      <c r="Z15" s="1008">
        <f>IFERROR(__xludf.DUMMYFUNCTION("IFERROR(FILTER(IMPORTRANGE($F$8,""'Sensitivity [""&amp;if(X$3="""",X$2,X$2&amp;"", ""&amp;X$3)&amp;""]'!C1:C20""), IMPORTRANGE($F$8,""'Sensitivity [""&amp;if(X$3="""",X$2,X$2&amp;"", ""&amp;X$3)&amp;""]'!A1:A20"")=$E15), ""-"")"),10.477275099043027)</f>
        <v>10.4772751</v>
      </c>
      <c r="AA15" s="1013">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"),13.085497297400549)</f>
        <v>13.0854973</v>
      </c>
      <c r="AB15" s="1014" t="s">
        <v>144</v>
      </c>
      <c r="AC15" s="1015">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"),18.256379293954044)</f>
        <v>18.25637929</v>
      </c>
      <c r="AD15" s="1006"/>
    </row>
    <row r="16">
      <c r="A16" s="21"/>
      <c r="B16" s="22"/>
      <c r="C16" s="22"/>
      <c r="D16" s="22"/>
      <c r="E16" s="1012" t="str">
        <f t="shared" si="1"/>
        <v>Adjustment for additional program benefits and downsides</v>
      </c>
      <c r="F16" s="1006">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"),4.505639166653131)</f>
        <v>4.505639167</v>
      </c>
      <c r="G16" s="1007" t="s">
        <v>144</v>
      </c>
      <c r="H16" s="1008">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"),5.198814423061314)</f>
        <v>5.198814423</v>
      </c>
      <c r="I16" s="1006">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"),13.549202052599174)</f>
        <v>13.54920205</v>
      </c>
      <c r="J16" s="1007" t="s">
        <v>144</v>
      </c>
      <c r="K16" s="1008">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"),15.922784893930489)</f>
        <v>15.92278489</v>
      </c>
      <c r="L16" s="1006">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"),20.933035674133084)</f>
        <v>20.93303567</v>
      </c>
      <c r="M16" s="1007" t="s">
        <v>144</v>
      </c>
      <c r="N16" s="1008">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"),25.218539040491077)</f>
        <v>25.21853904</v>
      </c>
      <c r="O16" s="1006">
        <f>IFERROR(__xludf.DUMMYFUNCTION("IFERROR(FILTER(IMPORTRANGE($F$8,""'Sensitivity [""&amp;if(O$3="""",O$2,O$2&amp;"", ""&amp;O$3)&amp;""]'!B1:B20""), IMPORTRANGE($F$8,""'Sensitivity [""&amp;if(O$3="""",O$2,O$2&amp;"", ""&amp;O$3)&amp;""]'!A1:A20"")=$E16), ""-"")"),15.955140330745571)</f>
        <v>15.95514033</v>
      </c>
      <c r="P16" s="1007" t="s">
        <v>144</v>
      </c>
      <c r="Q16" s="1008">
        <f>IFERROR(__xludf.DUMMYFUNCTION("IFERROR(FILTER(IMPORTRANGE($F$8,""'Sensitivity [""&amp;if(O$3="""",O$2,O$2&amp;"", ""&amp;O$3)&amp;""]'!C1:C20""), IMPORTRANGE($F$8,""'Sensitivity [""&amp;if(O$3="""",O$2,O$2&amp;"", ""&amp;O$3)&amp;""]'!A1:A20"")=$E16), ""-"")"),18.75020141058426)</f>
        <v>18.75020141</v>
      </c>
      <c r="R16" s="1006">
        <f>IFERROR(__xludf.DUMMYFUNCTION("IFERROR(FILTER(IMPORTRANGE($F$8,""'Sensitivity [""&amp;if(R$3="""",R$2,R$2&amp;"", ""&amp;R$3)&amp;""]'!B1:B20""), IMPORTRANGE($F$8,""'Sensitivity [""&amp;if(R$3="""",R$2,R$2&amp;"", ""&amp;R$3)&amp;""]'!A1:A20"")=$E16), ""-"")"),12.74190406369573)</f>
        <v>12.74190406</v>
      </c>
      <c r="S16" s="1007" t="s">
        <v>144</v>
      </c>
      <c r="T16" s="1008">
        <f>IFERROR(__xludf.DUMMYFUNCTION("IFERROR(FILTER(IMPORTRANGE($F$8,""'Sensitivity [""&amp;if(R$3="""",R$2,R$2&amp;"", ""&amp;R$3)&amp;""]'!C1:C20""), IMPORTRANGE($F$8,""'Sensitivity [""&amp;if(R$3="""",R$2,R$2&amp;"", ""&amp;R$3)&amp;""]'!A1:A20"")=$E16), ""-"")"),15.084165840110378)</f>
        <v>15.08416584</v>
      </c>
      <c r="U16" s="1006">
        <f>IFERROR(__xludf.DUMMYFUNCTION("IFERROR(FILTER(IMPORTRANGE($F$8,""'Sensitivity [""&amp;if(U$3="""",U$2,U$2&amp;"", ""&amp;U$3)&amp;""]'!B1:B20""), IMPORTRANGE($F$8,""'Sensitivity [""&amp;if(U$3="""",U$2,U$2&amp;"", ""&amp;U$3)&amp;""]'!A1:A20"")=$E16), ""-"")"),6.651535285367824)</f>
        <v>6.651535285</v>
      </c>
      <c r="V16" s="1007" t="s">
        <v>144</v>
      </c>
      <c r="W16" s="1008">
        <f>IFERROR(__xludf.DUMMYFUNCTION("IFERROR(FILTER(IMPORTRANGE($F$8,""'Sensitivity [""&amp;if(U$3="""",U$2,U$2&amp;"", ""&amp;U$3)&amp;""]'!C1:C20""), IMPORTRANGE($F$8,""'Sensitivity [""&amp;if(U$3="""",U$2,U$2&amp;"", ""&amp;U$3)&amp;""]'!A1:A20"")=$E16), ""-"")"),7.9085183314215595)</f>
        <v>7.908518331</v>
      </c>
      <c r="X16" s="1006">
        <f>IFERROR(__xludf.DUMMYFUNCTION("IFERROR(FILTER(IMPORTRANGE($F$8,""'Sensitivity [""&amp;if(X$3="""",X$2,X$2&amp;"", ""&amp;X$3)&amp;""]'!B1:B20""), IMPORTRANGE($F$8,""'Sensitivity [""&amp;if(X$3="""",X$2,X$2&amp;"", ""&amp;X$3)&amp;""]'!A1:A20"")=$E16), ""-"")"),8.0310047943909)</f>
        <v>8.031004794</v>
      </c>
      <c r="Y16" s="1007" t="s">
        <v>144</v>
      </c>
      <c r="Z16" s="1008">
        <f>IFERROR(__xludf.DUMMYFUNCTION("IFERROR(FILTER(IMPORTRANGE($F$8,""'Sensitivity [""&amp;if(X$3="""",X$2,X$2&amp;"", ""&amp;X$3)&amp;""]'!C1:C20""), IMPORTRANGE($F$8,""'Sensitivity [""&amp;if(X$3="""",X$2,X$2&amp;"", ""&amp;X$3)&amp;""]'!A1:A20"")=$E16), ""-"")"),9.611911249979679)</f>
        <v>9.61191125</v>
      </c>
      <c r="AA16" s="1013">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"),14.209746380462827)</f>
        <v>14.20974638</v>
      </c>
      <c r="AB16" s="1014" t="s">
        <v>144</v>
      </c>
      <c r="AC16" s="1015">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"),17.02914050357057)</f>
        <v>17.0291405</v>
      </c>
      <c r="AD16" s="1006"/>
    </row>
    <row r="17">
      <c r="A17" s="21"/>
      <c r="B17" s="22"/>
      <c r="C17" s="22"/>
      <c r="D17" s="22"/>
      <c r="E17" s="1012" t="str">
        <f t="shared" si="1"/>
        <v>Adjustment for grantee-level factors</v>
      </c>
      <c r="F17" s="1006">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"),4.4614716398514185)</f>
        <v>4.46147164</v>
      </c>
      <c r="G17" s="1007" t="s">
        <v>144</v>
      </c>
      <c r="H17" s="1008">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"),5.465302758818008)</f>
        <v>5.465302759</v>
      </c>
      <c r="I17" s="1006">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"),12.93012596068577)</f>
        <v>12.93012596</v>
      </c>
      <c r="J17" s="1007" t="s">
        <v>144</v>
      </c>
      <c r="K17" s="1008">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"),15.839404301840052)</f>
        <v>15.8394043</v>
      </c>
      <c r="L17" s="1006">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"),19.81569224212845)</f>
        <v>19.81569224</v>
      </c>
      <c r="M17" s="1007" t="s">
        <v>144</v>
      </c>
      <c r="N17" s="1008">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"),24.274222996607374)</f>
        <v>24.274223</v>
      </c>
      <c r="O17" s="1006">
        <f>IFERROR(__xludf.DUMMYFUNCTION("IFERROR(FILTER(IMPORTRANGE($F$8,""'Sensitivity [""&amp;if(O$3="""",O$2,O$2&amp;"", ""&amp;O$3)&amp;""]'!B1:B20""), IMPORTRANGE($F$8,""'Sensitivity [""&amp;if(O$3="""",O$2,O$2&amp;"", ""&amp;O$3)&amp;""]'!A1:A20"")=$E17), ""-"")"),15.018417296423175)</f>
        <v>15.0184173</v>
      </c>
      <c r="P17" s="1007" t="s">
        <v>144</v>
      </c>
      <c r="Q17" s="1008">
        <f>IFERROR(__xludf.DUMMYFUNCTION("IFERROR(FILTER(IMPORTRANGE($F$8,""'Sensitivity [""&amp;if(O$3="""",O$2,O$2&amp;"", ""&amp;O$3)&amp;""]'!C1:C20""), IMPORTRANGE($F$8,""'Sensitivity [""&amp;if(O$3="""",O$2,O$2&amp;"", ""&amp;O$3)&amp;""]'!A1:A20"")=$E17), ""-"")"),18.39756118811844)</f>
        <v>18.39756119</v>
      </c>
      <c r="R17" s="1006">
        <f>IFERROR(__xludf.DUMMYFUNCTION("IFERROR(FILTER(IMPORTRANGE($F$8,""'Sensitivity [""&amp;if(R$3="""",R$2,R$2&amp;"", ""&amp;R$3)&amp;""]'!B1:B20""), IMPORTRANGE($F$8,""'Sensitivity [""&amp;if(R$3="""",R$2,R$2&amp;"", ""&amp;R$3)&amp;""]'!A1:A20"")=$E17), ""-"")"),12.077013899105179)</f>
        <v>12.0770139</v>
      </c>
      <c r="S17" s="1007" t="s">
        <v>144</v>
      </c>
      <c r="T17" s="1008">
        <f>IFERROR(__xludf.DUMMYFUNCTION("IFERROR(FILTER(IMPORTRANGE($F$8,""'Sensitivity [""&amp;if(R$3="""",R$2,R$2&amp;"", ""&amp;R$3)&amp;""]'!C1:C20""), IMPORTRANGE($F$8,""'Sensitivity [""&amp;if(R$3="""",R$2,R$2&amp;"", ""&amp;R$3)&amp;""]'!A1:A20"")=$E17), ""-"")"),14.79434202640384)</f>
        <v>14.79434203</v>
      </c>
      <c r="U17" s="1006">
        <f>IFERROR(__xludf.DUMMYFUNCTION("IFERROR(FILTER(IMPORTRANGE($F$8,""'Sensitivity [""&amp;if(U$3="""",U$2,U$2&amp;"", ""&amp;U$3)&amp;""]'!B1:B20""), IMPORTRANGE($F$8,""'Sensitivity [""&amp;if(U$3="""",U$2,U$2&amp;"", ""&amp;U$3)&amp;""]'!A1:A20"")=$E17), ""-"")"),6.307941306615174)</f>
        <v>6.307941307</v>
      </c>
      <c r="V17" s="1007" t="s">
        <v>144</v>
      </c>
      <c r="W17" s="1008">
        <f>IFERROR(__xludf.DUMMYFUNCTION("IFERROR(FILTER(IMPORTRANGE($F$8,""'Sensitivity [""&amp;if(U$3="""",U$2,U$2&amp;"", ""&amp;U$3)&amp;""]'!C1:C20""), IMPORTRANGE($F$8,""'Sensitivity [""&amp;if(U$3="""",U$2,U$2&amp;"", ""&amp;U$3)&amp;""]'!A1:A20"")=$E17), ""-"")"),7.727228100603608)</f>
        <v>7.727228101</v>
      </c>
      <c r="X17" s="1006">
        <f>IFERROR(__xludf.DUMMYFUNCTION("IFERROR(FILTER(IMPORTRANGE($F$8,""'Sensitivity [""&amp;if(X$3="""",X$2,X$2&amp;"", ""&amp;X$3)&amp;""]'!B1:B20""), IMPORTRANGE($F$8,""'Sensitivity [""&amp;if(X$3="""",X$2,X$2&amp;"", ""&amp;X$3)&amp;""]'!A1:A20"")=$E17), ""-"")"),7.611904572869686)</f>
        <v>7.611904573</v>
      </c>
      <c r="Y17" s="1007" t="s">
        <v>144</v>
      </c>
      <c r="Z17" s="1008">
        <f>IFERROR(__xludf.DUMMYFUNCTION("IFERROR(FILTER(IMPORTRANGE($F$8,""'Sensitivity [""&amp;if(X$3="""",X$2,X$2&amp;"", ""&amp;X$3)&amp;""]'!C1:C20""), IMPORTRANGE($F$8,""'Sensitivity [""&amp;if(X$3="""",X$2,X$2&amp;"", ""&amp;X$3)&amp;""]'!A1:A20"")=$E17), ""-"")"),9.324583101765368)</f>
        <v>9.324583102</v>
      </c>
      <c r="AA17" s="1013">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"),13.610206645120073)</f>
        <v>13.61020665</v>
      </c>
      <c r="AB17" s="1014" t="s">
        <v>144</v>
      </c>
      <c r="AC17" s="1015">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"),16.672503140272042)</f>
        <v>16.67250314</v>
      </c>
      <c r="AD17" s="1006"/>
    </row>
    <row r="18">
      <c r="A18" s="21"/>
      <c r="B18" s="22"/>
      <c r="C18" s="22"/>
      <c r="D18" s="22"/>
      <c r="E18" s="1019" t="str">
        <f t="shared" si="1"/>
        <v>Adjustment for leverage</v>
      </c>
      <c r="F18" s="1006" t="str">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f>
        <v>-</v>
      </c>
      <c r="G18" s="1007" t="s">
        <v>144</v>
      </c>
      <c r="H18" s="1008" t="str">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f>
        <v>-</v>
      </c>
      <c r="I18" s="1006" t="str">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f>
        <v>-</v>
      </c>
      <c r="J18" s="1007" t="s">
        <v>144</v>
      </c>
      <c r="K18" s="1008" t="str">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f>
        <v>-</v>
      </c>
      <c r="L18" s="1006" t="str">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f>
        <v>-</v>
      </c>
      <c r="M18" s="1007" t="s">
        <v>144</v>
      </c>
      <c r="N18" s="1008" t="str">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f>
        <v>-</v>
      </c>
      <c r="O18" s="1006" t="str">
        <f>IFERROR(__xludf.DUMMYFUNCTION("IFERROR(FILTER(IMPORTRANGE($F$8,""'Sensitivity [""&amp;if(O$3="""",O$2,O$2&amp;"", ""&amp;O$3)&amp;""]'!B1:B20""), IMPORTRANGE($F$8,""'Sensitivity [""&amp;if(O$3="""",O$2,O$2&amp;"", ""&amp;O$3)&amp;""]'!A1:A20"")=$E18), ""-"")"),"-")</f>
        <v>-</v>
      </c>
      <c r="P18" s="1007" t="s">
        <v>144</v>
      </c>
      <c r="Q18" s="1008" t="str">
        <f>IFERROR(__xludf.DUMMYFUNCTION("IFERROR(FILTER(IMPORTRANGE($F$8,""'Sensitivity [""&amp;if(O$3="""",O$2,O$2&amp;"", ""&amp;O$3)&amp;""]'!C1:C20""), IMPORTRANGE($F$8,""'Sensitivity [""&amp;if(O$3="""",O$2,O$2&amp;"", ""&amp;O$3)&amp;""]'!A1:A20"")=$E18), ""-"")"),"-")</f>
        <v>-</v>
      </c>
      <c r="R18" s="1006" t="str">
        <f>IFERROR(__xludf.DUMMYFUNCTION("IFERROR(FILTER(IMPORTRANGE($F$8,""'Sensitivity [""&amp;if(R$3="""",R$2,R$2&amp;"", ""&amp;R$3)&amp;""]'!B1:B20""), IMPORTRANGE($F$8,""'Sensitivity [""&amp;if(R$3="""",R$2,R$2&amp;"", ""&amp;R$3)&amp;""]'!A1:A20"")=$E18), ""-"")"),"-")</f>
        <v>-</v>
      </c>
      <c r="S18" s="1007" t="s">
        <v>144</v>
      </c>
      <c r="T18" s="1008" t="str">
        <f>IFERROR(__xludf.DUMMYFUNCTION("IFERROR(FILTER(IMPORTRANGE($F$8,""'Sensitivity [""&amp;if(R$3="""",R$2,R$2&amp;"", ""&amp;R$3)&amp;""]'!C1:C20""), IMPORTRANGE($F$8,""'Sensitivity [""&amp;if(R$3="""",R$2,R$2&amp;"", ""&amp;R$3)&amp;""]'!A1:A20"")=$E18), ""-"")"),"-")</f>
        <v>-</v>
      </c>
      <c r="U18" s="1006" t="str">
        <f>IFERROR(__xludf.DUMMYFUNCTION("IFERROR(FILTER(IMPORTRANGE($F$8,""'Sensitivity [""&amp;if(U$3="""",U$2,U$2&amp;"", ""&amp;U$3)&amp;""]'!B1:B20""), IMPORTRANGE($F$8,""'Sensitivity [""&amp;if(U$3="""",U$2,U$2&amp;"", ""&amp;U$3)&amp;""]'!A1:A20"")=$E18), ""-"")"),"-")</f>
        <v>-</v>
      </c>
      <c r="V18" s="1007" t="s">
        <v>144</v>
      </c>
      <c r="W18" s="1008" t="str">
        <f>IFERROR(__xludf.DUMMYFUNCTION("IFERROR(FILTER(IMPORTRANGE($F$8,""'Sensitivity [""&amp;if(U$3="""",U$2,U$2&amp;"", ""&amp;U$3)&amp;""]'!C1:C20""), IMPORTRANGE($F$8,""'Sensitivity [""&amp;if(U$3="""",U$2,U$2&amp;"", ""&amp;U$3)&amp;""]'!A1:A20"")=$E18), ""-"")"),"-")</f>
        <v>-</v>
      </c>
      <c r="X18" s="1006" t="str">
        <f>IFERROR(__xludf.DUMMYFUNCTION("IFERROR(FILTER(IMPORTRANGE($F$8,""'Sensitivity [""&amp;if(X$3="""",X$2,X$2&amp;"", ""&amp;X$3)&amp;""]'!B1:B20""), IMPORTRANGE($F$8,""'Sensitivity [""&amp;if(X$3="""",X$2,X$2&amp;"", ""&amp;X$3)&amp;""]'!A1:A20"")=$E18), ""-"")"),"-")</f>
        <v>-</v>
      </c>
      <c r="Y18" s="1007" t="s">
        <v>144</v>
      </c>
      <c r="Z18" s="1008" t="str">
        <f>IFERROR(__xludf.DUMMYFUNCTION("IFERROR(FILTER(IMPORTRANGE($F$8,""'Sensitivity [""&amp;if(X$3="""",X$2,X$2&amp;"", ""&amp;X$3)&amp;""]'!C1:C20""), IMPORTRANGE($F$8,""'Sensitivity [""&amp;if(X$3="""",X$2,X$2&amp;"", ""&amp;X$3)&amp;""]'!A1:A20"")=$E18), ""-"")"),"-")</f>
        <v>-</v>
      </c>
      <c r="AA18" s="1013" t="str">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f>
        <v>-</v>
      </c>
      <c r="AB18" s="1014" t="s">
        <v>144</v>
      </c>
      <c r="AC18" s="1015" t="str">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f>
        <v>-</v>
      </c>
      <c r="AD18" s="1006"/>
    </row>
    <row r="19">
      <c r="A19" s="21"/>
      <c r="B19" s="22"/>
      <c r="C19" s="22"/>
      <c r="D19" s="22"/>
      <c r="E19" s="1019" t="str">
        <f t="shared" si="1"/>
        <v>Adjustment for funging</v>
      </c>
      <c r="F19" s="1006">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"),4.572835252853162)</f>
        <v>4.572835253</v>
      </c>
      <c r="G19" s="1007" t="s">
        <v>144</v>
      </c>
      <c r="H19" s="1008">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"),5.024254372412138)</f>
        <v>5.024254372</v>
      </c>
      <c r="I19" s="1006">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"),12.196455750987225)</f>
        <v>12.19645575</v>
      </c>
      <c r="J19" s="1007" t="s">
        <v>144</v>
      </c>
      <c r="K19" s="1008">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"),16.34323075247102)</f>
        <v>16.34323075</v>
      </c>
      <c r="L19" s="1006">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"),14.876468514482262)</f>
        <v>14.87646851</v>
      </c>
      <c r="M19" s="1007" t="s">
        <v>144</v>
      </c>
      <c r="N19" s="1008">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"),28.500277297910237)</f>
        <v>28.5002773</v>
      </c>
      <c r="O19" s="1006">
        <f>IFERROR(__xludf.DUMMYFUNCTION("IFERROR(FILTER(IMPORTRANGE($F$8,""'Sensitivity [""&amp;if(O$3="""",O$2,O$2&amp;"", ""&amp;O$3)&amp;""]'!B1:B20""), IMPORTRANGE($F$8,""'Sensitivity [""&amp;if(O$3="""",O$2,O$2&amp;"", ""&amp;O$3)&amp;""]'!A1:A20"")=$E19), ""-"")"),12.03167131301458)</f>
        <v>12.03167131</v>
      </c>
      <c r="P19" s="1007" t="s">
        <v>144</v>
      </c>
      <c r="Q19" s="1008">
        <f>IFERROR(__xludf.DUMMYFUNCTION("IFERROR(FILTER(IMPORTRANGE($F$8,""'Sensitivity [""&amp;if(O$3="""",O$2,O$2&amp;"", ""&amp;O$3)&amp;""]'!C1:C20""), IMPORTRANGE($F$8,""'Sensitivity [""&amp;if(O$3="""",O$2,O$2&amp;"", ""&amp;O$3)&amp;""]'!A1:A20"")=$E19), ""-"")"),21.44835423295323)</f>
        <v>21.44835423</v>
      </c>
      <c r="R19" s="1006">
        <f>IFERROR(__xludf.DUMMYFUNCTION("IFERROR(FILTER(IMPORTRANGE($F$8,""'Sensitivity [""&amp;if(R$3="""",R$2,R$2&amp;"", ""&amp;R$3)&amp;""]'!B1:B20""), IMPORTRANGE($F$8,""'Sensitivity [""&amp;if(R$3="""",R$2,R$2&amp;"", ""&amp;R$3)&amp;""]'!A1:A20"")=$E19), ""-"")"),11.757651158941146)</f>
        <v>11.75765116</v>
      </c>
      <c r="S19" s="1007" t="s">
        <v>144</v>
      </c>
      <c r="T19" s="1008">
        <f>IFERROR(__xludf.DUMMYFUNCTION("IFERROR(FILTER(IMPORTRANGE($F$8,""'Sensitivity [""&amp;if(R$3="""",R$2,R$2&amp;"", ""&amp;R$3)&amp;""]'!C1:C20""), IMPORTRANGE($F$8,""'Sensitivity [""&amp;if(R$3="""",R$2,R$2&amp;"", ""&amp;R$3)&amp;""]'!A1:A20"")=$E19), ""-"")"),15.478218097161982)</f>
        <v>15.4782181</v>
      </c>
      <c r="U19" s="1006">
        <f>IFERROR(__xludf.DUMMYFUNCTION("IFERROR(FILTER(IMPORTRANGE($F$8,""'Sensitivity [""&amp;if(U$3="""",U$2,U$2&amp;"", ""&amp;U$3)&amp;""]'!B1:B20""), IMPORTRANGE($F$8,""'Sensitivity [""&amp;if(U$3="""",U$2,U$2&amp;"", ""&amp;U$3)&amp;""]'!A1:A20"")=$E19), ""-"")"),6.675095089560583)</f>
        <v>6.67509509</v>
      </c>
      <c r="V19" s="1007" t="s">
        <v>144</v>
      </c>
      <c r="W19" s="1008">
        <f>IFERROR(__xludf.DUMMYFUNCTION("IFERROR(FILTER(IMPORTRANGE($F$8,""'Sensitivity [""&amp;if(U$3="""",U$2,U$2&amp;"", ""&amp;U$3)&amp;""]'!C1:C20""), IMPORTRANGE($F$8,""'Sensitivity [""&amp;if(U$3="""",U$2,U$2&amp;"", ""&amp;U$3)&amp;""]'!A1:A20"")=$E19), ""-"")"),7.607906071356201)</f>
        <v>7.607906071</v>
      </c>
      <c r="X19" s="1006">
        <f>IFERROR(__xludf.DUMMYFUNCTION("IFERROR(FILTER(IMPORTRANGE($F$8,""'Sensitivity [""&amp;if(X$3="""",X$2,X$2&amp;"", ""&amp;X$3)&amp;""]'!B1:B20""), IMPORTRANGE($F$8,""'Sensitivity [""&amp;if(X$3="""",X$2,X$2&amp;"", ""&amp;X$3)&amp;""]'!A1:A20"")=$E19), ""-"")"),4.17275481434412)</f>
        <v>4.172754814</v>
      </c>
      <c r="Y19" s="1007" t="s">
        <v>144</v>
      </c>
      <c r="Z19" s="1008">
        <f>IFERROR(__xludf.DUMMYFUNCTION("IFERROR(FILTER(IMPORTRANGE($F$8,""'Sensitivity [""&amp;if(X$3="""",X$2,X$2&amp;"", ""&amp;X$3)&amp;""]'!C1:C20""), IMPORTRANGE($F$8,""'Sensitivity [""&amp;if(X$3="""",X$2,X$2&amp;"", ""&amp;X$3)&amp;""]'!A1:A20"")=$E19), ""-"")"),12.119193403471758)</f>
        <v>12.1191934</v>
      </c>
      <c r="AA19" s="1013">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"),9.594811453574305)</f>
        <v>9.594811454</v>
      </c>
      <c r="AB19" s="1014" t="s">
        <v>144</v>
      </c>
      <c r="AC19" s="1015">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"),19.691072186990397)</f>
        <v>19.69107219</v>
      </c>
      <c r="AD19" s="1006"/>
    </row>
    <row r="20">
      <c r="A20" s="21"/>
      <c r="B20" s="22"/>
      <c r="C20" s="22"/>
      <c r="D20" s="22"/>
      <c r="E20" s="1012" t="str">
        <f t="shared" si="1"/>
        <v>Moral value of averting the death of a person under age five</v>
      </c>
      <c r="F20" s="1006" t="str">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f>
        <v>-</v>
      </c>
      <c r="G20" s="1007" t="s">
        <v>144</v>
      </c>
      <c r="H20" s="1008" t="str">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f>
        <v>-</v>
      </c>
      <c r="I20" s="1006" t="str">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f>
        <v>-</v>
      </c>
      <c r="J20" s="1007" t="s">
        <v>144</v>
      </c>
      <c r="K20" s="1008" t="str">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f>
        <v>-</v>
      </c>
      <c r="L20" s="1006"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1007" t="s">
        <v>144</v>
      </c>
      <c r="N20" s="1008"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1006" t="str">
        <f>IFERROR(__xludf.DUMMYFUNCTION("IFERROR(FILTER(IMPORTRANGE($F$8,""'Sensitivity [""&amp;if(O$3="""",O$2,O$2&amp;"", ""&amp;O$3)&amp;""]'!B1:B20""), IMPORTRANGE($F$8,""'Sensitivity [""&amp;if(O$3="""",O$2,O$2&amp;"", ""&amp;O$3)&amp;""]'!A1:A20"")=$E20), ""-"")"),"-")</f>
        <v>-</v>
      </c>
      <c r="P20" s="1007" t="s">
        <v>144</v>
      </c>
      <c r="Q20" s="1008" t="str">
        <f>IFERROR(__xludf.DUMMYFUNCTION("IFERROR(FILTER(IMPORTRANGE($F$8,""'Sensitivity [""&amp;if(O$3="""",O$2,O$2&amp;"", ""&amp;O$3)&amp;""]'!C1:C20""), IMPORTRANGE($F$8,""'Sensitivity [""&amp;if(O$3="""",O$2,O$2&amp;"", ""&amp;O$3)&amp;""]'!A1:A20"")=$E20), ""-"")"),"-")</f>
        <v>-</v>
      </c>
      <c r="R20" s="1006" t="str">
        <f>IFERROR(__xludf.DUMMYFUNCTION("IFERROR(FILTER(IMPORTRANGE($F$8,""'Sensitivity [""&amp;if(R$3="""",R$2,R$2&amp;"", ""&amp;R$3)&amp;""]'!B1:B20""), IMPORTRANGE($F$8,""'Sensitivity [""&amp;if(R$3="""",R$2,R$2&amp;"", ""&amp;R$3)&amp;""]'!A1:A20"")=$E20), ""-"")"),"-")</f>
        <v>-</v>
      </c>
      <c r="S20" s="1007" t="s">
        <v>144</v>
      </c>
      <c r="T20" s="1008" t="str">
        <f>IFERROR(__xludf.DUMMYFUNCTION("IFERROR(FILTER(IMPORTRANGE($F$8,""'Sensitivity [""&amp;if(R$3="""",R$2,R$2&amp;"", ""&amp;R$3)&amp;""]'!C1:C20""), IMPORTRANGE($F$8,""'Sensitivity [""&amp;if(R$3="""",R$2,R$2&amp;"", ""&amp;R$3)&amp;""]'!A1:A20"")=$E20), ""-"")"),"-")</f>
        <v>-</v>
      </c>
      <c r="U20" s="1006" t="str">
        <f>IFERROR(__xludf.DUMMYFUNCTION("IFERROR(FILTER(IMPORTRANGE($F$8,""'Sensitivity [""&amp;if(U$3="""",U$2,U$2&amp;"", ""&amp;U$3)&amp;""]'!B1:B20""), IMPORTRANGE($F$8,""'Sensitivity [""&amp;if(U$3="""",U$2,U$2&amp;"", ""&amp;U$3)&amp;""]'!A1:A20"")=$E20), ""-"")"),"-")</f>
        <v>-</v>
      </c>
      <c r="V20" s="1007" t="s">
        <v>144</v>
      </c>
      <c r="W20" s="1008" t="str">
        <f>IFERROR(__xludf.DUMMYFUNCTION("IFERROR(FILTER(IMPORTRANGE($F$8,""'Sensitivity [""&amp;if(U$3="""",U$2,U$2&amp;"", ""&amp;U$3)&amp;""]'!C1:C20""), IMPORTRANGE($F$8,""'Sensitivity [""&amp;if(U$3="""",U$2,U$2&amp;"", ""&amp;U$3)&amp;""]'!A1:A20"")=$E20), ""-"")"),"-")</f>
        <v>-</v>
      </c>
      <c r="X20" s="1006" t="str">
        <f>IFERROR(__xludf.DUMMYFUNCTION("IFERROR(FILTER(IMPORTRANGE($F$8,""'Sensitivity [""&amp;if(X$3="""",X$2,X$2&amp;"", ""&amp;X$3)&amp;""]'!B1:B20""), IMPORTRANGE($F$8,""'Sensitivity [""&amp;if(X$3="""",X$2,X$2&amp;"", ""&amp;X$3)&amp;""]'!A1:A20"")=$E20), ""-"")"),"-")</f>
        <v>-</v>
      </c>
      <c r="Y20" s="1007" t="s">
        <v>144</v>
      </c>
      <c r="Z20" s="1008" t="str">
        <f>IFERROR(__xludf.DUMMYFUNCTION("IFERROR(FILTER(IMPORTRANGE($F$8,""'Sensitivity [""&amp;if(X$3="""",X$2,X$2&amp;"", ""&amp;X$3)&amp;""]'!C1:C20""), IMPORTRANGE($F$8,""'Sensitivity [""&amp;if(X$3="""",X$2,X$2&amp;"", ""&amp;X$3)&amp;""]'!A1:A20"")=$E20), ""-"")"),"-")</f>
        <v>-</v>
      </c>
      <c r="AA20" s="1013" t="str">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f>
        <v>-</v>
      </c>
      <c r="AB20" s="1014" t="s">
        <v>144</v>
      </c>
      <c r="AC20" s="1015" t="str">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f>
        <v>-</v>
      </c>
      <c r="AD20" s="1006"/>
    </row>
    <row r="21">
      <c r="A21" s="21"/>
      <c r="B21" s="22"/>
      <c r="C21" s="22"/>
      <c r="D21" s="22"/>
      <c r="E21" s="635" t="s">
        <v>247</v>
      </c>
      <c r="F21" s="1006"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007" t="s">
        <v>144</v>
      </c>
      <c r="H21" s="1008"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006"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007" t="s">
        <v>144</v>
      </c>
      <c r="K21" s="1008"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006"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007" t="s">
        <v>144</v>
      </c>
      <c r="N21" s="1008"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006" t="str">
        <f>IFERROR(__xludf.DUMMYFUNCTION("IFERROR(FILTER(IMPORTRANGE($F$8,""'Sensitivity [""&amp;if(O$3="""",O$2,O$2&amp;"", ""&amp;O$3)&amp;""]'!B1:B20""), IMPORTRANGE($F$8,""'Sensitivity [""&amp;if(O$3="""",O$2,O$2&amp;"", ""&amp;O$3)&amp;""]'!A1:A20"")=$E21), ""-"")"),"-")</f>
        <v>-</v>
      </c>
      <c r="P21" s="1007" t="s">
        <v>144</v>
      </c>
      <c r="Q21" s="1008" t="str">
        <f>IFERROR(__xludf.DUMMYFUNCTION("IFERROR(FILTER(IMPORTRANGE($F$8,""'Sensitivity [""&amp;if(O$3="""",O$2,O$2&amp;"", ""&amp;O$3)&amp;""]'!C1:C20""), IMPORTRANGE($F$8,""'Sensitivity [""&amp;if(O$3="""",O$2,O$2&amp;"", ""&amp;O$3)&amp;""]'!A1:A20"")=$E21), ""-"")"),"-")</f>
        <v>-</v>
      </c>
      <c r="R21" s="1006" t="str">
        <f>IFERROR(__xludf.DUMMYFUNCTION("IFERROR(FILTER(IMPORTRANGE($F$8,""'Sensitivity [""&amp;if(R$3="""",R$2,R$2&amp;"", ""&amp;R$3)&amp;""]'!B1:B20""), IMPORTRANGE($F$8,""'Sensitivity [""&amp;if(R$3="""",R$2,R$2&amp;"", ""&amp;R$3)&amp;""]'!A1:A20"")=$E21), ""-"")"),"-")</f>
        <v>-</v>
      </c>
      <c r="S21" s="1007" t="s">
        <v>144</v>
      </c>
      <c r="T21" s="1008" t="str">
        <f>IFERROR(__xludf.DUMMYFUNCTION("IFERROR(FILTER(IMPORTRANGE($F$8,""'Sensitivity [""&amp;if(R$3="""",R$2,R$2&amp;"", ""&amp;R$3)&amp;""]'!C1:C20""), IMPORTRANGE($F$8,""'Sensitivity [""&amp;if(R$3="""",R$2,R$2&amp;"", ""&amp;R$3)&amp;""]'!A1:A20"")=$E21), ""-"")"),"-")</f>
        <v>-</v>
      </c>
      <c r="U21" s="1006" t="str">
        <f>IFERROR(__xludf.DUMMYFUNCTION("IFERROR(FILTER(IMPORTRANGE($F$8,""'Sensitivity [""&amp;if(U$3="""",U$2,U$2&amp;"", ""&amp;U$3)&amp;""]'!B1:B20""), IMPORTRANGE($F$8,""'Sensitivity [""&amp;if(U$3="""",U$2,U$2&amp;"", ""&amp;U$3)&amp;""]'!A1:A20"")=$E21), ""-"")"),"-")</f>
        <v>-</v>
      </c>
      <c r="V21" s="1007" t="s">
        <v>144</v>
      </c>
      <c r="W21" s="1008" t="str">
        <f>IFERROR(__xludf.DUMMYFUNCTION("IFERROR(FILTER(IMPORTRANGE($F$8,""'Sensitivity [""&amp;if(U$3="""",U$2,U$2&amp;"", ""&amp;U$3)&amp;""]'!C1:C20""), IMPORTRANGE($F$8,""'Sensitivity [""&amp;if(U$3="""",U$2,U$2&amp;"", ""&amp;U$3)&amp;""]'!A1:A20"")=$E21), ""-"")"),"-")</f>
        <v>-</v>
      </c>
      <c r="X21" s="1006" t="str">
        <f>IFERROR(__xludf.DUMMYFUNCTION("IFERROR(FILTER(IMPORTRANGE($F$8,""'Sensitivity [""&amp;if(X$3="""",X$2,X$2&amp;"", ""&amp;X$3)&amp;""]'!B1:B20""), IMPORTRANGE($F$8,""'Sensitivity [""&amp;if(X$3="""",X$2,X$2&amp;"", ""&amp;X$3)&amp;""]'!A1:A20"")=$E21), ""-"")"),"-")</f>
        <v>-</v>
      </c>
      <c r="Y21" s="1007" t="s">
        <v>144</v>
      </c>
      <c r="Z21" s="1008" t="str">
        <f>IFERROR(__xludf.DUMMYFUNCTION("IFERROR(FILTER(IMPORTRANGE($F$8,""'Sensitivity [""&amp;if(X$3="""",X$2,X$2&amp;"", ""&amp;X$3)&amp;""]'!C1:C20""), IMPORTRANGE($F$8,""'Sensitivity [""&amp;if(X$3="""",X$2,X$2&amp;"", ""&amp;X$3)&amp;""]'!A1:A20"")=$E21), ""-"")"),"-")</f>
        <v>-</v>
      </c>
      <c r="AA21" s="1013"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014" t="s">
        <v>144</v>
      </c>
      <c r="AC21" s="1015"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006"/>
    </row>
    <row r="22">
      <c r="A22" s="22"/>
      <c r="B22" s="22"/>
      <c r="C22" s="22"/>
      <c r="D22" s="22"/>
      <c r="E22" s="22"/>
      <c r="F22" s="1002"/>
      <c r="G22" s="1002"/>
      <c r="H22" s="1002"/>
      <c r="I22" s="1002"/>
      <c r="J22" s="1002"/>
      <c r="K22" s="1002"/>
      <c r="L22" s="1002"/>
      <c r="M22" s="1002"/>
      <c r="N22" s="1002"/>
      <c r="O22" s="1002"/>
      <c r="P22" s="1002"/>
      <c r="Q22" s="1002"/>
      <c r="R22" s="1002"/>
      <c r="S22" s="1002"/>
      <c r="T22" s="1002"/>
      <c r="U22" s="1002"/>
      <c r="V22" s="1002"/>
      <c r="W22" s="1002"/>
      <c r="X22" s="1002"/>
      <c r="Y22" s="1002"/>
      <c r="Z22" s="1002"/>
      <c r="AA22" s="881"/>
      <c r="AB22" s="881"/>
      <c r="AC22" s="881"/>
      <c r="AD22" s="1002"/>
    </row>
    <row r="23">
      <c r="A23" s="1020" t="s">
        <v>729</v>
      </c>
      <c r="B23" s="6"/>
      <c r="C23" s="6"/>
      <c r="D23" s="6"/>
      <c r="E23" s="6"/>
      <c r="F23" s="1021"/>
      <c r="G23" s="995"/>
      <c r="H23" s="1022"/>
      <c r="I23" s="1021"/>
      <c r="J23" s="995"/>
      <c r="K23" s="1022"/>
      <c r="L23" s="1021"/>
      <c r="M23" s="995"/>
      <c r="N23" s="1022"/>
      <c r="O23" s="1021"/>
      <c r="P23" s="995"/>
      <c r="Q23" s="1022"/>
      <c r="R23" s="1021"/>
      <c r="S23" s="995"/>
      <c r="T23" s="1022"/>
      <c r="U23" s="1021"/>
      <c r="V23" s="995"/>
      <c r="W23" s="1022"/>
      <c r="X23" s="1021"/>
      <c r="Y23" s="995"/>
      <c r="Z23" s="1022"/>
      <c r="AA23" s="1023"/>
      <c r="AB23" s="1024"/>
      <c r="AC23" s="1025"/>
      <c r="AD23" s="1021"/>
    </row>
    <row r="24">
      <c r="A24" s="21"/>
      <c r="B24" s="22"/>
      <c r="C24" s="22"/>
      <c r="D24" s="22"/>
      <c r="E24" s="635" t="s">
        <v>717</v>
      </c>
      <c r="F24" s="1006">
        <f>IFERROR(__xludf.DUMMYFUNCTION("IFERROR(FILTER(IMPORTRANGE($F$8,""'Results [""&amp;if(F$3="""",F$2,F$2&amp;"", ""&amp;F$3)&amp;""]'!B1:B10""), IMPORTRANGE($F$8,""'Results [""&amp;if(F$3="""",F$2,F$2&amp;"", ""&amp;F$3)&amp;""]'!A1:A10"")=""25th Pctl""), ""-"")"),1.5196443242325592)</f>
        <v>1.519644324</v>
      </c>
      <c r="G24" s="1007" t="s">
        <v>144</v>
      </c>
      <c r="H24" s="1008">
        <f>IFERROR(__xludf.DUMMYFUNCTION("IFERROR(FILTER(IMPORTRANGE($F$8,""'Results [""&amp;if(F$3="""",F$2,F$2&amp;"", ""&amp;F$3)&amp;""]'!B1:B10""), IMPORTRANGE($F$8,""'Results [""&amp;if(F$3="""",F$2,F$2&amp;"", ""&amp;F$3)&amp;""]'!A1:A10"")=""75th Pctl""), ""-"")"),6.308436394412427)</f>
        <v>6.308436394</v>
      </c>
      <c r="I24" s="1006">
        <f>IFERROR(__xludf.DUMMYFUNCTION("IFERROR(FILTER(IMPORTRANGE($F$8,""'Results [""&amp;if(I$3="""",I$2,I$2&amp;"", ""&amp;I$3)&amp;""]'!B1:B10""), IMPORTRANGE($F$8,""'Results [""&amp;if(I$3="""",I$2,I$2&amp;"", ""&amp;I$3)&amp;""]'!A1:A10"")=""25th Pctl""), ""-"")"),7.053757090898276)</f>
        <v>7.053757091</v>
      </c>
      <c r="J24" s="1007" t="s">
        <v>144</v>
      </c>
      <c r="K24" s="1008">
        <f>IFERROR(__xludf.DUMMYFUNCTION("IFERROR(FILTER(IMPORTRANGE($F$8,""'Results [""&amp;if(I$3="""",I$2,I$2&amp;"", ""&amp;I$3)&amp;""]'!B1:B10""), IMPORTRANGE($F$8,""'Results [""&amp;if(I$3="""",I$2,I$2&amp;"", ""&amp;I$3)&amp;""]'!A1:A10"")=""75th Pctl""), ""-"")"),19.824268398011128)</f>
        <v>19.8242684</v>
      </c>
      <c r="L24" s="1006">
        <f>IFERROR(__xludf.DUMMYFUNCTION("IFERROR(FILTER(IMPORTRANGE($F$8,""'Results [""&amp;if(L$3="""",L$2,L$2&amp;"", ""&amp;L$3)&amp;""]'!B1:B10""), IMPORTRANGE($F$8,""'Results [""&amp;if(L$3="""",L$2,L$2&amp;"", ""&amp;L$3)&amp;""]'!A1:A10"")=""25th Pctl""), ""-"")"),10.399118656473995)</f>
        <v>10.39911866</v>
      </c>
      <c r="M24" s="1007" t="s">
        <v>144</v>
      </c>
      <c r="N24" s="1008">
        <f>IFERROR(__xludf.DUMMYFUNCTION("IFERROR(FILTER(IMPORTRANGE($F$8,""'Results [""&amp;if(L$3="""",L$2,L$2&amp;"", ""&amp;L$3)&amp;""]'!B1:B10""), IMPORTRANGE($F$8,""'Results [""&amp;if(L$3="""",L$2,L$2&amp;"", ""&amp;L$3)&amp;""]'!A1:A10"")=""75th Pctl""), ""-"")"),30.25775552089815)</f>
        <v>30.25775552</v>
      </c>
      <c r="O24" s="1006">
        <f>IFERROR(__xludf.DUMMYFUNCTION("IFERROR(FILTER(IMPORTRANGE($F$8,""'Results [""&amp;if(O$3="""",O$2,O$2&amp;"", ""&amp;O$3)&amp;""]'!B1:B10""), IMPORTRANGE($F$8,""'Results [""&amp;if(O$3="""",O$2,O$2&amp;"", ""&amp;O$3)&amp;""]'!A1:A10"")=""25th Pctl""), ""-"")"),7.234530161855349)</f>
        <v>7.234530162</v>
      </c>
      <c r="P24" s="1007" t="s">
        <v>144</v>
      </c>
      <c r="Q24" s="1008">
        <f>IFERROR(__xludf.DUMMYFUNCTION("IFERROR(FILTER(IMPORTRANGE($F$8,""'Results [""&amp;if(O$3="""",O$2,O$2&amp;"", ""&amp;O$3)&amp;""]'!B1:B10""), IMPORTRANGE($F$8,""'Results [""&amp;if(O$3="""",O$2,O$2&amp;"", ""&amp;O$3)&amp;""]'!A1:A10"")=""75th Pctl""), ""-"")"),23.066384905465057)</f>
        <v>23.06638491</v>
      </c>
      <c r="R24" s="1006">
        <f>IFERROR(__xludf.DUMMYFUNCTION("IFERROR(FILTER(IMPORTRANGE($F$8,""'Results [""&amp;if(R$3="""",R$2,R$2&amp;"", ""&amp;R$3)&amp;""]'!B1:B10""), IMPORTRANGE($F$8,""'Results [""&amp;if(R$3="""",R$2,R$2&amp;"", ""&amp;R$3)&amp;""]'!A1:A10"")=""25th Pctl""), ""-"")"),5.964654602182009)</f>
        <v>5.964654602</v>
      </c>
      <c r="S24" s="1007" t="s">
        <v>144</v>
      </c>
      <c r="T24" s="1008">
        <f>IFERROR(__xludf.DUMMYFUNCTION("IFERROR(FILTER(IMPORTRANGE($F$8,""'Results [""&amp;if(R$3="""",R$2,R$2&amp;"", ""&amp;R$3)&amp;""]'!B1:B10""), IMPORTRANGE($F$8,""'Results [""&amp;if(R$3="""",R$2,R$2&amp;"", ""&amp;R$3)&amp;""]'!A1:A10"")=""75th Pctl""), ""-"")"),18.43238021012085)</f>
        <v>18.43238021</v>
      </c>
      <c r="U24" s="1006">
        <f>IFERROR(__xludf.DUMMYFUNCTION("IFERROR(FILTER(IMPORTRANGE($F$8,""'Results [""&amp;if(U$3="""",U$2,U$2&amp;"", ""&amp;U$3)&amp;""]'!B1:B10""), IMPORTRANGE($F$8,""'Results [""&amp;if(U$3="""",U$2,U$2&amp;"", ""&amp;U$3)&amp;""]'!A1:A10"")=""25th Pctl""), ""-"")"),2.779115704307452)</f>
        <v>2.779115704</v>
      </c>
      <c r="V24" s="1007" t="s">
        <v>144</v>
      </c>
      <c r="W24" s="1008">
        <f>IFERROR(__xludf.DUMMYFUNCTION("IFERROR(FILTER(IMPORTRANGE($F$8,""'Results [""&amp;if(U$3="""",U$2,U$2&amp;"", ""&amp;U$3)&amp;""]'!B1:B10""), IMPORTRANGE($F$8,""'Results [""&amp;if(U$3="""",U$2,U$2&amp;"", ""&amp;U$3)&amp;""]'!A1:A10"")=""75th Pctl""), ""-"")"),9.908873412493593)</f>
        <v>9.908873412</v>
      </c>
      <c r="X24" s="1006">
        <f>IFERROR(__xludf.DUMMYFUNCTION("IFERROR(FILTER(IMPORTRANGE($F$8,""'Results [""&amp;if(X$3="""",X$2,X$2&amp;"", ""&amp;X$3)&amp;""]'!B1:B10""), IMPORTRANGE($F$8,""'Results [""&amp;if(X$3="""",X$2,X$2&amp;"", ""&amp;X$3)&amp;""]'!A1:A10"")=""25th Pctl""), ""-"")"),2.6075058726165596)</f>
        <v>2.607505873</v>
      </c>
      <c r="Y24" s="1007" t="s">
        <v>144</v>
      </c>
      <c r="Z24" s="1008">
        <f>IFERROR(__xludf.DUMMYFUNCTION("IFERROR(FILTER(IMPORTRANGE($F$8,""'Results [""&amp;if(X$3="""",X$2,X$2&amp;"", ""&amp;X$3)&amp;""]'!B1:B10""), IMPORTRANGE($F$8,""'Results [""&amp;if(X$3="""",X$2,X$2&amp;"", ""&amp;X$3)&amp;""]'!A1:A10"")=""75th Pctl""), ""-"")"),11.579489665223214)</f>
        <v>11.57948967</v>
      </c>
      <c r="AA24" s="1013">
        <f>IFERROR(__xludf.DUMMYFUNCTION("IFERROR(FILTER(IMPORTRANGE($F$8,""'Results [""&amp;if(AA$3="""",AA$2,AA$2&amp;"", ""&amp;AA$3)&amp;""]'!B1:B10""), IMPORTRANGE($F$8,""'Results [""&amp;if(AA$3="""",AA$2,AA$2&amp;"", ""&amp;AA$3)&amp;""]'!A1:A10"")=""25th Pctl""), ""-"")"),6.531495865663582)</f>
        <v>6.531495866</v>
      </c>
      <c r="AB24" s="1014" t="s">
        <v>144</v>
      </c>
      <c r="AC24" s="1015">
        <f>IFERROR(__xludf.DUMMYFUNCTION("IFERROR(FILTER(IMPORTRANGE($F$8,""'Results [""&amp;if(AA$3="""",AA$2,AA$2&amp;"", ""&amp;AA$3)&amp;""]'!B1:B10""), IMPORTRANGE($F$8,""'Results [""&amp;if(AA$3="""",AA$2,AA$2&amp;"", ""&amp;AA$3)&amp;""]'!A1:A10"")=""75th Pctl""), ""-"")"),20.760091250105468)</f>
        <v>20.76009125</v>
      </c>
      <c r="AD24" s="1006"/>
    </row>
    <row r="25">
      <c r="A25" s="22"/>
      <c r="B25" s="22"/>
      <c r="C25" s="22"/>
      <c r="D25" s="22"/>
      <c r="E25" s="22"/>
      <c r="F25" s="1003"/>
      <c r="G25" s="1002"/>
      <c r="H25" s="1003"/>
      <c r="I25" s="1003"/>
      <c r="J25" s="1002"/>
      <c r="K25" s="1003"/>
      <c r="L25" s="1003"/>
      <c r="M25" s="1002"/>
      <c r="N25" s="1003"/>
      <c r="O25" s="1003"/>
      <c r="P25" s="1002"/>
      <c r="Q25" s="1003"/>
      <c r="R25" s="1003"/>
      <c r="S25" s="1002"/>
      <c r="T25" s="1003"/>
      <c r="U25" s="1003"/>
      <c r="V25" s="1002"/>
      <c r="W25" s="1003"/>
      <c r="X25" s="1003"/>
      <c r="Y25" s="1002"/>
      <c r="Z25" s="1003"/>
      <c r="AA25" s="1003"/>
      <c r="AB25" s="1002"/>
      <c r="AC25" s="1003"/>
      <c r="AD25" s="1003"/>
    </row>
    <row r="26">
      <c r="A26" s="1026" t="s">
        <v>724</v>
      </c>
      <c r="B26" s="6"/>
      <c r="C26" s="6"/>
      <c r="D26" s="6"/>
      <c r="E26" s="6"/>
      <c r="F26" s="997"/>
      <c r="G26" s="998"/>
      <c r="H26" s="999"/>
      <c r="I26" s="997"/>
      <c r="J26" s="998"/>
      <c r="K26" s="999"/>
      <c r="L26" s="998"/>
      <c r="M26" s="998"/>
      <c r="N26" s="998"/>
      <c r="O26" s="997"/>
      <c r="P26" s="998"/>
      <c r="Q26" s="999"/>
      <c r="R26" s="997"/>
      <c r="S26" s="998"/>
      <c r="T26" s="999"/>
      <c r="U26" s="997"/>
      <c r="V26" s="998"/>
      <c r="W26" s="999"/>
      <c r="X26" s="997"/>
      <c r="Y26" s="998"/>
      <c r="Z26" s="999"/>
      <c r="AA26" s="997"/>
      <c r="AB26" s="998"/>
      <c r="AC26" s="999"/>
      <c r="AD26" s="997"/>
    </row>
    <row r="27">
      <c r="A27" s="1027"/>
      <c r="B27" s="1028"/>
      <c r="C27" s="1028"/>
      <c r="D27" s="1028"/>
      <c r="E27" s="1029" t="s">
        <v>135</v>
      </c>
      <c r="F27" s="1030" t="s">
        <v>144</v>
      </c>
      <c r="G27" s="1031">
        <v>1000000.0</v>
      </c>
      <c r="H27" s="1032" t="s">
        <v>144</v>
      </c>
      <c r="I27" s="1030" t="s">
        <v>144</v>
      </c>
      <c r="J27" s="1031">
        <v>1000000.0</v>
      </c>
      <c r="K27" s="1032" t="s">
        <v>144</v>
      </c>
      <c r="L27" s="1030" t="s">
        <v>144</v>
      </c>
      <c r="M27" s="1031">
        <v>1000000.0</v>
      </c>
      <c r="N27" s="1032" t="s">
        <v>144</v>
      </c>
      <c r="O27" s="1030" t="s">
        <v>144</v>
      </c>
      <c r="P27" s="1031">
        <v>1000000.0</v>
      </c>
      <c r="Q27" s="1032" t="s">
        <v>144</v>
      </c>
      <c r="R27" s="1030" t="s">
        <v>144</v>
      </c>
      <c r="S27" s="1031">
        <v>1000000.0</v>
      </c>
      <c r="T27" s="1032" t="s">
        <v>144</v>
      </c>
      <c r="U27" s="1030" t="s">
        <v>144</v>
      </c>
      <c r="V27" s="1031">
        <v>1000000.0</v>
      </c>
      <c r="W27" s="1032" t="s">
        <v>144</v>
      </c>
      <c r="X27" s="1030" t="s">
        <v>144</v>
      </c>
      <c r="Y27" s="1031">
        <v>1000000.0</v>
      </c>
      <c r="Z27" s="1032" t="s">
        <v>144</v>
      </c>
      <c r="AA27" s="1030" t="s">
        <v>144</v>
      </c>
      <c r="AB27" s="1031">
        <v>1000000.0</v>
      </c>
      <c r="AC27" s="1032" t="s">
        <v>144</v>
      </c>
      <c r="AD27" s="1030"/>
    </row>
    <row r="28">
      <c r="A28" s="81"/>
      <c r="B28" s="50"/>
      <c r="C28" s="22"/>
      <c r="D28" s="22"/>
      <c r="E28" s="42" t="str">
        <f>'Confidence intervals'!E9</f>
        <v>Cost per person under age five reached</v>
      </c>
      <c r="F28" s="1033">
        <f>'Confidence intervals'!F9</f>
        <v>12.99</v>
      </c>
      <c r="G28" s="1034">
        <f>'Confidence intervals'!G9</f>
        <v>15.18872526</v>
      </c>
      <c r="H28" s="1035">
        <f>'Confidence intervals'!H9</f>
        <v>20.66</v>
      </c>
      <c r="I28" s="1033">
        <f>'Confidence intervals'!I9</f>
        <v>20.55</v>
      </c>
      <c r="J28" s="1034">
        <f>'Confidence intervals'!J9</f>
        <v>26.23829482</v>
      </c>
      <c r="K28" s="1035">
        <f>'Confidence intervals'!K9</f>
        <v>36.32</v>
      </c>
      <c r="L28" s="1033">
        <f>'Confidence intervals'!L9</f>
        <v>14.8</v>
      </c>
      <c r="M28" s="1034">
        <f>'Confidence intervals'!M9</f>
        <v>17.70918353</v>
      </c>
      <c r="N28" s="1035">
        <f>'Confidence intervals'!N9</f>
        <v>24.06</v>
      </c>
      <c r="O28" s="1033">
        <f>'Confidence intervals'!O9</f>
        <v>17.88</v>
      </c>
      <c r="P28" s="1034">
        <f>'Confidence intervals'!P9</f>
        <v>21.92266447</v>
      </c>
      <c r="Q28" s="1035">
        <f>'Confidence intervals'!Q9</f>
        <v>29.86</v>
      </c>
      <c r="R28" s="1033">
        <f>'Confidence intervals'!R9</f>
        <v>17.77</v>
      </c>
      <c r="S28" s="1034">
        <f>'Confidence intervals'!S9</f>
        <v>21.92266447</v>
      </c>
      <c r="T28" s="1035">
        <f>'Confidence intervals'!T9</f>
        <v>28.46</v>
      </c>
      <c r="U28" s="1033">
        <f>'Confidence intervals'!U9</f>
        <v>21.2</v>
      </c>
      <c r="V28" s="1034">
        <f>'Confidence intervals'!V9</f>
        <v>25.0474119</v>
      </c>
      <c r="W28" s="1035">
        <f>'Confidence intervals'!W9</f>
        <v>35.52</v>
      </c>
      <c r="X28" s="1033">
        <f>'Confidence intervals'!X9</f>
        <v>19.57</v>
      </c>
      <c r="Y28" s="1034">
        <f>'Confidence intervals'!Y9</f>
        <v>23.04674709</v>
      </c>
      <c r="Z28" s="1035">
        <f>'Confidence intervals'!Z9</f>
        <v>31.82</v>
      </c>
      <c r="AA28" s="1033">
        <f>'Confidence intervals'!AA9</f>
        <v>18.59</v>
      </c>
      <c r="AB28" s="1034">
        <f>'Confidence intervals'!AB9</f>
        <v>22.14787358</v>
      </c>
      <c r="AC28" s="1035">
        <f>'Confidence intervals'!AC9</f>
        <v>30.43</v>
      </c>
      <c r="AD28" s="1033"/>
    </row>
    <row r="29">
      <c r="A29" s="1036"/>
      <c r="B29" s="1002"/>
      <c r="C29" s="1002"/>
      <c r="D29" s="1002"/>
      <c r="E29" s="1037" t="str">
        <f>'Confidence intervals'!E10</f>
        <v>Years of effective coverage provided by nets</v>
      </c>
      <c r="F29" s="1038">
        <f>'Confidence intervals'!F10</f>
        <v>1.5</v>
      </c>
      <c r="G29" s="1039">
        <f>'Confidence intervals'!G10</f>
        <v>1.965608617</v>
      </c>
      <c r="H29" s="1040">
        <f>'Confidence intervals'!H10</f>
        <v>2.3</v>
      </c>
      <c r="I29" s="1038">
        <f>'Confidence intervals'!I10</f>
        <v>0.9</v>
      </c>
      <c r="J29" s="1039">
        <f>'Confidence intervals'!J10</f>
        <v>1.192516657</v>
      </c>
      <c r="K29" s="1040">
        <f>'Confidence intervals'!K10</f>
        <v>1.6</v>
      </c>
      <c r="L29" s="1038">
        <f>'Confidence intervals'!L10</f>
        <v>1.5</v>
      </c>
      <c r="M29" s="1039">
        <f>'Confidence intervals'!M10</f>
        <v>1.965608617</v>
      </c>
      <c r="N29" s="1040">
        <f>'Confidence intervals'!N10</f>
        <v>2.3</v>
      </c>
      <c r="O29" s="1038">
        <f>'Confidence intervals'!O10</f>
        <v>1.5</v>
      </c>
      <c r="P29" s="1039">
        <f>'Confidence intervals'!P10</f>
        <v>1.965608617</v>
      </c>
      <c r="Q29" s="1040">
        <f>'Confidence intervals'!Q10</f>
        <v>2.3</v>
      </c>
      <c r="R29" s="1038">
        <f>'Confidence intervals'!R10</f>
        <v>1</v>
      </c>
      <c r="S29" s="1039">
        <f>'Confidence intervals'!S10</f>
        <v>1.31712103</v>
      </c>
      <c r="T29" s="1040">
        <f>'Confidence intervals'!T10</f>
        <v>1.8</v>
      </c>
      <c r="U29" s="1038">
        <f>'Confidence intervals'!U10</f>
        <v>0.9</v>
      </c>
      <c r="V29" s="1039">
        <f>'Confidence intervals'!V10</f>
        <v>1.26901599</v>
      </c>
      <c r="W29" s="1040">
        <f>'Confidence intervals'!W10</f>
        <v>1.8</v>
      </c>
      <c r="X29" s="1038">
        <f>'Confidence intervals'!X10</f>
        <v>1.5</v>
      </c>
      <c r="Y29" s="1039">
        <f>'Confidence intervals'!Y10</f>
        <v>1.965608617</v>
      </c>
      <c r="Z29" s="1040">
        <f>'Confidence intervals'!Z10</f>
        <v>2.3</v>
      </c>
      <c r="AA29" s="1038">
        <f>'Confidence intervals'!AA10</f>
        <v>1.5</v>
      </c>
      <c r="AB29" s="1039">
        <f>'Confidence intervals'!AB10</f>
        <v>1.965608617</v>
      </c>
      <c r="AC29" s="1040">
        <f>'Confidence intervals'!AC10</f>
        <v>2.3</v>
      </c>
      <c r="AD29" s="1030"/>
    </row>
    <row r="30">
      <c r="A30" s="1041"/>
      <c r="B30" s="1042"/>
      <c r="C30" s="1042"/>
      <c r="D30" s="1042"/>
      <c r="E30" s="1043" t="str">
        <f>'Confidence intervals'!E11</f>
        <v>Malaria-attributable mortality rate among people under age five</v>
      </c>
      <c r="F30" s="1044">
        <f>'Confidence intervals'!F11</f>
        <v>0.0004</v>
      </c>
      <c r="G30" s="1045">
        <f>'Confidence intervals'!G11</f>
        <v>0.001508254121</v>
      </c>
      <c r="H30" s="1046">
        <f>'Confidence intervals'!H11</f>
        <v>0.0027</v>
      </c>
      <c r="I30" s="1044">
        <f>'Confidence intervals'!I11</f>
        <v>0.0046</v>
      </c>
      <c r="J30" s="1045">
        <f>'Confidence intervals'!J11</f>
        <v>0.007982855406</v>
      </c>
      <c r="K30" s="1046">
        <f>'Confidence intervals'!K11</f>
        <v>0.0113</v>
      </c>
      <c r="L30" s="1044">
        <f>'Confidence intervals'!L11</f>
        <v>0.0052</v>
      </c>
      <c r="M30" s="1045">
        <f>'Confidence intervals'!M11</f>
        <v>0.008802499665</v>
      </c>
      <c r="N30" s="1046">
        <f>'Confidence intervals'!N11</f>
        <v>0.0121</v>
      </c>
      <c r="O30" s="1044">
        <f>'Confidence intervals'!O11</f>
        <v>0.0028</v>
      </c>
      <c r="P30" s="1045">
        <f>'Confidence intervals'!P11</f>
        <v>0.005508102085</v>
      </c>
      <c r="Q30" s="1046">
        <f>'Confidence intervals'!Q11</f>
        <v>0.0081</v>
      </c>
      <c r="R30" s="1044">
        <f>'Confidence intervals'!R11</f>
        <v>0.0021</v>
      </c>
      <c r="S30" s="1045">
        <f>'Confidence intervals'!S11</f>
        <v>0.004797231947</v>
      </c>
      <c r="T30" s="1046">
        <f>'Confidence intervals'!T11</f>
        <v>0.0076</v>
      </c>
      <c r="U30" s="1044">
        <f>'Confidence intervals'!U11</f>
        <v>0.0024</v>
      </c>
      <c r="V30" s="1045">
        <f>'Confidence intervals'!V11</f>
        <v>0.004952000966</v>
      </c>
      <c r="W30" s="1046">
        <f>'Confidence intervals'!W11</f>
        <v>0.0074</v>
      </c>
      <c r="X30" s="1044">
        <f>'Confidence intervals'!X11</f>
        <v>0.0011</v>
      </c>
      <c r="Y30" s="1045">
        <f>'Confidence intervals'!Y11</f>
        <v>0.003125463445</v>
      </c>
      <c r="Z30" s="1046">
        <f>'Confidence intervals'!Z11</f>
        <v>0.0049</v>
      </c>
      <c r="AA30" s="1044">
        <f>'Confidence intervals'!AA11</f>
        <v>0.0032</v>
      </c>
      <c r="AB30" s="1045">
        <f>'Confidence intervals'!AB11</f>
        <v>0.006442007678</v>
      </c>
      <c r="AC30" s="1046">
        <f>'Confidence intervals'!AC11</f>
        <v>0.0089</v>
      </c>
      <c r="AD30" s="1044"/>
    </row>
    <row r="31">
      <c r="A31" s="1047"/>
      <c r="B31" s="1003"/>
      <c r="C31" s="1003"/>
      <c r="D31" s="1003"/>
      <c r="E31" s="1048" t="str">
        <f>'Confidence intervals'!E12</f>
        <v>Effect of ITN distributions on deaths related to malaria</v>
      </c>
      <c r="F31" s="1049">
        <f>'Confidence intervals'!F12</f>
        <v>0.18</v>
      </c>
      <c r="G31" s="1050">
        <f>'Confidence intervals'!G12</f>
        <v>0.2402078397</v>
      </c>
      <c r="H31" s="1051">
        <f>'Confidence intervals'!H12</f>
        <v>0.3</v>
      </c>
      <c r="I31" s="1049">
        <f>'Confidence intervals'!I12</f>
        <v>0.5</v>
      </c>
      <c r="J31" s="1050">
        <f>'Confidence intervals'!J12</f>
        <v>0.558318464</v>
      </c>
      <c r="K31" s="1051">
        <f>'Confidence intervals'!K12</f>
        <v>0.62</v>
      </c>
      <c r="L31" s="1049">
        <f>'Confidence intervals'!L12</f>
        <v>0.38</v>
      </c>
      <c r="M31" s="1050">
        <f>'Confidence intervals'!M12</f>
        <v>0.4600684292</v>
      </c>
      <c r="N31" s="1051">
        <f>'Confidence intervals'!N12</f>
        <v>0.53</v>
      </c>
      <c r="O31" s="1049">
        <f>'Confidence intervals'!O12</f>
        <v>0.43</v>
      </c>
      <c r="P31" s="1050">
        <f>'Confidence intervals'!P12</f>
        <v>0.5016739686</v>
      </c>
      <c r="Q31" s="1051">
        <f>'Confidence intervals'!Q12</f>
        <v>0.56</v>
      </c>
      <c r="R31" s="1049">
        <f>'Confidence intervals'!R12</f>
        <v>0.44</v>
      </c>
      <c r="S31" s="1050">
        <f>'Confidence intervals'!S12</f>
        <v>0.5016739686</v>
      </c>
      <c r="T31" s="1051">
        <f>'Confidence intervals'!T12</f>
        <v>0.57</v>
      </c>
      <c r="U31" s="1049">
        <f>'Confidence intervals'!U12</f>
        <v>0.28</v>
      </c>
      <c r="V31" s="1050">
        <f>'Confidence intervals'!V12</f>
        <v>0.4018858601</v>
      </c>
      <c r="W31" s="1051">
        <f>'Confidence intervals'!W12</f>
        <v>0.53</v>
      </c>
      <c r="X31" s="1049">
        <f>'Confidence intervals'!X12</f>
        <v>0.29</v>
      </c>
      <c r="Y31" s="1050">
        <f>'Confidence intervals'!Y12</f>
        <v>0.3892651892</v>
      </c>
      <c r="Z31" s="1051">
        <f>'Confidence intervals'!Z12</f>
        <v>0.48</v>
      </c>
      <c r="AA31" s="1049">
        <f>'Confidence intervals'!AA12</f>
        <v>0.45</v>
      </c>
      <c r="AB31" s="1050">
        <f>'Confidence intervals'!AB12</f>
        <v>0.513467417</v>
      </c>
      <c r="AC31" s="1051">
        <f>'Confidence intervals'!AC12</f>
        <v>0.58</v>
      </c>
      <c r="AD31" s="1049"/>
    </row>
    <row r="32">
      <c r="A32" s="81"/>
      <c r="B32" s="50"/>
      <c r="C32" s="22"/>
      <c r="D32" s="50"/>
      <c r="E32" s="1019" t="str">
        <f>'Confidence intervals'!E15</f>
        <v>Adjustment to account for mortalities averted among people age 5 and older</v>
      </c>
      <c r="F32" s="1049">
        <f>'Confidence intervals'!F15</f>
        <v>0.15</v>
      </c>
      <c r="G32" s="1050">
        <f>'Confidence intervals'!G15</f>
        <v>0.2969752467</v>
      </c>
      <c r="H32" s="1051">
        <f>'Confidence intervals'!H15</f>
        <v>0.46</v>
      </c>
      <c r="I32" s="1049">
        <f>'Confidence intervals'!I15</f>
        <v>0.1</v>
      </c>
      <c r="J32" s="1050">
        <f>'Confidence intervals'!J15</f>
        <v>0.1494882031</v>
      </c>
      <c r="K32" s="1051">
        <f>'Confidence intervals'!K15</f>
        <v>0.25</v>
      </c>
      <c r="L32" s="1049">
        <f>'Confidence intervals'!L15</f>
        <v>0.13</v>
      </c>
      <c r="M32" s="1050">
        <f>'Confidence intervals'!M15</f>
        <v>0.1942628175</v>
      </c>
      <c r="N32" s="1051">
        <f>'Confidence intervals'!N15</f>
        <v>0.31</v>
      </c>
      <c r="O32" s="1049">
        <f>'Confidence intervals'!O15</f>
        <v>0.17</v>
      </c>
      <c r="P32" s="1050">
        <f>'Confidence intervals'!P15</f>
        <v>0.3669750311</v>
      </c>
      <c r="Q32" s="1051">
        <f>'Confidence intervals'!Q15</f>
        <v>0.5</v>
      </c>
      <c r="R32" s="1049">
        <f>'Confidence intervals'!R15</f>
        <v>0.17</v>
      </c>
      <c r="S32" s="1050">
        <f>'Confidence intervals'!S15</f>
        <v>0.4319031483</v>
      </c>
      <c r="T32" s="1051">
        <f>'Confidence intervals'!T15</f>
        <v>0.55</v>
      </c>
      <c r="U32" s="1049">
        <f>'Confidence intervals'!U15</f>
        <v>0.09</v>
      </c>
      <c r="V32" s="1050">
        <f>'Confidence intervals'!V15</f>
        <v>0.1380293717</v>
      </c>
      <c r="W32" s="1051">
        <f>'Confidence intervals'!W15</f>
        <v>0.24</v>
      </c>
      <c r="X32" s="1049">
        <f>'Confidence intervals'!X15</f>
        <v>0.2</v>
      </c>
      <c r="Y32" s="1050">
        <f>'Confidence intervals'!Y15</f>
        <v>0.9524234675</v>
      </c>
      <c r="Z32" s="1051">
        <f>'Confidence intervals'!Z15</f>
        <v>0.96</v>
      </c>
      <c r="AA32" s="1049">
        <f>'Confidence intervals'!AA15</f>
        <v>0.1</v>
      </c>
      <c r="AB32" s="1050">
        <f>'Confidence intervals'!AB15</f>
        <v>0.1506696907</v>
      </c>
      <c r="AC32" s="1051">
        <f>'Confidence intervals'!AC15</f>
        <v>0.25</v>
      </c>
      <c r="AD32" s="1049"/>
    </row>
    <row r="33">
      <c r="A33" s="81"/>
      <c r="B33" s="50"/>
      <c r="C33" s="22"/>
      <c r="D33" s="50"/>
      <c r="E33" s="1019" t="str">
        <f>'Confidence intervals'!E16</f>
        <v>Adjustment to account for developmental benefits (long-term income increases)</v>
      </c>
      <c r="F33" s="1049">
        <f>'Confidence intervals'!F16</f>
        <v>0.33</v>
      </c>
      <c r="G33" s="1050">
        <f>'Confidence intervals'!G16</f>
        <v>0.6089414816</v>
      </c>
      <c r="H33" s="1051">
        <f>'Confidence intervals'!H16</f>
        <v>0.92</v>
      </c>
      <c r="I33" s="1049">
        <f>'Confidence intervals'!I16</f>
        <v>0.25</v>
      </c>
      <c r="J33" s="1050">
        <f>'Confidence intervals'!J16</f>
        <v>0.4916448888</v>
      </c>
      <c r="K33" s="1051">
        <f>'Confidence intervals'!K16</f>
        <v>0.76</v>
      </c>
      <c r="L33" s="1049">
        <f>'Confidence intervals'!L16</f>
        <v>0.15</v>
      </c>
      <c r="M33" s="1050">
        <f>'Confidence intervals'!M16</f>
        <v>0.3155709332</v>
      </c>
      <c r="N33" s="1051">
        <f>'Confidence intervals'!N16</f>
        <v>0.51</v>
      </c>
      <c r="O33" s="1049">
        <f>'Confidence intervals'!O16</f>
        <v>0.19</v>
      </c>
      <c r="P33" s="1050">
        <f>'Confidence intervals'!P16</f>
        <v>0.3926438401</v>
      </c>
      <c r="Q33" s="1051">
        <f>'Confidence intervals'!Q16</f>
        <v>0.6156760124</v>
      </c>
      <c r="R33" s="1049">
        <f>'Confidence intervals'!R16</f>
        <v>0.27</v>
      </c>
      <c r="S33" s="1050">
        <f>'Confidence intervals'!S16</f>
        <v>0.5069783506</v>
      </c>
      <c r="T33" s="1051">
        <f>'Confidence intervals'!T16</f>
        <v>0.79</v>
      </c>
      <c r="U33" s="1049">
        <f>'Confidence intervals'!U16</f>
        <v>0.23</v>
      </c>
      <c r="V33" s="1050">
        <f>'Confidence intervals'!V16</f>
        <v>0.4541608686</v>
      </c>
      <c r="W33" s="1051">
        <f>'Confidence intervals'!W16</f>
        <v>0.7</v>
      </c>
      <c r="X33" s="1049">
        <f>'Confidence intervals'!X16</f>
        <v>0.34</v>
      </c>
      <c r="Y33" s="1050">
        <f>'Confidence intervals'!Y16</f>
        <v>0.6156760124</v>
      </c>
      <c r="Z33" s="1051">
        <f>'Confidence intervals'!Z16</f>
        <v>0.94</v>
      </c>
      <c r="AA33" s="1049">
        <f>'Confidence intervals'!AA16</f>
        <v>0.24</v>
      </c>
      <c r="AB33" s="1050">
        <f>'Confidence intervals'!AB16</f>
        <v>0.4724033031</v>
      </c>
      <c r="AC33" s="1051">
        <f>'Confidence intervals'!AC16</f>
        <v>0.73</v>
      </c>
      <c r="AD33" s="1049"/>
    </row>
    <row r="34">
      <c r="A34" s="81"/>
      <c r="B34" s="50"/>
      <c r="C34" s="22"/>
      <c r="D34" s="22"/>
      <c r="E34" s="1019" t="str">
        <f>'Confidence intervals'!E19</f>
        <v>Adjustment for additional program benefits and downsides</v>
      </c>
      <c r="F34" s="1049">
        <f>'Confidence intervals'!F19</f>
        <v>0.43</v>
      </c>
      <c r="G34" s="1050">
        <f>'Confidence intervals'!G19</f>
        <v>0.529</v>
      </c>
      <c r="H34" s="1051">
        <f>'Confidence intervals'!H19</f>
        <v>0.65</v>
      </c>
      <c r="I34" s="1049">
        <f>'Confidence intervals'!I19</f>
        <v>0.37</v>
      </c>
      <c r="J34" s="1050">
        <f>'Confidence intervals'!J19</f>
        <v>0.479</v>
      </c>
      <c r="K34" s="1051">
        <f>'Confidence intervals'!K19</f>
        <v>0.61</v>
      </c>
      <c r="L34" s="1049">
        <f>'Confidence intervals'!L19</f>
        <v>0.27</v>
      </c>
      <c r="M34" s="1050">
        <f>'Confidence intervals'!M19</f>
        <v>0.379</v>
      </c>
      <c r="N34" s="1051">
        <f>'Confidence intervals'!N19</f>
        <v>0.53</v>
      </c>
      <c r="O34" s="1049">
        <f>'Confidence intervals'!O19</f>
        <v>0.37</v>
      </c>
      <c r="P34" s="1050">
        <f>'Confidence intervals'!P19</f>
        <v>0.479</v>
      </c>
      <c r="Q34" s="1051">
        <f>'Confidence intervals'!Q19</f>
        <v>0.61</v>
      </c>
      <c r="R34" s="1049">
        <f>'Confidence intervals'!R19</f>
        <v>0.36</v>
      </c>
      <c r="S34" s="1050">
        <f>'Confidence intervals'!S19</f>
        <v>0.479</v>
      </c>
      <c r="T34" s="1051">
        <f>'Confidence intervals'!T19</f>
        <v>0.61</v>
      </c>
      <c r="U34" s="1049">
        <f>'Confidence intervals'!U19</f>
        <v>0.27</v>
      </c>
      <c r="V34" s="1050">
        <f>'Confidence intervals'!V19</f>
        <v>0.379</v>
      </c>
      <c r="W34" s="1051">
        <f>'Confidence intervals'!W19</f>
        <v>0.51</v>
      </c>
      <c r="X34" s="1049">
        <f>'Confidence intervals'!X19</f>
        <v>0.27</v>
      </c>
      <c r="Y34" s="1050">
        <f>'Confidence intervals'!Y19</f>
        <v>0.379</v>
      </c>
      <c r="Z34" s="1051">
        <f>'Confidence intervals'!Z19</f>
        <v>0.52</v>
      </c>
      <c r="AA34" s="1049">
        <f>'Confidence intervals'!AA19</f>
        <v>0.26</v>
      </c>
      <c r="AB34" s="1050">
        <f>'Confidence intervals'!AB19</f>
        <v>0.379</v>
      </c>
      <c r="AC34" s="1051">
        <f>'Confidence intervals'!AC19</f>
        <v>0.51</v>
      </c>
      <c r="AD34" s="1049"/>
    </row>
    <row r="35">
      <c r="A35" s="81"/>
      <c r="B35" s="50"/>
      <c r="C35" s="22"/>
      <c r="D35" s="50"/>
      <c r="E35" s="1019" t="str">
        <f>'Confidence intervals'!E20</f>
        <v>Adjustment for grantee-level factors</v>
      </c>
      <c r="F35" s="1049">
        <f>'Confidence intervals'!F20</f>
        <v>-0.2</v>
      </c>
      <c r="G35" s="1050">
        <f>'Confidence intervals'!G20</f>
        <v>-0.04</v>
      </c>
      <c r="H35" s="1051">
        <f>'Confidence intervals'!H20</f>
        <v>-0.02</v>
      </c>
      <c r="I35" s="1049">
        <f>'Confidence intervals'!I20</f>
        <v>-0.2</v>
      </c>
      <c r="J35" s="1050">
        <f>'Confidence intervals'!J20</f>
        <v>-0.04</v>
      </c>
      <c r="K35" s="1051">
        <f>'Confidence intervals'!K20</f>
        <v>-0.02</v>
      </c>
      <c r="L35" s="1049">
        <f>'Confidence intervals'!L20</f>
        <v>-0.2</v>
      </c>
      <c r="M35" s="1050">
        <f>'Confidence intervals'!M20</f>
        <v>-0.04</v>
      </c>
      <c r="N35" s="1051">
        <f>'Confidence intervals'!N20</f>
        <v>-0.02</v>
      </c>
      <c r="O35" s="1049">
        <f>'Confidence intervals'!O20</f>
        <v>-0.2</v>
      </c>
      <c r="P35" s="1050">
        <f>'Confidence intervals'!P20</f>
        <v>-0.04</v>
      </c>
      <c r="Q35" s="1051">
        <f>'Confidence intervals'!Q20</f>
        <v>-0.02</v>
      </c>
      <c r="R35" s="1049">
        <f>'Confidence intervals'!R20</f>
        <v>-0.2</v>
      </c>
      <c r="S35" s="1050">
        <f>'Confidence intervals'!S20</f>
        <v>-0.04</v>
      </c>
      <c r="T35" s="1051">
        <f>'Confidence intervals'!T20</f>
        <v>-0.02</v>
      </c>
      <c r="U35" s="1049">
        <f>'Confidence intervals'!U20</f>
        <v>-0.2</v>
      </c>
      <c r="V35" s="1050">
        <f>'Confidence intervals'!V20</f>
        <v>-0.04</v>
      </c>
      <c r="W35" s="1051">
        <f>'Confidence intervals'!W20</f>
        <v>-0.02</v>
      </c>
      <c r="X35" s="1049">
        <f>'Confidence intervals'!X20</f>
        <v>-0.2</v>
      </c>
      <c r="Y35" s="1050">
        <f>'Confidence intervals'!Y20</f>
        <v>-0.04</v>
      </c>
      <c r="Z35" s="1051">
        <f>'Confidence intervals'!Z20</f>
        <v>-0.02</v>
      </c>
      <c r="AA35" s="1049">
        <f>'Confidence intervals'!AA20</f>
        <v>-0.2</v>
      </c>
      <c r="AB35" s="1050">
        <f>'Confidence intervals'!AB20</f>
        <v>-0.04</v>
      </c>
      <c r="AC35" s="1051">
        <f>'Confidence intervals'!AC20</f>
        <v>-0.02</v>
      </c>
      <c r="AD35" s="1049"/>
    </row>
    <row r="36">
      <c r="A36" s="81"/>
      <c r="B36" s="50"/>
      <c r="C36" s="22"/>
      <c r="D36" s="50"/>
      <c r="E36" s="1019" t="str">
        <f>'Confidence intervals'!E21</f>
        <v>Adjustment for leverage</v>
      </c>
      <c r="F36" s="1049" t="str">
        <f>'Confidence intervals'!F21</f>
        <v>-</v>
      </c>
      <c r="G36" s="1050">
        <f>'Confidence intervals'!G21</f>
        <v>-0.008308060237</v>
      </c>
      <c r="H36" s="1051" t="str">
        <f>'Confidence intervals'!H21</f>
        <v>-</v>
      </c>
      <c r="I36" s="1049" t="str">
        <f>'Confidence intervals'!I21</f>
        <v>-</v>
      </c>
      <c r="J36" s="1050">
        <f>'Confidence intervals'!J21</f>
        <v>-0.004114250426</v>
      </c>
      <c r="K36" s="1051" t="str">
        <f>'Confidence intervals'!K21</f>
        <v>-</v>
      </c>
      <c r="L36" s="1049" t="str">
        <f>'Confidence intervals'!L21</f>
        <v>-</v>
      </c>
      <c r="M36" s="1050">
        <f>'Confidence intervals'!M21</f>
        <v>-0.001382525591</v>
      </c>
      <c r="N36" s="1051" t="str">
        <f>'Confidence intervals'!N21</f>
        <v>-</v>
      </c>
      <c r="O36" s="1049" t="str">
        <f>'Confidence intervals'!O21</f>
        <v>-</v>
      </c>
      <c r="P36" s="1050">
        <f>'Confidence intervals'!P21</f>
        <v>-0.001698012775</v>
      </c>
      <c r="Q36" s="1051" t="str">
        <f>'Confidence intervals'!Q21</f>
        <v>-</v>
      </c>
      <c r="R36" s="1049" t="str">
        <f>'Confidence intervals'!R21</f>
        <v>-</v>
      </c>
      <c r="S36" s="1050">
        <f>'Confidence intervals'!S21</f>
        <v>-0.003159222382</v>
      </c>
      <c r="T36" s="1051" t="str">
        <f>'Confidence intervals'!T21</f>
        <v>-</v>
      </c>
      <c r="U36" s="1049" t="str">
        <f>'Confidence intervals'!U21</f>
        <v>-</v>
      </c>
      <c r="V36" s="1050">
        <f>'Confidence intervals'!V21</f>
        <v>-0.01129290244</v>
      </c>
      <c r="W36" s="1051" t="str">
        <f>'Confidence intervals'!W21</f>
        <v>-</v>
      </c>
      <c r="X36" s="1049" t="str">
        <f>'Confidence intervals'!X21</f>
        <v>-</v>
      </c>
      <c r="Y36" s="1050">
        <f>'Confidence intervals'!Y21</f>
        <v>-0.001691670199</v>
      </c>
      <c r="Z36" s="1051" t="str">
        <f>'Confidence intervals'!Z21</f>
        <v>-</v>
      </c>
      <c r="AA36" s="1049" t="str">
        <f>'Confidence intervals'!AA21</f>
        <v>-</v>
      </c>
      <c r="AB36" s="1050">
        <f>'Confidence intervals'!AB21</f>
        <v>-0.001853405826</v>
      </c>
      <c r="AC36" s="1051" t="str">
        <f>'Confidence intervals'!AC21</f>
        <v>-</v>
      </c>
      <c r="AD36" s="1049"/>
    </row>
    <row r="37">
      <c r="A37" s="81"/>
      <c r="B37" s="50"/>
      <c r="C37" s="22"/>
      <c r="D37" s="50"/>
      <c r="E37" s="1019" t="str">
        <f>'Confidence intervals'!E22</f>
        <v>Adjustment for funging</v>
      </c>
      <c r="F37" s="1049">
        <f>'Confidence intervals'!F22</f>
        <v>-0.08</v>
      </c>
      <c r="G37" s="1050">
        <f>'Confidence intervals'!G22</f>
        <v>-0.0302403437</v>
      </c>
      <c r="H37" s="1051">
        <f>'Confidence intervals'!H22</f>
        <v>0.01</v>
      </c>
      <c r="I37" s="1049">
        <f>'Confidence intervals'!I22</f>
        <v>-0.29</v>
      </c>
      <c r="J37" s="1050">
        <f>'Confidence intervals'!J22</f>
        <v>-0.1461607338</v>
      </c>
      <c r="K37" s="1051">
        <f>'Confidence intervals'!K22</f>
        <v>-0.05</v>
      </c>
      <c r="L37" s="1049">
        <f>'Confidence intervals'!L22</f>
        <v>-0.54</v>
      </c>
      <c r="M37" s="1050">
        <f>'Confidence intervals'!M22</f>
        <v>-0.3003019883</v>
      </c>
      <c r="N37" s="1051">
        <f>'Confidence intervals'!N22</f>
        <v>-0.12</v>
      </c>
      <c r="O37" s="1049">
        <f>'Confidence intervals'!O22</f>
        <v>-0.5</v>
      </c>
      <c r="P37" s="1050">
        <f>'Confidence intervals'!P22</f>
        <v>-0.280617756</v>
      </c>
      <c r="Q37" s="1051">
        <f>'Confidence intervals'!Q22</f>
        <v>-0.11</v>
      </c>
      <c r="R37" s="1049">
        <f>'Confidence intervals'!R22</f>
        <v>-0.27</v>
      </c>
      <c r="S37" s="1050">
        <f>'Confidence intervals'!S22</f>
        <v>-0.1400660492</v>
      </c>
      <c r="T37" s="1051">
        <f>'Confidence intervals'!T22</f>
        <v>-0.04</v>
      </c>
      <c r="U37" s="1049">
        <f>'Confidence intervals'!U22</f>
        <v>-0.13</v>
      </c>
      <c r="V37" s="1050">
        <f>'Confidence intervals'!V22</f>
        <v>-0.05985331551</v>
      </c>
      <c r="W37" s="1051">
        <f>'Confidence intervals'!W22</f>
        <v>-0.01</v>
      </c>
      <c r="X37" s="1049">
        <f>'Confidence intervals'!X22</f>
        <v>-0.72</v>
      </c>
      <c r="Y37" s="1050">
        <f>'Confidence intervals'!Y22</f>
        <v>-0.4161821599</v>
      </c>
      <c r="Z37" s="1051">
        <f>'Confidence intervals'!Z22</f>
        <v>-0.19</v>
      </c>
      <c r="AA37" s="1049">
        <f>'Confidence intervals'!AA22</f>
        <v>-0.58</v>
      </c>
      <c r="AB37" s="1050">
        <f>'Confidence intervals'!AB22</f>
        <v>-0.319351647</v>
      </c>
      <c r="AC37" s="1051">
        <f>'Confidence intervals'!AC22</f>
        <v>-0.14</v>
      </c>
      <c r="AD37" s="1049"/>
    </row>
    <row r="38">
      <c r="A38" s="81"/>
      <c r="B38" s="50"/>
      <c r="C38" s="22"/>
      <c r="D38" s="50"/>
      <c r="E38" s="1019" t="s">
        <v>703</v>
      </c>
      <c r="F38" s="1030" t="s">
        <v>144</v>
      </c>
      <c r="G38" s="1052">
        <f>'Main CEA'!$H$112</f>
        <v>116.25262</v>
      </c>
      <c r="H38" s="1032" t="s">
        <v>144</v>
      </c>
      <c r="I38" s="1030" t="s">
        <v>144</v>
      </c>
      <c r="J38" s="1052">
        <f>'Main CEA'!$H$112</f>
        <v>116.25262</v>
      </c>
      <c r="K38" s="1032" t="s">
        <v>144</v>
      </c>
      <c r="L38" s="1030" t="s">
        <v>144</v>
      </c>
      <c r="M38" s="1052">
        <f>'Main CEA'!$H$112</f>
        <v>116.25262</v>
      </c>
      <c r="N38" s="1032" t="s">
        <v>144</v>
      </c>
      <c r="O38" s="1030" t="s">
        <v>144</v>
      </c>
      <c r="P38" s="1052">
        <f>'Main CEA'!$H$112</f>
        <v>116.25262</v>
      </c>
      <c r="Q38" s="1032" t="s">
        <v>144</v>
      </c>
      <c r="R38" s="1030" t="s">
        <v>144</v>
      </c>
      <c r="S38" s="1052">
        <f>'Main CEA'!$H$112</f>
        <v>116.25262</v>
      </c>
      <c r="T38" s="1032" t="s">
        <v>144</v>
      </c>
      <c r="U38" s="1030" t="s">
        <v>144</v>
      </c>
      <c r="V38" s="1052">
        <f>'Main CEA'!$H$112</f>
        <v>116.25262</v>
      </c>
      <c r="W38" s="1032" t="s">
        <v>144</v>
      </c>
      <c r="X38" s="1030" t="s">
        <v>144</v>
      </c>
      <c r="Y38" s="1052">
        <f>'Main CEA'!$H$112</f>
        <v>116.25262</v>
      </c>
      <c r="Z38" s="1032" t="s">
        <v>144</v>
      </c>
      <c r="AA38" s="1030" t="s">
        <v>144</v>
      </c>
      <c r="AB38" s="1052">
        <f>'Main CEA'!$H$112</f>
        <v>116.25262</v>
      </c>
      <c r="AC38" s="1032" t="s">
        <v>144</v>
      </c>
      <c r="AD38" s="1030"/>
    </row>
    <row r="39">
      <c r="A39" s="81"/>
      <c r="B39" s="50"/>
      <c r="C39" s="22"/>
      <c r="D39" s="50"/>
      <c r="E39" s="635" t="s">
        <v>247</v>
      </c>
      <c r="F39" s="1030" t="s">
        <v>144</v>
      </c>
      <c r="G39" s="1053">
        <f>'Main CEA'!$H$144</f>
        <v>0.00333</v>
      </c>
      <c r="H39" s="1032" t="s">
        <v>144</v>
      </c>
      <c r="I39" s="1030" t="s">
        <v>144</v>
      </c>
      <c r="J39" s="1053">
        <f>'Main CEA'!$H$144</f>
        <v>0.00333</v>
      </c>
      <c r="K39" s="1032" t="s">
        <v>144</v>
      </c>
      <c r="L39" s="1030" t="s">
        <v>144</v>
      </c>
      <c r="M39" s="1053">
        <f>'Main CEA'!$H$144</f>
        <v>0.00333</v>
      </c>
      <c r="N39" s="1032" t="s">
        <v>144</v>
      </c>
      <c r="O39" s="1030" t="s">
        <v>144</v>
      </c>
      <c r="P39" s="1053">
        <f>'Main CEA'!$H$144</f>
        <v>0.00333</v>
      </c>
      <c r="Q39" s="1032" t="s">
        <v>144</v>
      </c>
      <c r="R39" s="1030" t="s">
        <v>144</v>
      </c>
      <c r="S39" s="1053">
        <f>'Main CEA'!$H$144</f>
        <v>0.00333</v>
      </c>
      <c r="T39" s="1032" t="s">
        <v>144</v>
      </c>
      <c r="U39" s="1030" t="s">
        <v>144</v>
      </c>
      <c r="V39" s="1053">
        <f>'Main CEA'!$H$144</f>
        <v>0.00333</v>
      </c>
      <c r="W39" s="1032" t="s">
        <v>144</v>
      </c>
      <c r="X39" s="1030" t="s">
        <v>144</v>
      </c>
      <c r="Y39" s="1053">
        <f>'Main CEA'!$H$144</f>
        <v>0.00333</v>
      </c>
      <c r="Z39" s="1032" t="s">
        <v>144</v>
      </c>
      <c r="AA39" s="1030" t="s">
        <v>144</v>
      </c>
      <c r="AB39" s="1053">
        <f>'Main CEA'!$H$144</f>
        <v>0.00333</v>
      </c>
      <c r="AC39" s="1032" t="s">
        <v>144</v>
      </c>
      <c r="AD39" s="1030"/>
    </row>
    <row r="40">
      <c r="A40" s="81"/>
      <c r="B40" s="50"/>
      <c r="C40" s="22"/>
      <c r="D40" s="50"/>
      <c r="E40" s="22"/>
      <c r="F40" s="1047"/>
      <c r="G40" s="1002"/>
      <c r="H40" s="1054"/>
      <c r="I40" s="1047"/>
      <c r="J40" s="1002"/>
      <c r="K40" s="1054"/>
      <c r="L40" s="1047"/>
      <c r="M40" s="1002"/>
      <c r="N40" s="1054"/>
      <c r="O40" s="1047"/>
      <c r="P40" s="1003"/>
      <c r="Q40" s="1054"/>
      <c r="R40" s="1047"/>
      <c r="S40" s="1003"/>
      <c r="T40" s="1054"/>
      <c r="U40" s="1047"/>
      <c r="V40" s="1003"/>
      <c r="W40" s="1054"/>
      <c r="X40" s="1047"/>
      <c r="Y40" s="1003"/>
      <c r="Z40" s="1054"/>
      <c r="AA40" s="1047"/>
      <c r="AB40" s="1002"/>
      <c r="AC40" s="1054"/>
      <c r="AD40" s="1047"/>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A23:E23"/>
    <mergeCell ref="A26:E26"/>
    <mergeCell ref="A3:E3"/>
    <mergeCell ref="A5:E5"/>
    <mergeCell ref="F5:H5"/>
    <mergeCell ref="I5:K5"/>
    <mergeCell ref="L5:N5"/>
    <mergeCell ref="A6:E6"/>
    <mergeCell ref="A7:E7"/>
  </mergeCells>
  <drawing r:id="rId2"/>
  <legacyDrawing r:id="rId3"/>
</worksheet>
</file>